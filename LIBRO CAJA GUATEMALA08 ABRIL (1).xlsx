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onsoFonseca\Desktop\"/>
    </mc:Choice>
  </mc:AlternateContent>
  <xr:revisionPtr revIDLastSave="0" documentId="13_ncr:1_{304D4FB4-0674-42B0-A4C2-4A97416F1719}" xr6:coauthVersionLast="47" xr6:coauthVersionMax="47" xr10:uidLastSave="{00000000-0000-0000-0000-000000000000}"/>
  <bookViews>
    <workbookView xWindow="-120" yWindow="-120" windowWidth="20730" windowHeight="11040" firstSheet="27" activeTab="29" xr2:uid="{00000000-000D-0000-FFFF-FFFF00000000}"/>
  </bookViews>
  <sheets>
    <sheet name="Hoja1" sheetId="1" state="hidden" r:id="rId1"/>
    <sheet name="RESUMEN" sheetId="13" state="hidden" r:id="rId2"/>
    <sheet name="Caja USD" sheetId="15" r:id="rId3"/>
    <sheet name="Caja QTQ" sheetId="2" r:id="rId4"/>
    <sheet name="Flujo Caja Noviembre 2025" sheetId="43" state="hidden" r:id="rId5"/>
    <sheet name="Flujo Caja Diciembre 2025" sheetId="44" state="hidden" r:id="rId6"/>
    <sheet name="RECURSOS" sheetId="17" state="hidden" r:id="rId7"/>
    <sheet name="Flujo caja Abril" sheetId="21" state="hidden" r:id="rId8"/>
    <sheet name="Flujo caja Mayo" sheetId="23" state="hidden" r:id="rId9"/>
    <sheet name="Flujo caja Junio " sheetId="24" state="hidden" r:id="rId10"/>
    <sheet name="Flujo caja Julio" sheetId="25" state="hidden" r:id="rId11"/>
    <sheet name="Flujo caja Agosto" sheetId="26" state="hidden" r:id="rId12"/>
    <sheet name="Flujo caja Septiembre" sheetId="27" state="hidden" r:id="rId13"/>
    <sheet name="Flujo caja Octubre" sheetId="28" state="hidden" r:id="rId14"/>
    <sheet name="Flujo caja Noviembre " sheetId="29" state="hidden" r:id="rId15"/>
    <sheet name="Flujo caja Diciembre" sheetId="30" state="hidden" r:id="rId16"/>
    <sheet name="Flujo caja Enero 25" sheetId="31" state="hidden" r:id="rId17"/>
    <sheet name="Flujo Caja Febrero 25" sheetId="32" state="hidden" r:id="rId18"/>
    <sheet name="Flujo Caja Marzo " sheetId="33" state="hidden" r:id="rId19"/>
    <sheet name="Flujo Caja Abril 2025" sheetId="34" state="hidden" r:id="rId20"/>
    <sheet name="Flujo Caja Mayo 2025" sheetId="36" state="hidden" r:id="rId21"/>
    <sheet name="Flujo Caja Junio 2025" sheetId="37" state="hidden" r:id="rId22"/>
    <sheet name="Flujo Caja Julio 2025 " sheetId="38" state="hidden" r:id="rId23"/>
    <sheet name="Flujo Caja Agosto 2025" sheetId="40" state="hidden" r:id="rId24"/>
    <sheet name="Flujo Caja Septiembre 2025" sheetId="41" state="hidden" r:id="rId25"/>
    <sheet name="Flujo Caja Octubre 2025" sheetId="42" state="hidden" r:id="rId26"/>
    <sheet name="Flujo Caja Enero 2026" sheetId="45" r:id="rId27"/>
    <sheet name="Flujo Caja Febrero 2026" sheetId="46" r:id="rId28"/>
    <sheet name="Flujo Caja Marzo 2026" sheetId="47" r:id="rId29"/>
    <sheet name="Flujo Caja Abril 2026" sheetId="48" r:id="rId30"/>
    <sheet name="Diferencia en cambio" sheetId="16" r:id="rId31"/>
    <sheet name="Estado Cartera Julio" sheetId="39" state="hidden" r:id="rId32"/>
    <sheet name="Festivos Guatemala" sheetId="22" state="hidden" r:id="rId33"/>
  </sheets>
  <externalReferences>
    <externalReference r:id="rId34"/>
  </externalReferences>
  <definedNames>
    <definedName name="_xlnm._FilterDatabase" localSheetId="3" hidden="1">'Caja QTQ'!$F$825:$H$884</definedName>
    <definedName name="_xlnm._FilterDatabase" localSheetId="30" hidden="1">'Diferencia en cambio'!$B$2:$N$277</definedName>
    <definedName name="_xlnm._FilterDatabase" localSheetId="31" hidden="1">'Estado Cartera Julio'!$B$1:$J$12</definedName>
    <definedName name="_xlnm._FilterDatabase" localSheetId="7" hidden="1">'Flujo caja Abril'!$B$21:$J$70</definedName>
    <definedName name="_xlnm._FilterDatabase" localSheetId="19" hidden="1">'Flujo Caja Abril 2025'!$B$27:$J$80</definedName>
    <definedName name="_xlnm._FilterDatabase" localSheetId="29" hidden="1">'Flujo Caja Abril 2026'!$B$33:$J$115</definedName>
    <definedName name="_xlnm._FilterDatabase" localSheetId="11" hidden="1">'Flujo caja Agosto'!$B$25:$J$75</definedName>
    <definedName name="_xlnm._FilterDatabase" localSheetId="23" hidden="1">'Flujo Caja Agosto 2025'!$B$39:$J$107</definedName>
    <definedName name="_xlnm._FilterDatabase" localSheetId="15" hidden="1">'Flujo caja Diciembre'!$B$24:$J$70</definedName>
    <definedName name="_xlnm._FilterDatabase" localSheetId="5" hidden="1">'Flujo Caja Diciembre 2025'!$B$36:$J$132</definedName>
    <definedName name="_xlnm._FilterDatabase" localSheetId="26" hidden="1">'Flujo Caja Enero 2026'!$B$37:$J$130</definedName>
    <definedName name="_xlnm._FilterDatabase" localSheetId="16" hidden="1">'Flujo caja Enero 25'!$B$24:$J$72</definedName>
    <definedName name="_xlnm._FilterDatabase" localSheetId="27" hidden="1">'Flujo Caja Febrero 2026'!$B$35:$J$118</definedName>
    <definedName name="_xlnm._FilterDatabase" localSheetId="17" hidden="1">'Flujo Caja Febrero 25'!$B$25:$J$76</definedName>
    <definedName name="_xlnm._FilterDatabase" localSheetId="10" hidden="1">'Flujo caja Julio'!$B$22:$J$69</definedName>
    <definedName name="_xlnm._FilterDatabase" localSheetId="22" hidden="1">'Flujo Caja Julio 2025 '!$B$37:$J$99</definedName>
    <definedName name="_xlnm._FilterDatabase" localSheetId="9" hidden="1">'Flujo caja Junio '!$B$23:$J$72</definedName>
    <definedName name="_xlnm._FilterDatabase" localSheetId="21" hidden="1">'Flujo Caja Junio 2025'!$B$37:$J$96</definedName>
    <definedName name="_xlnm._FilterDatabase" localSheetId="18" hidden="1">'Flujo Caja Marzo '!$B$24:$J$72</definedName>
    <definedName name="_xlnm._FilterDatabase" localSheetId="28" hidden="1">'Flujo Caja Marzo 2026'!$B$37:$J$123</definedName>
    <definedName name="_xlnm._FilterDatabase" localSheetId="8" hidden="1">'Flujo caja Mayo'!$B$21:$J$71</definedName>
    <definedName name="_xlnm._FilterDatabase" localSheetId="20" hidden="1">'Flujo Caja Mayo 2025'!$B$30:$J$88</definedName>
    <definedName name="_xlnm._FilterDatabase" localSheetId="14" hidden="1">'Flujo caja Noviembre '!$B$24:$J$69</definedName>
    <definedName name="_xlnm._FilterDatabase" localSheetId="4" hidden="1">'Flujo Caja Noviembre 2025'!$B$34:$J$119</definedName>
    <definedName name="_xlnm._FilterDatabase" localSheetId="13" hidden="1">'Flujo caja Octubre'!$B$25:$J$75</definedName>
    <definedName name="_xlnm._FilterDatabase" localSheetId="25" hidden="1">'Flujo Caja Octubre 2025'!$B$34:$J$137</definedName>
    <definedName name="_xlnm._FilterDatabase" localSheetId="12" hidden="1">'Flujo caja Septiembre'!$B$25:$J$75</definedName>
    <definedName name="_xlnm._FilterDatabase" localSheetId="24" hidden="1">'Flujo Caja Septiembre 2025'!$B$34:$J$117</definedName>
    <definedName name="_Key1" localSheetId="32" hidden="1">#REF!</definedName>
    <definedName name="_Key1" localSheetId="7" hidden="1">#REF!</definedName>
    <definedName name="_Key1" localSheetId="19" hidden="1">#REF!</definedName>
    <definedName name="_Key1" localSheetId="29" hidden="1">#REF!</definedName>
    <definedName name="_Key1" localSheetId="11" hidden="1">#REF!</definedName>
    <definedName name="_Key1" localSheetId="23" hidden="1">#REF!</definedName>
    <definedName name="_Key1" localSheetId="15" hidden="1">#REF!</definedName>
    <definedName name="_Key1" localSheetId="5" hidden="1">#REF!</definedName>
    <definedName name="_Key1" localSheetId="26" hidden="1">#REF!</definedName>
    <definedName name="_Key1" localSheetId="16" hidden="1">#REF!</definedName>
    <definedName name="_Key1" localSheetId="27" hidden="1">#REF!</definedName>
    <definedName name="_Key1" localSheetId="17" hidden="1">#REF!</definedName>
    <definedName name="_Key1" localSheetId="10" hidden="1">#REF!</definedName>
    <definedName name="_Key1" localSheetId="22" hidden="1">#REF!</definedName>
    <definedName name="_Key1" localSheetId="9" hidden="1">#REF!</definedName>
    <definedName name="_Key1" localSheetId="21" hidden="1">#REF!</definedName>
    <definedName name="_Key1" localSheetId="18" hidden="1">#REF!</definedName>
    <definedName name="_Key1" localSheetId="28" hidden="1">#REF!</definedName>
    <definedName name="_Key1" localSheetId="8" hidden="1">#REF!</definedName>
    <definedName name="_Key1" localSheetId="20" hidden="1">#REF!</definedName>
    <definedName name="_Key1" localSheetId="14" hidden="1">#REF!</definedName>
    <definedName name="_Key1" localSheetId="4" hidden="1">#REF!</definedName>
    <definedName name="_Key1" localSheetId="13" hidden="1">#REF!</definedName>
    <definedName name="_Key1" localSheetId="25" hidden="1">#REF!</definedName>
    <definedName name="_Key1" localSheetId="12" hidden="1">#REF!</definedName>
    <definedName name="_Key1" localSheetId="24" hidden="1">#REF!</definedName>
    <definedName name="_Key1" hidden="1">#REF!</definedName>
    <definedName name="_Order1" hidden="1">255</definedName>
    <definedName name="_Sort" localSheetId="32" hidden="1">#REF!</definedName>
    <definedName name="_Sort" localSheetId="7" hidden="1">#REF!</definedName>
    <definedName name="_Sort" localSheetId="19" hidden="1">#REF!</definedName>
    <definedName name="_Sort" localSheetId="29" hidden="1">#REF!</definedName>
    <definedName name="_Sort" localSheetId="11" hidden="1">#REF!</definedName>
    <definedName name="_Sort" localSheetId="23" hidden="1">#REF!</definedName>
    <definedName name="_Sort" localSheetId="15" hidden="1">#REF!</definedName>
    <definedName name="_Sort" localSheetId="5" hidden="1">#REF!</definedName>
    <definedName name="_Sort" localSheetId="26" hidden="1">#REF!</definedName>
    <definedName name="_Sort" localSheetId="16" hidden="1">#REF!</definedName>
    <definedName name="_Sort" localSheetId="27" hidden="1">#REF!</definedName>
    <definedName name="_Sort" localSheetId="17" hidden="1">#REF!</definedName>
    <definedName name="_Sort" localSheetId="10" hidden="1">#REF!</definedName>
    <definedName name="_Sort" localSheetId="22" hidden="1">#REF!</definedName>
    <definedName name="_Sort" localSheetId="9" hidden="1">#REF!</definedName>
    <definedName name="_Sort" localSheetId="21" hidden="1">#REF!</definedName>
    <definedName name="_Sort" localSheetId="18" hidden="1">#REF!</definedName>
    <definedName name="_Sort" localSheetId="28" hidden="1">#REF!</definedName>
    <definedName name="_Sort" localSheetId="8" hidden="1">#REF!</definedName>
    <definedName name="_Sort" localSheetId="20" hidden="1">#REF!</definedName>
    <definedName name="_Sort" localSheetId="14" hidden="1">#REF!</definedName>
    <definedName name="_Sort" localSheetId="4" hidden="1">#REF!</definedName>
    <definedName name="_Sort" localSheetId="13" hidden="1">#REF!</definedName>
    <definedName name="_Sort" localSheetId="25" hidden="1">#REF!</definedName>
    <definedName name="_Sort" localSheetId="12" hidden="1">#REF!</definedName>
    <definedName name="_Sort" localSheetId="24" hidden="1">#REF!</definedName>
    <definedName name="_Sort" hidden="1">#REF!</definedName>
    <definedName name="B" localSheetId="32" hidden="1">#REF!</definedName>
    <definedName name="B" localSheetId="7" hidden="1">#REF!</definedName>
    <definedName name="B" localSheetId="19" hidden="1">#REF!</definedName>
    <definedName name="B" localSheetId="29" hidden="1">#REF!</definedName>
    <definedName name="B" localSheetId="11" hidden="1">#REF!</definedName>
    <definedName name="B" localSheetId="23" hidden="1">#REF!</definedName>
    <definedName name="B" localSheetId="15" hidden="1">#REF!</definedName>
    <definedName name="B" localSheetId="5" hidden="1">#REF!</definedName>
    <definedName name="B" localSheetId="26" hidden="1">#REF!</definedName>
    <definedName name="B" localSheetId="16" hidden="1">#REF!</definedName>
    <definedName name="B" localSheetId="27" hidden="1">#REF!</definedName>
    <definedName name="B" localSheetId="17" hidden="1">#REF!</definedName>
    <definedName name="B" localSheetId="10" hidden="1">#REF!</definedName>
    <definedName name="B" localSheetId="22" hidden="1">#REF!</definedName>
    <definedName name="B" localSheetId="9" hidden="1">#REF!</definedName>
    <definedName name="B" localSheetId="21" hidden="1">#REF!</definedName>
    <definedName name="B" localSheetId="18" hidden="1">#REF!</definedName>
    <definedName name="B" localSheetId="28" hidden="1">#REF!</definedName>
    <definedName name="B" localSheetId="8" hidden="1">#REF!</definedName>
    <definedName name="B" localSheetId="20" hidden="1">#REF!</definedName>
    <definedName name="B" localSheetId="14" hidden="1">#REF!</definedName>
    <definedName name="B" localSheetId="4" hidden="1">#REF!</definedName>
    <definedName name="B" localSheetId="13" hidden="1">#REF!</definedName>
    <definedName name="B" localSheetId="25" hidden="1">#REF!</definedName>
    <definedName name="B" localSheetId="12" hidden="1">#REF!</definedName>
    <definedName name="B" localSheetId="24" hidden="1">#REF!</definedName>
    <definedName name="B" hidden="1">#REF!</definedName>
    <definedName name="Fact" localSheetId="32">#REF!</definedName>
    <definedName name="Fact">#REF!</definedName>
    <definedName name="I" localSheetId="32" hidden="1">#REF!</definedName>
    <definedName name="I" localSheetId="7" hidden="1">#REF!</definedName>
    <definedName name="I" localSheetId="19" hidden="1">#REF!</definedName>
    <definedName name="I" localSheetId="29" hidden="1">#REF!</definedName>
    <definedName name="I" localSheetId="11" hidden="1">#REF!</definedName>
    <definedName name="I" localSheetId="23" hidden="1">#REF!</definedName>
    <definedName name="I" localSheetId="15" hidden="1">#REF!</definedName>
    <definedName name="I" localSheetId="5" hidden="1">#REF!</definedName>
    <definedName name="I" localSheetId="26" hidden="1">#REF!</definedName>
    <definedName name="I" localSheetId="16" hidden="1">#REF!</definedName>
    <definedName name="I" localSheetId="27" hidden="1">#REF!</definedName>
    <definedName name="I" localSheetId="17" hidden="1">#REF!</definedName>
    <definedName name="I" localSheetId="10" hidden="1">#REF!</definedName>
    <definedName name="I" localSheetId="22" hidden="1">#REF!</definedName>
    <definedName name="I" localSheetId="9" hidden="1">#REF!</definedName>
    <definedName name="I" localSheetId="21" hidden="1">#REF!</definedName>
    <definedName name="I" localSheetId="18" hidden="1">#REF!</definedName>
    <definedName name="I" localSheetId="28" hidden="1">#REF!</definedName>
    <definedName name="I" localSheetId="8" hidden="1">#REF!</definedName>
    <definedName name="I" localSheetId="20" hidden="1">#REF!</definedName>
    <definedName name="I" localSheetId="14" hidden="1">#REF!</definedName>
    <definedName name="I" localSheetId="4" hidden="1">#REF!</definedName>
    <definedName name="I" localSheetId="13" hidden="1">#REF!</definedName>
    <definedName name="I" localSheetId="25" hidden="1">#REF!</definedName>
    <definedName name="I" localSheetId="12" hidden="1">#REF!</definedName>
    <definedName name="I" localSheetId="24" hidden="1">#REF!</definedName>
    <definedName name="I" hidden="1">#REF!</definedName>
    <definedName name="Marca" localSheetId="32">'[1]Facturas Pagadas y Pendientes'!#REF!</definedName>
    <definedName name="Marca">'[1]Facturas Pagadas y Pendientes'!#REF!</definedName>
    <definedName name="Marca1" localSheetId="32">'[1]Facturas Pagadas y Pendientes'!#REF!</definedName>
    <definedName name="Marca1">'[1]Facturas Pagadas y Pendientes'!#REF!</definedName>
    <definedName name="Marcas" localSheetId="32">'[1]Facturas Pagadas y Pendientes'!#REF!</definedName>
    <definedName name="Marcas">'[1]Facturas Pagadas y Pendientes'!#REF!</definedName>
    <definedName name="Valor" localSheetId="32">'[1]Facturas Pagadas y Pendientes'!#REF!</definedName>
    <definedName name="Valor">'[1]Facturas Pagadas y Pendientes'!#REF!</definedName>
    <definedName name="Value" localSheetId="32">'[1]Facturas Pagadas y Pendientes'!#REF!</definedName>
    <definedName name="Value">'[1]Facturas Pagadas y Pendientes'!#REF!</definedName>
    <definedName name="values">'[1]Facturas Pagadas y Pendientes'!#REF!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6" l="1"/>
  <c r="D14" i="46"/>
  <c r="D12" i="47"/>
  <c r="D10" i="47"/>
  <c r="D36" i="48"/>
  <c r="I37" i="48"/>
  <c r="H37" i="48"/>
  <c r="J37" i="48" s="1"/>
  <c r="E37" i="48"/>
  <c r="E36" i="48" s="1"/>
  <c r="D78" i="48"/>
  <c r="D80" i="48"/>
  <c r="I80" i="48"/>
  <c r="H80" i="48"/>
  <c r="J80" i="48" s="1"/>
  <c r="H353" i="15"/>
  <c r="H354" i="15" s="1"/>
  <c r="D82" i="48"/>
  <c r="I79" i="48"/>
  <c r="H79" i="48"/>
  <c r="J79" i="48" s="1"/>
  <c r="D103" i="48"/>
  <c r="D102" i="48"/>
  <c r="D43" i="48" l="1"/>
  <c r="E43" i="48" s="1"/>
  <c r="I40" i="48"/>
  <c r="H40" i="48"/>
  <c r="J40" i="48" s="1"/>
  <c r="I39" i="48"/>
  <c r="H39" i="48"/>
  <c r="J39" i="48" s="1"/>
  <c r="I38" i="48"/>
  <c r="H38" i="48"/>
  <c r="J38" i="48" s="1"/>
  <c r="D40" i="48"/>
  <c r="E40" i="48" s="1"/>
  <c r="D39" i="48"/>
  <c r="E39" i="48" s="1"/>
  <c r="D38" i="48"/>
  <c r="E38" i="48" s="1"/>
  <c r="D35" i="48"/>
  <c r="D10" i="48"/>
  <c r="I115" i="48"/>
  <c r="H115" i="48"/>
  <c r="J115" i="48" s="1"/>
  <c r="E115" i="48"/>
  <c r="E114" i="48" s="1"/>
  <c r="D114" i="48"/>
  <c r="I113" i="48"/>
  <c r="H113" i="48"/>
  <c r="J113" i="48" s="1"/>
  <c r="E113" i="48"/>
  <c r="I112" i="48"/>
  <c r="H112" i="48"/>
  <c r="J112" i="48" s="1"/>
  <c r="E112" i="48"/>
  <c r="I111" i="48"/>
  <c r="H111" i="48"/>
  <c r="J111" i="48" s="1"/>
  <c r="E111" i="48"/>
  <c r="D110" i="48"/>
  <c r="I109" i="48"/>
  <c r="H109" i="48"/>
  <c r="J109" i="48" s="1"/>
  <c r="D109" i="48"/>
  <c r="D104" i="48" s="1"/>
  <c r="I108" i="48"/>
  <c r="H108" i="48"/>
  <c r="J108" i="48" s="1"/>
  <c r="E108" i="48"/>
  <c r="I107" i="48"/>
  <c r="H107" i="48"/>
  <c r="J107" i="48" s="1"/>
  <c r="E107" i="48"/>
  <c r="I106" i="48"/>
  <c r="H106" i="48"/>
  <c r="J106" i="48" s="1"/>
  <c r="E106" i="48"/>
  <c r="I105" i="48"/>
  <c r="H105" i="48"/>
  <c r="J105" i="48" s="1"/>
  <c r="E105" i="48"/>
  <c r="I103" i="48"/>
  <c r="H103" i="48"/>
  <c r="J103" i="48" s="1"/>
  <c r="E103" i="48"/>
  <c r="I102" i="48"/>
  <c r="H102" i="48"/>
  <c r="J102" i="48" s="1"/>
  <c r="E102" i="48"/>
  <c r="J101" i="48"/>
  <c r="D101" i="48"/>
  <c r="I100" i="48"/>
  <c r="H100" i="48"/>
  <c r="J100" i="48" s="1"/>
  <c r="E100" i="48"/>
  <c r="D99" i="48"/>
  <c r="I98" i="48"/>
  <c r="H98" i="48"/>
  <c r="J98" i="48" s="1"/>
  <c r="E98" i="48"/>
  <c r="I97" i="48"/>
  <c r="H97" i="48"/>
  <c r="J97" i="48" s="1"/>
  <c r="E97" i="48"/>
  <c r="I96" i="48"/>
  <c r="H96" i="48"/>
  <c r="J96" i="48" s="1"/>
  <c r="E96" i="48"/>
  <c r="I95" i="48"/>
  <c r="H95" i="48"/>
  <c r="J95" i="48" s="1"/>
  <c r="E95" i="48"/>
  <c r="I94" i="48"/>
  <c r="H94" i="48"/>
  <c r="J94" i="48" s="1"/>
  <c r="E94" i="48"/>
  <c r="I93" i="48"/>
  <c r="H93" i="48"/>
  <c r="J93" i="48" s="1"/>
  <c r="E93" i="48"/>
  <c r="I92" i="48"/>
  <c r="H92" i="48"/>
  <c r="J92" i="48" s="1"/>
  <c r="E92" i="48"/>
  <c r="I91" i="48"/>
  <c r="H91" i="48"/>
  <c r="J91" i="48" s="1"/>
  <c r="E91" i="48"/>
  <c r="I90" i="48"/>
  <c r="H90" i="48"/>
  <c r="J90" i="48" s="1"/>
  <c r="E90" i="48"/>
  <c r="I89" i="48"/>
  <c r="H89" i="48"/>
  <c r="J89" i="48" s="1"/>
  <c r="E89" i="48"/>
  <c r="I88" i="48"/>
  <c r="H88" i="48"/>
  <c r="J88" i="48" s="1"/>
  <c r="E88" i="48"/>
  <c r="D87" i="48"/>
  <c r="I86" i="48"/>
  <c r="H86" i="48"/>
  <c r="J86" i="48" s="1"/>
  <c r="E86" i="48"/>
  <c r="E85" i="48" s="1"/>
  <c r="D85" i="48"/>
  <c r="I84" i="48"/>
  <c r="H84" i="48"/>
  <c r="J84" i="48" s="1"/>
  <c r="E84" i="48"/>
  <c r="D83" i="48"/>
  <c r="I82" i="48"/>
  <c r="H82" i="48"/>
  <c r="J82" i="48" s="1"/>
  <c r="D81" i="48"/>
  <c r="E79" i="48"/>
  <c r="E78" i="48" s="1"/>
  <c r="I77" i="48"/>
  <c r="H77" i="48"/>
  <c r="J77" i="48" s="1"/>
  <c r="E77" i="48"/>
  <c r="I76" i="48"/>
  <c r="H76" i="48"/>
  <c r="J76" i="48" s="1"/>
  <c r="E76" i="48"/>
  <c r="I75" i="48"/>
  <c r="H75" i="48"/>
  <c r="J75" i="48" s="1"/>
  <c r="E75" i="48"/>
  <c r="I74" i="48"/>
  <c r="H74" i="48"/>
  <c r="J74" i="48" s="1"/>
  <c r="E74" i="48"/>
  <c r="I73" i="48"/>
  <c r="H73" i="48"/>
  <c r="J73" i="48" s="1"/>
  <c r="E73" i="48"/>
  <c r="I72" i="48"/>
  <c r="H72" i="48"/>
  <c r="J72" i="48" s="1"/>
  <c r="E72" i="48"/>
  <c r="I71" i="48"/>
  <c r="H71" i="48"/>
  <c r="J71" i="48" s="1"/>
  <c r="E71" i="48"/>
  <c r="I70" i="48"/>
  <c r="H70" i="48"/>
  <c r="J70" i="48" s="1"/>
  <c r="E70" i="48"/>
  <c r="I69" i="48"/>
  <c r="H69" i="48"/>
  <c r="J69" i="48" s="1"/>
  <c r="E69" i="48"/>
  <c r="I68" i="48"/>
  <c r="H68" i="48"/>
  <c r="J68" i="48" s="1"/>
  <c r="E68" i="48"/>
  <c r="I67" i="48"/>
  <c r="H67" i="48"/>
  <c r="J67" i="48" s="1"/>
  <c r="E67" i="48"/>
  <c r="I66" i="48"/>
  <c r="H66" i="48"/>
  <c r="J66" i="48" s="1"/>
  <c r="E66" i="48"/>
  <c r="I65" i="48"/>
  <c r="H65" i="48"/>
  <c r="J65" i="48" s="1"/>
  <c r="E65" i="48"/>
  <c r="I64" i="48"/>
  <c r="H64" i="48"/>
  <c r="J64" i="48" s="1"/>
  <c r="E64" i="48"/>
  <c r="I63" i="48"/>
  <c r="H63" i="48"/>
  <c r="J63" i="48" s="1"/>
  <c r="E63" i="48"/>
  <c r="I62" i="48"/>
  <c r="H62" i="48"/>
  <c r="J62" i="48" s="1"/>
  <c r="E62" i="48"/>
  <c r="I61" i="48"/>
  <c r="H61" i="48"/>
  <c r="J61" i="48" s="1"/>
  <c r="E61" i="48"/>
  <c r="I60" i="48"/>
  <c r="H60" i="48"/>
  <c r="J60" i="48" s="1"/>
  <c r="E60" i="48"/>
  <c r="D59" i="48"/>
  <c r="I58" i="48"/>
  <c r="H58" i="48"/>
  <c r="J58" i="48" s="1"/>
  <c r="E58" i="48"/>
  <c r="D58" i="48" s="1"/>
  <c r="E125" i="48" s="1"/>
  <c r="I57" i="48"/>
  <c r="H57" i="48"/>
  <c r="J57" i="48" s="1"/>
  <c r="E57" i="48"/>
  <c r="D57" i="48" s="1"/>
  <c r="I55" i="48"/>
  <c r="H55" i="48"/>
  <c r="J55" i="48" s="1"/>
  <c r="E54" i="48"/>
  <c r="D54" i="48"/>
  <c r="I53" i="48"/>
  <c r="H53" i="48"/>
  <c r="J53" i="48" s="1"/>
  <c r="D53" i="48"/>
  <c r="D52" i="48" s="1"/>
  <c r="E52" i="48"/>
  <c r="I51" i="48"/>
  <c r="H51" i="48"/>
  <c r="J51" i="48" s="1"/>
  <c r="E51" i="48"/>
  <c r="I50" i="48"/>
  <c r="H50" i="48"/>
  <c r="J50" i="48" s="1"/>
  <c r="E50" i="48"/>
  <c r="I49" i="48"/>
  <c r="H49" i="48"/>
  <c r="J49" i="48" s="1"/>
  <c r="E49" i="48"/>
  <c r="I48" i="48"/>
  <c r="H48" i="48"/>
  <c r="J48" i="48" s="1"/>
  <c r="D48" i="48"/>
  <c r="D47" i="48" s="1"/>
  <c r="I46" i="48"/>
  <c r="H46" i="48"/>
  <c r="J46" i="48" s="1"/>
  <c r="E46" i="48"/>
  <c r="I45" i="48"/>
  <c r="H45" i="48"/>
  <c r="J45" i="48" s="1"/>
  <c r="E45" i="48"/>
  <c r="I44" i="48"/>
  <c r="H44" i="48"/>
  <c r="J44" i="48" s="1"/>
  <c r="E44" i="48"/>
  <c r="I43" i="48"/>
  <c r="H43" i="48"/>
  <c r="J43" i="48" s="1"/>
  <c r="I42" i="48"/>
  <c r="H42" i="48"/>
  <c r="J42" i="48" s="1"/>
  <c r="D42" i="48"/>
  <c r="E122" i="48" s="1"/>
  <c r="J41" i="48"/>
  <c r="J36" i="48"/>
  <c r="I35" i="48"/>
  <c r="H35" i="48"/>
  <c r="J35" i="48" s="1"/>
  <c r="E35" i="48"/>
  <c r="D34" i="48"/>
  <c r="D28" i="48"/>
  <c r="E28" i="48" s="1"/>
  <c r="D27" i="48"/>
  <c r="E27" i="48" s="1"/>
  <c r="D26" i="48"/>
  <c r="E26" i="48" s="1"/>
  <c r="D25" i="48"/>
  <c r="E25" i="48" s="1"/>
  <c r="D24" i="48"/>
  <c r="E24" i="48" s="1"/>
  <c r="D23" i="48"/>
  <c r="E23" i="48" s="1"/>
  <c r="D22" i="48"/>
  <c r="E22" i="48" s="1"/>
  <c r="D21" i="48"/>
  <c r="E21" i="48" s="1"/>
  <c r="D20" i="48"/>
  <c r="E20" i="48" s="1"/>
  <c r="D19" i="48"/>
  <c r="E19" i="48" s="1"/>
  <c r="D18" i="48"/>
  <c r="E18" i="48" s="1"/>
  <c r="D17" i="48"/>
  <c r="E17" i="48" s="1"/>
  <c r="D16" i="48"/>
  <c r="E16" i="48" s="1"/>
  <c r="D15" i="48"/>
  <c r="E15" i="48" s="1"/>
  <c r="D14" i="48"/>
  <c r="E14" i="48" s="1"/>
  <c r="D13" i="48"/>
  <c r="E13" i="48" s="1"/>
  <c r="D14" i="47"/>
  <c r="E14" i="47"/>
  <c r="E135" i="47"/>
  <c r="F135" i="47"/>
  <c r="H1084" i="2"/>
  <c r="H1107" i="2" s="1"/>
  <c r="D84" i="47"/>
  <c r="I86" i="47"/>
  <c r="H86" i="47"/>
  <c r="J86" i="47" s="1"/>
  <c r="E86" i="47"/>
  <c r="D87" i="47"/>
  <c r="I92" i="47"/>
  <c r="H92" i="47"/>
  <c r="J92" i="47" s="1"/>
  <c r="E92" i="47"/>
  <c r="D31" i="47"/>
  <c r="E31" i="47" s="1"/>
  <c r="H1072" i="2"/>
  <c r="H1071" i="2"/>
  <c r="D40" i="47"/>
  <c r="I44" i="47"/>
  <c r="H44" i="47"/>
  <c r="J44" i="47" s="1"/>
  <c r="E44" i="47"/>
  <c r="D109" i="47"/>
  <c r="I111" i="47"/>
  <c r="H111" i="47"/>
  <c r="J111" i="47" s="1"/>
  <c r="E111" i="47"/>
  <c r="D1031" i="2"/>
  <c r="H1070" i="2"/>
  <c r="H1069" i="2"/>
  <c r="H1068" i="2"/>
  <c r="H1067" i="2"/>
  <c r="H1066" i="2"/>
  <c r="H1065" i="2"/>
  <c r="H1064" i="2"/>
  <c r="H1063" i="2"/>
  <c r="F124" i="48" l="1"/>
  <c r="F125" i="48"/>
  <c r="F123" i="48"/>
  <c r="E99" i="48"/>
  <c r="F122" i="48"/>
  <c r="E123" i="48"/>
  <c r="E124" i="48"/>
  <c r="E81" i="48"/>
  <c r="E110" i="48"/>
  <c r="E83" i="48"/>
  <c r="E87" i="48"/>
  <c r="E41" i="48"/>
  <c r="D56" i="48"/>
  <c r="E104" i="48"/>
  <c r="E10" i="48"/>
  <c r="E47" i="48"/>
  <c r="E101" i="48"/>
  <c r="E59" i="48"/>
  <c r="D12" i="48"/>
  <c r="E12" i="48"/>
  <c r="E34" i="48"/>
  <c r="D41" i="48"/>
  <c r="E56" i="48"/>
  <c r="I115" i="47"/>
  <c r="H115" i="47"/>
  <c r="J115" i="47" s="1"/>
  <c r="E115" i="47"/>
  <c r="I113" i="47"/>
  <c r="H113" i="47"/>
  <c r="J113" i="47" s="1"/>
  <c r="E113" i="47"/>
  <c r="H333" i="15"/>
  <c r="H332" i="15"/>
  <c r="H330" i="15"/>
  <c r="H329" i="15"/>
  <c r="H1061" i="2"/>
  <c r="H1060" i="2"/>
  <c r="H1059" i="2"/>
  <c r="H1058" i="2"/>
  <c r="H1057" i="2"/>
  <c r="H1056" i="2"/>
  <c r="H1048" i="2"/>
  <c r="H1055" i="2"/>
  <c r="H1054" i="2"/>
  <c r="H1053" i="2"/>
  <c r="H1052" i="2"/>
  <c r="H1051" i="2"/>
  <c r="H1050" i="2"/>
  <c r="H1049" i="2"/>
  <c r="H1047" i="2"/>
  <c r="H1046" i="2"/>
  <c r="H1045" i="2"/>
  <c r="H1044" i="2"/>
  <c r="H1043" i="2"/>
  <c r="H1042" i="2"/>
  <c r="H1041" i="2"/>
  <c r="D95" i="47"/>
  <c r="E106" i="47"/>
  <c r="I106" i="47"/>
  <c r="H106" i="47"/>
  <c r="J106" i="47" s="1"/>
  <c r="I103" i="47"/>
  <c r="H103" i="47"/>
  <c r="J103" i="47" s="1"/>
  <c r="E103" i="47"/>
  <c r="E96" i="47"/>
  <c r="E85" i="47"/>
  <c r="E84" i="47" s="1"/>
  <c r="E12" i="47"/>
  <c r="H1036" i="2"/>
  <c r="H1035" i="2"/>
  <c r="H1034" i="2"/>
  <c r="H1033" i="2"/>
  <c r="H1032" i="2"/>
  <c r="H1031" i="2"/>
  <c r="H1037" i="2"/>
  <c r="H1038" i="2"/>
  <c r="H1039" i="2"/>
  <c r="H1040" i="2"/>
  <c r="E132" i="48" l="1"/>
  <c r="E137" i="48"/>
  <c r="F137" i="48"/>
  <c r="F132" i="48"/>
  <c r="E138" i="48"/>
  <c r="E126" i="48"/>
  <c r="F126" i="48"/>
  <c r="F138" i="48" s="1"/>
  <c r="D116" i="48"/>
  <c r="E116" i="48"/>
  <c r="D63" i="47"/>
  <c r="I81" i="47"/>
  <c r="H81" i="47"/>
  <c r="J81" i="47" s="1"/>
  <c r="E81" i="47"/>
  <c r="D32" i="47"/>
  <c r="E32" i="47" s="1"/>
  <c r="E274" i="16"/>
  <c r="E273" i="16"/>
  <c r="E271" i="16"/>
  <c r="L270" i="16"/>
  <c r="M270" i="16" s="1"/>
  <c r="E270" i="16"/>
  <c r="J270" i="16" s="1"/>
  <c r="K270" i="16" s="1"/>
  <c r="D23" i="47"/>
  <c r="E23" i="47" s="1"/>
  <c r="L261" i="16"/>
  <c r="M261" i="16" s="1"/>
  <c r="H1030" i="2"/>
  <c r="L269" i="16"/>
  <c r="M269" i="16" s="1"/>
  <c r="E269" i="16"/>
  <c r="J269" i="16" s="1"/>
  <c r="K269" i="16" s="1"/>
  <c r="D30" i="47"/>
  <c r="D1020" i="2" s="1"/>
  <c r="D29" i="47"/>
  <c r="E29" i="47" s="1"/>
  <c r="D28" i="47"/>
  <c r="D1018" i="2" s="1"/>
  <c r="D27" i="47"/>
  <c r="D1017" i="2" s="1"/>
  <c r="D26" i="47"/>
  <c r="D1016" i="2" s="1"/>
  <c r="D25" i="47"/>
  <c r="D1015" i="2" s="1"/>
  <c r="D24" i="47"/>
  <c r="D1014" i="2" s="1"/>
  <c r="L268" i="16"/>
  <c r="M268" i="16" s="1"/>
  <c r="L267" i="16"/>
  <c r="L266" i="16"/>
  <c r="M266" i="16" s="1"/>
  <c r="L265" i="16"/>
  <c r="M265" i="16" s="1"/>
  <c r="L264" i="16"/>
  <c r="M264" i="16" s="1"/>
  <c r="L263" i="16"/>
  <c r="M263" i="16" s="1"/>
  <c r="L262" i="16"/>
  <c r="M262" i="16" s="1"/>
  <c r="G287" i="16"/>
  <c r="F288" i="16"/>
  <c r="G288" i="16" s="1"/>
  <c r="F287" i="16"/>
  <c r="F286" i="16"/>
  <c r="G286" i="16" s="1"/>
  <c r="F284" i="16"/>
  <c r="G284" i="16" s="1"/>
  <c r="F283" i="16"/>
  <c r="G283" i="16" s="1"/>
  <c r="E289" i="16"/>
  <c r="F282" i="16" s="1"/>
  <c r="E268" i="16"/>
  <c r="J268" i="16" s="1"/>
  <c r="H1027" i="2"/>
  <c r="H1028" i="2"/>
  <c r="H1029" i="2"/>
  <c r="D47" i="47"/>
  <c r="H1026" i="2" s="1"/>
  <c r="D22" i="47"/>
  <c r="D21" i="47"/>
  <c r="D20" i="47"/>
  <c r="D19" i="47"/>
  <c r="D18" i="47"/>
  <c r="D17" i="47"/>
  <c r="F139" i="48" l="1"/>
  <c r="F140" i="48" s="1"/>
  <c r="E139" i="48"/>
  <c r="E140" i="48" s="1"/>
  <c r="D1021" i="2"/>
  <c r="E26" i="47"/>
  <c r="E28" i="47"/>
  <c r="K268" i="16"/>
  <c r="E25" i="47"/>
  <c r="E27" i="47"/>
  <c r="F285" i="16"/>
  <c r="G285" i="16" s="1"/>
  <c r="G282" i="16"/>
  <c r="G289" i="16" s="1"/>
  <c r="F289" i="16"/>
  <c r="E30" i="47"/>
  <c r="E24" i="47"/>
  <c r="D1019" i="2"/>
  <c r="M267" i="16"/>
  <c r="L258" i="16"/>
  <c r="E20" i="47" s="1"/>
  <c r="D1011" i="2"/>
  <c r="D1012" i="2"/>
  <c r="D1009" i="2"/>
  <c r="D1010" i="2"/>
  <c r="D1008" i="2"/>
  <c r="D1007" i="2"/>
  <c r="D16" i="47" s="1"/>
  <c r="D1006" i="2"/>
  <c r="D15" i="47" s="1"/>
  <c r="L260" i="16"/>
  <c r="M260" i="16" s="1"/>
  <c r="L259" i="16"/>
  <c r="M259" i="16" s="1"/>
  <c r="L257" i="16"/>
  <c r="E19" i="47" s="1"/>
  <c r="L256" i="16"/>
  <c r="M256" i="16" s="1"/>
  <c r="F255" i="16"/>
  <c r="L255" i="16" s="1"/>
  <c r="E17" i="47" s="1"/>
  <c r="E267" i="16"/>
  <c r="J267" i="16" s="1"/>
  <c r="K267" i="16" s="1"/>
  <c r="E266" i="16"/>
  <c r="J266" i="16" s="1"/>
  <c r="K266" i="16" s="1"/>
  <c r="H1025" i="2"/>
  <c r="H1024" i="2"/>
  <c r="H1023" i="2"/>
  <c r="H1022" i="2"/>
  <c r="H1021" i="2"/>
  <c r="H1020" i="2"/>
  <c r="E265" i="16"/>
  <c r="J265" i="16" s="1"/>
  <c r="K265" i="16" s="1"/>
  <c r="E264" i="16"/>
  <c r="J264" i="16" s="1"/>
  <c r="K264" i="16" s="1"/>
  <c r="E263" i="16"/>
  <c r="J263" i="16" s="1"/>
  <c r="K263" i="16" s="1"/>
  <c r="E262" i="16"/>
  <c r="J262" i="16" s="1"/>
  <c r="K262" i="16" s="1"/>
  <c r="E261" i="16"/>
  <c r="J261" i="16" s="1"/>
  <c r="K261" i="16" s="1"/>
  <c r="E260" i="16"/>
  <c r="J260" i="16" s="1"/>
  <c r="E259" i="16"/>
  <c r="J259" i="16" s="1"/>
  <c r="K259" i="16" s="1"/>
  <c r="E258" i="16"/>
  <c r="J258" i="16" s="1"/>
  <c r="E257" i="16"/>
  <c r="J257" i="16" s="1"/>
  <c r="E256" i="16"/>
  <c r="J256" i="16" s="1"/>
  <c r="E252" i="16"/>
  <c r="H1019" i="2"/>
  <c r="L254" i="16"/>
  <c r="M254" i="16" s="1"/>
  <c r="E254" i="16"/>
  <c r="J254" i="16" s="1"/>
  <c r="L253" i="16"/>
  <c r="M253" i="16" s="1"/>
  <c r="E253" i="16"/>
  <c r="J253" i="16" s="1"/>
  <c r="F3" i="16"/>
  <c r="I3" i="16"/>
  <c r="F4" i="16"/>
  <c r="H4" i="16"/>
  <c r="I4" i="16"/>
  <c r="J4" i="16" s="1"/>
  <c r="F5" i="16"/>
  <c r="I5" i="16"/>
  <c r="J5" i="16" s="1"/>
  <c r="F6" i="16"/>
  <c r="H6" i="16"/>
  <c r="I6" i="16"/>
  <c r="F7" i="16"/>
  <c r="L7" i="16" s="1"/>
  <c r="J7" i="16"/>
  <c r="F8" i="16"/>
  <c r="L8" i="16" s="1"/>
  <c r="J8" i="16"/>
  <c r="F9" i="16"/>
  <c r="L9" i="16" s="1"/>
  <c r="M9" i="16" s="1"/>
  <c r="J9" i="16"/>
  <c r="F10" i="16"/>
  <c r="L10" i="16" s="1"/>
  <c r="M10" i="16" s="1"/>
  <c r="J10" i="16"/>
  <c r="F11" i="16"/>
  <c r="L11" i="16" s="1"/>
  <c r="M11" i="16" s="1"/>
  <c r="J11" i="16"/>
  <c r="F12" i="16"/>
  <c r="L12" i="16" s="1"/>
  <c r="J12" i="16"/>
  <c r="F13" i="16"/>
  <c r="L13" i="16" s="1"/>
  <c r="M13" i="16" s="1"/>
  <c r="J13" i="16"/>
  <c r="F14" i="16"/>
  <c r="L14" i="16" s="1"/>
  <c r="J14" i="16"/>
  <c r="F15" i="16"/>
  <c r="L15" i="16" s="1"/>
  <c r="J15" i="16"/>
  <c r="F16" i="16"/>
  <c r="L16" i="16" s="1"/>
  <c r="J16" i="16"/>
  <c r="F17" i="16"/>
  <c r="L17" i="16" s="1"/>
  <c r="M17" i="16" s="1"/>
  <c r="J17" i="16"/>
  <c r="F18" i="16"/>
  <c r="L18" i="16" s="1"/>
  <c r="J18" i="16"/>
  <c r="F19" i="16"/>
  <c r="L19" i="16" s="1"/>
  <c r="M19" i="16" s="1"/>
  <c r="J19" i="16"/>
  <c r="F20" i="16"/>
  <c r="L20" i="16" s="1"/>
  <c r="J20" i="16"/>
  <c r="F21" i="16"/>
  <c r="L21" i="16" s="1"/>
  <c r="M21" i="16" s="1"/>
  <c r="J21" i="16"/>
  <c r="F22" i="16"/>
  <c r="L22" i="16" s="1"/>
  <c r="J22" i="16"/>
  <c r="F23" i="16"/>
  <c r="L23" i="16" s="1"/>
  <c r="J23" i="16"/>
  <c r="F24" i="16"/>
  <c r="L24" i="16" s="1"/>
  <c r="J24" i="16"/>
  <c r="F25" i="16"/>
  <c r="L25" i="16" s="1"/>
  <c r="M25" i="16" s="1"/>
  <c r="J25" i="16"/>
  <c r="F26" i="16"/>
  <c r="L26" i="16" s="1"/>
  <c r="J26" i="16"/>
  <c r="F27" i="16"/>
  <c r="L27" i="16" s="1"/>
  <c r="M27" i="16" s="1"/>
  <c r="J27" i="16"/>
  <c r="F28" i="16"/>
  <c r="L28" i="16" s="1"/>
  <c r="M28" i="16" s="1"/>
  <c r="J28" i="16"/>
  <c r="F29" i="16"/>
  <c r="L29" i="16" s="1"/>
  <c r="M29" i="16" s="1"/>
  <c r="J29" i="16"/>
  <c r="F30" i="16"/>
  <c r="L30" i="16" s="1"/>
  <c r="J30" i="16"/>
  <c r="F31" i="16"/>
  <c r="L31" i="16" s="1"/>
  <c r="J31" i="16"/>
  <c r="F32" i="16"/>
  <c r="L32" i="16" s="1"/>
  <c r="J32" i="16"/>
  <c r="F33" i="16"/>
  <c r="L33" i="16" s="1"/>
  <c r="M33" i="16" s="1"/>
  <c r="J33" i="16"/>
  <c r="F34" i="16"/>
  <c r="L34" i="16" s="1"/>
  <c r="J34" i="16"/>
  <c r="F35" i="16"/>
  <c r="L35" i="16" s="1"/>
  <c r="M35" i="16" s="1"/>
  <c r="J35" i="16"/>
  <c r="F36" i="16"/>
  <c r="L36" i="16" s="1"/>
  <c r="M36" i="16" s="1"/>
  <c r="J36" i="16"/>
  <c r="F37" i="16"/>
  <c r="L37" i="16" s="1"/>
  <c r="J37" i="16"/>
  <c r="F38" i="16"/>
  <c r="L38" i="16" s="1"/>
  <c r="M38" i="16" s="1"/>
  <c r="J38" i="16"/>
  <c r="F39" i="16"/>
  <c r="L39" i="16" s="1"/>
  <c r="J39" i="16"/>
  <c r="F40" i="16"/>
  <c r="L40" i="16" s="1"/>
  <c r="M40" i="16" s="1"/>
  <c r="J40" i="16"/>
  <c r="F41" i="16"/>
  <c r="L41" i="16" s="1"/>
  <c r="J41" i="16"/>
  <c r="F42" i="16"/>
  <c r="L42" i="16" s="1"/>
  <c r="J42" i="16"/>
  <c r="F43" i="16"/>
  <c r="L43" i="16" s="1"/>
  <c r="J43" i="16"/>
  <c r="F44" i="16"/>
  <c r="L44" i="16" s="1"/>
  <c r="M44" i="16" s="1"/>
  <c r="J44" i="16"/>
  <c r="F45" i="16"/>
  <c r="L45" i="16" s="1"/>
  <c r="J45" i="16"/>
  <c r="F46" i="16"/>
  <c r="L46" i="16" s="1"/>
  <c r="M46" i="16" s="1"/>
  <c r="J46" i="16"/>
  <c r="F47" i="16"/>
  <c r="L47" i="16" s="1"/>
  <c r="J47" i="16"/>
  <c r="F48" i="16"/>
  <c r="L48" i="16" s="1"/>
  <c r="M48" i="16" s="1"/>
  <c r="J48" i="16"/>
  <c r="F49" i="16"/>
  <c r="L49" i="16" s="1"/>
  <c r="J49" i="16"/>
  <c r="F50" i="16"/>
  <c r="L50" i="16" s="1"/>
  <c r="J50" i="16"/>
  <c r="E51" i="16"/>
  <c r="L51" i="16"/>
  <c r="M51" i="16" s="1"/>
  <c r="E52" i="16"/>
  <c r="J52" i="16" s="1"/>
  <c r="L52" i="16"/>
  <c r="M52" i="16" s="1"/>
  <c r="E53" i="16"/>
  <c r="J53" i="16" s="1"/>
  <c r="L53" i="16"/>
  <c r="M53" i="16" s="1"/>
  <c r="E54" i="16"/>
  <c r="J54" i="16" s="1"/>
  <c r="L54" i="16"/>
  <c r="M54" i="16" s="1"/>
  <c r="E55" i="16"/>
  <c r="J55" i="16" s="1"/>
  <c r="L55" i="16"/>
  <c r="M55" i="16" s="1"/>
  <c r="E56" i="16"/>
  <c r="J56" i="16" s="1"/>
  <c r="L56" i="16"/>
  <c r="M56" i="16" s="1"/>
  <c r="E57" i="16"/>
  <c r="J57" i="16" s="1"/>
  <c r="L57" i="16"/>
  <c r="M57" i="16" s="1"/>
  <c r="E58" i="16"/>
  <c r="J58" i="16" s="1"/>
  <c r="L58" i="16"/>
  <c r="M58" i="16" s="1"/>
  <c r="E59" i="16"/>
  <c r="J59" i="16" s="1"/>
  <c r="L59" i="16"/>
  <c r="M59" i="16" s="1"/>
  <c r="E60" i="16"/>
  <c r="J60" i="16" s="1"/>
  <c r="L60" i="16"/>
  <c r="M60" i="16" s="1"/>
  <c r="E61" i="16"/>
  <c r="J61" i="16" s="1"/>
  <c r="L61" i="16"/>
  <c r="M61" i="16" s="1"/>
  <c r="E62" i="16"/>
  <c r="J62" i="16" s="1"/>
  <c r="L62" i="16"/>
  <c r="M62" i="16" s="1"/>
  <c r="E63" i="16"/>
  <c r="J63" i="16" s="1"/>
  <c r="L63" i="16"/>
  <c r="E64" i="16"/>
  <c r="J64" i="16" s="1"/>
  <c r="L64" i="16"/>
  <c r="M64" i="16" s="1"/>
  <c r="E65" i="16"/>
  <c r="J65" i="16" s="1"/>
  <c r="L65" i="16"/>
  <c r="M65" i="16" s="1"/>
  <c r="E66" i="16"/>
  <c r="J66" i="16" s="1"/>
  <c r="L66" i="16"/>
  <c r="M66" i="16" s="1"/>
  <c r="E67" i="16"/>
  <c r="J67" i="16" s="1"/>
  <c r="L67" i="16"/>
  <c r="M67" i="16" s="1"/>
  <c r="E68" i="16"/>
  <c r="I68" i="16"/>
  <c r="E69" i="16"/>
  <c r="I69" i="16"/>
  <c r="L69" i="16" s="1"/>
  <c r="M69" i="16" s="1"/>
  <c r="E70" i="16"/>
  <c r="I70" i="16"/>
  <c r="E71" i="16"/>
  <c r="I71" i="16"/>
  <c r="F72" i="16"/>
  <c r="L72" i="16" s="1"/>
  <c r="M72" i="16" s="1"/>
  <c r="J72" i="16"/>
  <c r="F73" i="16"/>
  <c r="L73" i="16" s="1"/>
  <c r="J73" i="16"/>
  <c r="F74" i="16"/>
  <c r="L74" i="16" s="1"/>
  <c r="M74" i="16" s="1"/>
  <c r="J74" i="16"/>
  <c r="F75" i="16"/>
  <c r="L75" i="16" s="1"/>
  <c r="J75" i="16"/>
  <c r="F76" i="16"/>
  <c r="L76" i="16" s="1"/>
  <c r="M76" i="16" s="1"/>
  <c r="J76" i="16"/>
  <c r="F77" i="16"/>
  <c r="L77" i="16" s="1"/>
  <c r="J77" i="16"/>
  <c r="F78" i="16"/>
  <c r="L78" i="16" s="1"/>
  <c r="J78" i="16"/>
  <c r="F79" i="16"/>
  <c r="L79" i="16" s="1"/>
  <c r="J79" i="16"/>
  <c r="F80" i="16"/>
  <c r="L80" i="16" s="1"/>
  <c r="M80" i="16" s="1"/>
  <c r="J80" i="16"/>
  <c r="F81" i="16"/>
  <c r="L81" i="16" s="1"/>
  <c r="J81" i="16"/>
  <c r="F82" i="16"/>
  <c r="L82" i="16" s="1"/>
  <c r="M82" i="16" s="1"/>
  <c r="J82" i="16"/>
  <c r="F83" i="16"/>
  <c r="L83" i="16" s="1"/>
  <c r="M83" i="16" s="1"/>
  <c r="J83" i="16"/>
  <c r="F84" i="16"/>
  <c r="L84" i="16" s="1"/>
  <c r="M84" i="16" s="1"/>
  <c r="J84" i="16"/>
  <c r="F85" i="16"/>
  <c r="L85" i="16" s="1"/>
  <c r="J85" i="16"/>
  <c r="F86" i="16"/>
  <c r="L86" i="16" s="1"/>
  <c r="J86" i="16"/>
  <c r="F87" i="16"/>
  <c r="L87" i="16" s="1"/>
  <c r="J87" i="16"/>
  <c r="F88" i="16"/>
  <c r="L88" i="16" s="1"/>
  <c r="M88" i="16" s="1"/>
  <c r="J88" i="16"/>
  <c r="F89" i="16"/>
  <c r="L89" i="16" s="1"/>
  <c r="J89" i="16"/>
  <c r="F90" i="16"/>
  <c r="L90" i="16" s="1"/>
  <c r="M90" i="16" s="1"/>
  <c r="J90" i="16"/>
  <c r="F91" i="16"/>
  <c r="L91" i="16" s="1"/>
  <c r="J91" i="16"/>
  <c r="F92" i="16"/>
  <c r="L92" i="16" s="1"/>
  <c r="M92" i="16" s="1"/>
  <c r="J92" i="16"/>
  <c r="F93" i="16"/>
  <c r="L93" i="16" s="1"/>
  <c r="J93" i="16"/>
  <c r="F94" i="16"/>
  <c r="L94" i="16" s="1"/>
  <c r="J94" i="16"/>
  <c r="F95" i="16"/>
  <c r="L95" i="16" s="1"/>
  <c r="J95" i="16"/>
  <c r="F96" i="16"/>
  <c r="L96" i="16" s="1"/>
  <c r="M96" i="16" s="1"/>
  <c r="J96" i="16"/>
  <c r="F97" i="16"/>
  <c r="L97" i="16" s="1"/>
  <c r="J97" i="16"/>
  <c r="F98" i="16"/>
  <c r="L98" i="16" s="1"/>
  <c r="M98" i="16" s="1"/>
  <c r="J98" i="16"/>
  <c r="F99" i="16"/>
  <c r="L99" i="16" s="1"/>
  <c r="J99" i="16"/>
  <c r="F100" i="16"/>
  <c r="L100" i="16" s="1"/>
  <c r="M100" i="16" s="1"/>
  <c r="J100" i="16"/>
  <c r="F101" i="16"/>
  <c r="L101" i="16" s="1"/>
  <c r="J101" i="16"/>
  <c r="F102" i="16"/>
  <c r="L102" i="16" s="1"/>
  <c r="J102" i="16"/>
  <c r="F103" i="16"/>
  <c r="L103" i="16" s="1"/>
  <c r="J103" i="16"/>
  <c r="F104" i="16"/>
  <c r="L104" i="16" s="1"/>
  <c r="M104" i="16" s="1"/>
  <c r="J104" i="16"/>
  <c r="F105" i="16"/>
  <c r="L105" i="16" s="1"/>
  <c r="J105" i="16"/>
  <c r="F106" i="16"/>
  <c r="L106" i="16" s="1"/>
  <c r="M106" i="16" s="1"/>
  <c r="J106" i="16"/>
  <c r="F107" i="16"/>
  <c r="L107" i="16" s="1"/>
  <c r="M107" i="16" s="1"/>
  <c r="J107" i="16"/>
  <c r="F108" i="16"/>
  <c r="L108" i="16" s="1"/>
  <c r="M108" i="16" s="1"/>
  <c r="J108" i="16"/>
  <c r="F109" i="16"/>
  <c r="L109" i="16" s="1"/>
  <c r="J109" i="16"/>
  <c r="F110" i="16"/>
  <c r="L110" i="16" s="1"/>
  <c r="J110" i="16"/>
  <c r="F111" i="16"/>
  <c r="L111" i="16" s="1"/>
  <c r="J111" i="16"/>
  <c r="F112" i="16"/>
  <c r="L112" i="16" s="1"/>
  <c r="M112" i="16" s="1"/>
  <c r="J112" i="16"/>
  <c r="F113" i="16"/>
  <c r="L113" i="16" s="1"/>
  <c r="J113" i="16"/>
  <c r="F114" i="16"/>
  <c r="L114" i="16" s="1"/>
  <c r="M114" i="16" s="1"/>
  <c r="J114" i="16"/>
  <c r="F115" i="16"/>
  <c r="L115" i="16" s="1"/>
  <c r="M115" i="16" s="1"/>
  <c r="J115" i="16"/>
  <c r="F116" i="16"/>
  <c r="L116" i="16" s="1"/>
  <c r="M116" i="16" s="1"/>
  <c r="J116" i="16"/>
  <c r="F117" i="16"/>
  <c r="L117" i="16" s="1"/>
  <c r="J117" i="16"/>
  <c r="F118" i="16"/>
  <c r="L118" i="16" s="1"/>
  <c r="J118" i="16"/>
  <c r="F119" i="16"/>
  <c r="L119" i="16" s="1"/>
  <c r="J119" i="16"/>
  <c r="F120" i="16"/>
  <c r="L120" i="16" s="1"/>
  <c r="M120" i="16" s="1"/>
  <c r="J120" i="16"/>
  <c r="F121" i="16"/>
  <c r="L121" i="16" s="1"/>
  <c r="M121" i="16" s="1"/>
  <c r="J121" i="16"/>
  <c r="F122" i="16"/>
  <c r="L122" i="16" s="1"/>
  <c r="M122" i="16" s="1"/>
  <c r="J122" i="16"/>
  <c r="F123" i="16"/>
  <c r="L123" i="16" s="1"/>
  <c r="M123" i="16" s="1"/>
  <c r="J123" i="16"/>
  <c r="F124" i="16"/>
  <c r="L124" i="16" s="1"/>
  <c r="M124" i="16" s="1"/>
  <c r="J124" i="16"/>
  <c r="F125" i="16"/>
  <c r="L125" i="16" s="1"/>
  <c r="J125" i="16"/>
  <c r="F126" i="16"/>
  <c r="L126" i="16" s="1"/>
  <c r="J126" i="16"/>
  <c r="F127" i="16"/>
  <c r="L127" i="16" s="1"/>
  <c r="J127" i="16"/>
  <c r="F128" i="16"/>
  <c r="L128" i="16" s="1"/>
  <c r="M128" i="16" s="1"/>
  <c r="J128" i="16"/>
  <c r="F129" i="16"/>
  <c r="L129" i="16" s="1"/>
  <c r="J129" i="16"/>
  <c r="F130" i="16"/>
  <c r="L130" i="16" s="1"/>
  <c r="J130" i="16"/>
  <c r="F131" i="16"/>
  <c r="L131" i="16" s="1"/>
  <c r="M131" i="16" s="1"/>
  <c r="J131" i="16"/>
  <c r="F132" i="16"/>
  <c r="L132" i="16" s="1"/>
  <c r="M132" i="16" s="1"/>
  <c r="J132" i="16"/>
  <c r="F133" i="16"/>
  <c r="L133" i="16" s="1"/>
  <c r="M133" i="16" s="1"/>
  <c r="J133" i="16"/>
  <c r="F134" i="16"/>
  <c r="L134" i="16" s="1"/>
  <c r="J134" i="16"/>
  <c r="F135" i="16"/>
  <c r="L135" i="16" s="1"/>
  <c r="J135" i="16"/>
  <c r="F136" i="16"/>
  <c r="L136" i="16" s="1"/>
  <c r="M136" i="16" s="1"/>
  <c r="J136" i="16"/>
  <c r="E137" i="16"/>
  <c r="J137" i="16" s="1"/>
  <c r="L137" i="16"/>
  <c r="M137" i="16" s="1"/>
  <c r="F138" i="16"/>
  <c r="L138" i="16" s="1"/>
  <c r="F139" i="16"/>
  <c r="L139" i="16" s="1"/>
  <c r="M139" i="16" s="1"/>
  <c r="J139" i="16"/>
  <c r="F140" i="16"/>
  <c r="L140" i="16" s="1"/>
  <c r="J140" i="16"/>
  <c r="F141" i="16"/>
  <c r="L141" i="16" s="1"/>
  <c r="J141" i="16"/>
  <c r="F142" i="16"/>
  <c r="L142" i="16" s="1"/>
  <c r="M142" i="16" s="1"/>
  <c r="J142" i="16"/>
  <c r="F143" i="16"/>
  <c r="L143" i="16" s="1"/>
  <c r="M143" i="16" s="1"/>
  <c r="J143" i="16"/>
  <c r="F144" i="16"/>
  <c r="L144" i="16" s="1"/>
  <c r="M144" i="16" s="1"/>
  <c r="J144" i="16"/>
  <c r="F145" i="16"/>
  <c r="L145" i="16" s="1"/>
  <c r="J145" i="16"/>
  <c r="F146" i="16"/>
  <c r="L146" i="16" s="1"/>
  <c r="M146" i="16" s="1"/>
  <c r="J146" i="16"/>
  <c r="F147" i="16"/>
  <c r="L147" i="16" s="1"/>
  <c r="M147" i="16" s="1"/>
  <c r="J147" i="16"/>
  <c r="F148" i="16"/>
  <c r="L148" i="16" s="1"/>
  <c r="J148" i="16"/>
  <c r="F149" i="16"/>
  <c r="L149" i="16" s="1"/>
  <c r="J149" i="16"/>
  <c r="F150" i="16"/>
  <c r="L150" i="16" s="1"/>
  <c r="M150" i="16" s="1"/>
  <c r="J150" i="16"/>
  <c r="F151" i="16"/>
  <c r="L151" i="16" s="1"/>
  <c r="M151" i="16" s="1"/>
  <c r="J151" i="16"/>
  <c r="F152" i="16"/>
  <c r="L152" i="16" s="1"/>
  <c r="M152" i="16" s="1"/>
  <c r="J152" i="16"/>
  <c r="E153" i="16"/>
  <c r="J153" i="16" s="1"/>
  <c r="L153" i="16"/>
  <c r="M153" i="16" s="1"/>
  <c r="F154" i="16"/>
  <c r="L154" i="16" s="1"/>
  <c r="M154" i="16" s="1"/>
  <c r="J154" i="16"/>
  <c r="F155" i="16"/>
  <c r="L155" i="16" s="1"/>
  <c r="M155" i="16" s="1"/>
  <c r="J155" i="16"/>
  <c r="F156" i="16"/>
  <c r="L156" i="16" s="1"/>
  <c r="J156" i="16"/>
  <c r="F157" i="16"/>
  <c r="L157" i="16" s="1"/>
  <c r="J157" i="16"/>
  <c r="F158" i="16"/>
  <c r="L158" i="16" s="1"/>
  <c r="M158" i="16" s="1"/>
  <c r="J158" i="16"/>
  <c r="F159" i="16"/>
  <c r="L159" i="16" s="1"/>
  <c r="M159" i="16" s="1"/>
  <c r="J159" i="16"/>
  <c r="F160" i="16"/>
  <c r="L160" i="16" s="1"/>
  <c r="M160" i="16" s="1"/>
  <c r="J160" i="16"/>
  <c r="F161" i="16"/>
  <c r="L161" i="16" s="1"/>
  <c r="M161" i="16" s="1"/>
  <c r="J161" i="16"/>
  <c r="F162" i="16"/>
  <c r="I162" i="16"/>
  <c r="F163" i="16"/>
  <c r="L163" i="16" s="1"/>
  <c r="M163" i="16" s="1"/>
  <c r="J163" i="16"/>
  <c r="F164" i="16"/>
  <c r="L164" i="16" s="1"/>
  <c r="M164" i="16" s="1"/>
  <c r="J164" i="16"/>
  <c r="F165" i="16"/>
  <c r="L165" i="16" s="1"/>
  <c r="M165" i="16" s="1"/>
  <c r="J165" i="16"/>
  <c r="F166" i="16"/>
  <c r="L166" i="16" s="1"/>
  <c r="M166" i="16" s="1"/>
  <c r="J166" i="16"/>
  <c r="E167" i="16"/>
  <c r="J167" i="16" s="1"/>
  <c r="L167" i="16"/>
  <c r="M167" i="16" s="1"/>
  <c r="E168" i="16"/>
  <c r="J168" i="16" s="1"/>
  <c r="L168" i="16"/>
  <c r="M168" i="16" s="1"/>
  <c r="E169" i="16"/>
  <c r="J169" i="16" s="1"/>
  <c r="L169" i="16"/>
  <c r="M169" i="16" s="1"/>
  <c r="E170" i="16"/>
  <c r="J170" i="16" s="1"/>
  <c r="L170" i="16"/>
  <c r="M170" i="16" s="1"/>
  <c r="F171" i="16"/>
  <c r="L171" i="16" s="1"/>
  <c r="M171" i="16" s="1"/>
  <c r="J171" i="16"/>
  <c r="F172" i="16"/>
  <c r="L172" i="16" s="1"/>
  <c r="M172" i="16" s="1"/>
  <c r="J172" i="16"/>
  <c r="F173" i="16"/>
  <c r="L173" i="16" s="1"/>
  <c r="M173" i="16" s="1"/>
  <c r="J173" i="16"/>
  <c r="F174" i="16"/>
  <c r="L174" i="16" s="1"/>
  <c r="M174" i="16" s="1"/>
  <c r="J174" i="16"/>
  <c r="F175" i="16"/>
  <c r="L175" i="16" s="1"/>
  <c r="J175" i="16"/>
  <c r="F176" i="16"/>
  <c r="L176" i="16" s="1"/>
  <c r="J176" i="16"/>
  <c r="F177" i="16"/>
  <c r="L177" i="16" s="1"/>
  <c r="M177" i="16" s="1"/>
  <c r="J177" i="16"/>
  <c r="F178" i="16"/>
  <c r="L178" i="16" s="1"/>
  <c r="M178" i="16" s="1"/>
  <c r="J178" i="16"/>
  <c r="F179" i="16"/>
  <c r="L179" i="16" s="1"/>
  <c r="M179" i="16" s="1"/>
  <c r="J179" i="16"/>
  <c r="F180" i="16"/>
  <c r="L180" i="16" s="1"/>
  <c r="J180" i="16"/>
  <c r="F181" i="16"/>
  <c r="L181" i="16" s="1"/>
  <c r="M181" i="16" s="1"/>
  <c r="J181" i="16"/>
  <c r="F182" i="16"/>
  <c r="L182" i="16" s="1"/>
  <c r="M182" i="16" s="1"/>
  <c r="J182" i="16"/>
  <c r="F183" i="16"/>
  <c r="L183" i="16" s="1"/>
  <c r="J183" i="16"/>
  <c r="E184" i="16"/>
  <c r="I184" i="16"/>
  <c r="E185" i="16"/>
  <c r="J185" i="16" s="1"/>
  <c r="L185" i="16"/>
  <c r="M185" i="16" s="1"/>
  <c r="E186" i="16"/>
  <c r="J186" i="16" s="1"/>
  <c r="L186" i="16"/>
  <c r="M186" i="16" s="1"/>
  <c r="E187" i="16"/>
  <c r="J187" i="16" s="1"/>
  <c r="L187" i="16"/>
  <c r="M187" i="16" s="1"/>
  <c r="E188" i="16"/>
  <c r="J188" i="16" s="1"/>
  <c r="L188" i="16"/>
  <c r="M188" i="16" s="1"/>
  <c r="E189" i="16"/>
  <c r="J189" i="16" s="1"/>
  <c r="L189" i="16"/>
  <c r="M189" i="16" s="1"/>
  <c r="E190" i="16"/>
  <c r="J190" i="16" s="1"/>
  <c r="L190" i="16"/>
  <c r="M190" i="16" s="1"/>
  <c r="E191" i="16"/>
  <c r="J191" i="16" s="1"/>
  <c r="L191" i="16"/>
  <c r="M191" i="16" s="1"/>
  <c r="E192" i="16"/>
  <c r="J192" i="16" s="1"/>
  <c r="L192" i="16"/>
  <c r="M192" i="16" s="1"/>
  <c r="E193" i="16"/>
  <c r="J193" i="16" s="1"/>
  <c r="L193" i="16"/>
  <c r="M193" i="16" s="1"/>
  <c r="J194" i="16"/>
  <c r="L194" i="16"/>
  <c r="M194" i="16" s="1"/>
  <c r="E195" i="16"/>
  <c r="J195" i="16" s="1"/>
  <c r="L195" i="16"/>
  <c r="M195" i="16" s="1"/>
  <c r="E196" i="16"/>
  <c r="J196" i="16" s="1"/>
  <c r="L196" i="16"/>
  <c r="E197" i="16"/>
  <c r="J197" i="16" s="1"/>
  <c r="L197" i="16"/>
  <c r="E198" i="16"/>
  <c r="J198" i="16" s="1"/>
  <c r="L198" i="16"/>
  <c r="M198" i="16" s="1"/>
  <c r="E199" i="16"/>
  <c r="J199" i="16" s="1"/>
  <c r="L199" i="16"/>
  <c r="M199" i="16" s="1"/>
  <c r="F200" i="16"/>
  <c r="L200" i="16" s="1"/>
  <c r="J200" i="16"/>
  <c r="E201" i="16"/>
  <c r="J201" i="16" s="1"/>
  <c r="L201" i="16"/>
  <c r="M201" i="16" s="1"/>
  <c r="E202" i="16"/>
  <c r="J202" i="16" s="1"/>
  <c r="L202" i="16"/>
  <c r="M202" i="16" s="1"/>
  <c r="E203" i="16"/>
  <c r="J203" i="16" s="1"/>
  <c r="L203" i="16"/>
  <c r="M203" i="16" s="1"/>
  <c r="E204" i="16"/>
  <c r="J204" i="16" s="1"/>
  <c r="L204" i="16"/>
  <c r="M204" i="16" s="1"/>
  <c r="E205" i="16"/>
  <c r="J205" i="16" s="1"/>
  <c r="L205" i="16"/>
  <c r="M205" i="16" s="1"/>
  <c r="E206" i="16"/>
  <c r="J206" i="16" s="1"/>
  <c r="L206" i="16"/>
  <c r="M206" i="16" s="1"/>
  <c r="E207" i="16"/>
  <c r="J207" i="16" s="1"/>
  <c r="L207" i="16"/>
  <c r="M207" i="16" s="1"/>
  <c r="E208" i="16"/>
  <c r="J208" i="16" s="1"/>
  <c r="L208" i="16"/>
  <c r="M208" i="16" s="1"/>
  <c r="E209" i="16"/>
  <c r="J209" i="16" s="1"/>
  <c r="L209" i="16"/>
  <c r="E210" i="16"/>
  <c r="J210" i="16" s="1"/>
  <c r="L210" i="16"/>
  <c r="M210" i="16" s="1"/>
  <c r="E211" i="16"/>
  <c r="J211" i="16" s="1"/>
  <c r="L211" i="16"/>
  <c r="M211" i="16" s="1"/>
  <c r="E212" i="16"/>
  <c r="J212" i="16" s="1"/>
  <c r="L212" i="16"/>
  <c r="M212" i="16" s="1"/>
  <c r="E213" i="16"/>
  <c r="J213" i="16" s="1"/>
  <c r="L213" i="16"/>
  <c r="M213" i="16" s="1"/>
  <c r="F214" i="16"/>
  <c r="L214" i="16" s="1"/>
  <c r="M214" i="16" s="1"/>
  <c r="E215" i="16"/>
  <c r="J215" i="16" s="1"/>
  <c r="L215" i="16"/>
  <c r="M215" i="16" s="1"/>
  <c r="E216" i="16"/>
  <c r="J216" i="16" s="1"/>
  <c r="L216" i="16"/>
  <c r="M216" i="16" s="1"/>
  <c r="E217" i="16"/>
  <c r="J217" i="16" s="1"/>
  <c r="L217" i="16"/>
  <c r="E218" i="16"/>
  <c r="J218" i="16" s="1"/>
  <c r="L218" i="16"/>
  <c r="E219" i="16"/>
  <c r="J219" i="16" s="1"/>
  <c r="L219" i="16"/>
  <c r="M219" i="16" s="1"/>
  <c r="E220" i="16"/>
  <c r="J220" i="16" s="1"/>
  <c r="L220" i="16"/>
  <c r="M220" i="16" s="1"/>
  <c r="E221" i="16"/>
  <c r="J221" i="16" s="1"/>
  <c r="L221" i="16"/>
  <c r="M221" i="16" s="1"/>
  <c r="E222" i="16"/>
  <c r="J222" i="16" s="1"/>
  <c r="L222" i="16"/>
  <c r="M222" i="16" s="1"/>
  <c r="F223" i="16"/>
  <c r="E223" i="16" s="1"/>
  <c r="J223" i="16" s="1"/>
  <c r="E224" i="16"/>
  <c r="J224" i="16" s="1"/>
  <c r="L224" i="16"/>
  <c r="M224" i="16" s="1"/>
  <c r="E225" i="16"/>
  <c r="J225" i="16" s="1"/>
  <c r="L225" i="16"/>
  <c r="M225" i="16" s="1"/>
  <c r="E226" i="16"/>
  <c r="J226" i="16" s="1"/>
  <c r="L226" i="16"/>
  <c r="M226" i="16" s="1"/>
  <c r="E227" i="16"/>
  <c r="J227" i="16" s="1"/>
  <c r="L227" i="16"/>
  <c r="M227" i="16" s="1"/>
  <c r="E228" i="16"/>
  <c r="J228" i="16" s="1"/>
  <c r="L228" i="16"/>
  <c r="M228" i="16" s="1"/>
  <c r="E229" i="16"/>
  <c r="J229" i="16" s="1"/>
  <c r="L229" i="16"/>
  <c r="M229" i="16" s="1"/>
  <c r="E230" i="16"/>
  <c r="J230" i="16" s="1"/>
  <c r="L230" i="16"/>
  <c r="M230" i="16" s="1"/>
  <c r="E231" i="16"/>
  <c r="J231" i="16" s="1"/>
  <c r="L231" i="16"/>
  <c r="M231" i="16" s="1"/>
  <c r="E232" i="16"/>
  <c r="J232" i="16" s="1"/>
  <c r="L232" i="16"/>
  <c r="M232" i="16" s="1"/>
  <c r="J233" i="16"/>
  <c r="L233" i="16"/>
  <c r="M233" i="16" s="1"/>
  <c r="E234" i="16"/>
  <c r="J234" i="16" s="1"/>
  <c r="L234" i="16"/>
  <c r="M234" i="16" s="1"/>
  <c r="E235" i="16"/>
  <c r="J235" i="16" s="1"/>
  <c r="L235" i="16"/>
  <c r="M235" i="16" s="1"/>
  <c r="E236" i="16"/>
  <c r="J236" i="16" s="1"/>
  <c r="L236" i="16"/>
  <c r="M236" i="16" s="1"/>
  <c r="E237" i="16"/>
  <c r="J237" i="16" s="1"/>
  <c r="L237" i="16"/>
  <c r="M237" i="16" s="1"/>
  <c r="E238" i="16"/>
  <c r="J238" i="16" s="1"/>
  <c r="L238" i="16"/>
  <c r="M238" i="16" s="1"/>
  <c r="E239" i="16"/>
  <c r="J239" i="16" s="1"/>
  <c r="L239" i="16"/>
  <c r="M239" i="16" s="1"/>
  <c r="E240" i="16"/>
  <c r="J240" i="16" s="1"/>
  <c r="L240" i="16"/>
  <c r="M240" i="16" s="1"/>
  <c r="E241" i="16"/>
  <c r="J241" i="16" s="1"/>
  <c r="L241" i="16"/>
  <c r="E242" i="16"/>
  <c r="J242" i="16" s="1"/>
  <c r="L242" i="16"/>
  <c r="M242" i="16" s="1"/>
  <c r="E243" i="16"/>
  <c r="J243" i="16" s="1"/>
  <c r="L243" i="16"/>
  <c r="M243" i="16" s="1"/>
  <c r="E244" i="16"/>
  <c r="J244" i="16" s="1"/>
  <c r="L244" i="16"/>
  <c r="M244" i="16" s="1"/>
  <c r="E245" i="16"/>
  <c r="J245" i="16" s="1"/>
  <c r="L245" i="16"/>
  <c r="M245" i="16" s="1"/>
  <c r="E246" i="16"/>
  <c r="J246" i="16" s="1"/>
  <c r="L246" i="16"/>
  <c r="M246" i="16" s="1"/>
  <c r="E247" i="16"/>
  <c r="J247" i="16" s="1"/>
  <c r="L247" i="16"/>
  <c r="M247" i="16" s="1"/>
  <c r="E248" i="16"/>
  <c r="J248" i="16" s="1"/>
  <c r="L248" i="16"/>
  <c r="M248" i="16" s="1"/>
  <c r="E249" i="16"/>
  <c r="J249" i="16" s="1"/>
  <c r="L249" i="16"/>
  <c r="M249" i="16" s="1"/>
  <c r="E250" i="16"/>
  <c r="J250" i="16" s="1"/>
  <c r="L250" i="16"/>
  <c r="M250" i="16" s="1"/>
  <c r="E251" i="16"/>
  <c r="J251" i="16" s="1"/>
  <c r="L251" i="16"/>
  <c r="M251" i="16" s="1"/>
  <c r="I271" i="16" l="1"/>
  <c r="K258" i="16"/>
  <c r="K260" i="16"/>
  <c r="F271" i="16"/>
  <c r="E16" i="47"/>
  <c r="J3" i="16"/>
  <c r="J51" i="16"/>
  <c r="K51" i="16" s="1"/>
  <c r="K256" i="16"/>
  <c r="K257" i="16"/>
  <c r="M258" i="16"/>
  <c r="E15" i="47"/>
  <c r="M255" i="16"/>
  <c r="M257" i="16"/>
  <c r="E22" i="47"/>
  <c r="E18" i="47"/>
  <c r="E21" i="47"/>
  <c r="E255" i="16"/>
  <c r="K177" i="16"/>
  <c r="K173" i="16"/>
  <c r="L162" i="16"/>
  <c r="M162" i="16" s="1"/>
  <c r="K158" i="16"/>
  <c r="K154" i="16"/>
  <c r="K45" i="16"/>
  <c r="K193" i="16"/>
  <c r="K57" i="16"/>
  <c r="K238" i="16"/>
  <c r="K143" i="16"/>
  <c r="K139" i="16"/>
  <c r="K55" i="16"/>
  <c r="K160" i="16"/>
  <c r="K54" i="16"/>
  <c r="K47" i="16"/>
  <c r="K231" i="16"/>
  <c r="J71" i="16"/>
  <c r="J70" i="16"/>
  <c r="K60" i="16"/>
  <c r="K131" i="16"/>
  <c r="K115" i="16"/>
  <c r="J69" i="16"/>
  <c r="K69" i="16" s="1"/>
  <c r="K56" i="16"/>
  <c r="K206" i="16"/>
  <c r="L5" i="16"/>
  <c r="M5" i="16" s="1"/>
  <c r="K189" i="16"/>
  <c r="K243" i="16"/>
  <c r="K202" i="16"/>
  <c r="K181" i="16"/>
  <c r="K10" i="16"/>
  <c r="K212" i="16"/>
  <c r="K185" i="16"/>
  <c r="K247" i="16"/>
  <c r="K230" i="16"/>
  <c r="K222" i="16"/>
  <c r="K192" i="16"/>
  <c r="K226" i="16"/>
  <c r="K218" i="16"/>
  <c r="K221" i="16"/>
  <c r="K249" i="16"/>
  <c r="K229" i="16"/>
  <c r="K204" i="16"/>
  <c r="K146" i="16"/>
  <c r="K107" i="16"/>
  <c r="K213" i="16"/>
  <c r="K142" i="16"/>
  <c r="K37" i="16"/>
  <c r="M37" i="16"/>
  <c r="K91" i="16"/>
  <c r="M91" i="16"/>
  <c r="K89" i="16"/>
  <c r="M89" i="16"/>
  <c r="K12" i="16"/>
  <c r="M12" i="16"/>
  <c r="K245" i="16"/>
  <c r="K203" i="16"/>
  <c r="K190" i="16"/>
  <c r="K128" i="16"/>
  <c r="K120" i="16"/>
  <c r="K205" i="16"/>
  <c r="K163" i="16"/>
  <c r="K28" i="16"/>
  <c r="K182" i="16"/>
  <c r="K179" i="16"/>
  <c r="K104" i="16"/>
  <c r="J162" i="16"/>
  <c r="K159" i="16"/>
  <c r="K151" i="16"/>
  <c r="K9" i="16"/>
  <c r="L4" i="16"/>
  <c r="M4" i="16" s="1"/>
  <c r="K246" i="16"/>
  <c r="K237" i="16"/>
  <c r="K234" i="16"/>
  <c r="K228" i="16"/>
  <c r="K201" i="16"/>
  <c r="K188" i="16"/>
  <c r="K171" i="16"/>
  <c r="K141" i="16"/>
  <c r="K137" i="16"/>
  <c r="K88" i="16"/>
  <c r="L3" i="16"/>
  <c r="M3" i="16" s="1"/>
  <c r="K174" i="16"/>
  <c r="K136" i="16"/>
  <c r="L70" i="16"/>
  <c r="M70" i="16" s="1"/>
  <c r="K33" i="16"/>
  <c r="M241" i="16"/>
  <c r="K241" i="16"/>
  <c r="K197" i="16"/>
  <c r="M197" i="16"/>
  <c r="K140" i="16"/>
  <c r="M140" i="16"/>
  <c r="K129" i="16"/>
  <c r="M129" i="16"/>
  <c r="K113" i="16"/>
  <c r="M113" i="16"/>
  <c r="K73" i="16"/>
  <c r="M73" i="16"/>
  <c r="K26" i="16"/>
  <c r="M26" i="16"/>
  <c r="M180" i="16"/>
  <c r="K180" i="16"/>
  <c r="M63" i="16"/>
  <c r="K63" i="16"/>
  <c r="K39" i="16"/>
  <c r="M39" i="16"/>
  <c r="K183" i="16"/>
  <c r="M183" i="16"/>
  <c r="K105" i="16"/>
  <c r="M105" i="16"/>
  <c r="M75" i="16"/>
  <c r="K75" i="16"/>
  <c r="K18" i="16"/>
  <c r="M18" i="16"/>
  <c r="M209" i="16"/>
  <c r="K209" i="16"/>
  <c r="K165" i="16"/>
  <c r="M196" i="16"/>
  <c r="K196" i="16"/>
  <c r="K156" i="16"/>
  <c r="M156" i="16"/>
  <c r="M145" i="16"/>
  <c r="K145" i="16"/>
  <c r="K97" i="16"/>
  <c r="M97" i="16"/>
  <c r="M20" i="16"/>
  <c r="K20" i="16"/>
  <c r="K248" i="16"/>
  <c r="K175" i="16"/>
  <c r="M175" i="16"/>
  <c r="K130" i="16"/>
  <c r="M99" i="16"/>
  <c r="K99" i="16"/>
  <c r="K81" i="16"/>
  <c r="M81" i="16"/>
  <c r="K34" i="16"/>
  <c r="M34" i="16"/>
  <c r="K148" i="16"/>
  <c r="M148" i="16"/>
  <c r="L184" i="16"/>
  <c r="M184" i="16" s="1"/>
  <c r="J184" i="16"/>
  <c r="K121" i="16"/>
  <c r="K194" i="16"/>
  <c r="K61" i="16"/>
  <c r="K48" i="16"/>
  <c r="K250" i="16"/>
  <c r="K240" i="16"/>
  <c r="K219" i="16"/>
  <c r="K235" i="16"/>
  <c r="K232" i="16"/>
  <c r="K224" i="16"/>
  <c r="K198" i="16"/>
  <c r="K58" i="16"/>
  <c r="K46" i="16"/>
  <c r="K227" i="16"/>
  <c r="K216" i="16"/>
  <c r="K187" i="16"/>
  <c r="K178" i="16"/>
  <c r="K170" i="16"/>
  <c r="K167" i="16"/>
  <c r="K65" i="16"/>
  <c r="K40" i="16"/>
  <c r="K38" i="16"/>
  <c r="K242" i="16"/>
  <c r="L223" i="16"/>
  <c r="M223" i="16" s="1"/>
  <c r="K211" i="16"/>
  <c r="K147" i="16"/>
  <c r="K114" i="16"/>
  <c r="K72" i="16"/>
  <c r="K53" i="16"/>
  <c r="M47" i="16"/>
  <c r="M45" i="16"/>
  <c r="K35" i="16"/>
  <c r="K17" i="16"/>
  <c r="K122" i="16"/>
  <c r="K108" i="16"/>
  <c r="K27" i="16"/>
  <c r="K208" i="16"/>
  <c r="E138" i="16"/>
  <c r="J138" i="16" s="1"/>
  <c r="K138" i="16" s="1"/>
  <c r="K100" i="16"/>
  <c r="K98" i="16"/>
  <c r="K76" i="16"/>
  <c r="K74" i="16"/>
  <c r="K67" i="16"/>
  <c r="K64" i="16"/>
  <c r="K62" i="16"/>
  <c r="K52" i="16"/>
  <c r="K21" i="16"/>
  <c r="K19" i="16"/>
  <c r="K106" i="16"/>
  <c r="K82" i="16"/>
  <c r="K29" i="16"/>
  <c r="K239" i="16"/>
  <c r="K90" i="16"/>
  <c r="K13" i="16"/>
  <c r="K11" i="16"/>
  <c r="K215" i="16"/>
  <c r="K186" i="16"/>
  <c r="K169" i="16"/>
  <c r="K244" i="16"/>
  <c r="K233" i="16"/>
  <c r="K217" i="16"/>
  <c r="K210" i="16"/>
  <c r="K199" i="16"/>
  <c r="K195" i="16"/>
  <c r="K92" i="16"/>
  <c r="K251" i="16"/>
  <c r="K236" i="16"/>
  <c r="K225" i="16"/>
  <c r="K220" i="16"/>
  <c r="K124" i="16"/>
  <c r="K84" i="16"/>
  <c r="K66" i="16"/>
  <c r="K59" i="16"/>
  <c r="K253" i="16"/>
  <c r="K254" i="16"/>
  <c r="M14" i="16"/>
  <c r="K14" i="16"/>
  <c r="E214" i="16"/>
  <c r="K157" i="16"/>
  <c r="M157" i="16"/>
  <c r="M117" i="16"/>
  <c r="K117" i="16"/>
  <c r="M101" i="16"/>
  <c r="K101" i="16"/>
  <c r="L68" i="16"/>
  <c r="M68" i="16" s="1"/>
  <c r="J68" i="16"/>
  <c r="M30" i="16"/>
  <c r="K30" i="16"/>
  <c r="K207" i="16"/>
  <c r="K176" i="16"/>
  <c r="M176" i="16"/>
  <c r="K166" i="16"/>
  <c r="K164" i="16"/>
  <c r="K152" i="16"/>
  <c r="K149" i="16"/>
  <c r="M149" i="16"/>
  <c r="K144" i="16"/>
  <c r="M138" i="16"/>
  <c r="K135" i="16"/>
  <c r="M135" i="16"/>
  <c r="K116" i="16"/>
  <c r="K96" i="16"/>
  <c r="M93" i="16"/>
  <c r="K93" i="16"/>
  <c r="K80" i="16"/>
  <c r="M77" i="16"/>
  <c r="K77" i="16"/>
  <c r="K50" i="16"/>
  <c r="M50" i="16"/>
  <c r="K43" i="16"/>
  <c r="M43" i="16"/>
  <c r="K25" i="16"/>
  <c r="M22" i="16"/>
  <c r="K22" i="16"/>
  <c r="M125" i="16"/>
  <c r="K125" i="16"/>
  <c r="K119" i="16"/>
  <c r="M119" i="16"/>
  <c r="K110" i="16"/>
  <c r="M110" i="16"/>
  <c r="K103" i="16"/>
  <c r="M103" i="16"/>
  <c r="K32" i="16"/>
  <c r="M32" i="16"/>
  <c r="K161" i="16"/>
  <c r="K118" i="16"/>
  <c r="M118" i="16"/>
  <c r="K102" i="16"/>
  <c r="M102" i="16"/>
  <c r="K95" i="16"/>
  <c r="M95" i="16"/>
  <c r="K79" i="16"/>
  <c r="M79" i="16"/>
  <c r="K31" i="16"/>
  <c r="M31" i="16"/>
  <c r="K24" i="16"/>
  <c r="M24" i="16"/>
  <c r="K200" i="16"/>
  <c r="M200" i="16"/>
  <c r="K111" i="16"/>
  <c r="M111" i="16"/>
  <c r="M85" i="16"/>
  <c r="K85" i="16"/>
  <c r="L6" i="16"/>
  <c r="M6" i="16" s="1"/>
  <c r="J6" i="16"/>
  <c r="K191" i="16"/>
  <c r="K168" i="16"/>
  <c r="K153" i="16"/>
  <c r="K133" i="16"/>
  <c r="K94" i="16"/>
  <c r="M94" i="16"/>
  <c r="K87" i="16"/>
  <c r="M87" i="16"/>
  <c r="K78" i="16"/>
  <c r="M78" i="16"/>
  <c r="M49" i="16"/>
  <c r="K49" i="16"/>
  <c r="K23" i="16"/>
  <c r="M23" i="16"/>
  <c r="K16" i="16"/>
  <c r="M16" i="16"/>
  <c r="K42" i="16"/>
  <c r="M42" i="16"/>
  <c r="K172" i="16"/>
  <c r="K150" i="16"/>
  <c r="K127" i="16"/>
  <c r="M127" i="16"/>
  <c r="K123" i="16"/>
  <c r="K86" i="16"/>
  <c r="M86" i="16"/>
  <c r="K44" i="16"/>
  <c r="M41" i="16"/>
  <c r="K41" i="16"/>
  <c r="K15" i="16"/>
  <c r="M15" i="16"/>
  <c r="K8" i="16"/>
  <c r="M8" i="16"/>
  <c r="K134" i="16"/>
  <c r="M134" i="16"/>
  <c r="K155" i="16"/>
  <c r="K132" i="16"/>
  <c r="K126" i="16"/>
  <c r="M126" i="16"/>
  <c r="K112" i="16"/>
  <c r="M109" i="16"/>
  <c r="K109" i="16"/>
  <c r="K83" i="16"/>
  <c r="K36" i="16"/>
  <c r="K7" i="16"/>
  <c r="M7" i="16"/>
  <c r="O35" i="16"/>
  <c r="M141" i="16"/>
  <c r="M130" i="16"/>
  <c r="L71" i="16"/>
  <c r="M71" i="16" s="1"/>
  <c r="J255" i="16" l="1"/>
  <c r="K255" i="16" s="1"/>
  <c r="K162" i="16"/>
  <c r="K70" i="16"/>
  <c r="K5" i="16"/>
  <c r="K3" i="16"/>
  <c r="K184" i="16"/>
  <c r="K4" i="16"/>
  <c r="K223" i="16"/>
  <c r="K68" i="16"/>
  <c r="J214" i="16"/>
  <c r="K214" i="16" s="1"/>
  <c r="E275" i="16"/>
  <c r="K71" i="16"/>
  <c r="K6" i="16"/>
  <c r="H1018" i="2" l="1"/>
  <c r="H1017" i="2"/>
  <c r="H1016" i="2"/>
  <c r="I89" i="47"/>
  <c r="H89" i="47"/>
  <c r="J89" i="47" s="1"/>
  <c r="E89" i="47"/>
  <c r="I91" i="47"/>
  <c r="H91" i="47"/>
  <c r="J91" i="47" s="1"/>
  <c r="E91" i="47"/>
  <c r="E90" i="47"/>
  <c r="I90" i="47"/>
  <c r="H90" i="47"/>
  <c r="J90" i="47" s="1"/>
  <c r="I88" i="47"/>
  <c r="H88" i="47"/>
  <c r="J88" i="47" s="1"/>
  <c r="E88" i="47"/>
  <c r="E11" i="47"/>
  <c r="D11" i="47" s="1"/>
  <c r="E132" i="47"/>
  <c r="E131" i="47"/>
  <c r="I123" i="47"/>
  <c r="H123" i="47"/>
  <c r="J123" i="47" s="1"/>
  <c r="E123" i="47"/>
  <c r="E122" i="47" s="1"/>
  <c r="D122" i="47"/>
  <c r="I121" i="47"/>
  <c r="H121" i="47"/>
  <c r="J121" i="47" s="1"/>
  <c r="E121" i="47"/>
  <c r="I120" i="47"/>
  <c r="H120" i="47"/>
  <c r="J120" i="47" s="1"/>
  <c r="E120" i="47"/>
  <c r="I119" i="47"/>
  <c r="H119" i="47"/>
  <c r="J119" i="47" s="1"/>
  <c r="E119" i="47"/>
  <c r="D118" i="47"/>
  <c r="I117" i="47"/>
  <c r="H117" i="47"/>
  <c r="J117" i="47" s="1"/>
  <c r="D117" i="47"/>
  <c r="D112" i="47" s="1"/>
  <c r="I114" i="47"/>
  <c r="H114" i="47"/>
  <c r="J114" i="47" s="1"/>
  <c r="E114" i="47"/>
  <c r="I116" i="47"/>
  <c r="H116" i="47"/>
  <c r="J116" i="47" s="1"/>
  <c r="E116" i="47"/>
  <c r="I110" i="47"/>
  <c r="H110" i="47"/>
  <c r="J110" i="47" s="1"/>
  <c r="E110" i="47"/>
  <c r="E109" i="47" s="1"/>
  <c r="J109" i="47"/>
  <c r="I108" i="47"/>
  <c r="H108" i="47"/>
  <c r="J108" i="47" s="1"/>
  <c r="E108" i="47"/>
  <c r="E107" i="47" s="1"/>
  <c r="D107" i="47"/>
  <c r="I105" i="47"/>
  <c r="H105" i="47"/>
  <c r="J105" i="47" s="1"/>
  <c r="E105" i="47"/>
  <c r="I104" i="47"/>
  <c r="H104" i="47"/>
  <c r="J104" i="47" s="1"/>
  <c r="E104" i="47"/>
  <c r="I102" i="47"/>
  <c r="H102" i="47"/>
  <c r="J102" i="47" s="1"/>
  <c r="E102" i="47"/>
  <c r="I101" i="47"/>
  <c r="H101" i="47"/>
  <c r="J101" i="47" s="1"/>
  <c r="E101" i="47"/>
  <c r="I100" i="47"/>
  <c r="H100" i="47"/>
  <c r="J100" i="47" s="1"/>
  <c r="E100" i="47"/>
  <c r="I99" i="47"/>
  <c r="H99" i="47"/>
  <c r="J99" i="47" s="1"/>
  <c r="E99" i="47"/>
  <c r="I98" i="47"/>
  <c r="H98" i="47"/>
  <c r="J98" i="47" s="1"/>
  <c r="E98" i="47"/>
  <c r="I97" i="47"/>
  <c r="H97" i="47"/>
  <c r="J97" i="47" s="1"/>
  <c r="E97" i="47"/>
  <c r="I96" i="47"/>
  <c r="H96" i="47"/>
  <c r="J96" i="47" s="1"/>
  <c r="I94" i="47"/>
  <c r="H94" i="47"/>
  <c r="J94" i="47" s="1"/>
  <c r="E94" i="47"/>
  <c r="E93" i="47" s="1"/>
  <c r="D93" i="47"/>
  <c r="I85" i="47"/>
  <c r="H85" i="47"/>
  <c r="J85" i="47" s="1"/>
  <c r="I83" i="47"/>
  <c r="H83" i="47"/>
  <c r="J83" i="47" s="1"/>
  <c r="E83" i="47"/>
  <c r="E82" i="47" s="1"/>
  <c r="D82" i="47"/>
  <c r="I80" i="47"/>
  <c r="H80" i="47"/>
  <c r="J80" i="47" s="1"/>
  <c r="E80" i="47"/>
  <c r="I79" i="47"/>
  <c r="H79" i="47"/>
  <c r="J79" i="47" s="1"/>
  <c r="E79" i="47"/>
  <c r="I78" i="47"/>
  <c r="H78" i="47"/>
  <c r="J78" i="47" s="1"/>
  <c r="E78" i="47"/>
  <c r="I77" i="47"/>
  <c r="H77" i="47"/>
  <c r="J77" i="47" s="1"/>
  <c r="E77" i="47"/>
  <c r="I76" i="47"/>
  <c r="H76" i="47"/>
  <c r="J76" i="47" s="1"/>
  <c r="E76" i="47"/>
  <c r="I75" i="47"/>
  <c r="H75" i="47"/>
  <c r="J75" i="47" s="1"/>
  <c r="E75" i="47"/>
  <c r="I74" i="47"/>
  <c r="H74" i="47"/>
  <c r="J74" i="47" s="1"/>
  <c r="E74" i="47"/>
  <c r="I73" i="47"/>
  <c r="H73" i="47"/>
  <c r="J73" i="47" s="1"/>
  <c r="E73" i="47"/>
  <c r="I72" i="47"/>
  <c r="H72" i="47"/>
  <c r="J72" i="47" s="1"/>
  <c r="E72" i="47"/>
  <c r="I71" i="47"/>
  <c r="H71" i="47"/>
  <c r="J71" i="47" s="1"/>
  <c r="E71" i="47"/>
  <c r="I70" i="47"/>
  <c r="H70" i="47"/>
  <c r="J70" i="47" s="1"/>
  <c r="E70" i="47"/>
  <c r="I69" i="47"/>
  <c r="H69" i="47"/>
  <c r="J69" i="47" s="1"/>
  <c r="E69" i="47"/>
  <c r="I68" i="47"/>
  <c r="H68" i="47"/>
  <c r="J68" i="47" s="1"/>
  <c r="E68" i="47"/>
  <c r="I67" i="47"/>
  <c r="H67" i="47"/>
  <c r="J67" i="47" s="1"/>
  <c r="E67" i="47"/>
  <c r="I66" i="47"/>
  <c r="H66" i="47"/>
  <c r="J66" i="47" s="1"/>
  <c r="E66" i="47"/>
  <c r="I65" i="47"/>
  <c r="H65" i="47"/>
  <c r="J65" i="47" s="1"/>
  <c r="E65" i="47"/>
  <c r="I64" i="47"/>
  <c r="H64" i="47"/>
  <c r="J64" i="47" s="1"/>
  <c r="E64" i="47"/>
  <c r="I62" i="47"/>
  <c r="H62" i="47"/>
  <c r="J62" i="47" s="1"/>
  <c r="E62" i="47"/>
  <c r="D62" i="47" s="1"/>
  <c r="I61" i="47"/>
  <c r="H61" i="47"/>
  <c r="J61" i="47" s="1"/>
  <c r="E61" i="47"/>
  <c r="I59" i="47"/>
  <c r="H59" i="47"/>
  <c r="J59" i="47" s="1"/>
  <c r="E58" i="47"/>
  <c r="D58" i="47"/>
  <c r="I57" i="47"/>
  <c r="H57" i="47"/>
  <c r="J57" i="47" s="1"/>
  <c r="D57" i="47"/>
  <c r="D56" i="47" s="1"/>
  <c r="E56" i="47"/>
  <c r="I55" i="47"/>
  <c r="H55" i="47"/>
  <c r="J55" i="47" s="1"/>
  <c r="E55" i="47"/>
  <c r="I54" i="47"/>
  <c r="H54" i="47"/>
  <c r="J54" i="47" s="1"/>
  <c r="E54" i="47"/>
  <c r="I53" i="47"/>
  <c r="H53" i="47"/>
  <c r="J53" i="47" s="1"/>
  <c r="E53" i="47"/>
  <c r="I52" i="47"/>
  <c r="H52" i="47"/>
  <c r="J52" i="47" s="1"/>
  <c r="D52" i="47"/>
  <c r="D51" i="47" s="1"/>
  <c r="I50" i="47"/>
  <c r="H50" i="47"/>
  <c r="J50" i="47" s="1"/>
  <c r="E50" i="47"/>
  <c r="I49" i="47"/>
  <c r="H49" i="47"/>
  <c r="J49" i="47" s="1"/>
  <c r="E49" i="47"/>
  <c r="I48" i="47"/>
  <c r="H48" i="47"/>
  <c r="J48" i="47" s="1"/>
  <c r="E48" i="47"/>
  <c r="I47" i="47"/>
  <c r="H47" i="47"/>
  <c r="J47" i="47" s="1"/>
  <c r="E47" i="47"/>
  <c r="I46" i="47"/>
  <c r="H46" i="47"/>
  <c r="J46" i="47" s="1"/>
  <c r="D46" i="47"/>
  <c r="J45" i="47"/>
  <c r="I43" i="47"/>
  <c r="H43" i="47"/>
  <c r="J43" i="47" s="1"/>
  <c r="E43" i="47"/>
  <c r="I42" i="47"/>
  <c r="H42" i="47"/>
  <c r="J42" i="47" s="1"/>
  <c r="E42" i="47"/>
  <c r="I41" i="47"/>
  <c r="H41" i="47"/>
  <c r="J41" i="47" s="1"/>
  <c r="E41" i="47"/>
  <c r="J40" i="47"/>
  <c r="I39" i="47"/>
  <c r="H39" i="47"/>
  <c r="J39" i="47" s="1"/>
  <c r="E39" i="47"/>
  <c r="D38" i="47"/>
  <c r="D13" i="47"/>
  <c r="D28" i="46"/>
  <c r="D65" i="46"/>
  <c r="E64" i="46"/>
  <c r="D64" i="46" s="1"/>
  <c r="E152" i="46"/>
  <c r="E133" i="46"/>
  <c r="F133" i="46"/>
  <c r="H1015" i="2"/>
  <c r="H338" i="15"/>
  <c r="H1011" i="2"/>
  <c r="H1010" i="2"/>
  <c r="H1014" i="2"/>
  <c r="H1013" i="2"/>
  <c r="H1009" i="2"/>
  <c r="H1008" i="2"/>
  <c r="H1007" i="2"/>
  <c r="H1006" i="2"/>
  <c r="H1005" i="2"/>
  <c r="H1004" i="2"/>
  <c r="H1003" i="2"/>
  <c r="E97" i="46"/>
  <c r="D112" i="46"/>
  <c r="D30" i="46"/>
  <c r="E28" i="46"/>
  <c r="H996" i="2"/>
  <c r="H995" i="2"/>
  <c r="H994" i="2"/>
  <c r="D44" i="46"/>
  <c r="H983" i="2" s="1"/>
  <c r="H993" i="2"/>
  <c r="E63" i="46"/>
  <c r="H992" i="2"/>
  <c r="H991" i="2"/>
  <c r="H990" i="2"/>
  <c r="H989" i="2"/>
  <c r="H988" i="2"/>
  <c r="H987" i="2"/>
  <c r="H986" i="2"/>
  <c r="H985" i="2"/>
  <c r="H984" i="2"/>
  <c r="D61" i="47" l="1"/>
  <c r="D60" i="47" s="1"/>
  <c r="E60" i="47"/>
  <c r="E87" i="47"/>
  <c r="E63" i="47"/>
  <c r="E40" i="47"/>
  <c r="E112" i="47"/>
  <c r="E95" i="47"/>
  <c r="D9" i="47"/>
  <c r="F133" i="47"/>
  <c r="E133" i="47"/>
  <c r="F132" i="47"/>
  <c r="E130" i="47"/>
  <c r="F131" i="47"/>
  <c r="F134" i="47"/>
  <c r="F130" i="47"/>
  <c r="E134" i="47"/>
  <c r="E51" i="47"/>
  <c r="E118" i="47"/>
  <c r="E45" i="47"/>
  <c r="E10" i="47"/>
  <c r="E9" i="47" s="1"/>
  <c r="D45" i="47"/>
  <c r="E38" i="47"/>
  <c r="H1077" i="2"/>
  <c r="H982" i="2"/>
  <c r="H981" i="2"/>
  <c r="H980" i="2"/>
  <c r="H979" i="2"/>
  <c r="H978" i="2"/>
  <c r="H977" i="2"/>
  <c r="H976" i="2"/>
  <c r="H975" i="2"/>
  <c r="H974" i="2"/>
  <c r="L252" i="16"/>
  <c r="J252" i="16"/>
  <c r="J271" i="16" s="1"/>
  <c r="E147" i="47" l="1"/>
  <c r="F142" i="47"/>
  <c r="F136" i="47"/>
  <c r="F147" i="47" s="1"/>
  <c r="E142" i="47"/>
  <c r="E136" i="47"/>
  <c r="L271" i="16"/>
  <c r="M252" i="16"/>
  <c r="E124" i="47"/>
  <c r="D124" i="47"/>
  <c r="K252" i="16"/>
  <c r="K271" i="16" s="1"/>
  <c r="F148" i="47" l="1"/>
  <c r="F149" i="47" s="1"/>
  <c r="F150" i="47" s="1"/>
  <c r="E148" i="47"/>
  <c r="H973" i="2"/>
  <c r="H972" i="2"/>
  <c r="H971" i="2"/>
  <c r="M45" i="46"/>
  <c r="D975" i="2"/>
  <c r="D974" i="2"/>
  <c r="D973" i="2"/>
  <c r="D972" i="2"/>
  <c r="D971" i="2"/>
  <c r="D970" i="2"/>
  <c r="D969" i="2"/>
  <c r="D20" i="46"/>
  <c r="D19" i="46"/>
  <c r="D18" i="46"/>
  <c r="D17" i="46"/>
  <c r="D16" i="46"/>
  <c r="D15" i="46"/>
  <c r="D22" i="46"/>
  <c r="E13" i="47"/>
  <c r="D967" i="2"/>
  <c r="D966" i="2"/>
  <c r="D965" i="2"/>
  <c r="D964" i="2"/>
  <c r="D963" i="2"/>
  <c r="D21" i="46"/>
  <c r="D27" i="46"/>
  <c r="D26" i="46"/>
  <c r="D25" i="46"/>
  <c r="D24" i="46"/>
  <c r="D23" i="46"/>
  <c r="E149" i="47" l="1"/>
  <c r="E150" i="47" s="1"/>
  <c r="E30" i="46"/>
  <c r="D962" i="2" l="1"/>
  <c r="D33" i="47" l="1"/>
  <c r="E22" i="46"/>
  <c r="E21" i="46"/>
  <c r="E24" i="46"/>
  <c r="E25" i="46"/>
  <c r="E26" i="46"/>
  <c r="E23" i="46"/>
  <c r="E27" i="46"/>
  <c r="D126" i="47" l="1"/>
  <c r="E154" i="47" s="1"/>
  <c r="D127" i="47" l="1"/>
  <c r="E19" i="46"/>
  <c r="E20" i="46"/>
  <c r="D29" i="46"/>
  <c r="H970" i="2"/>
  <c r="H968" i="2"/>
  <c r="H969" i="2"/>
  <c r="H967" i="2"/>
  <c r="H966" i="2"/>
  <c r="H965" i="2"/>
  <c r="H964" i="2"/>
  <c r="H963" i="2"/>
  <c r="E41" i="46"/>
  <c r="E40" i="46"/>
  <c r="E39" i="46"/>
  <c r="H962" i="2"/>
  <c r="H961" i="2"/>
  <c r="E118" i="46"/>
  <c r="E90" i="46"/>
  <c r="E88" i="46" s="1"/>
  <c r="I90" i="46"/>
  <c r="H90" i="46"/>
  <c r="J90" i="46" s="1"/>
  <c r="H960" i="2"/>
  <c r="I63" i="46"/>
  <c r="H63" i="46"/>
  <c r="J63" i="46" s="1"/>
  <c r="D63" i="46"/>
  <c r="I118" i="46"/>
  <c r="H118" i="46"/>
  <c r="J118" i="46" s="1"/>
  <c r="I40" i="46"/>
  <c r="H40" i="46"/>
  <c r="J40" i="46" s="1"/>
  <c r="E53" i="46"/>
  <c r="I58" i="46"/>
  <c r="H58" i="46"/>
  <c r="J58" i="46" s="1"/>
  <c r="D58" i="46"/>
  <c r="E14" i="46" l="1"/>
  <c r="E15" i="46"/>
  <c r="E16" i="46"/>
  <c r="E18" i="46"/>
  <c r="E17" i="46"/>
  <c r="D88" i="46"/>
  <c r="D960" i="2"/>
  <c r="D13" i="46"/>
  <c r="E33" i="47" l="1"/>
  <c r="E126" i="47" s="1"/>
  <c r="E127" i="47" s="1"/>
  <c r="E29" i="46"/>
  <c r="E13" i="46"/>
  <c r="E62" i="46"/>
  <c r="I57" i="46"/>
  <c r="H57" i="46"/>
  <c r="J57" i="46" s="1"/>
  <c r="D57" i="46"/>
  <c r="I56" i="46"/>
  <c r="H56" i="46"/>
  <c r="J56" i="46" s="1"/>
  <c r="D56" i="46"/>
  <c r="I55" i="46"/>
  <c r="H55" i="46"/>
  <c r="J55" i="46" s="1"/>
  <c r="D55" i="46"/>
  <c r="H323" i="15"/>
  <c r="H998" i="2"/>
  <c r="D117" i="46" l="1"/>
  <c r="E117" i="46"/>
  <c r="E131" i="46"/>
  <c r="E129" i="46"/>
  <c r="F127" i="46"/>
  <c r="F126" i="46"/>
  <c r="E126" i="46"/>
  <c r="I116" i="46"/>
  <c r="H116" i="46"/>
  <c r="J116" i="46" s="1"/>
  <c r="E116" i="46"/>
  <c r="I115" i="46"/>
  <c r="H115" i="46"/>
  <c r="J115" i="46" s="1"/>
  <c r="E115" i="46"/>
  <c r="I114" i="46"/>
  <c r="H114" i="46"/>
  <c r="J114" i="46" s="1"/>
  <c r="E114" i="46"/>
  <c r="D113" i="46"/>
  <c r="I112" i="46"/>
  <c r="H112" i="46"/>
  <c r="J112" i="46" s="1"/>
  <c r="D109" i="46"/>
  <c r="I111" i="46"/>
  <c r="H111" i="46"/>
  <c r="J111" i="46" s="1"/>
  <c r="E111" i="46"/>
  <c r="I110" i="46"/>
  <c r="H110" i="46"/>
  <c r="J110" i="46" s="1"/>
  <c r="E110" i="46"/>
  <c r="I108" i="46"/>
  <c r="H108" i="46"/>
  <c r="J108" i="46" s="1"/>
  <c r="E108" i="46"/>
  <c r="E107" i="46" s="1"/>
  <c r="J107" i="46"/>
  <c r="D107" i="46"/>
  <c r="I106" i="46"/>
  <c r="H106" i="46"/>
  <c r="J106" i="46" s="1"/>
  <c r="E106" i="46"/>
  <c r="D105" i="46"/>
  <c r="I104" i="46"/>
  <c r="H104" i="46"/>
  <c r="J104" i="46" s="1"/>
  <c r="E104" i="46"/>
  <c r="I103" i="46"/>
  <c r="H103" i="46"/>
  <c r="J103" i="46" s="1"/>
  <c r="E103" i="46"/>
  <c r="I102" i="46"/>
  <c r="H102" i="46"/>
  <c r="J102" i="46" s="1"/>
  <c r="E102" i="46"/>
  <c r="I101" i="46"/>
  <c r="H101" i="46"/>
  <c r="J101" i="46" s="1"/>
  <c r="E101" i="46"/>
  <c r="I100" i="46"/>
  <c r="H100" i="46"/>
  <c r="J100" i="46" s="1"/>
  <c r="E100" i="46"/>
  <c r="I99" i="46"/>
  <c r="H99" i="46"/>
  <c r="J99" i="46" s="1"/>
  <c r="E99" i="46"/>
  <c r="I98" i="46"/>
  <c r="H98" i="46"/>
  <c r="J98" i="46" s="1"/>
  <c r="E98" i="46"/>
  <c r="I97" i="46"/>
  <c r="H97" i="46"/>
  <c r="J97" i="46" s="1"/>
  <c r="I96" i="46"/>
  <c r="H96" i="46"/>
  <c r="J96" i="46" s="1"/>
  <c r="E96" i="46"/>
  <c r="D95" i="46"/>
  <c r="I94" i="46"/>
  <c r="H94" i="46"/>
  <c r="J94" i="46" s="1"/>
  <c r="E94" i="46"/>
  <c r="E93" i="46" s="1"/>
  <c r="D93" i="46"/>
  <c r="I92" i="46"/>
  <c r="H92" i="46"/>
  <c r="J92" i="46" s="1"/>
  <c r="E92" i="46"/>
  <c r="D91" i="46"/>
  <c r="I89" i="46"/>
  <c r="H89" i="46"/>
  <c r="J89" i="46" s="1"/>
  <c r="I87" i="46"/>
  <c r="H87" i="46"/>
  <c r="J87" i="46" s="1"/>
  <c r="E87" i="46"/>
  <c r="I85" i="46"/>
  <c r="H85" i="46"/>
  <c r="J85" i="46" s="1"/>
  <c r="E85" i="46"/>
  <c r="I84" i="46"/>
  <c r="H84" i="46"/>
  <c r="J84" i="46" s="1"/>
  <c r="E84" i="46"/>
  <c r="I83" i="46"/>
  <c r="H83" i="46"/>
  <c r="J83" i="46" s="1"/>
  <c r="E83" i="46"/>
  <c r="I82" i="46"/>
  <c r="H82" i="46"/>
  <c r="J82" i="46" s="1"/>
  <c r="E82" i="46"/>
  <c r="I81" i="46"/>
  <c r="H81" i="46"/>
  <c r="J81" i="46" s="1"/>
  <c r="E81" i="46"/>
  <c r="I80" i="46"/>
  <c r="H80" i="46"/>
  <c r="J80" i="46" s="1"/>
  <c r="E80" i="46"/>
  <c r="I79" i="46"/>
  <c r="H79" i="46"/>
  <c r="J79" i="46" s="1"/>
  <c r="E79" i="46"/>
  <c r="I78" i="46"/>
  <c r="H78" i="46"/>
  <c r="J78" i="46" s="1"/>
  <c r="E78" i="46"/>
  <c r="I77" i="46"/>
  <c r="H77" i="46"/>
  <c r="J77" i="46" s="1"/>
  <c r="E77" i="46"/>
  <c r="I76" i="46"/>
  <c r="H76" i="46"/>
  <c r="J76" i="46" s="1"/>
  <c r="E76" i="46"/>
  <c r="I75" i="46"/>
  <c r="H75" i="46"/>
  <c r="J75" i="46" s="1"/>
  <c r="E75" i="46"/>
  <c r="I74" i="46"/>
  <c r="H74" i="46"/>
  <c r="J74" i="46" s="1"/>
  <c r="E74" i="46"/>
  <c r="I73" i="46"/>
  <c r="H73" i="46"/>
  <c r="J73" i="46" s="1"/>
  <c r="E73" i="46"/>
  <c r="I72" i="46"/>
  <c r="H72" i="46"/>
  <c r="J72" i="46" s="1"/>
  <c r="E72" i="46"/>
  <c r="I71" i="46"/>
  <c r="H71" i="46"/>
  <c r="J71" i="46" s="1"/>
  <c r="E71" i="46"/>
  <c r="I70" i="46"/>
  <c r="H70" i="46"/>
  <c r="J70" i="46" s="1"/>
  <c r="E70" i="46"/>
  <c r="I69" i="46"/>
  <c r="H69" i="46"/>
  <c r="J69" i="46" s="1"/>
  <c r="E69" i="46"/>
  <c r="I68" i="46"/>
  <c r="H68" i="46"/>
  <c r="J68" i="46" s="1"/>
  <c r="E68" i="46"/>
  <c r="I66" i="46"/>
  <c r="H66" i="46"/>
  <c r="J66" i="46" s="1"/>
  <c r="E66" i="46"/>
  <c r="I67" i="46"/>
  <c r="H67" i="46"/>
  <c r="J67" i="46" s="1"/>
  <c r="E67" i="46"/>
  <c r="I64" i="46"/>
  <c r="H64" i="46"/>
  <c r="J64" i="46" s="1"/>
  <c r="I62" i="46"/>
  <c r="H62" i="46"/>
  <c r="J62" i="46" s="1"/>
  <c r="D62" i="46"/>
  <c r="I60" i="46"/>
  <c r="H60" i="46"/>
  <c r="J60" i="46" s="1"/>
  <c r="E59" i="46"/>
  <c r="D59" i="46"/>
  <c r="I54" i="46"/>
  <c r="H54" i="46"/>
  <c r="J54" i="46" s="1"/>
  <c r="D54" i="46"/>
  <c r="D53" i="46" s="1"/>
  <c r="I52" i="46"/>
  <c r="H52" i="46"/>
  <c r="J52" i="46" s="1"/>
  <c r="E52" i="46"/>
  <c r="I51" i="46"/>
  <c r="H51" i="46"/>
  <c r="J51" i="46" s="1"/>
  <c r="E51" i="46"/>
  <c r="I50" i="46"/>
  <c r="H50" i="46"/>
  <c r="J50" i="46" s="1"/>
  <c r="E50" i="46"/>
  <c r="I49" i="46"/>
  <c r="H49" i="46"/>
  <c r="J49" i="46" s="1"/>
  <c r="D49" i="46"/>
  <c r="I47" i="46"/>
  <c r="H47" i="46"/>
  <c r="J47" i="46" s="1"/>
  <c r="E47" i="46"/>
  <c r="I46" i="46"/>
  <c r="H46" i="46"/>
  <c r="J46" i="46" s="1"/>
  <c r="E46" i="46"/>
  <c r="I45" i="46"/>
  <c r="H45" i="46"/>
  <c r="J45" i="46" s="1"/>
  <c r="E45" i="46"/>
  <c r="I44" i="46"/>
  <c r="H44" i="46"/>
  <c r="J44" i="46" s="1"/>
  <c r="E44" i="46"/>
  <c r="I43" i="46"/>
  <c r="H43" i="46"/>
  <c r="J43" i="46" s="1"/>
  <c r="D43" i="46"/>
  <c r="J42" i="46"/>
  <c r="I41" i="46"/>
  <c r="H41" i="46"/>
  <c r="J41" i="46" s="1"/>
  <c r="I39" i="46"/>
  <c r="H39" i="46"/>
  <c r="J39" i="46" s="1"/>
  <c r="J38" i="46"/>
  <c r="D38" i="46"/>
  <c r="I37" i="46"/>
  <c r="H37" i="46"/>
  <c r="J37" i="46" s="1"/>
  <c r="E37" i="46"/>
  <c r="D36" i="46"/>
  <c r="E129" i="45"/>
  <c r="D129" i="45"/>
  <c r="F137" i="45"/>
  <c r="E137" i="45"/>
  <c r="E144" i="45"/>
  <c r="F144" i="45"/>
  <c r="H950" i="2"/>
  <c r="D95" i="45"/>
  <c r="H949" i="2"/>
  <c r="D63" i="45"/>
  <c r="I85" i="45"/>
  <c r="H85" i="45"/>
  <c r="J85" i="45" s="1"/>
  <c r="E85" i="45"/>
  <c r="F131" i="46" l="1"/>
  <c r="D48" i="46"/>
  <c r="F128" i="46"/>
  <c r="E128" i="46"/>
  <c r="E105" i="46"/>
  <c r="E65" i="46"/>
  <c r="E36" i="46"/>
  <c r="F132" i="46"/>
  <c r="F129" i="46"/>
  <c r="E130" i="46"/>
  <c r="F125" i="46"/>
  <c r="F130" i="46"/>
  <c r="E125" i="46"/>
  <c r="E127" i="46"/>
  <c r="E132" i="46"/>
  <c r="E113" i="46"/>
  <c r="E38" i="46"/>
  <c r="E48" i="46"/>
  <c r="D86" i="46"/>
  <c r="D61" i="46"/>
  <c r="E91" i="46"/>
  <c r="E95" i="46"/>
  <c r="E86" i="46"/>
  <c r="E109" i="46"/>
  <c r="D42" i="46"/>
  <c r="E61" i="46"/>
  <c r="E42" i="46"/>
  <c r="H924" i="2"/>
  <c r="E12" i="45"/>
  <c r="H948" i="2"/>
  <c r="E134" i="46" l="1"/>
  <c r="F134" i="46"/>
  <c r="E146" i="46" s="1"/>
  <c r="F140" i="46"/>
  <c r="E140" i="46"/>
  <c r="D119" i="46"/>
  <c r="E119" i="46"/>
  <c r="H947" i="2"/>
  <c r="H946" i="2"/>
  <c r="H945" i="2"/>
  <c r="M29" i="45"/>
  <c r="O29" i="45" s="1"/>
  <c r="H309" i="15"/>
  <c r="I89" i="45"/>
  <c r="H89" i="45"/>
  <c r="J89" i="45" s="1"/>
  <c r="D89" i="45"/>
  <c r="H942" i="2"/>
  <c r="H943" i="2"/>
  <c r="H944" i="2"/>
  <c r="I123" i="45"/>
  <c r="H123" i="45"/>
  <c r="J123" i="45" s="1"/>
  <c r="I122" i="45"/>
  <c r="H122" i="45"/>
  <c r="J122" i="45" s="1"/>
  <c r="E122" i="45"/>
  <c r="I121" i="45"/>
  <c r="H121" i="45"/>
  <c r="J121" i="45" s="1"/>
  <c r="E121" i="45"/>
  <c r="H308" i="15"/>
  <c r="H941" i="2"/>
  <c r="H940" i="2"/>
  <c r="H939" i="2"/>
  <c r="D101" i="45"/>
  <c r="H938" i="2"/>
  <c r="H921" i="2"/>
  <c r="H922" i="2"/>
  <c r="H923" i="2"/>
  <c r="H925" i="2"/>
  <c r="H926" i="2"/>
  <c r="H927" i="2"/>
  <c r="H928" i="2"/>
  <c r="H929" i="2"/>
  <c r="H930" i="2"/>
  <c r="H937" i="2"/>
  <c r="H936" i="2"/>
  <c r="H935" i="2"/>
  <c r="H934" i="2"/>
  <c r="H933" i="2"/>
  <c r="H932" i="2"/>
  <c r="H931" i="2"/>
  <c r="D104" i="45"/>
  <c r="I113" i="45"/>
  <c r="H113" i="45"/>
  <c r="J113" i="45" s="1"/>
  <c r="E113" i="45"/>
  <c r="E105" i="45"/>
  <c r="I67" i="45"/>
  <c r="H67" i="45"/>
  <c r="J67" i="45" s="1"/>
  <c r="G930" i="2"/>
  <c r="G929" i="2"/>
  <c r="G928" i="2"/>
  <c r="G927" i="2"/>
  <c r="G926" i="2"/>
  <c r="G925" i="2"/>
  <c r="G924" i="2"/>
  <c r="G923" i="2"/>
  <c r="G922" i="2"/>
  <c r="G921" i="2"/>
  <c r="G866" i="2"/>
  <c r="G865" i="2"/>
  <c r="G864" i="2"/>
  <c r="G863" i="2"/>
  <c r="G862" i="2"/>
  <c r="G861" i="2"/>
  <c r="G860" i="2"/>
  <c r="G859" i="2"/>
  <c r="H920" i="2"/>
  <c r="H919" i="2"/>
  <c r="H918" i="2"/>
  <c r="H916" i="2"/>
  <c r="H915" i="2"/>
  <c r="H914" i="2"/>
  <c r="H913" i="2"/>
  <c r="H912" i="2"/>
  <c r="H911" i="2"/>
  <c r="H910" i="2"/>
  <c r="H917" i="2"/>
  <c r="D906" i="2"/>
  <c r="D32" i="45"/>
  <c r="I83" i="45"/>
  <c r="H83" i="45"/>
  <c r="J83" i="45" s="1"/>
  <c r="E83" i="45"/>
  <c r="I77" i="45"/>
  <c r="H77" i="45"/>
  <c r="J77" i="45" s="1"/>
  <c r="E77" i="45"/>
  <c r="H909" i="2"/>
  <c r="H307" i="15"/>
  <c r="H906" i="2"/>
  <c r="H907" i="2"/>
  <c r="H908" i="2"/>
  <c r="H904" i="2"/>
  <c r="H903" i="2"/>
  <c r="H902" i="2"/>
  <c r="H893" i="2"/>
  <c r="F145" i="46" l="1"/>
  <c r="E145" i="46"/>
  <c r="E147" i="46" s="1"/>
  <c r="E148" i="46" s="1"/>
  <c r="F146" i="46"/>
  <c r="D47" i="45"/>
  <c r="H905" i="2" s="1"/>
  <c r="D40" i="45"/>
  <c r="I44" i="45"/>
  <c r="H44" i="45"/>
  <c r="J44" i="45" s="1"/>
  <c r="E44" i="45"/>
  <c r="D20" i="45"/>
  <c r="D904" i="2" s="1"/>
  <c r="D19" i="45"/>
  <c r="D903" i="2" s="1"/>
  <c r="D18" i="45"/>
  <c r="D17" i="45"/>
  <c r="D16" i="45"/>
  <c r="D15" i="45"/>
  <c r="D899" i="2" s="1"/>
  <c r="I43" i="45"/>
  <c r="H43" i="45"/>
  <c r="J43" i="45" s="1"/>
  <c r="E43" i="45"/>
  <c r="I48" i="45"/>
  <c r="H48" i="45"/>
  <c r="J48" i="45" s="1"/>
  <c r="E48" i="45"/>
  <c r="H306" i="15"/>
  <c r="H305" i="15"/>
  <c r="H894" i="2"/>
  <c r="D898" i="2"/>
  <c r="D897" i="2"/>
  <c r="D896" i="2"/>
  <c r="D895" i="2"/>
  <c r="D894" i="2"/>
  <c r="D893" i="2"/>
  <c r="D892" i="2"/>
  <c r="D21" i="45"/>
  <c r="D891" i="2" s="1"/>
  <c r="D14" i="45"/>
  <c r="D890" i="2" s="1"/>
  <c r="D31" i="45"/>
  <c r="D30" i="45"/>
  <c r="D888" i="2" s="1"/>
  <c r="D29" i="45"/>
  <c r="G29" i="45" s="1"/>
  <c r="J29" i="45" s="1"/>
  <c r="E23" i="45"/>
  <c r="F147" i="46" l="1"/>
  <c r="F148" i="46" s="1"/>
  <c r="D12" i="46"/>
  <c r="E27" i="45"/>
  <c r="E32" i="45"/>
  <c r="E20" i="45"/>
  <c r="E22" i="45"/>
  <c r="E31" i="45"/>
  <c r="E25" i="45"/>
  <c r="E24" i="45"/>
  <c r="E26" i="45"/>
  <c r="E16" i="45"/>
  <c r="E17" i="45"/>
  <c r="E28" i="45"/>
  <c r="E18" i="45"/>
  <c r="D900" i="2"/>
  <c r="D901" i="2"/>
  <c r="D902" i="2"/>
  <c r="E21" i="45"/>
  <c r="E30" i="45"/>
  <c r="D889" i="2"/>
  <c r="E29" i="45"/>
  <c r="E15" i="45" l="1"/>
  <c r="E12" i="46" l="1"/>
  <c r="E90" i="45"/>
  <c r="I90" i="45"/>
  <c r="H90" i="45"/>
  <c r="J90" i="45" s="1"/>
  <c r="D88" i="45"/>
  <c r="D87" i="45"/>
  <c r="I88" i="45"/>
  <c r="H88" i="45"/>
  <c r="J88" i="45" s="1"/>
  <c r="I87" i="45"/>
  <c r="H87" i="45"/>
  <c r="J87" i="45" s="1"/>
  <c r="H900" i="2"/>
  <c r="H898" i="2"/>
  <c r="H899" i="2"/>
  <c r="I97" i="45"/>
  <c r="H97" i="45"/>
  <c r="J97" i="45" s="1"/>
  <c r="E97" i="45"/>
  <c r="E96" i="45"/>
  <c r="H896" i="2"/>
  <c r="H897" i="2"/>
  <c r="H895" i="2"/>
  <c r="H41" i="45"/>
  <c r="I41" i="45"/>
  <c r="E19" i="45" l="1"/>
  <c r="D86" i="45"/>
  <c r="I119" i="45" l="1"/>
  <c r="H119" i="45"/>
  <c r="J119" i="45" s="1"/>
  <c r="E119" i="45"/>
  <c r="I120" i="45"/>
  <c r="H120" i="45"/>
  <c r="J120" i="45" s="1"/>
  <c r="E120" i="45"/>
  <c r="E103" i="45"/>
  <c r="E102" i="45"/>
  <c r="I103" i="45"/>
  <c r="H103" i="45"/>
  <c r="J103" i="45" s="1"/>
  <c r="I102" i="45"/>
  <c r="H102" i="45"/>
  <c r="J102" i="45" s="1"/>
  <c r="E101" i="45" l="1"/>
  <c r="D124" i="45"/>
  <c r="E130" i="45"/>
  <c r="I130" i="45"/>
  <c r="H130" i="45"/>
  <c r="J130" i="45" s="1"/>
  <c r="E94" i="45"/>
  <c r="E93" i="45" s="1"/>
  <c r="E61" i="45"/>
  <c r="D61" i="45" s="1"/>
  <c r="E46" i="45"/>
  <c r="D46" i="45" s="1"/>
  <c r="H128" i="45"/>
  <c r="J128" i="45" s="1"/>
  <c r="H127" i="45"/>
  <c r="J127" i="45" s="1"/>
  <c r="H126" i="45"/>
  <c r="J126" i="45" s="1"/>
  <c r="H124" i="45"/>
  <c r="J124" i="45" s="1"/>
  <c r="H117" i="45"/>
  <c r="J117" i="45" s="1"/>
  <c r="H115" i="45"/>
  <c r="J115" i="45" s="1"/>
  <c r="H112" i="45"/>
  <c r="J112" i="45" s="1"/>
  <c r="H111" i="45"/>
  <c r="J111" i="45" s="1"/>
  <c r="H110" i="45"/>
  <c r="J110" i="45" s="1"/>
  <c r="H109" i="45"/>
  <c r="J109" i="45" s="1"/>
  <c r="H108" i="45"/>
  <c r="J108" i="45" s="1"/>
  <c r="H107" i="45"/>
  <c r="J107" i="45" s="1"/>
  <c r="H106" i="45"/>
  <c r="J106" i="45" s="1"/>
  <c r="H105" i="45"/>
  <c r="J105" i="45" s="1"/>
  <c r="H100" i="45"/>
  <c r="J100" i="45" s="1"/>
  <c r="H96" i="45"/>
  <c r="J96" i="45" s="1"/>
  <c r="H94" i="45"/>
  <c r="J94" i="45" s="1"/>
  <c r="H91" i="45"/>
  <c r="J91" i="45" s="1"/>
  <c r="H92" i="45"/>
  <c r="J92" i="45" s="1"/>
  <c r="H84" i="45"/>
  <c r="J84" i="45" s="1"/>
  <c r="H82" i="45"/>
  <c r="J82" i="45" s="1"/>
  <c r="H81" i="45"/>
  <c r="J81" i="45" s="1"/>
  <c r="H80" i="45"/>
  <c r="J80" i="45" s="1"/>
  <c r="H79" i="45"/>
  <c r="J79" i="45" s="1"/>
  <c r="H78" i="45"/>
  <c r="J78" i="45" s="1"/>
  <c r="H76" i="45"/>
  <c r="J76" i="45" s="1"/>
  <c r="H75" i="45"/>
  <c r="J75" i="45" s="1"/>
  <c r="H74" i="45"/>
  <c r="J74" i="45" s="1"/>
  <c r="H73" i="45"/>
  <c r="J73" i="45" s="1"/>
  <c r="H72" i="45"/>
  <c r="J72" i="45" s="1"/>
  <c r="H71" i="45"/>
  <c r="J71" i="45" s="1"/>
  <c r="H70" i="45"/>
  <c r="J70" i="45" s="1"/>
  <c r="H69" i="45"/>
  <c r="J69" i="45" s="1"/>
  <c r="H68" i="45"/>
  <c r="J68" i="45" s="1"/>
  <c r="H66" i="45"/>
  <c r="J66" i="45" s="1"/>
  <c r="H65" i="45"/>
  <c r="J65" i="45" s="1"/>
  <c r="H98" i="45"/>
  <c r="J98" i="45" s="1"/>
  <c r="H64" i="45"/>
  <c r="J64" i="45" s="1"/>
  <c r="H61" i="45"/>
  <c r="J61" i="45" s="1"/>
  <c r="H62" i="45"/>
  <c r="J62" i="45" s="1"/>
  <c r="H59" i="45"/>
  <c r="J59" i="45" s="1"/>
  <c r="H57" i="45"/>
  <c r="J57" i="45" s="1"/>
  <c r="H55" i="45"/>
  <c r="J55" i="45" s="1"/>
  <c r="H54" i="45"/>
  <c r="J54" i="45" s="1"/>
  <c r="H53" i="45"/>
  <c r="J53" i="45" s="1"/>
  <c r="H52" i="45"/>
  <c r="J52" i="45" s="1"/>
  <c r="H46" i="45"/>
  <c r="J46" i="45" s="1"/>
  <c r="H49" i="45"/>
  <c r="J49" i="45" s="1"/>
  <c r="H50" i="45"/>
  <c r="J50" i="45" s="1"/>
  <c r="H47" i="45"/>
  <c r="J47" i="45" s="1"/>
  <c r="H42" i="45"/>
  <c r="J42" i="45" s="1"/>
  <c r="J41" i="45"/>
  <c r="H39" i="45"/>
  <c r="J39" i="45" s="1"/>
  <c r="E140" i="45"/>
  <c r="F139" i="45"/>
  <c r="E139" i="45"/>
  <c r="I128" i="45"/>
  <c r="E128" i="45"/>
  <c r="I127" i="45"/>
  <c r="E127" i="45"/>
  <c r="I126" i="45"/>
  <c r="E126" i="45"/>
  <c r="I124" i="45"/>
  <c r="I117" i="45"/>
  <c r="E117" i="45"/>
  <c r="E116" i="45" s="1"/>
  <c r="J116" i="45"/>
  <c r="D116" i="45"/>
  <c r="I115" i="45"/>
  <c r="E115" i="45"/>
  <c r="E114" i="45" s="1"/>
  <c r="D114" i="45"/>
  <c r="I112" i="45"/>
  <c r="E112" i="45"/>
  <c r="I111" i="45"/>
  <c r="E111" i="45"/>
  <c r="I110" i="45"/>
  <c r="E110" i="45"/>
  <c r="I109" i="45"/>
  <c r="E109" i="45"/>
  <c r="I108" i="45"/>
  <c r="E108" i="45"/>
  <c r="I107" i="45"/>
  <c r="E107" i="45"/>
  <c r="I106" i="45"/>
  <c r="E106" i="45"/>
  <c r="I105" i="45"/>
  <c r="I100" i="45"/>
  <c r="E100" i="45"/>
  <c r="E99" i="45" s="1"/>
  <c r="D99" i="45"/>
  <c r="I96" i="45"/>
  <c r="I94" i="45"/>
  <c r="D93" i="45"/>
  <c r="I91" i="45"/>
  <c r="E91" i="45"/>
  <c r="I92" i="45"/>
  <c r="E92" i="45"/>
  <c r="I84" i="45"/>
  <c r="E84" i="45"/>
  <c r="I82" i="45"/>
  <c r="E82" i="45"/>
  <c r="I81" i="45"/>
  <c r="E81" i="45"/>
  <c r="I80" i="45"/>
  <c r="E80" i="45"/>
  <c r="I79" i="45"/>
  <c r="E79" i="45"/>
  <c r="I78" i="45"/>
  <c r="E78" i="45"/>
  <c r="I76" i="45"/>
  <c r="E76" i="45"/>
  <c r="I75" i="45"/>
  <c r="E75" i="45"/>
  <c r="I74" i="45"/>
  <c r="E74" i="45"/>
  <c r="I73" i="45"/>
  <c r="E73" i="45"/>
  <c r="I72" i="45"/>
  <c r="E72" i="45"/>
  <c r="I71" i="45"/>
  <c r="E71" i="45"/>
  <c r="I70" i="45"/>
  <c r="E70" i="45"/>
  <c r="I69" i="45"/>
  <c r="E69" i="45"/>
  <c r="I68" i="45"/>
  <c r="E68" i="45"/>
  <c r="E67" i="45"/>
  <c r="I66" i="45"/>
  <c r="E66" i="45"/>
  <c r="I65" i="45"/>
  <c r="E65" i="45"/>
  <c r="I98" i="45"/>
  <c r="E98" i="45"/>
  <c r="E95" i="45" s="1"/>
  <c r="I64" i="45"/>
  <c r="E64" i="45"/>
  <c r="I61" i="45"/>
  <c r="I62" i="45"/>
  <c r="E62" i="45"/>
  <c r="I59" i="45"/>
  <c r="E58" i="45"/>
  <c r="D58" i="45"/>
  <c r="I57" i="45"/>
  <c r="D57" i="45"/>
  <c r="D56" i="45" s="1"/>
  <c r="E56" i="45"/>
  <c r="I55" i="45"/>
  <c r="E55" i="45"/>
  <c r="I54" i="45"/>
  <c r="E54" i="45"/>
  <c r="I53" i="45"/>
  <c r="E53" i="45"/>
  <c r="I52" i="45"/>
  <c r="D52" i="45"/>
  <c r="I46" i="45"/>
  <c r="I49" i="45"/>
  <c r="E49" i="45"/>
  <c r="I50" i="45"/>
  <c r="E50" i="45"/>
  <c r="I47" i="45"/>
  <c r="E47" i="45"/>
  <c r="J45" i="45"/>
  <c r="I42" i="45"/>
  <c r="E42" i="45"/>
  <c r="E41" i="45"/>
  <c r="J40" i="45"/>
  <c r="I39" i="45"/>
  <c r="E39" i="45"/>
  <c r="D38" i="45"/>
  <c r="E23" i="44"/>
  <c r="F149" i="44"/>
  <c r="E149" i="44"/>
  <c r="E20" i="44"/>
  <c r="I65" i="44"/>
  <c r="H65" i="44"/>
  <c r="J65" i="44" s="1"/>
  <c r="D65" i="44"/>
  <c r="I48" i="44"/>
  <c r="H48" i="44"/>
  <c r="J48" i="44" s="1"/>
  <c r="D48" i="44"/>
  <c r="H312" i="15"/>
  <c r="H955" i="2"/>
  <c r="H881" i="2"/>
  <c r="H882" i="2"/>
  <c r="H880" i="2"/>
  <c r="H878" i="2"/>
  <c r="H879" i="2"/>
  <c r="I126" i="44"/>
  <c r="H126" i="44"/>
  <c r="J126" i="44" s="1"/>
  <c r="E126" i="44"/>
  <c r="H876" i="2"/>
  <c r="H875" i="2"/>
  <c r="D130" i="44"/>
  <c r="H877" i="2" s="1"/>
  <c r="D124" i="44"/>
  <c r="D123" i="44" s="1"/>
  <c r="E63" i="45" l="1"/>
  <c r="E38" i="45"/>
  <c r="E104" i="45"/>
  <c r="E40" i="45"/>
  <c r="E86" i="45"/>
  <c r="E60" i="45"/>
  <c r="F140" i="45"/>
  <c r="E142" i="45"/>
  <c r="F142" i="45"/>
  <c r="F138" i="45"/>
  <c r="F141" i="45"/>
  <c r="E45" i="45"/>
  <c r="D13" i="45"/>
  <c r="E51" i="45"/>
  <c r="D125" i="45"/>
  <c r="D51" i="45"/>
  <c r="D45" i="45"/>
  <c r="D62" i="45"/>
  <c r="E125" i="45"/>
  <c r="H874" i="2"/>
  <c r="H873" i="2"/>
  <c r="H872" i="2"/>
  <c r="H871" i="2"/>
  <c r="H870" i="2"/>
  <c r="H869" i="2"/>
  <c r="H868" i="2"/>
  <c r="H867" i="2"/>
  <c r="E118" i="44"/>
  <c r="H859" i="2"/>
  <c r="H860" i="2"/>
  <c r="H861" i="2"/>
  <c r="H862" i="2"/>
  <c r="H863" i="2"/>
  <c r="H864" i="2"/>
  <c r="H865" i="2"/>
  <c r="H866" i="2"/>
  <c r="H855" i="2"/>
  <c r="H854" i="2"/>
  <c r="H853" i="2"/>
  <c r="H852" i="2"/>
  <c r="H851" i="2"/>
  <c r="H850" i="2"/>
  <c r="H849" i="2"/>
  <c r="H858" i="2"/>
  <c r="H857" i="2"/>
  <c r="H856" i="2"/>
  <c r="F151" i="45" l="1"/>
  <c r="E141" i="45"/>
  <c r="D60" i="45"/>
  <c r="E143" i="45"/>
  <c r="E138" i="45"/>
  <c r="D841" i="2"/>
  <c r="D31" i="44"/>
  <c r="H847" i="2"/>
  <c r="D100" i="44"/>
  <c r="I109" i="44"/>
  <c r="H109" i="44"/>
  <c r="J109" i="44" s="1"/>
  <c r="E109" i="44"/>
  <c r="D66" i="44"/>
  <c r="H292" i="15"/>
  <c r="H848" i="2"/>
  <c r="D20" i="44"/>
  <c r="H846" i="2"/>
  <c r="H844" i="2"/>
  <c r="H843" i="2"/>
  <c r="D45" i="44"/>
  <c r="H845" i="2" s="1"/>
  <c r="E151" i="45" l="1"/>
  <c r="E145" i="45"/>
  <c r="E31" i="44"/>
  <c r="D840" i="2"/>
  <c r="D839" i="2"/>
  <c r="D838" i="2"/>
  <c r="D837" i="2"/>
  <c r="D836" i="2"/>
  <c r="D835" i="2"/>
  <c r="D28" i="44" l="1"/>
  <c r="D27" i="44"/>
  <c r="D26" i="44"/>
  <c r="D25" i="44"/>
  <c r="D22" i="44"/>
  <c r="D21" i="44"/>
  <c r="D19" i="44"/>
  <c r="D18" i="44"/>
  <c r="D17" i="44"/>
  <c r="D16" i="44"/>
  <c r="D15" i="44"/>
  <c r="D14" i="44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D834" i="2"/>
  <c r="D833" i="2"/>
  <c r="D832" i="2"/>
  <c r="D831" i="2"/>
  <c r="D830" i="2"/>
  <c r="D829" i="2"/>
  <c r="D12" i="44"/>
  <c r="D29" i="44"/>
  <c r="D828" i="2"/>
  <c r="D827" i="2"/>
  <c r="E101" i="44"/>
  <c r="I108" i="44"/>
  <c r="H108" i="44"/>
  <c r="J108" i="44" s="1"/>
  <c r="E108" i="44"/>
  <c r="I107" i="44"/>
  <c r="H107" i="44"/>
  <c r="J107" i="44" s="1"/>
  <c r="E107" i="44"/>
  <c r="I106" i="44"/>
  <c r="H106" i="44"/>
  <c r="J106" i="44" s="1"/>
  <c r="E106" i="44"/>
  <c r="I105" i="44"/>
  <c r="H105" i="44"/>
  <c r="J105" i="44" s="1"/>
  <c r="E105" i="44"/>
  <c r="I104" i="44"/>
  <c r="H104" i="44"/>
  <c r="J104" i="44" s="1"/>
  <c r="E104" i="44"/>
  <c r="I103" i="44"/>
  <c r="H103" i="44"/>
  <c r="J103" i="44" s="1"/>
  <c r="E103" i="44"/>
  <c r="I102" i="44"/>
  <c r="H102" i="44"/>
  <c r="J102" i="44" s="1"/>
  <c r="E102" i="44"/>
  <c r="I101" i="44"/>
  <c r="H101" i="44"/>
  <c r="J101" i="44" s="1"/>
  <c r="D30" i="44"/>
  <c r="E100" i="44" l="1"/>
  <c r="D13" i="44"/>
  <c r="E29" i="44"/>
  <c r="E30" i="44"/>
  <c r="E14" i="45"/>
  <c r="E18" i="44" l="1"/>
  <c r="E14" i="44"/>
  <c r="E15" i="44"/>
  <c r="E27" i="44"/>
  <c r="E17" i="44"/>
  <c r="E16" i="44"/>
  <c r="E19" i="44"/>
  <c r="E21" i="44"/>
  <c r="E25" i="44"/>
  <c r="E26" i="44"/>
  <c r="E28" i="44"/>
  <c r="E22" i="44"/>
  <c r="H826" i="2"/>
  <c r="E13" i="45" l="1"/>
  <c r="E13" i="44"/>
  <c r="E58" i="44"/>
  <c r="F147" i="44"/>
  <c r="E147" i="44"/>
  <c r="E142" i="44"/>
  <c r="F141" i="44"/>
  <c r="F140" i="44"/>
  <c r="E140" i="44"/>
  <c r="E97" i="43" l="1"/>
  <c r="D97" i="43"/>
  <c r="E86" i="43"/>
  <c r="D86" i="43"/>
  <c r="D89" i="44"/>
  <c r="I41" i="44"/>
  <c r="H41" i="44"/>
  <c r="J41" i="44" s="1"/>
  <c r="H299" i="15"/>
  <c r="H883" i="2"/>
  <c r="D10" i="43"/>
  <c r="I132" i="44"/>
  <c r="H132" i="44"/>
  <c r="J132" i="44" s="1"/>
  <c r="E132" i="44"/>
  <c r="E131" i="44" s="1"/>
  <c r="D131" i="44"/>
  <c r="I130" i="44"/>
  <c r="H130" i="44"/>
  <c r="J130" i="44" s="1"/>
  <c r="E130" i="44"/>
  <c r="I129" i="44"/>
  <c r="H129" i="44"/>
  <c r="J129" i="44" s="1"/>
  <c r="E129" i="44"/>
  <c r="I128" i="44"/>
  <c r="H128" i="44"/>
  <c r="J128" i="44" s="1"/>
  <c r="E128" i="44"/>
  <c r="D127" i="44"/>
  <c r="I125" i="44"/>
  <c r="H125" i="44"/>
  <c r="J125" i="44" s="1"/>
  <c r="E125" i="44"/>
  <c r="E123" i="44" s="1"/>
  <c r="I124" i="44"/>
  <c r="H124" i="44"/>
  <c r="J124" i="44" s="1"/>
  <c r="I122" i="44"/>
  <c r="H122" i="44"/>
  <c r="J122" i="44" s="1"/>
  <c r="E122" i="44"/>
  <c r="E121" i="44" s="1"/>
  <c r="J121" i="44"/>
  <c r="D121" i="44"/>
  <c r="I120" i="44"/>
  <c r="H120" i="44"/>
  <c r="J120" i="44" s="1"/>
  <c r="E120" i="44"/>
  <c r="E119" i="44" s="1"/>
  <c r="D119" i="44"/>
  <c r="I118" i="44"/>
  <c r="H118" i="44"/>
  <c r="J118" i="44" s="1"/>
  <c r="I117" i="44"/>
  <c r="H117" i="44"/>
  <c r="J117" i="44" s="1"/>
  <c r="E117" i="44"/>
  <c r="I116" i="44"/>
  <c r="H116" i="44"/>
  <c r="J116" i="44" s="1"/>
  <c r="E116" i="44"/>
  <c r="I115" i="44"/>
  <c r="H115" i="44"/>
  <c r="J115" i="44" s="1"/>
  <c r="E115" i="44"/>
  <c r="I114" i="44"/>
  <c r="H114" i="44"/>
  <c r="J114" i="44" s="1"/>
  <c r="E114" i="44"/>
  <c r="I113" i="44"/>
  <c r="H113" i="44"/>
  <c r="J113" i="44" s="1"/>
  <c r="E113" i="44"/>
  <c r="I112" i="44"/>
  <c r="H112" i="44"/>
  <c r="J112" i="44" s="1"/>
  <c r="E112" i="44"/>
  <c r="I111" i="44"/>
  <c r="H111" i="44"/>
  <c r="J111" i="44" s="1"/>
  <c r="E111" i="44"/>
  <c r="E141" i="44"/>
  <c r="I99" i="44"/>
  <c r="H99" i="44"/>
  <c r="J99" i="44" s="1"/>
  <c r="E99" i="44"/>
  <c r="E98" i="44" s="1"/>
  <c r="D98" i="44"/>
  <c r="I97" i="44"/>
  <c r="H97" i="44"/>
  <c r="J97" i="44" s="1"/>
  <c r="E97" i="44"/>
  <c r="D96" i="44"/>
  <c r="I95" i="44"/>
  <c r="H95" i="44"/>
  <c r="J95" i="44" s="1"/>
  <c r="D95" i="44"/>
  <c r="D94" i="44" s="1"/>
  <c r="E94" i="44"/>
  <c r="I93" i="44"/>
  <c r="H93" i="44"/>
  <c r="J93" i="44" s="1"/>
  <c r="E93" i="44"/>
  <c r="I92" i="44"/>
  <c r="H92" i="44"/>
  <c r="J92" i="44" s="1"/>
  <c r="E92" i="44"/>
  <c r="I91" i="44"/>
  <c r="H91" i="44"/>
  <c r="J91" i="44" s="1"/>
  <c r="E91" i="44"/>
  <c r="I90" i="44"/>
  <c r="H90" i="44"/>
  <c r="J90" i="44" s="1"/>
  <c r="I86" i="44"/>
  <c r="H86" i="44"/>
  <c r="J86" i="44" s="1"/>
  <c r="E86" i="44"/>
  <c r="I85" i="44"/>
  <c r="H85" i="44"/>
  <c r="J85" i="44" s="1"/>
  <c r="E85" i="44"/>
  <c r="I68" i="44"/>
  <c r="H68" i="44"/>
  <c r="J68" i="44" s="1"/>
  <c r="E68" i="44"/>
  <c r="I80" i="44"/>
  <c r="H80" i="44"/>
  <c r="J80" i="44" s="1"/>
  <c r="E80" i="44"/>
  <c r="I84" i="44"/>
  <c r="H84" i="44"/>
  <c r="J84" i="44" s="1"/>
  <c r="E84" i="44"/>
  <c r="I83" i="44"/>
  <c r="H83" i="44"/>
  <c r="J83" i="44" s="1"/>
  <c r="E83" i="44"/>
  <c r="I82" i="44"/>
  <c r="H82" i="44"/>
  <c r="J82" i="44" s="1"/>
  <c r="E82" i="44"/>
  <c r="I81" i="44"/>
  <c r="H81" i="44"/>
  <c r="J81" i="44" s="1"/>
  <c r="E81" i="44"/>
  <c r="I88" i="44"/>
  <c r="H88" i="44"/>
  <c r="J88" i="44" s="1"/>
  <c r="E88" i="44"/>
  <c r="I79" i="44"/>
  <c r="H79" i="44"/>
  <c r="J79" i="44" s="1"/>
  <c r="E79" i="44"/>
  <c r="I78" i="44"/>
  <c r="H78" i="44"/>
  <c r="J78" i="44" s="1"/>
  <c r="E78" i="44"/>
  <c r="I87" i="44"/>
  <c r="H87" i="44"/>
  <c r="J87" i="44" s="1"/>
  <c r="E87" i="44"/>
  <c r="I77" i="44"/>
  <c r="H77" i="44"/>
  <c r="J77" i="44" s="1"/>
  <c r="E77" i="44"/>
  <c r="I76" i="44"/>
  <c r="H76" i="44"/>
  <c r="J76" i="44" s="1"/>
  <c r="E76" i="44"/>
  <c r="I74" i="44"/>
  <c r="H74" i="44"/>
  <c r="J74" i="44" s="1"/>
  <c r="E74" i="44"/>
  <c r="I75" i="44"/>
  <c r="H75" i="44"/>
  <c r="J75" i="44" s="1"/>
  <c r="E75" i="44"/>
  <c r="I73" i="44"/>
  <c r="H73" i="44"/>
  <c r="J73" i="44" s="1"/>
  <c r="E73" i="44"/>
  <c r="I72" i="44"/>
  <c r="H72" i="44"/>
  <c r="J72" i="44" s="1"/>
  <c r="E72" i="44"/>
  <c r="I71" i="44"/>
  <c r="H71" i="44"/>
  <c r="J71" i="44" s="1"/>
  <c r="E71" i="44"/>
  <c r="I70" i="44"/>
  <c r="H70" i="44"/>
  <c r="J70" i="44" s="1"/>
  <c r="E70" i="44"/>
  <c r="I67" i="44"/>
  <c r="H67" i="44"/>
  <c r="J67" i="44" s="1"/>
  <c r="E67" i="44"/>
  <c r="I69" i="44"/>
  <c r="H69" i="44"/>
  <c r="J69" i="44" s="1"/>
  <c r="E69" i="44"/>
  <c r="I64" i="44"/>
  <c r="H64" i="44"/>
  <c r="J64" i="44" s="1"/>
  <c r="E64" i="44"/>
  <c r="E62" i="44" s="1"/>
  <c r="I63" i="44"/>
  <c r="H63" i="44"/>
  <c r="J63" i="44" s="1"/>
  <c r="D63" i="44"/>
  <c r="I61" i="44"/>
  <c r="H61" i="44"/>
  <c r="J61" i="44" s="1"/>
  <c r="E60" i="44"/>
  <c r="D60" i="44"/>
  <c r="I59" i="44"/>
  <c r="H59" i="44"/>
  <c r="J59" i="44" s="1"/>
  <c r="D59" i="44"/>
  <c r="I57" i="44"/>
  <c r="H57" i="44"/>
  <c r="J57" i="44" s="1"/>
  <c r="E57" i="44"/>
  <c r="I56" i="44"/>
  <c r="H56" i="44"/>
  <c r="J56" i="44" s="1"/>
  <c r="E56" i="44"/>
  <c r="I55" i="44"/>
  <c r="H55" i="44"/>
  <c r="J55" i="44" s="1"/>
  <c r="E55" i="44"/>
  <c r="I54" i="44"/>
  <c r="H54" i="44"/>
  <c r="J54" i="44" s="1"/>
  <c r="E54" i="44"/>
  <c r="I53" i="44"/>
  <c r="H53" i="44"/>
  <c r="J53" i="44" s="1"/>
  <c r="E53" i="44"/>
  <c r="I52" i="44"/>
  <c r="H52" i="44"/>
  <c r="J52" i="44" s="1"/>
  <c r="D52" i="44"/>
  <c r="I51" i="44"/>
  <c r="H51" i="44"/>
  <c r="J51" i="44" s="1"/>
  <c r="D51" i="44"/>
  <c r="I50" i="44"/>
  <c r="H50" i="44"/>
  <c r="J50" i="44" s="1"/>
  <c r="D50" i="44"/>
  <c r="I47" i="44"/>
  <c r="H47" i="44"/>
  <c r="J47" i="44" s="1"/>
  <c r="E47" i="44"/>
  <c r="I46" i="44"/>
  <c r="H46" i="44"/>
  <c r="J46" i="44" s="1"/>
  <c r="E46" i="44"/>
  <c r="I45" i="44"/>
  <c r="H45" i="44"/>
  <c r="J45" i="44" s="1"/>
  <c r="E45" i="44"/>
  <c r="E43" i="44" s="1"/>
  <c r="I44" i="44"/>
  <c r="H44" i="44"/>
  <c r="J44" i="44" s="1"/>
  <c r="D44" i="44"/>
  <c r="J43" i="44"/>
  <c r="I42" i="44"/>
  <c r="H42" i="44"/>
  <c r="J42" i="44" s="1"/>
  <c r="E42" i="44"/>
  <c r="E41" i="44"/>
  <c r="I40" i="44"/>
  <c r="H40" i="44"/>
  <c r="J40" i="44" s="1"/>
  <c r="E40" i="44"/>
  <c r="J39" i="44"/>
  <c r="D39" i="44"/>
  <c r="I38" i="44"/>
  <c r="H38" i="44"/>
  <c r="J38" i="44" s="1"/>
  <c r="E38" i="44"/>
  <c r="D37" i="44"/>
  <c r="E29" i="43"/>
  <c r="D18" i="43"/>
  <c r="D17" i="43"/>
  <c r="D16" i="43"/>
  <c r="D15" i="43"/>
  <c r="D14" i="43"/>
  <c r="D13" i="43"/>
  <c r="D780" i="2"/>
  <c r="D779" i="2"/>
  <c r="D778" i="2"/>
  <c r="D777" i="2"/>
  <c r="D776" i="2"/>
  <c r="D775" i="2"/>
  <c r="D43" i="44" l="1"/>
  <c r="E66" i="44"/>
  <c r="E15" i="43"/>
  <c r="F145" i="44"/>
  <c r="E145" i="44"/>
  <c r="E13" i="43"/>
  <c r="E16" i="43"/>
  <c r="E17" i="43"/>
  <c r="E18" i="43"/>
  <c r="F142" i="44"/>
  <c r="F139" i="44"/>
  <c r="D58" i="44"/>
  <c r="E96" i="44"/>
  <c r="F144" i="44"/>
  <c r="D64" i="44"/>
  <c r="E148" i="44" s="1"/>
  <c r="F148" i="44"/>
  <c r="E146" i="44"/>
  <c r="F146" i="44"/>
  <c r="F143" i="44"/>
  <c r="E143" i="44"/>
  <c r="E37" i="44"/>
  <c r="E144" i="44"/>
  <c r="E139" i="44"/>
  <c r="E89" i="44"/>
  <c r="D49" i="44"/>
  <c r="E49" i="44"/>
  <c r="D110" i="44"/>
  <c r="E39" i="44"/>
  <c r="E127" i="44"/>
  <c r="E14" i="43"/>
  <c r="J14" i="43"/>
  <c r="J13" i="43"/>
  <c r="H816" i="2"/>
  <c r="H281" i="15"/>
  <c r="H815" i="2"/>
  <c r="H814" i="2"/>
  <c r="H813" i="2"/>
  <c r="H812" i="2"/>
  <c r="I90" i="43"/>
  <c r="H90" i="43"/>
  <c r="J90" i="43" s="1"/>
  <c r="I89" i="43"/>
  <c r="H89" i="43"/>
  <c r="J89" i="43" s="1"/>
  <c r="E90" i="43"/>
  <c r="E89" i="43"/>
  <c r="D87" i="43"/>
  <c r="H811" i="2"/>
  <c r="E62" i="43"/>
  <c r="D62" i="43" s="1"/>
  <c r="H810" i="2"/>
  <c r="H809" i="2"/>
  <c r="H808" i="2"/>
  <c r="H807" i="2"/>
  <c r="H806" i="2"/>
  <c r="H805" i="2"/>
  <c r="H804" i="2"/>
  <c r="H803" i="2"/>
  <c r="I105" i="43"/>
  <c r="H105" i="43"/>
  <c r="J105" i="43" s="1"/>
  <c r="E105" i="43"/>
  <c r="E99" i="43"/>
  <c r="H802" i="2"/>
  <c r="H800" i="2"/>
  <c r="H799" i="2"/>
  <c r="H797" i="2"/>
  <c r="H798" i="2"/>
  <c r="H796" i="2"/>
  <c r="H795" i="2"/>
  <c r="H801" i="2"/>
  <c r="H794" i="2"/>
  <c r="H793" i="2"/>
  <c r="H792" i="2"/>
  <c r="H790" i="2"/>
  <c r="H789" i="2"/>
  <c r="H788" i="2"/>
  <c r="H787" i="2"/>
  <c r="H786" i="2"/>
  <c r="H785" i="2"/>
  <c r="H784" i="2"/>
  <c r="H783" i="2"/>
  <c r="H782" i="2"/>
  <c r="H781" i="2"/>
  <c r="H791" i="2"/>
  <c r="D28" i="43"/>
  <c r="D774" i="2" s="1"/>
  <c r="D767" i="2"/>
  <c r="D766" i="2"/>
  <c r="D765" i="2"/>
  <c r="D20" i="43"/>
  <c r="D773" i="2" s="1"/>
  <c r="E150" i="44" l="1"/>
  <c r="F150" i="44"/>
  <c r="E159" i="44" s="1"/>
  <c r="F159" i="44"/>
  <c r="D62" i="44"/>
  <c r="D133" i="44" s="1"/>
  <c r="E154" i="44"/>
  <c r="F154" i="44"/>
  <c r="E110" i="44"/>
  <c r="E133" i="44" s="1"/>
  <c r="H780" i="2"/>
  <c r="H779" i="2"/>
  <c r="H778" i="2"/>
  <c r="E160" i="44" l="1"/>
  <c r="F160" i="44"/>
  <c r="E20" i="43"/>
  <c r="I117" i="43"/>
  <c r="H117" i="43"/>
  <c r="J117" i="43" s="1"/>
  <c r="E117" i="43"/>
  <c r="E116" i="43"/>
  <c r="E119" i="43"/>
  <c r="E161" i="44" l="1"/>
  <c r="E162" i="44" s="1"/>
  <c r="F161" i="44"/>
  <c r="F162" i="44" s="1"/>
  <c r="D25" i="43"/>
  <c r="D772" i="2" s="1"/>
  <c r="D24" i="43"/>
  <c r="D771" i="2" s="1"/>
  <c r="D23" i="43"/>
  <c r="D770" i="2" s="1"/>
  <c r="D22" i="43"/>
  <c r="D769" i="2" s="1"/>
  <c r="D21" i="43"/>
  <c r="D768" i="2" s="1"/>
  <c r="D19" i="43"/>
  <c r="D26" i="43"/>
  <c r="D27" i="43"/>
  <c r="D12" i="43" l="1"/>
  <c r="E19" i="43"/>
  <c r="E28" i="43"/>
  <c r="E21" i="43"/>
  <c r="E22" i="43"/>
  <c r="E24" i="43"/>
  <c r="E25" i="43"/>
  <c r="E23" i="43"/>
  <c r="H776" i="2"/>
  <c r="H775" i="2"/>
  <c r="H774" i="2"/>
  <c r="H280" i="15" l="1"/>
  <c r="H771" i="2"/>
  <c r="E26" i="43" l="1"/>
  <c r="I46" i="43" l="1"/>
  <c r="H46" i="43"/>
  <c r="J46" i="43" s="1"/>
  <c r="E46" i="43"/>
  <c r="D92" i="43"/>
  <c r="H770" i="2" l="1"/>
  <c r="H769" i="2"/>
  <c r="H768" i="2"/>
  <c r="H767" i="2"/>
  <c r="H766" i="2"/>
  <c r="H765" i="2"/>
  <c r="E39" i="43"/>
  <c r="D98" i="43"/>
  <c r="I98" i="43"/>
  <c r="H98" i="43"/>
  <c r="J98" i="43" s="1"/>
  <c r="E60" i="43"/>
  <c r="D61" i="43"/>
  <c r="I61" i="43"/>
  <c r="H61" i="43"/>
  <c r="J61" i="43" s="1"/>
  <c r="I88" i="43"/>
  <c r="H88" i="43"/>
  <c r="J88" i="43" s="1"/>
  <c r="I87" i="43"/>
  <c r="H87" i="43"/>
  <c r="J87" i="43" s="1"/>
  <c r="H821" i="2" l="1"/>
  <c r="E27" i="43"/>
  <c r="E12" i="43" s="1"/>
  <c r="D60" i="43"/>
  <c r="E10" i="43"/>
  <c r="E129" i="43"/>
  <c r="E128" i="43"/>
  <c r="E127" i="43"/>
  <c r="F126" i="43"/>
  <c r="I119" i="43"/>
  <c r="H119" i="43"/>
  <c r="J119" i="43" s="1"/>
  <c r="E118" i="43"/>
  <c r="D118" i="43"/>
  <c r="I116" i="43"/>
  <c r="H116" i="43"/>
  <c r="J116" i="43" s="1"/>
  <c r="I115" i="43"/>
  <c r="H115" i="43"/>
  <c r="J115" i="43" s="1"/>
  <c r="E115" i="43"/>
  <c r="E114" i="43" s="1"/>
  <c r="D114" i="43"/>
  <c r="I113" i="43"/>
  <c r="H113" i="43"/>
  <c r="J113" i="43" s="1"/>
  <c r="E113" i="43"/>
  <c r="I112" i="43"/>
  <c r="H112" i="43"/>
  <c r="J112" i="43" s="1"/>
  <c r="D112" i="43"/>
  <c r="D111" i="43" s="1"/>
  <c r="I110" i="43"/>
  <c r="H110" i="43"/>
  <c r="J110" i="43" s="1"/>
  <c r="E110" i="43"/>
  <c r="F128" i="43" s="1"/>
  <c r="J109" i="43"/>
  <c r="D109" i="43"/>
  <c r="I108" i="43"/>
  <c r="H108" i="43"/>
  <c r="J108" i="43" s="1"/>
  <c r="E108" i="43"/>
  <c r="E107" i="43" s="1"/>
  <c r="D107" i="43"/>
  <c r="I106" i="43"/>
  <c r="H106" i="43"/>
  <c r="J106" i="43" s="1"/>
  <c r="E106" i="43"/>
  <c r="I104" i="43"/>
  <c r="H104" i="43"/>
  <c r="J104" i="43" s="1"/>
  <c r="E104" i="43"/>
  <c r="I103" i="43"/>
  <c r="H103" i="43"/>
  <c r="J103" i="43" s="1"/>
  <c r="E103" i="43"/>
  <c r="I102" i="43"/>
  <c r="H102" i="43"/>
  <c r="J102" i="43" s="1"/>
  <c r="E102" i="43"/>
  <c r="I101" i="43"/>
  <c r="H101" i="43"/>
  <c r="J101" i="43" s="1"/>
  <c r="E101" i="43"/>
  <c r="I100" i="43"/>
  <c r="H100" i="43"/>
  <c r="J100" i="43" s="1"/>
  <c r="E100" i="43"/>
  <c r="I99" i="43"/>
  <c r="H99" i="43"/>
  <c r="J99" i="43" s="1"/>
  <c r="I96" i="43"/>
  <c r="H96" i="43"/>
  <c r="J96" i="43" s="1"/>
  <c r="E96" i="43"/>
  <c r="E95" i="43" s="1"/>
  <c r="D95" i="43"/>
  <c r="I94" i="43"/>
  <c r="H94" i="43"/>
  <c r="J94" i="43" s="1"/>
  <c r="E94" i="43"/>
  <c r="D93" i="43"/>
  <c r="I92" i="43"/>
  <c r="H92" i="43"/>
  <c r="J92" i="43" s="1"/>
  <c r="D91" i="43"/>
  <c r="E88" i="43"/>
  <c r="I85" i="43"/>
  <c r="H85" i="43"/>
  <c r="J85" i="43" s="1"/>
  <c r="E85" i="43"/>
  <c r="I84" i="43"/>
  <c r="H84" i="43"/>
  <c r="J84" i="43" s="1"/>
  <c r="E84" i="43"/>
  <c r="I83" i="43"/>
  <c r="H83" i="43"/>
  <c r="J83" i="43" s="1"/>
  <c r="E83" i="43"/>
  <c r="I82" i="43"/>
  <c r="H82" i="43"/>
  <c r="J82" i="43" s="1"/>
  <c r="E82" i="43"/>
  <c r="I81" i="43"/>
  <c r="H81" i="43"/>
  <c r="J81" i="43" s="1"/>
  <c r="E81" i="43"/>
  <c r="I80" i="43"/>
  <c r="H80" i="43"/>
  <c r="J80" i="43" s="1"/>
  <c r="E80" i="43"/>
  <c r="I79" i="43"/>
  <c r="H79" i="43"/>
  <c r="J79" i="43" s="1"/>
  <c r="E79" i="43"/>
  <c r="I78" i="43"/>
  <c r="H78" i="43"/>
  <c r="J78" i="43" s="1"/>
  <c r="E78" i="43"/>
  <c r="I77" i="43"/>
  <c r="H77" i="43"/>
  <c r="J77" i="43" s="1"/>
  <c r="E77" i="43"/>
  <c r="I76" i="43"/>
  <c r="H76" i="43"/>
  <c r="J76" i="43" s="1"/>
  <c r="E76" i="43"/>
  <c r="I75" i="43"/>
  <c r="H75" i="43"/>
  <c r="J75" i="43" s="1"/>
  <c r="E75" i="43"/>
  <c r="I74" i="43"/>
  <c r="H74" i="43"/>
  <c r="J74" i="43" s="1"/>
  <c r="E74" i="43"/>
  <c r="I73" i="43"/>
  <c r="H73" i="43"/>
  <c r="J73" i="43" s="1"/>
  <c r="E73" i="43"/>
  <c r="I72" i="43"/>
  <c r="H72" i="43"/>
  <c r="J72" i="43" s="1"/>
  <c r="E72" i="43"/>
  <c r="I71" i="43"/>
  <c r="H71" i="43"/>
  <c r="J71" i="43" s="1"/>
  <c r="E71" i="43"/>
  <c r="I70" i="43"/>
  <c r="H70" i="43"/>
  <c r="J70" i="43" s="1"/>
  <c r="E70" i="43"/>
  <c r="I69" i="43"/>
  <c r="H69" i="43"/>
  <c r="J69" i="43" s="1"/>
  <c r="E69" i="43"/>
  <c r="I68" i="43"/>
  <c r="H68" i="43"/>
  <c r="J68" i="43" s="1"/>
  <c r="E68" i="43"/>
  <c r="I67" i="43"/>
  <c r="H67" i="43"/>
  <c r="J67" i="43" s="1"/>
  <c r="E67" i="43"/>
  <c r="I66" i="43"/>
  <c r="H66" i="43"/>
  <c r="J66" i="43" s="1"/>
  <c r="E66" i="43"/>
  <c r="I65" i="43"/>
  <c r="H65" i="43"/>
  <c r="J65" i="43" s="1"/>
  <c r="E65" i="43"/>
  <c r="I64" i="43"/>
  <c r="H64" i="43"/>
  <c r="J64" i="43" s="1"/>
  <c r="E64" i="43"/>
  <c r="D63" i="43"/>
  <c r="I62" i="43"/>
  <c r="H62" i="43"/>
  <c r="J62" i="43" s="1"/>
  <c r="I59" i="43"/>
  <c r="H59" i="43"/>
  <c r="J59" i="43" s="1"/>
  <c r="E58" i="43"/>
  <c r="D58" i="43"/>
  <c r="I57" i="43"/>
  <c r="H57" i="43"/>
  <c r="J57" i="43" s="1"/>
  <c r="D57" i="43"/>
  <c r="E56" i="43"/>
  <c r="I55" i="43"/>
  <c r="H55" i="43"/>
  <c r="J55" i="43" s="1"/>
  <c r="E55" i="43"/>
  <c r="I54" i="43"/>
  <c r="H54" i="43"/>
  <c r="J54" i="43" s="1"/>
  <c r="E54" i="43"/>
  <c r="I53" i="43"/>
  <c r="H53" i="43"/>
  <c r="J53" i="43" s="1"/>
  <c r="E53" i="43"/>
  <c r="I52" i="43"/>
  <c r="H52" i="43"/>
  <c r="J52" i="43" s="1"/>
  <c r="E52" i="43"/>
  <c r="I51" i="43"/>
  <c r="H51" i="43"/>
  <c r="J51" i="43" s="1"/>
  <c r="E51" i="43"/>
  <c r="I50" i="43"/>
  <c r="H50" i="43"/>
  <c r="J50" i="43" s="1"/>
  <c r="D50" i="43"/>
  <c r="I49" i="43"/>
  <c r="H49" i="43"/>
  <c r="J49" i="43" s="1"/>
  <c r="D49" i="43"/>
  <c r="I48" i="43"/>
  <c r="H48" i="43"/>
  <c r="J48" i="43" s="1"/>
  <c r="D48" i="43"/>
  <c r="I45" i="43"/>
  <c r="H45" i="43"/>
  <c r="J45" i="43" s="1"/>
  <c r="E45" i="43"/>
  <c r="I44" i="43"/>
  <c r="H44" i="43"/>
  <c r="J44" i="43" s="1"/>
  <c r="E44" i="43"/>
  <c r="I43" i="43"/>
  <c r="H43" i="43"/>
  <c r="J43" i="43" s="1"/>
  <c r="D43" i="43"/>
  <c r="E43" i="43" s="1"/>
  <c r="I42" i="43"/>
  <c r="H42" i="43"/>
  <c r="J42" i="43" s="1"/>
  <c r="D42" i="43"/>
  <c r="J41" i="43"/>
  <c r="I40" i="43"/>
  <c r="H40" i="43"/>
  <c r="J40" i="43" s="1"/>
  <c r="E40" i="43"/>
  <c r="I39" i="43"/>
  <c r="H39" i="43"/>
  <c r="J39" i="43" s="1"/>
  <c r="I38" i="43"/>
  <c r="H38" i="43"/>
  <c r="J38" i="43" s="1"/>
  <c r="E38" i="43"/>
  <c r="J37" i="43"/>
  <c r="D37" i="43"/>
  <c r="I36" i="43"/>
  <c r="H36" i="43"/>
  <c r="J36" i="43" s="1"/>
  <c r="E36" i="43"/>
  <c r="D35" i="43"/>
  <c r="E79" i="4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6" i="2"/>
  <c r="H692" i="2"/>
  <c r="H694" i="2"/>
  <c r="H695" i="2"/>
  <c r="H696" i="2"/>
  <c r="H697" i="2"/>
  <c r="H698" i="2"/>
  <c r="H699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30" i="2"/>
  <c r="H731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E126" i="43" l="1"/>
  <c r="D41" i="43"/>
  <c r="E41" i="43"/>
  <c r="E47" i="43"/>
  <c r="D47" i="43"/>
  <c r="E131" i="43"/>
  <c r="E35" i="43"/>
  <c r="D56" i="43"/>
  <c r="E93" i="43"/>
  <c r="F131" i="43"/>
  <c r="F130" i="43"/>
  <c r="E130" i="43"/>
  <c r="F129" i="43"/>
  <c r="F127" i="43"/>
  <c r="E111" i="43"/>
  <c r="E91" i="43"/>
  <c r="E37" i="43"/>
  <c r="E109" i="43"/>
  <c r="E63" i="43"/>
  <c r="H286" i="15"/>
  <c r="E108" i="42"/>
  <c r="D108" i="42"/>
  <c r="D20" i="42"/>
  <c r="I88" i="42"/>
  <c r="H88" i="42"/>
  <c r="J88" i="42" s="1"/>
  <c r="E88" i="42"/>
  <c r="I135" i="42"/>
  <c r="H135" i="42"/>
  <c r="J135" i="42" s="1"/>
  <c r="E133" i="42"/>
  <c r="E132" i="42" s="1"/>
  <c r="D132" i="42"/>
  <c r="I134" i="42"/>
  <c r="H134" i="42"/>
  <c r="J134" i="42" s="1"/>
  <c r="I133" i="42"/>
  <c r="H133" i="42"/>
  <c r="J133" i="42" s="1"/>
  <c r="F136" i="43" l="1"/>
  <c r="E136" i="43"/>
  <c r="E132" i="43"/>
  <c r="F132" i="43"/>
  <c r="F142" i="43" s="1"/>
  <c r="D120" i="43"/>
  <c r="E120" i="43"/>
  <c r="D37" i="42"/>
  <c r="I57" i="42"/>
  <c r="H57" i="42"/>
  <c r="J57" i="42" s="1"/>
  <c r="E57" i="42"/>
  <c r="I56" i="42"/>
  <c r="H56" i="42"/>
  <c r="J56" i="42" s="1"/>
  <c r="E56" i="42"/>
  <c r="I55" i="42"/>
  <c r="H55" i="42"/>
  <c r="J55" i="42" s="1"/>
  <c r="E55" i="42"/>
  <c r="I54" i="42"/>
  <c r="H54" i="42"/>
  <c r="J54" i="42" s="1"/>
  <c r="E54" i="42"/>
  <c r="I53" i="42"/>
  <c r="H53" i="42"/>
  <c r="J53" i="42" s="1"/>
  <c r="E53" i="42"/>
  <c r="I52" i="42"/>
  <c r="H52" i="42"/>
  <c r="J52" i="42" s="1"/>
  <c r="E52" i="42"/>
  <c r="I51" i="42"/>
  <c r="H51" i="42"/>
  <c r="J51" i="42" s="1"/>
  <c r="E51" i="42"/>
  <c r="I50" i="42"/>
  <c r="H50" i="42"/>
  <c r="J50" i="42" s="1"/>
  <c r="E50" i="42"/>
  <c r="I49" i="42"/>
  <c r="H49" i="42"/>
  <c r="J49" i="42" s="1"/>
  <c r="E49" i="42"/>
  <c r="I48" i="42"/>
  <c r="H48" i="42"/>
  <c r="J48" i="42" s="1"/>
  <c r="E48" i="42"/>
  <c r="I47" i="42"/>
  <c r="H47" i="42"/>
  <c r="J47" i="42" s="1"/>
  <c r="E47" i="42"/>
  <c r="I46" i="42"/>
  <c r="H46" i="42"/>
  <c r="J46" i="42" s="1"/>
  <c r="E46" i="42"/>
  <c r="I45" i="42"/>
  <c r="H45" i="42"/>
  <c r="J45" i="42" s="1"/>
  <c r="E45" i="42"/>
  <c r="I44" i="42"/>
  <c r="H44" i="42"/>
  <c r="J44" i="42" s="1"/>
  <c r="E44" i="42"/>
  <c r="D64" i="42"/>
  <c r="D125" i="42"/>
  <c r="I127" i="42"/>
  <c r="H127" i="42"/>
  <c r="J127" i="42" s="1"/>
  <c r="E127" i="42"/>
  <c r="D129" i="42"/>
  <c r="D128" i="42" s="1"/>
  <c r="I131" i="42"/>
  <c r="H131" i="42"/>
  <c r="J131" i="42" s="1"/>
  <c r="E131" i="42"/>
  <c r="I130" i="42"/>
  <c r="H130" i="42"/>
  <c r="J130" i="42" s="1"/>
  <c r="E130" i="42"/>
  <c r="I129" i="42"/>
  <c r="H129" i="42"/>
  <c r="J129" i="42" s="1"/>
  <c r="D29" i="42" l="1"/>
  <c r="E142" i="43"/>
  <c r="F141" i="43"/>
  <c r="E141" i="43"/>
  <c r="E128" i="42"/>
  <c r="D27" i="42"/>
  <c r="I42" i="42"/>
  <c r="H42" i="42"/>
  <c r="J42" i="42" s="1"/>
  <c r="E42" i="42"/>
  <c r="E122" i="42"/>
  <c r="E121" i="42"/>
  <c r="E120" i="42"/>
  <c r="E119" i="42"/>
  <c r="E118" i="42"/>
  <c r="E117" i="42"/>
  <c r="E116" i="42"/>
  <c r="I122" i="42"/>
  <c r="H122" i="42"/>
  <c r="J122" i="42" s="1"/>
  <c r="I120" i="42"/>
  <c r="H120" i="42"/>
  <c r="J120" i="42" s="1"/>
  <c r="D114" i="42"/>
  <c r="D115" i="42"/>
  <c r="E64" i="42"/>
  <c r="I64" i="42"/>
  <c r="H64" i="42"/>
  <c r="J64" i="42" s="1"/>
  <c r="I63" i="42"/>
  <c r="H63" i="42"/>
  <c r="J63" i="42" s="1"/>
  <c r="E63" i="42"/>
  <c r="H267" i="15"/>
  <c r="E143" i="43" l="1"/>
  <c r="E144" i="43" s="1"/>
  <c r="F143" i="43"/>
  <c r="F144" i="43" s="1"/>
  <c r="D113" i="42"/>
  <c r="D26" i="42" l="1"/>
  <c r="D25" i="42"/>
  <c r="D24" i="42"/>
  <c r="D23" i="42"/>
  <c r="D22" i="42"/>
  <c r="D21" i="42"/>
  <c r="D28" i="42" l="1"/>
  <c r="E27" i="42" l="1"/>
  <c r="E29" i="42"/>
  <c r="E23" i="42"/>
  <c r="E25" i="42"/>
  <c r="E26" i="42"/>
  <c r="E24" i="42"/>
  <c r="E21" i="42"/>
  <c r="E22" i="42"/>
  <c r="E28" i="42"/>
  <c r="D12" i="42"/>
  <c r="E12" i="42" s="1"/>
  <c r="D104" i="42"/>
  <c r="I104" i="42"/>
  <c r="H104" i="42"/>
  <c r="J104" i="42" s="1"/>
  <c r="D15" i="42"/>
  <c r="D14" i="42"/>
  <c r="E18" i="42" l="1"/>
  <c r="D18" i="42" s="1"/>
  <c r="E20" i="42"/>
  <c r="G20" i="42" s="1"/>
  <c r="E19" i="42"/>
  <c r="D19" i="42" s="1"/>
  <c r="E16" i="42"/>
  <c r="D16" i="42" s="1"/>
  <c r="E17" i="42"/>
  <c r="D17" i="42" s="1"/>
  <c r="E14" i="42"/>
  <c r="I115" i="42" l="1"/>
  <c r="H115" i="42"/>
  <c r="J115" i="42" s="1"/>
  <c r="I114" i="42"/>
  <c r="H114" i="42"/>
  <c r="J114" i="42" s="1"/>
  <c r="E115" i="42" l="1"/>
  <c r="E113" i="42" s="1"/>
  <c r="I40" i="42"/>
  <c r="H40" i="42"/>
  <c r="J40" i="42" s="1"/>
  <c r="E40" i="42"/>
  <c r="E39" i="42"/>
  <c r="E41" i="42" l="1"/>
  <c r="I39" i="42"/>
  <c r="H39" i="42"/>
  <c r="J39" i="42" s="1"/>
  <c r="H272" i="15"/>
  <c r="F144" i="42"/>
  <c r="D59" i="42"/>
  <c r="E137" i="42"/>
  <c r="E136" i="42" s="1"/>
  <c r="I137" i="42"/>
  <c r="H137" i="42"/>
  <c r="J137" i="42" s="1"/>
  <c r="D136" i="42" l="1"/>
  <c r="I108" i="42"/>
  <c r="H108" i="42"/>
  <c r="J108" i="42" s="1"/>
  <c r="I126" i="42"/>
  <c r="H126" i="42"/>
  <c r="J126" i="42" s="1"/>
  <c r="E126" i="42"/>
  <c r="E125" i="42" s="1"/>
  <c r="J125" i="42"/>
  <c r="I124" i="42"/>
  <c r="H124" i="42"/>
  <c r="J124" i="42" s="1"/>
  <c r="E124" i="42"/>
  <c r="E123" i="42" s="1"/>
  <c r="D123" i="42"/>
  <c r="I112" i="42"/>
  <c r="H112" i="42"/>
  <c r="J112" i="42" s="1"/>
  <c r="E112" i="42"/>
  <c r="E111" i="42" s="1"/>
  <c r="D111" i="42"/>
  <c r="I110" i="42"/>
  <c r="H110" i="42"/>
  <c r="J110" i="42" s="1"/>
  <c r="E110" i="42"/>
  <c r="E109" i="42" s="1"/>
  <c r="D109" i="42"/>
  <c r="I106" i="42"/>
  <c r="H106" i="42"/>
  <c r="J106" i="42" s="1"/>
  <c r="E106" i="42"/>
  <c r="I105" i="42"/>
  <c r="H105" i="42"/>
  <c r="J105" i="42" s="1"/>
  <c r="D105" i="42"/>
  <c r="I121" i="42"/>
  <c r="H121" i="42"/>
  <c r="J121" i="42" s="1"/>
  <c r="I119" i="42"/>
  <c r="H119" i="42"/>
  <c r="J119" i="42" s="1"/>
  <c r="I118" i="42"/>
  <c r="H118" i="42"/>
  <c r="J118" i="42" s="1"/>
  <c r="I117" i="42"/>
  <c r="H117" i="42"/>
  <c r="J117" i="42" s="1"/>
  <c r="I116" i="42"/>
  <c r="H116" i="42"/>
  <c r="J116" i="42" s="1"/>
  <c r="I102" i="42"/>
  <c r="H102" i="42"/>
  <c r="J102" i="42" s="1"/>
  <c r="E102" i="42"/>
  <c r="I101" i="42"/>
  <c r="H101" i="42"/>
  <c r="J101" i="42" s="1"/>
  <c r="E101" i="42"/>
  <c r="I98" i="42"/>
  <c r="H98" i="42"/>
  <c r="J98" i="42" s="1"/>
  <c r="E98" i="42"/>
  <c r="I97" i="42"/>
  <c r="H97" i="42"/>
  <c r="J97" i="42" s="1"/>
  <c r="E97" i="42"/>
  <c r="I96" i="42"/>
  <c r="H96" i="42"/>
  <c r="J96" i="42" s="1"/>
  <c r="E96" i="42"/>
  <c r="I95" i="42"/>
  <c r="H95" i="42"/>
  <c r="J95" i="42" s="1"/>
  <c r="E95" i="42"/>
  <c r="I94" i="42"/>
  <c r="H94" i="42"/>
  <c r="J94" i="42" s="1"/>
  <c r="E94" i="42"/>
  <c r="I100" i="42"/>
  <c r="H100" i="42"/>
  <c r="J100" i="42" s="1"/>
  <c r="E100" i="42"/>
  <c r="I99" i="42"/>
  <c r="H99" i="42"/>
  <c r="J99" i="42" s="1"/>
  <c r="E99" i="42"/>
  <c r="I93" i="42"/>
  <c r="H93" i="42"/>
  <c r="J93" i="42" s="1"/>
  <c r="E93" i="42"/>
  <c r="I92" i="42"/>
  <c r="H92" i="42"/>
  <c r="J92" i="42" s="1"/>
  <c r="E92" i="42"/>
  <c r="I91" i="42"/>
  <c r="H91" i="42"/>
  <c r="J91" i="42" s="1"/>
  <c r="E91" i="42"/>
  <c r="I90" i="42"/>
  <c r="H90" i="42"/>
  <c r="J90" i="42" s="1"/>
  <c r="E90" i="42"/>
  <c r="I89" i="42"/>
  <c r="H89" i="42"/>
  <c r="J89" i="42" s="1"/>
  <c r="E89" i="42"/>
  <c r="I87" i="42"/>
  <c r="H87" i="42"/>
  <c r="J87" i="42" s="1"/>
  <c r="E87" i="42"/>
  <c r="I86" i="42"/>
  <c r="H86" i="42"/>
  <c r="J86" i="42" s="1"/>
  <c r="E86" i="42"/>
  <c r="I85" i="42"/>
  <c r="H85" i="42"/>
  <c r="J85" i="42" s="1"/>
  <c r="E85" i="42"/>
  <c r="I84" i="42"/>
  <c r="H84" i="42"/>
  <c r="J84" i="42" s="1"/>
  <c r="E84" i="42"/>
  <c r="I83" i="42"/>
  <c r="H83" i="42"/>
  <c r="J83" i="42" s="1"/>
  <c r="E83" i="42"/>
  <c r="I82" i="42"/>
  <c r="H82" i="42"/>
  <c r="J82" i="42" s="1"/>
  <c r="E82" i="42"/>
  <c r="I81" i="42"/>
  <c r="H81" i="42"/>
  <c r="J81" i="42" s="1"/>
  <c r="E81" i="42"/>
  <c r="D80" i="42"/>
  <c r="I79" i="42"/>
  <c r="H79" i="42"/>
  <c r="J79" i="42" s="1"/>
  <c r="E78" i="42"/>
  <c r="I77" i="42"/>
  <c r="H77" i="42"/>
  <c r="J77" i="42" s="1"/>
  <c r="E76" i="42"/>
  <c r="D76" i="42"/>
  <c r="I75" i="42"/>
  <c r="H75" i="42"/>
  <c r="J75" i="42" s="1"/>
  <c r="D75" i="42"/>
  <c r="D74" i="42" s="1"/>
  <c r="E74" i="42"/>
  <c r="I73" i="42"/>
  <c r="H73" i="42"/>
  <c r="J73" i="42" s="1"/>
  <c r="E73" i="42"/>
  <c r="I72" i="42"/>
  <c r="H72" i="42"/>
  <c r="J72" i="42" s="1"/>
  <c r="E72" i="42"/>
  <c r="I71" i="42"/>
  <c r="H71" i="42"/>
  <c r="J71" i="42" s="1"/>
  <c r="E71" i="42"/>
  <c r="I70" i="42"/>
  <c r="H70" i="42"/>
  <c r="J70" i="42" s="1"/>
  <c r="E70" i="42"/>
  <c r="I69" i="42"/>
  <c r="H69" i="42"/>
  <c r="J69" i="42" s="1"/>
  <c r="E69" i="42"/>
  <c r="I68" i="42"/>
  <c r="H68" i="42"/>
  <c r="J68" i="42" s="1"/>
  <c r="D68" i="42"/>
  <c r="I67" i="42"/>
  <c r="H67" i="42"/>
  <c r="J67" i="42" s="1"/>
  <c r="D67" i="42"/>
  <c r="I66" i="42"/>
  <c r="H66" i="42"/>
  <c r="J66" i="42" s="1"/>
  <c r="D66" i="42"/>
  <c r="I60" i="42"/>
  <c r="H60" i="42"/>
  <c r="J60" i="42" s="1"/>
  <c r="D60" i="42"/>
  <c r="I62" i="42"/>
  <c r="H62" i="42"/>
  <c r="J62" i="42" s="1"/>
  <c r="E62" i="42"/>
  <c r="I61" i="42"/>
  <c r="H61" i="42"/>
  <c r="J61" i="42" s="1"/>
  <c r="E61" i="42"/>
  <c r="I59" i="42"/>
  <c r="H59" i="42"/>
  <c r="J59" i="42" s="1"/>
  <c r="E144" i="42"/>
  <c r="J58" i="42"/>
  <c r="I43" i="42"/>
  <c r="H43" i="42"/>
  <c r="J43" i="42" s="1"/>
  <c r="I41" i="42"/>
  <c r="H41" i="42"/>
  <c r="J41" i="42" s="1"/>
  <c r="I38" i="42"/>
  <c r="H38" i="42"/>
  <c r="J38" i="42" s="1"/>
  <c r="E38" i="42"/>
  <c r="J37" i="42"/>
  <c r="I36" i="42"/>
  <c r="H36" i="42"/>
  <c r="J36" i="42" s="1"/>
  <c r="E36" i="42"/>
  <c r="E35" i="42" s="1"/>
  <c r="D35" i="42"/>
  <c r="E17" i="41"/>
  <c r="E60" i="42" l="1"/>
  <c r="E58" i="42" s="1"/>
  <c r="H758" i="2"/>
  <c r="D103" i="42"/>
  <c r="E103" i="42"/>
  <c r="E43" i="42"/>
  <c r="E37" i="42" s="1"/>
  <c r="F145" i="42"/>
  <c r="E146" i="42"/>
  <c r="F147" i="42"/>
  <c r="E148" i="42"/>
  <c r="E147" i="42"/>
  <c r="D107" i="42"/>
  <c r="E65" i="42"/>
  <c r="D65" i="42"/>
  <c r="D78" i="42"/>
  <c r="E107" i="42"/>
  <c r="E80" i="42"/>
  <c r="D58" i="42"/>
  <c r="D42" i="41"/>
  <c r="I67" i="41"/>
  <c r="H67" i="41"/>
  <c r="J67" i="41" s="1"/>
  <c r="D67" i="41"/>
  <c r="H679" i="2" s="1"/>
  <c r="D113" i="41"/>
  <c r="H678" i="2" s="1"/>
  <c r="I113" i="41"/>
  <c r="H113" i="41"/>
  <c r="J113" i="41" s="1"/>
  <c r="D28" i="41"/>
  <c r="I41" i="41"/>
  <c r="H41" i="41"/>
  <c r="J41" i="41" s="1"/>
  <c r="E41" i="41"/>
  <c r="I40" i="41"/>
  <c r="H40" i="41"/>
  <c r="J40" i="41" s="1"/>
  <c r="E40" i="41"/>
  <c r="H672" i="2"/>
  <c r="F148" i="42" l="1"/>
  <c r="F146" i="42"/>
  <c r="E145" i="42"/>
  <c r="E153" i="42" s="1"/>
  <c r="E28" i="41"/>
  <c r="E138" i="42"/>
  <c r="D138" i="42"/>
  <c r="H674" i="2"/>
  <c r="F153" i="42" l="1"/>
  <c r="F149" i="42"/>
  <c r="F159" i="42" s="1"/>
  <c r="E149" i="42"/>
  <c r="D643" i="2"/>
  <c r="D644" i="2"/>
  <c r="D24" i="41"/>
  <c r="D22" i="41"/>
  <c r="D29" i="41"/>
  <c r="H257" i="15"/>
  <c r="H256" i="15"/>
  <c r="H255" i="15"/>
  <c r="H254" i="15"/>
  <c r="H673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D635" i="2"/>
  <c r="D634" i="2"/>
  <c r="D633" i="2"/>
  <c r="D632" i="2"/>
  <c r="D631" i="2"/>
  <c r="D630" i="2"/>
  <c r="H637" i="2"/>
  <c r="H647" i="2"/>
  <c r="H645" i="2"/>
  <c r="H644" i="2"/>
  <c r="H642" i="2"/>
  <c r="I102" i="41"/>
  <c r="H102" i="41"/>
  <c r="J102" i="41" s="1"/>
  <c r="E102" i="41"/>
  <c r="I100" i="41"/>
  <c r="H100" i="41"/>
  <c r="J100" i="41" s="1"/>
  <c r="D100" i="41"/>
  <c r="E159" i="42" l="1"/>
  <c r="F158" i="42"/>
  <c r="F160" i="42" s="1"/>
  <c r="F161" i="42" s="1"/>
  <c r="E158" i="42"/>
  <c r="E29" i="41"/>
  <c r="J659" i="2"/>
  <c r="D26" i="41"/>
  <c r="D640" i="2" s="1"/>
  <c r="D25" i="41"/>
  <c r="D641" i="2" s="1"/>
  <c r="D21" i="41"/>
  <c r="D638" i="2" s="1"/>
  <c r="D20" i="41"/>
  <c r="D637" i="2" s="1"/>
  <c r="D642" i="2"/>
  <c r="D91" i="41"/>
  <c r="E96" i="41"/>
  <c r="E95" i="41"/>
  <c r="E94" i="41"/>
  <c r="E93" i="41"/>
  <c r="E92" i="41"/>
  <c r="I96" i="41"/>
  <c r="H96" i="41"/>
  <c r="J96" i="41" s="1"/>
  <c r="I95" i="41"/>
  <c r="H95" i="41"/>
  <c r="J95" i="41" s="1"/>
  <c r="I94" i="41"/>
  <c r="H94" i="41"/>
  <c r="J94" i="41" s="1"/>
  <c r="I93" i="41"/>
  <c r="H93" i="41"/>
  <c r="J93" i="41" s="1"/>
  <c r="I92" i="41"/>
  <c r="H92" i="41"/>
  <c r="J92" i="41" s="1"/>
  <c r="E84" i="40"/>
  <c r="H84" i="40"/>
  <c r="J84" i="40" s="1"/>
  <c r="I84" i="40"/>
  <c r="E99" i="40"/>
  <c r="H99" i="40"/>
  <c r="J99" i="40" s="1"/>
  <c r="I99" i="40"/>
  <c r="D19" i="41"/>
  <c r="D18" i="41"/>
  <c r="D16" i="41"/>
  <c r="D15" i="41"/>
  <c r="D14" i="41"/>
  <c r="I115" i="41"/>
  <c r="H115" i="41"/>
  <c r="J115" i="41" s="1"/>
  <c r="E115" i="41"/>
  <c r="E114" i="41" s="1"/>
  <c r="D114" i="41"/>
  <c r="H641" i="2"/>
  <c r="H640" i="2"/>
  <c r="H639" i="2"/>
  <c r="H638" i="2"/>
  <c r="E112" i="41"/>
  <c r="E111" i="41"/>
  <c r="E110" i="41"/>
  <c r="E109" i="41"/>
  <c r="E108" i="41"/>
  <c r="I112" i="41"/>
  <c r="H112" i="41"/>
  <c r="J112" i="41" s="1"/>
  <c r="I111" i="41"/>
  <c r="H111" i="41"/>
  <c r="J111" i="41" s="1"/>
  <c r="I110" i="41"/>
  <c r="H110" i="41"/>
  <c r="J110" i="41" s="1"/>
  <c r="I109" i="41"/>
  <c r="H109" i="41"/>
  <c r="J109" i="41" s="1"/>
  <c r="I108" i="41"/>
  <c r="H108" i="41"/>
  <c r="J108" i="41" s="1"/>
  <c r="D27" i="41"/>
  <c r="E160" i="42" l="1"/>
  <c r="E161" i="42" s="1"/>
  <c r="D23" i="41"/>
  <c r="D639" i="2" s="1"/>
  <c r="E91" i="41"/>
  <c r="D49" i="41"/>
  <c r="H49" i="41"/>
  <c r="J49" i="41" s="1"/>
  <c r="I49" i="41"/>
  <c r="D13" i="42" l="1"/>
  <c r="E49" i="41"/>
  <c r="H675" i="2"/>
  <c r="H636" i="2"/>
  <c r="H631" i="2"/>
  <c r="H629" i="2"/>
  <c r="D107" i="41"/>
  <c r="D103" i="41" s="1"/>
  <c r="D66" i="41"/>
  <c r="D65" i="41" s="1"/>
  <c r="I66" i="41"/>
  <c r="H66" i="41"/>
  <c r="J66" i="41" s="1"/>
  <c r="E65" i="41"/>
  <c r="E106" i="41"/>
  <c r="I106" i="41"/>
  <c r="H106" i="41"/>
  <c r="J106" i="41" s="1"/>
  <c r="I107" i="41"/>
  <c r="H107" i="41"/>
  <c r="J107" i="41" s="1"/>
  <c r="E27" i="41" l="1"/>
  <c r="H634" i="2"/>
  <c r="H635" i="2"/>
  <c r="D37" i="41" l="1"/>
  <c r="E26" i="41" l="1"/>
  <c r="H633" i="2"/>
  <c r="H632" i="2"/>
  <c r="E19" i="41"/>
  <c r="E21" i="41" l="1"/>
  <c r="E24" i="41"/>
  <c r="E22" i="41"/>
  <c r="E25" i="41"/>
  <c r="E23" i="41"/>
  <c r="E20" i="41"/>
  <c r="D13" i="41"/>
  <c r="D45" i="41"/>
  <c r="H252" i="15"/>
  <c r="I45" i="41"/>
  <c r="H45" i="41"/>
  <c r="J45" i="41" s="1"/>
  <c r="H630" i="2"/>
  <c r="D50" i="41"/>
  <c r="I105" i="41"/>
  <c r="H105" i="41"/>
  <c r="J105" i="41" s="1"/>
  <c r="E105" i="41"/>
  <c r="E42" i="41"/>
  <c r="E39" i="41"/>
  <c r="D10" i="41"/>
  <c r="E130" i="41"/>
  <c r="E129" i="41"/>
  <c r="E128" i="41"/>
  <c r="F127" i="41"/>
  <c r="E127" i="41"/>
  <c r="F125" i="41"/>
  <c r="E125" i="41"/>
  <c r="F124" i="41"/>
  <c r="E124" i="41"/>
  <c r="I117" i="41"/>
  <c r="H117" i="41"/>
  <c r="J117" i="41" s="1"/>
  <c r="E117" i="41"/>
  <c r="E116" i="41" s="1"/>
  <c r="D116" i="41"/>
  <c r="I104" i="41"/>
  <c r="H104" i="41"/>
  <c r="J104" i="41" s="1"/>
  <c r="E104" i="41"/>
  <c r="I101" i="41"/>
  <c r="H101" i="41"/>
  <c r="J101" i="41" s="1"/>
  <c r="E101" i="41"/>
  <c r="E97" i="41" s="1"/>
  <c r="I99" i="41"/>
  <c r="H99" i="41"/>
  <c r="J99" i="41" s="1"/>
  <c r="D99" i="41"/>
  <c r="I98" i="41"/>
  <c r="H98" i="41"/>
  <c r="J98" i="41" s="1"/>
  <c r="D98" i="41"/>
  <c r="I90" i="41"/>
  <c r="H90" i="41"/>
  <c r="J90" i="41" s="1"/>
  <c r="E90" i="41"/>
  <c r="I89" i="41"/>
  <c r="H89" i="41"/>
  <c r="J89" i="41" s="1"/>
  <c r="E89" i="41"/>
  <c r="I88" i="41"/>
  <c r="H88" i="41"/>
  <c r="J88" i="41" s="1"/>
  <c r="E88" i="41"/>
  <c r="I87" i="41"/>
  <c r="H87" i="41"/>
  <c r="J87" i="41" s="1"/>
  <c r="E87" i="41"/>
  <c r="I86" i="41"/>
  <c r="H86" i="41"/>
  <c r="J86" i="41" s="1"/>
  <c r="E86" i="41"/>
  <c r="I85" i="41"/>
  <c r="H85" i="41"/>
  <c r="J85" i="41" s="1"/>
  <c r="E85" i="41"/>
  <c r="I84" i="41"/>
  <c r="H84" i="41"/>
  <c r="J84" i="41" s="1"/>
  <c r="E84" i="41"/>
  <c r="I83" i="41"/>
  <c r="H83" i="41"/>
  <c r="J83" i="41" s="1"/>
  <c r="E83" i="41"/>
  <c r="I82" i="41"/>
  <c r="H82" i="41"/>
  <c r="J82" i="41" s="1"/>
  <c r="E82" i="41"/>
  <c r="I81" i="41"/>
  <c r="H81" i="41"/>
  <c r="J81" i="41" s="1"/>
  <c r="E81" i="41"/>
  <c r="I80" i="41"/>
  <c r="H80" i="41"/>
  <c r="J80" i="41" s="1"/>
  <c r="E80" i="41"/>
  <c r="I79" i="41"/>
  <c r="H79" i="41"/>
  <c r="J79" i="41" s="1"/>
  <c r="E79" i="41"/>
  <c r="I78" i="41"/>
  <c r="H78" i="41"/>
  <c r="J78" i="41" s="1"/>
  <c r="E78" i="41"/>
  <c r="I77" i="41"/>
  <c r="H77" i="41"/>
  <c r="J77" i="41" s="1"/>
  <c r="E77" i="41"/>
  <c r="I76" i="41"/>
  <c r="H76" i="41"/>
  <c r="J76" i="41" s="1"/>
  <c r="E76" i="41"/>
  <c r="I75" i="41"/>
  <c r="H75" i="41"/>
  <c r="J75" i="41" s="1"/>
  <c r="E75" i="41"/>
  <c r="I74" i="41"/>
  <c r="H74" i="41"/>
  <c r="J74" i="41" s="1"/>
  <c r="E74" i="41"/>
  <c r="I73" i="41"/>
  <c r="H73" i="41"/>
  <c r="J73" i="41" s="1"/>
  <c r="E73" i="41"/>
  <c r="I72" i="41"/>
  <c r="H72" i="41"/>
  <c r="J72" i="41" s="1"/>
  <c r="E72" i="41"/>
  <c r="I71" i="41"/>
  <c r="H71" i="41"/>
  <c r="J71" i="41" s="1"/>
  <c r="E71" i="41"/>
  <c r="I70" i="41"/>
  <c r="H70" i="41"/>
  <c r="J70" i="41" s="1"/>
  <c r="E70" i="41"/>
  <c r="I68" i="41"/>
  <c r="H68" i="41"/>
  <c r="J68" i="41" s="1"/>
  <c r="I64" i="41"/>
  <c r="H64" i="41"/>
  <c r="J64" i="41" s="1"/>
  <c r="E63" i="41"/>
  <c r="D63" i="41"/>
  <c r="I62" i="41"/>
  <c r="H62" i="41"/>
  <c r="J62" i="41" s="1"/>
  <c r="D62" i="41"/>
  <c r="I60" i="41"/>
  <c r="H60" i="41"/>
  <c r="J60" i="41" s="1"/>
  <c r="E60" i="41"/>
  <c r="I59" i="41"/>
  <c r="H59" i="41"/>
  <c r="J59" i="41" s="1"/>
  <c r="E59" i="41"/>
  <c r="I58" i="41"/>
  <c r="H58" i="41"/>
  <c r="J58" i="41" s="1"/>
  <c r="E58" i="41"/>
  <c r="I57" i="41"/>
  <c r="H57" i="41"/>
  <c r="J57" i="41" s="1"/>
  <c r="E57" i="41"/>
  <c r="I56" i="41"/>
  <c r="H56" i="41"/>
  <c r="J56" i="41" s="1"/>
  <c r="E56" i="41"/>
  <c r="I55" i="41"/>
  <c r="H55" i="41"/>
  <c r="J55" i="41" s="1"/>
  <c r="E55" i="41"/>
  <c r="I54" i="41"/>
  <c r="H54" i="41"/>
  <c r="J54" i="41" s="1"/>
  <c r="D54" i="41"/>
  <c r="I53" i="41"/>
  <c r="H53" i="41"/>
  <c r="J53" i="41" s="1"/>
  <c r="D53" i="41"/>
  <c r="I52" i="41"/>
  <c r="H52" i="41"/>
  <c r="J52" i="41" s="1"/>
  <c r="D52" i="41"/>
  <c r="I50" i="41"/>
  <c r="H50" i="41"/>
  <c r="J50" i="41" s="1"/>
  <c r="I44" i="41"/>
  <c r="H44" i="41"/>
  <c r="J44" i="41" s="1"/>
  <c r="E44" i="41"/>
  <c r="I48" i="41"/>
  <c r="H48" i="41"/>
  <c r="J48" i="41" s="1"/>
  <c r="E48" i="41"/>
  <c r="M47" i="41"/>
  <c r="I47" i="41"/>
  <c r="H47" i="41"/>
  <c r="J47" i="41" s="1"/>
  <c r="E47" i="41"/>
  <c r="I46" i="41"/>
  <c r="H46" i="41"/>
  <c r="J46" i="41" s="1"/>
  <c r="E46" i="41"/>
  <c r="J43" i="41"/>
  <c r="I42" i="41"/>
  <c r="H42" i="41"/>
  <c r="J42" i="41" s="1"/>
  <c r="I39" i="41"/>
  <c r="H39" i="41"/>
  <c r="J39" i="41" s="1"/>
  <c r="I38" i="41"/>
  <c r="H38" i="41"/>
  <c r="J38" i="41" s="1"/>
  <c r="E38" i="41"/>
  <c r="J37" i="41"/>
  <c r="I36" i="41"/>
  <c r="H36" i="41"/>
  <c r="J36" i="41" s="1"/>
  <c r="E36" i="41"/>
  <c r="D35" i="41"/>
  <c r="D10" i="40"/>
  <c r="E14" i="41" l="1"/>
  <c r="E15" i="41"/>
  <c r="E16" i="41"/>
  <c r="E18" i="41"/>
  <c r="E103" i="41"/>
  <c r="E37" i="41"/>
  <c r="D97" i="41"/>
  <c r="D629" i="2"/>
  <c r="D12" i="41"/>
  <c r="E50" i="41"/>
  <c r="E43" i="41" s="1"/>
  <c r="H676" i="2"/>
  <c r="D69" i="41"/>
  <c r="F130" i="41"/>
  <c r="E126" i="41"/>
  <c r="F126" i="41"/>
  <c r="E131" i="41"/>
  <c r="F131" i="41"/>
  <c r="F128" i="41"/>
  <c r="E132" i="41"/>
  <c r="F129" i="41"/>
  <c r="F132" i="41"/>
  <c r="D43" i="41"/>
  <c r="E61" i="41"/>
  <c r="E69" i="41"/>
  <c r="D61" i="41"/>
  <c r="D51" i="41"/>
  <c r="E51" i="41"/>
  <c r="E35" i="41"/>
  <c r="E122" i="40"/>
  <c r="F122" i="40"/>
  <c r="D54" i="40"/>
  <c r="D46" i="40" s="1"/>
  <c r="I54" i="40"/>
  <c r="H54" i="40"/>
  <c r="J54" i="40" s="1"/>
  <c r="I53" i="40"/>
  <c r="H53" i="40"/>
  <c r="J53" i="40" s="1"/>
  <c r="E53" i="40"/>
  <c r="H259" i="15"/>
  <c r="H628" i="2"/>
  <c r="H622" i="2"/>
  <c r="G622" i="2"/>
  <c r="D75" i="40"/>
  <c r="H621" i="2"/>
  <c r="E149" i="40"/>
  <c r="E72" i="40"/>
  <c r="I73" i="40"/>
  <c r="H73" i="40"/>
  <c r="J73" i="40" s="1"/>
  <c r="D73" i="40"/>
  <c r="D72" i="40" s="1"/>
  <c r="D69" i="40"/>
  <c r="I69" i="40"/>
  <c r="H69" i="40"/>
  <c r="J69" i="40" s="1"/>
  <c r="H619" i="2"/>
  <c r="H618" i="2"/>
  <c r="H617" i="2"/>
  <c r="D45" i="40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M49" i="40"/>
  <c r="I49" i="40"/>
  <c r="H49" i="40"/>
  <c r="J49" i="40" s="1"/>
  <c r="E49" i="40"/>
  <c r="D31" i="40"/>
  <c r="D34" i="40"/>
  <c r="H242" i="15"/>
  <c r="J242" i="15" s="1"/>
  <c r="H241" i="15"/>
  <c r="J241" i="15" s="1"/>
  <c r="H240" i="15"/>
  <c r="H616" i="2"/>
  <c r="H615" i="2"/>
  <c r="D102" i="40"/>
  <c r="D101" i="40"/>
  <c r="I102" i="40"/>
  <c r="H102" i="40"/>
  <c r="J102" i="40" s="1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D24" i="40"/>
  <c r="D23" i="40"/>
  <c r="D22" i="40"/>
  <c r="D21" i="40"/>
  <c r="D20" i="40"/>
  <c r="D19" i="40"/>
  <c r="E13" i="42" l="1"/>
  <c r="E137" i="41"/>
  <c r="F137" i="41"/>
  <c r="E34" i="40"/>
  <c r="E133" i="41"/>
  <c r="F133" i="41"/>
  <c r="E143" i="41" s="1"/>
  <c r="E54" i="40"/>
  <c r="H682" i="2"/>
  <c r="E19" i="40"/>
  <c r="F143" i="41" l="1"/>
  <c r="F142" i="41"/>
  <c r="E142" i="41"/>
  <c r="E144" i="41" s="1"/>
  <c r="D33" i="40"/>
  <c r="E31" i="40"/>
  <c r="F31" i="40" s="1"/>
  <c r="D32" i="40"/>
  <c r="E32" i="40" s="1"/>
  <c r="D30" i="40"/>
  <c r="D29" i="40"/>
  <c r="D28" i="40"/>
  <c r="D27" i="40"/>
  <c r="D26" i="40"/>
  <c r="D25" i="40"/>
  <c r="D599" i="2"/>
  <c r="D598" i="2"/>
  <c r="D597" i="2"/>
  <c r="D596" i="2"/>
  <c r="D595" i="2"/>
  <c r="D594" i="2"/>
  <c r="D593" i="2"/>
  <c r="F144" i="41" l="1"/>
  <c r="E33" i="40" l="1"/>
  <c r="E13" i="41" l="1"/>
  <c r="E12" i="41" s="1"/>
  <c r="H590" i="2"/>
  <c r="D16" i="40"/>
  <c r="D592" i="2" s="1"/>
  <c r="D15" i="40"/>
  <c r="I51" i="40"/>
  <c r="H51" i="40"/>
  <c r="J51" i="40" s="1"/>
  <c r="E51" i="40"/>
  <c r="I50" i="40"/>
  <c r="H50" i="40"/>
  <c r="J50" i="40" s="1"/>
  <c r="E50" i="40"/>
  <c r="I48" i="40"/>
  <c r="H48" i="40"/>
  <c r="J48" i="40" s="1"/>
  <c r="E48" i="40"/>
  <c r="H587" i="2"/>
  <c r="G587" i="2"/>
  <c r="I47" i="40"/>
  <c r="H47" i="40"/>
  <c r="J47" i="40" s="1"/>
  <c r="E47" i="40"/>
  <c r="H247" i="15"/>
  <c r="D26" i="39"/>
  <c r="D25" i="39"/>
  <c r="D18" i="40"/>
  <c r="D590" i="2" s="1"/>
  <c r="D17" i="40"/>
  <c r="E27" i="40" l="1"/>
  <c r="D14" i="40"/>
  <c r="E26" i="40"/>
  <c r="E28" i="40"/>
  <c r="E30" i="40"/>
  <c r="E25" i="40"/>
  <c r="E29" i="40"/>
  <c r="D591" i="2"/>
  <c r="D589" i="2"/>
  <c r="D42" i="40"/>
  <c r="E45" i="40"/>
  <c r="I45" i="40"/>
  <c r="H45" i="40"/>
  <c r="J45" i="40" s="1"/>
  <c r="E120" i="40"/>
  <c r="E66" i="40"/>
  <c r="E67" i="40"/>
  <c r="D67" i="40" s="1"/>
  <c r="E68" i="40"/>
  <c r="D68" i="40" s="1"/>
  <c r="E44" i="40"/>
  <c r="I68" i="40"/>
  <c r="H68" i="40"/>
  <c r="J68" i="40" s="1"/>
  <c r="I52" i="40"/>
  <c r="H52" i="40"/>
  <c r="J52" i="40" s="1"/>
  <c r="H620" i="2" l="1"/>
  <c r="H624" i="2" s="1"/>
  <c r="D66" i="40"/>
  <c r="E65" i="40"/>
  <c r="E119" i="40"/>
  <c r="F118" i="40"/>
  <c r="E118" i="40"/>
  <c r="E117" i="40"/>
  <c r="F116" i="40"/>
  <c r="E116" i="40"/>
  <c r="F115" i="40"/>
  <c r="E115" i="40"/>
  <c r="F114" i="40"/>
  <c r="E114" i="40"/>
  <c r="D106" i="40"/>
  <c r="I107" i="40"/>
  <c r="H107" i="40"/>
  <c r="J107" i="40" s="1"/>
  <c r="E107" i="40"/>
  <c r="I105" i="40"/>
  <c r="H105" i="40"/>
  <c r="J105" i="40" s="1"/>
  <c r="E105" i="40"/>
  <c r="E104" i="40" s="1"/>
  <c r="D104" i="40"/>
  <c r="I103" i="40"/>
  <c r="H103" i="40"/>
  <c r="J103" i="40" s="1"/>
  <c r="E103" i="40"/>
  <c r="I101" i="40"/>
  <c r="H101" i="40"/>
  <c r="J101" i="40" s="1"/>
  <c r="D100" i="40"/>
  <c r="I98" i="40"/>
  <c r="H98" i="40"/>
  <c r="J98" i="40" s="1"/>
  <c r="E98" i="40"/>
  <c r="I97" i="40"/>
  <c r="H97" i="40"/>
  <c r="J97" i="40" s="1"/>
  <c r="E97" i="40"/>
  <c r="I96" i="40"/>
  <c r="H96" i="40"/>
  <c r="J96" i="40" s="1"/>
  <c r="E96" i="40"/>
  <c r="I95" i="40"/>
  <c r="H95" i="40"/>
  <c r="J95" i="40" s="1"/>
  <c r="E95" i="40"/>
  <c r="I94" i="40"/>
  <c r="H94" i="40"/>
  <c r="J94" i="40" s="1"/>
  <c r="E94" i="40"/>
  <c r="I93" i="40"/>
  <c r="H93" i="40"/>
  <c r="J93" i="40" s="1"/>
  <c r="E93" i="40"/>
  <c r="I92" i="40"/>
  <c r="H92" i="40"/>
  <c r="J92" i="40" s="1"/>
  <c r="E92" i="40"/>
  <c r="I91" i="40"/>
  <c r="H91" i="40"/>
  <c r="J91" i="40" s="1"/>
  <c r="E91" i="40"/>
  <c r="I90" i="40"/>
  <c r="H90" i="40"/>
  <c r="J90" i="40" s="1"/>
  <c r="E90" i="40"/>
  <c r="I89" i="40"/>
  <c r="H89" i="40"/>
  <c r="J89" i="40" s="1"/>
  <c r="E89" i="40"/>
  <c r="I88" i="40"/>
  <c r="H88" i="40"/>
  <c r="J88" i="40" s="1"/>
  <c r="E88" i="40"/>
  <c r="I87" i="40"/>
  <c r="H87" i="40"/>
  <c r="J87" i="40" s="1"/>
  <c r="E87" i="40"/>
  <c r="I86" i="40"/>
  <c r="H86" i="40"/>
  <c r="J86" i="40" s="1"/>
  <c r="E86" i="40"/>
  <c r="I85" i="40"/>
  <c r="H85" i="40"/>
  <c r="J85" i="40" s="1"/>
  <c r="E85" i="40"/>
  <c r="I79" i="40"/>
  <c r="H79" i="40"/>
  <c r="J79" i="40" s="1"/>
  <c r="E79" i="40"/>
  <c r="I83" i="40"/>
  <c r="H83" i="40"/>
  <c r="J83" i="40" s="1"/>
  <c r="E83" i="40"/>
  <c r="I82" i="40"/>
  <c r="H82" i="40"/>
  <c r="J82" i="40" s="1"/>
  <c r="E82" i="40"/>
  <c r="I81" i="40"/>
  <c r="H81" i="40"/>
  <c r="J81" i="40" s="1"/>
  <c r="E81" i="40"/>
  <c r="I80" i="40"/>
  <c r="H80" i="40"/>
  <c r="J80" i="40" s="1"/>
  <c r="E80" i="40"/>
  <c r="I78" i="40"/>
  <c r="H78" i="40"/>
  <c r="J78" i="40" s="1"/>
  <c r="E78" i="40"/>
  <c r="I77" i="40"/>
  <c r="H77" i="40"/>
  <c r="J77" i="40" s="1"/>
  <c r="E77" i="40"/>
  <c r="I76" i="40"/>
  <c r="H76" i="40"/>
  <c r="J76" i="40" s="1"/>
  <c r="I74" i="40"/>
  <c r="H74" i="40"/>
  <c r="J74" i="40" s="1"/>
  <c r="I71" i="40"/>
  <c r="H71" i="40"/>
  <c r="J71" i="40" s="1"/>
  <c r="E70" i="40"/>
  <c r="D70" i="40"/>
  <c r="I67" i="40"/>
  <c r="H67" i="40"/>
  <c r="J67" i="40" s="1"/>
  <c r="I66" i="40"/>
  <c r="H66" i="40"/>
  <c r="J66" i="40" s="1"/>
  <c r="I64" i="40"/>
  <c r="H64" i="40"/>
  <c r="J64" i="40" s="1"/>
  <c r="E64" i="40"/>
  <c r="I63" i="40"/>
  <c r="H63" i="40"/>
  <c r="J63" i="40" s="1"/>
  <c r="E63" i="40"/>
  <c r="I62" i="40"/>
  <c r="H62" i="40"/>
  <c r="J62" i="40" s="1"/>
  <c r="E62" i="40"/>
  <c r="I61" i="40"/>
  <c r="H61" i="40"/>
  <c r="J61" i="40" s="1"/>
  <c r="E61" i="40"/>
  <c r="I60" i="40"/>
  <c r="H60" i="40"/>
  <c r="J60" i="40" s="1"/>
  <c r="E60" i="40"/>
  <c r="I59" i="40"/>
  <c r="H59" i="40"/>
  <c r="J59" i="40" s="1"/>
  <c r="E59" i="40"/>
  <c r="I58" i="40"/>
  <c r="H58" i="40"/>
  <c r="J58" i="40" s="1"/>
  <c r="D58" i="40"/>
  <c r="I57" i="40"/>
  <c r="H57" i="40"/>
  <c r="J57" i="40" s="1"/>
  <c r="D57" i="40"/>
  <c r="I56" i="40"/>
  <c r="H56" i="40"/>
  <c r="J56" i="40" s="1"/>
  <c r="D56" i="40"/>
  <c r="E52" i="40"/>
  <c r="E46" i="40" s="1"/>
  <c r="J46" i="40"/>
  <c r="I44" i="40"/>
  <c r="H44" i="40"/>
  <c r="J44" i="40" s="1"/>
  <c r="I43" i="40"/>
  <c r="H43" i="40"/>
  <c r="J43" i="40" s="1"/>
  <c r="E43" i="40"/>
  <c r="J42" i="40"/>
  <c r="I41" i="40"/>
  <c r="H41" i="40"/>
  <c r="J41" i="40" s="1"/>
  <c r="E41" i="40"/>
  <c r="D40" i="40"/>
  <c r="E13" i="40"/>
  <c r="E12" i="40"/>
  <c r="E13" i="38"/>
  <c r="D92" i="38"/>
  <c r="I81" i="38"/>
  <c r="H81" i="38"/>
  <c r="J81" i="38" s="1"/>
  <c r="E81" i="38"/>
  <c r="D65" i="40" l="1"/>
  <c r="F149" i="40"/>
  <c r="E40" i="40"/>
  <c r="F120" i="40"/>
  <c r="F117" i="40"/>
  <c r="E42" i="40"/>
  <c r="E121" i="40"/>
  <c r="E123" i="40" s="1"/>
  <c r="F119" i="40"/>
  <c r="E106" i="40"/>
  <c r="E10" i="40"/>
  <c r="E55" i="40"/>
  <c r="D55" i="40"/>
  <c r="E100" i="40"/>
  <c r="E127" i="40" l="1"/>
  <c r="E12" i="38"/>
  <c r="D32" i="38" l="1"/>
  <c r="E32" i="38" s="1"/>
  <c r="D26" i="38"/>
  <c r="E26" i="38" s="1"/>
  <c r="D25" i="38"/>
  <c r="E25" i="38" s="1"/>
  <c r="D24" i="38"/>
  <c r="D23" i="38"/>
  <c r="D22" i="38"/>
  <c r="D21" i="38"/>
  <c r="D20" i="38"/>
  <c r="D19" i="38"/>
  <c r="D18" i="38"/>
  <c r="E18" i="38" s="1"/>
  <c r="D17" i="38"/>
  <c r="D555" i="2" l="1"/>
  <c r="D547" i="2"/>
  <c r="D549" i="2"/>
  <c r="D550" i="2"/>
  <c r="D548" i="2"/>
  <c r="D546" i="2"/>
  <c r="E21" i="40" l="1"/>
  <c r="E16" i="40"/>
  <c r="E17" i="40"/>
  <c r="D27" i="39"/>
  <c r="D17" i="39" l="1"/>
  <c r="D16" i="39"/>
  <c r="D15" i="39"/>
  <c r="F6" i="39"/>
  <c r="D12" i="39"/>
  <c r="F5" i="39"/>
  <c r="I5" i="39" s="1"/>
  <c r="F4" i="39"/>
  <c r="I4" i="39" s="1"/>
  <c r="F3" i="39"/>
  <c r="I3" i="39" s="1"/>
  <c r="F7" i="39"/>
  <c r="I7" i="39" s="1"/>
  <c r="F8" i="39"/>
  <c r="I8" i="39" s="1"/>
  <c r="D18" i="39" l="1"/>
  <c r="F12" i="39"/>
  <c r="J14" i="39"/>
  <c r="J6" i="39"/>
  <c r="J12" i="39"/>
  <c r="H11" i="39"/>
  <c r="H10" i="39"/>
  <c r="H9" i="39"/>
  <c r="H8" i="39"/>
  <c r="H7" i="39"/>
  <c r="H6" i="39"/>
  <c r="H5" i="39"/>
  <c r="H4" i="39"/>
  <c r="H3" i="39"/>
  <c r="H2" i="39"/>
  <c r="H578" i="2" l="1"/>
  <c r="H577" i="2"/>
  <c r="H579" i="2"/>
  <c r="H229" i="15"/>
  <c r="H575" i="2" l="1"/>
  <c r="H228" i="15"/>
  <c r="H574" i="2"/>
  <c r="G574" i="2"/>
  <c r="H573" i="2"/>
  <c r="G573" i="2"/>
  <c r="H572" i="2"/>
  <c r="G572" i="2"/>
  <c r="H571" i="2"/>
  <c r="H570" i="2"/>
  <c r="G571" i="2"/>
  <c r="G570" i="2"/>
  <c r="H569" i="2"/>
  <c r="H559" i="2"/>
  <c r="G559" i="2"/>
  <c r="H568" i="2"/>
  <c r="G568" i="2"/>
  <c r="H567" i="2"/>
  <c r="H566" i="2"/>
  <c r="H565" i="2"/>
  <c r="H564" i="2"/>
  <c r="H563" i="2"/>
  <c r="H562" i="2"/>
  <c r="H561" i="2"/>
  <c r="H560" i="2"/>
  <c r="H558" i="2"/>
  <c r="H557" i="2"/>
  <c r="H556" i="2"/>
  <c r="H555" i="2"/>
  <c r="H554" i="2"/>
  <c r="H553" i="2"/>
  <c r="H552" i="2"/>
  <c r="H551" i="2"/>
  <c r="H550" i="2"/>
  <c r="H549" i="2"/>
  <c r="H548" i="2"/>
  <c r="G567" i="2"/>
  <c r="G566" i="2"/>
  <c r="G565" i="2"/>
  <c r="G564" i="2"/>
  <c r="G563" i="2"/>
  <c r="G562" i="2"/>
  <c r="G561" i="2"/>
  <c r="G560" i="2"/>
  <c r="G558" i="2"/>
  <c r="G557" i="2"/>
  <c r="G556" i="2"/>
  <c r="G555" i="2"/>
  <c r="G554" i="2"/>
  <c r="G553" i="2"/>
  <c r="G552" i="2"/>
  <c r="G551" i="2"/>
  <c r="G550" i="2"/>
  <c r="G549" i="2"/>
  <c r="G548" i="2"/>
  <c r="I75" i="38" l="1"/>
  <c r="H75" i="38"/>
  <c r="J75" i="38" s="1"/>
  <c r="E75" i="38"/>
  <c r="D66" i="38"/>
  <c r="I82" i="38"/>
  <c r="H82" i="38"/>
  <c r="J82" i="38" s="1"/>
  <c r="E82" i="38"/>
  <c r="I73" i="38"/>
  <c r="H73" i="38"/>
  <c r="J73" i="38" s="1"/>
  <c r="E73" i="38"/>
  <c r="I71" i="38"/>
  <c r="H71" i="38"/>
  <c r="J71" i="38" s="1"/>
  <c r="E71" i="38"/>
  <c r="I70" i="38"/>
  <c r="H70" i="38"/>
  <c r="J70" i="38" s="1"/>
  <c r="E70" i="38"/>
  <c r="H547" i="2"/>
  <c r="D30" i="38"/>
  <c r="D554" i="2" s="1"/>
  <c r="D29" i="38"/>
  <c r="D28" i="38"/>
  <c r="D552" i="2" s="1"/>
  <c r="D27" i="38"/>
  <c r="D551" i="2" s="1"/>
  <c r="D48" i="38"/>
  <c r="D44" i="38" s="1"/>
  <c r="D31" i="38"/>
  <c r="E31" i="38" l="1"/>
  <c r="D553" i="2"/>
  <c r="D545" i="2"/>
  <c r="E43" i="38"/>
  <c r="D40" i="38"/>
  <c r="I43" i="38"/>
  <c r="H43" i="38"/>
  <c r="J43" i="38" s="1"/>
  <c r="I46" i="38"/>
  <c r="H46" i="38"/>
  <c r="J46" i="38" s="1"/>
  <c r="E46" i="38"/>
  <c r="E17" i="38"/>
  <c r="E20" i="40" l="1"/>
  <c r="E23" i="40"/>
  <c r="E24" i="40"/>
  <c r="E22" i="40"/>
  <c r="E15" i="40"/>
  <c r="E18" i="40"/>
  <c r="E20" i="38"/>
  <c r="E24" i="38"/>
  <c r="E19" i="38"/>
  <c r="E21" i="38"/>
  <c r="E22" i="38"/>
  <c r="E23" i="38"/>
  <c r="H546" i="2"/>
  <c r="H545" i="2"/>
  <c r="H544" i="2"/>
  <c r="D16" i="38"/>
  <c r="D544" i="2"/>
  <c r="D543" i="2"/>
  <c r="D542" i="2"/>
  <c r="E14" i="40" l="1"/>
  <c r="F109" i="38"/>
  <c r="E109" i="38"/>
  <c r="F108" i="38"/>
  <c r="E108" i="38"/>
  <c r="F107" i="38"/>
  <c r="E107" i="38"/>
  <c r="F106" i="38"/>
  <c r="E106" i="38"/>
  <c r="E42" i="38"/>
  <c r="D10" i="38"/>
  <c r="E110" i="38"/>
  <c r="I99" i="38"/>
  <c r="H99" i="38"/>
  <c r="J99" i="38" s="1"/>
  <c r="E99" i="38"/>
  <c r="D99" i="38" s="1"/>
  <c r="D97" i="38" s="1"/>
  <c r="I98" i="38"/>
  <c r="H98" i="38"/>
  <c r="J98" i="38" s="1"/>
  <c r="E98" i="38"/>
  <c r="I96" i="38"/>
  <c r="H96" i="38"/>
  <c r="J96" i="38" s="1"/>
  <c r="E96" i="38"/>
  <c r="E95" i="38" s="1"/>
  <c r="D95" i="38"/>
  <c r="I94" i="38"/>
  <c r="H94" i="38"/>
  <c r="J94" i="38" s="1"/>
  <c r="E94" i="38"/>
  <c r="I93" i="38"/>
  <c r="H93" i="38"/>
  <c r="J93" i="38" s="1"/>
  <c r="E93" i="38"/>
  <c r="I92" i="38"/>
  <c r="H92" i="38"/>
  <c r="J92" i="38" s="1"/>
  <c r="I90" i="38"/>
  <c r="H90" i="38"/>
  <c r="J90" i="38" s="1"/>
  <c r="E90" i="38"/>
  <c r="I89" i="38"/>
  <c r="H89" i="38"/>
  <c r="J89" i="38" s="1"/>
  <c r="E89" i="38"/>
  <c r="I88" i="38"/>
  <c r="H88" i="38"/>
  <c r="J88" i="38" s="1"/>
  <c r="E88" i="38"/>
  <c r="I87" i="38"/>
  <c r="H87" i="38"/>
  <c r="J87" i="38" s="1"/>
  <c r="E87" i="38"/>
  <c r="I86" i="38"/>
  <c r="H86" i="38"/>
  <c r="J86" i="38" s="1"/>
  <c r="E86" i="38"/>
  <c r="I85" i="38"/>
  <c r="H85" i="38"/>
  <c r="J85" i="38" s="1"/>
  <c r="E85" i="38"/>
  <c r="I84" i="38"/>
  <c r="H84" i="38"/>
  <c r="J84" i="38" s="1"/>
  <c r="E84" i="38"/>
  <c r="I83" i="38"/>
  <c r="H83" i="38"/>
  <c r="J83" i="38" s="1"/>
  <c r="E83" i="38"/>
  <c r="I80" i="38"/>
  <c r="H80" i="38"/>
  <c r="J80" i="38" s="1"/>
  <c r="E80" i="38"/>
  <c r="I79" i="38"/>
  <c r="H79" i="38"/>
  <c r="J79" i="38" s="1"/>
  <c r="E79" i="38"/>
  <c r="I78" i="38"/>
  <c r="H78" i="38"/>
  <c r="J78" i="38" s="1"/>
  <c r="E78" i="38"/>
  <c r="I77" i="38"/>
  <c r="H77" i="38"/>
  <c r="J77" i="38" s="1"/>
  <c r="E77" i="38"/>
  <c r="I76" i="38"/>
  <c r="H76" i="38"/>
  <c r="J76" i="38" s="1"/>
  <c r="E76" i="38"/>
  <c r="I74" i="38"/>
  <c r="H74" i="38"/>
  <c r="J74" i="38" s="1"/>
  <c r="E74" i="38"/>
  <c r="I72" i="38"/>
  <c r="H72" i="38"/>
  <c r="J72" i="38" s="1"/>
  <c r="E72" i="38"/>
  <c r="I69" i="38"/>
  <c r="H69" i="38"/>
  <c r="J69" i="38" s="1"/>
  <c r="E69" i="38"/>
  <c r="I68" i="38"/>
  <c r="H68" i="38"/>
  <c r="J68" i="38" s="1"/>
  <c r="E68" i="38"/>
  <c r="I67" i="38"/>
  <c r="H67" i="38"/>
  <c r="J67" i="38" s="1"/>
  <c r="E67" i="38"/>
  <c r="N66" i="38"/>
  <c r="O66" i="38" s="1"/>
  <c r="I65" i="38"/>
  <c r="H65" i="38"/>
  <c r="J65" i="38" s="1"/>
  <c r="E64" i="38"/>
  <c r="D64" i="38"/>
  <c r="I63" i="38"/>
  <c r="H63" i="38"/>
  <c r="J63" i="38" s="1"/>
  <c r="E62" i="38"/>
  <c r="D62" i="38"/>
  <c r="I61" i="38"/>
  <c r="H61" i="38"/>
  <c r="J61" i="38" s="1"/>
  <c r="E61" i="38"/>
  <c r="D61" i="38" s="1"/>
  <c r="I60" i="38"/>
  <c r="H60" i="38"/>
  <c r="J60" i="38" s="1"/>
  <c r="E60" i="38"/>
  <c r="D60" i="38" s="1"/>
  <c r="I58" i="38"/>
  <c r="H58" i="38"/>
  <c r="J58" i="38" s="1"/>
  <c r="E58" i="38"/>
  <c r="I57" i="38"/>
  <c r="H57" i="38"/>
  <c r="J57" i="38" s="1"/>
  <c r="E57" i="38"/>
  <c r="I56" i="38"/>
  <c r="H56" i="38"/>
  <c r="J56" i="38" s="1"/>
  <c r="E56" i="38"/>
  <c r="I55" i="38"/>
  <c r="H55" i="38"/>
  <c r="J55" i="38" s="1"/>
  <c r="E55" i="38"/>
  <c r="I54" i="38"/>
  <c r="H54" i="38"/>
  <c r="J54" i="38" s="1"/>
  <c r="E54" i="38"/>
  <c r="I53" i="38"/>
  <c r="H53" i="38"/>
  <c r="J53" i="38" s="1"/>
  <c r="E53" i="38"/>
  <c r="I52" i="38"/>
  <c r="H52" i="38"/>
  <c r="J52" i="38" s="1"/>
  <c r="D52" i="38"/>
  <c r="I51" i="38"/>
  <c r="H51" i="38"/>
  <c r="J51" i="38" s="1"/>
  <c r="D51" i="38"/>
  <c r="I50" i="38"/>
  <c r="H50" i="38"/>
  <c r="J50" i="38" s="1"/>
  <c r="D50" i="38"/>
  <c r="I48" i="38"/>
  <c r="H48" i="38"/>
  <c r="J48" i="38" s="1"/>
  <c r="I47" i="38"/>
  <c r="H47" i="38"/>
  <c r="J47" i="38" s="1"/>
  <c r="E47" i="38"/>
  <c r="I45" i="38"/>
  <c r="H45" i="38"/>
  <c r="J45" i="38" s="1"/>
  <c r="E45" i="38"/>
  <c r="J44" i="38"/>
  <c r="I42" i="38"/>
  <c r="H42" i="38"/>
  <c r="J42" i="38" s="1"/>
  <c r="I41" i="38"/>
  <c r="H41" i="38"/>
  <c r="J41" i="38" s="1"/>
  <c r="E41" i="38"/>
  <c r="J40" i="38"/>
  <c r="I39" i="38"/>
  <c r="H39" i="38"/>
  <c r="J39" i="38" s="1"/>
  <c r="E39" i="38"/>
  <c r="E38" i="38" s="1"/>
  <c r="D38" i="38"/>
  <c r="D23" i="37"/>
  <c r="H235" i="15"/>
  <c r="E11" i="37"/>
  <c r="E10" i="38" l="1"/>
  <c r="D14" i="38"/>
  <c r="E27" i="38"/>
  <c r="E28" i="38"/>
  <c r="E29" i="38"/>
  <c r="E30" i="38"/>
  <c r="E66" i="38"/>
  <c r="E40" i="38"/>
  <c r="F110" i="38"/>
  <c r="E111" i="38"/>
  <c r="E112" i="38"/>
  <c r="F111" i="38"/>
  <c r="E97" i="38"/>
  <c r="E91" i="38"/>
  <c r="E49" i="38"/>
  <c r="D49" i="38"/>
  <c r="E59" i="38"/>
  <c r="D91" i="38"/>
  <c r="D59" i="38"/>
  <c r="E48" i="38"/>
  <c r="H217" i="15"/>
  <c r="H218" i="15"/>
  <c r="H219" i="15"/>
  <c r="H220" i="15"/>
  <c r="E117" i="38" l="1"/>
  <c r="E113" i="38"/>
  <c r="E44" i="38"/>
  <c r="E100" i="38" s="1"/>
  <c r="F112" i="38"/>
  <c r="F117" i="38" s="1"/>
  <c r="D100" i="38"/>
  <c r="E107" i="37"/>
  <c r="F107" i="37"/>
  <c r="H543" i="2"/>
  <c r="F113" i="38" l="1"/>
  <c r="E121" i="38" s="1"/>
  <c r="I71" i="37"/>
  <c r="H71" i="37"/>
  <c r="J71" i="37" s="1"/>
  <c r="E71" i="37"/>
  <c r="H542" i="2"/>
  <c r="D66" i="37"/>
  <c r="I85" i="37"/>
  <c r="H85" i="37"/>
  <c r="J85" i="37" s="1"/>
  <c r="E85" i="37"/>
  <c r="H541" i="2"/>
  <c r="I91" i="37"/>
  <c r="H91" i="37"/>
  <c r="J91" i="37" s="1"/>
  <c r="E91" i="37"/>
  <c r="E64" i="37"/>
  <c r="D32" i="37"/>
  <c r="D521" i="2"/>
  <c r="F121" i="38" l="1"/>
  <c r="E120" i="38"/>
  <c r="E122" i="38" s="1"/>
  <c r="E123" i="38" s="1"/>
  <c r="F120" i="38"/>
  <c r="D31" i="37"/>
  <c r="D30" i="37"/>
  <c r="H582" i="2"/>
  <c r="C522" i="2"/>
  <c r="E32" i="37" l="1"/>
  <c r="F122" i="38"/>
  <c r="F123" i="38" s="1"/>
  <c r="H533" i="2"/>
  <c r="H532" i="2"/>
  <c r="D522" i="2"/>
  <c r="D25" i="37"/>
  <c r="E25" i="37" l="1"/>
  <c r="H514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H513" i="2"/>
  <c r="N66" i="37" l="1"/>
  <c r="O66" i="37" s="1"/>
  <c r="E82" i="37"/>
  <c r="E81" i="37"/>
  <c r="E80" i="37"/>
  <c r="E72" i="37"/>
  <c r="E69" i="37"/>
  <c r="I68" i="37"/>
  <c r="H68" i="37"/>
  <c r="J68" i="37" s="1"/>
  <c r="E68" i="37"/>
  <c r="I79" i="37"/>
  <c r="H79" i="37"/>
  <c r="J79" i="37" s="1"/>
  <c r="E79" i="37"/>
  <c r="I78" i="37"/>
  <c r="H78" i="37"/>
  <c r="J78" i="37" s="1"/>
  <c r="E78" i="37"/>
  <c r="I77" i="37"/>
  <c r="H77" i="37"/>
  <c r="J77" i="37" s="1"/>
  <c r="E77" i="37"/>
  <c r="I76" i="37"/>
  <c r="H76" i="37"/>
  <c r="J76" i="37" s="1"/>
  <c r="E76" i="37"/>
  <c r="I75" i="37"/>
  <c r="H75" i="37"/>
  <c r="J75" i="37" s="1"/>
  <c r="E75" i="37"/>
  <c r="I74" i="37"/>
  <c r="H74" i="37"/>
  <c r="J74" i="37" s="1"/>
  <c r="E74" i="37"/>
  <c r="I73" i="37"/>
  <c r="H73" i="37"/>
  <c r="J73" i="37" s="1"/>
  <c r="E73" i="37"/>
  <c r="I72" i="37"/>
  <c r="H72" i="37"/>
  <c r="J72" i="37" s="1"/>
  <c r="I70" i="37"/>
  <c r="H70" i="37"/>
  <c r="J70" i="37" s="1"/>
  <c r="E70" i="37"/>
  <c r="I69" i="37"/>
  <c r="H69" i="37"/>
  <c r="J69" i="37" s="1"/>
  <c r="I67" i="37"/>
  <c r="H67" i="37"/>
  <c r="J67" i="37" s="1"/>
  <c r="E67" i="37"/>
  <c r="E61" i="37"/>
  <c r="E60" i="37"/>
  <c r="D48" i="37"/>
  <c r="E31" i="37" l="1"/>
  <c r="D29" i="37"/>
  <c r="D28" i="37"/>
  <c r="D27" i="37"/>
  <c r="D26" i="37"/>
  <c r="D520" i="2"/>
  <c r="D519" i="2"/>
  <c r="D518" i="2"/>
  <c r="D517" i="2"/>
  <c r="E23" i="37"/>
  <c r="D24" i="37"/>
  <c r="D22" i="37"/>
  <c r="D21" i="37"/>
  <c r="D20" i="37"/>
  <c r="D19" i="37"/>
  <c r="D18" i="37"/>
  <c r="D516" i="2"/>
  <c r="D515" i="2"/>
  <c r="D514" i="2"/>
  <c r="D513" i="2"/>
  <c r="D512" i="2"/>
  <c r="D511" i="2"/>
  <c r="H508" i="2" l="1"/>
  <c r="H509" i="2"/>
  <c r="H510" i="2"/>
  <c r="H511" i="2"/>
  <c r="H512" i="2"/>
  <c r="I46" i="37" l="1"/>
  <c r="H46" i="37"/>
  <c r="J46" i="37" s="1"/>
  <c r="E46" i="37"/>
  <c r="I45" i="37"/>
  <c r="H45" i="37"/>
  <c r="J45" i="37" s="1"/>
  <c r="E45" i="37"/>
  <c r="E16" i="38" l="1"/>
  <c r="E14" i="38" s="1"/>
  <c r="E30" i="37"/>
  <c r="E19" i="37"/>
  <c r="E20" i="37"/>
  <c r="E21" i="37"/>
  <c r="E22" i="37"/>
  <c r="E24" i="37"/>
  <c r="E18" i="37"/>
  <c r="D16" i="37"/>
  <c r="D15" i="37"/>
  <c r="D510" i="2"/>
  <c r="D509" i="2"/>
  <c r="D14" i="37" l="1"/>
  <c r="D508" i="2"/>
  <c r="C508" i="2"/>
  <c r="E26" i="37" l="1"/>
  <c r="E27" i="37"/>
  <c r="E28" i="37"/>
  <c r="E29" i="37"/>
  <c r="H507" i="2"/>
  <c r="H506" i="2"/>
  <c r="D17" i="37"/>
  <c r="D507" i="2"/>
  <c r="D61" i="37"/>
  <c r="E59" i="37"/>
  <c r="I61" i="37"/>
  <c r="H61" i="37"/>
  <c r="J61" i="37" s="1"/>
  <c r="E42" i="37"/>
  <c r="I42" i="37"/>
  <c r="H42" i="37"/>
  <c r="J42" i="37" s="1"/>
  <c r="D11" i="37" l="1"/>
  <c r="H535" i="2"/>
  <c r="E104" i="37"/>
  <c r="F103" i="37"/>
  <c r="E103" i="37"/>
  <c r="I96" i="37"/>
  <c r="H96" i="37"/>
  <c r="J96" i="37" s="1"/>
  <c r="E96" i="37"/>
  <c r="D96" i="37" s="1"/>
  <c r="D94" i="37" s="1"/>
  <c r="I95" i="37"/>
  <c r="H95" i="37"/>
  <c r="J95" i="37" s="1"/>
  <c r="E95" i="37"/>
  <c r="I93" i="37"/>
  <c r="H93" i="37"/>
  <c r="J93" i="37" s="1"/>
  <c r="E93" i="37"/>
  <c r="E92" i="37" s="1"/>
  <c r="D92" i="37"/>
  <c r="I90" i="37"/>
  <c r="H90" i="37"/>
  <c r="J90" i="37" s="1"/>
  <c r="E90" i="37"/>
  <c r="I89" i="37"/>
  <c r="H89" i="37"/>
  <c r="J89" i="37" s="1"/>
  <c r="E89" i="37"/>
  <c r="I88" i="37"/>
  <c r="H88" i="37"/>
  <c r="J88" i="37" s="1"/>
  <c r="D88" i="37"/>
  <c r="I87" i="37"/>
  <c r="H87" i="37"/>
  <c r="J87" i="37" s="1"/>
  <c r="D87" i="37"/>
  <c r="I84" i="37"/>
  <c r="H84" i="37"/>
  <c r="J84" i="37" s="1"/>
  <c r="E84" i="37"/>
  <c r="I83" i="37"/>
  <c r="H83" i="37"/>
  <c r="J83" i="37" s="1"/>
  <c r="E83" i="37"/>
  <c r="I82" i="37"/>
  <c r="H82" i="37"/>
  <c r="J82" i="37" s="1"/>
  <c r="I81" i="37"/>
  <c r="H81" i="37"/>
  <c r="J81" i="37" s="1"/>
  <c r="I80" i="37"/>
  <c r="H80" i="37"/>
  <c r="J80" i="37" s="1"/>
  <c r="I65" i="37"/>
  <c r="H65" i="37"/>
  <c r="J65" i="37" s="1"/>
  <c r="D64" i="37"/>
  <c r="I63" i="37"/>
  <c r="H63" i="37"/>
  <c r="J63" i="37" s="1"/>
  <c r="E62" i="37"/>
  <c r="D62" i="37"/>
  <c r="I60" i="37"/>
  <c r="H60" i="37"/>
  <c r="J60" i="37" s="1"/>
  <c r="I58" i="37"/>
  <c r="H58" i="37"/>
  <c r="J58" i="37" s="1"/>
  <c r="E58" i="37"/>
  <c r="I57" i="37"/>
  <c r="H57" i="37"/>
  <c r="J57" i="37" s="1"/>
  <c r="E57" i="37"/>
  <c r="I56" i="37"/>
  <c r="H56" i="37"/>
  <c r="J56" i="37" s="1"/>
  <c r="E56" i="37"/>
  <c r="I55" i="37"/>
  <c r="H55" i="37"/>
  <c r="J55" i="37" s="1"/>
  <c r="E55" i="37"/>
  <c r="I54" i="37"/>
  <c r="H54" i="37"/>
  <c r="J54" i="37" s="1"/>
  <c r="E54" i="37"/>
  <c r="I53" i="37"/>
  <c r="H53" i="37"/>
  <c r="J53" i="37" s="1"/>
  <c r="E53" i="37"/>
  <c r="I52" i="37"/>
  <c r="H52" i="37"/>
  <c r="J52" i="37" s="1"/>
  <c r="D52" i="37"/>
  <c r="I51" i="37"/>
  <c r="H51" i="37"/>
  <c r="J51" i="37" s="1"/>
  <c r="D51" i="37"/>
  <c r="I50" i="37"/>
  <c r="H50" i="37"/>
  <c r="J50" i="37" s="1"/>
  <c r="D50" i="37"/>
  <c r="I48" i="37"/>
  <c r="H48" i="37"/>
  <c r="J48" i="37" s="1"/>
  <c r="E48" i="37"/>
  <c r="I47" i="37"/>
  <c r="H47" i="37"/>
  <c r="J47" i="37" s="1"/>
  <c r="E47" i="37"/>
  <c r="I44" i="37"/>
  <c r="H44" i="37"/>
  <c r="J44" i="37" s="1"/>
  <c r="E44" i="37"/>
  <c r="J43" i="37"/>
  <c r="I41" i="37"/>
  <c r="H41" i="37"/>
  <c r="J41" i="37" s="1"/>
  <c r="E41" i="37"/>
  <c r="J40" i="37"/>
  <c r="D40" i="37"/>
  <c r="I39" i="37"/>
  <c r="H39" i="37"/>
  <c r="J39" i="37" s="1"/>
  <c r="E39" i="37"/>
  <c r="E38" i="37" s="1"/>
  <c r="D38" i="37"/>
  <c r="D13" i="37"/>
  <c r="D12" i="37" s="1"/>
  <c r="D25" i="36"/>
  <c r="D24" i="36"/>
  <c r="D23" i="36"/>
  <c r="D20" i="36"/>
  <c r="D18" i="36"/>
  <c r="D17" i="36"/>
  <c r="D15" i="36"/>
  <c r="D14" i="36"/>
  <c r="D21" i="36"/>
  <c r="D19" i="36"/>
  <c r="D16" i="36"/>
  <c r="D473" i="2"/>
  <c r="D472" i="2"/>
  <c r="D471" i="2"/>
  <c r="D470" i="2"/>
  <c r="D469" i="2"/>
  <c r="C473" i="2"/>
  <c r="C472" i="2"/>
  <c r="C471" i="2"/>
  <c r="C470" i="2"/>
  <c r="C469" i="2"/>
  <c r="H224" i="15"/>
  <c r="F100" i="36"/>
  <c r="E100" i="36"/>
  <c r="I81" i="36"/>
  <c r="H81" i="36"/>
  <c r="J81" i="36" s="1"/>
  <c r="D81" i="36"/>
  <c r="H494" i="2"/>
  <c r="E86" i="37" l="1"/>
  <c r="D86" i="37"/>
  <c r="E66" i="37"/>
  <c r="E13" i="37"/>
  <c r="F105" i="37"/>
  <c r="F106" i="37"/>
  <c r="F104" i="37"/>
  <c r="D43" i="37"/>
  <c r="E94" i="37"/>
  <c r="D49" i="37"/>
  <c r="E49" i="37"/>
  <c r="D60" i="37"/>
  <c r="E106" i="37" s="1"/>
  <c r="E43" i="37"/>
  <c r="E40" i="37"/>
  <c r="H496" i="2"/>
  <c r="H495" i="2"/>
  <c r="D60" i="36"/>
  <c r="I76" i="36"/>
  <c r="H76" i="36"/>
  <c r="J76" i="36" s="1"/>
  <c r="E76" i="36"/>
  <c r="I75" i="36"/>
  <c r="H75" i="36"/>
  <c r="J75" i="36" s="1"/>
  <c r="E75" i="36"/>
  <c r="I74" i="36"/>
  <c r="H74" i="36"/>
  <c r="J74" i="36" s="1"/>
  <c r="E74" i="36"/>
  <c r="H493" i="2"/>
  <c r="H492" i="2"/>
  <c r="H208" i="15"/>
  <c r="H207" i="15"/>
  <c r="H206" i="15"/>
  <c r="I78" i="36"/>
  <c r="H78" i="36"/>
  <c r="J78" i="36" s="1"/>
  <c r="D78" i="36"/>
  <c r="H488" i="2"/>
  <c r="H475" i="2"/>
  <c r="H474" i="2"/>
  <c r="H205" i="15"/>
  <c r="H489" i="2"/>
  <c r="F108" i="37" l="1"/>
  <c r="F115" i="37" s="1"/>
  <c r="F112" i="37"/>
  <c r="D59" i="37"/>
  <c r="D97" i="37" s="1"/>
  <c r="E105" i="37"/>
  <c r="E97" i="37"/>
  <c r="D13" i="36"/>
  <c r="D12" i="36" s="1"/>
  <c r="E55" i="36"/>
  <c r="E88" i="36"/>
  <c r="D88" i="36" s="1"/>
  <c r="F116" i="37" l="1"/>
  <c r="F117" i="37" s="1"/>
  <c r="F118" i="37" s="1"/>
  <c r="E115" i="37"/>
  <c r="E112" i="37"/>
  <c r="E108" i="37"/>
  <c r="E116" i="37"/>
  <c r="H477" i="2"/>
  <c r="H487" i="2"/>
  <c r="H486" i="2"/>
  <c r="H485" i="2"/>
  <c r="H484" i="2"/>
  <c r="H483" i="2"/>
  <c r="H482" i="2"/>
  <c r="H481" i="2"/>
  <c r="H480" i="2"/>
  <c r="H479" i="2"/>
  <c r="H478" i="2"/>
  <c r="H476" i="2"/>
  <c r="E117" i="37" l="1"/>
  <c r="E118" i="37" s="1"/>
  <c r="E21" i="36"/>
  <c r="E16" i="37" l="1"/>
  <c r="I62" i="36" l="1"/>
  <c r="H62" i="36"/>
  <c r="J62" i="36" s="1"/>
  <c r="E62" i="36"/>
  <c r="D43" i="36"/>
  <c r="I42" i="36"/>
  <c r="H42" i="36"/>
  <c r="J42" i="36" s="1"/>
  <c r="D42" i="36"/>
  <c r="E42" i="36" l="1"/>
  <c r="H490" i="2"/>
  <c r="D468" i="2"/>
  <c r="D467" i="2"/>
  <c r="D466" i="2"/>
  <c r="C468" i="2"/>
  <c r="C467" i="2"/>
  <c r="C466" i="2"/>
  <c r="H473" i="2"/>
  <c r="H472" i="2"/>
  <c r="H471" i="2"/>
  <c r="G473" i="2"/>
  <c r="G472" i="2"/>
  <c r="G471" i="2"/>
  <c r="I49" i="36"/>
  <c r="H49" i="36"/>
  <c r="J49" i="36" s="1"/>
  <c r="E49" i="36"/>
  <c r="I48" i="36"/>
  <c r="H48" i="36"/>
  <c r="J48" i="36" s="1"/>
  <c r="E48" i="36"/>
  <c r="E22" i="36"/>
  <c r="E19" i="36"/>
  <c r="E16" i="36"/>
  <c r="E17" i="37" l="1"/>
  <c r="E20" i="36" l="1"/>
  <c r="E14" i="37" l="1"/>
  <c r="E18" i="36"/>
  <c r="E15" i="37" l="1"/>
  <c r="E12" i="37" s="1"/>
  <c r="E14" i="36"/>
  <c r="E15" i="36"/>
  <c r="E17" i="36"/>
  <c r="I40" i="36"/>
  <c r="H40" i="36"/>
  <c r="J40" i="36" s="1"/>
  <c r="E40" i="36"/>
  <c r="H470" i="2"/>
  <c r="H469" i="2"/>
  <c r="H468" i="2"/>
  <c r="E24" i="36" l="1"/>
  <c r="E23" i="36"/>
  <c r="E25" i="36"/>
  <c r="H467" i="2"/>
  <c r="G467" i="2"/>
  <c r="I34" i="36"/>
  <c r="H34" i="36"/>
  <c r="J34" i="36" s="1"/>
  <c r="E34" i="36"/>
  <c r="D38" i="36" l="1"/>
  <c r="H466" i="2" s="1"/>
  <c r="I38" i="36" l="1"/>
  <c r="H38" i="36"/>
  <c r="J38" i="36" s="1"/>
  <c r="D59" i="36"/>
  <c r="D58" i="36" s="1"/>
  <c r="D55" i="36"/>
  <c r="D37" i="36"/>
  <c r="I41" i="36"/>
  <c r="H41" i="36"/>
  <c r="J41" i="36" s="1"/>
  <c r="E41" i="36"/>
  <c r="E36" i="36"/>
  <c r="D33" i="36" s="1"/>
  <c r="E13" i="36"/>
  <c r="E12" i="36" s="1"/>
  <c r="E96" i="36"/>
  <c r="F95" i="36"/>
  <c r="E95" i="36"/>
  <c r="I88" i="36"/>
  <c r="H88" i="36"/>
  <c r="J88" i="36" s="1"/>
  <c r="I87" i="36"/>
  <c r="H87" i="36"/>
  <c r="J87" i="36" s="1"/>
  <c r="E87" i="36"/>
  <c r="I85" i="36"/>
  <c r="H85" i="36"/>
  <c r="J85" i="36" s="1"/>
  <c r="E85" i="36"/>
  <c r="E84" i="36" s="1"/>
  <c r="D84" i="36"/>
  <c r="I83" i="36"/>
  <c r="H83" i="36"/>
  <c r="J83" i="36" s="1"/>
  <c r="E83" i="36"/>
  <c r="I82" i="36"/>
  <c r="H82" i="36"/>
  <c r="J82" i="36" s="1"/>
  <c r="E82" i="36"/>
  <c r="I80" i="36"/>
  <c r="H80" i="36"/>
  <c r="J80" i="36" s="1"/>
  <c r="D80" i="36"/>
  <c r="I79" i="36"/>
  <c r="H79" i="36"/>
  <c r="J79" i="36" s="1"/>
  <c r="D79" i="36"/>
  <c r="I64" i="36"/>
  <c r="H64" i="36"/>
  <c r="J64" i="36" s="1"/>
  <c r="E64" i="36"/>
  <c r="I73" i="36"/>
  <c r="H73" i="36"/>
  <c r="J73" i="36" s="1"/>
  <c r="E73" i="36"/>
  <c r="I72" i="36"/>
  <c r="H72" i="36"/>
  <c r="J72" i="36" s="1"/>
  <c r="E72" i="36"/>
  <c r="I71" i="36"/>
  <c r="H71" i="36"/>
  <c r="J71" i="36" s="1"/>
  <c r="E71" i="36"/>
  <c r="I70" i="36"/>
  <c r="H70" i="36"/>
  <c r="J70" i="36" s="1"/>
  <c r="E70" i="36"/>
  <c r="I69" i="36"/>
  <c r="H69" i="36"/>
  <c r="J69" i="36" s="1"/>
  <c r="E69" i="36"/>
  <c r="I68" i="36"/>
  <c r="H68" i="36"/>
  <c r="J68" i="36" s="1"/>
  <c r="E68" i="36"/>
  <c r="I67" i="36"/>
  <c r="H67" i="36"/>
  <c r="J67" i="36" s="1"/>
  <c r="E67" i="36"/>
  <c r="I66" i="36"/>
  <c r="H66" i="36"/>
  <c r="J66" i="36" s="1"/>
  <c r="E66" i="36"/>
  <c r="I65" i="36"/>
  <c r="H65" i="36"/>
  <c r="J65" i="36" s="1"/>
  <c r="E65" i="36"/>
  <c r="I63" i="36"/>
  <c r="H63" i="36"/>
  <c r="J63" i="36" s="1"/>
  <c r="E63" i="36"/>
  <c r="I61" i="36"/>
  <c r="H61" i="36"/>
  <c r="J61" i="36" s="1"/>
  <c r="E61" i="36"/>
  <c r="I59" i="36"/>
  <c r="H59" i="36"/>
  <c r="J59" i="36" s="1"/>
  <c r="E58" i="36"/>
  <c r="I57" i="36"/>
  <c r="H57" i="36"/>
  <c r="J57" i="36" s="1"/>
  <c r="E56" i="36"/>
  <c r="D56" i="36"/>
  <c r="I55" i="36"/>
  <c r="H55" i="36"/>
  <c r="J55" i="36" s="1"/>
  <c r="I53" i="36"/>
  <c r="H53" i="36"/>
  <c r="J53" i="36" s="1"/>
  <c r="E53" i="36"/>
  <c r="I52" i="36"/>
  <c r="H52" i="36"/>
  <c r="J52" i="36" s="1"/>
  <c r="E52" i="36"/>
  <c r="I51" i="36"/>
  <c r="H51" i="36"/>
  <c r="J51" i="36" s="1"/>
  <c r="E51" i="36"/>
  <c r="I50" i="36"/>
  <c r="H50" i="36"/>
  <c r="J50" i="36" s="1"/>
  <c r="E50" i="36"/>
  <c r="I47" i="36"/>
  <c r="H47" i="36"/>
  <c r="J47" i="36" s="1"/>
  <c r="D47" i="36"/>
  <c r="I46" i="36"/>
  <c r="H46" i="36"/>
  <c r="J46" i="36" s="1"/>
  <c r="D46" i="36"/>
  <c r="I45" i="36"/>
  <c r="H45" i="36"/>
  <c r="J45" i="36" s="1"/>
  <c r="D45" i="36"/>
  <c r="I43" i="36"/>
  <c r="H43" i="36"/>
  <c r="J43" i="36" s="1"/>
  <c r="E43" i="36"/>
  <c r="I39" i="36"/>
  <c r="H39" i="36"/>
  <c r="J39" i="36" s="1"/>
  <c r="E39" i="36"/>
  <c r="J37" i="36"/>
  <c r="I36" i="36"/>
  <c r="H36" i="36"/>
  <c r="J36" i="36" s="1"/>
  <c r="I35" i="36"/>
  <c r="H35" i="36"/>
  <c r="J35" i="36" s="1"/>
  <c r="E35" i="36"/>
  <c r="J33" i="36"/>
  <c r="I32" i="36"/>
  <c r="H32" i="36"/>
  <c r="J32" i="36" s="1"/>
  <c r="E32" i="36"/>
  <c r="E31" i="36" s="1"/>
  <c r="D31" i="36"/>
  <c r="E77" i="36" l="1"/>
  <c r="D77" i="36"/>
  <c r="E60" i="36"/>
  <c r="F96" i="36"/>
  <c r="E98" i="36"/>
  <c r="E54" i="36"/>
  <c r="E33" i="36"/>
  <c r="E97" i="36"/>
  <c r="E99" i="36"/>
  <c r="F99" i="36"/>
  <c r="F97" i="36"/>
  <c r="D86" i="36"/>
  <c r="D44" i="36"/>
  <c r="D54" i="36"/>
  <c r="E86" i="36"/>
  <c r="E44" i="36"/>
  <c r="H212" i="15"/>
  <c r="D17" i="34"/>
  <c r="E92" i="34"/>
  <c r="F92" i="34"/>
  <c r="I430" i="2"/>
  <c r="E101" i="36" l="1"/>
  <c r="F98" i="36"/>
  <c r="E37" i="36"/>
  <c r="E105" i="36"/>
  <c r="D89" i="36"/>
  <c r="H465" i="2"/>
  <c r="H502" i="2" s="1"/>
  <c r="I70" i="34"/>
  <c r="H70" i="34"/>
  <c r="J70" i="34" s="1"/>
  <c r="E70" i="34"/>
  <c r="D22" i="34"/>
  <c r="D439" i="2"/>
  <c r="F105" i="36" l="1"/>
  <c r="F101" i="36"/>
  <c r="F109" i="36" s="1"/>
  <c r="E22" i="34"/>
  <c r="F108" i="36" l="1"/>
  <c r="F110" i="36" s="1"/>
  <c r="E108" i="36"/>
  <c r="E109" i="36"/>
  <c r="H457" i="2"/>
  <c r="H192" i="15"/>
  <c r="D41" i="34"/>
  <c r="D35" i="34" s="1"/>
  <c r="H456" i="2"/>
  <c r="D30" i="34"/>
  <c r="I34" i="34"/>
  <c r="H34" i="34"/>
  <c r="J34" i="34" s="1"/>
  <c r="E34" i="34"/>
  <c r="H441" i="2"/>
  <c r="H191" i="15"/>
  <c r="H455" i="2"/>
  <c r="E74" i="34"/>
  <c r="H451" i="2"/>
  <c r="H450" i="2"/>
  <c r="H449" i="2"/>
  <c r="H448" i="2"/>
  <c r="H447" i="2"/>
  <c r="H446" i="2"/>
  <c r="H445" i="2"/>
  <c r="H444" i="2"/>
  <c r="H443" i="2"/>
  <c r="H442" i="2"/>
  <c r="H440" i="2"/>
  <c r="H438" i="2"/>
  <c r="H439" i="2"/>
  <c r="I39" i="34"/>
  <c r="H39" i="34"/>
  <c r="J39" i="34" s="1"/>
  <c r="E39" i="34"/>
  <c r="E110" i="36" l="1"/>
  <c r="E111" i="36" s="1"/>
  <c r="G437" i="2"/>
  <c r="I38" i="34"/>
  <c r="H38" i="34"/>
  <c r="J38" i="34" s="1"/>
  <c r="E38" i="34"/>
  <c r="D14" i="34"/>
  <c r="D13" i="34"/>
  <c r="D21" i="34"/>
  <c r="D20" i="34"/>
  <c r="D19" i="34"/>
  <c r="D18" i="34"/>
  <c r="D16" i="34"/>
  <c r="D436" i="2" s="1"/>
  <c r="D15" i="34"/>
  <c r="D435" i="2" s="1"/>
  <c r="E33" i="34"/>
  <c r="E32" i="34"/>
  <c r="I33" i="34"/>
  <c r="H33" i="34"/>
  <c r="J33" i="34" s="1"/>
  <c r="E17" i="34"/>
  <c r="D12" i="34" l="1"/>
  <c r="D437" i="2"/>
  <c r="D438" i="2"/>
  <c r="D433" i="2"/>
  <c r="D431" i="2"/>
  <c r="D432" i="2"/>
  <c r="D434" i="2"/>
  <c r="E14" i="34" l="1"/>
  <c r="E13" i="34"/>
  <c r="E15" i="34"/>
  <c r="E16" i="34"/>
  <c r="E19" i="34" l="1"/>
  <c r="E20" i="34"/>
  <c r="E21" i="34"/>
  <c r="E18" i="34"/>
  <c r="H435" i="2"/>
  <c r="H434" i="2"/>
  <c r="G435" i="2"/>
  <c r="G434" i="2"/>
  <c r="I37" i="34"/>
  <c r="H37" i="34"/>
  <c r="J37" i="34" s="1"/>
  <c r="E37" i="34"/>
  <c r="H433" i="2"/>
  <c r="H432" i="2"/>
  <c r="H431" i="2"/>
  <c r="E12" i="34" l="1"/>
  <c r="I56" i="34"/>
  <c r="H56" i="34"/>
  <c r="J56" i="34" s="1"/>
  <c r="D58" i="34" l="1"/>
  <c r="D57" i="34" s="1"/>
  <c r="I58" i="34"/>
  <c r="H58" i="34"/>
  <c r="J58" i="34" s="1"/>
  <c r="H199" i="15"/>
  <c r="E90" i="34"/>
  <c r="E89" i="34"/>
  <c r="E88" i="34"/>
  <c r="F87" i="34"/>
  <c r="E87" i="34"/>
  <c r="I80" i="34"/>
  <c r="H80" i="34"/>
  <c r="J80" i="34" s="1"/>
  <c r="E80" i="34"/>
  <c r="D80" i="34" s="1"/>
  <c r="D78" i="34" s="1"/>
  <c r="I79" i="34"/>
  <c r="H79" i="34"/>
  <c r="J79" i="34" s="1"/>
  <c r="E79" i="34"/>
  <c r="I77" i="34"/>
  <c r="H77" i="34"/>
  <c r="J77" i="34" s="1"/>
  <c r="E77" i="34"/>
  <c r="E76" i="34" s="1"/>
  <c r="D76" i="34"/>
  <c r="I75" i="34"/>
  <c r="H75" i="34"/>
  <c r="J75" i="34" s="1"/>
  <c r="E75" i="34"/>
  <c r="I74" i="34"/>
  <c r="H74" i="34"/>
  <c r="J74" i="34" s="1"/>
  <c r="I73" i="34"/>
  <c r="H73" i="34"/>
  <c r="J73" i="34" s="1"/>
  <c r="D73" i="34"/>
  <c r="I72" i="34"/>
  <c r="H72" i="34"/>
  <c r="J72" i="34" s="1"/>
  <c r="D72" i="34"/>
  <c r="I69" i="34"/>
  <c r="H69" i="34"/>
  <c r="J69" i="34" s="1"/>
  <c r="E69" i="34"/>
  <c r="I68" i="34"/>
  <c r="H68" i="34"/>
  <c r="J68" i="34" s="1"/>
  <c r="E68" i="34"/>
  <c r="I67" i="34"/>
  <c r="H67" i="34"/>
  <c r="J67" i="34" s="1"/>
  <c r="E67" i="34"/>
  <c r="I66" i="34"/>
  <c r="H66" i="34"/>
  <c r="J66" i="34" s="1"/>
  <c r="E66" i="34"/>
  <c r="I65" i="34"/>
  <c r="H65" i="34"/>
  <c r="J65" i="34" s="1"/>
  <c r="E65" i="34"/>
  <c r="I64" i="34"/>
  <c r="H64" i="34"/>
  <c r="J64" i="34" s="1"/>
  <c r="E64" i="34"/>
  <c r="I63" i="34"/>
  <c r="H63" i="34"/>
  <c r="J63" i="34" s="1"/>
  <c r="E63" i="34"/>
  <c r="I62" i="34"/>
  <c r="H62" i="34"/>
  <c r="J62" i="34" s="1"/>
  <c r="E62" i="34"/>
  <c r="I61" i="34"/>
  <c r="H61" i="34"/>
  <c r="J61" i="34" s="1"/>
  <c r="E61" i="34"/>
  <c r="I60" i="34"/>
  <c r="H60" i="34"/>
  <c r="J60" i="34" s="1"/>
  <c r="E60" i="34"/>
  <c r="I59" i="34"/>
  <c r="H59" i="34"/>
  <c r="J59" i="34" s="1"/>
  <c r="E59" i="34"/>
  <c r="E56" i="34"/>
  <c r="E55" i="34" s="1"/>
  <c r="D55" i="34"/>
  <c r="I54" i="34"/>
  <c r="H54" i="34"/>
  <c r="J54" i="34" s="1"/>
  <c r="E53" i="34"/>
  <c r="D53" i="34"/>
  <c r="I52" i="34"/>
  <c r="H52" i="34"/>
  <c r="J52" i="34" s="1"/>
  <c r="D52" i="34"/>
  <c r="I51" i="34"/>
  <c r="H51" i="34"/>
  <c r="J51" i="34" s="1"/>
  <c r="D51" i="34"/>
  <c r="E50" i="34"/>
  <c r="I49" i="34"/>
  <c r="H49" i="34"/>
  <c r="J49" i="34" s="1"/>
  <c r="E49" i="34"/>
  <c r="I48" i="34"/>
  <c r="H48" i="34"/>
  <c r="J48" i="34" s="1"/>
  <c r="E48" i="34"/>
  <c r="I47" i="34"/>
  <c r="H47" i="34"/>
  <c r="J47" i="34" s="1"/>
  <c r="E47" i="34"/>
  <c r="I46" i="34"/>
  <c r="H46" i="34"/>
  <c r="J46" i="34" s="1"/>
  <c r="E46" i="34"/>
  <c r="I45" i="34"/>
  <c r="H45" i="34"/>
  <c r="J45" i="34" s="1"/>
  <c r="D45" i="34"/>
  <c r="I44" i="34"/>
  <c r="H44" i="34"/>
  <c r="J44" i="34" s="1"/>
  <c r="D44" i="34"/>
  <c r="I43" i="34"/>
  <c r="H43" i="34"/>
  <c r="J43" i="34" s="1"/>
  <c r="D43" i="34"/>
  <c r="I40" i="34"/>
  <c r="H40" i="34"/>
  <c r="J40" i="34" s="1"/>
  <c r="E40" i="34"/>
  <c r="I41" i="34"/>
  <c r="H41" i="34"/>
  <c r="J41" i="34" s="1"/>
  <c r="E41" i="34"/>
  <c r="I36" i="34"/>
  <c r="H36" i="34"/>
  <c r="J36" i="34" s="1"/>
  <c r="E36" i="34"/>
  <c r="J35" i="34"/>
  <c r="I32" i="34"/>
  <c r="H32" i="34"/>
  <c r="J32" i="34" s="1"/>
  <c r="I31" i="34"/>
  <c r="H31" i="34"/>
  <c r="J31" i="34" s="1"/>
  <c r="E31" i="34"/>
  <c r="E30" i="34" s="1"/>
  <c r="J30" i="34"/>
  <c r="I29" i="34"/>
  <c r="H29" i="34"/>
  <c r="J29" i="34" s="1"/>
  <c r="E29" i="34"/>
  <c r="D28" i="34"/>
  <c r="D62" i="33"/>
  <c r="F89" i="34" l="1"/>
  <c r="E35" i="34"/>
  <c r="F90" i="34"/>
  <c r="E78" i="34"/>
  <c r="F91" i="34"/>
  <c r="F97" i="34" s="1"/>
  <c r="E28" i="34"/>
  <c r="F88" i="34"/>
  <c r="E58" i="34"/>
  <c r="E57" i="34" s="1"/>
  <c r="E91" i="34"/>
  <c r="E93" i="34" s="1"/>
  <c r="E42" i="34"/>
  <c r="D50" i="34"/>
  <c r="E71" i="34"/>
  <c r="D71" i="34"/>
  <c r="D42" i="34"/>
  <c r="H459" i="2"/>
  <c r="D50" i="33"/>
  <c r="I62" i="33"/>
  <c r="H62" i="33"/>
  <c r="J62" i="33" s="1"/>
  <c r="E62" i="33"/>
  <c r="H419" i="2"/>
  <c r="H178" i="15"/>
  <c r="H418" i="2"/>
  <c r="H417" i="2"/>
  <c r="H416" i="2"/>
  <c r="H413" i="2"/>
  <c r="F93" i="34" l="1"/>
  <c r="E100" i="34" s="1"/>
  <c r="E97" i="34"/>
  <c r="D81" i="34"/>
  <c r="E81" i="34"/>
  <c r="E67" i="33"/>
  <c r="D34" i="33"/>
  <c r="D36" i="33"/>
  <c r="D37" i="33"/>
  <c r="D38" i="33"/>
  <c r="F100" i="34" l="1"/>
  <c r="E101" i="34"/>
  <c r="F101" i="34"/>
  <c r="D19" i="33"/>
  <c r="D18" i="33"/>
  <c r="D17" i="33"/>
  <c r="D415" i="2"/>
  <c r="D414" i="2"/>
  <c r="D413" i="2"/>
  <c r="D16" i="33"/>
  <c r="D15" i="33"/>
  <c r="D14" i="33"/>
  <c r="D13" i="33"/>
  <c r="D409" i="2"/>
  <c r="D410" i="2"/>
  <c r="D411" i="2"/>
  <c r="D412" i="2"/>
  <c r="F102" i="34" l="1"/>
  <c r="F103" i="34" s="1"/>
  <c r="E102" i="34"/>
  <c r="E103" i="34" s="1"/>
  <c r="E14" i="33" l="1"/>
  <c r="E15" i="33"/>
  <c r="E18" i="33"/>
  <c r="E17" i="33"/>
  <c r="E19" i="33"/>
  <c r="E13" i="33"/>
  <c r="E16" i="33"/>
  <c r="H409" i="2"/>
  <c r="H426" i="2" s="1"/>
  <c r="I32" i="33"/>
  <c r="H32" i="33"/>
  <c r="J32" i="33" s="1"/>
  <c r="E32" i="33"/>
  <c r="E83" i="33"/>
  <c r="F81" i="33"/>
  <c r="E81" i="33"/>
  <c r="D44" i="33"/>
  <c r="D45" i="33"/>
  <c r="D33" i="33"/>
  <c r="D30" i="33" s="1"/>
  <c r="D11" i="32"/>
  <c r="H186" i="15" l="1"/>
  <c r="E80" i="33"/>
  <c r="F79" i="33"/>
  <c r="E79" i="33"/>
  <c r="I72" i="33"/>
  <c r="H72" i="33"/>
  <c r="J72" i="33" s="1"/>
  <c r="E72" i="33"/>
  <c r="D72" i="33" s="1"/>
  <c r="D70" i="33" s="1"/>
  <c r="I71" i="33"/>
  <c r="H71" i="33"/>
  <c r="J71" i="33" s="1"/>
  <c r="E71" i="33"/>
  <c r="F83" i="33" s="1"/>
  <c r="I69" i="33"/>
  <c r="H69" i="33"/>
  <c r="J69" i="33" s="1"/>
  <c r="E69" i="33"/>
  <c r="E68" i="33" s="1"/>
  <c r="D68" i="33"/>
  <c r="I67" i="33"/>
  <c r="H67" i="33"/>
  <c r="J67" i="33" s="1"/>
  <c r="I66" i="33"/>
  <c r="H66" i="33"/>
  <c r="J66" i="33" s="1"/>
  <c r="E66" i="33"/>
  <c r="E63" i="33" s="1"/>
  <c r="I64" i="33"/>
  <c r="H64" i="33"/>
  <c r="J64" i="33" s="1"/>
  <c r="D64" i="33"/>
  <c r="I65" i="33"/>
  <c r="H65" i="33"/>
  <c r="J65" i="33" s="1"/>
  <c r="D65" i="33"/>
  <c r="I61" i="33"/>
  <c r="H61" i="33"/>
  <c r="J61" i="33" s="1"/>
  <c r="E61" i="33"/>
  <c r="I60" i="33"/>
  <c r="H60" i="33"/>
  <c r="J60" i="33" s="1"/>
  <c r="E60" i="33"/>
  <c r="I59" i="33"/>
  <c r="H59" i="33"/>
  <c r="J59" i="33" s="1"/>
  <c r="E59" i="33"/>
  <c r="I58" i="33"/>
  <c r="H58" i="33"/>
  <c r="J58" i="33" s="1"/>
  <c r="E58" i="33"/>
  <c r="I57" i="33"/>
  <c r="H57" i="33"/>
  <c r="J57" i="33" s="1"/>
  <c r="E57" i="33"/>
  <c r="I56" i="33"/>
  <c r="H56" i="33"/>
  <c r="J56" i="33" s="1"/>
  <c r="E56" i="33"/>
  <c r="I55" i="33"/>
  <c r="H55" i="33"/>
  <c r="J55" i="33" s="1"/>
  <c r="E55" i="33"/>
  <c r="I54" i="33"/>
  <c r="H54" i="33"/>
  <c r="J54" i="33" s="1"/>
  <c r="E54" i="33"/>
  <c r="I53" i="33"/>
  <c r="H53" i="33"/>
  <c r="J53" i="33" s="1"/>
  <c r="E53" i="33"/>
  <c r="I52" i="33"/>
  <c r="H52" i="33"/>
  <c r="J52" i="33" s="1"/>
  <c r="E52" i="33"/>
  <c r="I51" i="33"/>
  <c r="H51" i="33"/>
  <c r="J51" i="33" s="1"/>
  <c r="E51" i="33"/>
  <c r="E49" i="33"/>
  <c r="E48" i="33" s="1"/>
  <c r="I47" i="33"/>
  <c r="H47" i="33"/>
  <c r="J47" i="33" s="1"/>
  <c r="E46" i="33"/>
  <c r="D46" i="33"/>
  <c r="I45" i="33"/>
  <c r="H45" i="33"/>
  <c r="J45" i="33" s="1"/>
  <c r="I44" i="33"/>
  <c r="H44" i="33"/>
  <c r="J44" i="33" s="1"/>
  <c r="E43" i="33"/>
  <c r="I42" i="33"/>
  <c r="H42" i="33"/>
  <c r="J42" i="33" s="1"/>
  <c r="E42" i="33"/>
  <c r="I41" i="33"/>
  <c r="H41" i="33"/>
  <c r="J41" i="33" s="1"/>
  <c r="E41" i="33"/>
  <c r="I40" i="33"/>
  <c r="H40" i="33"/>
  <c r="J40" i="33" s="1"/>
  <c r="E40" i="33"/>
  <c r="I39" i="33"/>
  <c r="H39" i="33"/>
  <c r="J39" i="33" s="1"/>
  <c r="E39" i="33"/>
  <c r="I38" i="33"/>
  <c r="H38" i="33"/>
  <c r="J38" i="33" s="1"/>
  <c r="I37" i="33"/>
  <c r="H37" i="33"/>
  <c r="J37" i="33" s="1"/>
  <c r="I36" i="33"/>
  <c r="H36" i="33"/>
  <c r="J36" i="33" s="1"/>
  <c r="I33" i="33"/>
  <c r="H33" i="33"/>
  <c r="J33" i="33" s="1"/>
  <c r="E33" i="33"/>
  <c r="I34" i="33"/>
  <c r="H34" i="33"/>
  <c r="J34" i="33" s="1"/>
  <c r="E34" i="33"/>
  <c r="I31" i="33"/>
  <c r="H31" i="33"/>
  <c r="J31" i="33" s="1"/>
  <c r="E31" i="33"/>
  <c r="J30" i="33"/>
  <c r="I29" i="33"/>
  <c r="H29" i="33"/>
  <c r="J29" i="33" s="1"/>
  <c r="E29" i="33"/>
  <c r="I28" i="33"/>
  <c r="H28" i="33"/>
  <c r="J28" i="33" s="1"/>
  <c r="E28" i="33"/>
  <c r="J27" i="33"/>
  <c r="D27" i="33"/>
  <c r="I26" i="33"/>
  <c r="H26" i="33"/>
  <c r="J26" i="33" s="1"/>
  <c r="E26" i="33"/>
  <c r="D25" i="33"/>
  <c r="E11" i="32"/>
  <c r="D63" i="33" l="1"/>
  <c r="E50" i="33"/>
  <c r="E30" i="33"/>
  <c r="E84" i="33"/>
  <c r="F84" i="33"/>
  <c r="F80" i="33"/>
  <c r="E35" i="33"/>
  <c r="E70" i="33"/>
  <c r="E25" i="33"/>
  <c r="E82" i="33"/>
  <c r="F82" i="33"/>
  <c r="D35" i="33"/>
  <c r="D48" i="33"/>
  <c r="D12" i="33"/>
  <c r="D43" i="33"/>
  <c r="E27" i="33"/>
  <c r="H401" i="2"/>
  <c r="E85" i="33" l="1"/>
  <c r="F89" i="33"/>
  <c r="F85" i="33"/>
  <c r="E93" i="33" s="1"/>
  <c r="E89" i="33"/>
  <c r="D73" i="33"/>
  <c r="E73" i="33"/>
  <c r="D166" i="15"/>
  <c r="F93" i="33" l="1"/>
  <c r="F92" i="33"/>
  <c r="E92" i="33"/>
  <c r="E94" i="33" s="1"/>
  <c r="E95" i="33" s="1"/>
  <c r="D50" i="32"/>
  <c r="D46" i="32"/>
  <c r="D45" i="32"/>
  <c r="F94" i="33" l="1"/>
  <c r="F95" i="33" s="1"/>
  <c r="D35" i="32"/>
  <c r="D20" i="32"/>
  <c r="D18" i="32"/>
  <c r="D14" i="32"/>
  <c r="D15" i="32"/>
  <c r="D391" i="2"/>
  <c r="D19" i="32"/>
  <c r="D390" i="2" s="1"/>
  <c r="D17" i="32"/>
  <c r="D389" i="2" s="1"/>
  <c r="D16" i="32"/>
  <c r="H393" i="2"/>
  <c r="D393" i="2" l="1"/>
  <c r="D388" i="2"/>
  <c r="D394" i="2"/>
  <c r="D392" i="2"/>
  <c r="D33" i="32"/>
  <c r="E20" i="32" l="1"/>
  <c r="E14" i="32" l="1"/>
  <c r="E15" i="32"/>
  <c r="E16" i="32"/>
  <c r="E17" i="32"/>
  <c r="E19" i="32"/>
  <c r="E18" i="32"/>
  <c r="H173" i="15"/>
  <c r="H403" i="2"/>
  <c r="E44" i="32"/>
  <c r="I46" i="32"/>
  <c r="H46" i="32"/>
  <c r="J46" i="32" s="1"/>
  <c r="D44" i="32"/>
  <c r="D52" i="32"/>
  <c r="I55" i="32"/>
  <c r="H55" i="32"/>
  <c r="J55" i="32" s="1"/>
  <c r="E55" i="32"/>
  <c r="I54" i="32"/>
  <c r="H54" i="32"/>
  <c r="J54" i="32" s="1"/>
  <c r="E54" i="32"/>
  <c r="I53" i="32"/>
  <c r="H53" i="32"/>
  <c r="J53" i="32" s="1"/>
  <c r="E53" i="32"/>
  <c r="E76" i="32"/>
  <c r="D76" i="32" s="1"/>
  <c r="D51" i="32"/>
  <c r="E51" i="32" s="1"/>
  <c r="I35" i="32"/>
  <c r="E12" i="33" l="1"/>
  <c r="E49" i="32"/>
  <c r="D49" i="32"/>
  <c r="E85" i="32"/>
  <c r="E84" i="32"/>
  <c r="E83" i="32"/>
  <c r="I76" i="32"/>
  <c r="H76" i="32"/>
  <c r="J76" i="32" s="1"/>
  <c r="D74" i="32"/>
  <c r="I75" i="32"/>
  <c r="H75" i="32"/>
  <c r="J75" i="32" s="1"/>
  <c r="E75" i="32"/>
  <c r="E74" i="32" s="1"/>
  <c r="I73" i="32"/>
  <c r="H73" i="32"/>
  <c r="J73" i="32" s="1"/>
  <c r="E73" i="32"/>
  <c r="E72" i="32" s="1"/>
  <c r="D72" i="32"/>
  <c r="I71" i="32"/>
  <c r="H71" i="32"/>
  <c r="J71" i="32" s="1"/>
  <c r="I70" i="32"/>
  <c r="H70" i="32"/>
  <c r="J70" i="32" s="1"/>
  <c r="E70" i="32"/>
  <c r="E67" i="32" s="1"/>
  <c r="I69" i="32"/>
  <c r="H69" i="32"/>
  <c r="J69" i="32" s="1"/>
  <c r="D69" i="32"/>
  <c r="I68" i="32"/>
  <c r="H68" i="32"/>
  <c r="J68" i="32" s="1"/>
  <c r="D68" i="32"/>
  <c r="I66" i="32"/>
  <c r="H66" i="32"/>
  <c r="J66" i="32" s="1"/>
  <c r="E66" i="32"/>
  <c r="I64" i="32"/>
  <c r="H64" i="32"/>
  <c r="J64" i="32" s="1"/>
  <c r="E64" i="32"/>
  <c r="I62" i="32"/>
  <c r="H62" i="32"/>
  <c r="J62" i="32" s="1"/>
  <c r="E62" i="32"/>
  <c r="I59" i="32"/>
  <c r="H59" i="32"/>
  <c r="J59" i="32" s="1"/>
  <c r="E59" i="32"/>
  <c r="I65" i="32"/>
  <c r="H65" i="32"/>
  <c r="J65" i="32" s="1"/>
  <c r="E65" i="32"/>
  <c r="I58" i="32"/>
  <c r="H58" i="32"/>
  <c r="J58" i="32" s="1"/>
  <c r="E58" i="32"/>
  <c r="I61" i="32"/>
  <c r="H61" i="32"/>
  <c r="J61" i="32" s="1"/>
  <c r="E61" i="32"/>
  <c r="I60" i="32"/>
  <c r="H60" i="32"/>
  <c r="J60" i="32" s="1"/>
  <c r="E60" i="32"/>
  <c r="I57" i="32"/>
  <c r="H57" i="32"/>
  <c r="J57" i="32" s="1"/>
  <c r="E57" i="32"/>
  <c r="I63" i="32"/>
  <c r="H63" i="32"/>
  <c r="J63" i="32" s="1"/>
  <c r="E63" i="32"/>
  <c r="I56" i="32"/>
  <c r="H56" i="32"/>
  <c r="J56" i="32" s="1"/>
  <c r="E56" i="32"/>
  <c r="I50" i="32"/>
  <c r="H50" i="32"/>
  <c r="J50" i="32" s="1"/>
  <c r="I48" i="32"/>
  <c r="H48" i="32"/>
  <c r="J48" i="32" s="1"/>
  <c r="E47" i="32"/>
  <c r="D47" i="32"/>
  <c r="I45" i="32"/>
  <c r="H45" i="32"/>
  <c r="J45" i="32" s="1"/>
  <c r="I43" i="32"/>
  <c r="H43" i="32"/>
  <c r="J43" i="32" s="1"/>
  <c r="E43" i="32"/>
  <c r="I42" i="32"/>
  <c r="H42" i="32"/>
  <c r="J42" i="32" s="1"/>
  <c r="E42" i="32"/>
  <c r="I41" i="32"/>
  <c r="H41" i="32"/>
  <c r="J41" i="32" s="1"/>
  <c r="E41" i="32"/>
  <c r="I40" i="32"/>
  <c r="H40" i="32"/>
  <c r="J40" i="32" s="1"/>
  <c r="E40" i="32"/>
  <c r="I39" i="32"/>
  <c r="H39" i="32"/>
  <c r="J39" i="32" s="1"/>
  <c r="D39" i="32"/>
  <c r="I38" i="32"/>
  <c r="H38" i="32"/>
  <c r="J38" i="32" s="1"/>
  <c r="D38" i="32"/>
  <c r="I37" i="32"/>
  <c r="H37" i="32"/>
  <c r="J37" i="32" s="1"/>
  <c r="D37" i="32"/>
  <c r="H35" i="32"/>
  <c r="J35" i="32" s="1"/>
  <c r="I34" i="32"/>
  <c r="H34" i="32"/>
  <c r="J34" i="32" s="1"/>
  <c r="E34" i="32"/>
  <c r="I33" i="32"/>
  <c r="H33" i="32"/>
  <c r="J33" i="32" s="1"/>
  <c r="E33" i="32"/>
  <c r="I32" i="32"/>
  <c r="H32" i="32"/>
  <c r="J32" i="32" s="1"/>
  <c r="E32" i="32"/>
  <c r="J31" i="32"/>
  <c r="I30" i="32"/>
  <c r="H30" i="32"/>
  <c r="J30" i="32" s="1"/>
  <c r="E30" i="32"/>
  <c r="I29" i="32"/>
  <c r="H29" i="32"/>
  <c r="J29" i="32" s="1"/>
  <c r="E29" i="32"/>
  <c r="J28" i="32"/>
  <c r="D28" i="32"/>
  <c r="I27" i="32"/>
  <c r="H27" i="32"/>
  <c r="J27" i="32" s="1"/>
  <c r="E27" i="32"/>
  <c r="E26" i="32" s="1"/>
  <c r="D26" i="32"/>
  <c r="E26" i="31"/>
  <c r="D27" i="31"/>
  <c r="E30" i="31"/>
  <c r="E29" i="31"/>
  <c r="I30" i="31"/>
  <c r="H30" i="31"/>
  <c r="J30" i="31" s="1"/>
  <c r="F83" i="32" l="1"/>
  <c r="E86" i="32"/>
  <c r="E87" i="32" s="1"/>
  <c r="E52" i="32"/>
  <c r="F86" i="32"/>
  <c r="E91" i="32"/>
  <c r="F85" i="32"/>
  <c r="F84" i="32"/>
  <c r="D67" i="32"/>
  <c r="E28" i="32"/>
  <c r="D36" i="32"/>
  <c r="E36" i="32"/>
  <c r="D31" i="32"/>
  <c r="E35" i="32"/>
  <c r="E31" i="32" s="1"/>
  <c r="H371" i="2"/>
  <c r="H370" i="2"/>
  <c r="H369" i="2"/>
  <c r="H368" i="2"/>
  <c r="H367" i="2"/>
  <c r="H366" i="2"/>
  <c r="H365" i="2"/>
  <c r="H354" i="2"/>
  <c r="D36" i="31"/>
  <c r="D35" i="31"/>
  <c r="I67" i="31"/>
  <c r="H67" i="31"/>
  <c r="J67" i="31" s="1"/>
  <c r="I65" i="31"/>
  <c r="H65" i="31"/>
  <c r="J65" i="31" s="1"/>
  <c r="D65" i="31"/>
  <c r="D354" i="2"/>
  <c r="D19" i="31"/>
  <c r="D356" i="2" s="1"/>
  <c r="D17" i="31"/>
  <c r="D355" i="2" s="1"/>
  <c r="F91" i="32" l="1"/>
  <c r="F87" i="32"/>
  <c r="E94" i="32" s="1"/>
  <c r="D77" i="32"/>
  <c r="E77" i="32"/>
  <c r="E13" i="31"/>
  <c r="E17" i="31"/>
  <c r="E19" i="31"/>
  <c r="D16" i="31"/>
  <c r="D352" i="2" s="1"/>
  <c r="D18" i="31"/>
  <c r="D15" i="31"/>
  <c r="D14" i="31"/>
  <c r="F95" i="32" l="1"/>
  <c r="E95" i="32"/>
  <c r="E96" i="32" s="1"/>
  <c r="E97" i="32" s="1"/>
  <c r="F94" i="32"/>
  <c r="E13" i="32"/>
  <c r="D13" i="32"/>
  <c r="E16" i="31"/>
  <c r="D353" i="2"/>
  <c r="E18" i="31"/>
  <c r="D351" i="2"/>
  <c r="E15" i="31"/>
  <c r="E14" i="31"/>
  <c r="D350" i="2"/>
  <c r="F96" i="32" l="1"/>
  <c r="F97" i="32" s="1"/>
  <c r="H349" i="2" l="1"/>
  <c r="I33" i="31"/>
  <c r="H33" i="31"/>
  <c r="J33" i="31" s="1"/>
  <c r="E33" i="31"/>
  <c r="E25" i="31"/>
  <c r="E51" i="30" l="1"/>
  <c r="D68" i="31"/>
  <c r="I69" i="31"/>
  <c r="H69" i="31"/>
  <c r="J69" i="31" s="1"/>
  <c r="E69" i="31"/>
  <c r="E68" i="31" s="1"/>
  <c r="I71" i="31"/>
  <c r="H71" i="31"/>
  <c r="J71" i="31" s="1"/>
  <c r="E71" i="31"/>
  <c r="E70" i="31" s="1"/>
  <c r="I72" i="31"/>
  <c r="H72" i="31"/>
  <c r="J72" i="31" s="1"/>
  <c r="D72" i="31"/>
  <c r="D70" i="31" s="1"/>
  <c r="D46" i="31"/>
  <c r="H159" i="15" l="1"/>
  <c r="H383" i="2"/>
  <c r="E81" i="31"/>
  <c r="F80" i="31"/>
  <c r="E80" i="31"/>
  <c r="F79" i="31"/>
  <c r="E79" i="31"/>
  <c r="I66" i="31"/>
  <c r="H66" i="31"/>
  <c r="J66" i="31" s="1"/>
  <c r="E66" i="31"/>
  <c r="E63" i="31" s="1"/>
  <c r="I64" i="31"/>
  <c r="H64" i="31"/>
  <c r="J64" i="31" s="1"/>
  <c r="D64" i="31"/>
  <c r="D63" i="31" s="1"/>
  <c r="I62" i="31"/>
  <c r="H62" i="31"/>
  <c r="J62" i="31" s="1"/>
  <c r="E62" i="31"/>
  <c r="I61" i="31"/>
  <c r="H61" i="31"/>
  <c r="J61" i="31" s="1"/>
  <c r="E61" i="31"/>
  <c r="I60" i="31"/>
  <c r="H60" i="31"/>
  <c r="J60" i="31" s="1"/>
  <c r="E60" i="31"/>
  <c r="I59" i="31"/>
  <c r="H59" i="31"/>
  <c r="J59" i="31" s="1"/>
  <c r="E59" i="31"/>
  <c r="I58" i="31"/>
  <c r="H58" i="31"/>
  <c r="J58" i="31" s="1"/>
  <c r="E58" i="31"/>
  <c r="I57" i="31"/>
  <c r="H57" i="31"/>
  <c r="J57" i="31" s="1"/>
  <c r="E57" i="31"/>
  <c r="I56" i="31"/>
  <c r="H56" i="31"/>
  <c r="J56" i="31" s="1"/>
  <c r="E56" i="31"/>
  <c r="I55" i="31"/>
  <c r="H55" i="31"/>
  <c r="J55" i="31" s="1"/>
  <c r="E55" i="31"/>
  <c r="I54" i="31"/>
  <c r="H54" i="31"/>
  <c r="J54" i="31" s="1"/>
  <c r="E54" i="31"/>
  <c r="I53" i="31"/>
  <c r="H53" i="31"/>
  <c r="J53" i="31" s="1"/>
  <c r="E53" i="31"/>
  <c r="I52" i="31"/>
  <c r="H52" i="31"/>
  <c r="J52" i="31" s="1"/>
  <c r="E52" i="31"/>
  <c r="D51" i="31"/>
  <c r="I50" i="31"/>
  <c r="H50" i="31"/>
  <c r="J50" i="31" s="1"/>
  <c r="I48" i="31"/>
  <c r="H48" i="31"/>
  <c r="J48" i="31" s="1"/>
  <c r="E47" i="31"/>
  <c r="D47" i="31"/>
  <c r="I46" i="31"/>
  <c r="H46" i="31"/>
  <c r="J46" i="31" s="1"/>
  <c r="D45" i="31"/>
  <c r="E45" i="31"/>
  <c r="I44" i="31"/>
  <c r="H44" i="31"/>
  <c r="J44" i="31" s="1"/>
  <c r="E44" i="31"/>
  <c r="I43" i="31"/>
  <c r="H43" i="31"/>
  <c r="J43" i="31" s="1"/>
  <c r="E43" i="31"/>
  <c r="I42" i="31"/>
  <c r="H42" i="31"/>
  <c r="J42" i="31" s="1"/>
  <c r="E42" i="31"/>
  <c r="I41" i="31"/>
  <c r="H41" i="31"/>
  <c r="J41" i="31" s="1"/>
  <c r="E41" i="31"/>
  <c r="I40" i="31"/>
  <c r="H40" i="31"/>
  <c r="J40" i="31" s="1"/>
  <c r="D40" i="31"/>
  <c r="I39" i="31"/>
  <c r="H39" i="31"/>
  <c r="J39" i="31" s="1"/>
  <c r="D39" i="31"/>
  <c r="I38" i="31"/>
  <c r="H38" i="31"/>
  <c r="J38" i="31" s="1"/>
  <c r="D38" i="31"/>
  <c r="I36" i="31"/>
  <c r="H36" i="31"/>
  <c r="E36" i="31"/>
  <c r="I35" i="31"/>
  <c r="H35" i="31"/>
  <c r="I34" i="31"/>
  <c r="H34" i="31"/>
  <c r="J34" i="31" s="1"/>
  <c r="E34" i="31"/>
  <c r="I32" i="31"/>
  <c r="H32" i="31"/>
  <c r="J32" i="31" s="1"/>
  <c r="E32" i="31"/>
  <c r="J31" i="31"/>
  <c r="I29" i="31"/>
  <c r="H29" i="31"/>
  <c r="J29" i="31" s="1"/>
  <c r="I28" i="31"/>
  <c r="H28" i="31"/>
  <c r="J28" i="31" s="1"/>
  <c r="E28" i="31"/>
  <c r="E27" i="31" s="1"/>
  <c r="J27" i="31"/>
  <c r="I26" i="31"/>
  <c r="H26" i="31"/>
  <c r="J26" i="31" s="1"/>
  <c r="D25" i="31"/>
  <c r="D36" i="30"/>
  <c r="D35" i="30"/>
  <c r="E66" i="30"/>
  <c r="D66" i="30" s="1"/>
  <c r="D67" i="30"/>
  <c r="H314" i="2"/>
  <c r="F99" i="31" l="1"/>
  <c r="E37" i="31"/>
  <c r="E83" i="31"/>
  <c r="F81" i="31"/>
  <c r="E50" i="31"/>
  <c r="D49" i="31"/>
  <c r="E51" i="31"/>
  <c r="D31" i="31"/>
  <c r="E82" i="31"/>
  <c r="E88" i="31" s="1"/>
  <c r="D12" i="31"/>
  <c r="E35" i="31"/>
  <c r="E31" i="31" s="1"/>
  <c r="D37" i="31"/>
  <c r="D33" i="30"/>
  <c r="D34" i="29"/>
  <c r="D19" i="30"/>
  <c r="D315" i="2" s="1"/>
  <c r="D17" i="30"/>
  <c r="D314" i="2" s="1"/>
  <c r="D13" i="30"/>
  <c r="H312" i="2"/>
  <c r="H311" i="2"/>
  <c r="H313" i="2"/>
  <c r="D312" i="2"/>
  <c r="D311" i="2"/>
  <c r="D310" i="2"/>
  <c r="D309" i="2"/>
  <c r="I32" i="30"/>
  <c r="H32" i="30"/>
  <c r="J32" i="30" s="1"/>
  <c r="E32" i="30"/>
  <c r="D18" i="30"/>
  <c r="D16" i="30"/>
  <c r="D15" i="30"/>
  <c r="D14" i="30"/>
  <c r="E15" i="30" l="1"/>
  <c r="E13" i="30"/>
  <c r="E18" i="30"/>
  <c r="E14" i="30"/>
  <c r="E16" i="30"/>
  <c r="E84" i="31"/>
  <c r="E49" i="31"/>
  <c r="E73" i="31" s="1"/>
  <c r="F83" i="31"/>
  <c r="D73" i="31"/>
  <c r="F82" i="31"/>
  <c r="F88" i="31" s="1"/>
  <c r="E17" i="30"/>
  <c r="E19" i="30"/>
  <c r="D313" i="2"/>
  <c r="E12" i="30" l="1"/>
  <c r="E12" i="31"/>
  <c r="F84" i="31"/>
  <c r="F92" i="31" s="1"/>
  <c r="D19" i="29"/>
  <c r="D18" i="29"/>
  <c r="D17" i="29"/>
  <c r="D16" i="29"/>
  <c r="D15" i="29"/>
  <c r="D14" i="29"/>
  <c r="D13" i="29"/>
  <c r="E91" i="31" l="1"/>
  <c r="E92" i="31"/>
  <c r="F91" i="31"/>
  <c r="F93" i="31" s="1"/>
  <c r="F94" i="31" s="1"/>
  <c r="E77" i="30"/>
  <c r="D52" i="30"/>
  <c r="E52" i="30" s="1"/>
  <c r="I52" i="30"/>
  <c r="H52" i="30"/>
  <c r="J52" i="30" s="1"/>
  <c r="D47" i="30"/>
  <c r="E46" i="30"/>
  <c r="H320" i="2" s="1"/>
  <c r="I47" i="30"/>
  <c r="H47" i="30"/>
  <c r="J47" i="30" s="1"/>
  <c r="E93" i="31" l="1"/>
  <c r="E94" i="31" s="1"/>
  <c r="E45" i="30"/>
  <c r="D46" i="30"/>
  <c r="D45" i="30" s="1"/>
  <c r="F77" i="30" l="1"/>
  <c r="I70" i="30"/>
  <c r="H70" i="30"/>
  <c r="J70" i="30" s="1"/>
  <c r="E69" i="30"/>
  <c r="D69" i="30"/>
  <c r="I68" i="30"/>
  <c r="H68" i="30"/>
  <c r="J68" i="30" s="1"/>
  <c r="E68" i="30"/>
  <c r="I67" i="30"/>
  <c r="H67" i="30"/>
  <c r="J67" i="30" s="1"/>
  <c r="E67" i="30"/>
  <c r="I66" i="30"/>
  <c r="H66" i="30"/>
  <c r="J66" i="30" s="1"/>
  <c r="I64" i="30"/>
  <c r="H64" i="30"/>
  <c r="J64" i="30" s="1"/>
  <c r="E64" i="30"/>
  <c r="I63" i="30"/>
  <c r="H63" i="30"/>
  <c r="J63" i="30" s="1"/>
  <c r="E63" i="30"/>
  <c r="I62" i="30"/>
  <c r="H62" i="30"/>
  <c r="J62" i="30" s="1"/>
  <c r="E62" i="30"/>
  <c r="I61" i="30"/>
  <c r="H61" i="30"/>
  <c r="J61" i="30" s="1"/>
  <c r="E61" i="30"/>
  <c r="I60" i="30"/>
  <c r="H60" i="30"/>
  <c r="J60" i="30" s="1"/>
  <c r="E60" i="30"/>
  <c r="I59" i="30"/>
  <c r="H59" i="30"/>
  <c r="J59" i="30" s="1"/>
  <c r="E59" i="30"/>
  <c r="I58" i="30"/>
  <c r="H58" i="30"/>
  <c r="J58" i="30" s="1"/>
  <c r="E58" i="30"/>
  <c r="I57" i="30"/>
  <c r="H57" i="30"/>
  <c r="J57" i="30" s="1"/>
  <c r="E57" i="30"/>
  <c r="I56" i="30"/>
  <c r="H56" i="30"/>
  <c r="J56" i="30" s="1"/>
  <c r="E56" i="30"/>
  <c r="I55" i="30"/>
  <c r="H55" i="30"/>
  <c r="J55" i="30" s="1"/>
  <c r="E55" i="30"/>
  <c r="I54" i="30"/>
  <c r="H54" i="30"/>
  <c r="J54" i="30" s="1"/>
  <c r="E54" i="30"/>
  <c r="D53" i="30"/>
  <c r="I51" i="30"/>
  <c r="H51" i="30"/>
  <c r="J51" i="30" s="1"/>
  <c r="I49" i="30"/>
  <c r="H49" i="30"/>
  <c r="J49" i="30" s="1"/>
  <c r="I46" i="30"/>
  <c r="H46" i="30"/>
  <c r="J46" i="30" s="1"/>
  <c r="I44" i="30"/>
  <c r="H44" i="30"/>
  <c r="J44" i="30" s="1"/>
  <c r="E44" i="30"/>
  <c r="I43" i="30"/>
  <c r="H43" i="30"/>
  <c r="J43" i="30" s="1"/>
  <c r="E43" i="30"/>
  <c r="I42" i="30"/>
  <c r="H42" i="30"/>
  <c r="J42" i="30" s="1"/>
  <c r="E42" i="30"/>
  <c r="I41" i="30"/>
  <c r="H41" i="30"/>
  <c r="J41" i="30" s="1"/>
  <c r="E41" i="30"/>
  <c r="I40" i="30"/>
  <c r="H40" i="30"/>
  <c r="J40" i="30" s="1"/>
  <c r="D40" i="30"/>
  <c r="I39" i="30"/>
  <c r="H39" i="30"/>
  <c r="J39" i="30" s="1"/>
  <c r="D39" i="30"/>
  <c r="I38" i="30"/>
  <c r="H38" i="30"/>
  <c r="J38" i="30" s="1"/>
  <c r="D38" i="30"/>
  <c r="I36" i="30"/>
  <c r="H36" i="30"/>
  <c r="J36" i="30" s="1"/>
  <c r="E36" i="30"/>
  <c r="I35" i="30"/>
  <c r="H35" i="30"/>
  <c r="J35" i="30" s="1"/>
  <c r="E35" i="30"/>
  <c r="I33" i="30"/>
  <c r="H33" i="30"/>
  <c r="J33" i="30" s="1"/>
  <c r="E33" i="30"/>
  <c r="I34" i="30"/>
  <c r="H34" i="30"/>
  <c r="J34" i="30" s="1"/>
  <c r="E34" i="30"/>
  <c r="I31" i="30"/>
  <c r="H31" i="30"/>
  <c r="J31" i="30" s="1"/>
  <c r="J30" i="30"/>
  <c r="I29" i="30"/>
  <c r="H29" i="30"/>
  <c r="J29" i="30" s="1"/>
  <c r="E29" i="30"/>
  <c r="I28" i="30"/>
  <c r="H28" i="30"/>
  <c r="J28" i="30" s="1"/>
  <c r="E28" i="30"/>
  <c r="J27" i="30"/>
  <c r="D27" i="30"/>
  <c r="I26" i="30"/>
  <c r="H26" i="30"/>
  <c r="J26" i="30" s="1"/>
  <c r="E26" i="30"/>
  <c r="D25" i="30"/>
  <c r="H147" i="15"/>
  <c r="D36" i="29"/>
  <c r="D35" i="29"/>
  <c r="H124" i="15"/>
  <c r="E25" i="30" l="1"/>
  <c r="F80" i="30"/>
  <c r="D65" i="30"/>
  <c r="E80" i="30"/>
  <c r="E79" i="30"/>
  <c r="F79" i="30"/>
  <c r="E78" i="30"/>
  <c r="E65" i="30"/>
  <c r="E27" i="30"/>
  <c r="D37" i="30"/>
  <c r="E53" i="30"/>
  <c r="D12" i="30"/>
  <c r="E37" i="30"/>
  <c r="E48" i="30"/>
  <c r="E31" i="30"/>
  <c r="E30" i="30" s="1"/>
  <c r="D30" i="30"/>
  <c r="D48" i="30"/>
  <c r="H294" i="2"/>
  <c r="H293" i="2"/>
  <c r="H292" i="2"/>
  <c r="H291" i="2"/>
  <c r="H290" i="2"/>
  <c r="H289" i="2"/>
  <c r="H288" i="2"/>
  <c r="H287" i="2"/>
  <c r="H286" i="2"/>
  <c r="H285" i="2"/>
  <c r="H284" i="2"/>
  <c r="F78" i="30" l="1"/>
  <c r="H283" i="2"/>
  <c r="H282" i="2" l="1"/>
  <c r="H123" i="15"/>
  <c r="D122" i="15"/>
  <c r="H281" i="2"/>
  <c r="H122" i="15" l="1"/>
  <c r="H121" i="15"/>
  <c r="H280" i="2"/>
  <c r="H279" i="2"/>
  <c r="H278" i="2"/>
  <c r="D275" i="2"/>
  <c r="E19" i="29"/>
  <c r="E17" i="29"/>
  <c r="E13" i="29"/>
  <c r="H277" i="2"/>
  <c r="D49" i="29"/>
  <c r="D48" i="29"/>
  <c r="I34" i="29"/>
  <c r="H34" i="29"/>
  <c r="J34" i="29" s="1"/>
  <c r="E34" i="29"/>
  <c r="D274" i="2"/>
  <c r="D273" i="2"/>
  <c r="D272" i="2"/>
  <c r="D271" i="2"/>
  <c r="E33" i="29"/>
  <c r="I33" i="29"/>
  <c r="H33" i="29"/>
  <c r="J33" i="29" s="1"/>
  <c r="D276" i="2" l="1"/>
  <c r="D277" i="2"/>
  <c r="E18" i="29"/>
  <c r="E16" i="29"/>
  <c r="E15" i="29"/>
  <c r="E14" i="29"/>
  <c r="H275" i="2"/>
  <c r="H274" i="2"/>
  <c r="I32" i="29"/>
  <c r="H32" i="29"/>
  <c r="J32" i="29" s="1"/>
  <c r="E32" i="29"/>
  <c r="H273" i="2"/>
  <c r="J275" i="2" l="1"/>
  <c r="H132" i="15" l="1"/>
  <c r="E46" i="29"/>
  <c r="H304" i="2" l="1"/>
  <c r="E35" i="29" l="1"/>
  <c r="D31" i="29"/>
  <c r="E77" i="29" l="1"/>
  <c r="E76" i="29"/>
  <c r="I69" i="29"/>
  <c r="H69" i="29"/>
  <c r="J69" i="29" s="1"/>
  <c r="E68" i="29"/>
  <c r="D68" i="29"/>
  <c r="I67" i="29"/>
  <c r="H67" i="29"/>
  <c r="J67" i="29" s="1"/>
  <c r="E67" i="29"/>
  <c r="I66" i="29"/>
  <c r="H66" i="29"/>
  <c r="J66" i="29" s="1"/>
  <c r="E66" i="29"/>
  <c r="I65" i="29"/>
  <c r="H65" i="29"/>
  <c r="J65" i="29" s="1"/>
  <c r="D65" i="29"/>
  <c r="I63" i="29"/>
  <c r="H63" i="29"/>
  <c r="J63" i="29" s="1"/>
  <c r="E63" i="29"/>
  <c r="I62" i="29"/>
  <c r="H62" i="29"/>
  <c r="J62" i="29" s="1"/>
  <c r="E62" i="29"/>
  <c r="I61" i="29"/>
  <c r="H61" i="29"/>
  <c r="J61" i="29" s="1"/>
  <c r="E61" i="29"/>
  <c r="I60" i="29"/>
  <c r="H60" i="29"/>
  <c r="J60" i="29" s="1"/>
  <c r="E60" i="29"/>
  <c r="I59" i="29"/>
  <c r="H59" i="29"/>
  <c r="J59" i="29" s="1"/>
  <c r="E59" i="29"/>
  <c r="I58" i="29"/>
  <c r="H58" i="29"/>
  <c r="J58" i="29" s="1"/>
  <c r="E58" i="29"/>
  <c r="I57" i="29"/>
  <c r="H57" i="29"/>
  <c r="J57" i="29" s="1"/>
  <c r="E57" i="29"/>
  <c r="I56" i="29"/>
  <c r="H56" i="29"/>
  <c r="J56" i="29" s="1"/>
  <c r="E56" i="29"/>
  <c r="I55" i="29"/>
  <c r="H55" i="29"/>
  <c r="J55" i="29" s="1"/>
  <c r="E55" i="29"/>
  <c r="I54" i="29"/>
  <c r="H54" i="29"/>
  <c r="J54" i="29" s="1"/>
  <c r="E54" i="29"/>
  <c r="I53" i="29"/>
  <c r="H53" i="29"/>
  <c r="J53" i="29" s="1"/>
  <c r="E53" i="29"/>
  <c r="D52" i="29"/>
  <c r="I51" i="29"/>
  <c r="H51" i="29"/>
  <c r="J51" i="29" s="1"/>
  <c r="D50" i="29"/>
  <c r="I49" i="29"/>
  <c r="H49" i="29"/>
  <c r="J49" i="29" s="1"/>
  <c r="E49" i="29"/>
  <c r="I48" i="29"/>
  <c r="H48" i="29"/>
  <c r="J48" i="29" s="1"/>
  <c r="I46" i="29"/>
  <c r="H46" i="29"/>
  <c r="J46" i="29" s="1"/>
  <c r="D46" i="29"/>
  <c r="E45" i="29"/>
  <c r="I44" i="29"/>
  <c r="H44" i="29"/>
  <c r="J44" i="29" s="1"/>
  <c r="E44" i="29"/>
  <c r="I43" i="29"/>
  <c r="H43" i="29"/>
  <c r="J43" i="29" s="1"/>
  <c r="E43" i="29"/>
  <c r="I42" i="29"/>
  <c r="H42" i="29"/>
  <c r="J42" i="29" s="1"/>
  <c r="E42" i="29"/>
  <c r="I41" i="29"/>
  <c r="H41" i="29"/>
  <c r="J41" i="29" s="1"/>
  <c r="E41" i="29"/>
  <c r="I40" i="29"/>
  <c r="H40" i="29"/>
  <c r="J40" i="29" s="1"/>
  <c r="D40" i="29"/>
  <c r="I39" i="29"/>
  <c r="H39" i="29"/>
  <c r="J39" i="29" s="1"/>
  <c r="D39" i="29"/>
  <c r="I38" i="29"/>
  <c r="H38" i="29"/>
  <c r="J38" i="29" s="1"/>
  <c r="D38" i="29"/>
  <c r="I36" i="29"/>
  <c r="H36" i="29"/>
  <c r="J36" i="29" s="1"/>
  <c r="E36" i="29"/>
  <c r="I35" i="29"/>
  <c r="H35" i="29"/>
  <c r="J35" i="29" s="1"/>
  <c r="I31" i="29"/>
  <c r="H31" i="29"/>
  <c r="J31" i="29" s="1"/>
  <c r="E31" i="29"/>
  <c r="J30" i="29"/>
  <c r="I29" i="29"/>
  <c r="H29" i="29"/>
  <c r="J29" i="29" s="1"/>
  <c r="E29" i="29"/>
  <c r="I28" i="29"/>
  <c r="H28" i="29"/>
  <c r="J28" i="29" s="1"/>
  <c r="E28" i="29"/>
  <c r="J27" i="29"/>
  <c r="D27" i="29"/>
  <c r="I26" i="29"/>
  <c r="H26" i="29"/>
  <c r="J26" i="29" s="1"/>
  <c r="E26" i="29"/>
  <c r="D25" i="29"/>
  <c r="E12" i="28"/>
  <c r="D28" i="28"/>
  <c r="I32" i="28"/>
  <c r="H32" i="28"/>
  <c r="J32" i="28" s="1"/>
  <c r="E32" i="28"/>
  <c r="H259" i="2"/>
  <c r="D49" i="28"/>
  <c r="E78" i="29" l="1"/>
  <c r="F76" i="29"/>
  <c r="E48" i="29"/>
  <c r="F78" i="29"/>
  <c r="E25" i="29"/>
  <c r="E79" i="29"/>
  <c r="F77" i="29"/>
  <c r="D37" i="29"/>
  <c r="E51" i="29"/>
  <c r="F79" i="29" s="1"/>
  <c r="E52" i="29"/>
  <c r="E37" i="29"/>
  <c r="E30" i="29"/>
  <c r="E64" i="29"/>
  <c r="E27" i="29"/>
  <c r="D64" i="29"/>
  <c r="E47" i="29"/>
  <c r="D12" i="29"/>
  <c r="D47" i="29"/>
  <c r="D30" i="29"/>
  <c r="D45" i="29"/>
  <c r="D37" i="28"/>
  <c r="H109" i="15"/>
  <c r="H108" i="15"/>
  <c r="H257" i="2"/>
  <c r="H256" i="2"/>
  <c r="H245" i="2"/>
  <c r="E84" i="29" l="1"/>
  <c r="F84" i="29"/>
  <c r="E80" i="29"/>
  <c r="E50" i="29"/>
  <c r="E70" i="29" s="1"/>
  <c r="F80" i="29"/>
  <c r="E87" i="29" s="1"/>
  <c r="D70" i="29"/>
  <c r="H255" i="2"/>
  <c r="H254" i="2"/>
  <c r="H253" i="2"/>
  <c r="H252" i="2"/>
  <c r="H251" i="2"/>
  <c r="H250" i="2"/>
  <c r="H249" i="2"/>
  <c r="H248" i="2"/>
  <c r="H247" i="2"/>
  <c r="H246" i="2"/>
  <c r="F87" i="29" l="1"/>
  <c r="E88" i="29"/>
  <c r="E89" i="29" s="1"/>
  <c r="E90" i="29" s="1"/>
  <c r="F88" i="29"/>
  <c r="D20" i="28"/>
  <c r="D18" i="28"/>
  <c r="D14" i="28"/>
  <c r="F89" i="29" l="1"/>
  <c r="F90" i="29" s="1"/>
  <c r="D239" i="2"/>
  <c r="D238" i="2"/>
  <c r="D237" i="2"/>
  <c r="D52" i="28"/>
  <c r="D51" i="28"/>
  <c r="H240" i="2"/>
  <c r="H244" i="2"/>
  <c r="H243" i="2"/>
  <c r="H242" i="2"/>
  <c r="H241" i="2"/>
  <c r="H107" i="15"/>
  <c r="H106" i="15"/>
  <c r="H105" i="15"/>
  <c r="D106" i="15"/>
  <c r="H234" i="2"/>
  <c r="D19" i="28"/>
  <c r="D17" i="28"/>
  <c r="D15" i="28"/>
  <c r="D16" i="28"/>
  <c r="D236" i="2"/>
  <c r="D235" i="2"/>
  <c r="D234" i="2"/>
  <c r="D233" i="2"/>
  <c r="I239" i="2"/>
  <c r="J239" i="2" s="1"/>
  <c r="D34" i="28" l="1"/>
  <c r="I31" i="28"/>
  <c r="H31" i="28"/>
  <c r="J31" i="28" s="1"/>
  <c r="E31" i="28"/>
  <c r="E15" i="28" l="1"/>
  <c r="E16" i="28"/>
  <c r="E17" i="28"/>
  <c r="E19" i="28"/>
  <c r="E20" i="28"/>
  <c r="H233" i="2"/>
  <c r="H265" i="2" s="1"/>
  <c r="E14" i="28" l="1"/>
  <c r="E12" i="29"/>
  <c r="E18" i="28"/>
  <c r="I73" i="28"/>
  <c r="H73" i="28"/>
  <c r="J73" i="28" s="1"/>
  <c r="E73" i="28"/>
  <c r="E83" i="28" l="1"/>
  <c r="E82" i="28"/>
  <c r="I49" i="28"/>
  <c r="H49" i="28"/>
  <c r="J49" i="28" s="1"/>
  <c r="E48" i="28"/>
  <c r="D48" i="28" s="1"/>
  <c r="E37" i="28"/>
  <c r="D36" i="28"/>
  <c r="D35" i="28"/>
  <c r="D47" i="28" l="1"/>
  <c r="E47" i="28"/>
  <c r="D74" i="28" l="1"/>
  <c r="I75" i="28"/>
  <c r="H75" i="28"/>
  <c r="J75" i="28" s="1"/>
  <c r="E74" i="28"/>
  <c r="I72" i="28"/>
  <c r="H72" i="28"/>
  <c r="J72" i="28" s="1"/>
  <c r="E72" i="28"/>
  <c r="I71" i="28"/>
  <c r="H71" i="28"/>
  <c r="J71" i="28" s="1"/>
  <c r="E71" i="28"/>
  <c r="I70" i="28"/>
  <c r="H70" i="28"/>
  <c r="J70" i="28" s="1"/>
  <c r="D70" i="28"/>
  <c r="I69" i="28"/>
  <c r="H69" i="28"/>
  <c r="J69" i="28" s="1"/>
  <c r="D69" i="28"/>
  <c r="I67" i="28"/>
  <c r="H67" i="28"/>
  <c r="J67" i="28" s="1"/>
  <c r="E67" i="28"/>
  <c r="I66" i="28"/>
  <c r="H66" i="28"/>
  <c r="J66" i="28" s="1"/>
  <c r="E66" i="28"/>
  <c r="I65" i="28"/>
  <c r="H65" i="28"/>
  <c r="J65" i="28" s="1"/>
  <c r="E65" i="28"/>
  <c r="I64" i="28"/>
  <c r="H64" i="28"/>
  <c r="J64" i="28" s="1"/>
  <c r="E64" i="28"/>
  <c r="I63" i="28"/>
  <c r="H63" i="28"/>
  <c r="J63" i="28" s="1"/>
  <c r="E63" i="28"/>
  <c r="I62" i="28"/>
  <c r="H62" i="28"/>
  <c r="J62" i="28" s="1"/>
  <c r="E62" i="28"/>
  <c r="I61" i="28"/>
  <c r="H61" i="28"/>
  <c r="J61" i="28" s="1"/>
  <c r="E61" i="28"/>
  <c r="I60" i="28"/>
  <c r="H60" i="28"/>
  <c r="J60" i="28" s="1"/>
  <c r="E60" i="28"/>
  <c r="I59" i="28"/>
  <c r="H59" i="28"/>
  <c r="J59" i="28" s="1"/>
  <c r="E59" i="28"/>
  <c r="I58" i="28"/>
  <c r="H58" i="28"/>
  <c r="J58" i="28" s="1"/>
  <c r="E58" i="28"/>
  <c r="I57" i="28"/>
  <c r="H57" i="28"/>
  <c r="J57" i="28" s="1"/>
  <c r="E57" i="28"/>
  <c r="D56" i="28"/>
  <c r="I55" i="28"/>
  <c r="H55" i="28"/>
  <c r="J55" i="28" s="1"/>
  <c r="D55" i="28"/>
  <c r="E55" i="28" s="1"/>
  <c r="I54" i="28"/>
  <c r="H54" i="28"/>
  <c r="J54" i="28" s="1"/>
  <c r="E54" i="28"/>
  <c r="I52" i="28"/>
  <c r="H52" i="28"/>
  <c r="J52" i="28" s="1"/>
  <c r="I51" i="28"/>
  <c r="H51" i="28"/>
  <c r="J51" i="28" s="1"/>
  <c r="E51" i="28"/>
  <c r="I48" i="28"/>
  <c r="H48" i="28"/>
  <c r="J48" i="28" s="1"/>
  <c r="I46" i="28"/>
  <c r="H46" i="28"/>
  <c r="J46" i="28" s="1"/>
  <c r="E46" i="28"/>
  <c r="I45" i="28"/>
  <c r="H45" i="28"/>
  <c r="J45" i="28" s="1"/>
  <c r="E45" i="28"/>
  <c r="I44" i="28"/>
  <c r="H44" i="28"/>
  <c r="J44" i="28" s="1"/>
  <c r="E44" i="28"/>
  <c r="I43" i="28"/>
  <c r="H43" i="28"/>
  <c r="J43" i="28" s="1"/>
  <c r="E43" i="28"/>
  <c r="I42" i="28"/>
  <c r="H42" i="28"/>
  <c r="J42" i="28" s="1"/>
  <c r="D42" i="28"/>
  <c r="I41" i="28"/>
  <c r="H41" i="28"/>
  <c r="J41" i="28" s="1"/>
  <c r="D41" i="28"/>
  <c r="I40" i="28"/>
  <c r="H40" i="28"/>
  <c r="J40" i="28" s="1"/>
  <c r="D40" i="28"/>
  <c r="I38" i="28"/>
  <c r="H38" i="28"/>
  <c r="J38" i="28" s="1"/>
  <c r="D38" i="28"/>
  <c r="E38" i="28" s="1"/>
  <c r="I37" i="28"/>
  <c r="H37" i="28"/>
  <c r="J37" i="28" s="1"/>
  <c r="I36" i="28"/>
  <c r="H36" i="28"/>
  <c r="J36" i="28" s="1"/>
  <c r="E36" i="28"/>
  <c r="I35" i="28"/>
  <c r="H35" i="28"/>
  <c r="J35" i="28" s="1"/>
  <c r="E35" i="28"/>
  <c r="I34" i="28"/>
  <c r="H34" i="28"/>
  <c r="J34" i="28" s="1"/>
  <c r="E34" i="28"/>
  <c r="J33" i="28"/>
  <c r="I30" i="28"/>
  <c r="H30" i="28"/>
  <c r="J30" i="28" s="1"/>
  <c r="E30" i="28"/>
  <c r="I29" i="28"/>
  <c r="H29" i="28"/>
  <c r="J29" i="28" s="1"/>
  <c r="E29" i="28"/>
  <c r="J28" i="28"/>
  <c r="I27" i="28"/>
  <c r="H27" i="28"/>
  <c r="J27" i="28" s="1"/>
  <c r="E27" i="28"/>
  <c r="D26" i="28"/>
  <c r="E12" i="27"/>
  <c r="D20" i="27"/>
  <c r="D19" i="27"/>
  <c r="D18" i="27"/>
  <c r="D17" i="27"/>
  <c r="D16" i="27"/>
  <c r="D15" i="27"/>
  <c r="D14" i="27"/>
  <c r="H116" i="15"/>
  <c r="E47" i="27"/>
  <c r="D37" i="27"/>
  <c r="D36" i="27"/>
  <c r="D35" i="27"/>
  <c r="D34" i="27"/>
  <c r="H227" i="2"/>
  <c r="H226" i="2"/>
  <c r="H225" i="2"/>
  <c r="H224" i="2"/>
  <c r="H223" i="2"/>
  <c r="H222" i="2"/>
  <c r="H221" i="2"/>
  <c r="H220" i="2"/>
  <c r="H219" i="2"/>
  <c r="H218" i="2"/>
  <c r="E28" i="28" l="1"/>
  <c r="E26" i="28"/>
  <c r="F84" i="28"/>
  <c r="E84" i="28"/>
  <c r="E86" i="28"/>
  <c r="F82" i="28"/>
  <c r="E85" i="28"/>
  <c r="F86" i="28"/>
  <c r="F83" i="28"/>
  <c r="D53" i="28"/>
  <c r="E53" i="28"/>
  <c r="D50" i="28"/>
  <c r="D68" i="28"/>
  <c r="E39" i="28"/>
  <c r="E52" i="28"/>
  <c r="E50" i="28" s="1"/>
  <c r="D39" i="28"/>
  <c r="D13" i="28"/>
  <c r="E56" i="28"/>
  <c r="E68" i="28"/>
  <c r="E33" i="28"/>
  <c r="D33" i="28"/>
  <c r="H217" i="2"/>
  <c r="H215" i="2"/>
  <c r="H94" i="15"/>
  <c r="D91" i="15"/>
  <c r="H93" i="15"/>
  <c r="H216" i="2"/>
  <c r="I69" i="27"/>
  <c r="H69" i="27"/>
  <c r="J69" i="27" s="1"/>
  <c r="H92" i="15"/>
  <c r="H91" i="15"/>
  <c r="H90" i="15"/>
  <c r="H214" i="2"/>
  <c r="H213" i="2"/>
  <c r="H212" i="2"/>
  <c r="D76" i="28" l="1"/>
  <c r="E87" i="28"/>
  <c r="E91" i="28"/>
  <c r="F85" i="28"/>
  <c r="F91" i="28" s="1"/>
  <c r="E76" i="28"/>
  <c r="D212" i="2"/>
  <c r="D210" i="2"/>
  <c r="D50" i="27"/>
  <c r="D49" i="27"/>
  <c r="F87" i="28" l="1"/>
  <c r="E95" i="28" s="1"/>
  <c r="D211" i="2"/>
  <c r="H101" i="15"/>
  <c r="D208" i="2"/>
  <c r="D207" i="2"/>
  <c r="D206" i="2"/>
  <c r="I37" i="27"/>
  <c r="H37" i="27"/>
  <c r="J37" i="27" s="1"/>
  <c r="E37" i="27"/>
  <c r="H209" i="2"/>
  <c r="H211" i="2"/>
  <c r="H210" i="2"/>
  <c r="H208" i="2"/>
  <c r="I42" i="27"/>
  <c r="H42" i="27"/>
  <c r="J42" i="27" s="1"/>
  <c r="E42" i="27"/>
  <c r="H205" i="2"/>
  <c r="F95" i="28" l="1"/>
  <c r="E94" i="28"/>
  <c r="E96" i="28" s="1"/>
  <c r="E97" i="28" s="1"/>
  <c r="F94" i="28"/>
  <c r="E20" i="27"/>
  <c r="E18" i="27"/>
  <c r="E16" i="27"/>
  <c r="E19" i="27"/>
  <c r="E15" i="27"/>
  <c r="E17" i="27"/>
  <c r="E14" i="27" l="1"/>
  <c r="F96" i="28"/>
  <c r="F97" i="28" s="1"/>
  <c r="E13" i="28"/>
  <c r="D52" i="27" l="1"/>
  <c r="I52" i="27"/>
  <c r="H52" i="27"/>
  <c r="J52" i="27" s="1"/>
  <c r="D75" i="27"/>
  <c r="D73" i="27" s="1"/>
  <c r="H207" i="2"/>
  <c r="H206" i="2"/>
  <c r="E12" i="26"/>
  <c r="D19" i="26"/>
  <c r="D178" i="2"/>
  <c r="I75" i="27"/>
  <c r="H75" i="27"/>
  <c r="J75" i="27" s="1"/>
  <c r="E74" i="27"/>
  <c r="E73" i="27" s="1"/>
  <c r="D47" i="27"/>
  <c r="E27" i="27"/>
  <c r="D32" i="27" l="1"/>
  <c r="H228" i="2"/>
  <c r="E84" i="27"/>
  <c r="E83" i="27"/>
  <c r="F82" i="27"/>
  <c r="E82" i="27"/>
  <c r="I74" i="27"/>
  <c r="H74" i="27"/>
  <c r="J74" i="27" s="1"/>
  <c r="I72" i="27"/>
  <c r="H72" i="27"/>
  <c r="J72" i="27" s="1"/>
  <c r="D72" i="27"/>
  <c r="E72" i="27" s="1"/>
  <c r="I71" i="27"/>
  <c r="H71" i="27"/>
  <c r="J71" i="27" s="1"/>
  <c r="E71" i="27"/>
  <c r="I70" i="27"/>
  <c r="H70" i="27"/>
  <c r="J70" i="27" s="1"/>
  <c r="E70" i="27"/>
  <c r="I68" i="27"/>
  <c r="H68" i="27"/>
  <c r="J68" i="27" s="1"/>
  <c r="D68" i="27"/>
  <c r="I66" i="27"/>
  <c r="H66" i="27"/>
  <c r="J66" i="27" s="1"/>
  <c r="E66" i="27"/>
  <c r="I65" i="27"/>
  <c r="H65" i="27"/>
  <c r="J65" i="27" s="1"/>
  <c r="E65" i="27"/>
  <c r="I64" i="27"/>
  <c r="H64" i="27"/>
  <c r="J64" i="27" s="1"/>
  <c r="E64" i="27"/>
  <c r="I63" i="27"/>
  <c r="H63" i="27"/>
  <c r="J63" i="27" s="1"/>
  <c r="E63" i="27"/>
  <c r="I62" i="27"/>
  <c r="H62" i="27"/>
  <c r="J62" i="27" s="1"/>
  <c r="E62" i="27"/>
  <c r="I61" i="27"/>
  <c r="H61" i="27"/>
  <c r="J61" i="27" s="1"/>
  <c r="E61" i="27"/>
  <c r="I60" i="27"/>
  <c r="H60" i="27"/>
  <c r="J60" i="27" s="1"/>
  <c r="E60" i="27"/>
  <c r="I59" i="27"/>
  <c r="H59" i="27"/>
  <c r="J59" i="27" s="1"/>
  <c r="E59" i="27"/>
  <c r="I58" i="27"/>
  <c r="H58" i="27"/>
  <c r="J58" i="27" s="1"/>
  <c r="E58" i="27"/>
  <c r="I57" i="27"/>
  <c r="H57" i="27"/>
  <c r="J57" i="27" s="1"/>
  <c r="E57" i="27"/>
  <c r="I56" i="27"/>
  <c r="H56" i="27"/>
  <c r="J56" i="27" s="1"/>
  <c r="E56" i="27"/>
  <c r="D55" i="27"/>
  <c r="I54" i="27"/>
  <c r="H54" i="27"/>
  <c r="J54" i="27" s="1"/>
  <c r="D54" i="27"/>
  <c r="D51" i="27" s="1"/>
  <c r="I53" i="27"/>
  <c r="H53" i="27"/>
  <c r="J53" i="27" s="1"/>
  <c r="E53" i="27"/>
  <c r="I50" i="27"/>
  <c r="H50" i="27"/>
  <c r="J50" i="27" s="1"/>
  <c r="E50" i="27"/>
  <c r="I49" i="27"/>
  <c r="H49" i="27"/>
  <c r="J49" i="27" s="1"/>
  <c r="D48" i="27"/>
  <c r="M47" i="27"/>
  <c r="I47" i="27"/>
  <c r="H47" i="27"/>
  <c r="J47" i="27" s="1"/>
  <c r="M46" i="27"/>
  <c r="E46" i="27"/>
  <c r="N46" i="27"/>
  <c r="I45" i="27"/>
  <c r="H45" i="27"/>
  <c r="J45" i="27" s="1"/>
  <c r="E45" i="27"/>
  <c r="I44" i="27"/>
  <c r="H44" i="27"/>
  <c r="J44" i="27" s="1"/>
  <c r="E44" i="27"/>
  <c r="I43" i="27"/>
  <c r="H43" i="27"/>
  <c r="J43" i="27" s="1"/>
  <c r="E43" i="27"/>
  <c r="I41" i="27"/>
  <c r="H41" i="27"/>
  <c r="J41" i="27" s="1"/>
  <c r="D41" i="27"/>
  <c r="I40" i="27"/>
  <c r="H40" i="27"/>
  <c r="J40" i="27" s="1"/>
  <c r="D40" i="27"/>
  <c r="I39" i="27"/>
  <c r="H39" i="27"/>
  <c r="J39" i="27" s="1"/>
  <c r="D39" i="27"/>
  <c r="I36" i="27"/>
  <c r="H36" i="27"/>
  <c r="J36" i="27" s="1"/>
  <c r="E36" i="27"/>
  <c r="I35" i="27"/>
  <c r="H35" i="27"/>
  <c r="J35" i="27" s="1"/>
  <c r="E35" i="27"/>
  <c r="I34" i="27"/>
  <c r="H34" i="27"/>
  <c r="J34" i="27" s="1"/>
  <c r="E34" i="27"/>
  <c r="I33" i="27"/>
  <c r="H33" i="27"/>
  <c r="J33" i="27" s="1"/>
  <c r="E33" i="27"/>
  <c r="J32" i="27"/>
  <c r="I31" i="27"/>
  <c r="H31" i="27"/>
  <c r="J31" i="27" s="1"/>
  <c r="E31" i="27"/>
  <c r="I30" i="27"/>
  <c r="H30" i="27"/>
  <c r="J30" i="27" s="1"/>
  <c r="E30" i="27"/>
  <c r="I29" i="27"/>
  <c r="H29" i="27"/>
  <c r="J29" i="27" s="1"/>
  <c r="E29" i="27"/>
  <c r="J28" i="27"/>
  <c r="D28" i="27"/>
  <c r="I27" i="27"/>
  <c r="H27" i="27"/>
  <c r="J27" i="27" s="1"/>
  <c r="E26" i="27"/>
  <c r="D26" i="27"/>
  <c r="D38" i="27" l="1"/>
  <c r="E32" i="27"/>
  <c r="F83" i="27"/>
  <c r="E90" i="27"/>
  <c r="E28" i="27"/>
  <c r="E54" i="27"/>
  <c r="E51" i="27" s="1"/>
  <c r="E49" i="27"/>
  <c r="D46" i="27"/>
  <c r="D13" i="27"/>
  <c r="E38" i="27"/>
  <c r="E55" i="27"/>
  <c r="E13" i="27"/>
  <c r="E48" i="27" l="1"/>
  <c r="F84" i="27"/>
  <c r="F90" i="27" s="1"/>
  <c r="E53" i="26"/>
  <c r="I53" i="26"/>
  <c r="H53" i="26"/>
  <c r="J53" i="26" s="1"/>
  <c r="D48" i="26"/>
  <c r="H189" i="2"/>
  <c r="H76" i="15"/>
  <c r="D72" i="26"/>
  <c r="H187" i="2"/>
  <c r="H186" i="2"/>
  <c r="H185" i="2"/>
  <c r="H184" i="2"/>
  <c r="H183" i="2"/>
  <c r="H195" i="2" l="1"/>
  <c r="H194" i="2"/>
  <c r="H193" i="2"/>
  <c r="H192" i="2"/>
  <c r="H191" i="2"/>
  <c r="H190" i="2"/>
  <c r="H188" i="2"/>
  <c r="D74" i="15"/>
  <c r="D37" i="26"/>
  <c r="D36" i="26"/>
  <c r="D35" i="26"/>
  <c r="D51" i="26" l="1"/>
  <c r="D50" i="26"/>
  <c r="I62" i="26"/>
  <c r="H62" i="26"/>
  <c r="J62" i="26" s="1"/>
  <c r="E62" i="26"/>
  <c r="D55" i="26"/>
  <c r="I64" i="26"/>
  <c r="H64" i="26"/>
  <c r="J64" i="26" s="1"/>
  <c r="E64" i="26"/>
  <c r="I66" i="26"/>
  <c r="H66" i="26"/>
  <c r="J66" i="26" s="1"/>
  <c r="E66" i="26"/>
  <c r="I65" i="26"/>
  <c r="H65" i="26"/>
  <c r="J65" i="26" s="1"/>
  <c r="E65" i="26"/>
  <c r="I63" i="26"/>
  <c r="H63" i="26"/>
  <c r="J63" i="26" s="1"/>
  <c r="E63" i="26"/>
  <c r="H75" i="15"/>
  <c r="H74" i="15"/>
  <c r="H73" i="15"/>
  <c r="H181" i="2"/>
  <c r="H180" i="2"/>
  <c r="H179" i="2"/>
  <c r="D20" i="26"/>
  <c r="D18" i="26"/>
  <c r="D14" i="26"/>
  <c r="E20" i="26" l="1"/>
  <c r="E19" i="26" l="1"/>
  <c r="D54" i="26"/>
  <c r="D52" i="26" s="1"/>
  <c r="D16" i="26"/>
  <c r="D15" i="26"/>
  <c r="H175" i="2"/>
  <c r="D17" i="26"/>
  <c r="E15" i="26" l="1"/>
  <c r="E17" i="26"/>
  <c r="E18" i="26"/>
  <c r="E16" i="26"/>
  <c r="E14" i="26"/>
  <c r="D13" i="26"/>
  <c r="E13" i="26" l="1"/>
  <c r="D32" i="26" l="1"/>
  <c r="I37" i="26"/>
  <c r="H37" i="26"/>
  <c r="J37" i="26" s="1"/>
  <c r="E37" i="26"/>
  <c r="I36" i="26"/>
  <c r="H36" i="26"/>
  <c r="J36" i="26" s="1"/>
  <c r="E36" i="26"/>
  <c r="H174" i="2" l="1"/>
  <c r="H172" i="2"/>
  <c r="H171" i="2"/>
  <c r="H84" i="15"/>
  <c r="I34" i="26"/>
  <c r="H34" i="26"/>
  <c r="J34" i="26" s="1"/>
  <c r="E34" i="26"/>
  <c r="M48" i="26"/>
  <c r="I48" i="26"/>
  <c r="H48" i="26"/>
  <c r="J48" i="26" s="1"/>
  <c r="E47" i="26"/>
  <c r="D47" i="26" s="1"/>
  <c r="E46" i="26"/>
  <c r="D46" i="26" s="1"/>
  <c r="H201" i="2" l="1"/>
  <c r="E45" i="26"/>
  <c r="E82" i="26"/>
  <c r="D11" i="26"/>
  <c r="E83" i="26" l="1"/>
  <c r="F82" i="26"/>
  <c r="I75" i="26"/>
  <c r="H75" i="26"/>
  <c r="J75" i="26" s="1"/>
  <c r="E75" i="26"/>
  <c r="I74" i="26"/>
  <c r="H74" i="26"/>
  <c r="J74" i="26" s="1"/>
  <c r="E74" i="26"/>
  <c r="D73" i="26"/>
  <c r="I72" i="26"/>
  <c r="H72" i="26"/>
  <c r="J72" i="26" s="1"/>
  <c r="E72" i="26"/>
  <c r="I71" i="26"/>
  <c r="H71" i="26"/>
  <c r="J71" i="26" s="1"/>
  <c r="E71" i="26"/>
  <c r="I70" i="26"/>
  <c r="H70" i="26"/>
  <c r="J70" i="26" s="1"/>
  <c r="E70" i="26"/>
  <c r="I69" i="26"/>
  <c r="H69" i="26"/>
  <c r="J69" i="26" s="1"/>
  <c r="D69" i="26"/>
  <c r="I68" i="26"/>
  <c r="H68" i="26"/>
  <c r="J68" i="26" s="1"/>
  <c r="D68" i="26"/>
  <c r="I56" i="26"/>
  <c r="H56" i="26"/>
  <c r="J56" i="26" s="1"/>
  <c r="E56" i="26"/>
  <c r="I60" i="26"/>
  <c r="H60" i="26"/>
  <c r="J60" i="26" s="1"/>
  <c r="E60" i="26"/>
  <c r="I61" i="26"/>
  <c r="H61" i="26"/>
  <c r="J61" i="26" s="1"/>
  <c r="E61" i="26"/>
  <c r="I59" i="26"/>
  <c r="H59" i="26"/>
  <c r="J59" i="26" s="1"/>
  <c r="E59" i="26"/>
  <c r="I58" i="26"/>
  <c r="H58" i="26"/>
  <c r="J58" i="26" s="1"/>
  <c r="E58" i="26"/>
  <c r="I57" i="26"/>
  <c r="H57" i="26"/>
  <c r="J57" i="26" s="1"/>
  <c r="E57" i="26"/>
  <c r="I54" i="26"/>
  <c r="H54" i="26"/>
  <c r="J54" i="26" s="1"/>
  <c r="E54" i="26"/>
  <c r="E52" i="26" s="1"/>
  <c r="I51" i="26"/>
  <c r="H51" i="26"/>
  <c r="J51" i="26" s="1"/>
  <c r="E51" i="26"/>
  <c r="I50" i="26"/>
  <c r="H50" i="26"/>
  <c r="J50" i="26" s="1"/>
  <c r="M47" i="26"/>
  <c r="I47" i="26"/>
  <c r="H47" i="26"/>
  <c r="J47" i="26" s="1"/>
  <c r="M46" i="26"/>
  <c r="M45" i="26" s="1"/>
  <c r="I46" i="26"/>
  <c r="H46" i="26"/>
  <c r="J46" i="26" s="1"/>
  <c r="N45" i="26"/>
  <c r="I44" i="26"/>
  <c r="H44" i="26"/>
  <c r="J44" i="26" s="1"/>
  <c r="E44" i="26"/>
  <c r="I43" i="26"/>
  <c r="H43" i="26"/>
  <c r="J43" i="26" s="1"/>
  <c r="E43" i="26"/>
  <c r="I42" i="26"/>
  <c r="H42" i="26"/>
  <c r="J42" i="26" s="1"/>
  <c r="E42" i="26"/>
  <c r="I41" i="26"/>
  <c r="H41" i="26"/>
  <c r="J41" i="26" s="1"/>
  <c r="D41" i="26"/>
  <c r="I40" i="26"/>
  <c r="H40" i="26"/>
  <c r="J40" i="26" s="1"/>
  <c r="D40" i="26"/>
  <c r="I39" i="26"/>
  <c r="H39" i="26"/>
  <c r="J39" i="26" s="1"/>
  <c r="D39" i="26"/>
  <c r="I35" i="26"/>
  <c r="H35" i="26"/>
  <c r="J35" i="26" s="1"/>
  <c r="I33" i="26"/>
  <c r="H33" i="26"/>
  <c r="J33" i="26" s="1"/>
  <c r="E33" i="26"/>
  <c r="J32" i="26"/>
  <c r="I31" i="26"/>
  <c r="H31" i="26"/>
  <c r="J31" i="26" s="1"/>
  <c r="E31" i="26"/>
  <c r="I30" i="26"/>
  <c r="H30" i="26"/>
  <c r="J30" i="26" s="1"/>
  <c r="E30" i="26"/>
  <c r="I29" i="26"/>
  <c r="H29" i="26"/>
  <c r="J29" i="26" s="1"/>
  <c r="E29" i="26"/>
  <c r="J28" i="26"/>
  <c r="D28" i="26"/>
  <c r="I27" i="26"/>
  <c r="H27" i="26"/>
  <c r="J27" i="26" s="1"/>
  <c r="E27" i="26"/>
  <c r="D26" i="26"/>
  <c r="F76" i="25"/>
  <c r="E76" i="25"/>
  <c r="D39" i="24"/>
  <c r="D38" i="24"/>
  <c r="D37" i="24"/>
  <c r="E36" i="24"/>
  <c r="E35" i="24"/>
  <c r="E34" i="24"/>
  <c r="D34" i="24" s="1"/>
  <c r="D56" i="24"/>
  <c r="E53" i="25"/>
  <c r="H53" i="25"/>
  <c r="J53" i="25" s="1"/>
  <c r="I53" i="25"/>
  <c r="E79" i="25"/>
  <c r="F79" i="25"/>
  <c r="E35" i="25"/>
  <c r="H35" i="25"/>
  <c r="J35" i="25" s="1"/>
  <c r="I35" i="25"/>
  <c r="D52" i="25"/>
  <c r="I60" i="25"/>
  <c r="H60" i="25"/>
  <c r="J60" i="25" s="1"/>
  <c r="E60" i="25"/>
  <c r="I37" i="25"/>
  <c r="H37" i="25"/>
  <c r="J37" i="25" s="1"/>
  <c r="E37" i="25"/>
  <c r="I36" i="25"/>
  <c r="H36" i="25"/>
  <c r="J36" i="25" s="1"/>
  <c r="E36" i="25"/>
  <c r="D24" i="25"/>
  <c r="D38" i="25"/>
  <c r="D39" i="25"/>
  <c r="D40" i="25"/>
  <c r="D34" i="25" l="1"/>
  <c r="E55" i="26"/>
  <c r="D45" i="26"/>
  <c r="E35" i="26"/>
  <c r="E32" i="26" s="1"/>
  <c r="E26" i="26"/>
  <c r="E86" i="26"/>
  <c r="E84" i="26"/>
  <c r="E85" i="26"/>
  <c r="F86" i="26"/>
  <c r="D49" i="26"/>
  <c r="D67" i="26"/>
  <c r="E28" i="26"/>
  <c r="D38" i="26"/>
  <c r="E38" i="26"/>
  <c r="E67" i="26"/>
  <c r="E73" i="26"/>
  <c r="E50" i="26"/>
  <c r="E49" i="26" s="1"/>
  <c r="H164" i="2"/>
  <c r="E29" i="25"/>
  <c r="D25" i="25"/>
  <c r="I29" i="25"/>
  <c r="H29" i="25"/>
  <c r="J29" i="25" s="1"/>
  <c r="I30" i="25"/>
  <c r="H30" i="25"/>
  <c r="J30" i="25" s="1"/>
  <c r="E30" i="25"/>
  <c r="H64" i="15"/>
  <c r="H65" i="15"/>
  <c r="H163" i="2"/>
  <c r="H162" i="2"/>
  <c r="H161" i="2"/>
  <c r="E91" i="26" l="1"/>
  <c r="F85" i="26"/>
  <c r="F84" i="26"/>
  <c r="E87" i="26"/>
  <c r="F83" i="26"/>
  <c r="D76" i="26"/>
  <c r="E76" i="26"/>
  <c r="H160" i="2"/>
  <c r="H159" i="2"/>
  <c r="H158" i="2"/>
  <c r="H157" i="2"/>
  <c r="H156" i="2"/>
  <c r="H155" i="2"/>
  <c r="E94" i="26" l="1"/>
  <c r="E95" i="26"/>
  <c r="F94" i="26"/>
  <c r="F91" i="26"/>
  <c r="F95" i="26"/>
  <c r="F87" i="26"/>
  <c r="E45" i="25"/>
  <c r="F96" i="26" l="1"/>
  <c r="F97" i="26" s="1"/>
  <c r="E96" i="26"/>
  <c r="E97" i="26" s="1"/>
  <c r="D49" i="25" l="1"/>
  <c r="D48" i="25"/>
  <c r="E46" i="25"/>
  <c r="D45" i="25"/>
  <c r="H63" i="15"/>
  <c r="H62" i="15"/>
  <c r="H61" i="15"/>
  <c r="H154" i="2"/>
  <c r="H153" i="2"/>
  <c r="H152" i="2"/>
  <c r="D66" i="25"/>
  <c r="E66" i="25" s="1"/>
  <c r="H66" i="25"/>
  <c r="J66" i="25" s="1"/>
  <c r="I66" i="25"/>
  <c r="D17" i="25"/>
  <c r="E17" i="25" s="1"/>
  <c r="D16" i="25"/>
  <c r="E16" i="25" s="1"/>
  <c r="D15" i="25"/>
  <c r="E15" i="25" s="1"/>
  <c r="D13" i="25"/>
  <c r="E13" i="25" s="1"/>
  <c r="D14" i="25"/>
  <c r="E14" i="25" s="1"/>
  <c r="D147" i="2" l="1"/>
  <c r="D146" i="2"/>
  <c r="H149" i="2" l="1"/>
  <c r="H148" i="2"/>
  <c r="D23" i="25" l="1"/>
  <c r="H147" i="2"/>
  <c r="M46" i="25" l="1"/>
  <c r="I46" i="25"/>
  <c r="H46" i="25"/>
  <c r="J46" i="25" s="1"/>
  <c r="D46" i="25"/>
  <c r="E44" i="25" l="1"/>
  <c r="H60" i="15"/>
  <c r="H59" i="15"/>
  <c r="H58" i="15"/>
  <c r="H145" i="2"/>
  <c r="H144" i="2"/>
  <c r="H143" i="2"/>
  <c r="H142" i="2"/>
  <c r="H69" i="15" l="1"/>
  <c r="E64" i="25"/>
  <c r="D63" i="25"/>
  <c r="D12" i="24"/>
  <c r="E12" i="24" s="1"/>
  <c r="E67" i="24"/>
  <c r="E66" i="24"/>
  <c r="E25" i="24"/>
  <c r="E14" i="24"/>
  <c r="E15" i="24"/>
  <c r="D54" i="24"/>
  <c r="E77" i="25"/>
  <c r="D67" i="25"/>
  <c r="E48" i="25"/>
  <c r="E49" i="25"/>
  <c r="D33" i="25"/>
  <c r="H166" i="2"/>
  <c r="F77" i="25"/>
  <c r="I69" i="25"/>
  <c r="H69" i="25"/>
  <c r="J69" i="25" s="1"/>
  <c r="E69" i="25"/>
  <c r="I68" i="25"/>
  <c r="H68" i="25"/>
  <c r="J68" i="25" s="1"/>
  <c r="I65" i="25"/>
  <c r="H65" i="25"/>
  <c r="J65" i="25" s="1"/>
  <c r="E65" i="25"/>
  <c r="I64" i="25"/>
  <c r="H64" i="25"/>
  <c r="J64" i="25" s="1"/>
  <c r="I63" i="25"/>
  <c r="H63" i="25"/>
  <c r="J63" i="25" s="1"/>
  <c r="I62" i="25"/>
  <c r="H62" i="25"/>
  <c r="J62" i="25" s="1"/>
  <c r="D62" i="25"/>
  <c r="I59" i="25"/>
  <c r="H59" i="25"/>
  <c r="J59" i="25" s="1"/>
  <c r="E59" i="25"/>
  <c r="I58" i="25"/>
  <c r="H58" i="25"/>
  <c r="J58" i="25" s="1"/>
  <c r="E58" i="25"/>
  <c r="I57" i="25"/>
  <c r="H57" i="25"/>
  <c r="J57" i="25" s="1"/>
  <c r="E57" i="25"/>
  <c r="I56" i="25"/>
  <c r="H56" i="25"/>
  <c r="J56" i="25" s="1"/>
  <c r="E56" i="25"/>
  <c r="I55" i="25"/>
  <c r="H55" i="25"/>
  <c r="J55" i="25" s="1"/>
  <c r="E55" i="25"/>
  <c r="I54" i="25"/>
  <c r="H54" i="25"/>
  <c r="J54" i="25" s="1"/>
  <c r="E54" i="25"/>
  <c r="I51" i="25"/>
  <c r="H51" i="25"/>
  <c r="J51" i="25" s="1"/>
  <c r="I49" i="25"/>
  <c r="H49" i="25"/>
  <c r="J49" i="25" s="1"/>
  <c r="I48" i="25"/>
  <c r="H48" i="25"/>
  <c r="J48" i="25" s="1"/>
  <c r="M45" i="25"/>
  <c r="I45" i="25"/>
  <c r="H45" i="25"/>
  <c r="J45" i="25" s="1"/>
  <c r="D44" i="25"/>
  <c r="N44" i="25"/>
  <c r="I43" i="25"/>
  <c r="H43" i="25"/>
  <c r="J43" i="25" s="1"/>
  <c r="E43" i="25"/>
  <c r="I42" i="25"/>
  <c r="H42" i="25"/>
  <c r="J42" i="25" s="1"/>
  <c r="E42" i="25"/>
  <c r="I41" i="25"/>
  <c r="H41" i="25"/>
  <c r="J41" i="25" s="1"/>
  <c r="E41" i="25"/>
  <c r="I40" i="25"/>
  <c r="H40" i="25"/>
  <c r="J40" i="25" s="1"/>
  <c r="I39" i="25"/>
  <c r="H39" i="25"/>
  <c r="J39" i="25" s="1"/>
  <c r="I38" i="25"/>
  <c r="H38" i="25"/>
  <c r="J38" i="25" s="1"/>
  <c r="I33" i="25"/>
  <c r="H33" i="25"/>
  <c r="J33" i="25" s="1"/>
  <c r="I32" i="25"/>
  <c r="H32" i="25"/>
  <c r="J32" i="25" s="1"/>
  <c r="E32" i="25"/>
  <c r="J31" i="25"/>
  <c r="I28" i="25"/>
  <c r="H28" i="25"/>
  <c r="J28" i="25" s="1"/>
  <c r="E28" i="25"/>
  <c r="I27" i="25"/>
  <c r="H27" i="25"/>
  <c r="J27" i="25" s="1"/>
  <c r="E27" i="25"/>
  <c r="I26" i="25"/>
  <c r="H26" i="25"/>
  <c r="J26" i="25" s="1"/>
  <c r="E26" i="25"/>
  <c r="J25" i="25"/>
  <c r="I24" i="25"/>
  <c r="H24" i="25"/>
  <c r="J24" i="25" s="1"/>
  <c r="E24" i="25"/>
  <c r="D12" i="25"/>
  <c r="H131" i="2"/>
  <c r="H130" i="2"/>
  <c r="H129" i="2"/>
  <c r="H128" i="2"/>
  <c r="H127" i="2"/>
  <c r="H126" i="2"/>
  <c r="D69" i="24"/>
  <c r="H50" i="15"/>
  <c r="H49" i="15"/>
  <c r="H48" i="15"/>
  <c r="D50" i="24"/>
  <c r="D49" i="24"/>
  <c r="I57" i="24"/>
  <c r="H57" i="24"/>
  <c r="J57" i="24" s="1"/>
  <c r="E57" i="24"/>
  <c r="H125" i="2"/>
  <c r="H124" i="2"/>
  <c r="E88" i="24"/>
  <c r="E84" i="25" l="1"/>
  <c r="F84" i="25"/>
  <c r="E33" i="25"/>
  <c r="E83" i="25"/>
  <c r="E34" i="25"/>
  <c r="E23" i="25"/>
  <c r="E52" i="25"/>
  <c r="E25" i="25"/>
  <c r="D61" i="25"/>
  <c r="E80" i="25"/>
  <c r="F80" i="25"/>
  <c r="F78" i="25"/>
  <c r="E10" i="21"/>
  <c r="F81" i="25" l="1"/>
  <c r="E85" i="25"/>
  <c r="D9" i="21"/>
  <c r="E88" i="21" l="1"/>
  <c r="E78" i="25" l="1"/>
  <c r="E81" i="25" s="1"/>
  <c r="E61" i="25"/>
  <c r="E12" i="25"/>
  <c r="E31" i="25"/>
  <c r="D50" i="25"/>
  <c r="E51" i="25"/>
  <c r="F83" i="25" l="1"/>
  <c r="F85" i="25" s="1"/>
  <c r="E47" i="25"/>
  <c r="M44" i="25"/>
  <c r="D47" i="25"/>
  <c r="D31" i="25"/>
  <c r="H47" i="15"/>
  <c r="H123" i="2"/>
  <c r="H122" i="2"/>
  <c r="E68" i="25"/>
  <c r="D65" i="24"/>
  <c r="I65" i="24"/>
  <c r="H65" i="24"/>
  <c r="J65" i="24" s="1"/>
  <c r="E47" i="24"/>
  <c r="H120" i="2"/>
  <c r="H119" i="2"/>
  <c r="H118" i="2"/>
  <c r="H117" i="2"/>
  <c r="D70" i="25" l="1"/>
  <c r="E86" i="25" s="1"/>
  <c r="E67" i="25" l="1"/>
  <c r="E50" i="25"/>
  <c r="M47" i="24"/>
  <c r="N40" i="24"/>
  <c r="E70" i="25"/>
  <c r="F86" i="25" s="1"/>
  <c r="E64" i="24"/>
  <c r="D64" i="24" s="1"/>
  <c r="I53" i="24"/>
  <c r="H53" i="24"/>
  <c r="J53" i="24" s="1"/>
  <c r="D53" i="24"/>
  <c r="E46" i="24"/>
  <c r="M46" i="24" s="1"/>
  <c r="F88" i="24" l="1"/>
  <c r="E17" i="24"/>
  <c r="E16" i="24"/>
  <c r="D118" i="2"/>
  <c r="E13" i="24" l="1"/>
  <c r="D13" i="24" l="1"/>
  <c r="H46" i="15" l="1"/>
  <c r="H116" i="2" l="1"/>
  <c r="D52" i="24" l="1"/>
  <c r="D51" i="24" s="1"/>
  <c r="I52" i="24"/>
  <c r="H52" i="24"/>
  <c r="J52" i="24" s="1"/>
  <c r="H135" i="2" l="1"/>
  <c r="D68" i="23" l="1"/>
  <c r="E68" i="23" s="1"/>
  <c r="E63" i="23"/>
  <c r="D63" i="23" s="1"/>
  <c r="D54" i="23"/>
  <c r="D24" i="23"/>
  <c r="D22" i="23"/>
  <c r="H52" i="15"/>
  <c r="I64" i="24"/>
  <c r="H64" i="24"/>
  <c r="J64" i="24" s="1"/>
  <c r="E50" i="24" l="1"/>
  <c r="E49" i="24"/>
  <c r="I47" i="24"/>
  <c r="H47" i="24"/>
  <c r="J47" i="24" s="1"/>
  <c r="D47" i="24"/>
  <c r="E45" i="24"/>
  <c r="E44" i="24"/>
  <c r="E43" i="24"/>
  <c r="M43" i="24" s="1"/>
  <c r="E42" i="24"/>
  <c r="D42" i="24" s="1"/>
  <c r="E41" i="24"/>
  <c r="E82" i="24"/>
  <c r="I72" i="24"/>
  <c r="H72" i="24"/>
  <c r="J72" i="24" s="1"/>
  <c r="E72" i="24"/>
  <c r="I71" i="24"/>
  <c r="H71" i="24"/>
  <c r="J71" i="24" s="1"/>
  <c r="E71" i="24"/>
  <c r="D70" i="24"/>
  <c r="I69" i="24"/>
  <c r="H69" i="24"/>
  <c r="J69" i="24" s="1"/>
  <c r="D68" i="24"/>
  <c r="I67" i="24"/>
  <c r="H67" i="24"/>
  <c r="J67" i="24" s="1"/>
  <c r="I66" i="24"/>
  <c r="H66" i="24"/>
  <c r="J66" i="24" s="1"/>
  <c r="D63" i="24"/>
  <c r="I62" i="24"/>
  <c r="H62" i="24"/>
  <c r="J62" i="24" s="1"/>
  <c r="E62" i="24"/>
  <c r="I61" i="24"/>
  <c r="H61" i="24"/>
  <c r="J61" i="24" s="1"/>
  <c r="E61" i="24"/>
  <c r="I60" i="24"/>
  <c r="H60" i="24"/>
  <c r="J60" i="24" s="1"/>
  <c r="E60" i="24"/>
  <c r="I59" i="24"/>
  <c r="H59" i="24"/>
  <c r="J59" i="24" s="1"/>
  <c r="E59" i="24"/>
  <c r="I58" i="24"/>
  <c r="H58" i="24"/>
  <c r="J58" i="24" s="1"/>
  <c r="E58" i="24"/>
  <c r="I56" i="24"/>
  <c r="H56" i="24"/>
  <c r="J56" i="24" s="1"/>
  <c r="E56" i="24"/>
  <c r="D55" i="24"/>
  <c r="I54" i="24"/>
  <c r="H54" i="24"/>
  <c r="J54" i="24" s="1"/>
  <c r="I50" i="24"/>
  <c r="H50" i="24"/>
  <c r="J50" i="24" s="1"/>
  <c r="I49" i="24"/>
  <c r="H49" i="24"/>
  <c r="J49" i="24" s="1"/>
  <c r="I46" i="24"/>
  <c r="H46" i="24"/>
  <c r="J46" i="24" s="1"/>
  <c r="D46" i="24"/>
  <c r="I45" i="24"/>
  <c r="H45" i="24"/>
  <c r="J45" i="24" s="1"/>
  <c r="I44" i="24"/>
  <c r="H44" i="24"/>
  <c r="J44" i="24" s="1"/>
  <c r="I43" i="24"/>
  <c r="H43" i="24"/>
  <c r="J43" i="24" s="1"/>
  <c r="I42" i="24"/>
  <c r="H42" i="24"/>
  <c r="J42" i="24" s="1"/>
  <c r="I41" i="24"/>
  <c r="H41" i="24"/>
  <c r="J41" i="24" s="1"/>
  <c r="I39" i="24"/>
  <c r="H39" i="24"/>
  <c r="J39" i="24" s="1"/>
  <c r="E39" i="24"/>
  <c r="I38" i="24"/>
  <c r="H38" i="24"/>
  <c r="J38" i="24" s="1"/>
  <c r="E38" i="24"/>
  <c r="I37" i="24"/>
  <c r="H37" i="24"/>
  <c r="J37" i="24" s="1"/>
  <c r="E37" i="24"/>
  <c r="I36" i="24"/>
  <c r="H36" i="24"/>
  <c r="J36" i="24" s="1"/>
  <c r="D36" i="24"/>
  <c r="I35" i="24"/>
  <c r="H35" i="24"/>
  <c r="J35" i="24" s="1"/>
  <c r="D35" i="24"/>
  <c r="I34" i="24"/>
  <c r="H34" i="24"/>
  <c r="J34" i="24" s="1"/>
  <c r="I32" i="24"/>
  <c r="H32" i="24"/>
  <c r="J32" i="24" s="1"/>
  <c r="D32" i="24"/>
  <c r="I31" i="24"/>
  <c r="H31" i="24"/>
  <c r="J31" i="24" s="1"/>
  <c r="E31" i="24"/>
  <c r="J30" i="24"/>
  <c r="I29" i="24"/>
  <c r="H29" i="24"/>
  <c r="J29" i="24" s="1"/>
  <c r="E29" i="24"/>
  <c r="I28" i="24"/>
  <c r="H28" i="24"/>
  <c r="J28" i="24" s="1"/>
  <c r="E28" i="24"/>
  <c r="I27" i="24"/>
  <c r="H27" i="24"/>
  <c r="J27" i="24" s="1"/>
  <c r="E27" i="24"/>
  <c r="J26" i="24"/>
  <c r="D26" i="24"/>
  <c r="I25" i="24"/>
  <c r="H25" i="24"/>
  <c r="J25" i="24" s="1"/>
  <c r="D24" i="24"/>
  <c r="E46" i="23"/>
  <c r="E45" i="23"/>
  <c r="E44" i="23"/>
  <c r="E43" i="23"/>
  <c r="D43" i="23" s="1"/>
  <c r="H97" i="2"/>
  <c r="H96" i="2"/>
  <c r="E65" i="23"/>
  <c r="I65" i="23"/>
  <c r="H65" i="23"/>
  <c r="J65" i="23" s="1"/>
  <c r="E66" i="23"/>
  <c r="E64" i="23"/>
  <c r="I64" i="23"/>
  <c r="H64" i="23"/>
  <c r="J64" i="23" s="1"/>
  <c r="I66" i="23"/>
  <c r="H66" i="23"/>
  <c r="J66" i="23" s="1"/>
  <c r="E62" i="23"/>
  <c r="D62" i="23" s="1"/>
  <c r="D61" i="23" s="1"/>
  <c r="I27" i="23"/>
  <c r="H27" i="23"/>
  <c r="J27" i="23" s="1"/>
  <c r="E27" i="23"/>
  <c r="M41" i="24" l="1"/>
  <c r="D41" i="24"/>
  <c r="D43" i="24"/>
  <c r="M42" i="24"/>
  <c r="D44" i="24"/>
  <c r="M44" i="24"/>
  <c r="E63" i="24"/>
  <c r="D45" i="24"/>
  <c r="M45" i="24"/>
  <c r="F82" i="24"/>
  <c r="E40" i="24"/>
  <c r="E32" i="24"/>
  <c r="F83" i="24" s="1"/>
  <c r="E94" i="24"/>
  <c r="E24" i="24"/>
  <c r="E61" i="23"/>
  <c r="E84" i="24"/>
  <c r="E89" i="24" s="1"/>
  <c r="F81" i="24"/>
  <c r="E70" i="24"/>
  <c r="D33" i="24"/>
  <c r="E83" i="24"/>
  <c r="E55" i="24"/>
  <c r="D30" i="24"/>
  <c r="E33" i="24"/>
  <c r="E26" i="24"/>
  <c r="E48" i="24"/>
  <c r="D48" i="24"/>
  <c r="E69" i="24"/>
  <c r="E54" i="24"/>
  <c r="E51" i="24" s="1"/>
  <c r="F93" i="24" l="1"/>
  <c r="D40" i="24"/>
  <c r="D73" i="24" s="1"/>
  <c r="M40" i="24"/>
  <c r="E30" i="24"/>
  <c r="E93" i="24"/>
  <c r="E95" i="24" s="1"/>
  <c r="E81" i="24"/>
  <c r="E90" i="24" s="1"/>
  <c r="E68" i="24"/>
  <c r="F94" i="24"/>
  <c r="F84" i="24"/>
  <c r="H39" i="15"/>
  <c r="D51" i="23"/>
  <c r="D50" i="23"/>
  <c r="H90" i="2"/>
  <c r="H110" i="2" s="1"/>
  <c r="D16" i="23"/>
  <c r="D15" i="23"/>
  <c r="D14" i="23"/>
  <c r="D33" i="23"/>
  <c r="D34" i="23"/>
  <c r="E34" i="23" s="1"/>
  <c r="E48" i="23"/>
  <c r="D48" i="23" s="1"/>
  <c r="E47" i="23"/>
  <c r="D47" i="23" s="1"/>
  <c r="D49" i="23" l="1"/>
  <c r="F95" i="24"/>
  <c r="F85" i="24"/>
  <c r="F89" i="24"/>
  <c r="F90" i="24" s="1"/>
  <c r="E73" i="24"/>
  <c r="E85" i="24"/>
  <c r="E86" i="24" s="1"/>
  <c r="E96" i="24"/>
  <c r="F96" i="24" l="1"/>
  <c r="E42" i="23" l="1"/>
  <c r="I48" i="23"/>
  <c r="H48" i="23"/>
  <c r="J48" i="23" s="1"/>
  <c r="I34" i="23"/>
  <c r="H34" i="23"/>
  <c r="J34" i="23" s="1"/>
  <c r="I26" i="23"/>
  <c r="H26" i="23"/>
  <c r="J26" i="23" s="1"/>
  <c r="E26" i="23"/>
  <c r="E50" i="23" l="1"/>
  <c r="E29" i="23"/>
  <c r="D36" i="23"/>
  <c r="F80" i="23"/>
  <c r="E80" i="23"/>
  <c r="I63" i="23"/>
  <c r="H63" i="23"/>
  <c r="J63" i="23" s="1"/>
  <c r="E33" i="23"/>
  <c r="D32" i="23"/>
  <c r="E32" i="23" s="1"/>
  <c r="D31" i="23"/>
  <c r="E31" i="23" s="1"/>
  <c r="D30" i="23"/>
  <c r="I33" i="23"/>
  <c r="H33" i="23"/>
  <c r="J33" i="23" s="1"/>
  <c r="D28" i="23" l="1"/>
  <c r="E30" i="23"/>
  <c r="E28" i="23" s="1"/>
  <c r="E82" i="23"/>
  <c r="E81" i="23"/>
  <c r="I71" i="23"/>
  <c r="H71" i="23"/>
  <c r="J71" i="23" s="1"/>
  <c r="E71" i="23"/>
  <c r="I70" i="23"/>
  <c r="H70" i="23"/>
  <c r="J70" i="23" s="1"/>
  <c r="E70" i="23"/>
  <c r="D69" i="23"/>
  <c r="I68" i="23"/>
  <c r="H68" i="23"/>
  <c r="J68" i="23" s="1"/>
  <c r="D67" i="23"/>
  <c r="I62" i="23"/>
  <c r="H62" i="23"/>
  <c r="J62" i="23" s="1"/>
  <c r="I60" i="23"/>
  <c r="H60" i="23"/>
  <c r="J60" i="23" s="1"/>
  <c r="E60" i="23"/>
  <c r="I59" i="23"/>
  <c r="H59" i="23"/>
  <c r="J59" i="23" s="1"/>
  <c r="E59" i="23"/>
  <c r="I58" i="23"/>
  <c r="H58" i="23"/>
  <c r="J58" i="23" s="1"/>
  <c r="E58" i="23"/>
  <c r="I57" i="23"/>
  <c r="H57" i="23"/>
  <c r="J57" i="23" s="1"/>
  <c r="E57" i="23"/>
  <c r="I56" i="23"/>
  <c r="H56" i="23"/>
  <c r="J56" i="23" s="1"/>
  <c r="E56" i="23"/>
  <c r="I55" i="23"/>
  <c r="H55" i="23"/>
  <c r="J55" i="23" s="1"/>
  <c r="E55" i="23"/>
  <c r="I53" i="23"/>
  <c r="H53" i="23"/>
  <c r="J53" i="23" s="1"/>
  <c r="D53" i="23"/>
  <c r="I51" i="23"/>
  <c r="H51" i="23"/>
  <c r="J51" i="23" s="1"/>
  <c r="E51" i="23"/>
  <c r="I50" i="23"/>
  <c r="H50" i="23"/>
  <c r="J50" i="23" s="1"/>
  <c r="I47" i="23"/>
  <c r="H47" i="23"/>
  <c r="J47" i="23" s="1"/>
  <c r="I46" i="23"/>
  <c r="H46" i="23"/>
  <c r="J46" i="23" s="1"/>
  <c r="D46" i="23"/>
  <c r="I45" i="23"/>
  <c r="H45" i="23"/>
  <c r="J45" i="23" s="1"/>
  <c r="D45" i="23"/>
  <c r="I44" i="23"/>
  <c r="H44" i="23"/>
  <c r="J44" i="23" s="1"/>
  <c r="D44" i="23"/>
  <c r="I43" i="23"/>
  <c r="H43" i="23"/>
  <c r="J43" i="23" s="1"/>
  <c r="I41" i="23"/>
  <c r="H41" i="23"/>
  <c r="J41" i="23" s="1"/>
  <c r="E41" i="23"/>
  <c r="I40" i="23"/>
  <c r="H40" i="23"/>
  <c r="J40" i="23" s="1"/>
  <c r="E40" i="23"/>
  <c r="I39" i="23"/>
  <c r="H39" i="23"/>
  <c r="J39" i="23" s="1"/>
  <c r="E39" i="23"/>
  <c r="I38" i="23"/>
  <c r="H38" i="23"/>
  <c r="J38" i="23" s="1"/>
  <c r="D38" i="23"/>
  <c r="I37" i="23"/>
  <c r="H37" i="23"/>
  <c r="J37" i="23" s="1"/>
  <c r="D37" i="23"/>
  <c r="I36" i="23"/>
  <c r="H36" i="23"/>
  <c r="J36" i="23" s="1"/>
  <c r="I32" i="23"/>
  <c r="H32" i="23"/>
  <c r="J32" i="23" s="1"/>
  <c r="I31" i="23"/>
  <c r="H31" i="23"/>
  <c r="J31" i="23" s="1"/>
  <c r="I30" i="23"/>
  <c r="H30" i="23"/>
  <c r="J30" i="23" s="1"/>
  <c r="I29" i="23"/>
  <c r="H29" i="23"/>
  <c r="J29" i="23" s="1"/>
  <c r="J28" i="23"/>
  <c r="I25" i="23"/>
  <c r="H25" i="23"/>
  <c r="J25" i="23" s="1"/>
  <c r="E25" i="23"/>
  <c r="E24" i="23" s="1"/>
  <c r="J24" i="23"/>
  <c r="I23" i="23"/>
  <c r="H23" i="23"/>
  <c r="J23" i="23" s="1"/>
  <c r="E23" i="23"/>
  <c r="E22" i="23" s="1"/>
  <c r="E16" i="23"/>
  <c r="E15" i="23"/>
  <c r="E14" i="23"/>
  <c r="E13" i="23"/>
  <c r="D12" i="23"/>
  <c r="D36" i="21"/>
  <c r="D62" i="21"/>
  <c r="J65" i="21"/>
  <c r="E65" i="21"/>
  <c r="D67" i="21"/>
  <c r="D54" i="21"/>
  <c r="D51" i="21"/>
  <c r="D52" i="21"/>
  <c r="E49" i="21"/>
  <c r="E48" i="21"/>
  <c r="E47" i="21"/>
  <c r="E46" i="21"/>
  <c r="E45" i="21"/>
  <c r="D45" i="21" s="1"/>
  <c r="H30" i="15"/>
  <c r="D40" i="21"/>
  <c r="D39" i="21"/>
  <c r="D38" i="21"/>
  <c r="E90" i="23" l="1"/>
  <c r="D35" i="23"/>
  <c r="D42" i="23"/>
  <c r="E53" i="23"/>
  <c r="E52" i="23" s="1"/>
  <c r="D52" i="23"/>
  <c r="E54" i="23"/>
  <c r="F90" i="23"/>
  <c r="E91" i="23"/>
  <c r="E84" i="23"/>
  <c r="E69" i="23"/>
  <c r="E83" i="23"/>
  <c r="F81" i="23"/>
  <c r="E67" i="23"/>
  <c r="E12" i="23"/>
  <c r="E35" i="23"/>
  <c r="E49" i="23"/>
  <c r="F83" i="23"/>
  <c r="E44" i="21"/>
  <c r="D49" i="21"/>
  <c r="F84" i="23" l="1"/>
  <c r="D72" i="23"/>
  <c r="F91" i="23"/>
  <c r="E85" i="23"/>
  <c r="F82" i="23"/>
  <c r="E92" i="23"/>
  <c r="E72" i="23"/>
  <c r="F85" i="23" l="1"/>
  <c r="E93" i="23"/>
  <c r="F92" i="23"/>
  <c r="F93" i="23" s="1"/>
  <c r="E43" i="21"/>
  <c r="E42" i="21"/>
  <c r="E41" i="21"/>
  <c r="I42" i="21"/>
  <c r="H42" i="21"/>
  <c r="J42" i="21" s="1"/>
  <c r="I41" i="21"/>
  <c r="H41" i="21"/>
  <c r="J41" i="21" s="1"/>
  <c r="I43" i="21"/>
  <c r="H43" i="21"/>
  <c r="J43" i="21" s="1"/>
  <c r="D25" i="21"/>
  <c r="I28" i="21"/>
  <c r="H28" i="21"/>
  <c r="J28" i="21" s="1"/>
  <c r="E28" i="21"/>
  <c r="D48" i="21"/>
  <c r="D47" i="21"/>
  <c r="D46" i="21"/>
  <c r="D35" i="21"/>
  <c r="D34" i="21"/>
  <c r="D33" i="21"/>
  <c r="I40" i="21"/>
  <c r="H40" i="21"/>
  <c r="J40" i="21" s="1"/>
  <c r="D37" i="21"/>
  <c r="I39" i="21"/>
  <c r="H39" i="21"/>
  <c r="J39" i="21" s="1"/>
  <c r="I38" i="21"/>
  <c r="H38" i="21"/>
  <c r="J38" i="21" s="1"/>
  <c r="D44" i="21" l="1"/>
  <c r="H65" i="2"/>
  <c r="D68" i="21"/>
  <c r="I70" i="21"/>
  <c r="H70" i="21"/>
  <c r="J70" i="21" s="1"/>
  <c r="E70" i="21"/>
  <c r="E27" i="21" l="1"/>
  <c r="E26" i="21"/>
  <c r="E25" i="21" s="1"/>
  <c r="I27" i="21"/>
  <c r="H27" i="21"/>
  <c r="J27" i="21" s="1"/>
  <c r="D23" i="21"/>
  <c r="I23" i="21"/>
  <c r="H23" i="21"/>
  <c r="J23" i="21" s="1"/>
  <c r="E23" i="21"/>
  <c r="D12" i="21"/>
  <c r="D17" i="21" s="1"/>
  <c r="D22" i="21" l="1"/>
  <c r="E93" i="21"/>
  <c r="F79" i="21" l="1"/>
  <c r="E80" i="21"/>
  <c r="E79" i="21"/>
  <c r="I36" i="21"/>
  <c r="H36" i="21"/>
  <c r="J36" i="21" s="1"/>
  <c r="E36" i="21"/>
  <c r="F84" i="21" s="1"/>
  <c r="I49" i="21"/>
  <c r="H49" i="21"/>
  <c r="J49" i="21" s="1"/>
  <c r="I52" i="21" l="1"/>
  <c r="H52" i="21"/>
  <c r="J52" i="21" s="1"/>
  <c r="E52" i="21"/>
  <c r="I48" i="21"/>
  <c r="H48" i="21"/>
  <c r="J48" i="21" s="1"/>
  <c r="D55" i="21"/>
  <c r="I69" i="21"/>
  <c r="I67" i="21"/>
  <c r="I63" i="21"/>
  <c r="I61" i="21"/>
  <c r="I60" i="21"/>
  <c r="I59" i="21"/>
  <c r="I58" i="21"/>
  <c r="I57" i="21"/>
  <c r="I56" i="21"/>
  <c r="I54" i="21"/>
  <c r="I51" i="21"/>
  <c r="I47" i="21"/>
  <c r="I46" i="21"/>
  <c r="I45" i="21"/>
  <c r="I35" i="21"/>
  <c r="I34" i="21"/>
  <c r="I33" i="21"/>
  <c r="I32" i="21"/>
  <c r="I31" i="21"/>
  <c r="I30" i="21"/>
  <c r="I26" i="21"/>
  <c r="I24" i="21"/>
  <c r="H69" i="21"/>
  <c r="J69" i="21" s="1"/>
  <c r="H67" i="21"/>
  <c r="J67" i="21" s="1"/>
  <c r="H63" i="21"/>
  <c r="J63" i="21" s="1"/>
  <c r="H61" i="21"/>
  <c r="J61" i="21" s="1"/>
  <c r="H60" i="21"/>
  <c r="J60" i="21" s="1"/>
  <c r="H59" i="21"/>
  <c r="J59" i="21" s="1"/>
  <c r="H58" i="21"/>
  <c r="J58" i="21" s="1"/>
  <c r="H57" i="21"/>
  <c r="J57" i="21" s="1"/>
  <c r="H56" i="21"/>
  <c r="J56" i="21" s="1"/>
  <c r="H54" i="21"/>
  <c r="J54" i="21" s="1"/>
  <c r="H51" i="21"/>
  <c r="J51" i="21" s="1"/>
  <c r="H47" i="21"/>
  <c r="J47" i="21" s="1"/>
  <c r="H46" i="21"/>
  <c r="J46" i="21" s="1"/>
  <c r="H45" i="21"/>
  <c r="J45" i="21" s="1"/>
  <c r="H35" i="21"/>
  <c r="J35" i="21" s="1"/>
  <c r="H34" i="21"/>
  <c r="J34" i="21" s="1"/>
  <c r="H33" i="21"/>
  <c r="J33" i="21" s="1"/>
  <c r="H32" i="21"/>
  <c r="J32" i="21" s="1"/>
  <c r="H31" i="21"/>
  <c r="J31" i="21" s="1"/>
  <c r="H30" i="21"/>
  <c r="J30" i="21" s="1"/>
  <c r="H26" i="21"/>
  <c r="J26" i="21" s="1"/>
  <c r="H24" i="21"/>
  <c r="E84" i="21" l="1"/>
  <c r="D50" i="21"/>
  <c r="J64" i="21"/>
  <c r="E35" i="21" l="1"/>
  <c r="E34" i="21"/>
  <c r="E33" i="21"/>
  <c r="E31" i="21"/>
  <c r="E30" i="21"/>
  <c r="D66" i="21"/>
  <c r="E69" i="21"/>
  <c r="E68" i="21" s="1"/>
  <c r="E64" i="21"/>
  <c r="E13" i="21"/>
  <c r="E16" i="21"/>
  <c r="E15" i="21"/>
  <c r="E14" i="21"/>
  <c r="E12" i="21" l="1"/>
  <c r="E63" i="21"/>
  <c r="E62" i="21" s="1"/>
  <c r="E67" i="21"/>
  <c r="E56" i="21"/>
  <c r="E61" i="21"/>
  <c r="E59" i="21"/>
  <c r="E57" i="21"/>
  <c r="E58" i="21"/>
  <c r="E60" i="21"/>
  <c r="E54" i="21"/>
  <c r="D53" i="21"/>
  <c r="E37" i="21"/>
  <c r="E24" i="21"/>
  <c r="E22" i="21" s="1"/>
  <c r="H21" i="17"/>
  <c r="J29" i="21"/>
  <c r="J25" i="21"/>
  <c r="J24" i="21"/>
  <c r="E81" i="21" l="1"/>
  <c r="E89" i="21" s="1"/>
  <c r="E90" i="21" s="1"/>
  <c r="E82" i="21"/>
  <c r="F82" i="21"/>
  <c r="F81" i="21"/>
  <c r="D29" i="21"/>
  <c r="E94" i="21"/>
  <c r="E95" i="21" s="1"/>
  <c r="E83" i="21"/>
  <c r="E32" i="21"/>
  <c r="F80" i="21" s="1"/>
  <c r="E51" i="21"/>
  <c r="E66" i="21"/>
  <c r="E53" i="21"/>
  <c r="E55" i="21"/>
  <c r="E85" i="21" l="1"/>
  <c r="F89" i="21"/>
  <c r="E29" i="21"/>
  <c r="F83" i="21"/>
  <c r="F85" i="21" s="1"/>
  <c r="E50" i="21"/>
  <c r="F93" i="21"/>
  <c r="F94" i="21"/>
  <c r="D71" i="21"/>
  <c r="E96" i="21" l="1"/>
  <c r="D73" i="21"/>
  <c r="D74" i="21" s="1"/>
  <c r="F95" i="21"/>
  <c r="E71" i="21"/>
  <c r="F96" i="21" l="1"/>
  <c r="H58" i="2"/>
  <c r="H82" i="2" s="1"/>
  <c r="H47" i="2" l="1"/>
  <c r="H48" i="2"/>
  <c r="H46" i="2"/>
  <c r="H42" i="2" l="1"/>
  <c r="H54" i="2" s="1"/>
  <c r="E11" i="17"/>
  <c r="F20" i="17"/>
  <c r="E18" i="17"/>
  <c r="I19" i="17" s="1"/>
  <c r="C18" i="17"/>
  <c r="C20" i="17" s="1"/>
  <c r="C17" i="17"/>
  <c r="C19" i="17" s="1"/>
  <c r="C7" i="17"/>
  <c r="C8" i="17" s="1"/>
  <c r="C5" i="17"/>
  <c r="C6" i="17" s="1"/>
  <c r="E20" i="17" l="1"/>
  <c r="E22" i="17" s="1"/>
  <c r="E24" i="17" s="1"/>
  <c r="F24" i="17" s="1"/>
  <c r="H21" i="15" l="1"/>
  <c r="H15" i="15"/>
  <c r="H8" i="15"/>
  <c r="D8" i="15"/>
  <c r="C12" i="13"/>
  <c r="H30" i="2"/>
  <c r="H9" i="15" l="1"/>
  <c r="D12" i="15" s="1"/>
  <c r="H16" i="2"/>
  <c r="D16" i="2"/>
  <c r="G6" i="1"/>
  <c r="G7" i="1" s="1"/>
  <c r="G8" i="1" s="1"/>
  <c r="G9" i="1" s="1"/>
  <c r="G10" i="1" s="1"/>
  <c r="G11" i="1" s="1"/>
  <c r="G12" i="1" s="1"/>
  <c r="F12" i="1"/>
  <c r="E12" i="1"/>
  <c r="G3" i="1"/>
  <c r="G4" i="1" s="1"/>
  <c r="G5" i="1" s="1"/>
  <c r="D15" i="15" l="1"/>
  <c r="H16" i="15" s="1"/>
  <c r="D19" i="15" s="1"/>
  <c r="D21" i="15" s="1"/>
  <c r="H22" i="15" s="1"/>
  <c r="D26" i="15" s="1"/>
  <c r="D30" i="15" s="1"/>
  <c r="H31" i="15" s="1"/>
  <c r="H17" i="2"/>
  <c r="D12" i="13"/>
  <c r="D13" i="13" s="1"/>
  <c r="C14" i="13"/>
  <c r="E11" i="21" l="1"/>
  <c r="E9" i="21" s="1"/>
  <c r="D35" i="15"/>
  <c r="D39" i="15" s="1"/>
  <c r="H40" i="15" s="1"/>
  <c r="D11" i="23"/>
  <c r="E11" i="23" s="1"/>
  <c r="D20" i="2"/>
  <c r="D30" i="2" s="1"/>
  <c r="H31" i="2" s="1"/>
  <c r="D34" i="2" s="1"/>
  <c r="D42" i="2" s="1"/>
  <c r="F88" i="21" l="1"/>
  <c r="F90" i="21" s="1"/>
  <c r="E17" i="21"/>
  <c r="E73" i="21" s="1"/>
  <c r="E74" i="21" s="1"/>
  <c r="D46" i="15"/>
  <c r="D50" i="15" s="1"/>
  <c r="H53" i="15" s="1"/>
  <c r="D58" i="15" s="1"/>
  <c r="D62" i="15" s="1"/>
  <c r="H70" i="15" s="1"/>
  <c r="D73" i="15" s="1"/>
  <c r="D77" i="15" s="1"/>
  <c r="H85" i="15" s="1"/>
  <c r="D11" i="24"/>
  <c r="E11" i="24" s="1"/>
  <c r="H55" i="2"/>
  <c r="D14" i="13"/>
  <c r="D90" i="15" l="1"/>
  <c r="D94" i="15" s="1"/>
  <c r="H102" i="15" s="1"/>
  <c r="E11" i="27"/>
  <c r="D11" i="27" s="1"/>
  <c r="D11" i="25"/>
  <c r="E11" i="25"/>
  <c r="D58" i="2"/>
  <c r="D66" i="2" s="1"/>
  <c r="H83" i="2" s="1"/>
  <c r="E11" i="28" l="1"/>
  <c r="D11" i="28" s="1"/>
  <c r="D105" i="15"/>
  <c r="D109" i="15" s="1"/>
  <c r="H117" i="15" s="1"/>
  <c r="D86" i="2"/>
  <c r="D94" i="2" s="1"/>
  <c r="H111" i="2" s="1"/>
  <c r="D10" i="23"/>
  <c r="D121" i="15" l="1"/>
  <c r="D125" i="15" s="1"/>
  <c r="H133" i="15" s="1"/>
  <c r="E11" i="29"/>
  <c r="D11" i="29" s="1"/>
  <c r="D9" i="23"/>
  <c r="D17" i="23" s="1"/>
  <c r="E10" i="23"/>
  <c r="E9" i="23" s="1"/>
  <c r="E17" i="23" s="1"/>
  <c r="E74" i="23" s="1"/>
  <c r="E75" i="23" s="1"/>
  <c r="D10" i="24"/>
  <c r="D115" i="2"/>
  <c r="D123" i="2" s="1"/>
  <c r="H136" i="2" s="1"/>
  <c r="D142" i="2" s="1"/>
  <c r="E11" i="30" l="1"/>
  <c r="D11" i="30" s="1"/>
  <c r="D136" i="15"/>
  <c r="D140" i="15" s="1"/>
  <c r="H148" i="15" s="1"/>
  <c r="D10" i="25"/>
  <c r="D150" i="2"/>
  <c r="H167" i="2" s="1"/>
  <c r="E99" i="24"/>
  <c r="D9" i="24"/>
  <c r="D19" i="24" s="1"/>
  <c r="E10" i="24"/>
  <c r="E9" i="24" s="1"/>
  <c r="E19" i="24" s="1"/>
  <c r="E75" i="24" s="1"/>
  <c r="E76" i="24" s="1"/>
  <c r="D74" i="23"/>
  <c r="E99" i="23" s="1"/>
  <c r="F99" i="23" s="1"/>
  <c r="E148" i="41" l="1"/>
  <c r="E164" i="42"/>
  <c r="E165" i="42" s="1"/>
  <c r="F165" i="42" s="1"/>
  <c r="E126" i="38"/>
  <c r="E138" i="40"/>
  <c r="E114" i="36"/>
  <c r="E121" i="37"/>
  <c r="E98" i="33"/>
  <c r="E106" i="34"/>
  <c r="E11" i="31"/>
  <c r="D11" i="31" s="1"/>
  <c r="D151" i="15"/>
  <c r="D155" i="15" s="1"/>
  <c r="H160" i="15" s="1"/>
  <c r="D165" i="15" s="1"/>
  <c r="E97" i="31"/>
  <c r="E100" i="32"/>
  <c r="E93" i="29"/>
  <c r="E95" i="30"/>
  <c r="E99" i="27"/>
  <c r="E100" i="28"/>
  <c r="E10" i="25"/>
  <c r="E9" i="25" s="1"/>
  <c r="E18" i="25" s="1"/>
  <c r="E72" i="25" s="1"/>
  <c r="E73" i="25" s="1"/>
  <c r="D9" i="25"/>
  <c r="D18" i="25" s="1"/>
  <c r="D75" i="24"/>
  <c r="E98" i="24" s="1"/>
  <c r="E100" i="24" s="1"/>
  <c r="F100" i="24" s="1"/>
  <c r="D171" i="2"/>
  <c r="D179" i="2" s="1"/>
  <c r="H202" i="2" s="1"/>
  <c r="D10" i="27" s="1"/>
  <c r="D9" i="27" s="1"/>
  <c r="D10" i="26"/>
  <c r="D9" i="26" s="1"/>
  <c r="E89" i="25"/>
  <c r="E100" i="26"/>
  <c r="D75" i="23"/>
  <c r="D169" i="15" l="1"/>
  <c r="H174" i="15" s="1"/>
  <c r="E12" i="32"/>
  <c r="D12" i="32" s="1"/>
  <c r="D205" i="2"/>
  <c r="D213" i="2" s="1"/>
  <c r="H229" i="2" s="1"/>
  <c r="D10" i="28" s="1"/>
  <c r="D9" i="28" s="1"/>
  <c r="E105" i="26"/>
  <c r="E90" i="26"/>
  <c r="E92" i="26" s="1"/>
  <c r="D72" i="25"/>
  <c r="E88" i="25" s="1"/>
  <c r="E90" i="25" s="1"/>
  <c r="F90" i="25" s="1"/>
  <c r="D76" i="24"/>
  <c r="F90" i="26"/>
  <c r="F92" i="26" s="1"/>
  <c r="E10" i="26"/>
  <c r="E9" i="26" s="1"/>
  <c r="D21" i="26"/>
  <c r="D78" i="26" s="1"/>
  <c r="E11" i="33" l="1"/>
  <c r="D11" i="33" s="1"/>
  <c r="D178" i="15"/>
  <c r="D182" i="15" s="1"/>
  <c r="H187" i="15" s="1"/>
  <c r="D191" i="15" s="1"/>
  <c r="D21" i="28"/>
  <c r="D78" i="28" s="1"/>
  <c r="E103" i="28" s="1"/>
  <c r="E10" i="28"/>
  <c r="D232" i="2"/>
  <c r="D242" i="2" s="1"/>
  <c r="H266" i="2" s="1"/>
  <c r="D10" i="29" s="1"/>
  <c r="E104" i="27"/>
  <c r="F89" i="27"/>
  <c r="F91" i="27" s="1"/>
  <c r="E89" i="27"/>
  <c r="E91" i="27" s="1"/>
  <c r="E10" i="27"/>
  <c r="D21" i="27"/>
  <c r="D73" i="25"/>
  <c r="E21" i="26"/>
  <c r="E78" i="26" s="1"/>
  <c r="E79" i="26" s="1"/>
  <c r="E11" i="34" l="1"/>
  <c r="D11" i="34" s="1"/>
  <c r="D195" i="15"/>
  <c r="H200" i="15" s="1"/>
  <c r="D270" i="2"/>
  <c r="D280" i="2" s="1"/>
  <c r="H305" i="2" s="1"/>
  <c r="D10" i="30" s="1"/>
  <c r="E9" i="28"/>
  <c r="E21" i="28" s="1"/>
  <c r="E78" i="28" s="1"/>
  <c r="E79" i="28" s="1"/>
  <c r="E104" i="28"/>
  <c r="E105" i="28" s="1"/>
  <c r="E9" i="27"/>
  <c r="E21" i="27" s="1"/>
  <c r="D79" i="28"/>
  <c r="E99" i="28"/>
  <c r="E101" i="28" s="1"/>
  <c r="F101" i="28" s="1"/>
  <c r="E99" i="26"/>
  <c r="E101" i="26" s="1"/>
  <c r="F101" i="26" s="1"/>
  <c r="E104" i="26"/>
  <c r="E106" i="26" s="1"/>
  <c r="E107" i="26" s="1"/>
  <c r="D79" i="26"/>
  <c r="F85" i="27"/>
  <c r="F86" i="27" s="1"/>
  <c r="E85" i="27"/>
  <c r="E86" i="27" s="1"/>
  <c r="E67" i="27"/>
  <c r="D69" i="27"/>
  <c r="D67" i="27" s="1"/>
  <c r="D76" i="27" s="1"/>
  <c r="D78" i="27" s="1"/>
  <c r="D205" i="15" l="1"/>
  <c r="E98" i="29"/>
  <c r="E83" i="29"/>
  <c r="E85" i="29" s="1"/>
  <c r="F83" i="29"/>
  <c r="F85" i="29" s="1"/>
  <c r="D308" i="2"/>
  <c r="D318" i="2" s="1"/>
  <c r="E10" i="30"/>
  <c r="E9" i="30" s="1"/>
  <c r="E20" i="30" s="1"/>
  <c r="D9" i="30"/>
  <c r="D20" i="30" s="1"/>
  <c r="E10" i="29"/>
  <c r="E9" i="29" s="1"/>
  <c r="E20" i="29" s="1"/>
  <c r="E72" i="29" s="1"/>
  <c r="E73" i="29" s="1"/>
  <c r="D9" i="29"/>
  <c r="D20" i="29" s="1"/>
  <c r="F90" i="28"/>
  <c r="F92" i="28" s="1"/>
  <c r="E90" i="28"/>
  <c r="E92" i="28" s="1"/>
  <c r="E103" i="27"/>
  <c r="E105" i="27" s="1"/>
  <c r="E106" i="27" s="1"/>
  <c r="E76" i="27"/>
  <c r="E78" i="27" s="1"/>
  <c r="E79" i="27" s="1"/>
  <c r="E98" i="27"/>
  <c r="E100" i="27" s="1"/>
  <c r="F100" i="27" s="1"/>
  <c r="D79" i="27"/>
  <c r="F93" i="27"/>
  <c r="E94" i="27"/>
  <c r="E93" i="27"/>
  <c r="F94" i="27"/>
  <c r="D209" i="15" l="1"/>
  <c r="H213" i="15" s="1"/>
  <c r="D217" i="15" s="1"/>
  <c r="D221" i="15" s="1"/>
  <c r="H225" i="15" s="1"/>
  <c r="E11" i="36"/>
  <c r="D11" i="36" s="1"/>
  <c r="D72" i="29"/>
  <c r="E95" i="27"/>
  <c r="E96" i="27" s="1"/>
  <c r="F95" i="27"/>
  <c r="F96" i="27" s="1"/>
  <c r="E11" i="38" l="1"/>
  <c r="D228" i="15"/>
  <c r="E92" i="29"/>
  <c r="E94" i="29" s="1"/>
  <c r="F94" i="29" s="1"/>
  <c r="E97" i="29"/>
  <c r="E99" i="29" s="1"/>
  <c r="D73" i="29"/>
  <c r="D232" i="15" l="1"/>
  <c r="H236" i="15" s="1"/>
  <c r="E125" i="37"/>
  <c r="D11" i="38"/>
  <c r="D9" i="38" s="1"/>
  <c r="D33" i="38" s="1"/>
  <c r="E9" i="38"/>
  <c r="E33" i="38" s="1"/>
  <c r="E102" i="38" s="1"/>
  <c r="E103" i="38" s="1"/>
  <c r="D50" i="30"/>
  <c r="D71" i="30" s="1"/>
  <c r="D73" i="30" s="1"/>
  <c r="E98" i="30" s="1"/>
  <c r="E81" i="30"/>
  <c r="E82" i="30" s="1"/>
  <c r="D102" i="38" l="1"/>
  <c r="D103" i="38" s="1"/>
  <c r="E131" i="38"/>
  <c r="E11" i="40"/>
  <c r="D240" i="15"/>
  <c r="D244" i="15" s="1"/>
  <c r="H248" i="15" s="1"/>
  <c r="E86" i="30"/>
  <c r="E94" i="30"/>
  <c r="E96" i="30" s="1"/>
  <c r="F96" i="30" s="1"/>
  <c r="D74" i="30"/>
  <c r="E50" i="30"/>
  <c r="H344" i="2"/>
  <c r="H345" i="2" s="1"/>
  <c r="F81" i="30"/>
  <c r="E142" i="40" l="1"/>
  <c r="D252" i="15"/>
  <c r="D256" i="15" s="1"/>
  <c r="H260" i="15" s="1"/>
  <c r="E11" i="41"/>
  <c r="D11" i="41" s="1"/>
  <c r="D11" i="40"/>
  <c r="D9" i="40" s="1"/>
  <c r="D35" i="40" s="1"/>
  <c r="E9" i="40"/>
  <c r="E35" i="40" s="1"/>
  <c r="E130" i="38"/>
  <c r="E132" i="38" s="1"/>
  <c r="E133" i="38" s="1"/>
  <c r="E125" i="38"/>
  <c r="E127" i="38" s="1"/>
  <c r="F127" i="38" s="1"/>
  <c r="D349" i="2"/>
  <c r="D359" i="2" s="1"/>
  <c r="D10" i="31"/>
  <c r="E99" i="30"/>
  <c r="F82" i="30"/>
  <c r="E90" i="30" s="1"/>
  <c r="F89" i="30"/>
  <c r="F86" i="30"/>
  <c r="E85" i="30"/>
  <c r="E87" i="30" s="1"/>
  <c r="F85" i="30"/>
  <c r="E71" i="30"/>
  <c r="E73" i="30" s="1"/>
  <c r="E11" i="42" l="1"/>
  <c r="D11" i="42" s="1"/>
  <c r="E11" i="43"/>
  <c r="D263" i="15"/>
  <c r="D268" i="15" s="1"/>
  <c r="H273" i="15" s="1"/>
  <c r="D277" i="15" s="1"/>
  <c r="D281" i="15" s="1"/>
  <c r="H287" i="15" s="1"/>
  <c r="D290" i="15" s="1"/>
  <c r="H384" i="2"/>
  <c r="F90" i="30"/>
  <c r="F91" i="30" s="1"/>
  <c r="F92" i="30" s="1"/>
  <c r="F87" i="30"/>
  <c r="E89" i="30"/>
  <c r="E91" i="30" s="1"/>
  <c r="E92" i="30" s="1"/>
  <c r="E74" i="30"/>
  <c r="D294" i="15" l="1"/>
  <c r="H300" i="15" s="1"/>
  <c r="D303" i="15" s="1"/>
  <c r="D307" i="15" s="1"/>
  <c r="H313" i="15" s="1"/>
  <c r="E11" i="44"/>
  <c r="D11" i="44" s="1"/>
  <c r="D11" i="43"/>
  <c r="D9" i="43" s="1"/>
  <c r="D30" i="43" s="1"/>
  <c r="E9" i="43"/>
  <c r="E30" i="43" s="1"/>
  <c r="D387" i="2"/>
  <c r="E104" i="31"/>
  <c r="E87" i="31"/>
  <c r="E89" i="31" s="1"/>
  <c r="F87" i="31"/>
  <c r="F89" i="31" s="1"/>
  <c r="F100" i="31" s="1"/>
  <c r="D9" i="31"/>
  <c r="D20" i="31" s="1"/>
  <c r="E10" i="31"/>
  <c r="E9" i="31" s="1"/>
  <c r="E20" i="31" s="1"/>
  <c r="E75" i="31" s="1"/>
  <c r="E11" i="45" l="1"/>
  <c r="D11" i="45" s="1"/>
  <c r="D316" i="15"/>
  <c r="D10" i="32"/>
  <c r="D397" i="2"/>
  <c r="E76" i="31"/>
  <c r="D75" i="31"/>
  <c r="E11" i="46" l="1"/>
  <c r="D11" i="46" s="1"/>
  <c r="D324" i="15"/>
  <c r="H324" i="15" s="1"/>
  <c r="D327" i="15" s="1"/>
  <c r="D334" i="15" s="1"/>
  <c r="H339" i="15" s="1"/>
  <c r="H404" i="2"/>
  <c r="E10" i="32"/>
  <c r="E9" i="32" s="1"/>
  <c r="E21" i="32" s="1"/>
  <c r="E79" i="32" s="1"/>
  <c r="E80" i="32" s="1"/>
  <c r="D9" i="32"/>
  <c r="D21" i="32" s="1"/>
  <c r="D79" i="32" s="1"/>
  <c r="E103" i="32" s="1"/>
  <c r="E96" i="31"/>
  <c r="E98" i="31" s="1"/>
  <c r="F98" i="31" s="1"/>
  <c r="E103" i="31"/>
  <c r="E105" i="31" s="1"/>
  <c r="E106" i="31" s="1"/>
  <c r="D76" i="31"/>
  <c r="E139" i="47" l="1"/>
  <c r="D342" i="15"/>
  <c r="D349" i="15" s="1"/>
  <c r="E11" i="48"/>
  <c r="D10" i="33"/>
  <c r="D408" i="2"/>
  <c r="D418" i="2" s="1"/>
  <c r="H427" i="2" s="1"/>
  <c r="E90" i="32"/>
  <c r="E92" i="32" s="1"/>
  <c r="E104" i="32"/>
  <c r="E105" i="32" s="1"/>
  <c r="E106" i="32" s="1"/>
  <c r="F90" i="32"/>
  <c r="F92" i="32" s="1"/>
  <c r="D80" i="32"/>
  <c r="E99" i="32"/>
  <c r="E101" i="32" s="1"/>
  <c r="F101" i="32" s="1"/>
  <c r="D11" i="48" l="1"/>
  <c r="D9" i="48" s="1"/>
  <c r="D29" i="48" s="1"/>
  <c r="E9" i="48"/>
  <c r="E29" i="48" s="1"/>
  <c r="E118" i="48" s="1"/>
  <c r="E119" i="48" s="1"/>
  <c r="E102" i="33"/>
  <c r="D430" i="2"/>
  <c r="D10" i="34" s="1"/>
  <c r="E88" i="33"/>
  <c r="E90" i="33" s="1"/>
  <c r="F88" i="33"/>
  <c r="F90" i="33" s="1"/>
  <c r="E10" i="33"/>
  <c r="E9" i="33" s="1"/>
  <c r="D9" i="33"/>
  <c r="D20" i="33" s="1"/>
  <c r="D118" i="48" l="1"/>
  <c r="D441" i="2"/>
  <c r="H460" i="2" s="1"/>
  <c r="E20" i="33"/>
  <c r="E75" i="33" s="1"/>
  <c r="E76" i="33" s="1"/>
  <c r="D75" i="33"/>
  <c r="D119" i="48" l="1"/>
  <c r="D465" i="2"/>
  <c r="D10" i="36" s="1"/>
  <c r="E110" i="34"/>
  <c r="D9" i="34"/>
  <c r="D23" i="34" s="1"/>
  <c r="E10" i="34"/>
  <c r="E9" i="34" s="1"/>
  <c r="E97" i="33"/>
  <c r="E99" i="33" s="1"/>
  <c r="F99" i="33" s="1"/>
  <c r="E101" i="33"/>
  <c r="E103" i="33" s="1"/>
  <c r="E104" i="33" s="1"/>
  <c r="D76" i="33"/>
  <c r="D475" i="2" l="1"/>
  <c r="H503" i="2" s="1"/>
  <c r="E10" i="36"/>
  <c r="E9" i="36" s="1"/>
  <c r="E26" i="36" s="1"/>
  <c r="E23" i="34"/>
  <c r="E83" i="34" s="1"/>
  <c r="E84" i="34" s="1"/>
  <c r="D83" i="34"/>
  <c r="D506" i="2" l="1"/>
  <c r="D524" i="2" s="1"/>
  <c r="H536" i="2" s="1"/>
  <c r="D541" i="2" s="1"/>
  <c r="D560" i="2" s="1"/>
  <c r="H583" i="2" s="1"/>
  <c r="D587" i="2" s="1"/>
  <c r="D609" i="2" s="1"/>
  <c r="H625" i="2" s="1"/>
  <c r="E118" i="36"/>
  <c r="D9" i="36"/>
  <c r="D26" i="36" s="1"/>
  <c r="D91" i="36" s="1"/>
  <c r="F104" i="36"/>
  <c r="F106" i="36" s="1"/>
  <c r="E96" i="34"/>
  <c r="E98" i="34" s="1"/>
  <c r="F96" i="34"/>
  <c r="F98" i="34" s="1"/>
  <c r="E104" i="36"/>
  <c r="E106" i="36" s="1"/>
  <c r="E105" i="34"/>
  <c r="E107" i="34" s="1"/>
  <c r="F107" i="34" s="1"/>
  <c r="E109" i="34"/>
  <c r="E111" i="34" s="1"/>
  <c r="E112" i="34" s="1"/>
  <c r="D84" i="34"/>
  <c r="D628" i="2" l="1"/>
  <c r="D647" i="2" s="1"/>
  <c r="H683" i="2" s="1"/>
  <c r="D10" i="37"/>
  <c r="D9" i="37" s="1"/>
  <c r="D33" i="37" s="1"/>
  <c r="F116" i="38"/>
  <c r="F118" i="38" s="1"/>
  <c r="E116" i="38"/>
  <c r="E118" i="38" s="1"/>
  <c r="F111" i="37"/>
  <c r="F113" i="37" s="1"/>
  <c r="E111" i="37"/>
  <c r="E113" i="37" s="1"/>
  <c r="E113" i="36"/>
  <c r="E115" i="36" s="1"/>
  <c r="F115" i="36" s="1"/>
  <c r="E117" i="36"/>
  <c r="E119" i="36" s="1"/>
  <c r="E120" i="36" s="1"/>
  <c r="D92" i="36"/>
  <c r="E89" i="36"/>
  <c r="E91" i="36" s="1"/>
  <c r="E92" i="36" s="1"/>
  <c r="D10" i="42" l="1"/>
  <c r="E10" i="42" s="1"/>
  <c r="D687" i="2"/>
  <c r="E152" i="41"/>
  <c r="F136" i="41"/>
  <c r="F138" i="41" s="1"/>
  <c r="E136" i="41"/>
  <c r="E138" i="41" s="1"/>
  <c r="F126" i="40"/>
  <c r="E126" i="40"/>
  <c r="E128" i="40" s="1"/>
  <c r="E150" i="40" s="1"/>
  <c r="E10" i="41"/>
  <c r="E9" i="41" s="1"/>
  <c r="E30" i="41" s="1"/>
  <c r="D9" i="41"/>
  <c r="D30" i="41" s="1"/>
  <c r="E10" i="37"/>
  <c r="E9" i="37" s="1"/>
  <c r="E33" i="37" s="1"/>
  <c r="E99" i="37" s="1"/>
  <c r="E100" i="37" s="1"/>
  <c r="D99" i="37"/>
  <c r="F111" i="36"/>
  <c r="D708" i="2" l="1"/>
  <c r="E120" i="37"/>
  <c r="E122" i="37" s="1"/>
  <c r="F122" i="37" s="1"/>
  <c r="E124" i="37"/>
  <c r="E126" i="37" s="1"/>
  <c r="E127" i="37" s="1"/>
  <c r="D100" i="37"/>
  <c r="E76" i="40"/>
  <c r="E75" i="40" s="1"/>
  <c r="D108" i="40"/>
  <c r="D110" i="40" s="1"/>
  <c r="H759" i="2" l="1"/>
  <c r="D764" i="2" s="1"/>
  <c r="D788" i="2" s="1"/>
  <c r="H822" i="2" s="1"/>
  <c r="E141" i="40"/>
  <c r="E108" i="40"/>
  <c r="E110" i="40" s="1"/>
  <c r="E111" i="40" s="1"/>
  <c r="F121" i="40"/>
  <c r="E139" i="40" s="1"/>
  <c r="F139" i="40" s="1"/>
  <c r="D111" i="40"/>
  <c r="D826" i="2" l="1"/>
  <c r="D10" i="44" s="1"/>
  <c r="E148" i="43"/>
  <c r="E135" i="43"/>
  <c r="E137" i="43" s="1"/>
  <c r="F135" i="43"/>
  <c r="F137" i="43" s="1"/>
  <c r="E152" i="42"/>
  <c r="E154" i="42" s="1"/>
  <c r="E167" i="42"/>
  <c r="D9" i="42"/>
  <c r="D30" i="42" s="1"/>
  <c r="F152" i="42"/>
  <c r="F154" i="42" s="1"/>
  <c r="E143" i="40"/>
  <c r="E144" i="40" s="1"/>
  <c r="F127" i="40"/>
  <c r="F128" i="40" s="1"/>
  <c r="F150" i="40" s="1"/>
  <c r="F123" i="40"/>
  <c r="F132" i="40" s="1"/>
  <c r="E133" i="40"/>
  <c r="D9" i="44" l="1"/>
  <c r="D32" i="44" s="1"/>
  <c r="D850" i="2"/>
  <c r="H884" i="2" s="1"/>
  <c r="D140" i="42"/>
  <c r="E9" i="42"/>
  <c r="E30" i="42" s="1"/>
  <c r="E140" i="42" s="1"/>
  <c r="E141" i="42" s="1"/>
  <c r="E132" i="40"/>
  <c r="E134" i="40" s="1"/>
  <c r="E135" i="40" s="1"/>
  <c r="F133" i="40"/>
  <c r="D887" i="2" l="1"/>
  <c r="D918" i="2" s="1"/>
  <c r="H956" i="2" s="1"/>
  <c r="D10" i="45"/>
  <c r="D9" i="45" s="1"/>
  <c r="E168" i="44"/>
  <c r="E153" i="44"/>
  <c r="E155" i="44" s="1"/>
  <c r="F153" i="44"/>
  <c r="F155" i="44" s="1"/>
  <c r="E10" i="44"/>
  <c r="E166" i="42"/>
  <c r="E168" i="42" s="1"/>
  <c r="E169" i="42" s="1"/>
  <c r="D141" i="42"/>
  <c r="G22" i="42"/>
  <c r="F134" i="40"/>
  <c r="F135" i="40" s="1"/>
  <c r="D959" i="2" l="1"/>
  <c r="D9" i="46" s="1"/>
  <c r="E163" i="45"/>
  <c r="E148" i="45"/>
  <c r="E149" i="45" s="1"/>
  <c r="E152" i="45" s="1"/>
  <c r="F148" i="45"/>
  <c r="F149" i="45" s="1"/>
  <c r="F152" i="45" s="1"/>
  <c r="E10" i="45"/>
  <c r="D33" i="45"/>
  <c r="E9" i="44"/>
  <c r="D135" i="44"/>
  <c r="E149" i="41"/>
  <c r="F149" i="41" s="1"/>
  <c r="D118" i="41"/>
  <c r="D120" i="41" s="1"/>
  <c r="D978" i="2" l="1"/>
  <c r="H999" i="2" s="1"/>
  <c r="E9" i="45"/>
  <c r="E33" i="45" s="1"/>
  <c r="D136" i="44"/>
  <c r="E167" i="44"/>
  <c r="E169" i="44" s="1"/>
  <c r="E170" i="44" s="1"/>
  <c r="E32" i="44"/>
  <c r="E135" i="44" s="1"/>
  <c r="E136" i="44" s="1"/>
  <c r="D121" i="41"/>
  <c r="E151" i="41"/>
  <c r="E153" i="41" s="1"/>
  <c r="E154" i="41" s="1"/>
  <c r="E145" i="41"/>
  <c r="E118" i="41"/>
  <c r="F145" i="41" s="1"/>
  <c r="D1003" i="2" l="1"/>
  <c r="D1027" i="2" s="1"/>
  <c r="H1078" i="2" s="1"/>
  <c r="D1083" i="2" s="1"/>
  <c r="D1107" i="2" s="1"/>
  <c r="H1108" i="2" s="1"/>
  <c r="E10" i="46"/>
  <c r="E9" i="46" s="1"/>
  <c r="D31" i="46"/>
  <c r="E137" i="46"/>
  <c r="E138" i="46" s="1"/>
  <c r="E141" i="46" s="1"/>
  <c r="F137" i="46"/>
  <c r="F138" i="46" s="1"/>
  <c r="F141" i="46" s="1"/>
  <c r="E120" i="41"/>
  <c r="E121" i="41" s="1"/>
  <c r="E129" i="48" l="1"/>
  <c r="E130" i="48" s="1"/>
  <c r="E133" i="48" s="1"/>
  <c r="F129" i="48"/>
  <c r="F130" i="48" s="1"/>
  <c r="F133" i="48" s="1"/>
  <c r="E155" i="47"/>
  <c r="E156" i="47" s="1"/>
  <c r="E157" i="47" s="1"/>
  <c r="F139" i="47"/>
  <c r="F140" i="47" s="1"/>
  <c r="F143" i="47" s="1"/>
  <c r="E31" i="46"/>
  <c r="E121" i="46" s="1"/>
  <c r="E122" i="46" s="1"/>
  <c r="E140" i="47"/>
  <c r="E143" i="47" s="1"/>
  <c r="D121" i="46"/>
  <c r="D122" i="43"/>
  <c r="E122" i="43"/>
  <c r="E123" i="43" s="1"/>
  <c r="D122" i="46" l="1"/>
  <c r="E151" i="46"/>
  <c r="E153" i="46" s="1"/>
  <c r="E154" i="46" s="1"/>
  <c r="D123" i="43"/>
  <c r="E147" i="43"/>
  <c r="E149" i="43" s="1"/>
  <c r="E150" i="43" s="1"/>
  <c r="D118" i="45"/>
  <c r="E123" i="45"/>
  <c r="E118" i="45" l="1"/>
  <c r="F143" i="45"/>
  <c r="F145" i="45" l="1"/>
  <c r="F156" i="45" s="1"/>
  <c r="E156" i="45" l="1"/>
  <c r="F157" i="45"/>
  <c r="F158" i="45" s="1"/>
  <c r="E157" i="45"/>
  <c r="E158" i="45" l="1"/>
  <c r="D131" i="45"/>
  <c r="D133" i="45" s="1"/>
  <c r="D134" i="45" l="1"/>
  <c r="E162" i="45"/>
  <c r="E164" i="45" s="1"/>
  <c r="E165" i="45" s="1"/>
  <c r="E159" i="45"/>
  <c r="E131" i="45"/>
  <c r="F159" i="45" s="1"/>
  <c r="E133" i="45" l="1"/>
  <c r="E134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H275" authorId="0" shapeId="0" xr:uid="{90BC792B-2003-4C2B-9022-168542C9600B}">
      <text>
        <r>
          <rPr>
            <b/>
            <sz val="9"/>
            <color indexed="81"/>
            <rFont val="Tahoma"/>
            <family val="2"/>
          </rPr>
          <t>Alfonso Fonseca:</t>
        </r>
        <r>
          <rPr>
            <sz val="9"/>
            <color indexed="81"/>
            <rFont val="Tahoma"/>
            <family val="2"/>
          </rPr>
          <t xml:space="preserve">
Se descuenta los QTQ 3 que se pagaron adicionales el día 15 de Octubre.</t>
        </r>
      </text>
    </comment>
    <comment ref="C779" authorId="0" shapeId="0" xr:uid="{0023B85E-C49B-4FFD-B31A-2B881111B2A7}">
      <text>
        <r>
          <rPr>
            <b/>
            <sz val="9"/>
            <color indexed="81"/>
            <rFont val="Tahoma"/>
            <family val="2"/>
          </rPr>
          <t>Alfonso Fonseca:</t>
        </r>
        <r>
          <rPr>
            <sz val="9"/>
            <color indexed="81"/>
            <rFont val="Tahoma"/>
            <family val="2"/>
          </rPr>
          <t xml:space="preserve">
Nota credito  DTE 32394003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36" authorId="0" shapeId="0" xr:uid="{C2C53F34-36BC-446E-8204-AF3AC4B93E69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8" authorId="0" shapeId="0" xr:uid="{5A47F16A-2C74-4994-9D0A-9BE4DAE012A9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38" authorId="0" shapeId="0" xr:uid="{1989DE02-446E-4B9E-BBA9-3A91BB2778D4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0" authorId="0" shapeId="0" xr:uid="{06DAD8CF-974F-40E9-80AA-0FEFE52D2056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4" authorId="0" shapeId="0" xr:uid="{54C6C295-B673-41AF-B097-64007CC96898}">
      <text>
        <r>
          <rPr>
            <b/>
            <sz val="9"/>
            <color indexed="81"/>
            <rFont val="Tahoma"/>
            <family val="2"/>
          </rPr>
          <t>Fecha real de pago 22/04/2024.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3" authorId="0" shapeId="0" xr:uid="{687CAACA-E5F8-4F36-BF3D-8ED8873DE07E}">
      <text>
        <r>
          <rPr>
            <b/>
            <sz val="9"/>
            <color indexed="81"/>
            <rFont val="Tahoma"/>
            <family val="2"/>
          </rPr>
          <t>Fecha real de pago 20/04/2024.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5" authorId="0" shapeId="0" xr:uid="{236982C9-8B7F-4729-842C-6E3B26B31106}">
      <text>
        <r>
          <rPr>
            <b/>
            <sz val="9"/>
            <color indexed="81"/>
            <rFont val="Tahoma"/>
            <family val="2"/>
          </rPr>
          <t>Fecha real de pago 20/04/2024.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4" authorId="0" shapeId="0" xr:uid="{F1463553-B9C8-429A-9ADA-948A73BE423C}">
      <text>
        <r>
          <rPr>
            <b/>
            <sz val="9"/>
            <color indexed="81"/>
            <rFont val="Tahoma"/>
            <family val="2"/>
          </rPr>
          <t>Fecha real de pago 20/04/2024.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7" authorId="0" shapeId="0" xr:uid="{668F3CF7-F09F-473A-AD9F-54AA1E270B55}">
      <text>
        <r>
          <rPr>
            <b/>
            <sz val="9"/>
            <color indexed="81"/>
            <rFont val="Tahoma"/>
            <family val="2"/>
          </rPr>
          <t>Fecha real de pago 20/04/2024.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7" authorId="0" shapeId="0" xr:uid="{58E78A4F-E8E8-4737-8C83-EA21E8DDF7C2}">
      <text>
        <r>
          <rPr>
            <b/>
            <sz val="9"/>
            <color indexed="81"/>
            <rFont val="Tahoma"/>
            <family val="2"/>
          </rPr>
          <t>Fecha real de pago 20/04/2024.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7" authorId="0" shapeId="0" xr:uid="{DB00BD5D-BA29-443C-B702-D5C214B184A0}">
      <text>
        <r>
          <rPr>
            <b/>
            <sz val="9"/>
            <color indexed="81"/>
            <rFont val="Tahoma"/>
            <family val="2"/>
          </rPr>
          <t>Fecha real de pago 20/04/2024.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6" authorId="0" shapeId="0" xr:uid="{7F724575-1C34-404D-964E-F32FAA04C8D1}">
      <text>
        <r>
          <rPr>
            <b/>
            <sz val="9"/>
            <color indexed="81"/>
            <rFont val="Tahoma"/>
            <family val="2"/>
          </rPr>
          <t>Fecha real de pago 20/04/2024.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26" authorId="0" shapeId="0" xr:uid="{08EABBE9-E231-4699-BE82-55508FBBE51A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BDC8BFBB-84AD-4B53-A025-3B60385C08B0}">
      <text>
        <r>
          <rPr>
            <b/>
            <sz val="9"/>
            <color indexed="81"/>
            <rFont val="Tahoma"/>
            <family val="2"/>
          </rPr>
          <t>Cifrra al 26 diciembre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6" authorId="0" shapeId="0" xr:uid="{FEB58559-FBFC-4A15-ABB0-21D4FB0B04CC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64BC0994-6762-427B-A73A-1FD7CCB81147}">
      <text>
        <r>
          <rPr>
            <b/>
            <sz val="9"/>
            <color indexed="81"/>
            <rFont val="Tahoma"/>
            <family val="2"/>
          </rPr>
          <t>Cifrra al 04 febrero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0" shapeId="0" xr:uid="{310684D0-29A2-423B-96BA-EAFD6DE3126F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AA206348-8B55-4915-BAF5-277AB2B3D78F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6" authorId="0" shapeId="0" xr:uid="{9CE5414D-8A64-40CB-B0F8-23CF2BA0D74C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F0BEB54E-F179-4F27-B76F-EE179396EF62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9" authorId="0" shapeId="0" xr:uid="{C80B5734-1665-47F1-883A-7D159F6222D9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D401BA3E-13B0-4685-BD12-A8581F1F3FC4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2" authorId="0" shapeId="0" xr:uid="{45B4B7F7-84E8-4ECC-85CE-C1D67983F547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8" authorId="0" shapeId="0" xr:uid="{6CE4BB29-F5F0-455A-844E-7DE5C607AF54}">
      <text>
        <r>
          <rPr>
            <b/>
            <sz val="9"/>
            <color indexed="81"/>
            <rFont val="Tahoma"/>
            <family val="2"/>
          </rPr>
          <t>Día que se realizo el FC 04/06/2025.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8904BDD6-2359-4F1C-98D2-0228814D7A01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" authorId="0" shapeId="0" xr:uid="{1D50A2B6-D4FE-4EAF-8CF7-62CCAFEBB9FC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6233CBA8-FB09-452C-9C94-30A8BD4050C0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9" authorId="0" shapeId="0" xr:uid="{EF46AE78-E6F7-456D-9420-2727264536B5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2BBBDDF2-9BA8-4E9F-AD00-26909A46912E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1" authorId="0" shapeId="0" xr:uid="{7CC61BEF-EF2B-47AE-9B19-CB42C119CB1E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4AF8ED8E-C456-4850-BA9E-0E3BB4A97CB5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 shapeId="0" xr:uid="{392AA335-9A8E-4F58-A3E8-3751A76CC365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6" authorId="0" shapeId="0" xr:uid="{3F4B37A3-B219-42B3-87D7-3FAB22D9D02D}">
      <text>
        <r>
          <rPr>
            <b/>
            <sz val="9"/>
            <color indexed="81"/>
            <rFont val="Tahoma"/>
            <family val="2"/>
          </rPr>
          <t>Cifrra a Marzo Banguat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 shapeId="0" xr:uid="{577DB341-8D6C-47A7-9C70-37A739BBA4A5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4" authorId="0" shapeId="0" xr:uid="{FC5DC243-1273-41F7-85F6-38DD5FAC2047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39" authorId="0" shapeId="0" xr:uid="{B8C4636E-FA1D-4A41-98C5-22037BAFBCD2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5" authorId="0" shapeId="0" xr:uid="{D86C67EE-E71E-429F-8B1D-95DD2C79103E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37" authorId="0" shapeId="0" xr:uid="{EF45F4B3-0BE4-41BC-B26F-B5EF0654F6ED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" authorId="0" shapeId="0" xr:uid="{FF3F6005-1290-4CD9-ACAB-7796E95F9CDB}">
      <text>
        <r>
          <rPr>
            <b/>
            <sz val="9"/>
            <color indexed="81"/>
            <rFont val="Tahoma"/>
            <family val="2"/>
          </rPr>
          <t>Alfonso Fonseca:</t>
        </r>
        <r>
          <rPr>
            <sz val="9"/>
            <color indexed="81"/>
            <rFont val="Tahoma"/>
            <family val="2"/>
          </rPr>
          <t xml:space="preserve">
tiene dos notas credito que se adjuntan al soporte de pago</t>
        </r>
      </text>
    </comment>
    <comment ref="D89" authorId="0" shapeId="0" xr:uid="{FDD97021-7539-4990-B9FB-C7233737FB32}">
      <text>
        <r>
          <rPr>
            <b/>
            <sz val="9"/>
            <color indexed="81"/>
            <rFont val="Tahoma"/>
            <family val="2"/>
          </rPr>
          <t>Se usa tasa de compra del Bibank del 12/02/2026 que corresponde a 7,46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6" authorId="0" shapeId="0" xr:uid="{69FAB418-9757-4E25-801E-0C5D24F37264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39" authorId="0" shapeId="0" xr:uid="{5C08F581-33F7-4BC6-A1ED-BAD6AC5E2726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7" authorId="0" shapeId="0" xr:uid="{AB1C5247-E4D2-4038-A1CA-BC6D5DEAE2AD}">
      <text>
        <r>
          <rPr>
            <sz val="9"/>
            <color indexed="81"/>
            <rFont val="Tahoma"/>
            <family val="2"/>
          </rPr>
          <t>Tiene NC DTE: 84C6206F-1129464884 de 200 quetzalez  por bono por referencia de cliente</t>
        </r>
        <r>
          <rPr>
            <b/>
            <sz val="9"/>
            <color indexed="81"/>
            <rFont val="Tahoma"/>
            <family val="2"/>
          </rPr>
          <t xml:space="preserve"> 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8" authorId="0" shapeId="0" xr:uid="{18D69307-1DBA-4748-A52E-476DE8BDC35C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D35" authorId="0" shapeId="0" xr:uid="{8E8BE045-5DD2-40D0-8B74-BC98C1AFF26D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3" authorId="0" shapeId="0" xr:uid="{381A93B4-C803-439F-8E29-93A0AAD17083}">
      <text>
        <r>
          <rPr>
            <sz val="9"/>
            <color indexed="81"/>
            <rFont val="Tahoma"/>
            <family val="2"/>
          </rPr>
          <t>Tiene NC DTE: 84C6206F-1129464884 de 200 quetzalez  por bono por referencia de cliente</t>
        </r>
        <r>
          <rPr>
            <b/>
            <sz val="9"/>
            <color indexed="81"/>
            <rFont val="Tahoma"/>
            <family val="2"/>
          </rPr>
          <t xml:space="preserve"> 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0" authorId="0" shapeId="0" xr:uid="{F09AF3BA-BDED-43CD-8B7E-34CE5A8FA473}">
      <text>
        <r>
          <rPr>
            <b/>
            <sz val="9"/>
            <color indexed="81"/>
            <rFont val="Tahoma"/>
            <family val="2"/>
          </rPr>
          <t>Fecha real de pago 20 de cada mes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Alfonso Fonseca</author>
  </authors>
  <commentList>
    <comment ref="F138" authorId="0" shapeId="0" xr:uid="{5AAF8301-5AE4-4C33-AC89-21DEB8B88F21}">
      <text>
        <r>
          <rPr>
            <b/>
            <sz val="9"/>
            <color indexed="81"/>
            <rFont val="Tahoma"/>
            <family val="2"/>
          </rPr>
          <t>Tiene NC por valor de USD 59,52 emitida el día 30 de julio quedando un valor a pagar de USD 210.93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4" authorId="0" shapeId="0" xr:uid="{745A6D99-5DC1-45AB-BBAE-80F5F3D94BE9}">
      <text>
        <r>
          <rPr>
            <b/>
            <sz val="9"/>
            <color indexed="81"/>
            <rFont val="Tahoma"/>
            <family val="2"/>
          </rPr>
          <t>Alfonso Fonseca:</t>
        </r>
        <r>
          <rPr>
            <sz val="9"/>
            <color indexed="81"/>
            <rFont val="Tahoma"/>
            <family val="2"/>
          </rPr>
          <t xml:space="preserve">
El valor total facturado es de USD 23,414,11 pero se descuenta USD 7,849,27 por mayor valor enviado el pasado mes de noviembre por el pago doble de Fair labor. </t>
        </r>
      </text>
    </comment>
  </commentList>
</comments>
</file>

<file path=xl/sharedStrings.xml><?xml version="1.0" encoding="utf-8"?>
<sst xmlns="http://schemas.openxmlformats.org/spreadsheetml/2006/main" count="7418" uniqueCount="1739">
  <si>
    <t>No.</t>
  </si>
  <si>
    <t>Tipo de Gasto</t>
  </si>
  <si>
    <t>Fecha</t>
  </si>
  <si>
    <t>Gastos</t>
  </si>
  <si>
    <t>Ingreso</t>
  </si>
  <si>
    <t>Saldo</t>
  </si>
  <si>
    <t>Transferencia recibida $.  371.65</t>
  </si>
  <si>
    <t>Gastos Tramites legales SAT, IGSS</t>
  </si>
  <si>
    <t>Compra de Computadora Macbook 14</t>
  </si>
  <si>
    <t>Apertura de cuenta y Gastos Administrativos</t>
  </si>
  <si>
    <t>Transferencia recibida $. 150.00</t>
  </si>
  <si>
    <t>Devolucion apertura de cuenta y movilizacion</t>
  </si>
  <si>
    <t>Transferencia recibida</t>
  </si>
  <si>
    <t>Pago de salario mes de marzo 2023</t>
  </si>
  <si>
    <t>Anticipo honorarios febrero a marzo 2023</t>
  </si>
  <si>
    <t>TOTAL</t>
  </si>
  <si>
    <t>RESUMEN INGRESOS Y GASTOS</t>
  </si>
  <si>
    <t>SOLUTIONS &amp; PAYROLL, S. A.</t>
  </si>
  <si>
    <t>SUCURSAL GUATEMALA</t>
  </si>
  <si>
    <t>No</t>
  </si>
  <si>
    <t>DESCRIPCION</t>
  </si>
  <si>
    <t>INGRESOS</t>
  </si>
  <si>
    <t>GASTOS</t>
  </si>
  <si>
    <t>TRANSFERENCIAS RECIBIDAS A LA CUENTA</t>
  </si>
  <si>
    <t>SALDO INCIAL</t>
  </si>
  <si>
    <t>TRANSFERENCIAS RECIBIDAS ENERO 2024</t>
  </si>
  <si>
    <t xml:space="preserve">GASTOS EFECTUADOS </t>
  </si>
  <si>
    <t>EGRESOS MES ENERO 2024</t>
  </si>
  <si>
    <t>SUBTOTAL</t>
  </si>
  <si>
    <t>SALDO SEGÚN LIBROS</t>
  </si>
  <si>
    <t>TOTAL FINAL</t>
  </si>
  <si>
    <t>LIBRO DE CAJA</t>
  </si>
  <si>
    <t>SUCURSAL GUATEMALA USD</t>
  </si>
  <si>
    <t>EGRESOS</t>
  </si>
  <si>
    <t xml:space="preserve">FECHA </t>
  </si>
  <si>
    <t>CONCEPTO</t>
  </si>
  <si>
    <t>FECHA</t>
  </si>
  <si>
    <t xml:space="preserve">SALDO INICIAL </t>
  </si>
  <si>
    <t>Emisión estados de cuenta</t>
  </si>
  <si>
    <t>Marta Xicay -GFC-202401</t>
  </si>
  <si>
    <t>Ivan Ch-Jerry G-Ronny Q-Energyzer 202401</t>
  </si>
  <si>
    <t>pago ISR  asalariados 2023</t>
  </si>
  <si>
    <t>Pago planilla igss dic 2023</t>
  </si>
  <si>
    <t>Pago salario marta xicay en 2024</t>
  </si>
  <si>
    <t>Compra $. 1,039.74 traslado cta dolares</t>
  </si>
  <si>
    <t>Pago seguro mes enero y febrero 2024</t>
  </si>
  <si>
    <t>TOTAL INGRESOS ENERO</t>
  </si>
  <si>
    <t>TOTAL EGRESOS ENERO</t>
  </si>
  <si>
    <t xml:space="preserve">SALDO DE CAJA ENERO </t>
  </si>
  <si>
    <t>Saldo Inicial</t>
  </si>
  <si>
    <t>Jerry Garcia Carrillo Enero 2024</t>
  </si>
  <si>
    <t>ACH City Bank Penny Test (SG)</t>
  </si>
  <si>
    <t>Ronny Eduardo Quan Lam Enero 24</t>
  </si>
  <si>
    <t>Ivan Eduardo Chavez Morales En 2024</t>
  </si>
  <si>
    <t>Reembolso Ronny Quan</t>
  </si>
  <si>
    <t>Declaraguate ISR Asalariados Enero 2024</t>
  </si>
  <si>
    <t>Traslado cuenta dolares pago PANAMERICAN LIFE</t>
  </si>
  <si>
    <t>Pago Seguro salud Marzo 2024</t>
  </si>
  <si>
    <t>Pago Salario Marta Xicay Feb 2024</t>
  </si>
  <si>
    <t>TOTAL INGRESOS FEBRERO</t>
  </si>
  <si>
    <t xml:space="preserve">TOTAL EGRESOS FEBRERO </t>
  </si>
  <si>
    <t>SALDO DE CAJA FEBRERO</t>
  </si>
  <si>
    <t>Jerry Garcia Carrillo Febrero 2024</t>
  </si>
  <si>
    <t>Ronny Eduardo Quan Lam Febrero 24</t>
  </si>
  <si>
    <t>Client:Global For Children-Marta Xicay 202402-Termination</t>
  </si>
  <si>
    <t>Ivan Eduardo Chavez Morales febrero 2024</t>
  </si>
  <si>
    <t>Reembolso Gtos Ivan chavez enero 2024</t>
  </si>
  <si>
    <t>Servicios honorarios Juan Santiago enero</t>
  </si>
  <si>
    <t xml:space="preserve">Reembolso Ronny Quan Marzo </t>
  </si>
  <si>
    <t>Traslado cuenta dolares pago Reembolso Ronny Quan</t>
  </si>
  <si>
    <t>Declaraguate ISR Asalariados Febrero 2024</t>
  </si>
  <si>
    <t xml:space="preserve">TOTAL INGRESOS MARZO </t>
  </si>
  <si>
    <t xml:space="preserve">TOTAL EGRESOS MARZO </t>
  </si>
  <si>
    <t xml:space="preserve">SALDO DE CAJA MARZO </t>
  </si>
  <si>
    <t>Pago Póliza Salud</t>
  </si>
  <si>
    <t>transf fondos pagos Póliza</t>
  </si>
  <si>
    <t xml:space="preserve">Pago Reembolso Ronny Quan </t>
  </si>
  <si>
    <t>Transf fondos Pago Reembol</t>
  </si>
  <si>
    <t>Transf fondos Pago Póliza Salud</t>
  </si>
  <si>
    <t>Pago reembolso Ronny Quan USD</t>
  </si>
  <si>
    <t xml:space="preserve">Transf fondos Pago Reembol </t>
  </si>
  <si>
    <t>Factura</t>
  </si>
  <si>
    <t>Tasa</t>
  </si>
  <si>
    <t>USD</t>
  </si>
  <si>
    <t>Status</t>
  </si>
  <si>
    <t>Diferencia</t>
  </si>
  <si>
    <t>Client:Global For Children-Marta Xicay 202401</t>
  </si>
  <si>
    <t>PAGADO</t>
  </si>
  <si>
    <t>Client:Energyzer-Ivan Chavez-Jerry García-Ronny Quan 202401</t>
  </si>
  <si>
    <t>Client:Energyzer-Ivan Chavez-Jerry García-Ronny Quan 202402</t>
  </si>
  <si>
    <t>Client:Global For Children-Marta Xicay 202402</t>
  </si>
  <si>
    <t>SIN PAGAR</t>
  </si>
  <si>
    <t>INGRESO</t>
  </si>
  <si>
    <t>MES</t>
  </si>
  <si>
    <t>CLIENTE</t>
  </si>
  <si>
    <t>FACTURA</t>
  </si>
  <si>
    <t>FEE</t>
  </si>
  <si>
    <t>Enero</t>
  </si>
  <si>
    <t>Energyzer</t>
  </si>
  <si>
    <t>Global for children</t>
  </si>
  <si>
    <t>Febrero</t>
  </si>
  <si>
    <t>Marzo</t>
  </si>
  <si>
    <t>Opportunity</t>
  </si>
  <si>
    <t>Kairos</t>
  </si>
  <si>
    <t>Total ingresos operacionales</t>
  </si>
  <si>
    <t>COSTOS</t>
  </si>
  <si>
    <t>PROVEEDOR</t>
  </si>
  <si>
    <t>VALOR</t>
  </si>
  <si>
    <t>S&amp;P</t>
  </si>
  <si>
    <t>JUAN Y ARNOLDO</t>
  </si>
  <si>
    <t>PENDIENTE</t>
  </si>
  <si>
    <t>Representación legal</t>
  </si>
  <si>
    <t>Total egresos operacionales</t>
  </si>
  <si>
    <t>Liquidación Marta Xicay</t>
  </si>
  <si>
    <t>Client:Energyzer-Ivan Chavez-Jerry García-Ronny Quan 202403</t>
  </si>
  <si>
    <t>Client: Opportunity-Edlin Ivette Poitan   202403</t>
  </si>
  <si>
    <t>Client:Kairos-Ivan Chavez-Ruth Carolina Vasquez 202403</t>
  </si>
  <si>
    <t xml:space="preserve">Cobro emisión estado cuenta </t>
  </si>
  <si>
    <t>ISR Contribuyentes  no residentes</t>
  </si>
  <si>
    <t>Compra celular personal Energyzer</t>
  </si>
  <si>
    <t>Póliza 567000000001073 | Ivan Estuardo Chavez Morales</t>
  </si>
  <si>
    <t>Póliza 567000000001074 | Rony Eduardo Quan Lam</t>
  </si>
  <si>
    <t>Client: Czarnikow- Sthepanie Rodriguez Lopez 202403</t>
  </si>
  <si>
    <t>Jerry Garcia Carrillo Marzo 2024</t>
  </si>
  <si>
    <t>Ronny Eduardo Quan Lam Marzo 24</t>
  </si>
  <si>
    <t>Ivan Eduardo Chavez Morales Marzo 2024</t>
  </si>
  <si>
    <t>Edlin Ivette Ramos Poitan</t>
  </si>
  <si>
    <t>Ruth Carolina Vasquez Avelar</t>
  </si>
  <si>
    <t>TOTAL INGRESOS ABRIL</t>
  </si>
  <si>
    <t>TOTAL EGRESOS ABRIL</t>
  </si>
  <si>
    <t>SALDO DE CAJA ABRIL</t>
  </si>
  <si>
    <t>Transferencia de fondos para pago reembolsos Ronny Quan e Ivan Chavez mes marzo</t>
  </si>
  <si>
    <t>Pago reembolso Iván Estuardo Chávez Morales</t>
  </si>
  <si>
    <t>BANCOS</t>
  </si>
  <si>
    <t>CLIENTES</t>
  </si>
  <si>
    <t>Cancelado</t>
  </si>
  <si>
    <t>TOTAL INGRESOS</t>
  </si>
  <si>
    <t xml:space="preserve">CUENTAS X PAGAR MES </t>
  </si>
  <si>
    <t>ABRIL</t>
  </si>
  <si>
    <t>Fecha de Elaboración:</t>
  </si>
  <si>
    <t>Fecha vencimiento</t>
  </si>
  <si>
    <t>Estado</t>
  </si>
  <si>
    <t>KPI</t>
  </si>
  <si>
    <t>Sin Pagar</t>
  </si>
  <si>
    <t xml:space="preserve">IMPUESTOS </t>
  </si>
  <si>
    <t>S/N</t>
  </si>
  <si>
    <t>PÓLIZAS Y SEGUROS</t>
  </si>
  <si>
    <t xml:space="preserve">TIQUETES AÉREOS , HOTELES </t>
  </si>
  <si>
    <t xml:space="preserve">COSTOS FINANCIEROS </t>
  </si>
  <si>
    <t>IMPREVISTO</t>
  </si>
  <si>
    <t>TOTAL EGRESOS</t>
  </si>
  <si>
    <t>SALDO</t>
  </si>
  <si>
    <t xml:space="preserve">% </t>
  </si>
  <si>
    <t>Bancos QTQ</t>
  </si>
  <si>
    <t>Bancos  USD</t>
  </si>
  <si>
    <t>SEGURIDAD IGSS</t>
  </si>
  <si>
    <t>Cobro S&amp;P a sucursal Guatemala -Enero</t>
  </si>
  <si>
    <t>Cobro S&amp;P a sucursal Guatemala -febrero</t>
  </si>
  <si>
    <t>Cobro S&amp;P a sucursal Guatemala -Marzo</t>
  </si>
  <si>
    <t xml:space="preserve">Servicios profesionales Arnoldo prestados en Enero </t>
  </si>
  <si>
    <t>Servicios profesionales Arnoldo prestados en Febrero</t>
  </si>
  <si>
    <t>Servicios profesionales Arnoldo prestados en Marzo</t>
  </si>
  <si>
    <t>COBROS ENTRE SUCURSALES</t>
  </si>
  <si>
    <t xml:space="preserve">SERVICIOS PROFESIONALES -REPRESENTACIÓN LEGAL </t>
  </si>
  <si>
    <t xml:space="preserve">NÓMINAS </t>
  </si>
  <si>
    <t>Edlin Ivette Ramos Poitan-Opportunnity</t>
  </si>
  <si>
    <t>Ruth Carolina Vasquez Avelar de Rabanal-Kairos</t>
  </si>
  <si>
    <t xml:space="preserve">Tiquetes  Ricardo y Eduard Visita Sucursal Guatemala </t>
  </si>
  <si>
    <t>VALOR QTQ</t>
  </si>
  <si>
    <t>VALOR USD</t>
  </si>
  <si>
    <t>Gastos de movilización y trámites varios Juan  mes Marzo</t>
  </si>
  <si>
    <t>Servicios profesionales Juan-Servicios prestados-Marzo</t>
  </si>
  <si>
    <t xml:space="preserve">Servicios profesionales Juan-Servicios prestados- mes Febrero </t>
  </si>
  <si>
    <t xml:space="preserve">REEMBOLSOS GASTOS </t>
  </si>
  <si>
    <t>CELULARES</t>
  </si>
  <si>
    <t>Mensualidad celulares empleados</t>
  </si>
  <si>
    <t>Stephanie Rodriguez Lopez-RF-Czarnikow-CC002</t>
  </si>
  <si>
    <t>Ivan Estuardo Chávez Morales-Energyzer-CC003</t>
  </si>
  <si>
    <t>Jerry García-Energyzer-CC003</t>
  </si>
  <si>
    <t>Ronny Eduardo Quan Lam-Energyzer-CC003</t>
  </si>
  <si>
    <t>FESTIVOS GUATEMALA</t>
  </si>
  <si>
    <t>Tasa de cambio:</t>
  </si>
  <si>
    <t xml:space="preserve">Hoteles Ricardo y Eduard Visita Sucursal Guatemala </t>
  </si>
  <si>
    <t xml:space="preserve">Servicio cambios de socio </t>
  </si>
  <si>
    <t>Fecha Inicial</t>
  </si>
  <si>
    <t>Fecha Final</t>
  </si>
  <si>
    <t>Valor VALOR USD</t>
  </si>
  <si>
    <t xml:space="preserve">TOTAL EGRESOS </t>
  </si>
  <si>
    <t xml:space="preserve">Bancos </t>
  </si>
  <si>
    <t xml:space="preserve">Total Egresos </t>
  </si>
  <si>
    <t>Validación</t>
  </si>
  <si>
    <t>Valor VALOR QTQ</t>
  </si>
  <si>
    <t>Gastos y costos Periodo 15 al 21 abril Planilla y declaraguate</t>
  </si>
  <si>
    <t>Client:Kairos-Ivan Chavez-Ruth Carolina Vasquez-TC 7.55</t>
  </si>
  <si>
    <t>Client:Energyzer-Ivan Chavez-Jerry García-Ronny Quan-TC 7.55</t>
  </si>
  <si>
    <t>Client: Opportunity-Edlin Ivette Poitan-TC 7.55</t>
  </si>
  <si>
    <t>Client: Czarnikow- Sthepanie Rodriguez Lopez-TC 7.55</t>
  </si>
  <si>
    <t>Client:Energyzer-Ivan Chavez-Jerry García-Ronny Quan 202404</t>
  </si>
  <si>
    <t>Client:KairosRuth Carolina Vasquez 202404</t>
  </si>
  <si>
    <t>Pago planilla IGSS Mes enero  2024</t>
  </si>
  <si>
    <t>Pago planilla IGSS  Febrero</t>
  </si>
  <si>
    <t>Pago planilla IGSS Mes febrero  2024 y mora</t>
  </si>
  <si>
    <t>81% Gestión de representación legal 2024­-2027</t>
  </si>
  <si>
    <t>Pago arnoldo Gestión de representación legal 2024­-2027</t>
  </si>
  <si>
    <t>Pago Servicios profesionales Juan-Servicios prestados- Feb Marzo</t>
  </si>
  <si>
    <t>Declaraguate ISR Asalariados Marzo 2024</t>
  </si>
  <si>
    <t>Declaraguate ISR Marzo</t>
  </si>
  <si>
    <t>ISR en concepto de la factura 4700</t>
  </si>
  <si>
    <t>Client: Opportunity-Edlin Ivette Poitan   202404</t>
  </si>
  <si>
    <t>Pago saldo factura Juan y envios</t>
  </si>
  <si>
    <t>Pago planilla IGSS Mes marzo 2024</t>
  </si>
  <si>
    <t>Impuesto de Solidaridad (ISO)</t>
  </si>
  <si>
    <t>Poliza de vida Rony Eduardo Quan Lam-USD-Póliza Vida</t>
  </si>
  <si>
    <t>Poliza de vida Jerry García Carillo  -USD-Póliza Vida</t>
  </si>
  <si>
    <t>Póliza de vida Ivan Estuardo Chavez Morales-USD-Póliza Vida</t>
  </si>
  <si>
    <t>Cobro S&amp;P a sucursal Guatemala -Abril</t>
  </si>
  <si>
    <t>Polizas salud Abril Ivan Estuardo Chavez-Ronny Quan</t>
  </si>
  <si>
    <t>Pago prima inicial Póliza Salud Guatemala QTZ Abril-Jerry García</t>
  </si>
  <si>
    <t>Traslado cuenta dolares pago Póliza vida abril</t>
  </si>
  <si>
    <t xml:space="preserve">TOTAL EGRESOS ABRIL </t>
  </si>
  <si>
    <t>Transf fondos Pago Póliza vida abril</t>
  </si>
  <si>
    <t>Pago Póliza Vida</t>
  </si>
  <si>
    <t>Pago planilla IGSS  Marzo</t>
  </si>
  <si>
    <t>Envío documentos Juan</t>
  </si>
  <si>
    <t>Declaraguate Impuesto de Solidaridad (ISO)Ene-Marzo</t>
  </si>
  <si>
    <t>Edlin Ivette Ramos Poitan Abril 2024</t>
  </si>
  <si>
    <t>Ruth Carolina Vasquez Avelar Abril 2024</t>
  </si>
  <si>
    <t>Jerry Garcia Carrillo Abril 2024</t>
  </si>
  <si>
    <t>Ronny Eduardo Quan Lam Abril 24</t>
  </si>
  <si>
    <t>Ivan Eduardo Chavez Morales Abril 2024</t>
  </si>
  <si>
    <t>Stephanie Rodriguez Lopez Marzo 2024</t>
  </si>
  <si>
    <t>Pago reembolso Ivan Estuardo Chavez Energizer</t>
  </si>
  <si>
    <t>Pago reembolso Jerry García Energizer</t>
  </si>
  <si>
    <t>Pago reembolso Ronny Eduardo Quan Energizer</t>
  </si>
  <si>
    <t>Iván Estuardo Chávez Morales-Energyzer-CC003</t>
  </si>
  <si>
    <t>Ronny Quan. Energyzer-CC003</t>
  </si>
  <si>
    <t>Declaraguate ISR Abril</t>
  </si>
  <si>
    <t>Servicios profesionales Juan-Servicios prestados-Abril</t>
  </si>
  <si>
    <t xml:space="preserve">Servicios profesionales Arnoldo prestados en Abril </t>
  </si>
  <si>
    <t>Valores previstos</t>
  </si>
  <si>
    <t>TOTAL INGRESOS MAYO</t>
  </si>
  <si>
    <t>Pago Servicios profesionales Juan-Servicios prestados- Abril</t>
  </si>
  <si>
    <t xml:space="preserve">Pago planilla IGSS  Abril </t>
  </si>
  <si>
    <t xml:space="preserve">790
</t>
  </si>
  <si>
    <t>Servicios profesionales Arnoldo prestados en Mayo</t>
  </si>
  <si>
    <t>Pago planilla IGSS Mes Abril</t>
  </si>
  <si>
    <t>Declaraguate ISR Asalariados Abril 2024</t>
  </si>
  <si>
    <t>ISR en concepto de la factura 4776</t>
  </si>
  <si>
    <t>Client: Czarnikow- Sthepanie Rodriguez Lopez 202405</t>
  </si>
  <si>
    <t>Client: Czarnikow- Sthepanie Rodriguez Lopez 202404</t>
  </si>
  <si>
    <t>Client:Energyzer-Ivan Chavez-Jerry García-Ronny Quan 202405</t>
  </si>
  <si>
    <t>Client:Kairos Ruth Carolina Vasquez 202405</t>
  </si>
  <si>
    <t>Client:Kairos Ruth Carolina Vasquez 202404</t>
  </si>
  <si>
    <t>Client: Opportunity-Edlin Ivette Poitan   202405</t>
  </si>
  <si>
    <t>Client:KairosRuth Carolina Vasquez y Opportunity-Edlin Ivette Poitan 202405</t>
  </si>
  <si>
    <t>Cobro S&amp;P a sucursal Guatemala -Mayo</t>
  </si>
  <si>
    <t>Pago Servicios profesionales Arnoldo perez-Servicios prestados-Enero a abril</t>
  </si>
  <si>
    <t>Póliza de vida Ivan Estuardo Chavez Morales-QTZ-GM</t>
  </si>
  <si>
    <t>Poliza de vida Rony Eduardo Quan Lam-QTQ-GM</t>
  </si>
  <si>
    <t>Poliza de vida Jerry García Carillo  -QTQ-GM</t>
  </si>
  <si>
    <t>Jerry Garcia Carrillo Mayo 2024</t>
  </si>
  <si>
    <t>Ronny Eduardo Quan Lam Mayo 24</t>
  </si>
  <si>
    <t>Ivan Eduardo Chavez Morales Mayo 2024</t>
  </si>
  <si>
    <t>Edlin Ivette Ramos Poitan Mayo 2024</t>
  </si>
  <si>
    <t>Stephanie Rodriguez Lopez abril 2024</t>
  </si>
  <si>
    <t>Stephanie Rodriguez Lopez mayo 2024</t>
  </si>
  <si>
    <t>Traslado cuenta dolares pago Póliza vida Mayo</t>
  </si>
  <si>
    <t>Transf fondos Pago Póliza vida MAYO</t>
  </si>
  <si>
    <t>TOTAL EGRESOS MAYO</t>
  </si>
  <si>
    <t>SALDO DE CAJA MAYO</t>
  </si>
  <si>
    <t>Gastos de movilización y trámites varios Juan</t>
  </si>
  <si>
    <t>Declaraguate IVA mes de abril</t>
  </si>
  <si>
    <r>
      <t>Póliza de vida Ivan Estuardo Chavez Morales-</t>
    </r>
    <r>
      <rPr>
        <b/>
        <sz val="11"/>
        <color rgb="FF0000CC"/>
        <rFont val="Calibri"/>
        <family val="2"/>
        <scheme val="minor"/>
      </rPr>
      <t>USD</t>
    </r>
    <r>
      <rPr>
        <sz val="11"/>
        <rFont val="Calibri"/>
        <family val="2"/>
        <scheme val="minor"/>
      </rPr>
      <t>-Póliza Vida</t>
    </r>
  </si>
  <si>
    <r>
      <t>Poliza de vida Rony Eduardo Quan Lam-</t>
    </r>
    <r>
      <rPr>
        <b/>
        <sz val="11"/>
        <color rgb="FF0000CC"/>
        <rFont val="Calibri"/>
        <family val="2"/>
        <scheme val="minor"/>
      </rPr>
      <t>USD</t>
    </r>
    <r>
      <rPr>
        <sz val="11"/>
        <rFont val="Calibri"/>
        <family val="2"/>
        <scheme val="minor"/>
      </rPr>
      <t>-Póliza Vida</t>
    </r>
  </si>
  <si>
    <r>
      <t>Poliza de vida Jerry García Carillo  -</t>
    </r>
    <r>
      <rPr>
        <b/>
        <sz val="11"/>
        <color rgb="FF0000CC"/>
        <rFont val="Calibri"/>
        <family val="2"/>
        <scheme val="minor"/>
      </rPr>
      <t>USD</t>
    </r>
    <r>
      <rPr>
        <sz val="11"/>
        <rFont val="Calibri"/>
        <family val="2"/>
        <scheme val="minor"/>
      </rPr>
      <t>-Póliza Vida</t>
    </r>
  </si>
  <si>
    <r>
      <t>Poliza de vida Jerry García Carillo  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rFont val="Calibri"/>
        <family val="2"/>
        <scheme val="minor"/>
      </rPr>
      <t xml:space="preserve">-GM-Claudia Marisol Mayorga Ayala </t>
    </r>
  </si>
  <si>
    <r>
      <t>Poliza de vida Rony Eduardo Quan Lam-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rFont val="Calibri"/>
        <family val="2"/>
        <scheme val="minor"/>
      </rPr>
      <t>-GM</t>
    </r>
  </si>
  <si>
    <r>
      <t>Póliza de vida Ivan Estuardo Chavez Morales-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</t>
    </r>
  </si>
  <si>
    <r>
      <t>Ronny Quan. Energyzer-CC003</t>
    </r>
    <r>
      <rPr>
        <b/>
        <sz val="11"/>
        <color rgb="FF0000CC"/>
        <rFont val="Calibri"/>
        <family val="2"/>
        <scheme val="minor"/>
      </rPr>
      <t>-USD</t>
    </r>
  </si>
  <si>
    <r>
      <t>Jerry García-Energyzer-CC003-</t>
    </r>
    <r>
      <rPr>
        <b/>
        <sz val="11"/>
        <color rgb="FF0000CC"/>
        <rFont val="Calibri"/>
        <family val="2"/>
        <scheme val="minor"/>
      </rPr>
      <t>USD</t>
    </r>
  </si>
  <si>
    <r>
      <t>Ronny Quan. Energyzer-CC003</t>
    </r>
    <r>
      <rPr>
        <b/>
        <sz val="11"/>
        <color rgb="FF0000CC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QTQ</t>
    </r>
  </si>
  <si>
    <r>
      <t>Jerry García-Energyzer-CC003-</t>
    </r>
    <r>
      <rPr>
        <b/>
        <sz val="11"/>
        <color rgb="FFFF0000"/>
        <rFont val="Calibri"/>
        <family val="2"/>
        <scheme val="minor"/>
      </rPr>
      <t>QTQ</t>
    </r>
  </si>
  <si>
    <r>
      <t>Iván Estuardo Chávez Morales-Energyzer-CC003-</t>
    </r>
    <r>
      <rPr>
        <b/>
        <sz val="11"/>
        <color rgb="FFFF0000"/>
        <rFont val="Calibri"/>
        <family val="2"/>
        <scheme val="minor"/>
      </rPr>
      <t>QTQ</t>
    </r>
  </si>
  <si>
    <t xml:space="preserve">Polizas GM Mayo Jerry Garcia </t>
  </si>
  <si>
    <t>Polizas GM Mayo Ivan Estuardo Chavez-Ronny Quan</t>
  </si>
  <si>
    <t>Transf fondos Pago reembolsos mayo</t>
  </si>
  <si>
    <t>Traslado cuenta dolares pago reembolsos mayo</t>
  </si>
  <si>
    <t>Declaraguate ISR Mayo facturación Col</t>
  </si>
  <si>
    <t>Servicios profesionales Juan-Servicios prestados-Mayo</t>
  </si>
  <si>
    <r>
      <t>Cobro S&amp;P a sucursal Guatemala -Junio-</t>
    </r>
    <r>
      <rPr>
        <b/>
        <sz val="11"/>
        <color rgb="FF00B050"/>
        <rFont val="Calibri"/>
        <family val="2"/>
        <scheme val="minor"/>
      </rPr>
      <t>Previsto</t>
    </r>
  </si>
  <si>
    <t>TOTAL INGRESOS JUNIO</t>
  </si>
  <si>
    <t>Devolución de Dinero Ivan Estuardo Chavez</t>
  </si>
  <si>
    <t>TOTAL EGRESOS JUNIO</t>
  </si>
  <si>
    <t>SALDO DE CAJA JUNIO</t>
  </si>
  <si>
    <t>Transf  pagos facturas enero a may S&amp;P Col</t>
  </si>
  <si>
    <t>Pago Servicios profesionales Juan-Servicios prestados- Mayo</t>
  </si>
  <si>
    <t>Transf a USD reembolsos junio</t>
  </si>
  <si>
    <t>Gastos de envío</t>
  </si>
  <si>
    <t>Pagado</t>
  </si>
  <si>
    <t>Client:  NotableGrowth, Inc-TC 7.55</t>
  </si>
  <si>
    <t>Client: Czarnikow- Sthepanie Rodriguez Lopez 202406</t>
  </si>
  <si>
    <t>Client:Energyzer-Ivan Chavez-Jerry García-Ronny Quan 202406</t>
  </si>
  <si>
    <t>Client:Kairos Ruth Carolina Vasquez 202406</t>
  </si>
  <si>
    <t>Client: Opportunity-Edlin Ivette Poitan   202406</t>
  </si>
  <si>
    <t>Client: NotableGrowth-Miriam Lucia Morfin Gonzalez   202406</t>
  </si>
  <si>
    <t>Client:Kairos Ruth Carolina Vasquez y Opportunity-Edlin Ivette Poitan 202406</t>
  </si>
  <si>
    <t>Client: Client: Opportunity-Edlin Ivette Poitan   202406</t>
  </si>
  <si>
    <t>Envío de divisas a Bancolombioa panama pago facturas S&amp;P Col-Primer Envío</t>
  </si>
  <si>
    <t>Envío de divisas a Bancolombioa panama pago facturas S&amp;P Col-Segundo Envío</t>
  </si>
  <si>
    <t>Transf a cta Panamá  USD pago factura Mayo S&amp;P Col</t>
  </si>
  <si>
    <t>Transf a cta Panamá  USD pagos facturas enero a abril S&amp;P Col</t>
  </si>
  <si>
    <t>Pago planilla IGSS Mes Mayo</t>
  </si>
  <si>
    <t>Pago planilla IGSS  Mayo</t>
  </si>
  <si>
    <t>Declaraguate ISR Mayo</t>
  </si>
  <si>
    <t>ISR en concepto de la factura 4838</t>
  </si>
  <si>
    <t>Miriam Lucia Morfin Gonzalez RF-Czarnikow-CC002</t>
  </si>
  <si>
    <t>Gastos y costos Periodo 24 al 30 de Junio</t>
  </si>
  <si>
    <t>Bancos 26/06/2024</t>
  </si>
  <si>
    <t>Miriam Lucia Morfin Gonzalez Junio 2024</t>
  </si>
  <si>
    <t>Jerry Garcia Carrillo Junio 2024</t>
  </si>
  <si>
    <t>Ronny Eduardo Quan Lam Junio 24</t>
  </si>
  <si>
    <t>Ivan Estuardo Chavez Morales Junio 2024</t>
  </si>
  <si>
    <t>Edlin Ivette Ramos Poitan Junio 2024</t>
  </si>
  <si>
    <t>Ruth Carolina Vasquez Avelar Junio 2024</t>
  </si>
  <si>
    <t>Stephanie Rodriguez Lopez Junio 2024</t>
  </si>
  <si>
    <t>Póliza de vida Ivan Estuardo Chavez Morales</t>
  </si>
  <si>
    <t>Poliza de vida Rony Eduardo Quan Lam</t>
  </si>
  <si>
    <t>Poliza de vida Jerry García Carillo</t>
  </si>
  <si>
    <t xml:space="preserve">Client: Czarnikow- Sthepanie Rodriguez Lopez 202406
</t>
  </si>
  <si>
    <t>TOTAL INGRESOS JULIIO</t>
  </si>
  <si>
    <t>TOTAL EGRESOS JULIO</t>
  </si>
  <si>
    <t>SALDO DE CAJA JULIO</t>
  </si>
  <si>
    <t>1/07024</t>
  </si>
  <si>
    <t>Pago planilla IGSS  Junio</t>
  </si>
  <si>
    <t>Declaraguate ISR Junio</t>
  </si>
  <si>
    <t>Declaraguate ISR Julio facturación Col</t>
  </si>
  <si>
    <t>Servicios profesionales Juan-Servicios prestados-Junio</t>
  </si>
  <si>
    <t>Cobro S&amp;P a sucursal Guatemala -Junio</t>
  </si>
  <si>
    <t>Saldo FC</t>
  </si>
  <si>
    <t>Saldo Libro</t>
  </si>
  <si>
    <t>TOTAL INGRESOS JULIO</t>
  </si>
  <si>
    <t>Cobro S&amp;P a sucursal Guatemala -Julio</t>
  </si>
  <si>
    <t>Pago planilla IGSS Mes Junio</t>
  </si>
  <si>
    <t>Pago Servicios profesionales Juan-Servicios prestados-Junio</t>
  </si>
  <si>
    <t>Client:Energyzer-Ivan Chavez-Jerry García-Ronny Quan 202407</t>
  </si>
  <si>
    <t>Client: Czarnikow- Sthepanie Rodriguez Lopez 202407</t>
  </si>
  <si>
    <t>Client:Kairos Ruth Carolina Vasquez 202407</t>
  </si>
  <si>
    <t>Client: Opportunity-Edlin Ivette Poitan   202407</t>
  </si>
  <si>
    <t>Client: NotableGrowth-Miriam Lucia Morfin Gonzalez   202407</t>
  </si>
  <si>
    <t>Reembolso Gastos a Juan audicencia IGSS</t>
  </si>
  <si>
    <t>Declaraguate ISR Asalariados Mayo 2024</t>
  </si>
  <si>
    <t>Declaraguate ISR Asalariados Junio 2024</t>
  </si>
  <si>
    <t>ISR en concepto de la factura 4944</t>
  </si>
  <si>
    <t>Póliza de vida Ivan Estuardo Chavez Morales-Julio</t>
  </si>
  <si>
    <t>Poliza de vida Rony Eduardo Quan Lam-Julio</t>
  </si>
  <si>
    <t>Poliza de vida Rony Eduardo Quan Lam-Junio</t>
  </si>
  <si>
    <t>Póliza de vida Ivan Estuardo Chavez Morales-Junio</t>
  </si>
  <si>
    <t>Poliza de vida Jerry García Carillo-Julio</t>
  </si>
  <si>
    <t>Jerry Garcia Carrillo Julio 2024</t>
  </si>
  <si>
    <t>Ronny Eduardo Quan Lam Julio 24</t>
  </si>
  <si>
    <t>Ivan Estuardo Chavez Morales Julio 2024</t>
  </si>
  <si>
    <t>Edlin Ivette Ramos Poitan Julio 2024</t>
  </si>
  <si>
    <t>Ruth Carolina Vasquez Avelar Julio 2024</t>
  </si>
  <si>
    <t>Miriam Lucia Morfin Gonzalez Julio 2024</t>
  </si>
  <si>
    <t>Stephanie Rodriguez Lopez Julio 2024</t>
  </si>
  <si>
    <t>Pago reembolso jerry García USD</t>
  </si>
  <si>
    <t>Pago reembolso Jerry García Energizer Julio</t>
  </si>
  <si>
    <t>Pago reembolso Ronny Eduardo Quan Energizer julio</t>
  </si>
  <si>
    <t>Declaraguate declaración de ISR 2do trimestre 2024</t>
  </si>
  <si>
    <t>Declaraguate Pago ISO</t>
  </si>
  <si>
    <t>Pago declaraguate Pago ISO</t>
  </si>
  <si>
    <t>Declaraguate IVA mes de Junio</t>
  </si>
  <si>
    <t>JULIO</t>
  </si>
  <si>
    <t>Flujo Caja</t>
  </si>
  <si>
    <t>AGOSTO</t>
  </si>
  <si>
    <t>Pago planilla IGSS  Julio</t>
  </si>
  <si>
    <t>Declaraguate ISR Julio</t>
  </si>
  <si>
    <t>Declaraguate IVA mes de Julio</t>
  </si>
  <si>
    <t>Servicios profesionales Arnoldo prestados en Junio</t>
  </si>
  <si>
    <t>Sin radicar</t>
  </si>
  <si>
    <t>Bancos</t>
  </si>
  <si>
    <t xml:space="preserve">Saldo </t>
  </si>
  <si>
    <t>Nómina y reembolso</t>
  </si>
  <si>
    <t>Servicios profesionales Juan-Servicios prestados-Julio</t>
  </si>
  <si>
    <t>Servicios prestados por audiencias IGSS el día 11 y 31 de julio</t>
  </si>
  <si>
    <t>TOTAL INGRESOS AGOSTO</t>
  </si>
  <si>
    <t>TOTAL EGRESOS AGOSTO</t>
  </si>
  <si>
    <t>SALDO DE CAJA AGOSTO</t>
  </si>
  <si>
    <t>Pago Servicios profesionales Juan-Servicios prestados-JuLio</t>
  </si>
  <si>
    <t>Pago planilla IGSS Mes Julio</t>
  </si>
  <si>
    <t xml:space="preserve">Impuestos </t>
  </si>
  <si>
    <t>ISR en concepto de la factura 5027</t>
  </si>
  <si>
    <t>Declaraguate ISR Agosto facturación Col Factura 5027</t>
  </si>
  <si>
    <t>Servicios profesionales Arnoldo prestados en Julio</t>
  </si>
  <si>
    <t>Servicios profesionales Arnoldo prestados en Agosto</t>
  </si>
  <si>
    <t>Viaje, Pólizas, pago fac casa Matriz y pago servicios arnoldo</t>
  </si>
  <si>
    <t>Client: Czarnikow- Sthepanie Rodriguez Lopez 202408</t>
  </si>
  <si>
    <t>Client:Energyzer-Ivan Chavez-Jerry García-Ronny Quan 202408</t>
  </si>
  <si>
    <t>Client:Kairos Ruth Carolina Vasquez 202408</t>
  </si>
  <si>
    <t>Client: Opportunity-Edlin Ivette Poitan   202408</t>
  </si>
  <si>
    <t>Client: NotableGrowth-Miriam Lucia Morfin Gonzalez   202408</t>
  </si>
  <si>
    <t>Declaraguate ISR Asalariados Julio 2024</t>
  </si>
  <si>
    <t>Pagos 19 al 31 agosto</t>
  </si>
  <si>
    <t>Póliza de vida Ivan Estuardo Chavez Morales-Agosto</t>
  </si>
  <si>
    <t>Poliza de vida Rony Eduardo Quan Lam-Agosto</t>
  </si>
  <si>
    <t>Poliza de vida Jerry García Carillo-Agosto</t>
  </si>
  <si>
    <t>Cobro emisión estado de cuenta</t>
  </si>
  <si>
    <t>Client: Panthera-Barbara Isabel Escobar Anleu 202408</t>
  </si>
  <si>
    <t>Client: Bilingual Bridges- 202408</t>
  </si>
  <si>
    <t>Barbara Isabela Escobar Anleu -Panthera-CC008</t>
  </si>
  <si>
    <t>Sara María Arias Arrivillaga -Bilingual Bridges -CC009</t>
  </si>
  <si>
    <t>Natali Gabriela Ziller Santos -Bilingual Bridges -CC009</t>
  </si>
  <si>
    <t>Ruth Carolina Vasquez Avelar de Rabanal-Kairos-CC005</t>
  </si>
  <si>
    <t>Osman Alejandro López Acuta   -Bilingual Bridges -CC009</t>
  </si>
  <si>
    <t>Jerry García-Energyzer-CC004</t>
  </si>
  <si>
    <t>Ivan Estuardo Chávez Morales-Energyzer-CC004</t>
  </si>
  <si>
    <t>Ronny Eduardo Quan Lam-Energyzer-CC004</t>
  </si>
  <si>
    <t>Edlin Ivette Ramos Poitan-Opportunnity-CC006</t>
  </si>
  <si>
    <t>Miriam Lucia Morfin Gonzalez RF-Notable Growth INC-CC007</t>
  </si>
  <si>
    <t>Jerry Garcia Carrillo Agosto 2024</t>
  </si>
  <si>
    <t>Ronny Eduardo Quan Lam Agosto 24</t>
  </si>
  <si>
    <t>Ivan Estuardo Chavez Morales Agosto 2024</t>
  </si>
  <si>
    <t>Edlin Ivette Ramos Poitan Agosto 2024</t>
  </si>
  <si>
    <t>Ruth Carolina Vasquez Avelar Agosto 2024</t>
  </si>
  <si>
    <t>Miriam Lucia Morfin Gonzalez Agosto 2024</t>
  </si>
  <si>
    <t>Stephanie Rodriguez Lopez Agosto 2024</t>
  </si>
  <si>
    <t>Barbara Isabela Escobar Anleu</t>
  </si>
  <si>
    <t>Osman Alejandro López Acuta</t>
  </si>
  <si>
    <t>Sara María Arias Arrivillaga</t>
  </si>
  <si>
    <t>Nátali Gabriela Ziller Santos</t>
  </si>
  <si>
    <t>Pago reembolso Jerry García Energizer Agosto</t>
  </si>
  <si>
    <t>Pago reembolso Ronny Eduardo Quan Energizer Agosto</t>
  </si>
  <si>
    <t xml:space="preserve">Traslado de dinero a cta USD Reembolso </t>
  </si>
  <si>
    <t xml:space="preserve"> </t>
  </si>
  <si>
    <t xml:space="preserve">Cobro S&amp;P a sucursal Guatemala -Agosto </t>
  </si>
  <si>
    <t>Transf a cta Panamá  USD pagos facturas Junio a Agosto S&amp;P Col</t>
  </si>
  <si>
    <t>Gasto envio de divisas a Panamá</t>
  </si>
  <si>
    <t>Declaraguate IVA mes de Agosto</t>
  </si>
  <si>
    <t xml:space="preserve">Servicios profesionales Juan-Servicios prestados-Agosto </t>
  </si>
  <si>
    <t>Nóminas , reembolsos, envio divisas</t>
  </si>
  <si>
    <t>Pagos 02 al 22 sept</t>
  </si>
  <si>
    <t>The wisser Seeker -Assessment Auxiliar de Cartera y Facturació</t>
  </si>
  <si>
    <t xml:space="preserve">The wisser Seeker </t>
  </si>
  <si>
    <t>Client: Panthera-202408</t>
  </si>
  <si>
    <t>Diferencia QTZ</t>
  </si>
  <si>
    <t>Client: Czarnikow- Sthepanie Rodriguez Lopez</t>
  </si>
  <si>
    <t>Client:Energyzer-Ivan Chavez-Jerry García-Ronny Quan</t>
  </si>
  <si>
    <t>Client:Kairos-Ivan Chavez-Ruth Carolina Vasquez</t>
  </si>
  <si>
    <t>Client: Opportunity-Edlin Ivette Poitan</t>
  </si>
  <si>
    <t>Client:  NotableGrowth, Inc</t>
  </si>
  <si>
    <t>Client: Panthera, Inc</t>
  </si>
  <si>
    <t>Client: Bilingual Bridges, Inc</t>
  </si>
  <si>
    <t xml:space="preserve">Ajuste a ingreso </t>
  </si>
  <si>
    <t>Compra Sim Card Claro-Se paga por agencia-Juan 03/09/24</t>
  </si>
  <si>
    <t>TOTAL EGRESOS SEPTIEMBRE</t>
  </si>
  <si>
    <t>SALDO DE CAJA SEPTIEMBRE</t>
  </si>
  <si>
    <t>TOTAL INGRESOS SEPTIEMBRE</t>
  </si>
  <si>
    <t>Gastos de envío divisas</t>
  </si>
  <si>
    <t>The wisser Seeker -Assessment Auxiliar de Cartera y Facturación-TWS-24-00113</t>
  </si>
  <si>
    <t>Gasto envio de divisas a España</t>
  </si>
  <si>
    <t>Client: Czarnikow- Sthepanie Rodriguez Lopez 242409</t>
  </si>
  <si>
    <t>Client:Energyzer-Ivan Chavez-Jerry García-Ronny Quan 242409</t>
  </si>
  <si>
    <t>Client:Kairos Ruth Carolina Vasquez 242409</t>
  </si>
  <si>
    <t>Client: Opportunity-Edlin Ivette Poitan   242409</t>
  </si>
  <si>
    <t>Client: NotableGrowth-Miriam Lucia Morfin Gonzalez   242409</t>
  </si>
  <si>
    <t>Client: Panthera-Barbara Isabel Escobar Anleu 242409</t>
  </si>
  <si>
    <t>Client: Bilingual Bridges- 242409</t>
  </si>
  <si>
    <t>Póliza de vida Ivan Miriam Lucian Morfin González-QTQ-GM ( Inclusíon)</t>
  </si>
  <si>
    <r>
      <t>Póliza de vida Miriam Lucian Morfin González-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 ( Incluisíon)</t>
    </r>
  </si>
  <si>
    <t>Cobro S&amp;P a sucursal Guatemala -Septiembre</t>
  </si>
  <si>
    <t>Declaraguate ISR no residentes facturación Col Factura 5125 Agosto</t>
  </si>
  <si>
    <t>Declaraguate ISR Agosto</t>
  </si>
  <si>
    <t>Pago planilla IGSS Agosto</t>
  </si>
  <si>
    <t>Servicios profesionales Arnoldo prestados en Septiembre</t>
  </si>
  <si>
    <t>Póliza de vida Ivan Estuardo Chavez Morales-Septiembre</t>
  </si>
  <si>
    <t>Poliza de vida Rony Eduardo Quan Lam-Septiembre</t>
  </si>
  <si>
    <t>Poliza de vida Jerry García Carillo-Septiembre</t>
  </si>
  <si>
    <t>Póliza de gastos medicosRony Eduardo Quan Lam-Julio</t>
  </si>
  <si>
    <t>Póliza de gastos medicosJerry García Carillo  -Julio</t>
  </si>
  <si>
    <t>Póliza de gastos medicosRony Eduardo Quan Lam-Agosto</t>
  </si>
  <si>
    <t>Póliza de gastos medicosJerry García Carillo  -Agosto</t>
  </si>
  <si>
    <t>Stephanie Rodriguez Lopez</t>
  </si>
  <si>
    <t>Ivan Estuardo Chávez Morales</t>
  </si>
  <si>
    <t>Jerry García-Energyzer</t>
  </si>
  <si>
    <t>Ronny Eduardo Quan Lam-Energyzer</t>
  </si>
  <si>
    <t>Miriam Lucia Morfin Gonzalez RF</t>
  </si>
  <si>
    <t>Natali Gabriela Ziller Santos</t>
  </si>
  <si>
    <t>Ruth Carolina Vasquez Avelar de Rabanal</t>
  </si>
  <si>
    <t xml:space="preserve">Transf a USD reembolsos Septiembre </t>
  </si>
  <si>
    <t>Pago reembolso Jerry García USD</t>
  </si>
  <si>
    <t>TOTAL INGRESOS OCTUBRE</t>
  </si>
  <si>
    <t>TOTAL EGRESOS OCTUBRE</t>
  </si>
  <si>
    <t>SALDO DE CAJA OCTUBRE</t>
  </si>
  <si>
    <t>Diferencia en cambio</t>
  </si>
  <si>
    <t>SEPTIEMBRE</t>
  </si>
  <si>
    <t>Declaraguate ISR no residentes facturación Col Factura 5229 Septiembre</t>
  </si>
  <si>
    <r>
      <t>Póliza de vida Miriam Lucian Morfin González-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</t>
    </r>
  </si>
  <si>
    <t>Nóminas , envio divisas, reembolsos</t>
  </si>
  <si>
    <t>Pagos 01 al 27 Oct</t>
  </si>
  <si>
    <t>Pago Servicios profesionales Juan-Servicios prestados-Septiembre</t>
  </si>
  <si>
    <t>Pago Servicios profesionales Juan-Servicios prestados-Agosto</t>
  </si>
  <si>
    <t>Póliza de gastos medicos Rony Eduardo Quan Lam-Junio</t>
  </si>
  <si>
    <t>Póliza de gastos medicos Jerry García Carillo  -Junio</t>
  </si>
  <si>
    <t>Servicios profesionales Arnoldo prestados en Junio y julio</t>
  </si>
  <si>
    <t xml:space="preserve">Pago facturas claro </t>
  </si>
  <si>
    <t>Servicios profesionales Juan-Servicios prestados-Septiembre y movilización transportes Bac  y expresa</t>
  </si>
  <si>
    <t xml:space="preserve">Factura Claro- Incluido valor factura Nro 3075098786 Q350,82 </t>
  </si>
  <si>
    <t>Client:Energyzer-Ivan Chavez-Jerry García-Ronny Quan 242410</t>
  </si>
  <si>
    <t>Client:Kairos Ruth Carolina Vasquez 242410</t>
  </si>
  <si>
    <t>Client: Opportunity-Edlin Ivette Poitan   242410</t>
  </si>
  <si>
    <t>Client: Panthera-Barbara Isabel Escobar Anleu 242410</t>
  </si>
  <si>
    <t>Pago factura claro, Servicios arnoldo y Juan</t>
  </si>
  <si>
    <t xml:space="preserve">Viaje, Pólizas, </t>
  </si>
  <si>
    <t xml:space="preserve">Pólizas, pago fac casa Matriz </t>
  </si>
  <si>
    <r>
      <t>Client: Czarnikow- Sthepanie Rodriguez Lopez-</t>
    </r>
    <r>
      <rPr>
        <b/>
        <sz val="11"/>
        <color rgb="FF0000CC"/>
        <rFont val="Calibri"/>
        <family val="2"/>
        <scheme val="minor"/>
      </rPr>
      <t>Remotefist</t>
    </r>
  </si>
  <si>
    <r>
      <t>Client:  NotableGrowth, Inc</t>
    </r>
    <r>
      <rPr>
        <b/>
        <sz val="11"/>
        <color rgb="FF0000CC"/>
        <rFont val="Calibri"/>
        <family val="2"/>
        <scheme val="minor"/>
      </rPr>
      <t>-Remotefist</t>
    </r>
  </si>
  <si>
    <r>
      <t>Client: Bilingual Bridges, Inc-</t>
    </r>
    <r>
      <rPr>
        <b/>
        <sz val="11"/>
        <color rgb="FF0000CC"/>
        <rFont val="Calibri"/>
        <family val="2"/>
        <scheme val="minor"/>
      </rPr>
      <t>Remotefist</t>
    </r>
  </si>
  <si>
    <r>
      <t>Client:Energyzer-Ivan Chavez-Jerry García-Ronny Quan</t>
    </r>
    <r>
      <rPr>
        <b/>
        <sz val="11"/>
        <color rgb="FFFF0000"/>
        <rFont val="Calibri"/>
        <family val="2"/>
        <scheme val="minor"/>
      </rPr>
      <t>-Safeguard</t>
    </r>
  </si>
  <si>
    <r>
      <t>Client: Panthera, Inc-</t>
    </r>
    <r>
      <rPr>
        <b/>
        <sz val="11"/>
        <color rgb="FFFF0000"/>
        <rFont val="Calibri"/>
        <family val="2"/>
        <scheme val="minor"/>
      </rPr>
      <t>Safeguard</t>
    </r>
  </si>
  <si>
    <r>
      <t>Client: Opportunity-Edlin Ivette Poitan</t>
    </r>
    <r>
      <rPr>
        <b/>
        <sz val="11"/>
        <color rgb="FFFF0000"/>
        <rFont val="Calibri"/>
        <family val="2"/>
        <scheme val="minor"/>
      </rPr>
      <t>-Safeguard</t>
    </r>
  </si>
  <si>
    <r>
      <t>Client:Kairos-Ivan Chavez-Ruth Carolina Vasquez</t>
    </r>
    <r>
      <rPr>
        <b/>
        <sz val="11"/>
        <color rgb="FFFF0000"/>
        <rFont val="Calibri"/>
        <family val="2"/>
        <scheme val="minor"/>
      </rPr>
      <t>-Safeguard</t>
    </r>
  </si>
  <si>
    <t>Declaraguate ISO del 3re. Trimestre 2024.</t>
  </si>
  <si>
    <t>Declaraguate ISR Septiembre</t>
  </si>
  <si>
    <t>Pago planilla IGSS Septiembre</t>
  </si>
  <si>
    <t>Servicio de transporte Juan Pirir</t>
  </si>
  <si>
    <r>
      <rPr>
        <sz val="11"/>
        <rFont val="Calibri"/>
        <family val="2"/>
        <scheme val="minor"/>
      </rPr>
      <t>Client: Czarnikow- Sthepanie Rodriguez Lopez 242410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</si>
  <si>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Client:Energyzer-Ivan Chavez-Jerry García-Ronny Quan 242410-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</si>
  <si>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242410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</si>
  <si>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NotableGrowth-Miriam Lucia Morfin Gonzalez 242410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Remotefisrt</t>
    </r>
  </si>
  <si>
    <r>
      <rPr>
        <sz val="11"/>
        <rFont val="Calibri"/>
        <family val="2"/>
        <scheme val="minor"/>
      </rPr>
      <t>Client: Opportunity-Edlin Ivette Poitan 242410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</si>
  <si>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242410-</t>
    </r>
    <r>
      <rPr>
        <b/>
        <sz val="11"/>
        <color rgb="FFFF0000"/>
        <rFont val="Calibri"/>
        <family val="2"/>
        <scheme val="minor"/>
      </rPr>
      <t>Safeguard</t>
    </r>
  </si>
  <si>
    <r>
      <t>Client: Bilingual Bridges-242410</t>
    </r>
    <r>
      <rPr>
        <b/>
        <sz val="11"/>
        <color rgb="FF0000CC"/>
        <rFont val="Calibri"/>
        <family val="2"/>
        <scheme val="minor"/>
      </rPr>
      <t>-Remotefist</t>
    </r>
  </si>
  <si>
    <t>Póliza de gastos medicos Ivan Estuardo Chavez Morales-Octubre</t>
  </si>
  <si>
    <t>Póliza de gastos medicos Ivan Estuardo Chavez Morales-Septiembre</t>
  </si>
  <si>
    <t>Poliza de gasts medicos Rony Eduardo Quan Lam-Septiembre</t>
  </si>
  <si>
    <t>Póliza de gastos medicos Jerry García Carillo  -Septiembre</t>
  </si>
  <si>
    <t>Poliza de gastos medicos Rony Eduardo Quan Lam-Octubre</t>
  </si>
  <si>
    <t>Póliza de gastos medicos Jerry García Carillo -Octubre</t>
  </si>
  <si>
    <t>Póliza de gastos medicos Miriam Lucian Morfin González -Octubre</t>
  </si>
  <si>
    <t>Póliza de vida Ivan Estuardo Chavez Morales-Octubre</t>
  </si>
  <si>
    <t>Poliza de vida Rony Eduardo Quan Lam-octubre</t>
  </si>
  <si>
    <t>Poliza de vida Jerry García Carillo-Octubre</t>
  </si>
  <si>
    <t xml:space="preserve">Transf fondos Pago Reembol y Pólizas </t>
  </si>
  <si>
    <t>Client: Czarnikow- Sthepanie Rodriguez Lopez 242410-Remotefist</t>
  </si>
  <si>
    <t>Client: NotableGrowth-Miriam Lucia Morfin Gonzalez 242410-Remotefisrt</t>
  </si>
  <si>
    <t>Client: Bilingual Bridges-242410-Remotefist</t>
  </si>
  <si>
    <t>Valor a descontar a Juan en la siguiente factura</t>
  </si>
  <si>
    <t>Pago reembolso Ronny Eduardo Quan Energizer Octubre</t>
  </si>
  <si>
    <t>Pago reembolso Ronny Eduardo Quan Energizer Septiembre</t>
  </si>
  <si>
    <t>Pago reembolso Jerry Garcia Quan Energizer Octubre</t>
  </si>
  <si>
    <t>Transf a cta Colombia  USD pagos facturas Septiembre y octubre S&amp;P Col</t>
  </si>
  <si>
    <t>Gasto envio de divisas a Colombia</t>
  </si>
  <si>
    <t>ISR Utilidades trimestral</t>
  </si>
  <si>
    <t>Cobro S&amp;P a sucursal Guatemala -Octubre TRM 4.233,17</t>
  </si>
  <si>
    <t>Cobro S&amp;P a sucursal Guatemala -Septiembre TRM 4.285,61</t>
  </si>
  <si>
    <t>NOVIEMBRE</t>
  </si>
  <si>
    <t>Pago planilla IGSS Octubre</t>
  </si>
  <si>
    <t>Nóminas , reembolsos</t>
  </si>
  <si>
    <t>Pago factura claro, Servicios Juan</t>
  </si>
  <si>
    <t>8oD90620</t>
  </si>
  <si>
    <t>TOTAL EGRESOS NOVIEMBRE</t>
  </si>
  <si>
    <t>Pago facturas claro -Noviembre</t>
  </si>
  <si>
    <t>Cobro S&amp;P a sucursal Guatemala -Noviembre  TRM 4.346,70</t>
  </si>
  <si>
    <t>SALDO DE CAJA NOVIEMBRE</t>
  </si>
  <si>
    <t>TOTAL INGRESOS NOVIEMBRE</t>
  </si>
  <si>
    <r>
      <rPr>
        <sz val="11"/>
        <rFont val="Calibri"/>
        <family val="2"/>
        <scheme val="minor"/>
      </rPr>
      <t>Client: Czarnikow- Sthepanie Rodriguez Lopez 242411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</si>
  <si>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Client:Energyzer-Ivan Chavez-Jerry García-Ronny Quan 242411-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</si>
  <si>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242411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</si>
  <si>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242411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</si>
  <si>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NotableGrowth-Miriam Lucia Morfin Gonzalez 242411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Remotefisrt</t>
    </r>
  </si>
  <si>
    <r>
      <rPr>
        <sz val="11"/>
        <rFont val="Calibri"/>
        <family val="2"/>
        <scheme val="minor"/>
      </rPr>
      <t>Client: Panthera-Barbara Isabel Escobar Anleu 242411-</t>
    </r>
    <r>
      <rPr>
        <b/>
        <sz val="11"/>
        <color rgb="FFFF0000"/>
        <rFont val="Calibri"/>
        <family val="2"/>
        <scheme val="minor"/>
      </rPr>
      <t>Safeguard</t>
    </r>
  </si>
  <si>
    <r>
      <t>Client: Bilingual Bridges-242411</t>
    </r>
    <r>
      <rPr>
        <b/>
        <sz val="11"/>
        <color rgb="FF0000CC"/>
        <rFont val="Calibri"/>
        <family val="2"/>
        <scheme val="minor"/>
      </rPr>
      <t>-Remotefist</t>
    </r>
  </si>
  <si>
    <t>Declaraguate ISR Octubre</t>
  </si>
  <si>
    <t>Declaraguate ISR no residentes facturación Col Factura 5333 octubre</t>
  </si>
  <si>
    <t>Declaraguate ISR no residentes facturación Col Factura 5333 Octubre</t>
  </si>
  <si>
    <t xml:space="preserve">Servicios profesionales Juan-Servicios prestados Octubre y movilización transportes Bac </t>
  </si>
  <si>
    <t>Servicios movilización transportes Bac -Octubre</t>
  </si>
  <si>
    <t>Pago Servicios profesionales Juan-Servicios prestados-Octubre</t>
  </si>
  <si>
    <t xml:space="preserve">Impuestos y servicios Juan </t>
  </si>
  <si>
    <t>Pólizas, servicios arnoldo</t>
  </si>
  <si>
    <t>Quetzales</t>
  </si>
  <si>
    <t>Dólares</t>
  </si>
  <si>
    <t>A060468B-1758219238</t>
  </si>
  <si>
    <t>Inbers contadores Servicios contables con entrega de información financiera correspondiente al periodo de octubre 2024</t>
  </si>
  <si>
    <t>Client:Energyzer-Ivan Chavez-Jerry García-Ronny Quan 242411-Safeguard</t>
  </si>
  <si>
    <t>Client:Kairos Ruth Carolina Vasquez 242411-Safeguard</t>
  </si>
  <si>
    <t>Client: Opportunity-Edlin Ivette Poitan 242411-Safeguard</t>
  </si>
  <si>
    <t>Client: Panthera-Barbara Isabel Escobar Anleu 242411-Safeguard</t>
  </si>
  <si>
    <t>Anticipo del 50% Victor Hugo Moscozo- Abogado tramites notariales sucursales</t>
  </si>
  <si>
    <t>Client: Bilingual Bridges-242411-Remotefist</t>
  </si>
  <si>
    <t>Póliza de gastos medicos Ivan Estuardo Chavez Morales-Noviembre</t>
  </si>
  <si>
    <t>Poliza de gastos medicos Rony Eduardo Quan Lam-Noviembre</t>
  </si>
  <si>
    <t>Póliza de gastos medicos Jerry García Carillo -Noviembre</t>
  </si>
  <si>
    <t>Póliza de gastos medicos Miriam Lucian Morfin González -Noviembre</t>
  </si>
  <si>
    <t>Poliza de vida Jerry Garcia-noviembre</t>
  </si>
  <si>
    <t>Poliza de vida Rony Eduardo Quan Lam-noviembre</t>
  </si>
  <si>
    <t>Póliza de vida Ivan Estuardo Chavez Morales-noviembre</t>
  </si>
  <si>
    <t>Transf a USD Polizas y reembolso  Octubre</t>
  </si>
  <si>
    <t>Transf a USD Polizas y reembolso  Noviembre</t>
  </si>
  <si>
    <t>Pagos 01 al 30 Nov</t>
  </si>
  <si>
    <t>Pago reembolso Ronny Eduardo Quan Energizer Noviembre</t>
  </si>
  <si>
    <t>TOTAL EGRESOS DICIEMBRE</t>
  </si>
  <si>
    <t>SALDO DE CAJA DICIEMBRE</t>
  </si>
  <si>
    <t>TOTAL INGRESOS DICIEMBRE</t>
  </si>
  <si>
    <t>DICIEMBRE</t>
  </si>
  <si>
    <t>Pago planilla IGSS Noviembre</t>
  </si>
  <si>
    <t>Declaraguate ISR Noviembre</t>
  </si>
  <si>
    <t>Declaraguate ISR no residentes facturación Col Factura 5445 noviembre</t>
  </si>
  <si>
    <t>Servicios profesionales Juan-Servicios prestados Noviembre</t>
  </si>
  <si>
    <t>Pólizas, pago saldo final trámite Guatemala</t>
  </si>
  <si>
    <t>GMF</t>
  </si>
  <si>
    <t>Impuestos, IGSS, Claro , transferencia fondos, servicios Juan, OT contable y servicios arnoldo</t>
  </si>
  <si>
    <r>
      <rPr>
        <sz val="11"/>
        <rFont val="Calibri"/>
        <family val="2"/>
        <scheme val="minor"/>
      </rPr>
      <t>Client: Czarnikow- Sthepanie Rodriguez Lopez 242412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</si>
  <si>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Client:Energyzer-Ivan Chavez-Jerry García-Ronny Quan 2424121-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</si>
  <si>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242412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</si>
  <si>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242412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</si>
  <si>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NotableGrowth-Miriam Lucia Morfin Gonzalez 242412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Remotefisrt</t>
    </r>
  </si>
  <si>
    <r>
      <rPr>
        <sz val="11"/>
        <rFont val="Calibri"/>
        <family val="2"/>
        <scheme val="minor"/>
      </rPr>
      <t>Client: Panthera-Barbara Isabel Escobar Anleu 24242-</t>
    </r>
    <r>
      <rPr>
        <b/>
        <sz val="11"/>
        <color rgb="FFFF0000"/>
        <rFont val="Calibri"/>
        <family val="2"/>
        <scheme val="minor"/>
      </rPr>
      <t>Safeguard</t>
    </r>
  </si>
  <si>
    <r>
      <t>Client: Bilingual Bridges-242412</t>
    </r>
    <r>
      <rPr>
        <b/>
        <sz val="11"/>
        <color rgb="FF0000CC"/>
        <rFont val="Calibri"/>
        <family val="2"/>
        <scheme val="minor"/>
      </rPr>
      <t>-Remotefist</t>
    </r>
  </si>
  <si>
    <t>Servicios profesionales Juan-transporte por gestiones Banco industrial</t>
  </si>
  <si>
    <t>Cobro S&amp;P a sucursal Guatemala -Diciembre  TRM 4.379,71</t>
  </si>
  <si>
    <t>Factura Claro Diciembre</t>
  </si>
  <si>
    <t>Factura Claro Diciembre Nro 1941783117</t>
  </si>
  <si>
    <t>Client: Bilingual Bridges-242412-Remotefist</t>
  </si>
  <si>
    <t>DD98EA30-433733719</t>
  </si>
  <si>
    <t>Saldo final 50% , mas impuestos legales  de Victor Hugo Moscozo- Abogado tramites notariales sucursales</t>
  </si>
  <si>
    <t>Póliza de vida Miriam Lucian Morfin González</t>
  </si>
  <si>
    <r>
      <t>Poliza de vida Jerry García Carillo  -</t>
    </r>
    <r>
      <rPr>
        <sz val="11"/>
        <rFont val="Calibri"/>
        <family val="2"/>
        <scheme val="minor"/>
      </rPr>
      <t>(Claudia Marisol Mayorga Ayala )</t>
    </r>
  </si>
  <si>
    <t xml:space="preserve">Poliza de vida Jerry García Carillo </t>
  </si>
  <si>
    <t>Inbers contadores Servicios contables con entrega de información financiera correspondiente al periodo de Noviembre 2024</t>
  </si>
  <si>
    <t>Pagos 23al 30 Dic</t>
  </si>
  <si>
    <t>Transf a cta Colombia  USD pagos facturas noviembre y diciembre S&amp;P Col</t>
  </si>
  <si>
    <t>SALDO DE CAJA ENERO</t>
  </si>
  <si>
    <t>Pago planilla IGSS Diciembre</t>
  </si>
  <si>
    <t>ENERO</t>
  </si>
  <si>
    <t>Servicios profesionales Juan-Servicios prestados Diciembre</t>
  </si>
  <si>
    <t>Declaraguate ISR no residentes facturación Col Factura 5530 Diciembre (15%)</t>
  </si>
  <si>
    <t>Cobro S&amp;P a sucursal Guatemala -Enero TRM 4.346,70</t>
  </si>
  <si>
    <t>OTROS GASTOS DE OFICINA Y EMPLADOS</t>
  </si>
  <si>
    <t>Envío de documentos a Colombia para firma de socios</t>
  </si>
  <si>
    <t>Factura Claro Enero</t>
  </si>
  <si>
    <t>Nóminas , reembolsos GMF</t>
  </si>
  <si>
    <t>outsourcingcontable , polizas</t>
  </si>
  <si>
    <t>Impuestos, IGSS, Claro , servicios Juan, Envío documentos a colombia firma socios</t>
  </si>
  <si>
    <t>Pagos del 01 al 26 Enero</t>
  </si>
  <si>
    <t>Servicios gastos de transportes prestados reunión bufete Juridico y envio de documentos IRTRA  Diciembre</t>
  </si>
  <si>
    <r>
      <rPr>
        <sz val="11"/>
        <rFont val="Calibri"/>
        <family val="2"/>
        <scheme val="minor"/>
      </rPr>
      <t xml:space="preserve">Client: Czarnikow- Sthepanie Rodriguez Lopez 202501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</si>
  <si>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 NotableGrowth-Miriam Lucia Morfin Gonzalez 202501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Remotefisrt</t>
    </r>
  </si>
  <si>
    <t>Declaraguate ISR Diciembre</t>
  </si>
  <si>
    <t>Declaraguate ISR no residentes facturación Col Factura 5530 Diciembre</t>
  </si>
  <si>
    <r>
      <rPr>
        <sz val="11"/>
        <rFont val="Calibri"/>
        <family val="2"/>
        <scheme val="minor"/>
      </rPr>
      <t>Client:Energyzer-Ivan Chavez-Jerry García-Ronny Quan 202501-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</si>
  <si>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202501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</si>
  <si>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202501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</si>
  <si>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202501-</t>
    </r>
    <r>
      <rPr>
        <b/>
        <sz val="11"/>
        <color rgb="FFFF0000"/>
        <rFont val="Calibri"/>
        <family val="2"/>
        <scheme val="minor"/>
      </rPr>
      <t>Safeguard</t>
    </r>
  </si>
  <si>
    <t>Client:Energyzer-Ivan Chavez-Jerry García-Ronny Quan 202501-Safeguard</t>
  </si>
  <si>
    <t>Client:Kairos Ruth Carolina Vasquez 202501-Safeguard</t>
  </si>
  <si>
    <t>Client: Opportunity-Edlin Ivette Poitan 202501-Safeguard</t>
  </si>
  <si>
    <t>Client: Panthera-Barbara Isabel Escobar Anleu 202501-Safeguard</t>
  </si>
  <si>
    <t>Client: Czarnikow- Sthepanie Rodriguez Lopez-Remotefist</t>
  </si>
  <si>
    <t>Client:  NotableGrowth, Inc-Remotefist</t>
  </si>
  <si>
    <t>Client: Bilingual Bridges, Inc-Remotefist</t>
  </si>
  <si>
    <r>
      <t>jerry García. Energyzer-CC003</t>
    </r>
    <r>
      <rPr>
        <b/>
        <sz val="11"/>
        <color rgb="FF0000CC"/>
        <rFont val="Calibri"/>
        <family val="2"/>
        <scheme val="minor"/>
      </rPr>
      <t>-USD</t>
    </r>
  </si>
  <si>
    <r>
      <t>jerry García. Energyzer-CC003</t>
    </r>
    <r>
      <rPr>
        <b/>
        <sz val="11"/>
        <color rgb="FF0000CC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QTQ</t>
    </r>
  </si>
  <si>
    <t>1EE8AF9B-3703394120</t>
  </si>
  <si>
    <t>Póliza de vida Miriam Lucian Morfin González-QTQ-GM</t>
  </si>
  <si>
    <t>Póliza de vida Ivan Estuardo Chavez Morales-QTQ-GM</t>
  </si>
  <si>
    <t xml:space="preserve">Poliza de vida Jerry García Carillo  -QTQ-GM-Claudia Marisol Mayorga Ayala </t>
  </si>
  <si>
    <t>Reembolso Jerry García</t>
  </si>
  <si>
    <t>Pago factura claro Enero Nro 2010138010</t>
  </si>
  <si>
    <t>Inbers contadores Servicios contables con entrega de información financiera correspondiente al periodo de Enero 2025</t>
  </si>
  <si>
    <t>transferencia de fondos de QTZ a USD pagos Pólizas y Reembolsos Enero 25</t>
  </si>
  <si>
    <t>Gastos febrero Previsto</t>
  </si>
  <si>
    <t>QTQ
Facturado</t>
  </si>
  <si>
    <t>QTQ
Llegada</t>
  </si>
  <si>
    <t>Diferencia USD</t>
  </si>
  <si>
    <t>Declaraguate ISO Cuarto Trimestre (Oct-Dic) 2024</t>
  </si>
  <si>
    <t>Pago planilla IGSS Enero</t>
  </si>
  <si>
    <t>FEBRERO</t>
  </si>
  <si>
    <t>Declaraguate ISR Enero</t>
  </si>
  <si>
    <t>Servicios profesionales Juan-Servicios prestados Enero</t>
  </si>
  <si>
    <t>Servicios gastos de envios documentos a colombia</t>
  </si>
  <si>
    <t>Inbers contadores Servicios contables con entrega de información financiera correspondiente al periodo de febrero 2025</t>
  </si>
  <si>
    <t>Jerry García-Energyzer-CC004-Ajuste nómina</t>
  </si>
  <si>
    <t>Ronny Eduardo Quan Lam-Energyzer-CC004-Ajuste nómina</t>
  </si>
  <si>
    <t>Ivan Estuardo Chávez Morales-Energyzer-CC004-Ajuste nómina</t>
  </si>
  <si>
    <t>Ajuste de nóminas y servicios profesionales Juan</t>
  </si>
  <si>
    <t>Cobro S&amp;P a sucursal Guatemala -Enero TRM 4.331,23 Factura 5632</t>
  </si>
  <si>
    <t xml:space="preserve">Inbers    </t>
  </si>
  <si>
    <t>TOTAL EGRESOS FEBRERO</t>
  </si>
  <si>
    <t xml:space="preserve">SALDO DE CAJA FEBRERO </t>
  </si>
  <si>
    <r>
      <rPr>
        <sz val="11"/>
        <rFont val="Calibri"/>
        <family val="2"/>
        <scheme val="minor"/>
      </rPr>
      <t xml:space="preserve">Client: Czarnikow- Sthepanie Rodriguez Lopez 202502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</si>
  <si>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 NotableGrowth-Miriam Lucia Morfin Gonzalez 202502</t>
    </r>
    <r>
      <rPr>
        <sz val="11"/>
        <color theme="1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Remotefisrt</t>
    </r>
  </si>
  <si>
    <r>
      <rPr>
        <sz val="11"/>
        <rFont val="Calibri"/>
        <family val="2"/>
        <scheme val="minor"/>
      </rPr>
      <t>Client:Energyzer-Ivan Chavez-Jerry García-Ronny Quan 202502-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</si>
  <si>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202502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</si>
  <si>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202502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</si>
  <si>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202502-</t>
    </r>
    <r>
      <rPr>
        <b/>
        <sz val="11"/>
        <color rgb="FFFF0000"/>
        <rFont val="Calibri"/>
        <family val="2"/>
        <scheme val="minor"/>
      </rPr>
      <t>Safeguard</t>
    </r>
  </si>
  <si>
    <t>Declaraguate ISR no residentes facturación Col Factura 5632 Diciembre (15%)</t>
  </si>
  <si>
    <t>Declaraguate ISR no residentes facturación Col Factura 5632 Enero</t>
  </si>
  <si>
    <t>Impuestos, IGSS, Claro , servicios Juan</t>
  </si>
  <si>
    <t>Client:Kairos-Ivan Chavez-Ruth Carolina Vasquez-Safeguard</t>
  </si>
  <si>
    <t>Client: Opportunity-Edlin Ivette Poitan-Safeguard</t>
  </si>
  <si>
    <t>Client: Panthera, Inc-Safeguard</t>
  </si>
  <si>
    <t>Client:Energyzer-Ivan Chavez-Jerry García-Ronny Quan 202502-Safeguard</t>
  </si>
  <si>
    <t>Client: Czarnikow- Sthepanie Rodriguez Lopez 202502 Remotefist</t>
  </si>
  <si>
    <t>Client: NotableGrowth-Miriam Lucia Morfin Gonzalez 202502-Remotefisrt</t>
  </si>
  <si>
    <t>Outsourcingc ontable , polizas, Nóminas , reembolsos GMF</t>
  </si>
  <si>
    <t>Pagos del 01 al 28 febrero</t>
  </si>
  <si>
    <t>Pago factura claro Febrero Nro 8F791BAB</t>
  </si>
  <si>
    <t>Pago Inbers Servicios contables Dic factura 1EE8AF9B-3703394120</t>
  </si>
  <si>
    <t>Pago Inbers Servicios contables Enero factura D14BA40B-1096044461</t>
  </si>
  <si>
    <t>8F791BAB</t>
  </si>
  <si>
    <t>Cobro S&amp;P a sucursal Guatemala -Febrero TRM 4.113,70 Factura 5680</t>
  </si>
  <si>
    <t>Pago póliza Gastos médicos empleados Guatemala</t>
  </si>
  <si>
    <t>Pago póliza Vida empleados Guatemala</t>
  </si>
  <si>
    <t>Transf a cta Colombia  USD pagos facturas enero y febrero S&amp;P Col</t>
  </si>
  <si>
    <t>Transferencia de fondos de la GT a USD para pago reembolso Jerry García</t>
  </si>
  <si>
    <t>Pago nómina Stephanie Rodriguez López</t>
  </si>
  <si>
    <t>Pago nómina Miriam Lucia Morfin</t>
  </si>
  <si>
    <t>Pago nómina Personal Guatemala Febrero 2025</t>
  </si>
  <si>
    <t>Pago Reembolso Jerry Garcia Febrero 2025</t>
  </si>
  <si>
    <t>TOTAL INGRESOS MARZO</t>
  </si>
  <si>
    <t>SALDO DE CAJA MARZO</t>
  </si>
  <si>
    <t xml:space="preserve">Pago planilla IGSS Febrero </t>
  </si>
  <si>
    <t>Declaraguate ISR no residentes facturación Col Factura 5680 febrero(15%)</t>
  </si>
  <si>
    <t>Inbers contadores Servicios contables con entrega de información financiera correspondiente al periodo de febrero 2025+ Cierres anuales</t>
  </si>
  <si>
    <t>,</t>
  </si>
  <si>
    <t xml:space="preserve">Factura claro </t>
  </si>
  <si>
    <t>Pagos del 01 al 28 Marzo</t>
  </si>
  <si>
    <t>Outsourcing contable , polizas, Nóminas , reembolsos GMF</t>
  </si>
  <si>
    <t>MARZO</t>
  </si>
  <si>
    <t>Servicios profesionales Juan-Servicios prestados Febrero</t>
  </si>
  <si>
    <t>Declaraguate ISR Febrero</t>
  </si>
  <si>
    <t>Anticipo 50% por servicios profesionales elaboración informe precios de transferencia 2024</t>
  </si>
  <si>
    <t xml:space="preserve">Declaraguate ISR no residentes facturación Col Factura 5680 </t>
  </si>
  <si>
    <r>
      <rPr>
        <sz val="11"/>
        <rFont val="Calibri"/>
        <family val="2"/>
        <scheme val="minor"/>
      </rPr>
      <t xml:space="preserve">Client: Czarnikow- Sthepanie Rodriguez Lopez 202503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</si>
  <si>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 xml:space="preserve">Client: NotableGrowth-Miriam Lucia Morfin Gonzalez 202503 </t>
    </r>
    <r>
      <rPr>
        <b/>
        <sz val="11"/>
        <color rgb="FF0000CC"/>
        <rFont val="Calibri"/>
        <family val="2"/>
        <scheme val="minor"/>
      </rPr>
      <t>Remotefisrt</t>
    </r>
  </si>
  <si>
    <r>
      <t xml:space="preserve">Client: Bilingual Bridges-202503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</si>
  <si>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Client:Energyzer-Ivan Chavez-Jerry García-Ronny Quan 202503-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</si>
  <si>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202503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</si>
  <si>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202503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</si>
  <si>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202503-</t>
    </r>
    <r>
      <rPr>
        <b/>
        <sz val="11"/>
        <color rgb="FFFF0000"/>
        <rFont val="Calibri"/>
        <family val="2"/>
        <scheme val="minor"/>
      </rPr>
      <t>Safeguard</t>
    </r>
  </si>
  <si>
    <t>Client:Energyzer-Ivan Chavez-Jerry García-Ronny Quan 202503-Safeguard</t>
  </si>
  <si>
    <t>Client:Kairos Ruth Carolina Vasquez 202503-Safeguard</t>
  </si>
  <si>
    <t>Client: Opportunity-Edlin Ivette Poitan 202503-Safeguard</t>
  </si>
  <si>
    <t>Client: Panthera-Barbara Isabel Escobar Anleu 202503-Safeguard</t>
  </si>
  <si>
    <t>OK</t>
  </si>
  <si>
    <t>Ok</t>
  </si>
  <si>
    <t>Client: Czarnikow- Sthepanie Rodriguez Lopez 202503 Remotefist</t>
  </si>
  <si>
    <t>Client: NotableGrowth-Miriam Lucia Morfin Gonzalez 202503 Remotefisrt</t>
  </si>
  <si>
    <t>Client: Bilingual Bridges-202503 Remotefist</t>
  </si>
  <si>
    <t>Pago nómina Personal Guatemala Marzo 2025</t>
  </si>
  <si>
    <t>Pago Inbers Servicios contables Enero factura 637A50DD-143608159</t>
  </si>
  <si>
    <t>Pago factura claro Febrero Nro 3325052852</t>
  </si>
  <si>
    <t>Transferencia de fondos de la GT a USD para pago reembolso Jerry García y Ronny Quan</t>
  </si>
  <si>
    <t xml:space="preserve">Transferencia de fondos de la GT a USD para pago reembolso Jerry García y Ronny Quan </t>
  </si>
  <si>
    <t>Pago Reembolso Jerry Garcia Marzo 2025</t>
  </si>
  <si>
    <t>Pago Reembolso Ronny Quan Marzo 2025</t>
  </si>
  <si>
    <t>Jose Estrada Abril -Ingreso -Remotefirst</t>
  </si>
  <si>
    <t>Pago nómina Marzo José Estrada Abril -Ingreso</t>
  </si>
  <si>
    <t xml:space="preserve">SALDO DE CAJA ABRIL </t>
  </si>
  <si>
    <r>
      <t>Client: Manning Immigration, Inc-</t>
    </r>
    <r>
      <rPr>
        <b/>
        <sz val="11"/>
        <color rgb="FF0000CC"/>
        <rFont val="Calibri"/>
        <family val="2"/>
        <scheme val="minor"/>
      </rPr>
      <t>Remotefist</t>
    </r>
  </si>
  <si>
    <t>Saldo final por servicios profesionales elaboración informe precios de transferencia 2024</t>
  </si>
  <si>
    <t>Factura 5784 mes de Marzo</t>
  </si>
  <si>
    <t>Impuestos, IGSS, servicios Juan, saldo precios de transfe</t>
  </si>
  <si>
    <t xml:space="preserve">Nóminas, reembolsos y factura claro </t>
  </si>
  <si>
    <t>Declaraguate ISR no residentes facturación Col Factura 5784 Marzo(15%)</t>
  </si>
  <si>
    <t>Declaraguate ISR no residentes facturación Col Factura 5784 Marzo</t>
  </si>
  <si>
    <t>Pago planilla IGSS Marzo</t>
  </si>
  <si>
    <t>Servicios profesionales Juan-Servicios prestados Marzo y ajuste de tarifas enero a marzo</t>
  </si>
  <si>
    <t>Gastos de transporte trámite bancario el día 17 marzo 2025</t>
  </si>
  <si>
    <r>
      <t xml:space="preserve">Client: Bilingual Bridges-202504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</si>
  <si>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Client:Energyzer-Ivan Chavez-Jerry García-Ronny Quan 202504-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</si>
  <si>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202504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</si>
  <si>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202504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</si>
  <si>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202504-</t>
    </r>
    <r>
      <rPr>
        <b/>
        <sz val="11"/>
        <color rgb="FFFF0000"/>
        <rFont val="Calibri"/>
        <family val="2"/>
        <scheme val="minor"/>
      </rPr>
      <t>Safeguard</t>
    </r>
  </si>
  <si>
    <r>
      <t>Client: Czarnikow- Sthepanie Rodriguez Lopez- Adicional -</t>
    </r>
    <r>
      <rPr>
        <b/>
        <sz val="11"/>
        <color rgb="FF0000CC"/>
        <rFont val="Calibri"/>
        <family val="2"/>
        <scheme val="minor"/>
      </rPr>
      <t>Remotefist</t>
    </r>
  </si>
  <si>
    <t xml:space="preserve">Declaraguate Solvencia Fiscal Abril 2025 </t>
  </si>
  <si>
    <r>
      <rPr>
        <sz val="11"/>
        <rFont val="Calibri"/>
        <family val="2"/>
        <scheme val="minor"/>
      </rPr>
      <t xml:space="preserve">Client: Czarnikow- Sthepanie Rodriguez Lopez 202504 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</si>
  <si>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Czarnikow- Sthepanie Rodriguez Lopez 202504 </t>
    </r>
    <r>
      <rPr>
        <b/>
        <sz val="11"/>
        <color rgb="FF0000CC"/>
        <rFont val="Calibri"/>
        <family val="2"/>
        <scheme val="minor"/>
      </rPr>
      <t>Remofirst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Adicional</t>
    </r>
  </si>
  <si>
    <r>
      <rPr>
        <sz val="11"/>
        <rFont val="Calibri"/>
        <family val="2"/>
        <scheme val="minor"/>
      </rPr>
      <t xml:space="preserve">Client: NotableGrowth-Miriam Lucia Morfin Gonzalez 202504 </t>
    </r>
    <r>
      <rPr>
        <b/>
        <sz val="11"/>
        <color rgb="FF0000CC"/>
        <rFont val="Calibri"/>
        <family val="2"/>
        <scheme val="minor"/>
      </rPr>
      <t>Remofirst</t>
    </r>
  </si>
  <si>
    <t>Client: Czarnikow- Sthepanie Rodriguez Lopez- Adicional -Remotefist</t>
  </si>
  <si>
    <t>Factura 5857 mes de Abril</t>
  </si>
  <si>
    <t xml:space="preserve">Pagos del 27 al 30 abril </t>
  </si>
  <si>
    <t>Client:Energyzer-Ivan Chavez-Jerry García-Ronny Quan-Safeguard</t>
  </si>
  <si>
    <t>Anticipo honorarios abogada -procuración de inscripción como garante ante la Dirección General de Migración, residencia temporal y permiso de trabajo de extranjero</t>
  </si>
  <si>
    <t>E178EDAF-226510037</t>
  </si>
  <si>
    <t>Inbers contadores Servicios contables.Actualización contable y tributaria de enero a septiembre 2024 de manera fiscal</t>
  </si>
  <si>
    <t>E2D3B580-1310607951</t>
  </si>
  <si>
    <t>Inbers contadores Servicios contables con entrega de información financiera correspondiente al periodo de marzo 2025</t>
  </si>
  <si>
    <t>Factura Claro Abril</t>
  </si>
  <si>
    <t>Transferencia de fondos de la cuenta QTQ a la USD para pago reembolsos y polizas</t>
  </si>
  <si>
    <t>Transf a cta Colombia  USD pagos facturas Marzo y abril S&amp;P Col</t>
  </si>
  <si>
    <t>Gastos financiero por transferencia fondos</t>
  </si>
  <si>
    <t>Declaraguate ISO 1er Trimestre (Ene-Marz)</t>
  </si>
  <si>
    <r>
      <rPr>
        <sz val="11"/>
        <rFont val="Calibri"/>
        <family val="2"/>
        <scheme val="minor"/>
      </rPr>
      <t>Client: Basis GlobalTechnologies-Carlos Raymundo Morales202504-</t>
    </r>
    <r>
      <rPr>
        <b/>
        <sz val="11"/>
        <color rgb="FFFF0000"/>
        <rFont val="Calibri"/>
        <family val="2"/>
        <scheme val="minor"/>
      </rPr>
      <t>Safeguard</t>
    </r>
  </si>
  <si>
    <t>Client: Basis GlobalTechnologies-Carlos Raymundo Morales202504-Safeguard</t>
  </si>
  <si>
    <t>Client: Basis GlobalTechnologies</t>
  </si>
  <si>
    <t>Carlos Raymundo Morales Santos -Basis Global Technologies -CC011</t>
  </si>
  <si>
    <t>MAYO</t>
  </si>
  <si>
    <t>Pago planilla IGSS Abril</t>
  </si>
  <si>
    <t>Servicios profesionales Juan-Servicios prestados Abril</t>
  </si>
  <si>
    <t>Saldo honorarios abogada -procuración de inscripción como garante ante la Dirección General de Migración, residencia temporal y permiso de trabajo de extranjero</t>
  </si>
  <si>
    <t>050AE6D3-734480101</t>
  </si>
  <si>
    <t>Inbers,Honorarios profesionales y factura claro</t>
  </si>
  <si>
    <t>Pagos del 01 al 25 Mayo</t>
  </si>
  <si>
    <t>Gastos tramites proceso garante Nadia Yohanna Jimenez Ramos</t>
  </si>
  <si>
    <t xml:space="preserve">Declaraguate Solvencia Fiscal Marzo 2025 </t>
  </si>
  <si>
    <r>
      <rPr>
        <sz val="11"/>
        <rFont val="Calibri"/>
        <family val="2"/>
        <scheme val="minor"/>
      </rPr>
      <t xml:space="preserve">Client: NotableGrowth-Miriam Lucia Morfin Gonzalez 202505 </t>
    </r>
    <r>
      <rPr>
        <b/>
        <sz val="11"/>
        <color rgb="FF0000CC"/>
        <rFont val="Calibri"/>
        <family val="2"/>
        <scheme val="minor"/>
      </rPr>
      <t>Remofirst</t>
    </r>
  </si>
  <si>
    <r>
      <t xml:space="preserve">Client: Bilingual Bridges-202505 </t>
    </r>
    <r>
      <rPr>
        <b/>
        <sz val="11"/>
        <color rgb="FF0000CC"/>
        <rFont val="Calibri"/>
        <family val="2"/>
        <scheme val="minor"/>
      </rPr>
      <t>Remotefist</t>
    </r>
  </si>
  <si>
    <t>Declaraguate ISR no residentes facturación Col Factura 5857Abril (15%)</t>
  </si>
  <si>
    <t>Declaraguate ISR no residentes facturación Col Factura 5857 Abril</t>
  </si>
  <si>
    <r>
      <rPr>
        <sz val="11"/>
        <rFont val="Calibri"/>
        <family val="2"/>
        <scheme val="minor"/>
      </rPr>
      <t>Client:Energyzer-Ivan Chavez-Jerry García-Ronny Quan 202505-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</si>
  <si>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202505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</si>
  <si>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202505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</si>
  <si>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202505-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</si>
  <si>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rFont val="Calibri"/>
        <family val="2"/>
        <scheme val="minor"/>
      </rPr>
      <t>Client: Basis GlobalTechnologies-Carlos Raymundo Morales202505-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</si>
  <si>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rFont val="Calibri"/>
        <family val="2"/>
        <scheme val="minor"/>
      </rPr>
      <t>Client:Careercircle, LLC-Michael Scott Edgar 202504-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</si>
  <si>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rFont val="Calibri"/>
        <family val="2"/>
        <scheme val="minor"/>
      </rPr>
      <t>Client:Careercircle, LLC-Michael Scott Edgar 202505-</t>
    </r>
    <r>
      <rPr>
        <b/>
        <sz val="11"/>
        <color rgb="FFFF0000"/>
        <rFont val="Calibri"/>
        <family val="2"/>
        <scheme val="minor"/>
      </rPr>
      <t>Safeguard</t>
    </r>
  </si>
  <si>
    <r>
      <t>Client: Basis Global Technologies-</t>
    </r>
    <r>
      <rPr>
        <b/>
        <sz val="11"/>
        <color rgb="FFFF0000"/>
        <rFont val="Calibri"/>
        <family val="2"/>
        <scheme val="minor"/>
      </rPr>
      <t>Safeguard</t>
    </r>
  </si>
  <si>
    <r>
      <t>Client: :Careercircle, LLC-</t>
    </r>
    <r>
      <rPr>
        <b/>
        <sz val="11"/>
        <color rgb="FFFF0000"/>
        <rFont val="Calibri"/>
        <family val="2"/>
        <scheme val="minor"/>
      </rPr>
      <t>Safeguard</t>
    </r>
  </si>
  <si>
    <r>
      <t>Client: :Careercircle, LLC-</t>
    </r>
    <r>
      <rPr>
        <b/>
        <sz val="11"/>
        <color rgb="FFFF0000"/>
        <rFont val="Calibri"/>
        <family val="2"/>
        <scheme val="minor"/>
      </rPr>
      <t>Safeguard</t>
    </r>
    <r>
      <rPr>
        <sz val="11"/>
        <rFont val="Calibri"/>
        <family val="2"/>
        <scheme val="minor"/>
      </rPr>
      <t>-Ingreso abril</t>
    </r>
  </si>
  <si>
    <r>
      <t>Client: Manning Immigration, Inc-</t>
    </r>
    <r>
      <rPr>
        <b/>
        <sz val="11"/>
        <color rgb="FF0000CC"/>
        <rFont val="Calibri"/>
        <family val="2"/>
        <scheme val="minor"/>
      </rPr>
      <t>Remotefist</t>
    </r>
    <r>
      <rPr>
        <sz val="11"/>
        <rFont val="Calibri"/>
        <family val="2"/>
        <scheme val="minor"/>
      </rPr>
      <t>-</t>
    </r>
    <r>
      <rPr>
        <b/>
        <i/>
        <sz val="11"/>
        <color rgb="FF00B050"/>
        <rFont val="Calibri"/>
        <family val="2"/>
        <scheme val="minor"/>
      </rPr>
      <t>Pendiente si se anula o no</t>
    </r>
  </si>
  <si>
    <r>
      <t>Póliza de salud Ivan Estuardo Chavez Morales-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</t>
    </r>
  </si>
  <si>
    <r>
      <t>Poliza de salud Rony Eduardo Quan Lam-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rFont val="Calibri"/>
        <family val="2"/>
        <scheme val="minor"/>
      </rPr>
      <t>-GM</t>
    </r>
  </si>
  <si>
    <r>
      <t>Poliza de salud Jerry García Carillo  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rFont val="Calibri"/>
        <family val="2"/>
        <scheme val="minor"/>
      </rPr>
      <t xml:space="preserve">-GM-Claudia Marisol Mayorga Ayala </t>
    </r>
  </si>
  <si>
    <r>
      <t>Póliza de salud Miriam Lucia Morfin González-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</t>
    </r>
  </si>
  <si>
    <r>
      <t>Póliza de salud Carlos Raymundo Morales Santos-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GM-</t>
    </r>
    <r>
      <rPr>
        <b/>
        <i/>
        <sz val="11"/>
        <color rgb="FF7030A0"/>
        <rFont val="Calibri"/>
        <family val="2"/>
        <scheme val="minor"/>
      </rPr>
      <t>Inclusión</t>
    </r>
  </si>
  <si>
    <r>
      <t>Póliza de salud Hector Augusto Castillo Luna-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GM-</t>
    </r>
    <r>
      <rPr>
        <b/>
        <i/>
        <sz val="11"/>
        <color rgb="FF7030A0"/>
        <rFont val="Calibri"/>
        <family val="2"/>
        <scheme val="minor"/>
      </rPr>
      <t>Inclusión</t>
    </r>
  </si>
  <si>
    <t>Viaticos reunión tramite juridico Ganate GT Juan-Abril</t>
  </si>
  <si>
    <t>Michael scott Edgar  -Basis Global Technologies -CC011</t>
  </si>
  <si>
    <r>
      <rPr>
        <sz val="11"/>
        <rFont val="Calibri"/>
        <family val="2"/>
        <scheme val="minor"/>
      </rPr>
      <t>Client:Iberia Foods LLC,-Hector Augusto Castillo Luna  202505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</si>
  <si>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t>Client: :Iberia Foods LLC</t>
    </r>
    <r>
      <rPr>
        <sz val="11"/>
        <color rgb="FF0000CC"/>
        <rFont val="Calibri"/>
        <family val="2"/>
        <scheme val="minor"/>
      </rPr>
      <t xml:space="preserve"> </t>
    </r>
    <r>
      <rPr>
        <b/>
        <sz val="11"/>
        <color rgb="FF0000CC"/>
        <rFont val="Calibri"/>
        <family val="2"/>
        <scheme val="minor"/>
      </rPr>
      <t>-Remotefist</t>
    </r>
  </si>
  <si>
    <r>
      <t>Client: :Archewll, LLC-</t>
    </r>
    <r>
      <rPr>
        <b/>
        <sz val="11"/>
        <color rgb="FFFF0000"/>
        <rFont val="Calibri"/>
        <family val="2"/>
        <scheme val="minor"/>
      </rPr>
      <t>Safeguard</t>
    </r>
  </si>
  <si>
    <t>Factura Claro Mayo</t>
  </si>
  <si>
    <t>7E143B62</t>
  </si>
  <si>
    <t>Factura 5945 mes de Mayo</t>
  </si>
  <si>
    <t>Inbers contadores Servicios contables con entrega de información financiera correspondiente al periodo de Abril 2025</t>
  </si>
  <si>
    <t>Saldo del 50% por servicios profesionales elaboración informe precios de transferencia 2024</t>
  </si>
  <si>
    <t>Reembolso Ronny Quan. Energyzer-CC003-QTQ</t>
  </si>
  <si>
    <t>Reembolso jerry García. Energyzer-CC003-QTQ</t>
  </si>
  <si>
    <t>Reembolso Ivan Chavez. Energyzer-CC003-QTQ</t>
  </si>
  <si>
    <r>
      <t>Ivan chavez. Energyzer-CC003</t>
    </r>
    <r>
      <rPr>
        <b/>
        <sz val="11"/>
        <color rgb="FF0000CC"/>
        <rFont val="Calibri"/>
        <family val="2"/>
        <scheme val="minor"/>
      </rPr>
      <t>-USD</t>
    </r>
  </si>
  <si>
    <t>Transferencia de fondo de QTZ a USD pago Reembolsos</t>
  </si>
  <si>
    <t>Hector Augusto Castillo Luna-Iberia-CC013</t>
  </si>
  <si>
    <t>Wendy Maricela Marroquin Hernandez-Archewll-CC014</t>
  </si>
  <si>
    <t>José Gilberto Villagran Soto-Archewll-CC014</t>
  </si>
  <si>
    <r>
      <t>Michael scott Edgar  -Basis Global Technologies -CC011</t>
    </r>
    <r>
      <rPr>
        <b/>
        <sz val="11"/>
        <color rgb="FF0000CC"/>
        <rFont val="Calibri"/>
        <family val="2"/>
        <scheme val="minor"/>
      </rPr>
      <t>-USD</t>
    </r>
  </si>
  <si>
    <t>Reembolso Michael scott Edgar  -Basis Global Technologies</t>
  </si>
  <si>
    <t>Reemboslo Michael scott Edgar  -Basis Global Technologies -CC011-USD</t>
  </si>
  <si>
    <r>
      <t>Client: Archewll-Carlos Raymundo Morales202505</t>
    </r>
    <r>
      <rPr>
        <b/>
        <sz val="11"/>
        <color rgb="FFFF0000"/>
        <rFont val="Calibri"/>
        <family val="2"/>
        <scheme val="minor"/>
      </rPr>
      <t>-Safeguard</t>
    </r>
  </si>
  <si>
    <r>
      <t>Client: Opportunity-Edlin Ivette Poitan</t>
    </r>
    <r>
      <rPr>
        <b/>
        <sz val="11"/>
        <color rgb="FFFF0000"/>
        <rFont val="Calibri"/>
        <family val="2"/>
        <scheme val="minor"/>
      </rPr>
      <t>-Safeguard</t>
    </r>
    <r>
      <rPr>
        <sz val="11"/>
        <rFont val="Calibri"/>
        <family val="2"/>
        <scheme val="minor"/>
      </rPr>
      <t>-</t>
    </r>
    <r>
      <rPr>
        <b/>
        <i/>
        <sz val="11"/>
        <color rgb="FF7030A0"/>
        <rFont val="Calibri"/>
        <family val="2"/>
        <scheme val="minor"/>
      </rPr>
      <t>Mayo</t>
    </r>
  </si>
  <si>
    <r>
      <t>Client: :Careercircle, LLC-</t>
    </r>
    <r>
      <rPr>
        <b/>
        <sz val="11"/>
        <color rgb="FFFF0000"/>
        <rFont val="Calibri"/>
        <family val="2"/>
        <scheme val="minor"/>
      </rPr>
      <t>Safeguard</t>
    </r>
    <r>
      <rPr>
        <sz val="11"/>
        <rFont val="Calibri"/>
        <family val="2"/>
        <scheme val="minor"/>
      </rPr>
      <t>-</t>
    </r>
    <r>
      <rPr>
        <b/>
        <i/>
        <sz val="11"/>
        <color rgb="FF7030A0"/>
        <rFont val="Calibri"/>
        <family val="2"/>
        <scheme val="minor"/>
      </rPr>
      <t>Ingreso abril</t>
    </r>
  </si>
  <si>
    <r>
      <t>Client: :Archewll, LLC-</t>
    </r>
    <r>
      <rPr>
        <b/>
        <sz val="11"/>
        <color rgb="FFFF0000"/>
        <rFont val="Calibri"/>
        <family val="2"/>
        <scheme val="minor"/>
      </rPr>
      <t>Safeguard</t>
    </r>
    <r>
      <rPr>
        <b/>
        <i/>
        <sz val="11"/>
        <color rgb="FF7030A0"/>
        <rFont val="Calibri"/>
        <family val="2"/>
        <scheme val="minor"/>
      </rPr>
      <t>-Mayo</t>
    </r>
  </si>
  <si>
    <r>
      <t>Client: :Iberia Foods LLC</t>
    </r>
    <r>
      <rPr>
        <sz val="11"/>
        <color rgb="FF0000CC"/>
        <rFont val="Calibri"/>
        <family val="2"/>
        <scheme val="minor"/>
      </rPr>
      <t xml:space="preserve"> </t>
    </r>
    <r>
      <rPr>
        <b/>
        <sz val="11"/>
        <color rgb="FF0000CC"/>
        <rFont val="Calibri"/>
        <family val="2"/>
        <scheme val="minor"/>
      </rPr>
      <t>-Remotefist</t>
    </r>
    <r>
      <rPr>
        <b/>
        <i/>
        <sz val="11"/>
        <color rgb="FF7030A0"/>
        <rFont val="Calibri"/>
        <family val="2"/>
        <scheme val="minor"/>
      </rPr>
      <t>-Mayo</t>
    </r>
  </si>
  <si>
    <t>JUNIO</t>
  </si>
  <si>
    <t>Declaraguate ISR no residentes facturación Col Factura 5945 Mayo (15%)</t>
  </si>
  <si>
    <t>Servicios profesionales Juan-Servicios prestados Mayo</t>
  </si>
  <si>
    <t>Inbers contadores Servicios contables con entrega de información financiera correspondiente al periodo de mayo 2025</t>
  </si>
  <si>
    <t>Client:Iberia Foods LLC,-Hector Augusto Castillo Luna  202505-Remofirst</t>
  </si>
  <si>
    <t>Pago planilla IGSS Mayo</t>
  </si>
  <si>
    <t>Declaraguate ISR no residentes facturación Col Factura 5945 Mayo</t>
  </si>
  <si>
    <r>
      <rPr>
        <sz val="11"/>
        <rFont val="Calibri"/>
        <family val="2"/>
        <scheme val="minor"/>
      </rPr>
      <t xml:space="preserve">Client: Czarnikow- Sthepanie Rodriguez Lopez 202505 </t>
    </r>
    <r>
      <rPr>
        <b/>
        <sz val="11"/>
        <color rgb="FF0000CC"/>
        <rFont val="Calibri"/>
        <family val="2"/>
        <scheme val="minor"/>
      </rPr>
      <t>Remofirst</t>
    </r>
  </si>
  <si>
    <t>Client: Opportunity-Edlin Ivette Poitan 202505-Safeguard</t>
  </si>
  <si>
    <t>Client: Archewll-Carlos Raymundo Morales202505-Safeguard</t>
  </si>
  <si>
    <r>
      <rPr>
        <sz val="11"/>
        <rFont val="Calibri"/>
        <family val="2"/>
        <scheme val="minor"/>
      </rPr>
      <t>Client:Energyzer-Ivan Chavez-Jerry García-Ronny Quan 202506-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</si>
  <si>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202506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</si>
  <si>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202506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</si>
  <si>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202506-</t>
    </r>
    <r>
      <rPr>
        <b/>
        <sz val="11"/>
        <color rgb="FFFF0000"/>
        <rFont val="Calibri"/>
        <family val="2"/>
        <scheme val="minor"/>
      </rPr>
      <t>Safeguard</t>
    </r>
  </si>
  <si>
    <t>Evacuación audiencia 27 mayo
IGSS notas de 308646, 308647- ( Gastos ) -Juan Santiago</t>
  </si>
  <si>
    <t>Compra de materiales de oficina mayo</t>
  </si>
  <si>
    <t>Factura 6036 mes de Junio</t>
  </si>
  <si>
    <t>Factura Claro Junio</t>
  </si>
  <si>
    <t>Client: Basis GlobalTechnologies-Carlos Raymundo Morales202505-Safeguard</t>
  </si>
  <si>
    <t>Client:Energyzer-Ivan Chavez-Jerry García-Ronny Quan 202506-Safeguard</t>
  </si>
  <si>
    <t>Client: Panthera-Barbara Isabel Escobar Anleu 202506-Safeguard</t>
  </si>
  <si>
    <t>Client: Opportunity-Edlin Ivette Poitan 202506-Safeguard</t>
  </si>
  <si>
    <t>Client:Kairos Ruth Carolina Vasquez 202506-Safeguard</t>
  </si>
  <si>
    <t>Client: Archewll-Carlos Raymundo Morales202506-Safeguard</t>
  </si>
  <si>
    <t>Pagos del 23 al 26 junio</t>
  </si>
  <si>
    <t>Client: Czarnikow- Sthepanie Rodriguez Lopez 202505 Remofirst</t>
  </si>
  <si>
    <t>Client: NotableGrowth-Miriam Lucia Morfin Gonzalez 202505 Remofirst</t>
  </si>
  <si>
    <t>Client: Bilingual Bridges-202505 Remotefist</t>
  </si>
  <si>
    <r>
      <t>Client:Global Expansion -Victor José Mocoso 202506-</t>
    </r>
    <r>
      <rPr>
        <b/>
        <sz val="11"/>
        <color rgb="FF7030A0"/>
        <rFont val="Calibri"/>
        <family val="2"/>
        <scheme val="minor"/>
      </rPr>
      <t>Global Expansion</t>
    </r>
  </si>
  <si>
    <r>
      <t>Client: Archewll-Carlos Raymundo Morales202506</t>
    </r>
    <r>
      <rPr>
        <b/>
        <sz val="11"/>
        <color rgb="FFEE0000"/>
        <rFont val="Calibri"/>
        <family val="2"/>
        <scheme val="minor"/>
      </rPr>
      <t>-Safeguard</t>
    </r>
  </si>
  <si>
    <r>
      <t>Client:Careercircle, LLC-Michael Scott Edgar 202506-</t>
    </r>
    <r>
      <rPr>
        <b/>
        <sz val="11"/>
        <color rgb="FFFF0000"/>
        <rFont val="Calibri"/>
        <family val="2"/>
        <scheme val="minor"/>
      </rPr>
      <t>Safeguard</t>
    </r>
  </si>
  <si>
    <r>
      <t>Client:Global Expansion -Cynthia Arlene Fuentes Elias 202506-</t>
    </r>
    <r>
      <rPr>
        <b/>
        <sz val="11"/>
        <color rgb="FF7030A0"/>
        <rFont val="Calibri"/>
        <family val="2"/>
        <scheme val="minor"/>
      </rPr>
      <t>Global Expansion</t>
    </r>
  </si>
  <si>
    <t>Victor Jose Moscoso Portillo -Global Expansion-CC015</t>
  </si>
  <si>
    <t>Otro Bancos</t>
  </si>
  <si>
    <t>Inbers contadores Servicios contables con entrega de información financiera correspondiente al periodo de Mayo 2025</t>
  </si>
  <si>
    <t>Póliza de Salud mes de juio</t>
  </si>
  <si>
    <t>26/06/20025</t>
  </si>
  <si>
    <t>33BCE096-1477330727</t>
  </si>
  <si>
    <t>Bibank</t>
  </si>
  <si>
    <r>
      <t>Ivan chavez. Energyzer-CC003</t>
    </r>
    <r>
      <rPr>
        <b/>
        <sz val="11"/>
        <color rgb="FF0000CC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QTQ</t>
    </r>
  </si>
  <si>
    <t>Reembolso Ronny Quan Junio</t>
  </si>
  <si>
    <t>Reembolso Ivan Chavez</t>
  </si>
  <si>
    <t>Reembolso Michael scott Edgar</t>
  </si>
  <si>
    <t>Client:Global Expansion -Victor José Mocoso 202506-Global Expansion</t>
  </si>
  <si>
    <t>Client:Global Expansion -Cynthia Arlene Fuentes Elias 202506-Global Expansion</t>
  </si>
  <si>
    <t>Reembolso Gastos Hector Augusto Castillo Luna</t>
  </si>
  <si>
    <r>
      <t>Hector Augusto Castillo Luna -CC013</t>
    </r>
    <r>
      <rPr>
        <b/>
        <sz val="11"/>
        <color rgb="FF0000CC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QTQ</t>
    </r>
  </si>
  <si>
    <t>Cynthia Arlene fuentes elias  -Global Expansion -CC015</t>
  </si>
  <si>
    <t>María Fernanda Robles Solis -Global Expansion-CC015</t>
  </si>
  <si>
    <t>For FC May</t>
  </si>
  <si>
    <t>No borrar</t>
  </si>
  <si>
    <r>
      <t>Client: :Careercircle, LLC-</t>
    </r>
    <r>
      <rPr>
        <b/>
        <sz val="11"/>
        <color rgb="FFFF0000"/>
        <rFont val="Calibri"/>
        <family val="2"/>
        <scheme val="minor"/>
      </rPr>
      <t>Safeguard</t>
    </r>
    <r>
      <rPr>
        <sz val="11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Junio</t>
    </r>
  </si>
  <si>
    <r>
      <t>Client:Kairos- Ruth Carolina Vasquez</t>
    </r>
    <r>
      <rPr>
        <b/>
        <sz val="11"/>
        <color rgb="FFFF0000"/>
        <rFont val="Calibri"/>
        <family val="2"/>
        <scheme val="minor"/>
      </rPr>
      <t>-Safeguard</t>
    </r>
  </si>
  <si>
    <t>Declaraguate ISR no residentes facturación Col Factura 6036 Junio (15%)</t>
  </si>
  <si>
    <t>Servicios profesionales Juan-Servicios prestados Junio</t>
  </si>
  <si>
    <t>Inbers contadores Servicios contables con entrega de información financiera correspondiente al periodo de Junio 2025</t>
  </si>
  <si>
    <t xml:space="preserve">Factura claro y Pólizas </t>
  </si>
  <si>
    <t>Pagos del 01 al 27 Julio</t>
  </si>
  <si>
    <r>
      <rPr>
        <sz val="11"/>
        <rFont val="Calibri"/>
        <family val="2"/>
        <scheme val="minor"/>
      </rPr>
      <t xml:space="preserve">Client: Czarnikow- Sthepanie Rodriguez Lopez 202506 </t>
    </r>
    <r>
      <rPr>
        <b/>
        <sz val="11"/>
        <color rgb="FF0000CC"/>
        <rFont val="Calibri"/>
        <family val="2"/>
        <scheme val="minor"/>
      </rPr>
      <t>Remofirst</t>
    </r>
  </si>
  <si>
    <r>
      <t xml:space="preserve">Client: Bilingual Bridges-202506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</si>
  <si>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Client:Iberia Foods LLC,-Hector Augusto Castillo Luna  202506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</si>
  <si>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Czarnikow- Sthepanie Rodriguez Lopez 202507 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</si>
  <si>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NotableGrowth-Miriam Lucia Morfin Gonzalez 202507 </t>
    </r>
    <r>
      <rPr>
        <b/>
        <sz val="11"/>
        <color rgb="FF0000CC"/>
        <rFont val="Calibri"/>
        <family val="2"/>
        <scheme val="minor"/>
      </rPr>
      <t>Remofirst</t>
    </r>
  </si>
  <si>
    <r>
      <t xml:space="preserve">Client: Bilingual Bridges-202507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</si>
  <si>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Client:Iberia Foods LLC,-Hector Augusto Castillo Luna  202507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</si>
  <si>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t>Client:Careercircle, LLC-Michael Scott Edgar 202506-Safeguard</t>
  </si>
  <si>
    <t>Declaraguate ISR no residentes facturación Col Factura 6036 Junio</t>
  </si>
  <si>
    <r>
      <rPr>
        <sz val="11"/>
        <rFont val="Calibri"/>
        <family val="2"/>
        <scheme val="minor"/>
      </rPr>
      <t>Client:Energyzer-Ivan Chavez-Jerry García-Ronny Quan 202507-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</si>
  <si>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202507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</si>
  <si>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202507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</si>
  <si>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202507-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</si>
  <si>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rFont val="Calibri"/>
        <family val="2"/>
        <scheme val="minor"/>
      </rPr>
      <t>Client: Basis GlobalTechnologies-Carlos Raymundo Morales202507-</t>
    </r>
    <r>
      <rPr>
        <b/>
        <sz val="11"/>
        <color rgb="FFFF0000"/>
        <rFont val="Calibri"/>
        <family val="2"/>
        <scheme val="minor"/>
      </rPr>
      <t>Safeguard</t>
    </r>
  </si>
  <si>
    <r>
      <t>Client:Careercircle, LLC-Michael Scott Edgar 202507-</t>
    </r>
    <r>
      <rPr>
        <b/>
        <sz val="11"/>
        <color rgb="FFFF0000"/>
        <rFont val="Calibri"/>
        <family val="2"/>
        <scheme val="minor"/>
      </rPr>
      <t>Safeguard</t>
    </r>
  </si>
  <si>
    <r>
      <t>Client: Archewll-Carlos Raymundo Morales202507</t>
    </r>
    <r>
      <rPr>
        <b/>
        <sz val="11"/>
        <color rgb="FFEE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</si>
  <si>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Highspring-Joshua Esteban Lopez Fernandez  202507</t>
    </r>
    <r>
      <rPr>
        <b/>
        <sz val="11"/>
        <color rgb="FFFF0000"/>
        <rFont val="Calibri"/>
        <family val="2"/>
        <scheme val="minor"/>
      </rPr>
      <t>-Safeguard</t>
    </r>
  </si>
  <si>
    <r>
      <t>Client: :Highspring, LLC-</t>
    </r>
    <r>
      <rPr>
        <b/>
        <sz val="11"/>
        <color rgb="FFFF0000"/>
        <rFont val="Calibri"/>
        <family val="2"/>
        <scheme val="minor"/>
      </rPr>
      <t>Safeguard</t>
    </r>
  </si>
  <si>
    <r>
      <t>Client:Global Expansion -Victor José Mocoso y Cynthia Arlene Fuentes 202507-</t>
    </r>
    <r>
      <rPr>
        <b/>
        <sz val="11"/>
        <color rgb="FF7030A0"/>
        <rFont val="Calibri"/>
        <family val="2"/>
        <scheme val="minor"/>
      </rPr>
      <t>Global Expansion</t>
    </r>
  </si>
  <si>
    <r>
      <t>Client:Global Expansion -Victor José Mocoso y Cynthia Arlene Fuentes-</t>
    </r>
    <r>
      <rPr>
        <b/>
        <sz val="11"/>
        <color rgb="FF7030A0"/>
        <rFont val="Calibri"/>
        <family val="2"/>
        <scheme val="minor"/>
      </rPr>
      <t>Global Expansion</t>
    </r>
  </si>
  <si>
    <t>7A67956C1E24</t>
  </si>
  <si>
    <t>Servicios de transporte gestiones BAC 27 junio</t>
  </si>
  <si>
    <t>62E4E2D24E06</t>
  </si>
  <si>
    <t xml:space="preserve"> 96212A26-409224932</t>
  </si>
  <si>
    <t>Declaraguate ISO 2do trimestre (Abr-Junio 2025)</t>
  </si>
  <si>
    <t>Client:Global Expansion</t>
  </si>
  <si>
    <t>Client:Kairos-Safeguard</t>
  </si>
  <si>
    <t>Client: Opportunity-Safeguard</t>
  </si>
  <si>
    <t>Client: Basis Global Technologies-Safeguard</t>
  </si>
  <si>
    <t>Client: Archewll-Safeguard</t>
  </si>
  <si>
    <t>Client: :Iberia Foods LLC -Remotefist</t>
  </si>
  <si>
    <t>Client: Czarnikow-Remotefist</t>
  </si>
  <si>
    <t>Liza Marlene Torres Valdes  -Vinmar international -CC016</t>
  </si>
  <si>
    <t>Douglas Miguel Villa Fuerte Leiva  -Archell -CC014</t>
  </si>
  <si>
    <t>Joshua Esteban Lopez Fernandez   -Highspring-CC017</t>
  </si>
  <si>
    <t>María Fernanda Robles Solis -Oportunity-CC006</t>
  </si>
  <si>
    <t>Carlos Alejandro Montiel Lorenzana--Archell -CC014</t>
  </si>
  <si>
    <t>Wendy Maricela Marroquin Hernandez-Archewll-CC014-Pago duplicado</t>
  </si>
  <si>
    <t>Póliza de Salud mes de julio</t>
  </si>
  <si>
    <t>Factura Claro Julio</t>
  </si>
  <si>
    <r>
      <t>Carlos Raymundo Morales Santos -Basis Global Technologies -CC011</t>
    </r>
    <r>
      <rPr>
        <b/>
        <sz val="11"/>
        <color rgb="FFFF0000"/>
        <rFont val="Calibri"/>
        <family val="2"/>
        <scheme val="minor"/>
      </rPr>
      <t>-QTQ</t>
    </r>
  </si>
  <si>
    <t>Transferencia de fondo para pago reembolsos Jerry Garcia</t>
  </si>
  <si>
    <t xml:space="preserve">Reembolso Jerry Garcia </t>
  </si>
  <si>
    <t>Reembolso Ronny Quan Julio</t>
  </si>
  <si>
    <t>Reembolso Carlos Raymundo Morales Santos</t>
  </si>
  <si>
    <t>SafeGuard World International Global Payroll UK Limited  Client: Energyzer</t>
  </si>
  <si>
    <t>SafeGuard World International Global Payroll UK Limited Client: Kairos</t>
  </si>
  <si>
    <t>SafeGuard World International Global Payroll UK Limited Client: Opportunity</t>
  </si>
  <si>
    <t>SafeGuard World International Global Payroll UK Limited Client:Panthera</t>
  </si>
  <si>
    <t xml:space="preserve">SafeGuard World International Global Payroll UK Limited - Basis Global Technologies </t>
  </si>
  <si>
    <t>SafeGuard World International Global Payroll UK Limited Client: Careercircle, LLC</t>
  </si>
  <si>
    <t>SafeGuard World International Global Payroll UK Limited Client: Archewll</t>
  </si>
  <si>
    <t>SafeGuard World International Global Payroll UK Limited Client: Highspring</t>
  </si>
  <si>
    <t>Fact USD</t>
  </si>
  <si>
    <t>Fact QTZ</t>
  </si>
  <si>
    <t>Rec USD</t>
  </si>
  <si>
    <t>Cliente</t>
  </si>
  <si>
    <t>Total</t>
  </si>
  <si>
    <t>Fech Rec</t>
  </si>
  <si>
    <t>Rec  QTZ</t>
  </si>
  <si>
    <t xml:space="preserve">Total </t>
  </si>
  <si>
    <t>Date</t>
  </si>
  <si>
    <t>client</t>
  </si>
  <si>
    <t>Value</t>
  </si>
  <si>
    <t>Pending payment</t>
  </si>
  <si>
    <t>Client: Careercircle, LLC-Safeguard</t>
  </si>
  <si>
    <r>
      <t>Client: Archewll-Carlos Alejandro Montiel 202507</t>
    </r>
    <r>
      <rPr>
        <b/>
        <sz val="11"/>
        <color rgb="FFEE0000"/>
        <rFont val="Calibri"/>
        <family val="2"/>
        <scheme val="minor"/>
      </rPr>
      <t>-Safeguard</t>
    </r>
  </si>
  <si>
    <t>Ingreso dinero devolución  de doble pago Wendy Maricela Marroquin Hernandez-Archewll</t>
  </si>
  <si>
    <r>
      <t xml:space="preserve">Payroll Cost &amp; Expenses  202507 - </t>
    </r>
    <r>
      <rPr>
        <b/>
        <sz val="11"/>
        <color rgb="FF7030A0"/>
        <rFont val="Calibri"/>
        <family val="2"/>
        <scheme val="minor"/>
      </rPr>
      <t>Client: Global Expansion</t>
    </r>
  </si>
  <si>
    <t>For FC July</t>
  </si>
  <si>
    <r>
      <t>Wendy Maricela Marroquin Hernandez-Archewll-CC014</t>
    </r>
    <r>
      <rPr>
        <b/>
        <sz val="11"/>
        <color rgb="FFFF0000"/>
        <rFont val="Calibri"/>
        <family val="2"/>
        <scheme val="minor"/>
      </rPr>
      <t>-Doble pago</t>
    </r>
  </si>
  <si>
    <r>
      <t>Client:Energyzer-Ivan Chavez-Jerry García-Ronny Quan</t>
    </r>
    <r>
      <rPr>
        <b/>
        <sz val="11"/>
        <color rgb="FFFF0000"/>
        <rFont val="Calibri"/>
        <family val="2"/>
        <scheme val="minor"/>
      </rPr>
      <t>-Safeguard</t>
    </r>
    <r>
      <rPr>
        <sz val="11"/>
        <rFont val="Calibri"/>
        <family val="2"/>
        <scheme val="minor"/>
      </rPr>
      <t>-</t>
    </r>
    <r>
      <rPr>
        <b/>
        <sz val="11"/>
        <color rgb="FF7030A0"/>
        <rFont val="Calibri"/>
        <family val="2"/>
        <scheme val="minor"/>
      </rPr>
      <t>Julio</t>
    </r>
  </si>
  <si>
    <r>
      <t>Client: :Archewll, LLC-</t>
    </r>
    <r>
      <rPr>
        <b/>
        <sz val="11"/>
        <color rgb="FFFF0000"/>
        <rFont val="Calibri"/>
        <family val="2"/>
        <scheme val="minor"/>
      </rPr>
      <t>Safeguard</t>
    </r>
    <r>
      <rPr>
        <sz val="11"/>
        <rFont val="Calibri"/>
        <family val="2"/>
        <scheme val="minor"/>
      </rPr>
      <t>-</t>
    </r>
    <r>
      <rPr>
        <b/>
        <sz val="11"/>
        <color rgb="FF7030A0"/>
        <rFont val="Calibri"/>
        <family val="2"/>
        <scheme val="minor"/>
      </rPr>
      <t>Julio</t>
    </r>
  </si>
  <si>
    <r>
      <t>Client: :Highspring, LLC-</t>
    </r>
    <r>
      <rPr>
        <b/>
        <sz val="11"/>
        <color rgb="FFFF0000"/>
        <rFont val="Calibri"/>
        <family val="2"/>
        <scheme val="minor"/>
      </rPr>
      <t>Safeguard</t>
    </r>
    <r>
      <rPr>
        <sz val="11"/>
        <rFont val="Calibri"/>
        <family val="2"/>
        <scheme val="minor"/>
      </rPr>
      <t>-</t>
    </r>
    <r>
      <rPr>
        <b/>
        <sz val="11"/>
        <color rgb="FF7030A0"/>
        <rFont val="Calibri"/>
        <family val="2"/>
        <scheme val="minor"/>
      </rPr>
      <t>Julio</t>
    </r>
  </si>
  <si>
    <r>
      <t>Client:Global Expansion -Victor José Mocoso y Cynthia Arlene Fuentes-</t>
    </r>
    <r>
      <rPr>
        <b/>
        <sz val="11"/>
        <color theme="1"/>
        <rFont val="Calibri"/>
        <family val="2"/>
        <scheme val="minor"/>
      </rPr>
      <t>Global Expansion</t>
    </r>
  </si>
  <si>
    <t>Declaraguate ISR no residentes facturación Col Factura 6134 Julio (15%)</t>
  </si>
  <si>
    <t>Pago planilla IGSS Julio</t>
  </si>
  <si>
    <t>Inbers contadores Servicios contables con entrega de información financiera correspondiente al periodo de Julio 2025</t>
  </si>
  <si>
    <t>Factura 6135 mes de Julio</t>
  </si>
  <si>
    <t xml:space="preserve">Nóminas, reembolsos, polizas, factura claro,Inbers y servicios Juan, </t>
  </si>
  <si>
    <t xml:space="preserve">Impuestos, </t>
  </si>
  <si>
    <t>IGSS</t>
  </si>
  <si>
    <t>Rectificación de IVA</t>
  </si>
  <si>
    <t>Client: Global Expansion</t>
  </si>
  <si>
    <t>Client: Archewll-Carlos Alejandro Montiel 202507-Safeguard</t>
  </si>
  <si>
    <t>Client: Highspring-Joshua Esteban Lopez Fernandez  202507-Safeguard</t>
  </si>
  <si>
    <t>Pagado el 08 de agosto</t>
  </si>
  <si>
    <t>Nadia Yohana, jimenez Ramos Elaboración de informe y  capacitación sobre aspectos de derechos laborales.-Redacción de rectificación de contrato individual de trabajo.</t>
  </si>
  <si>
    <t>Servicios profesionales Juan-Servicios prestados Julio S&amp;P</t>
  </si>
  <si>
    <t>Servicios inscripción a entidades gubernamentales a Safeguard</t>
  </si>
  <si>
    <t>Client:Energyzer-Ivan Chavez-Jerry García-Ronny Quan-Safeguard-Julio</t>
  </si>
  <si>
    <t>Pago planilla IGSS Junio</t>
  </si>
  <si>
    <r>
      <rPr>
        <sz val="11"/>
        <rFont val="Calibri"/>
        <family val="2"/>
        <scheme val="minor"/>
      </rPr>
      <t>Client:Energyzer-Ivan Chavez-Jerry García-Ronny Quan 202508-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</si>
  <si>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 Ruth Carolina Vasquez 202508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</si>
  <si>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Opportunity-Edlin Ivette Poitan 202508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</si>
  <si>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Panthera-Barbara Isabel Escobar Anleu 202508-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</si>
  <si>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rFont val="Calibri"/>
        <family val="2"/>
        <scheme val="minor"/>
      </rPr>
      <t>Client: Basis GlobalTechnologies-Carlos Raymundo Morales202508-</t>
    </r>
    <r>
      <rPr>
        <b/>
        <sz val="11"/>
        <color rgb="FFFF0000"/>
        <rFont val="Calibri"/>
        <family val="2"/>
        <scheme val="minor"/>
      </rPr>
      <t>Safeguard</t>
    </r>
  </si>
  <si>
    <r>
      <t>Client:Careercircle, LLC-Michael Scott Edgar 202508-</t>
    </r>
    <r>
      <rPr>
        <b/>
        <sz val="11"/>
        <color rgb="FFFF0000"/>
        <rFont val="Calibri"/>
        <family val="2"/>
        <scheme val="minor"/>
      </rPr>
      <t>Safeguard</t>
    </r>
  </si>
  <si>
    <r>
      <t>Client: Archewll-Carlos Raymundo Morales202508</t>
    </r>
    <r>
      <rPr>
        <b/>
        <sz val="11"/>
        <color rgb="FFEE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</si>
  <si>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Highspring-Joshua Esteban Lopez Fernandez  202508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</si>
  <si>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 xml:space="preserve">Client: Czarnikow- Sthepanie Rodriguez Lopez 202508 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</si>
  <si>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NotableGrowth-Miriam Lucia Morfin Gonzalez 202508 </t>
    </r>
    <r>
      <rPr>
        <b/>
        <sz val="11"/>
        <color rgb="FF0000CC"/>
        <rFont val="Calibri"/>
        <family val="2"/>
        <scheme val="minor"/>
      </rPr>
      <t>Remofirst</t>
    </r>
  </si>
  <si>
    <r>
      <t xml:space="preserve">Client: Bilingual Bridges-202508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</si>
  <si>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Client:Iberia Foods LLC,-Hector Augusto Castillo Luna  202508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</si>
  <si>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>Client: Vinmar International,-Liza Marlene Torres valdes  202508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</si>
  <si>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t>Client:Energyzer-Ivan Chavez-Jerry García-Ronny Quan 202508-Safeguard</t>
  </si>
  <si>
    <t>Client:Global Expansion -Victor José Mocoso y Cynthia Arlene Fuentes 202507-Global Expansion</t>
  </si>
  <si>
    <t>Client:Kairos Ruth Carolina Vasquez 202508-Safeguard</t>
  </si>
  <si>
    <t>Client: Opportunity-Edlin Ivette Poitan 202508-Safeguard</t>
  </si>
  <si>
    <t>Client: Panthera-Barbara Isabel Escobar Anleu 202508-Safeguard</t>
  </si>
  <si>
    <t>Client: Basis GlobalTechnologies-Carlos Raymundo Morales202508-Safeguard</t>
  </si>
  <si>
    <t>Client:Careercircle, LLC-Michael Scott Edgar 202508-Safeguard</t>
  </si>
  <si>
    <t>Client: Highspring-Joshua Esteban Lopez Fernandez  202508-Safeguard</t>
  </si>
  <si>
    <r>
      <t>Client:Energyzer-Ivan Chavez-Jerry García-Ronny Quan 202508-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</si>
  <si>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rFont val="Calibri"/>
        <family val="2"/>
        <scheme val="minor"/>
      </rPr>
      <t>Client: Vinmar International,-Liza Marlene Torres valdes  202507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</si>
  <si>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t>Client: Vinmar International,-Liza Marlene Torres valdes  202507-Remofirst</t>
  </si>
  <si>
    <t>Client: Czarnikow- Sthepanie Rodriguez Lopez 202508 Remofirst</t>
  </si>
  <si>
    <t>Client: NotableGrowth-Miriam Lucia Morfin Gonzalez 202508 Remofirst</t>
  </si>
  <si>
    <t>Client: Bilingual Bridges-202508 Remotefist</t>
  </si>
  <si>
    <t>Client:Iberia Foods LLC,-Hector Augusto Castillo Luna  202508-Remofirst</t>
  </si>
  <si>
    <t>Client: Vinmar International,-Liza Marlene Torres valdes  202508-Remofirst</t>
  </si>
  <si>
    <r>
      <t>Client: Vinmar International,-Liza Marlene Torres valdes  202507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</si>
  <si>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t>America Ctral</t>
  </si>
  <si>
    <t>G&amp;T Cont</t>
  </si>
  <si>
    <t>Rural</t>
  </si>
  <si>
    <t>International</t>
  </si>
  <si>
    <r>
      <t>Jerry Garcia. Energyzer-CC003</t>
    </r>
    <r>
      <rPr>
        <b/>
        <sz val="11"/>
        <color rgb="FF0000CC"/>
        <rFont val="Calibri"/>
        <family val="2"/>
        <scheme val="minor"/>
      </rPr>
      <t>-USD</t>
    </r>
  </si>
  <si>
    <t>Transferencia de fondos a cta de USD -pago polizas y reembolso</t>
  </si>
  <si>
    <t>Transferencia de fondo para pago reembolsos y polizas</t>
  </si>
  <si>
    <t>Reembolso Ronny Quan agosto</t>
  </si>
  <si>
    <t>Factura Claro Agosto</t>
  </si>
  <si>
    <t>Póliza de Salud mes de Agosto</t>
  </si>
  <si>
    <t>Reembolso Jerry Garcia</t>
  </si>
  <si>
    <t>Servicios  Servicios de transporte TRAMITES S&amp;P Julio</t>
  </si>
  <si>
    <t>Servicios profesionales, transporte e inscripción a entidades de S&amp;P y safeguard Juan-Servicios prestados Julio y agosto</t>
  </si>
  <si>
    <t>Inbers contadores Servicios contables con entrega de información financiera correspondiente al periodo de julio S&amp;P y SG 2025</t>
  </si>
  <si>
    <t>Factura 6193 mes de Agosto</t>
  </si>
  <si>
    <t>Previsto Sept</t>
  </si>
  <si>
    <t>Pagos del 25 al 31 Agosto</t>
  </si>
  <si>
    <t>Transf a cta Colombia  USD pagos facturas Mayo a Agosto S&amp;P Col</t>
  </si>
  <si>
    <t>Costo de envio al exterior pagos facturas a S&amp;P col</t>
  </si>
  <si>
    <t>Natali Gabriela Ziller Santos -Bilingual Bridges -CC009- Liquidación Prestaciones Social</t>
  </si>
  <si>
    <t>CO-26649</t>
  </si>
  <si>
    <t>Anticipo 50%  trabajos Watsy Cotización  CO-26649</t>
  </si>
  <si>
    <t>Pago oficina virtual 02 de septiembre de 2025 al 01 de abril de 2026 -ETC Working</t>
  </si>
  <si>
    <t>Pago oficina virtual -ETC Working Factura  693455669</t>
  </si>
  <si>
    <t>Inbers contadores Servicios contables con entrega de información financiera correspondiente al periodo de Agosto 2025</t>
  </si>
  <si>
    <t>For FC September</t>
  </si>
  <si>
    <t>For FC August</t>
  </si>
  <si>
    <r>
      <t>Client: :Archewll, LLC-</t>
    </r>
    <r>
      <rPr>
        <b/>
        <sz val="11"/>
        <color rgb="FFFF0000"/>
        <rFont val="Calibri"/>
        <family val="2"/>
        <scheme val="minor"/>
      </rPr>
      <t>Safeguard</t>
    </r>
    <r>
      <rPr>
        <sz val="11"/>
        <rFont val="Calibri"/>
        <family val="2"/>
        <scheme val="minor"/>
      </rPr>
      <t>-Agosto</t>
    </r>
  </si>
  <si>
    <t>Pago planilla IGSS agosto</t>
  </si>
  <si>
    <t>Declaraguate ISR no residentes facturación Col Factura 6193 Agosto (15%)</t>
  </si>
  <si>
    <t>Saldo final trabajos Watsy Cotización  CO-26649</t>
  </si>
  <si>
    <t>SERVICIOS PROFESIONALES -REPRESENTACIÓN LEGAL -GASTOS DE OFICINA</t>
  </si>
  <si>
    <t>Pagos del 01 al 21 Sept</t>
  </si>
  <si>
    <t xml:space="preserve"> E320000000003</t>
  </si>
  <si>
    <t>Servicio de representación, diligencia de alta TSS y ministerio Grupo CGR Lawyer</t>
  </si>
  <si>
    <t>Gastos financieros de envio</t>
  </si>
  <si>
    <t>Client: :Archewll, LLC-Safeguard-Agosto</t>
  </si>
  <si>
    <t>GRAN TOTAL</t>
  </si>
  <si>
    <t>Servicios Juan Santiago</t>
  </si>
  <si>
    <r>
      <t xml:space="preserve">Client: Bilingual Bridges-202509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</si>
  <si>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Client:Energyzer- 202509-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</si>
  <si>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 xml:space="preserve">Client:Kairos 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</si>
  <si>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Opportunity-202509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</si>
  <si>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Panthera-202509-</t>
    </r>
    <r>
      <rPr>
        <b/>
        <sz val="11"/>
        <color rgb="FFFF0000"/>
        <rFont val="Calibri"/>
        <family val="2"/>
        <scheme val="minor"/>
      </rPr>
      <t>Safeguard</t>
    </r>
  </si>
  <si>
    <r>
      <t>Client:Careercircle, LLC-202509-</t>
    </r>
    <r>
      <rPr>
        <b/>
        <sz val="11"/>
        <color rgb="FFFF0000"/>
        <rFont val="Calibri"/>
        <family val="2"/>
        <scheme val="minor"/>
      </rPr>
      <t>Safeguard</t>
    </r>
  </si>
  <si>
    <r>
      <t>Client: Archewll-202509</t>
    </r>
    <r>
      <rPr>
        <b/>
        <sz val="11"/>
        <color rgb="FFEE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</si>
  <si>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Highspring-202509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</si>
  <si>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 xml:space="preserve">Client: Czarnikow-202509 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</si>
  <si>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NotableGrowth-202509 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</si>
  <si>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>Client:Iberia Foods LLC,-202509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</si>
  <si>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>Client: Vinmar International,-202509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</si>
  <si>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t>Transferencia de Prefondeo cuenta global Republica Dominicana</t>
  </si>
  <si>
    <t>Diplomado en leyes laborales Guatemala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</si>
  <si>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sept. 2025</t>
    </r>
  </si>
  <si>
    <t>Servicios prestados de representación mes de agosto de 2025</t>
  </si>
  <si>
    <t>Servicios de transporte envío documentos Jerry Jose Gulrto Villagran- Servicios de transporte reunion firmas documentos para migración el 18 de
 agosto</t>
  </si>
  <si>
    <t>63129/104141</t>
  </si>
  <si>
    <t xml:space="preserve">Compra de pintura adecuación espacio para la visita de migración </t>
  </si>
  <si>
    <r>
      <t>Client:Global Expansion -202509-</t>
    </r>
    <r>
      <rPr>
        <b/>
        <sz val="11"/>
        <color rgb="FF7030A0"/>
        <rFont val="Calibri"/>
        <family val="2"/>
        <scheme val="minor"/>
      </rPr>
      <t>Global Expansion</t>
    </r>
  </si>
  <si>
    <t>Client:Global Expansion -202509-Global Expansion</t>
  </si>
  <si>
    <t>Penny Test Jorge Benjamin Granados Anderson</t>
  </si>
  <si>
    <t>Penny Test Ana Isabel Pinillos Melville</t>
  </si>
  <si>
    <t>Penny Test Domenica Georgina Samayoa Ramirez</t>
  </si>
  <si>
    <t>Penny Test Rudy Renato Chic Arriaza</t>
  </si>
  <si>
    <t>Penny Test Carlos Raymundo Morales Santos</t>
  </si>
  <si>
    <t>Liquidación carlos Raymundo Morales Santos</t>
  </si>
  <si>
    <t>Liquidación Carlos Raymundo Morales Santos</t>
  </si>
  <si>
    <t>Client: Czarnikow-202509 Remofirst</t>
  </si>
  <si>
    <t>Client: NotableGrowth-202509 Remofirst</t>
  </si>
  <si>
    <t>Client: Bilingual Bridges-202509 Remotefist</t>
  </si>
  <si>
    <t>Client:Iberia Foods LLC,-202509-Remofirst</t>
  </si>
  <si>
    <t>Client: Vinmar International,-202509-Remofirst</t>
  </si>
  <si>
    <t>Factura Claro</t>
  </si>
  <si>
    <t>NÓMINA SAFEGUARD</t>
  </si>
  <si>
    <t>Rudy Renato Chic Arriaza</t>
  </si>
  <si>
    <t>Jorge Benjamin Granados Anderson</t>
  </si>
  <si>
    <t>Carlos Raymundo Morales Santos</t>
  </si>
  <si>
    <t>Ana Isabel Pinillos Melville</t>
  </si>
  <si>
    <t>Domenica Georgina Samayoa Ramirez</t>
  </si>
  <si>
    <t>Client:Energyzer- 202509-Safeguard</t>
  </si>
  <si>
    <t>Client:Kairos -Safeguard</t>
  </si>
  <si>
    <t>Client: Panthera-202509-Safeguard</t>
  </si>
  <si>
    <t>Client: Archewll-202509-Safeguard</t>
  </si>
  <si>
    <t>Client: Highspring-202509-Safeguard</t>
  </si>
  <si>
    <t xml:space="preserve">Póliza de Salud mes de Septiembre </t>
  </si>
  <si>
    <t>Transferencia de fondo para pagoPolizas y reembolso</t>
  </si>
  <si>
    <r>
      <t>Ivan Estuardo Chavez. Energyzer-CC003</t>
    </r>
    <r>
      <rPr>
        <b/>
        <sz val="11"/>
        <color rgb="FF0000CC"/>
        <rFont val="Calibri"/>
        <family val="2"/>
        <scheme val="minor"/>
      </rPr>
      <t>-USD</t>
    </r>
  </si>
  <si>
    <t>Reembolso Jerry Garcia. Energyzer</t>
  </si>
  <si>
    <t>Reembolso Ronny Quan. Energyzer</t>
  </si>
  <si>
    <t>Reembolso Ivan Estuardo Chavez</t>
  </si>
  <si>
    <t>Transferencia de fondo para pago Polizas</t>
  </si>
  <si>
    <t>Factura Claro Septiembre</t>
  </si>
  <si>
    <r>
      <t>Hector Augusto Castillo Luna-Iberia-CC013</t>
    </r>
    <r>
      <rPr>
        <b/>
        <sz val="11"/>
        <color rgb="FF0000CC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QTQ</t>
    </r>
  </si>
  <si>
    <t>Reembolso Hector Augusto Castillo Luna-Iberia</t>
  </si>
  <si>
    <t>Transferencia de fondo para pago Reembolsos</t>
  </si>
  <si>
    <r>
      <t>Client:Safeguard -202509-</t>
    </r>
    <r>
      <rPr>
        <b/>
        <i/>
        <sz val="11"/>
        <color rgb="FF00B050"/>
        <rFont val="Calibri"/>
        <family val="2"/>
        <scheme val="minor"/>
      </rPr>
      <t>Nómina Directa</t>
    </r>
  </si>
  <si>
    <r>
      <t xml:space="preserve">Client: </t>
    </r>
    <r>
      <rPr>
        <b/>
        <sz val="11"/>
        <color rgb="FF00B050"/>
        <rFont val="Calibri"/>
        <family val="2"/>
        <scheme val="minor"/>
      </rPr>
      <t>Safeguard Nomina directa</t>
    </r>
  </si>
  <si>
    <r>
      <t>Client: :Careercircle, LLC-</t>
    </r>
    <r>
      <rPr>
        <b/>
        <sz val="11"/>
        <rFont val="Calibri"/>
        <family val="2"/>
        <scheme val="minor"/>
      </rPr>
      <t>Safeguard</t>
    </r>
  </si>
  <si>
    <t>Client: Safeguard Nomina directa</t>
  </si>
  <si>
    <t>Client: Opportunity-202509-Safeguard</t>
  </si>
  <si>
    <t>Client:Careercircle, LLC-202509-Safeguard</t>
  </si>
  <si>
    <t xml:space="preserve">Juan Santiago, transporte e inscripción a entidades de S&amp;P Juan-Servicios prestados S&amp;P Agostos y safeguard Septiembre </t>
  </si>
  <si>
    <t>Habilitación de Libros contables</t>
  </si>
  <si>
    <r>
      <t xml:space="preserve">Client: </t>
    </r>
    <r>
      <rPr>
        <b/>
        <sz val="11"/>
        <color rgb="FF7030A0"/>
        <rFont val="Calibri"/>
        <family val="2"/>
        <scheme val="minor"/>
      </rPr>
      <t>Safeguard Prefondeo Nómina 1Q  Septiembre - Global  República Dominicana</t>
    </r>
  </si>
  <si>
    <t>Client:Safeguard -afeguard Prefondeo Nómina 1Q  Septiembre - Global  República Dominicana</t>
  </si>
  <si>
    <t>Costo de envio al exterior fondeo a cta Grupo CRG Lawyer -RD</t>
  </si>
  <si>
    <t>Costo de envio al exterior prefondeo a cta Grupo CRG Lawyer -RD</t>
  </si>
  <si>
    <t>Transferencia fondeo cuenta global Republica Dominicana 1e a quincena Octubre</t>
  </si>
  <si>
    <t>OCTUBRE</t>
  </si>
  <si>
    <t>Inbers contadores Servicios contables con entrega de información financiera correspondiente al periodo de Septiembre 2025</t>
  </si>
  <si>
    <t>LIQUIDACIONES</t>
  </si>
  <si>
    <t>Client: Safeguard Prefondeo Nómina 1Q  Septiembre - Global  República Dominicana</t>
  </si>
  <si>
    <t>Habilitación de registro mercantil-SAT</t>
  </si>
  <si>
    <t xml:space="preserve"> E320000000006</t>
  </si>
  <si>
    <t>Declaraguate ISR No Residentes / Grupo CGR Lawyer</t>
  </si>
  <si>
    <t>Declaraguate ISR no residentes facturación Col Factura 6302 Septiembre (15%)</t>
  </si>
  <si>
    <t>Declaraguate ISR Retenido Actividades Lucrativas </t>
  </si>
  <si>
    <t>Declaraguate ISR Agosto - Safeguard</t>
  </si>
  <si>
    <t xml:space="preserve">Jorge Benjamin Granados Anderson-Adelanto gastos </t>
  </si>
  <si>
    <t>Comisión Odalis Alejandra Reyes Pirir</t>
  </si>
  <si>
    <t>Traslado de fondo a cta USD para pago anticipo nómina</t>
  </si>
  <si>
    <t xml:space="preserve">Adelanto de gastos Jorge Bejamin Granados </t>
  </si>
  <si>
    <t>Client:Safeguard -afeguard Prefondeo Nómina 1Q  Octubre - Global  República Dominicana</t>
  </si>
  <si>
    <r>
      <t xml:space="preserve">Client: </t>
    </r>
    <r>
      <rPr>
        <b/>
        <sz val="11"/>
        <color rgb="FF7030A0"/>
        <rFont val="Calibri"/>
        <family val="2"/>
        <scheme val="minor"/>
      </rPr>
      <t>Safeguard Prefondeo Nómina 1Q  Octubre - Global  República Dominicana</t>
    </r>
  </si>
  <si>
    <t>Client: Safeguard Prefondeo Nómina 1Q  Octubre - Global  República Dominicana</t>
  </si>
  <si>
    <r>
      <t>Client:Panduit Expenses, LLC-202510-</t>
    </r>
    <r>
      <rPr>
        <b/>
        <sz val="11"/>
        <color rgb="FFFF0000"/>
        <rFont val="Calibri"/>
        <family val="2"/>
        <scheme val="minor"/>
      </rPr>
      <t>Safeguard</t>
    </r>
  </si>
  <si>
    <r>
      <t>Client:Panduit Expenses</t>
    </r>
    <r>
      <rPr>
        <b/>
        <sz val="11"/>
        <color rgb="FFFF0000"/>
        <rFont val="Calibri"/>
        <family val="2"/>
        <scheme val="minor"/>
      </rPr>
      <t>-Safeguard</t>
    </r>
  </si>
  <si>
    <t>Client:Panduit Expenses-Safeguard</t>
  </si>
  <si>
    <t>Adelanto gastos Ruth Carolina Avelar - Kairos</t>
  </si>
  <si>
    <t>Adelanto gastos ruth Carolina Vasquez Avelar de Rabanal-Kairos-CC005</t>
  </si>
  <si>
    <t>Empleado no Ingreso Guatemala Remofisrt</t>
  </si>
  <si>
    <r>
      <rPr>
        <sz val="11"/>
        <rFont val="Calibri"/>
        <family val="2"/>
        <scheme val="minor"/>
      </rPr>
      <t xml:space="preserve">Client: Czarnikow-202510 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</si>
  <si>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NotableGrowth-202510 </t>
    </r>
    <r>
      <rPr>
        <b/>
        <sz val="11"/>
        <color rgb="FF0000CC"/>
        <rFont val="Calibri"/>
        <family val="2"/>
        <scheme val="minor"/>
      </rPr>
      <t>Remofirst</t>
    </r>
  </si>
  <si>
    <r>
      <t xml:space="preserve">Client: Bilingual Bridges-202510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</si>
  <si>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Client:Iberia Foods LLC,-202510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</si>
  <si>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>Client: Vinmar International,-202510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</si>
  <si>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>Client:Energyzer- 202510-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</si>
  <si>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202510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</si>
  <si>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Opportunity-202510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</si>
  <si>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Panthera-202510-</t>
    </r>
    <r>
      <rPr>
        <b/>
        <sz val="11"/>
        <color rgb="FFFF0000"/>
        <rFont val="Calibri"/>
        <family val="2"/>
        <scheme val="minor"/>
      </rPr>
      <t>Safeguard</t>
    </r>
  </si>
  <si>
    <r>
      <t>Client:Careercircle, LLC-202510-</t>
    </r>
    <r>
      <rPr>
        <b/>
        <sz val="11"/>
        <color rgb="FFFF0000"/>
        <rFont val="Calibri"/>
        <family val="2"/>
        <scheme val="minor"/>
      </rPr>
      <t>Safeguard</t>
    </r>
  </si>
  <si>
    <r>
      <t>Client: Archewll-202510</t>
    </r>
    <r>
      <rPr>
        <b/>
        <sz val="11"/>
        <color rgb="FFEE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</si>
  <si>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Highspring-202510</t>
    </r>
    <r>
      <rPr>
        <b/>
        <sz val="11"/>
        <color rgb="FFFF0000"/>
        <rFont val="Calibri"/>
        <family val="2"/>
        <scheme val="minor"/>
      </rPr>
      <t>-Safeguard</t>
    </r>
  </si>
  <si>
    <t>Client:Global Expansion -Victor José Mocoso y Cynthia Arlene Fuentes-Global Expansion</t>
  </si>
  <si>
    <r>
      <t>Client:Safeguard -202510-</t>
    </r>
    <r>
      <rPr>
        <b/>
        <i/>
        <sz val="11"/>
        <color rgb="FF00B050"/>
        <rFont val="Calibri"/>
        <family val="2"/>
        <scheme val="minor"/>
      </rPr>
      <t>Nómina Directa</t>
    </r>
  </si>
  <si>
    <t>Habilitación de registro mercantil-SAT-Safeguard</t>
  </si>
  <si>
    <t>Client:Kairos- Ruth Carolina Vasquez-Safeguard</t>
  </si>
  <si>
    <t>Client: :Careercircle, LLC-Safeguard</t>
  </si>
  <si>
    <t>Client: :Highspring, LLC-Safeguard</t>
  </si>
  <si>
    <t>Pagos del 21 al 31 Octubre</t>
  </si>
  <si>
    <t>Póliza de Salud mes de Octubre</t>
  </si>
  <si>
    <t>Factura Claro Octubre</t>
  </si>
  <si>
    <t>Inbers contadores Servicios contables con entrega de información financiera correspondiente al periodo de Sept y Oct SG 2025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</si>
  <si>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Oct. 2025</t>
    </r>
  </si>
  <si>
    <t>Servicios prestados de representación mes de septiembre de 2025</t>
  </si>
  <si>
    <t>46438AD5</t>
  </si>
  <si>
    <t>F91A3C2</t>
  </si>
  <si>
    <t>Gastos de transporte por firma de documentos migratorios y revisión de documentos legales</t>
  </si>
  <si>
    <t xml:space="preserve">Pago habilitación librons contables S&amp;P y global </t>
  </si>
  <si>
    <t>Odalis Alejandra Reyes Pirir</t>
  </si>
  <si>
    <t>David Enrique Herman Juarez</t>
  </si>
  <si>
    <t>Declaraguate ISO Impuesto de Solidaridad-Tercer trimestre (Julio - Septiembre) 2025</t>
  </si>
  <si>
    <t>Client: :Archewll, LLC-Safeguard</t>
  </si>
  <si>
    <t>Pago planilla IGSS Septiembre SG</t>
  </si>
  <si>
    <t>Domenica Georgina Samoyoa Ramirez</t>
  </si>
  <si>
    <t>Reembolso Ronny Eduardo Quan Lam</t>
  </si>
  <si>
    <t>Client:Safeguard -202510-Nómina Directa-Abono</t>
  </si>
  <si>
    <r>
      <t>Carlos Raymundo Morales Santos-</t>
    </r>
    <r>
      <rPr>
        <b/>
        <sz val="11"/>
        <color rgb="FFFF0000"/>
        <rFont val="Calibri"/>
        <family val="2"/>
        <scheme val="minor"/>
      </rPr>
      <t>QTQ</t>
    </r>
  </si>
  <si>
    <r>
      <t>Odalis Alejandra Reyes Pirir -</t>
    </r>
    <r>
      <rPr>
        <b/>
        <sz val="11"/>
        <color rgb="FFFF0000"/>
        <rFont val="Calibri"/>
        <family val="2"/>
        <scheme val="minor"/>
      </rPr>
      <t>QTQ</t>
    </r>
  </si>
  <si>
    <t>Reembolso Odalis Alejandra Reyes Pirir</t>
  </si>
  <si>
    <r>
      <t>Jorge Benjamin Granados Anderson</t>
    </r>
    <r>
      <rPr>
        <b/>
        <sz val="11"/>
        <color rgb="FF0000CC"/>
        <rFont val="Calibri"/>
        <family val="2"/>
        <scheme val="minor"/>
      </rPr>
      <t>-USD</t>
    </r>
  </si>
  <si>
    <t>Traslado de fondo a cta USD para pago Reembolso</t>
  </si>
  <si>
    <t>Transferencia de fondo a cta USD para pago reembolso</t>
  </si>
  <si>
    <t>Reembolso Jorge Benjamin Granados Anderson-Safeguard</t>
  </si>
  <si>
    <t>Devolución pago Salario Carlos Alejandro Montiel Lorenzana</t>
  </si>
  <si>
    <t>Declaraguate ISR sobre utilidades ( trimestral)</t>
  </si>
  <si>
    <t>Servicios prestados por representación entidad Global Guatemala Oct. 2025</t>
  </si>
  <si>
    <t xml:space="preserve">Pago habilitación libros contables S&amp;P y global-Juan Santiago </t>
  </si>
  <si>
    <t>Client:Safeguard -202510-Nómina Directa-Saldo final</t>
  </si>
  <si>
    <t>Declaraguate ISR sobre utilidades ( trimestral)-SG</t>
  </si>
  <si>
    <t>Rectificación de IVA -Enero 2024</t>
  </si>
  <si>
    <t>Rectificación de IVA-Febrero 2024</t>
  </si>
  <si>
    <t>Rectificación de IVA-Marzo 2024</t>
  </si>
  <si>
    <t>Rectificación de IVA-Abril 2024</t>
  </si>
  <si>
    <t>Rectificación de IVA-Mayo 2024</t>
  </si>
  <si>
    <t>Rectificación de IVA-Junio 2024</t>
  </si>
  <si>
    <t>Rectificación de IVA-Julio 2024</t>
  </si>
  <si>
    <t>Rectificación de IVA-Agosto 2024</t>
  </si>
  <si>
    <t>Rectificación de IVA-Septiembre 2024</t>
  </si>
  <si>
    <t>Rectificación de IVA-Octubre 2024</t>
  </si>
  <si>
    <t>Rectificación de IVA-Noviembre 2024</t>
  </si>
  <si>
    <t>Rectificación de IVA-Diciembre 2024</t>
  </si>
  <si>
    <t>Rectificación de IVA-Enero 2025</t>
  </si>
  <si>
    <t>Rectificación de IVA-Febrero 2025</t>
  </si>
  <si>
    <t>Rectificación de IVA-Marzo 2025</t>
  </si>
  <si>
    <t>Declaraguate Rectificación de IVA -Enero 2024</t>
  </si>
  <si>
    <t>Declaraguate Rectificación de IVA-Febrero 2024</t>
  </si>
  <si>
    <t>Declaraguate Rectificación de IVA-Marzo 2024</t>
  </si>
  <si>
    <t>Declaraguate Rectificación de IVA-Abril 2024</t>
  </si>
  <si>
    <t>Declaraguate Rectificación de IVA-Mayo 2024</t>
  </si>
  <si>
    <t>Declaraguate Rectificación de IVA-Junio 2024</t>
  </si>
  <si>
    <t>Declaraguate Rectificación de IVA-Julio 2024</t>
  </si>
  <si>
    <t>Declaraguate Rectificación de IVA-Agosto 2024</t>
  </si>
  <si>
    <t>Declaraguate Rectificación de IVA-Septiembre 2024</t>
  </si>
  <si>
    <t>Declaraguate Rectificación de IVA-Octubre 2024</t>
  </si>
  <si>
    <t>Declaraguate Rectificación de IVA-Noviembre 2024</t>
  </si>
  <si>
    <t>Declaraguate Rectificación de IVA-Diciembre 2024</t>
  </si>
  <si>
    <t>Declaraguate Rectificación de IVA-Enero 2025</t>
  </si>
  <si>
    <t>Declaraguate Rectificación de IVA-Febrero 2025</t>
  </si>
  <si>
    <t>Declaraguate Rectificación de IVA-Marzo 2025</t>
  </si>
  <si>
    <t>Póliza Odalis Alejandra Reyes Pirir de Garcia-Safeguard-Octubre</t>
  </si>
  <si>
    <t>Póliza Jorge Benjamin Granados Anderson-Safeguard-Octubre</t>
  </si>
  <si>
    <t>Póliza Carlos Raymundo Morales Santos -Safeguard-Octubre</t>
  </si>
  <si>
    <t>Javier Ricardo Martinez Cruz-Suol Innovations Ltd (RF)-Ingreso</t>
  </si>
  <si>
    <r>
      <t>Javier Ricardo Martinez Cruz-Suol Innovations Ltd (RF)-</t>
    </r>
    <r>
      <rPr>
        <b/>
        <i/>
        <u/>
        <sz val="11"/>
        <color rgb="FFFF0000"/>
        <rFont val="Calibri"/>
        <family val="2"/>
        <scheme val="minor"/>
      </rPr>
      <t>Ingreso</t>
    </r>
  </si>
  <si>
    <t>Carlos Alejandro Montiel Lorenzana-Archell -CC014</t>
  </si>
  <si>
    <t>For FC November</t>
  </si>
  <si>
    <t xml:space="preserve"> E320000000007</t>
  </si>
  <si>
    <t>Pago representación RD</t>
  </si>
  <si>
    <t>Inbers, Servicios Juan ,Claro, Fondeo RD,Imprevisto</t>
  </si>
  <si>
    <t>Nóminas, reembolsos, pólizas</t>
  </si>
  <si>
    <t>Servicio de representación, diligencia de alta TSS y ministerio Grupo CGR Lawyer- Factura  E320000000007</t>
  </si>
  <si>
    <t>Gastos financieros por transferencia recursos</t>
  </si>
  <si>
    <t>Gastos financieros por envio de recursos pago factura CGR Lawyer dominicana</t>
  </si>
  <si>
    <t xml:space="preserve">Jorge Benjamin Granados Anderson-USD-Pago adelanto de gastos </t>
  </si>
  <si>
    <r>
      <t>Client:Safeguard -202511-</t>
    </r>
    <r>
      <rPr>
        <b/>
        <i/>
        <sz val="11"/>
        <color rgb="FF00B050"/>
        <rFont val="Calibri"/>
        <family val="2"/>
        <scheme val="minor"/>
      </rPr>
      <t>Expenses</t>
    </r>
  </si>
  <si>
    <r>
      <t xml:space="preserve">Client: </t>
    </r>
    <r>
      <rPr>
        <b/>
        <sz val="11"/>
        <color rgb="FF00B050"/>
        <rFont val="Calibri"/>
        <family val="2"/>
        <scheme val="minor"/>
      </rPr>
      <t>Safeguard expenses</t>
    </r>
  </si>
  <si>
    <t>Client: Safeguard expenses Fac  DTE: 138431467</t>
  </si>
  <si>
    <t>Declaraguate ISR rentas de trabajo Octubre</t>
  </si>
  <si>
    <t>Declaraguate ISR rentas de trabajo Octubre-SG</t>
  </si>
  <si>
    <t>Pago planilla IGSS Octubre-SG</t>
  </si>
  <si>
    <t>Pago planilla IGSS Octubre-S&amp;P</t>
  </si>
  <si>
    <t>Declaraguate ISR rentas de trabajo Octubre-S&amp;P</t>
  </si>
  <si>
    <t>Declaraguate ISR no residentes facturación Col Factura 601 Octubre (15%)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</si>
  <si>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Nov. 2025</t>
    </r>
  </si>
  <si>
    <r>
      <rPr>
        <sz val="11"/>
        <rFont val="Calibri"/>
        <family val="2"/>
        <scheme val="minor"/>
      </rPr>
      <t xml:space="preserve">Client: NotableGrowth-202511 </t>
    </r>
    <r>
      <rPr>
        <b/>
        <sz val="11"/>
        <color rgb="FF0000CC"/>
        <rFont val="Calibri"/>
        <family val="2"/>
        <scheme val="minor"/>
      </rPr>
      <t>Remofirst</t>
    </r>
  </si>
  <si>
    <r>
      <t xml:space="preserve">Client: Bilingual Bridges-202511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</si>
  <si>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Client:Iberia Foods LLC,-202511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</si>
  <si>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>Client: Vinmar International,-202511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</si>
  <si>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Czarnikow-202511 </t>
    </r>
    <r>
      <rPr>
        <b/>
        <sz val="11"/>
        <color rgb="FF0000CC"/>
        <rFont val="Calibri"/>
        <family val="2"/>
        <scheme val="minor"/>
      </rPr>
      <t>Remofirst</t>
    </r>
  </si>
  <si>
    <r>
      <t>Client:Global Expansion -202511-</t>
    </r>
    <r>
      <rPr>
        <b/>
        <sz val="11"/>
        <color rgb="FF7030A0"/>
        <rFont val="Calibri"/>
        <family val="2"/>
        <scheme val="minor"/>
      </rPr>
      <t>Global Expansion</t>
    </r>
  </si>
  <si>
    <r>
      <t>Client:Safeguard -202511-</t>
    </r>
    <r>
      <rPr>
        <b/>
        <i/>
        <sz val="11"/>
        <color rgb="FF00B050"/>
        <rFont val="Calibri"/>
        <family val="2"/>
        <scheme val="minor"/>
      </rPr>
      <t>Nómina Directa</t>
    </r>
  </si>
  <si>
    <t>Client:Global Expansion Fac DTE: 4275388994</t>
  </si>
  <si>
    <t>Traslado de fondo a cta USD para pago Pólizas y gastos Nov</t>
  </si>
  <si>
    <t>Transferencia fondos a USD para pago pólizas y gastos noviembre</t>
  </si>
  <si>
    <t>Inbers contadores Servicios contables con entrega de información financiera correspondiente al periodo de octubre 2025</t>
  </si>
  <si>
    <t>Inbers contadores Servicios contables con entrega de información financiera correspondiente al periodo de octubre 2025 -Fact 1259752578</t>
  </si>
  <si>
    <t>Póliza de Salud mes de Noviembre</t>
  </si>
  <si>
    <t>Servicios prestados de representación mes de Octubre de 2025</t>
  </si>
  <si>
    <t>Gastos mes de Octubre S&amp;P de 2025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</si>
  <si>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Nov. 2025 -Fac 2888256700</t>
    </r>
  </si>
  <si>
    <t>Servicios prestados de representación mes de Octubre de 2025- Fac 1089948594</t>
  </si>
  <si>
    <t>Gastos mes de Octubre S&amp;P de 2025 -Fac 363809461</t>
  </si>
  <si>
    <t>Client:Energyzer Fac DTE  3530440771</t>
  </si>
  <si>
    <t>Client: Opportunity- Fac DTE 2530299620</t>
  </si>
  <si>
    <t>Client: Panthera, Fac DTE 523912810</t>
  </si>
  <si>
    <t>Client: :Careercircle, Fac DTE 2529903464</t>
  </si>
  <si>
    <t>Client: :Highspring, Fac DTE 2130529412</t>
  </si>
  <si>
    <t>Client: :Archewll, Fac DTE 3075949240</t>
  </si>
  <si>
    <r>
      <t>Jorge Benjamin Granados Anderson -</t>
    </r>
    <r>
      <rPr>
        <b/>
        <sz val="11"/>
        <color rgb="FFFF0000"/>
        <rFont val="Calibri"/>
        <family val="2"/>
        <scheme val="minor"/>
      </rPr>
      <t>QTQ</t>
    </r>
  </si>
  <si>
    <t>Actualización RTU Safeguard -Inbers</t>
  </si>
  <si>
    <r>
      <t>Client:Energyzer-</t>
    </r>
    <r>
      <rPr>
        <b/>
        <sz val="11"/>
        <color rgb="FFFF0000"/>
        <rFont val="Calibri"/>
        <family val="2"/>
        <scheme val="minor"/>
      </rPr>
      <t>Safeguard</t>
    </r>
  </si>
  <si>
    <r>
      <t xml:space="preserve">Client:Kairos- </t>
    </r>
    <r>
      <rPr>
        <b/>
        <sz val="11"/>
        <color rgb="FFFF0000"/>
        <rFont val="Calibri"/>
        <family val="2"/>
        <scheme val="minor"/>
      </rPr>
      <t>Safeguard</t>
    </r>
  </si>
  <si>
    <r>
      <t>Client: Opportunity</t>
    </r>
    <r>
      <rPr>
        <b/>
        <sz val="11"/>
        <color rgb="FFFF0000"/>
        <rFont val="Calibri"/>
        <family val="2"/>
        <scheme val="minor"/>
      </rPr>
      <t>-Safeguard</t>
    </r>
  </si>
  <si>
    <t>Client:Kairos- Fac DTE  875055753</t>
  </si>
  <si>
    <t>Pagos del 24 al 30 Nov</t>
  </si>
  <si>
    <t>Javier Ricardo Martinez Cruz-Suol Innovations Ltd (RF)</t>
  </si>
  <si>
    <t>Jessica Patricia Vasquez Gonzalez</t>
  </si>
  <si>
    <t>Transferencia fondos a USD para pago reembolso safeguard</t>
  </si>
  <si>
    <r>
      <t>Michael scott Edgar  -Basis Global Technologies -CC011</t>
    </r>
    <r>
      <rPr>
        <b/>
        <sz val="11"/>
        <color rgb="FFFF0000"/>
        <rFont val="Calibri"/>
        <family val="2"/>
        <scheme val="minor"/>
      </rPr>
      <t>-QTQ</t>
    </r>
  </si>
  <si>
    <r>
      <t>Ivan Estuardo Chávez Morales-Energyzer-CC004</t>
    </r>
    <r>
      <rPr>
        <b/>
        <sz val="11"/>
        <color rgb="FFFF0000"/>
        <rFont val="Calibri"/>
        <family val="2"/>
        <scheme val="minor"/>
      </rPr>
      <t>-QTQ</t>
    </r>
  </si>
  <si>
    <t>Reembolso gastos Ronny Quan. Energyzer-CC003-QTQ</t>
  </si>
  <si>
    <t>Reembolso gastos Ivan Estuardo Chávez Morales-Energyzer-CC004-QTQ</t>
  </si>
  <si>
    <t>Reembolso gastos Michael scott Edgar  -Basis Global Technologies -CC011-QTQ</t>
  </si>
  <si>
    <t>Reembolso gastos Jorge Benjamin Granados Anderson-SG</t>
  </si>
  <si>
    <r>
      <t>Client:  Soul Innovations-</t>
    </r>
    <r>
      <rPr>
        <b/>
        <sz val="11"/>
        <color rgb="FF0000CC"/>
        <rFont val="Calibri"/>
        <family val="2"/>
        <scheme val="minor"/>
      </rPr>
      <t>Remotefist</t>
    </r>
  </si>
  <si>
    <r>
      <t>Client:  NotableGrowth, Inc</t>
    </r>
    <r>
      <rPr>
        <sz val="11"/>
        <color theme="1"/>
        <rFont val="Calibri"/>
        <family val="2"/>
        <scheme val="minor"/>
      </rPr>
      <t>-Remotefist</t>
    </r>
    <r>
      <rPr>
        <sz val="11"/>
        <color theme="1"/>
        <rFont val="Calibri"/>
        <family val="2"/>
        <scheme val="minor"/>
      </rPr>
      <t xml:space="preserve"> DTE 1608794850</t>
    </r>
  </si>
  <si>
    <r>
      <t>Client: Bilingual Bridges, Inc-</t>
    </r>
    <r>
      <rPr>
        <sz val="11"/>
        <color theme="1"/>
        <rFont val="Calibri"/>
        <family val="2"/>
        <scheme val="minor"/>
      </rPr>
      <t>Remotefist</t>
    </r>
    <r>
      <rPr>
        <sz val="11"/>
        <color theme="1"/>
        <rFont val="Calibri"/>
        <family val="2"/>
        <scheme val="minor"/>
      </rPr>
      <t xml:space="preserve"> DTE 4000008454</t>
    </r>
  </si>
  <si>
    <r>
      <t>Client: :Iberia Foods LLC</t>
    </r>
    <r>
      <rPr>
        <sz val="11"/>
        <color theme="1"/>
        <rFont val="Calibri"/>
        <family val="2"/>
        <scheme val="minor"/>
      </rPr>
      <t xml:space="preserve"> -Remotefist</t>
    </r>
    <r>
      <rPr>
        <sz val="11"/>
        <color theme="1"/>
        <rFont val="Calibri"/>
        <family val="2"/>
        <scheme val="minor"/>
      </rPr>
      <t xml:space="preserve"> DTE  4095036846</t>
    </r>
  </si>
  <si>
    <r>
      <rPr>
        <sz val="11"/>
        <color theme="1"/>
        <rFont val="Calibri"/>
        <family val="2"/>
        <scheme val="minor"/>
      </rPr>
      <t>Client: Vinmar International,-Liza Marlene Torres valdes  202508-Remofirst</t>
    </r>
    <r>
      <rPr>
        <sz val="11"/>
        <color theme="1"/>
        <rFont val="Calibri"/>
        <family val="2"/>
        <scheme val="minor"/>
      </rPr>
      <t xml:space="preserve"> DTE 839077148</t>
    </r>
  </si>
  <si>
    <r>
      <t>Client: Czarnikow- Sthepanie Rodriguez Lopez-</t>
    </r>
    <r>
      <rPr>
        <sz val="11"/>
        <color theme="1"/>
        <rFont val="Calibri"/>
        <family val="2"/>
        <scheme val="minor"/>
      </rPr>
      <t>Remotefist</t>
    </r>
    <r>
      <rPr>
        <sz val="11"/>
        <color theme="1"/>
        <rFont val="Calibri"/>
        <family val="2"/>
        <scheme val="minor"/>
      </rPr>
      <t xml:space="preserve"> DTE  DTE: 542656525</t>
    </r>
  </si>
  <si>
    <r>
      <t>Client:  Soul Innovations-</t>
    </r>
    <r>
      <rPr>
        <sz val="11"/>
        <color theme="1"/>
        <rFont val="Calibri"/>
        <family val="2"/>
        <scheme val="minor"/>
      </rPr>
      <t>Remotefist</t>
    </r>
    <r>
      <rPr>
        <sz val="11"/>
        <color theme="1"/>
        <rFont val="Calibri"/>
        <family val="2"/>
        <scheme val="minor"/>
      </rPr>
      <t xml:space="preserve"> DTE  2986100564</t>
    </r>
  </si>
  <si>
    <t>Client: Safeguard Nomina directa DTE 1419202419</t>
  </si>
  <si>
    <t xml:space="preserve">Client: Safeguard Nomina directa DTE 1419202419- Valor duplicado de sub cliente Fair labor </t>
  </si>
  <si>
    <r>
      <t xml:space="preserve">Client: </t>
    </r>
    <r>
      <rPr>
        <b/>
        <sz val="11"/>
        <color rgb="FF00B050"/>
        <rFont val="Calibri"/>
        <family val="2"/>
        <scheme val="minor"/>
      </rPr>
      <t>Safeguard Nomina directa</t>
    </r>
    <r>
      <rPr>
        <sz val="11"/>
        <rFont val="Calibri"/>
        <family val="2"/>
        <scheme val="minor"/>
      </rPr>
      <t>-</t>
    </r>
    <r>
      <rPr>
        <b/>
        <i/>
        <sz val="11"/>
        <color rgb="FF7030A0"/>
        <rFont val="Calibri"/>
        <family val="2"/>
        <scheme val="minor"/>
      </rPr>
      <t xml:space="preserve">Valor duplicado </t>
    </r>
  </si>
  <si>
    <t>Declaraguate ISR no residentes facturación Col Factura Noviembre (15%)</t>
  </si>
  <si>
    <t>Inbers contadores Servicios contables con entrega de información financiera correspondiente al periodo de Noviembre 2025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</si>
  <si>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Diciembre 2025</t>
    </r>
  </si>
  <si>
    <t>Pagos del 01 al 25 Diciembre</t>
  </si>
  <si>
    <t>Adelanto de nómina SG</t>
  </si>
  <si>
    <t>Impuestos, SS y prima</t>
  </si>
  <si>
    <t>Inbers, pólizas, factura claro, Juan Santiago</t>
  </si>
  <si>
    <t>Pago nóminas y reembolsos</t>
  </si>
  <si>
    <t>E320000000008</t>
  </si>
  <si>
    <t>Servicio de representación, diligencia de alta TSS y ministerio Grupo CGR Lawyer- Factura  E320000000008</t>
  </si>
  <si>
    <t>Comisión Odalis Reyes</t>
  </si>
  <si>
    <t>Declaraguate ISR rentas de trabajo Noviembre</t>
  </si>
  <si>
    <t>Declaraguate ISR rentas de trabajo Noviembre-S&amp;P</t>
  </si>
  <si>
    <t>Declaraguate ISR rentas de trabajo Noviembre-SG</t>
  </si>
  <si>
    <t>Pago planilla IGSS Noviembre-SG</t>
  </si>
  <si>
    <t>Pago planilla IGSS Noviembre-S&amp;P</t>
  </si>
  <si>
    <r>
      <rPr>
        <sz val="11"/>
        <rFont val="Calibri"/>
        <family val="2"/>
        <scheme val="minor"/>
      </rPr>
      <t>Client: Vinmar International,-202512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</si>
  <si>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NotableGrowth-202512 </t>
    </r>
    <r>
      <rPr>
        <b/>
        <sz val="11"/>
        <color rgb="FF0000CC"/>
        <rFont val="Calibri"/>
        <family val="2"/>
        <scheme val="minor"/>
      </rPr>
      <t>Remofirst</t>
    </r>
  </si>
  <si>
    <r>
      <t xml:space="preserve">Client: Bilingual Bridges-202512 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</si>
  <si>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Client:Iberia Foods LLC,-202512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Remofirst</t>
    </r>
  </si>
  <si>
    <r>
      <rPr>
        <sz val="11"/>
        <rFont val="Calibri"/>
        <family val="2"/>
        <scheme val="minor"/>
      </rPr>
      <t xml:space="preserve">Client: Czarnikow-202512 </t>
    </r>
    <r>
      <rPr>
        <b/>
        <sz val="11"/>
        <color rgb="FF0000CC"/>
        <rFont val="Calibri"/>
        <family val="2"/>
        <scheme val="minor"/>
      </rPr>
      <t>Remofirst</t>
    </r>
  </si>
  <si>
    <r>
      <t>Client:  Soul Innovations-202512-</t>
    </r>
    <r>
      <rPr>
        <b/>
        <sz val="11"/>
        <color rgb="FF0000CC"/>
        <rFont val="Calibri"/>
        <family val="2"/>
        <scheme val="minor"/>
      </rPr>
      <t>Remotefist</t>
    </r>
  </si>
  <si>
    <r>
      <rPr>
        <sz val="11"/>
        <rFont val="Calibri"/>
        <family val="2"/>
        <scheme val="minor"/>
      </rPr>
      <t>Client:Energyzer- 202512-</t>
    </r>
    <r>
      <rPr>
        <b/>
        <sz val="11"/>
        <color rgb="FFFF0000"/>
        <rFont val="Calibri"/>
        <family val="2"/>
        <scheme val="minor"/>
      </rPr>
      <t>Safeguard</t>
    </r>
  </si>
  <si>
    <r>
      <rPr>
        <sz val="11"/>
        <color theme="1"/>
        <rFont val="Calibri"/>
        <family val="2"/>
        <scheme val="minor"/>
      </rPr>
      <t>Client:Kairos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202512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</si>
  <si>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Opportunity-202512</t>
    </r>
    <r>
      <rPr>
        <b/>
        <sz val="11"/>
        <color rgb="FFFF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</si>
  <si>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Panthera-202512-</t>
    </r>
    <r>
      <rPr>
        <b/>
        <sz val="11"/>
        <color rgb="FFFF0000"/>
        <rFont val="Calibri"/>
        <family val="2"/>
        <scheme val="minor"/>
      </rPr>
      <t>Safeguard</t>
    </r>
  </si>
  <si>
    <r>
      <t>Client:Careercircle, LLC-202512-</t>
    </r>
    <r>
      <rPr>
        <b/>
        <sz val="11"/>
        <color rgb="FFFF0000"/>
        <rFont val="Calibri"/>
        <family val="2"/>
        <scheme val="minor"/>
      </rPr>
      <t>Safeguard</t>
    </r>
  </si>
  <si>
    <r>
      <t>Client: Archewll-202512</t>
    </r>
    <r>
      <rPr>
        <b/>
        <sz val="11"/>
        <color rgb="FFEE0000"/>
        <rFont val="Calibri"/>
        <family val="2"/>
        <scheme val="minor"/>
      </rPr>
      <t>-Safeguard</t>
    </r>
  </si>
  <si>
    <r>
      <rPr>
        <sz val="11"/>
        <rFont val="Calibri"/>
        <family val="2"/>
        <scheme val="minor"/>
      </rPr>
      <t>Client: Highspring-202512</t>
    </r>
    <r>
      <rPr>
        <b/>
        <sz val="11"/>
        <color rgb="FFFF0000"/>
        <rFont val="Calibri"/>
        <family val="2"/>
        <scheme val="minor"/>
      </rPr>
      <t>-Safeguard</t>
    </r>
  </si>
  <si>
    <r>
      <t>Client:Safeguard -202512-</t>
    </r>
    <r>
      <rPr>
        <b/>
        <i/>
        <sz val="11"/>
        <color rgb="FF00B050"/>
        <rFont val="Calibri"/>
        <family val="2"/>
        <scheme val="minor"/>
      </rPr>
      <t>Nómina Directa</t>
    </r>
    <r>
      <rPr>
        <sz val="11"/>
        <rFont val="Calibri"/>
        <family val="2"/>
        <scheme val="minor"/>
      </rPr>
      <t>-</t>
    </r>
    <r>
      <rPr>
        <b/>
        <sz val="11"/>
        <color rgb="FF00B050"/>
        <rFont val="Calibri"/>
        <family val="2"/>
        <scheme val="minor"/>
      </rPr>
      <t>Aguinaldo</t>
    </r>
  </si>
  <si>
    <r>
      <t xml:space="preserve">Client: </t>
    </r>
    <r>
      <rPr>
        <b/>
        <sz val="11"/>
        <color rgb="FF00B050"/>
        <rFont val="Calibri"/>
        <family val="2"/>
        <scheme val="minor"/>
      </rPr>
      <t>Safeguard Nomina directa</t>
    </r>
    <r>
      <rPr>
        <sz val="11"/>
        <rFont val="Calibri"/>
        <family val="2"/>
        <scheme val="minor"/>
      </rPr>
      <t>-Aguinaldo</t>
    </r>
  </si>
  <si>
    <t>Client: Safeguard Nomina directa DTE 3011528685 - Aguinaldo</t>
  </si>
  <si>
    <t>AGUINALDOS SAFEGUARD</t>
  </si>
  <si>
    <t>Rudy Renato Chic Arriaza-Aguinaldo-Safeguard</t>
  </si>
  <si>
    <t>Jorge Benjamin Granados Anderson-Aguinaldo-Safeguard</t>
  </si>
  <si>
    <t>Carlos Raymundo Morales Santos-Aguinaldo-Safeguard</t>
  </si>
  <si>
    <t>Ana Isabel Pinillos Melville-Aguinaldo-Safeguard</t>
  </si>
  <si>
    <t>Odalis Alejandra Reyes Pirir-Aguinaldo-Safeguard</t>
  </si>
  <si>
    <t>Domenica Georgina Samayoa Ramirez-Aguinaldo-Safeguard</t>
  </si>
  <si>
    <t>Jessica Patricia Vasquez Gonzalez-Aguinaldo-Safeguard</t>
  </si>
  <si>
    <t>David Enrique Herman Juarez-Aguinaldo-Safeguard</t>
  </si>
  <si>
    <t>Client:Global Expansion DTE: 4178659556</t>
  </si>
  <si>
    <t>Devolución dinero por pagos doble reembolso Ronny Quan</t>
  </si>
  <si>
    <t>Devolución de dinero Roony Quan por pago doble reembolso</t>
  </si>
  <si>
    <t>Client:  NotableGrowth, Inc-Remotefist DTE: 4271917156</t>
  </si>
  <si>
    <t>Client: Bilingual Bridges, Inc-Remotefist DTE: 863193822</t>
  </si>
  <si>
    <t>Client: :Iberia Foods LLC -Remotefist DTE: 2066303242</t>
  </si>
  <si>
    <t>Client: Vinmar International,-Remofirst DTE: 982598898</t>
  </si>
  <si>
    <t>Client: Czarnikow-Remotefist DTE: 2060798293</t>
  </si>
  <si>
    <t>Client:  Soul Innovations-Remotefist DTE: 2662155229</t>
  </si>
  <si>
    <t>Client: :Highspring, LLC-Safeguard DTE 2029210999</t>
  </si>
  <si>
    <t>Client: :Archewll, LLC-Safeguard DTE 117984053</t>
  </si>
  <si>
    <t>Client: :Careercircle, LLC-Safeguard DTE 4277620301</t>
  </si>
  <si>
    <t>Client: Panthera, Inc-Safeguard DTE 2512145956</t>
  </si>
  <si>
    <t>Client:Kairos- Safeguard DTE 2060272936</t>
  </si>
  <si>
    <t>Client: Opportunity-Safeguard DTE 4287843670</t>
  </si>
  <si>
    <t>Servicios prestados de representación mes de noviembre de 2025</t>
  </si>
  <si>
    <t>Servicios prestados de representación mes de Noviembre de 2025- Fac 1774800791</t>
  </si>
  <si>
    <t>Inbers contadores Servicios contables con entrega de información financiera correspondiente al periodo de Noviembre 2025 -Fact 12557</t>
  </si>
  <si>
    <t>Factura Claro Noviembre</t>
  </si>
  <si>
    <r>
      <t>Client:Safeguard -202512-</t>
    </r>
    <r>
      <rPr>
        <b/>
        <i/>
        <sz val="11"/>
        <color rgb="FF00B050"/>
        <rFont val="Calibri"/>
        <family val="2"/>
        <scheme val="minor"/>
      </rPr>
      <t>Nómina Directa</t>
    </r>
  </si>
  <si>
    <t>Póliza de Salud mes de Diciembre</t>
  </si>
  <si>
    <t>Pago con cheque</t>
  </si>
  <si>
    <t xml:space="preserve">Pago liquidación </t>
  </si>
  <si>
    <t>Programado 26 Dic</t>
  </si>
  <si>
    <t>Pago el 26 Dic</t>
  </si>
  <si>
    <t>Jorge Benjamin Granados Anderson- Aguinaldo ajuste</t>
  </si>
  <si>
    <t>Client: Safeguard Nomina directa DTE 587350506</t>
  </si>
  <si>
    <t>Póliza Carlos Raymundo Morales Santos -Safeguard-Diciembre</t>
  </si>
  <si>
    <t>Póliza Odalis Alejandra Reyes Pirir de Garcia-Safeguard-Diciembre</t>
  </si>
  <si>
    <t>Póliza Jorge Benjamin Granados Anderson-Safeguard-Diciembre</t>
  </si>
  <si>
    <t xml:space="preserve">Póliza Odalis Alejandra Reyes Pirir de Garcia-Safeguard-Diciembre </t>
  </si>
  <si>
    <r>
      <t>David Enrique Herman Juarez-</t>
    </r>
    <r>
      <rPr>
        <b/>
        <sz val="11"/>
        <color rgb="FFFF0000"/>
        <rFont val="Calibri"/>
        <family val="2"/>
        <scheme val="minor"/>
      </rPr>
      <t>QTQ</t>
    </r>
  </si>
  <si>
    <t>Reembolso gastos David Enrique Herman Juarez-SG</t>
  </si>
  <si>
    <t>Transferencia de la cta QTZ a USD pago reembolso SG</t>
  </si>
  <si>
    <t>E320000000009</t>
  </si>
  <si>
    <t>Servicio de representación, diligencia de alta TSS y ministerio Grupo CGR Lawyer-Enero</t>
  </si>
  <si>
    <t>Servicio de representación, diligencia de alta TSS y ministerio Grupo CGR Lawyer- Factura  E320000000009</t>
  </si>
  <si>
    <t>Pago planilla IGSS Diciembre-SG</t>
  </si>
  <si>
    <t>Declaraguate ISR rentas de trabajo Diciembre</t>
  </si>
  <si>
    <t xml:space="preserve">Impuestos, SS </t>
  </si>
  <si>
    <t xml:space="preserve"> Inbers, pólizas, factura claro, Juan Santiago</t>
  </si>
  <si>
    <t>Liquidacion Energizer</t>
  </si>
  <si>
    <t>Pagos del 01 al 25 Enero</t>
  </si>
  <si>
    <t>Total Ingresos</t>
  </si>
  <si>
    <t>Tramite visa Benjamin Granados</t>
  </si>
  <si>
    <t>AJUSTES AGUINALDOS SAFEGUARD</t>
  </si>
  <si>
    <r>
      <t>Odalis Alejandra Reyes Pirir -</t>
    </r>
    <r>
      <rPr>
        <b/>
        <sz val="11"/>
        <color rgb="FFFF0000"/>
        <rFont val="Calibri"/>
        <family val="2"/>
        <scheme val="minor"/>
      </rPr>
      <t>QTQ</t>
    </r>
  </si>
  <si>
    <t>Pago representación RD, ajustes aguinaldo, comisiones y reembolsos</t>
  </si>
  <si>
    <t>Pago Reembolso Odalis Alejandra Reyes Pirir-Safeguard-Quetzalez</t>
  </si>
  <si>
    <r>
      <t>Carlos Raymundo Morales Santos -</t>
    </r>
    <r>
      <rPr>
        <b/>
        <sz val="11"/>
        <color rgb="FFFF0000"/>
        <rFont val="Calibri"/>
        <family val="2"/>
        <scheme val="minor"/>
      </rPr>
      <t>QTQ</t>
    </r>
  </si>
  <si>
    <t>Declaraguate ISR rentas de trabajo Diciembre-S&amp;P</t>
  </si>
  <si>
    <t>Pago Aguinaldo Pendiente Jorge Granados - SG</t>
  </si>
  <si>
    <t>Pago Aguinaldo Pendiente Jessica Vasquez - SG</t>
  </si>
  <si>
    <t>Pago Aguinaldo Pendiente Jorge Granados - Safeguard</t>
  </si>
  <si>
    <t>Pago Aguinaldo Pendiente Jessica Vasquez - Safeguard</t>
  </si>
  <si>
    <t xml:space="preserve">Pago Comisión Odalis Reyes Safeguard </t>
  </si>
  <si>
    <t xml:space="preserve">Carlos Raymundo Morales Santos -Safeguard </t>
  </si>
  <si>
    <t>Declaraguate ISR rentas de trabajo Diciembre-SG</t>
  </si>
  <si>
    <t>Pago planilla IGSS Diciembre S&amp;P Nro 5933985</t>
  </si>
  <si>
    <t>Pago planilla IGSS Diciembre SG Nro 5917503</t>
  </si>
  <si>
    <t>Liquidaciones Jerry Garcia Carrillo</t>
  </si>
  <si>
    <t xml:space="preserve">Liquidaciones Ronny Quan </t>
  </si>
  <si>
    <t>Pago liquidación Jerry García -Energizer</t>
  </si>
  <si>
    <t>Pago liquidación Ronny Quan -Energizer</t>
  </si>
  <si>
    <r>
      <t>Jerry Garcia Carillo-Energyzer-CC004</t>
    </r>
    <r>
      <rPr>
        <b/>
        <sz val="11"/>
        <color rgb="FFFF0000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USD</t>
    </r>
  </si>
  <si>
    <r>
      <t>Ronny Quan-Energyzer-CC004</t>
    </r>
    <r>
      <rPr>
        <b/>
        <sz val="11"/>
        <color rgb="FF0000CC"/>
        <rFont val="Calibri"/>
        <family val="2"/>
        <scheme val="minor"/>
      </rPr>
      <t>-USD</t>
    </r>
  </si>
  <si>
    <r>
      <t>Ronny Quan-Energyzer-CC004</t>
    </r>
    <r>
      <rPr>
        <b/>
        <sz val="11"/>
        <color rgb="FF0000CC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QTQ</t>
    </r>
  </si>
  <si>
    <r>
      <rPr>
        <sz val="11"/>
        <rFont val="Calibri"/>
        <family val="2"/>
        <scheme val="minor"/>
      </rPr>
      <t>Client:Energyzer- 202601-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 3832693625</t>
    </r>
  </si>
  <si>
    <r>
      <rPr>
        <sz val="11"/>
        <rFont val="Calibri"/>
        <family val="2"/>
        <scheme val="minor"/>
      </rPr>
      <t>Client:Energyzer- 202601-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  3761062566.</t>
    </r>
    <r>
      <rPr>
        <sz val="11"/>
        <color rgb="FF0000CC"/>
        <rFont val="Calibri"/>
        <family val="2"/>
        <scheme val="minor"/>
      </rPr>
      <t xml:space="preserve"> Expenses</t>
    </r>
  </si>
  <si>
    <r>
      <t xml:space="preserve">Client: Bilingual Bridges-202601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 DTE: 1751860012</t>
    </r>
  </si>
  <si>
    <r>
      <rPr>
        <sz val="11"/>
        <rFont val="Calibri"/>
        <family val="2"/>
        <scheme val="minor"/>
      </rPr>
      <t>Client:Iberia Foods LLC,-202601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 xml:space="preserve">RF </t>
    </r>
    <r>
      <rPr>
        <sz val="11"/>
        <color theme="1"/>
        <rFont val="Calibri"/>
        <family val="2"/>
        <scheme val="minor"/>
      </rPr>
      <t>DTE 1367033784</t>
    </r>
  </si>
  <si>
    <r>
      <rPr>
        <sz val="11"/>
        <rFont val="Calibri"/>
        <family val="2"/>
        <scheme val="minor"/>
      </rPr>
      <t>Client: Vinmar International,-202512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 2483373874</t>
    </r>
  </si>
  <si>
    <r>
      <rPr>
        <sz val="11"/>
        <rFont val="Calibri"/>
        <family val="2"/>
        <scheme val="minor"/>
      </rPr>
      <t xml:space="preserve">Client: Czarnikow-202601 </t>
    </r>
    <r>
      <rPr>
        <b/>
        <sz val="11"/>
        <color rgb="FF0000CC"/>
        <rFont val="Calibri"/>
        <family val="2"/>
        <scheme val="minor"/>
      </rPr>
      <t xml:space="preserve">RF  </t>
    </r>
    <r>
      <rPr>
        <sz val="11"/>
        <rFont val="Calibri"/>
        <family val="2"/>
        <scheme val="minor"/>
      </rPr>
      <t xml:space="preserve">DTE </t>
    </r>
    <r>
      <rPr>
        <sz val="11"/>
        <color theme="1"/>
        <rFont val="Calibri"/>
        <family val="2"/>
        <scheme val="minor"/>
      </rPr>
      <t>1653752164</t>
    </r>
  </si>
  <si>
    <r>
      <rPr>
        <sz val="11"/>
        <color theme="1"/>
        <rFont val="Calibri"/>
        <family val="2"/>
        <scheme val="minor"/>
      </rPr>
      <t>Client:Kairos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202601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 2556578490</t>
    </r>
  </si>
  <si>
    <r>
      <rPr>
        <sz val="11"/>
        <rFont val="Calibri"/>
        <family val="2"/>
        <scheme val="minor"/>
      </rPr>
      <t>Client: Opportunity-202601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1402161825</t>
    </r>
  </si>
  <si>
    <r>
      <rPr>
        <sz val="11"/>
        <rFont val="Calibri"/>
        <family val="2"/>
        <scheme val="minor"/>
      </rPr>
      <t>Client: Panthera-202601-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1462193461</t>
    </r>
  </si>
  <si>
    <r>
      <t>Client:Careercircle, LLC-202601-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 DTE: 932465294</t>
    </r>
  </si>
  <si>
    <r>
      <t>Client: Archewll-202601</t>
    </r>
    <r>
      <rPr>
        <b/>
        <sz val="11"/>
        <color rgb="FFEE0000"/>
        <rFont val="Calibri"/>
        <family val="2"/>
        <scheme val="minor"/>
      </rPr>
      <t>-SG</t>
    </r>
    <r>
      <rPr>
        <sz val="11"/>
        <rFont val="Calibri"/>
        <family val="2"/>
        <scheme val="minor"/>
      </rPr>
      <t xml:space="preserve"> DTE: 2057390444</t>
    </r>
  </si>
  <si>
    <r>
      <rPr>
        <sz val="11"/>
        <rFont val="Calibri"/>
        <family val="2"/>
        <scheme val="minor"/>
      </rPr>
      <t>Client: Highspring-202601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3322496170</t>
    </r>
  </si>
  <si>
    <r>
      <t xml:space="preserve">Client:  Soul Innovations-2025601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4185541934</t>
    </r>
  </si>
  <si>
    <r>
      <t>Client:Global E -202601-</t>
    </r>
    <r>
      <rPr>
        <b/>
        <sz val="11"/>
        <color rgb="FF7030A0"/>
        <rFont val="Calibri"/>
        <family val="2"/>
        <scheme val="minor"/>
      </rPr>
      <t>GE</t>
    </r>
    <r>
      <rPr>
        <sz val="11"/>
        <rFont val="Calibri"/>
        <family val="2"/>
        <scheme val="minor"/>
      </rPr>
      <t xml:space="preserve"> DTE: 2072071826</t>
    </r>
  </si>
  <si>
    <r>
      <rPr>
        <sz val="11"/>
        <rFont val="Calibri"/>
        <family val="2"/>
        <scheme val="minor"/>
      </rPr>
      <t xml:space="preserve">Client: NotableGrowth-202601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384845514</t>
    </r>
  </si>
  <si>
    <r>
      <t>Client:</t>
    </r>
    <r>
      <rPr>
        <b/>
        <sz val="11"/>
        <color rgb="FF00B050"/>
        <rFont val="Calibri"/>
        <family val="2"/>
        <scheme val="minor"/>
      </rPr>
      <t xml:space="preserve"> SG </t>
    </r>
    <r>
      <rPr>
        <sz val="11"/>
        <rFont val="Calibri"/>
        <family val="2"/>
        <scheme val="minor"/>
      </rPr>
      <t>Ajuste Aguinaldo DTE: 1343377281</t>
    </r>
  </si>
  <si>
    <r>
      <t>Client:</t>
    </r>
    <r>
      <rPr>
        <b/>
        <sz val="11"/>
        <color rgb="FF00B050"/>
        <rFont val="Calibri"/>
        <family val="2"/>
        <scheme val="minor"/>
      </rPr>
      <t xml:space="preserve"> SG Reembolso y Comisiones</t>
    </r>
    <r>
      <rPr>
        <sz val="11"/>
        <rFont val="Calibri"/>
        <family val="2"/>
        <scheme val="minor"/>
      </rPr>
      <t xml:space="preserve"> DTE: 696009721</t>
    </r>
  </si>
  <si>
    <t>Client: SG Ajuste Aguinaldo DTE: 1343377281</t>
  </si>
  <si>
    <t>Client: SG Reembolso y Comisiones DTE: 696009721</t>
  </si>
  <si>
    <r>
      <t>Client:</t>
    </r>
    <r>
      <rPr>
        <b/>
        <sz val="11"/>
        <color rgb="FF00B050"/>
        <rFont val="Calibri"/>
        <family val="2"/>
        <scheme val="minor"/>
      </rPr>
      <t xml:space="preserve"> SG Ajuste Aguinaldo</t>
    </r>
    <r>
      <rPr>
        <sz val="11"/>
        <rFont val="Calibri"/>
        <family val="2"/>
        <scheme val="minor"/>
      </rPr>
      <t xml:space="preserve"> DTE: 1343377281</t>
    </r>
  </si>
  <si>
    <r>
      <t xml:space="preserve">Client: </t>
    </r>
    <r>
      <rPr>
        <b/>
        <sz val="11"/>
        <color rgb="FF00B050"/>
        <rFont val="Calibri"/>
        <family val="2"/>
        <scheme val="minor"/>
      </rPr>
      <t>SG Reembolso y Comisiones</t>
    </r>
    <r>
      <rPr>
        <sz val="11"/>
        <rFont val="Calibri"/>
        <family val="2"/>
        <scheme val="minor"/>
      </rPr>
      <t xml:space="preserve"> DTE: 696009721</t>
    </r>
  </si>
  <si>
    <r>
      <t>Client:Energyzer-</t>
    </r>
    <r>
      <rPr>
        <b/>
        <sz val="11"/>
        <color rgb="FFFF0000"/>
        <rFont val="Calibri"/>
        <family val="2"/>
        <scheme val="minor"/>
      </rPr>
      <t>Safeguard</t>
    </r>
    <r>
      <rPr>
        <sz val="11"/>
        <rFont val="Calibri"/>
        <family val="2"/>
        <scheme val="minor"/>
      </rPr>
      <t xml:space="preserve"> DTE: 806437849</t>
    </r>
  </si>
  <si>
    <t>Client:Energyzer- 202601-SG DTE  3761062566. Expenses</t>
  </si>
  <si>
    <t>Client:Energyzer- 202601-SG DTE 3832693625</t>
  </si>
  <si>
    <t>Client:Kairos -202601-SG DTE 2556578490</t>
  </si>
  <si>
    <t>Client: Opportunity-202601-SG DTE: 1402161825</t>
  </si>
  <si>
    <t>Client: Panthera-202601-SG DTE: 1462193461</t>
  </si>
  <si>
    <t>Client:Careercircle, LLC-202601-SG  DTE: 932465294</t>
  </si>
  <si>
    <t>Client: Archewll-202601-SG DTE: 2057390444</t>
  </si>
  <si>
    <t>Client: Highspring-202601-SG DTE: 3322496170</t>
  </si>
  <si>
    <r>
      <t>Client: NotableGrowth-202601</t>
    </r>
    <r>
      <rPr>
        <sz val="11"/>
        <color rgb="FF0000CC"/>
        <rFont val="Calibri"/>
        <family val="2"/>
        <scheme val="minor"/>
      </rPr>
      <t xml:space="preserve">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DTE: 384845514</t>
    </r>
  </si>
  <si>
    <r>
      <t xml:space="preserve">Client: Bilingual Bridges-202601 </t>
    </r>
    <r>
      <rPr>
        <b/>
        <sz val="11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 DTE: 1751860012</t>
    </r>
  </si>
  <si>
    <r>
      <t>Client:Iberia Foods LLC,-202601-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 1367033784</t>
    </r>
  </si>
  <si>
    <r>
      <t>Client: Vinmar International,-202512-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 2483373874</t>
    </r>
  </si>
  <si>
    <r>
      <t xml:space="preserve">Client:  Soul Innovations-2025601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DTE: 4185541934</t>
    </r>
  </si>
  <si>
    <r>
      <t xml:space="preserve">Client: Czarnikow-202601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 DTE 1653752164</t>
    </r>
  </si>
  <si>
    <r>
      <t>Client:Energyzer- 202601-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 3832693625</t>
    </r>
  </si>
  <si>
    <r>
      <t>Client:Kairos -202601-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 2556578490</t>
    </r>
  </si>
  <si>
    <r>
      <t>Client: Opportunity-202601-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1402161825</t>
    </r>
  </si>
  <si>
    <r>
      <t>Client: Panthera-202601-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1462193461</t>
    </r>
  </si>
  <si>
    <r>
      <t>Client: Archewll-202601-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2057390444</t>
    </r>
  </si>
  <si>
    <r>
      <t>Client: Highspring-202601-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3322496170</t>
    </r>
  </si>
  <si>
    <r>
      <t>Client:Energyzer- 202601-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  3761062566. Expenses</t>
    </r>
  </si>
  <si>
    <r>
      <t>Client:Global E -202601-</t>
    </r>
    <r>
      <rPr>
        <b/>
        <sz val="11"/>
        <color rgb="FF7030A0"/>
        <rFont val="Calibri"/>
        <family val="2"/>
        <scheme val="minor"/>
      </rPr>
      <t>GE</t>
    </r>
    <r>
      <rPr>
        <sz val="11"/>
        <color theme="1"/>
        <rFont val="Calibri"/>
        <family val="2"/>
        <scheme val="minor"/>
      </rPr>
      <t xml:space="preserve"> DTE: 2072071826</t>
    </r>
  </si>
  <si>
    <t>Transferencia de la cta QTZ a USD pago reembolso SG-liquidación</t>
  </si>
  <si>
    <t>Reembolso Ronny Quan Energizer -Liquidación</t>
  </si>
  <si>
    <t>Client:Energyzer-SG DTE: 806437849</t>
  </si>
  <si>
    <t>Reembolso Jerry Garcia Energizer -Liquidación</t>
  </si>
  <si>
    <t>Servicios Gastos recepcion resolucion Garante Migracion SYP, entrega al bufete LIc Nadia Resolucion Migracion y  entrega de cheque Carlos Montiel Dic 25</t>
  </si>
  <si>
    <t>Servicios prestados de representación mes de diciembre de 2025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</si>
  <si>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Enero 2026</t>
    </r>
  </si>
  <si>
    <t>F7CB28FE-1810514790</t>
  </si>
  <si>
    <t>Inbers contadores Servicios contables con entrega de información financiera correspondiente al periodo de Diciembre 2025</t>
  </si>
  <si>
    <t>Declaraguate ISR Marzo 2025 ( rectificación)</t>
  </si>
  <si>
    <t>Client: NotableGrowth-202601 RF DTE: 384845514</t>
  </si>
  <si>
    <t>Client: Bilingual Bridges-202601 RF  DTE: 1751860012</t>
  </si>
  <si>
    <t>Client:Iberia Foods LLC,-202601-RF DTE 1367033784</t>
  </si>
  <si>
    <t>Client: Vinmar International,-202512-RF DTE 2483373874</t>
  </si>
  <si>
    <t>Client: Czarnikow-202601 RF  DTE 1653752164</t>
  </si>
  <si>
    <t>Client:  Soul Innovations-2025601 RF DTE: 4185541934</t>
  </si>
  <si>
    <t>Declaraguate  ISO Impuesto de Solidaridad- Cuarto trimestre</t>
  </si>
  <si>
    <r>
      <t>Client:Safeguard -202512-</t>
    </r>
    <r>
      <rPr>
        <b/>
        <i/>
        <sz val="11"/>
        <color rgb="FF00B050"/>
        <rFont val="Calibri"/>
        <family val="2"/>
        <scheme val="minor"/>
      </rPr>
      <t>Nómina Directa</t>
    </r>
    <r>
      <rPr>
        <sz val="11"/>
        <rFont val="Calibri"/>
        <family val="2"/>
        <scheme val="minor"/>
      </rPr>
      <t>- DTE 3548268575</t>
    </r>
  </si>
  <si>
    <t>Póliza de Salud mes de Enero</t>
  </si>
  <si>
    <t>Maria Gabriela Rivera Avila-Czarnikow-CC002</t>
  </si>
  <si>
    <t>Jose Ricardo Mancilla Silva -Suol Innovations Ltd (RF)</t>
  </si>
  <si>
    <t>Client:Safeguard -202512-Nómina Directa- DTE 3548268575</t>
  </si>
  <si>
    <r>
      <t>Client</t>
    </r>
    <r>
      <rPr>
        <b/>
        <sz val="11"/>
        <color rgb="FF00B050"/>
        <rFont val="Calibri"/>
        <family val="2"/>
        <scheme val="minor"/>
      </rPr>
      <t>:Safeguard -202512-Nómina Directa</t>
    </r>
    <r>
      <rPr>
        <sz val="11"/>
        <rFont val="Calibri"/>
        <family val="2"/>
        <scheme val="minor"/>
      </rPr>
      <t>- DTE 3548268575</t>
    </r>
  </si>
  <si>
    <t>BAC</t>
  </si>
  <si>
    <t xml:space="preserve">Bryam Otoniel Ordoñez Morales </t>
  </si>
  <si>
    <t>Rudy Renato Chic Arriaza-SG</t>
  </si>
  <si>
    <t>Jorge Benjamin Granados Anderson-SG</t>
  </si>
  <si>
    <t>Carlos Raymundo Morales Santos-SG</t>
  </si>
  <si>
    <t>Ana Isabel Pinillos Melville-SG</t>
  </si>
  <si>
    <t>Odalis Alejandra Reyes Pirir-SG</t>
  </si>
  <si>
    <t>Domenica Georgina Samayoa Ramirez-SG</t>
  </si>
  <si>
    <t>Jessica Patricia Vasquez Gonzalez-SG</t>
  </si>
  <si>
    <t>David Enrique Herman Juarez-SG</t>
  </si>
  <si>
    <t>Reembolso Michael scott Edgar Basis Global Technologies -CC011-QTQ</t>
  </si>
  <si>
    <t>Reembolso Ivan Estuardo Chávez Morales-Energyzer</t>
  </si>
  <si>
    <t>Reembolso Jorge Benjamin Granados Anderson SG</t>
  </si>
  <si>
    <r>
      <t>Jorge Benjamin Granados Anderson</t>
    </r>
    <r>
      <rPr>
        <b/>
        <sz val="11"/>
        <color rgb="FF0000CC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QTQ</t>
    </r>
  </si>
  <si>
    <t>Reembolso Carlos Raymundo Morales Santos SG</t>
  </si>
  <si>
    <t>Reembolso Odalis Alejandra Reyes Pirir SG</t>
  </si>
  <si>
    <r>
      <t>Ivan Estuardo Chavez-Energyzer-CC004</t>
    </r>
    <r>
      <rPr>
        <b/>
        <sz val="11"/>
        <color rgb="FF0000CC"/>
        <rFont val="Calibri"/>
        <family val="2"/>
        <scheme val="minor"/>
      </rPr>
      <t>-USD</t>
    </r>
  </si>
  <si>
    <t>Reembolso Ivan Estuardo Chavez-Energyzer-CC004-USD</t>
  </si>
  <si>
    <t>Facturado real</t>
  </si>
  <si>
    <t>Valor cruzar en Feb</t>
  </si>
  <si>
    <t>Llego Banco</t>
  </si>
  <si>
    <t>Póliza Carlos Raymundo Morales Santos -Safeguard-Enero</t>
  </si>
  <si>
    <t>Póliza Odalis Alejandra Reyes Pirir de Garcia-Safeguard-Enero</t>
  </si>
  <si>
    <t>Póliza Jorge Benjamin Granados Anderson-Safeguard-Enero</t>
  </si>
  <si>
    <t>Bryam Otoniel Ordoñez Morales SG</t>
  </si>
  <si>
    <t>Reintrego excedente pagado reembolso Ivan Estuardo Chavez</t>
  </si>
  <si>
    <t>Maria Gabriela Rivera Avila-Czarnikow-CC002-Ajuste</t>
  </si>
  <si>
    <t>Liquidación Cynthia Arlene fuentes elias  -Global Expansion -CC015</t>
  </si>
  <si>
    <t>Client:Global E -202601-GE DTE: 2072071826</t>
  </si>
  <si>
    <t>Pago a casa matriz factura Septiembre</t>
  </si>
  <si>
    <t>Pago a casa matriz factura Octubre</t>
  </si>
  <si>
    <t>Pago a casa matriz factura Noviembre</t>
  </si>
  <si>
    <t>Pago a casa matriz factura Enero</t>
  </si>
  <si>
    <t>Pago planilla IGSS Enero-SG</t>
  </si>
  <si>
    <t>Declaraguate ISR rentas de trabajo Enero</t>
  </si>
  <si>
    <t>Pago representación RD, comisiones Odalis</t>
  </si>
  <si>
    <t>Pago de facturas S&amp;P colombia</t>
  </si>
  <si>
    <t xml:space="preserve"> Inbers, pólizas, Juan Santiago</t>
  </si>
  <si>
    <t>Pagos del 01 al 22 Febrero</t>
  </si>
  <si>
    <r>
      <t>Client: Energyzer- 202601 202601</t>
    </r>
    <r>
      <rPr>
        <sz val="11"/>
        <color rgb="FF0000CC"/>
        <rFont val="Calibri"/>
        <family val="2"/>
        <scheme val="minor"/>
      </rPr>
      <t xml:space="preserve">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DTE: 241059243-Expenses</t>
    </r>
  </si>
  <si>
    <t>Client: Energyzer- 202601 202601 RF DTE: 241059243-Expenses</t>
  </si>
  <si>
    <t xml:space="preserve"> E320000000011</t>
  </si>
  <si>
    <t xml:space="preserve">Transferencia de fondos a cta USD para pago RP Dominicana y pólizas febrero </t>
  </si>
  <si>
    <t>Client:Safeguard -202512-Nómina Directa- DTE 4015934287 Bono</t>
  </si>
  <si>
    <t>Pago a casa matriz factura Febrero</t>
  </si>
  <si>
    <t>Declaraguate ISR No Residentes / S&amp;P</t>
  </si>
  <si>
    <t>Transferencia de fondos a cta USD para pago facturas S&amp;P Colombia</t>
  </si>
  <si>
    <t>Transferencia de fondos a cta USD para pago facturas S&amp;P</t>
  </si>
  <si>
    <t>Transferencia de fondos a cuenta S&amp;P Bancolombia pago de facturas Nro. 6302-6377-6480-6666</t>
  </si>
  <si>
    <t>Pago bono Jessica Vasquez SG</t>
  </si>
  <si>
    <t>Pago planilla IGSS Enero 5933985 S&amp;P</t>
  </si>
  <si>
    <t>Declaraguate ISR No Residentes / S&amp;P 50087238177</t>
  </si>
  <si>
    <t>Gastos financieros por envio de recursos S&amp;P Colombia</t>
  </si>
  <si>
    <t>Pago planilla IGSS Enero-SG 5977935</t>
  </si>
  <si>
    <t>Declaraguate ISR rentas de trabajo Enero SG 50024581231</t>
  </si>
  <si>
    <t>Declaraguate ISR No Residentes / Grupo CGR- S&amp;P Lawyer  5087471381</t>
  </si>
  <si>
    <t xml:space="preserve">Declaraguate ISR  rentas de trabajo S&amp;P Enero </t>
  </si>
  <si>
    <t>Declaraguate ISR  rentas de trabajo S&amp;P Enero 50115315132</t>
  </si>
  <si>
    <t>Pago tramite Visa Gloria -Transferencia Nadia Jimenez</t>
  </si>
  <si>
    <t xml:space="preserve">Anticipo 50% para realizar tramite Visa de la Sra. Gloria     </t>
  </si>
  <si>
    <t>Pago Bono Jessica Patricia VasqueZ Gonzalez SG</t>
  </si>
  <si>
    <t xml:space="preserve">Pago anticipo 50% para realizar tramite Visa de la Sra. Gloria     </t>
  </si>
  <si>
    <r>
      <t>Client</t>
    </r>
    <r>
      <rPr>
        <b/>
        <sz val="11"/>
        <color rgb="FF00B050"/>
        <rFont val="Calibri"/>
        <family val="2"/>
        <scheme val="minor"/>
      </rPr>
      <t>:Safeguard -202512-Nómina Directa</t>
    </r>
    <r>
      <rPr>
        <sz val="11"/>
        <rFont val="Calibri"/>
        <family val="2"/>
        <scheme val="minor"/>
      </rPr>
      <t xml:space="preserve">- DTE 4015934287 </t>
    </r>
    <r>
      <rPr>
        <b/>
        <i/>
        <sz val="11"/>
        <color rgb="FFFF0000"/>
        <rFont val="Calibri"/>
        <family val="2"/>
        <scheme val="minor"/>
      </rPr>
      <t>Bono</t>
    </r>
  </si>
  <si>
    <r>
      <rPr>
        <sz val="11"/>
        <rFont val="Calibri"/>
        <family val="2"/>
        <scheme val="minor"/>
      </rPr>
      <t xml:space="preserve">Client: Czarnikow-202602 </t>
    </r>
    <r>
      <rPr>
        <b/>
        <sz val="11"/>
        <color rgb="FF0000CC"/>
        <rFont val="Calibri"/>
        <family val="2"/>
        <scheme val="minor"/>
      </rPr>
      <t xml:space="preserve">RF  </t>
    </r>
    <r>
      <rPr>
        <sz val="11"/>
        <rFont val="Calibri"/>
        <family val="2"/>
        <scheme val="minor"/>
      </rPr>
      <t xml:space="preserve">DTE </t>
    </r>
    <r>
      <rPr>
        <sz val="11"/>
        <color theme="1"/>
        <rFont val="Calibri"/>
        <family val="2"/>
        <scheme val="minor"/>
      </rPr>
      <t>269044021</t>
    </r>
  </si>
  <si>
    <r>
      <rPr>
        <sz val="11"/>
        <rFont val="Calibri"/>
        <family val="2"/>
        <scheme val="minor"/>
      </rPr>
      <t xml:space="preserve">Client: NotableGrowth-202602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2430028850</t>
    </r>
  </si>
  <si>
    <r>
      <t xml:space="preserve">Client: Bilingual Bridges-202602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 DTE: 968902272</t>
    </r>
  </si>
  <si>
    <r>
      <rPr>
        <sz val="11"/>
        <rFont val="Calibri"/>
        <family val="2"/>
        <scheme val="minor"/>
      </rPr>
      <t>Client:Iberia Foods LLC,-202602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 xml:space="preserve">RF </t>
    </r>
    <r>
      <rPr>
        <sz val="11"/>
        <color theme="1"/>
        <rFont val="Calibri"/>
        <family val="2"/>
        <scheme val="minor"/>
      </rPr>
      <t>DTE 307186486</t>
    </r>
  </si>
  <si>
    <r>
      <rPr>
        <sz val="11"/>
        <rFont val="Calibri"/>
        <family val="2"/>
        <scheme val="minor"/>
      </rPr>
      <t>Client: Vinmar International,-202602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 1806453908</t>
    </r>
  </si>
  <si>
    <r>
      <t xml:space="preserve">Client:  Soul Innovations-2025602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3897183996</t>
    </r>
  </si>
  <si>
    <r>
      <t xml:space="preserve">Client:  Soul Innovations-2025602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2783464798 Expenses</t>
    </r>
  </si>
  <si>
    <r>
      <rPr>
        <sz val="11"/>
        <rFont val="Calibri"/>
        <family val="2"/>
        <scheme val="minor"/>
      </rPr>
      <t>Client: Highspring-202602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1822245367</t>
    </r>
  </si>
  <si>
    <r>
      <rPr>
        <sz val="11"/>
        <rFont val="Calibri"/>
        <family val="2"/>
        <scheme val="minor"/>
      </rPr>
      <t>Client:Energyzer- 202602-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 3739305032</t>
    </r>
  </si>
  <si>
    <r>
      <rPr>
        <sz val="11"/>
        <color theme="1"/>
        <rFont val="Calibri"/>
        <family val="2"/>
        <scheme val="minor"/>
      </rPr>
      <t>Client:Kairos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202602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 2621326974</t>
    </r>
  </si>
  <si>
    <r>
      <rPr>
        <sz val="11"/>
        <rFont val="Calibri"/>
        <family val="2"/>
        <scheme val="minor"/>
      </rPr>
      <t>Client: Opportunity-202602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2413972439</t>
    </r>
  </si>
  <si>
    <r>
      <rPr>
        <sz val="11"/>
        <rFont val="Calibri"/>
        <family val="2"/>
        <scheme val="minor"/>
      </rPr>
      <t>Client: Panthera-202602-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2688239875</t>
    </r>
  </si>
  <si>
    <r>
      <t>Client:Careercircle, LLC-202602-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 DTE: 2087210538</t>
    </r>
  </si>
  <si>
    <r>
      <t>Client: Archewll-202602</t>
    </r>
    <r>
      <rPr>
        <b/>
        <sz val="11"/>
        <color rgb="FFEE0000"/>
        <rFont val="Calibri"/>
        <family val="2"/>
        <scheme val="minor"/>
      </rPr>
      <t>-SG</t>
    </r>
    <r>
      <rPr>
        <sz val="11"/>
        <rFont val="Calibri"/>
        <family val="2"/>
        <scheme val="minor"/>
      </rPr>
      <t xml:space="preserve"> DTE: 1304052975</t>
    </r>
  </si>
  <si>
    <t>Client: Highspring-202602-SG DTE: 1822245367</t>
  </si>
  <si>
    <t>Safeguard Factura FE7880C2</t>
  </si>
  <si>
    <t>Safeguard Factura B40D8F0A</t>
  </si>
  <si>
    <t>Client:Kairos -202602-SG DTE 2621326974</t>
  </si>
  <si>
    <t>Client: Opportunity-202602-SG DTE: 2413972439</t>
  </si>
  <si>
    <t>Client: Panthera-202602-SG DTE: 2688239875</t>
  </si>
  <si>
    <t>Client:Careercircle, LLC-202602-SG  DTE: 2087210538</t>
  </si>
  <si>
    <t>Client: Archewll-202602-SG DTE: 1304052975</t>
  </si>
  <si>
    <t>Client:Energyzer- 202602-SG DTE 3739305032</t>
  </si>
  <si>
    <t>Client: Czarnikow-202602 RF  DTE 269044021</t>
  </si>
  <si>
    <t>Client: NotableGrowth-202602 RF DTE: 2430028850</t>
  </si>
  <si>
    <t>Client: Bilingual Bridges-202602 RF  DTE: 968902272</t>
  </si>
  <si>
    <t>Client:Iberia Foods LLC,-202602-RF DTE 307186486</t>
  </si>
  <si>
    <t>Client: Vinmar International,-202602-RF DTE 1806453908</t>
  </si>
  <si>
    <t>Client:  Soul Innovations-2025602 RF DTE: 3897183996</t>
  </si>
  <si>
    <t>Client:  Soul Innovations-2025602 RF DTE: 2783464798 Expenses</t>
  </si>
  <si>
    <t xml:space="preserve"> Servicios por movilizacion  radicacion documentos Benjamin Maturana- Claro traspaso linea a Jerry Garcia</t>
  </si>
  <si>
    <t>Servicios prestados por representacion legal mes enero 2026 SYP</t>
  </si>
  <si>
    <t>Servicios prestados por representación entidad Global Guatemala Enero 2026</t>
  </si>
  <si>
    <r>
      <t>Client:Global E -202601-</t>
    </r>
    <r>
      <rPr>
        <b/>
        <sz val="11"/>
        <color rgb="FF7030A0"/>
        <rFont val="Calibri"/>
        <family val="2"/>
        <scheme val="minor"/>
      </rPr>
      <t>GE</t>
    </r>
    <r>
      <rPr>
        <sz val="11"/>
        <color theme="1"/>
        <rFont val="Calibri"/>
        <family val="2"/>
        <scheme val="minor"/>
      </rPr>
      <t xml:space="preserve"> DTE: 2848804285</t>
    </r>
  </si>
  <si>
    <r>
      <t>Client:Safeguard -202602-</t>
    </r>
    <r>
      <rPr>
        <b/>
        <i/>
        <sz val="11"/>
        <color rgb="FF00B050"/>
        <rFont val="Calibri"/>
        <family val="2"/>
        <scheme val="minor"/>
      </rPr>
      <t>Nómina Directa</t>
    </r>
    <r>
      <rPr>
        <sz val="11"/>
        <rFont val="Calibri"/>
        <family val="2"/>
        <scheme val="minor"/>
      </rPr>
      <t>- DTE 1589005872</t>
    </r>
  </si>
  <si>
    <r>
      <t>Client:Global E -202602-</t>
    </r>
    <r>
      <rPr>
        <b/>
        <sz val="11"/>
        <color rgb="FF7030A0"/>
        <rFont val="Calibri"/>
        <family val="2"/>
        <scheme val="minor"/>
      </rPr>
      <t>GE</t>
    </r>
    <r>
      <rPr>
        <sz val="11"/>
        <rFont val="Calibri"/>
        <family val="2"/>
        <scheme val="minor"/>
      </rPr>
      <t xml:space="preserve"> DTE: 2848804285</t>
    </r>
  </si>
  <si>
    <r>
      <t>Client</t>
    </r>
    <r>
      <rPr>
        <b/>
        <sz val="11"/>
        <color rgb="FF00B050"/>
        <rFont val="Calibri"/>
        <family val="2"/>
        <scheme val="minor"/>
      </rPr>
      <t>:Safeguard -202512-Nómina Directa</t>
    </r>
    <r>
      <rPr>
        <sz val="11"/>
        <rFont val="Calibri"/>
        <family val="2"/>
        <scheme val="minor"/>
      </rPr>
      <t>- DTE 1589005872</t>
    </r>
  </si>
  <si>
    <r>
      <t xml:space="preserve">Javier Ricardo Martinez Cruz-Suol Innovations Ltd (RF) </t>
    </r>
    <r>
      <rPr>
        <b/>
        <sz val="11"/>
        <color rgb="FFFF0000"/>
        <rFont val="Calibri"/>
        <family val="2"/>
        <scheme val="minor"/>
      </rPr>
      <t>QTQ</t>
    </r>
  </si>
  <si>
    <t>Reembolso gastos Javier Ricardo Martinez Cruz-Suol Innovations Ltd (RF)</t>
  </si>
  <si>
    <t>7FA415A8-3876-427B
AA6D-B3DB8F5BBE30</t>
  </si>
  <si>
    <t>Inbers contadores Servicios contables con entrega de información financiera correspondiente al periodo de Enero 2026</t>
  </si>
  <si>
    <t>Póliza Carlos Raymundo Morales Santos -Safeguard-Febrero</t>
  </si>
  <si>
    <t>Póliza Odalis Alejandra Reyes Pirir de Garcia-Safeguard-Febrero</t>
  </si>
  <si>
    <t>Póliza Jorge Benjamin Granados Anderson-Safeguard-Febrero</t>
  </si>
  <si>
    <t>Client:Safeguard -202512-Nómina Directa- DTE 1589005872</t>
  </si>
  <si>
    <t>Transferencia de la cta USD a QTQ pago Nom y gas SG</t>
  </si>
  <si>
    <t>TOTAL EGRESOS MARZO</t>
  </si>
  <si>
    <t>Odalis Alejandra Reyes Pirir-SG-Reembolso</t>
  </si>
  <si>
    <t xml:space="preserve">Odalis Alejandra Reyes Pirir-SG  </t>
  </si>
  <si>
    <t>Jorge Benjamin Granados Anderson SG-Reembolso</t>
  </si>
  <si>
    <t xml:space="preserve">Transferencia de Dinero De QTQ a USD pago reeembolso SG </t>
  </si>
  <si>
    <r>
      <t>Póliza de salud Hector Augusto Castillo Luna-</t>
    </r>
    <r>
      <rPr>
        <b/>
        <sz val="11"/>
        <color rgb="FFFF0000"/>
        <rFont val="Calibri"/>
        <family val="2"/>
        <scheme val="minor"/>
      </rPr>
      <t>QTQ</t>
    </r>
    <r>
      <rPr>
        <sz val="11"/>
        <color rgb="FF00B050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GM-</t>
    </r>
  </si>
  <si>
    <t>Póliza de Salud mes de Febrero</t>
  </si>
  <si>
    <t>Devolución de dinero Michael Edgar</t>
  </si>
  <si>
    <t>X identificar</t>
  </si>
  <si>
    <t>For FC Mar</t>
  </si>
  <si>
    <t>Pagos del 01 al 23 Marzo</t>
  </si>
  <si>
    <t>Pago planilla IGSS Febrero</t>
  </si>
  <si>
    <t>F3BE31ED-061C-4A62
9712-7A8A8F4055E7
AA6D-B3DB8F5BBE30</t>
  </si>
  <si>
    <t>Servicios prestados por representacion legal mes Febrero 2026 SYP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</si>
  <si>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Febrero 2026</t>
    </r>
  </si>
  <si>
    <t>Pago a casa matriz factura</t>
  </si>
  <si>
    <t xml:space="preserve">Previsto </t>
  </si>
  <si>
    <t>Pago planilla IGSS Febrero-SG</t>
  </si>
  <si>
    <t xml:space="preserve"> Inbers, Juan Santiago</t>
  </si>
  <si>
    <t>Pólizas</t>
  </si>
  <si>
    <t xml:space="preserve">Douglas Miguel Villa Fuerte Leiva  -Archewll-CC014 </t>
  </si>
  <si>
    <t>Carlos Alejandro Montiel Lorenzana-Archewll-CC014</t>
  </si>
  <si>
    <t xml:space="preserve">Wendy Maricela Marroquin Hernandez-Archewll-CC014-Liquidación </t>
  </si>
  <si>
    <t xml:space="preserve">José Gilberto Villagran Soto-Archewll-CC014-Liquidación </t>
  </si>
  <si>
    <t xml:space="preserve">Douglas Miguel Villa Fuerte Leiva  -Archewll-CC014 -Liquidación </t>
  </si>
  <si>
    <r>
      <t>Client: Archewll-202602</t>
    </r>
    <r>
      <rPr>
        <b/>
        <sz val="11"/>
        <color rgb="FFEE0000"/>
        <rFont val="Calibri"/>
        <family val="2"/>
        <scheme val="minor"/>
      </rPr>
      <t>-SG</t>
    </r>
    <r>
      <rPr>
        <sz val="11"/>
        <rFont val="Calibri"/>
        <family val="2"/>
        <scheme val="minor"/>
      </rPr>
      <t xml:space="preserve"> DTE: 1001343421</t>
    </r>
  </si>
  <si>
    <r>
      <t>Client: Archewll-202602</t>
    </r>
    <r>
      <rPr>
        <b/>
        <sz val="11"/>
        <color rgb="FFEE0000"/>
        <rFont val="Calibri"/>
        <family val="2"/>
        <scheme val="minor"/>
      </rPr>
      <t>-SG</t>
    </r>
    <r>
      <rPr>
        <sz val="11"/>
        <rFont val="Calibri"/>
        <family val="2"/>
        <scheme val="minor"/>
      </rPr>
      <t xml:space="preserve"> DTE: 192364919</t>
    </r>
  </si>
  <si>
    <t xml:space="preserve"> E320000000015</t>
  </si>
  <si>
    <t>Servicio de representación, diligencia de alta TSS y ministerio Grupo CGR Lawyer- Factura  E320000000015</t>
  </si>
  <si>
    <t>Servicio de representación, diligencia de alta TSS y ministerio Grupo CGR Lawyer- Factura  E320000000011</t>
  </si>
  <si>
    <r>
      <t>Client:Global E -202602-</t>
    </r>
    <r>
      <rPr>
        <b/>
        <sz val="11"/>
        <color rgb="FF7030A0"/>
        <rFont val="Calibri"/>
        <family val="2"/>
        <scheme val="minor"/>
      </rPr>
      <t>GE</t>
    </r>
    <r>
      <rPr>
        <sz val="11"/>
        <color theme="1"/>
        <rFont val="Calibri"/>
        <family val="2"/>
        <scheme val="minor"/>
      </rPr>
      <t xml:space="preserve"> DTE: 2848804285</t>
    </r>
  </si>
  <si>
    <t>Client:Global E -202602-GE DTE: 2848804285</t>
  </si>
  <si>
    <t>Servicios de representacion legal y contable SG DTE: 1120</t>
  </si>
  <si>
    <r>
      <rPr>
        <sz val="11"/>
        <color theme="1"/>
        <rFont val="Calibri"/>
        <family val="2"/>
        <scheme val="minor"/>
      </rPr>
      <t>Client:Kairos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202603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 19033166729</t>
    </r>
  </si>
  <si>
    <r>
      <rPr>
        <sz val="11"/>
        <rFont val="Calibri"/>
        <family val="2"/>
        <scheme val="minor"/>
      </rPr>
      <t>Client: Opportunity-202603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1225281079</t>
    </r>
  </si>
  <si>
    <r>
      <rPr>
        <sz val="11"/>
        <rFont val="Calibri"/>
        <family val="2"/>
        <scheme val="minor"/>
      </rPr>
      <t>Client: Panthera-202603-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2742896548</t>
    </r>
  </si>
  <si>
    <r>
      <t>Client:Careercircle, LLC-202602-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 DTE: 3755036395</t>
    </r>
  </si>
  <si>
    <r>
      <rPr>
        <sz val="11"/>
        <rFont val="Calibri"/>
        <family val="2"/>
        <scheme val="minor"/>
      </rPr>
      <t>Client: Highspring-202602</t>
    </r>
    <r>
      <rPr>
        <b/>
        <sz val="11"/>
        <color rgb="FFFF0000"/>
        <rFont val="Calibri"/>
        <family val="2"/>
        <scheme val="minor"/>
      </rPr>
      <t>-SG</t>
    </r>
    <r>
      <rPr>
        <sz val="11"/>
        <color rgb="FF0000CC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DTE: 1430342737</t>
    </r>
  </si>
  <si>
    <r>
      <t>Client:Global E -202603-</t>
    </r>
    <r>
      <rPr>
        <b/>
        <sz val="11"/>
        <color rgb="FF7030A0"/>
        <rFont val="Calibri"/>
        <family val="2"/>
        <scheme val="minor"/>
      </rPr>
      <t>GE</t>
    </r>
    <r>
      <rPr>
        <sz val="11"/>
        <rFont val="Calibri"/>
        <family val="2"/>
        <scheme val="minor"/>
      </rPr>
      <t xml:space="preserve"> DTE: 2243052283</t>
    </r>
  </si>
  <si>
    <r>
      <rPr>
        <sz val="11"/>
        <rFont val="Calibri"/>
        <family val="2"/>
        <scheme val="minor"/>
      </rPr>
      <t xml:space="preserve">Client: NotableGrowth-202603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1331382371</t>
    </r>
  </si>
  <si>
    <r>
      <t xml:space="preserve">Client: Bilingual Bridges-202603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 DTE: 968902272</t>
    </r>
  </si>
  <si>
    <r>
      <rPr>
        <sz val="11"/>
        <rFont val="Calibri"/>
        <family val="2"/>
        <scheme val="minor"/>
      </rPr>
      <t>Client:Iberia Foods LLC,-202603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 xml:space="preserve">RF </t>
    </r>
    <r>
      <rPr>
        <sz val="11"/>
        <color theme="1"/>
        <rFont val="Calibri"/>
        <family val="2"/>
        <scheme val="minor"/>
      </rPr>
      <t>DTE 2114996581</t>
    </r>
  </si>
  <si>
    <r>
      <rPr>
        <sz val="11"/>
        <rFont val="Calibri"/>
        <family val="2"/>
        <scheme val="minor"/>
      </rPr>
      <t>Client: Vinmar International,-202602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>RF</t>
    </r>
    <r>
      <rPr>
        <sz val="11"/>
        <rFont val="Calibri"/>
        <family val="2"/>
        <scheme val="minor"/>
      </rPr>
      <t xml:space="preserve"> DTE 3554234031</t>
    </r>
  </si>
  <si>
    <t>Client:Energyzer- 202603-SG DTE 3610921188</t>
  </si>
  <si>
    <t>Declaraguate ISR  rentas de trabajo S&amp;P Febrero</t>
  </si>
  <si>
    <t>Declaraguate ISR rentas de trabajo febrero</t>
  </si>
  <si>
    <t>Pago planilla IGSS Febrero 6046059 S&amp;P</t>
  </si>
  <si>
    <t>Pago planilla IGSS Febrero-SG 6045958</t>
  </si>
  <si>
    <t>Declaraguate ISR  rentas de trabajo SG Febrero 50405693423</t>
  </si>
  <si>
    <t>Declaraguate ISR rentas de trabajo Febrero SG 50418510355</t>
  </si>
  <si>
    <t>Declaraguate ISR No Residentes / S&amp;P 50404858314</t>
  </si>
  <si>
    <t>Declaraguate ISR No Residentes / Grupo CGR- S&amp;P Lawyer  50404870539</t>
  </si>
  <si>
    <r>
      <t xml:space="preserve">Client:  Soul Innovations-2025602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652362272</t>
    </r>
  </si>
  <si>
    <r>
      <t>Client:Energyzer- 202603-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 3610921188</t>
    </r>
  </si>
  <si>
    <r>
      <t>Client:Kairos -202603-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 19033166729</t>
    </r>
  </si>
  <si>
    <r>
      <t>Client: Opportunity-202603-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1225281079</t>
    </r>
  </si>
  <si>
    <r>
      <t>Client: Highspring-202602-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1430342737</t>
    </r>
  </si>
  <si>
    <r>
      <t>Client: Panthera-202603-</t>
    </r>
    <r>
      <rPr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2742896548</t>
    </r>
  </si>
  <si>
    <t xml:space="preserve"> Servicios por movilizacion durante el mes de febrero 2026</t>
  </si>
  <si>
    <t>61C9ED0C</t>
  </si>
  <si>
    <t xml:space="preserve"> Servicios por movilizacion durante el mes de febrero 2026 Factura 1495813926</t>
  </si>
  <si>
    <t>Servicios prestados por representacion legal mes Febrero 2026 SYP Factura 61C9ED0C</t>
  </si>
  <si>
    <r>
      <t xml:space="preserve">Servicios prestados por representación entidad </t>
    </r>
    <r>
      <rPr>
        <b/>
        <i/>
        <sz val="11"/>
        <rFont val="Calibri"/>
        <family val="2"/>
        <scheme val="minor"/>
      </rPr>
      <t>Global</t>
    </r>
    <r>
      <rPr>
        <sz val="11"/>
        <rFont val="Calibri"/>
        <family val="2"/>
        <scheme val="minor"/>
      </rPr>
      <t xml:space="preserve"> Guatemala Febrero 2026 1380272196</t>
    </r>
  </si>
  <si>
    <t>Inbers contadores Servicios contables con entrega de información financiera correspondiente al periodo de Febrero 2026</t>
  </si>
  <si>
    <r>
      <t xml:space="preserve">Client:  Soul Innovations-2025602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1182352804 Ingreso</t>
    </r>
  </si>
  <si>
    <t>Client:  Soul Innovations-2025602 RF DTE: 1182352804 Ingreso</t>
  </si>
  <si>
    <t>Client: NotableGrowth-202603 RF DTE: 1331382371</t>
  </si>
  <si>
    <t>Client: Bilingual Bridges-202603 RF  DTE: 968902272</t>
  </si>
  <si>
    <t>Client:Iberia Foods LLC,-202603-RF DTE 2114996581</t>
  </si>
  <si>
    <t>Client: Vinmar International,-202602-RF DTE 3554234031</t>
  </si>
  <si>
    <t>Client: Czarnikow-202602 RF  DTE 1771717057</t>
  </si>
  <si>
    <t>Client:  Soul Innovations-2025602 RF DTE: 652362272</t>
  </si>
  <si>
    <t xml:space="preserve">TOTAL </t>
  </si>
  <si>
    <r>
      <t>Client:Energyzer- 202603-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DTE 3610921188</t>
    </r>
  </si>
  <si>
    <r>
      <t xml:space="preserve">Client:Kairos </t>
    </r>
    <r>
      <rPr>
        <b/>
        <sz val="11"/>
        <rFont val="Calibri"/>
        <family val="2"/>
        <scheme val="minor"/>
      </rPr>
      <t>-</t>
    </r>
    <r>
      <rPr>
        <sz val="11"/>
        <rFont val="Calibri"/>
        <family val="2"/>
        <scheme val="minor"/>
      </rPr>
      <t>202603</t>
    </r>
    <r>
      <rPr>
        <b/>
        <sz val="11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 19033166729</t>
    </r>
  </si>
  <si>
    <r>
      <t>Client: Opportunity-202603</t>
    </r>
    <r>
      <rPr>
        <b/>
        <sz val="11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1225281079</t>
    </r>
  </si>
  <si>
    <r>
      <t>Client: Panthera-202603-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2742896548</t>
    </r>
  </si>
  <si>
    <r>
      <t>Client: Highspring-202602</t>
    </r>
    <r>
      <rPr>
        <b/>
        <sz val="11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SG</t>
    </r>
    <r>
      <rPr>
        <sz val="11"/>
        <rFont val="Calibri"/>
        <family val="2"/>
        <scheme val="minor"/>
      </rPr>
      <t xml:space="preserve"> DTE: 1430342737</t>
    </r>
  </si>
  <si>
    <r>
      <t>Client:Iberia Foods LLC,-202603</t>
    </r>
    <r>
      <rPr>
        <sz val="11"/>
        <color rgb="FF0000CC"/>
        <rFont val="Calibri"/>
        <family val="2"/>
        <scheme val="minor"/>
      </rPr>
      <t>-</t>
    </r>
    <r>
      <rPr>
        <b/>
        <sz val="11"/>
        <color rgb="FF0000CC"/>
        <rFont val="Calibri"/>
        <family val="2"/>
        <scheme val="minor"/>
      </rPr>
      <t xml:space="preserve">RF </t>
    </r>
    <r>
      <rPr>
        <sz val="11"/>
        <color theme="1"/>
        <rFont val="Calibri"/>
        <family val="2"/>
        <scheme val="minor"/>
      </rPr>
      <t>DTE 185093801</t>
    </r>
  </si>
  <si>
    <t>OTROS GASTOS DE OFICINA Y EMPLEADOS</t>
  </si>
  <si>
    <t>ED19AC29</t>
  </si>
  <si>
    <t>ETC Working Renta de oficina Virtual a Solutions and Payroll del 1 de Abril del 2026 al 31 de mayo 2027</t>
  </si>
  <si>
    <t>ETC Working Renta de oficina Virtual a Solutions and Payroll del 1 de Abril del 2026 al 31 de mayo 2027 Factura ED19AC29</t>
  </si>
  <si>
    <r>
      <t>Client</t>
    </r>
    <r>
      <rPr>
        <b/>
        <sz val="11"/>
        <color rgb="FF00B050"/>
        <rFont val="Calibri"/>
        <family val="2"/>
        <scheme val="minor"/>
      </rPr>
      <t>:Safeguard -202603-Nómina Directa</t>
    </r>
    <r>
      <rPr>
        <sz val="11"/>
        <rFont val="Calibri"/>
        <family val="2"/>
        <scheme val="minor"/>
      </rPr>
      <t>- DTE 2805615521</t>
    </r>
  </si>
  <si>
    <r>
      <rPr>
        <sz val="11"/>
        <rFont val="Calibri"/>
        <family val="2"/>
        <scheme val="minor"/>
      </rPr>
      <t xml:space="preserve">Client: Czarnikow-202603 </t>
    </r>
    <r>
      <rPr>
        <b/>
        <sz val="11"/>
        <color rgb="FF0000CC"/>
        <rFont val="Calibri"/>
        <family val="2"/>
        <scheme val="minor"/>
      </rPr>
      <t xml:space="preserve">RF  </t>
    </r>
    <r>
      <rPr>
        <sz val="11"/>
        <rFont val="Calibri"/>
        <family val="2"/>
        <scheme val="minor"/>
      </rPr>
      <t xml:space="preserve">DTE </t>
    </r>
    <r>
      <rPr>
        <sz val="11"/>
        <color theme="1"/>
        <rFont val="Calibri"/>
        <family val="2"/>
        <scheme val="minor"/>
      </rPr>
      <t>1771717057</t>
    </r>
  </si>
  <si>
    <r>
      <t xml:space="preserve">Client:  Soul Innovations-2025603 </t>
    </r>
    <r>
      <rPr>
        <b/>
        <sz val="11"/>
        <color rgb="FF0000CC"/>
        <rFont val="Calibri"/>
        <family val="2"/>
        <scheme val="minor"/>
      </rPr>
      <t>RF</t>
    </r>
    <r>
      <rPr>
        <sz val="11"/>
        <color theme="1"/>
        <rFont val="Calibri"/>
        <family val="2"/>
        <scheme val="minor"/>
      </rPr>
      <t xml:space="preserve"> DTE: 652362272</t>
    </r>
  </si>
  <si>
    <t>Client:  Soul Innovations-2025603 RF DTE: 1182352804 Ingreso</t>
  </si>
  <si>
    <t>Client:Safeguard -202603-Nómina Directa- DTE 2805615521</t>
  </si>
  <si>
    <t>Mario José Roldan Hernández -Suol Innovations Ltd (RF)</t>
  </si>
  <si>
    <t>Por identificar</t>
  </si>
  <si>
    <t xml:space="preserve">Braulio Daniel Chipix Altan </t>
  </si>
  <si>
    <t xml:space="preserve">Bryan Otoniel Ordoñez Morales </t>
  </si>
  <si>
    <t>Irma Elizabeth Wong González</t>
  </si>
  <si>
    <t>Envio de fondos a Nadia Jimenez- permiso de trabajo Jorge Benjamin Granados Anderson</t>
  </si>
  <si>
    <t>Braulio Daniel Chipix Altan</t>
  </si>
  <si>
    <t xml:space="preserve">David Enrique Herman Juarez </t>
  </si>
  <si>
    <t xml:space="preserve">Irma Elizabeth Wong Gonzalez </t>
  </si>
  <si>
    <t>Póliza de Salud mes de Marzo</t>
  </si>
  <si>
    <t>Pago póliza Gastos médicos empleados Guatemala Marzo</t>
  </si>
  <si>
    <t>Transferencia de fondos a cta USD para pago Reembolso gastos SG</t>
  </si>
  <si>
    <r>
      <t>David Enrique Herman Juarez -</t>
    </r>
    <r>
      <rPr>
        <b/>
        <sz val="11"/>
        <color rgb="FFFF0000"/>
        <rFont val="Calibri"/>
        <family val="2"/>
        <scheme val="minor"/>
      </rPr>
      <t>QTQ</t>
    </r>
  </si>
  <si>
    <t>Carlos Raymundo Morales Santos-QTQ-SG-Reembolso</t>
  </si>
  <si>
    <t>Jorge Benjamin Granados Anderson-QTQ-SG-Reembolso</t>
  </si>
  <si>
    <t>Odalis Alejandra Reyes Pirir -QTQ-SG-Reembolso</t>
  </si>
  <si>
    <t>David Enrique Herman Juarez-QTQ-SG-Reembolso</t>
  </si>
  <si>
    <t>Javier Ricardo Martinez Cruz-Suol Innovations Ltd (RF) QTQ</t>
  </si>
  <si>
    <t>Póliza Carlos Raymundo Morales Santos -Safeguard-Marzo</t>
  </si>
  <si>
    <t>Póliza Odalis Alejandra Reyes Pirir de Garcia-Safeguard-Marzo</t>
  </si>
  <si>
    <t>Póliza Jorge Benjamin Granados Anderson-Safeguard-Marzo</t>
  </si>
  <si>
    <t>Declaraguate ISR Anual 2025</t>
  </si>
  <si>
    <t>Declaraguate ISR Anual 2025 Formulario 50498172920</t>
  </si>
  <si>
    <t>Declaraguate ISR Anual 2025 Formulario 50522844868-SG</t>
  </si>
  <si>
    <t>Hector Augusto Castillo Luna-Iberia-CC013-liquidación</t>
  </si>
  <si>
    <t>Claro marzo Ivan Chavez</t>
  </si>
  <si>
    <t>For FC Feb</t>
  </si>
  <si>
    <t>For FC Abr</t>
  </si>
  <si>
    <t>Client: Archewll-202604-SG DTE: 1304052975</t>
  </si>
  <si>
    <t>Client:Energyzer- 202604-SG DTE 3610921188</t>
  </si>
  <si>
    <t>Client:Kairos -202604-SG DTE 19033166729</t>
  </si>
  <si>
    <t>Client: Opportunity-202604-SG DTE: 1225281079</t>
  </si>
  <si>
    <t>Client: Panthera-202604-SG DTE: 2742896548</t>
  </si>
  <si>
    <t>Client:Careercircle, LLC-202604-SG  DTE: 3755036395</t>
  </si>
  <si>
    <t>Client: Highspring-202604-SG DTE: 1430342737</t>
  </si>
  <si>
    <t>Client:Global E -202604-GE DTE: 2243052283</t>
  </si>
  <si>
    <t>Client: NotableGrowth-202604 RF DTE: 1331382371</t>
  </si>
  <si>
    <t>Client: Bilingual Bridges-202604 RF  DTE: 968902272</t>
  </si>
  <si>
    <t>Client:Iberia Foods LLC,-202604-RF DTE 2114996581</t>
  </si>
  <si>
    <t>Client: Vinmar International,-202604-RF DTE 3554234031</t>
  </si>
  <si>
    <t>Client: Czarnikow-202604 RF  DTE 1771717057</t>
  </si>
  <si>
    <t>Client:Iberia Foods LLC,-202604-RF DTE 185093801</t>
  </si>
  <si>
    <t>Client:Safeguard -202604-Nómina Directa- DTE 2805615521</t>
  </si>
  <si>
    <t xml:space="preserve"> 4AAA90BB-1506758267
9712-7A8A8F4055E7
AA6D-B3DB8F5BBE30</t>
  </si>
  <si>
    <t>Imprevisto</t>
  </si>
  <si>
    <t>Pagos del 01 al 26 Abril</t>
  </si>
  <si>
    <t>Declaraguate ISR  rentas de trabajo S&amp;P Marzo</t>
  </si>
  <si>
    <t>Declaraguate ISR Retenido Actividades Lucrativas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</si>
</sst>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#,##0.00_ ;[Red]\-#,##0.00\ "/>
    <numFmt numFmtId="167" formatCode="[$USD]\ #,##0.00;\-[$USD]\ #,##0.00"/>
    <numFmt numFmtId="168" formatCode="_-[$USD]\ * #,##0.00_-;\-[$USD]\ * #,##0.00_-;_-[$USD]\ * &quot;-&quot;??_-;_-@_-"/>
    <numFmt numFmtId="169" formatCode="#,##0.00_ ;\-#,##0.00\ "/>
    <numFmt numFmtId="170" formatCode="[$USD]\ #,##0.00"/>
    <numFmt numFmtId="171" formatCode="[$GTQ]\ #,##0.00"/>
    <numFmt numFmtId="172" formatCode=";;;"/>
    <numFmt numFmtId="173" formatCode="[$$-240A]\ #,##0"/>
    <numFmt numFmtId="174" formatCode=";\:;;"/>
    <numFmt numFmtId="175" formatCode="0.0%"/>
    <numFmt numFmtId="176" formatCode="_(&quot;$&quot;* #,##0.00_);_(&quot;$&quot;* \(#,##0.00\);_(&quot;$&quot;* &quot;-&quot;_);_(@_)"/>
    <numFmt numFmtId="177" formatCode="[$CRC]\ #,##0.00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sz val="12"/>
      <color rgb="FF0033CC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Frutiger-Bold"/>
    </font>
    <font>
      <sz val="11"/>
      <color theme="0"/>
      <name val="Frutiger-Light"/>
    </font>
    <font>
      <b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rgb="FF0000CC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9"/>
      </left>
      <right/>
      <top style="medium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hair">
        <color auto="1"/>
      </left>
      <right style="dashed">
        <color auto="1"/>
      </right>
      <top style="hair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dashed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dashed">
        <color auto="1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hair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dashed">
        <color auto="1"/>
      </right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0" fontId="8" fillId="0" borderId="0">
      <alignment vertical="center"/>
    </xf>
    <xf numFmtId="0" fontId="5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5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/>
    </xf>
    <xf numFmtId="0" fontId="3" fillId="2" borderId="0" xfId="0" applyFont="1" applyFill="1"/>
    <xf numFmtId="0" fontId="0" fillId="0" borderId="1" xfId="0" applyBorder="1"/>
    <xf numFmtId="0" fontId="2" fillId="3" borderId="0" xfId="0" applyFont="1" applyFill="1"/>
    <xf numFmtId="14" fontId="0" fillId="0" borderId="1" xfId="0" applyNumberFormat="1" applyBorder="1"/>
    <xf numFmtId="0" fontId="1" fillId="0" borderId="0" xfId="0" applyFont="1"/>
    <xf numFmtId="43" fontId="0" fillId="0" borderId="0" xfId="1" applyFont="1"/>
    <xf numFmtId="43" fontId="1" fillId="0" borderId="0" xfId="1" applyFont="1"/>
    <xf numFmtId="43" fontId="0" fillId="0" borderId="0" xfId="0" applyNumberFormat="1"/>
    <xf numFmtId="43" fontId="2" fillId="3" borderId="0" xfId="1" applyFont="1" applyFill="1"/>
    <xf numFmtId="43" fontId="0" fillId="0" borderId="1" xfId="1" applyFont="1" applyFill="1" applyBorder="1"/>
    <xf numFmtId="43" fontId="0" fillId="0" borderId="0" xfId="1" applyFont="1" applyFill="1" applyBorder="1"/>
    <xf numFmtId="0" fontId="3" fillId="0" borderId="0" xfId="0" applyFont="1"/>
    <xf numFmtId="43" fontId="2" fillId="0" borderId="0" xfId="1" applyFont="1" applyFill="1" applyBorder="1"/>
    <xf numFmtId="0" fontId="3" fillId="4" borderId="0" xfId="0" applyFont="1" applyFill="1"/>
    <xf numFmtId="167" fontId="0" fillId="0" borderId="1" xfId="1" applyNumberFormat="1" applyFont="1" applyFill="1" applyBorder="1"/>
    <xf numFmtId="168" fontId="2" fillId="3" borderId="0" xfId="1" applyNumberFormat="1" applyFont="1" applyFill="1"/>
    <xf numFmtId="167" fontId="2" fillId="3" borderId="0" xfId="1" applyNumberFormat="1" applyFont="1" applyFill="1"/>
    <xf numFmtId="43" fontId="0" fillId="0" borderId="2" xfId="1" applyFont="1" applyFill="1" applyBorder="1"/>
    <xf numFmtId="39" fontId="7" fillId="3" borderId="0" xfId="1" applyNumberFormat="1" applyFont="1" applyFill="1"/>
    <xf numFmtId="169" fontId="0" fillId="0" borderId="0" xfId="0" applyNumberFormat="1"/>
    <xf numFmtId="167" fontId="0" fillId="0" borderId="0" xfId="1" applyNumberFormat="1" applyFont="1" applyFill="1" applyBorder="1"/>
    <xf numFmtId="14" fontId="0" fillId="0" borderId="0" xfId="1" applyNumberFormat="1" applyFont="1" applyFill="1" applyBorder="1"/>
    <xf numFmtId="14" fontId="0" fillId="5" borderId="0" xfId="0" applyNumberFormat="1" applyFill="1"/>
    <xf numFmtId="0" fontId="0" fillId="5" borderId="0" xfId="0" applyFill="1"/>
    <xf numFmtId="14" fontId="0" fillId="5" borderId="0" xfId="1" applyNumberFormat="1" applyFont="1" applyFill="1" applyBorder="1"/>
    <xf numFmtId="170" fontId="0" fillId="0" borderId="0" xfId="0" applyNumberFormat="1"/>
    <xf numFmtId="171" fontId="0" fillId="0" borderId="0" xfId="0" applyNumberFormat="1"/>
    <xf numFmtId="170" fontId="7" fillId="3" borderId="0" xfId="0" applyNumberFormat="1" applyFont="1" applyFill="1"/>
    <xf numFmtId="0" fontId="0" fillId="0" borderId="7" xfId="0" applyBorder="1"/>
    <xf numFmtId="170" fontId="0" fillId="0" borderId="8" xfId="0" applyNumberFormat="1" applyBorder="1"/>
    <xf numFmtId="0" fontId="0" fillId="0" borderId="3" xfId="0" applyBorder="1"/>
    <xf numFmtId="170" fontId="1" fillId="6" borderId="3" xfId="0" applyNumberFormat="1" applyFont="1" applyFill="1" applyBorder="1"/>
    <xf numFmtId="0" fontId="2" fillId="0" borderId="0" xfId="0" applyFont="1"/>
    <xf numFmtId="43" fontId="2" fillId="0" borderId="0" xfId="1" applyFont="1" applyFill="1"/>
    <xf numFmtId="0" fontId="5" fillId="0" borderId="0" xfId="3"/>
    <xf numFmtId="0" fontId="5" fillId="0" borderId="0" xfId="3" applyAlignment="1">
      <alignment horizontal="center"/>
    </xf>
    <xf numFmtId="164" fontId="5" fillId="0" borderId="0" xfId="4" applyFont="1" applyFill="1" applyBorder="1"/>
    <xf numFmtId="164" fontId="11" fillId="0" borderId="0" xfId="4" applyFont="1" applyBorder="1" applyAlignment="1">
      <alignment horizontal="center"/>
    </xf>
    <xf numFmtId="0" fontId="12" fillId="0" borderId="0" xfId="2" applyFont="1" applyAlignment="1" applyProtection="1">
      <protection locked="0"/>
    </xf>
    <xf numFmtId="0" fontId="13" fillId="0" borderId="0" xfId="2" applyFont="1" applyAlignment="1" applyProtection="1">
      <alignment horizontal="center" vertical="center"/>
      <protection locked="0"/>
    </xf>
    <xf numFmtId="3" fontId="13" fillId="0" borderId="0" xfId="2" applyNumberFormat="1" applyFont="1" applyAlignment="1" applyProtection="1">
      <alignment horizontal="center" vertical="center"/>
      <protection locked="0"/>
    </xf>
    <xf numFmtId="0" fontId="12" fillId="0" borderId="0" xfId="2" applyFont="1" applyAlignment="1" applyProtection="1">
      <alignment horizontal="center"/>
      <protection locked="0"/>
    </xf>
    <xf numFmtId="0" fontId="12" fillId="0" borderId="0" xfId="2" applyFont="1" applyAlignment="1">
      <alignment horizontal="left" wrapText="1" indent="1"/>
    </xf>
    <xf numFmtId="164" fontId="12" fillId="0" borderId="0" xfId="4" applyFont="1" applyFill="1" applyBorder="1" applyAlignment="1" applyProtection="1">
      <alignment vertical="top"/>
    </xf>
    <xf numFmtId="0" fontId="9" fillId="0" borderId="0" xfId="2" applyFont="1" applyAlignment="1" applyProtection="1">
      <protection locked="0"/>
    </xf>
    <xf numFmtId="0" fontId="5" fillId="0" borderId="0" xfId="2" applyFont="1" applyAlignment="1">
      <alignment horizontal="left" wrapText="1" indent="1"/>
    </xf>
    <xf numFmtId="164" fontId="5" fillId="0" borderId="0" xfId="4" applyFont="1" applyFill="1" applyBorder="1" applyAlignment="1" applyProtection="1">
      <alignment vertical="top"/>
    </xf>
    <xf numFmtId="164" fontId="12" fillId="0" borderId="0" xfId="2" applyNumberFormat="1" applyFont="1" applyAlignment="1" applyProtection="1">
      <protection locked="0"/>
    </xf>
    <xf numFmtId="173" fontId="12" fillId="0" borderId="0" xfId="2" applyNumberFormat="1" applyFont="1" applyAlignment="1" applyProtection="1">
      <protection locked="0"/>
    </xf>
    <xf numFmtId="164" fontId="9" fillId="0" borderId="0" xfId="4" applyFont="1" applyFill="1" applyBorder="1" applyAlignment="1" applyProtection="1">
      <alignment vertical="top"/>
    </xf>
    <xf numFmtId="0" fontId="18" fillId="9" borderId="0" xfId="6" applyFont="1" applyFill="1"/>
    <xf numFmtId="164" fontId="19" fillId="0" borderId="0" xfId="4" applyFont="1" applyFill="1" applyBorder="1" applyAlignment="1" applyProtection="1">
      <alignment vertical="top"/>
    </xf>
    <xf numFmtId="9" fontId="12" fillId="0" borderId="0" xfId="5" applyFont="1" applyBorder="1" applyAlignment="1" applyProtection="1">
      <protection locked="0"/>
    </xf>
    <xf numFmtId="164" fontId="19" fillId="0" borderId="0" xfId="4" applyFont="1" applyFill="1" applyBorder="1" applyAlignment="1" applyProtection="1">
      <protection locked="0"/>
    </xf>
    <xf numFmtId="164" fontId="19" fillId="0" borderId="0" xfId="2" applyNumberFormat="1" applyFont="1" applyAlignment="1" applyProtection="1">
      <protection locked="0"/>
    </xf>
    <xf numFmtId="0" fontId="18" fillId="0" borderId="0" xfId="6" applyFont="1"/>
    <xf numFmtId="164" fontId="18" fillId="0" borderId="0" xfId="4" applyFont="1" applyFill="1"/>
    <xf numFmtId="9" fontId="16" fillId="0" borderId="0" xfId="5" applyFont="1" applyBorder="1" applyAlignment="1" applyProtection="1">
      <protection locked="0"/>
    </xf>
    <xf numFmtId="0" fontId="19" fillId="0" borderId="0" xfId="2" applyFont="1" applyAlignment="1" applyProtection="1">
      <protection locked="0"/>
    </xf>
    <xf numFmtId="164" fontId="20" fillId="0" borderId="0" xfId="2" applyNumberFormat="1" applyFont="1" applyAlignment="1" applyProtection="1">
      <alignment horizontal="center" vertical="center"/>
      <protection locked="0"/>
    </xf>
    <xf numFmtId="0" fontId="21" fillId="0" borderId="0" xfId="2" applyFont="1" applyAlignment="1" applyProtection="1">
      <alignment horizontal="center" vertical="center"/>
      <protection locked="0"/>
    </xf>
    <xf numFmtId="14" fontId="14" fillId="10" borderId="0" xfId="6" applyNumberFormat="1" applyFont="1" applyFill="1" applyAlignment="1">
      <alignment horizontal="center"/>
    </xf>
    <xf numFmtId="0" fontId="19" fillId="0" borderId="0" xfId="2" applyFont="1" applyAlignment="1" applyProtection="1">
      <alignment horizontal="center"/>
      <protection locked="0"/>
    </xf>
    <xf numFmtId="0" fontId="19" fillId="0" borderId="0" xfId="2" applyFont="1" applyAlignment="1">
      <alignment horizontal="left" wrapText="1" indent="1"/>
    </xf>
    <xf numFmtId="0" fontId="19" fillId="0" borderId="0" xfId="2" applyFont="1" applyAlignment="1" applyProtection="1">
      <alignment wrapText="1"/>
      <protection locked="0"/>
    </xf>
    <xf numFmtId="0" fontId="19" fillId="0" borderId="0" xfId="2" applyFont="1" applyAlignment="1" applyProtection="1">
      <alignment horizontal="center" wrapText="1"/>
      <protection locked="0"/>
    </xf>
    <xf numFmtId="0" fontId="20" fillId="0" borderId="0" xfId="2" applyFont="1" applyAlignment="1" applyProtection="1">
      <alignment horizontal="center" vertical="center"/>
      <protection locked="0"/>
    </xf>
    <xf numFmtId="9" fontId="12" fillId="0" borderId="0" xfId="5" applyFont="1" applyFill="1" applyBorder="1" applyAlignment="1" applyProtection="1">
      <alignment horizontal="center"/>
      <protection locked="0"/>
    </xf>
    <xf numFmtId="0" fontId="22" fillId="11" borderId="12" xfId="2" applyFont="1" applyFill="1" applyBorder="1" applyAlignment="1">
      <alignment horizontal="left" vertical="center"/>
    </xf>
    <xf numFmtId="14" fontId="12" fillId="0" borderId="0" xfId="2" applyNumberFormat="1" applyFont="1" applyAlignment="1" applyProtection="1">
      <protection locked="0"/>
    </xf>
    <xf numFmtId="174" fontId="12" fillId="0" borderId="0" xfId="5" applyNumberFormat="1" applyFont="1" applyFill="1" applyBorder="1" applyAlignment="1" applyProtection="1">
      <protection locked="0"/>
    </xf>
    <xf numFmtId="174" fontId="12" fillId="0" borderId="0" xfId="5" applyNumberFormat="1" applyFont="1" applyBorder="1" applyAlignment="1" applyProtection="1">
      <protection locked="0"/>
    </xf>
    <xf numFmtId="172" fontId="12" fillId="0" borderId="0" xfId="2" applyNumberFormat="1" applyFont="1" applyAlignment="1" applyProtection="1">
      <alignment horizontal="center"/>
      <protection locked="0"/>
    </xf>
    <xf numFmtId="0" fontId="17" fillId="0" borderId="0" xfId="2" applyFont="1" applyAlignment="1">
      <alignment horizontal="left" wrapText="1" indent="1"/>
    </xf>
    <xf numFmtId="164" fontId="12" fillId="0" borderId="0" xfId="2" applyNumberFormat="1" applyFont="1" applyAlignment="1" applyProtection="1">
      <alignment horizontal="center"/>
      <protection locked="0"/>
    </xf>
    <xf numFmtId="14" fontId="5" fillId="0" borderId="0" xfId="2" applyNumberFormat="1" applyFont="1" applyAlignment="1" applyProtection="1">
      <protection locked="0"/>
    </xf>
    <xf numFmtId="0" fontId="5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center" wrapText="1"/>
      <protection locked="0"/>
    </xf>
    <xf numFmtId="0" fontId="12" fillId="0" borderId="0" xfId="2" applyFont="1" applyAlignment="1" applyProtection="1">
      <alignment horizontal="center" wrapText="1"/>
      <protection locked="0"/>
    </xf>
    <xf numFmtId="0" fontId="23" fillId="11" borderId="12" xfId="2" applyFont="1" applyFill="1" applyBorder="1" applyAlignment="1">
      <alignment horizontal="left" vertical="center"/>
    </xf>
    <xf numFmtId="175" fontId="12" fillId="0" borderId="0" xfId="5" applyNumberFormat="1" applyFont="1" applyFill="1" applyBorder="1" applyAlignment="1" applyProtection="1">
      <protection locked="0"/>
    </xf>
    <xf numFmtId="0" fontId="15" fillId="0" borderId="0" xfId="2" applyFont="1" applyAlignment="1" applyProtection="1">
      <alignment horizontal="center"/>
      <protection locked="0"/>
    </xf>
    <xf numFmtId="0" fontId="2" fillId="12" borderId="0" xfId="3" applyFont="1" applyFill="1"/>
    <xf numFmtId="3" fontId="18" fillId="5" borderId="0" xfId="2" applyNumberFormat="1" applyFont="1" applyFill="1" applyAlignment="1">
      <alignment vertical="top"/>
    </xf>
    <xf numFmtId="0" fontId="24" fillId="13" borderId="0" xfId="6" applyFont="1" applyFill="1"/>
    <xf numFmtId="164" fontId="16" fillId="0" borderId="0" xfId="3" applyNumberFormat="1" applyFont="1"/>
    <xf numFmtId="164" fontId="5" fillId="0" borderId="0" xfId="3" applyNumberFormat="1"/>
    <xf numFmtId="172" fontId="5" fillId="0" borderId="0" xfId="3" applyNumberFormat="1"/>
    <xf numFmtId="172" fontId="5" fillId="0" borderId="0" xfId="3" applyNumberFormat="1" applyAlignment="1">
      <alignment horizontal="center"/>
    </xf>
    <xf numFmtId="10" fontId="25" fillId="13" borderId="0" xfId="6" applyNumberFormat="1" applyFont="1" applyFill="1" applyAlignment="1">
      <alignment horizontal="right"/>
    </xf>
    <xf numFmtId="164" fontId="5" fillId="0" borderId="0" xfId="3" applyNumberFormat="1" applyAlignment="1">
      <alignment horizontal="right"/>
    </xf>
    <xf numFmtId="164" fontId="1" fillId="0" borderId="0" xfId="3" applyNumberFormat="1" applyFont="1"/>
    <xf numFmtId="0" fontId="1" fillId="0" borderId="0" xfId="3" applyFont="1" applyAlignment="1">
      <alignment horizontal="right"/>
    </xf>
    <xf numFmtId="0" fontId="1" fillId="0" borderId="0" xfId="3" applyFont="1"/>
    <xf numFmtId="0" fontId="0" fillId="7" borderId="0" xfId="0" applyFill="1"/>
    <xf numFmtId="0" fontId="14" fillId="8" borderId="15" xfId="2" applyFont="1" applyFill="1" applyBorder="1" applyAlignment="1">
      <alignment horizontal="left" vertical="center"/>
    </xf>
    <xf numFmtId="0" fontId="14" fillId="8" borderId="16" xfId="2" applyFont="1" applyFill="1" applyBorder="1" applyAlignment="1">
      <alignment horizontal="left" vertical="center"/>
    </xf>
    <xf numFmtId="176" fontId="22" fillId="11" borderId="13" xfId="4" applyNumberFormat="1" applyFont="1" applyFill="1" applyBorder="1" applyAlignment="1" applyProtection="1">
      <alignment horizontal="center" vertical="center"/>
    </xf>
    <xf numFmtId="176" fontId="5" fillId="0" borderId="0" xfId="4" applyNumberFormat="1" applyFont="1" applyFill="1" applyBorder="1" applyAlignment="1" applyProtection="1">
      <alignment vertical="top"/>
    </xf>
    <xf numFmtId="0" fontId="0" fillId="7" borderId="7" xfId="0" applyFill="1" applyBorder="1"/>
    <xf numFmtId="170" fontId="0" fillId="7" borderId="8" xfId="0" applyNumberFormat="1" applyFill="1" applyBorder="1"/>
    <xf numFmtId="0" fontId="9" fillId="7" borderId="0" xfId="0" applyFont="1" applyFill="1"/>
    <xf numFmtId="49" fontId="12" fillId="0" borderId="0" xfId="2" applyNumberFormat="1" applyFont="1" applyAlignment="1" applyProtection="1">
      <alignment horizontal="center" wrapText="1"/>
      <protection locked="0"/>
    </xf>
    <xf numFmtId="176" fontId="12" fillId="0" borderId="0" xfId="4" applyNumberFormat="1" applyFont="1" applyFill="1" applyBorder="1" applyAlignment="1" applyProtection="1">
      <alignment vertical="top"/>
    </xf>
    <xf numFmtId="164" fontId="19" fillId="0" borderId="0" xfId="4" applyFont="1" applyFill="1" applyBorder="1" applyAlignment="1" applyProtection="1">
      <alignment horizontal="center" vertical="top"/>
    </xf>
    <xf numFmtId="0" fontId="14" fillId="10" borderId="0" xfId="6" applyFont="1" applyFill="1"/>
    <xf numFmtId="170" fontId="22" fillId="11" borderId="13" xfId="4" applyNumberFormat="1" applyFont="1" applyFill="1" applyBorder="1" applyAlignment="1" applyProtection="1">
      <alignment horizontal="right" vertical="center"/>
    </xf>
    <xf numFmtId="170" fontId="5" fillId="0" borderId="0" xfId="4" applyNumberFormat="1" applyFont="1" applyFill="1" applyBorder="1" applyAlignment="1" applyProtection="1">
      <alignment horizontal="right" vertical="top"/>
    </xf>
    <xf numFmtId="170" fontId="23" fillId="11" borderId="13" xfId="4" applyNumberFormat="1" applyFont="1" applyFill="1" applyBorder="1" applyAlignment="1" applyProtection="1">
      <alignment horizontal="right" vertical="center"/>
    </xf>
    <xf numFmtId="170" fontId="12" fillId="0" borderId="0" xfId="4" applyNumberFormat="1" applyFont="1" applyFill="1" applyBorder="1" applyAlignment="1" applyProtection="1">
      <alignment horizontal="right" vertical="top"/>
    </xf>
    <xf numFmtId="170" fontId="18" fillId="12" borderId="14" xfId="4" applyNumberFormat="1" applyFont="1" applyFill="1" applyBorder="1" applyAlignment="1" applyProtection="1">
      <alignment horizontal="right" vertical="top"/>
    </xf>
    <xf numFmtId="170" fontId="5" fillId="0" borderId="0" xfId="4" applyNumberFormat="1" applyFont="1" applyFill="1" applyBorder="1" applyAlignment="1">
      <alignment horizontal="right"/>
    </xf>
    <xf numFmtId="170" fontId="18" fillId="13" borderId="0" xfId="4" applyNumberFormat="1" applyFont="1" applyFill="1" applyAlignment="1">
      <alignment horizontal="right"/>
    </xf>
    <xf numFmtId="176" fontId="23" fillId="11" borderId="13" xfId="4" applyNumberFormat="1" applyFont="1" applyFill="1" applyBorder="1" applyAlignment="1" applyProtection="1">
      <alignment horizontal="center" vertical="center"/>
    </xf>
    <xf numFmtId="176" fontId="18" fillId="12" borderId="14" xfId="4" applyNumberFormat="1" applyFont="1" applyFill="1" applyBorder="1" applyAlignment="1" applyProtection="1">
      <alignment vertical="top"/>
    </xf>
    <xf numFmtId="176" fontId="18" fillId="13" borderId="0" xfId="4" applyNumberFormat="1" applyFont="1" applyFill="1"/>
    <xf numFmtId="170" fontId="14" fillId="8" borderId="15" xfId="4" applyNumberFormat="1" applyFont="1" applyFill="1" applyBorder="1" applyAlignment="1" applyProtection="1">
      <alignment vertical="top"/>
    </xf>
    <xf numFmtId="176" fontId="18" fillId="9" borderId="0" xfId="4" applyNumberFormat="1" applyFont="1" applyFill="1"/>
    <xf numFmtId="170" fontId="18" fillId="9" borderId="0" xfId="4" applyNumberFormat="1" applyFont="1" applyFill="1"/>
    <xf numFmtId="43" fontId="1" fillId="0" borderId="0" xfId="1" applyFont="1" applyFill="1" applyBorder="1" applyAlignment="1">
      <alignment horizontal="left"/>
    </xf>
    <xf numFmtId="176" fontId="14" fillId="8" borderId="15" xfId="4" applyNumberFormat="1" applyFont="1" applyFill="1" applyBorder="1" applyAlignment="1" applyProtection="1">
      <alignment vertical="top"/>
    </xf>
    <xf numFmtId="176" fontId="14" fillId="8" borderId="16" xfId="4" applyNumberFormat="1" applyFont="1" applyFill="1" applyBorder="1" applyAlignment="1" applyProtection="1">
      <alignment vertical="top"/>
    </xf>
    <xf numFmtId="176" fontId="9" fillId="0" borderId="0" xfId="2" applyNumberFormat="1" applyFont="1" applyAlignment="1" applyProtection="1">
      <protection locked="0"/>
    </xf>
    <xf numFmtId="0" fontId="26" fillId="0" borderId="0" xfId="6" applyFont="1"/>
    <xf numFmtId="0" fontId="0" fillId="0" borderId="0" xfId="6" applyFont="1"/>
    <xf numFmtId="14" fontId="10" fillId="0" borderId="0" xfId="6" applyNumberFormat="1"/>
    <xf numFmtId="14" fontId="0" fillId="0" borderId="0" xfId="6" applyNumberFormat="1" applyFont="1"/>
    <xf numFmtId="9" fontId="0" fillId="0" borderId="0" xfId="5" applyFont="1" applyAlignment="1"/>
    <xf numFmtId="0" fontId="14" fillId="0" borderId="0" xfId="6" applyFont="1"/>
    <xf numFmtId="0" fontId="26" fillId="14" borderId="17" xfId="0" applyFont="1" applyFill="1" applyBorder="1"/>
    <xf numFmtId="0" fontId="26" fillId="14" borderId="18" xfId="0" applyFont="1" applyFill="1" applyBorder="1"/>
    <xf numFmtId="0" fontId="26" fillId="14" borderId="19" xfId="0" applyFont="1" applyFill="1" applyBorder="1"/>
    <xf numFmtId="14" fontId="5" fillId="0" borderId="20" xfId="3" applyNumberFormat="1" applyBorder="1"/>
    <xf numFmtId="14" fontId="12" fillId="0" borderId="21" xfId="2" applyNumberFormat="1" applyFont="1" applyBorder="1" applyAlignment="1" applyProtection="1">
      <protection locked="0"/>
    </xf>
    <xf numFmtId="14" fontId="5" fillId="0" borderId="23" xfId="3" applyNumberFormat="1" applyBorder="1"/>
    <xf numFmtId="14" fontId="12" fillId="0" borderId="3" xfId="2" applyNumberFormat="1" applyFont="1" applyBorder="1" applyAlignment="1" applyProtection="1">
      <protection locked="0"/>
    </xf>
    <xf numFmtId="14" fontId="5" fillId="0" borderId="25" xfId="3" applyNumberFormat="1" applyBorder="1"/>
    <xf numFmtId="14" fontId="12" fillId="0" borderId="26" xfId="2" applyNumberFormat="1" applyFont="1" applyBorder="1" applyAlignment="1" applyProtection="1">
      <protection locked="0"/>
    </xf>
    <xf numFmtId="170" fontId="18" fillId="12" borderId="28" xfId="4" applyNumberFormat="1" applyFont="1" applyFill="1" applyBorder="1" applyAlignment="1" applyProtection="1">
      <alignment horizontal="right" vertical="top"/>
    </xf>
    <xf numFmtId="170" fontId="19" fillId="0" borderId="0" xfId="4" applyNumberFormat="1" applyFont="1" applyFill="1" applyBorder="1" applyAlignment="1" applyProtection="1">
      <alignment vertical="top"/>
    </xf>
    <xf numFmtId="164" fontId="1" fillId="0" borderId="0" xfId="4" applyFont="1" applyFill="1" applyBorder="1"/>
    <xf numFmtId="177" fontId="19" fillId="0" borderId="0" xfId="4" applyNumberFormat="1" applyFont="1" applyFill="1" applyBorder="1" applyAlignment="1" applyProtection="1">
      <alignment vertical="top"/>
    </xf>
    <xf numFmtId="176" fontId="18" fillId="12" borderId="28" xfId="4" applyNumberFormat="1" applyFont="1" applyFill="1" applyBorder="1" applyAlignment="1" applyProtection="1">
      <alignment vertical="top"/>
    </xf>
    <xf numFmtId="176" fontId="12" fillId="0" borderId="21" xfId="4" applyNumberFormat="1" applyFont="1" applyFill="1" applyBorder="1" applyAlignment="1" applyProtection="1">
      <alignment vertical="top"/>
    </xf>
    <xf numFmtId="176" fontId="12" fillId="0" borderId="3" xfId="4" applyNumberFormat="1" applyFont="1" applyFill="1" applyBorder="1" applyAlignment="1" applyProtection="1">
      <alignment vertical="top"/>
    </xf>
    <xf numFmtId="176" fontId="12" fillId="0" borderId="26" xfId="4" applyNumberFormat="1" applyFont="1" applyFill="1" applyBorder="1" applyAlignment="1" applyProtection="1">
      <alignment vertical="top"/>
    </xf>
    <xf numFmtId="176" fontId="19" fillId="0" borderId="0" xfId="4" applyNumberFormat="1" applyFont="1" applyFill="1" applyBorder="1" applyAlignment="1" applyProtection="1">
      <alignment vertical="top"/>
    </xf>
    <xf numFmtId="170" fontId="0" fillId="0" borderId="0" xfId="1" applyNumberFormat="1" applyFont="1" applyFill="1" applyBorder="1"/>
    <xf numFmtId="176" fontId="12" fillId="0" borderId="22" xfId="4" applyNumberFormat="1" applyFont="1" applyFill="1" applyBorder="1" applyAlignment="1" applyProtection="1">
      <alignment vertical="top"/>
    </xf>
    <xf numFmtId="176" fontId="12" fillId="0" borderId="24" xfId="4" applyNumberFormat="1" applyFont="1" applyFill="1" applyBorder="1" applyAlignment="1" applyProtection="1">
      <alignment vertical="top"/>
    </xf>
    <xf numFmtId="176" fontId="12" fillId="0" borderId="27" xfId="4" applyNumberFormat="1" applyFont="1" applyFill="1" applyBorder="1" applyAlignment="1" applyProtection="1">
      <alignment vertical="top"/>
    </xf>
    <xf numFmtId="14" fontId="0" fillId="0" borderId="29" xfId="0" applyNumberFormat="1" applyBorder="1"/>
    <xf numFmtId="0" fontId="0" fillId="0" borderId="29" xfId="0" applyBorder="1" applyAlignment="1">
      <alignment wrapText="1"/>
    </xf>
    <xf numFmtId="0" fontId="0" fillId="0" borderId="29" xfId="0" applyBorder="1" applyAlignment="1">
      <alignment horizontal="center"/>
    </xf>
    <xf numFmtId="43" fontId="0" fillId="0" borderId="29" xfId="1" applyFont="1" applyFill="1" applyBorder="1"/>
    <xf numFmtId="167" fontId="0" fillId="0" borderId="29" xfId="1" applyNumberFormat="1" applyFont="1" applyFill="1" applyBorder="1"/>
    <xf numFmtId="0" fontId="0" fillId="0" borderId="29" xfId="0" applyBorder="1"/>
    <xf numFmtId="14" fontId="0" fillId="0" borderId="29" xfId="1" applyNumberFormat="1" applyFont="1" applyFill="1" applyBorder="1"/>
    <xf numFmtId="43" fontId="0" fillId="0" borderId="29" xfId="0" applyNumberFormat="1" applyBorder="1"/>
    <xf numFmtId="43" fontId="0" fillId="5" borderId="0" xfId="0" applyNumberFormat="1" applyFill="1"/>
    <xf numFmtId="176" fontId="5" fillId="0" borderId="0" xfId="4" applyNumberFormat="1" applyFont="1" applyFill="1" applyBorder="1"/>
    <xf numFmtId="170" fontId="5" fillId="0" borderId="0" xfId="3" applyNumberFormat="1"/>
    <xf numFmtId="1" fontId="12" fillId="0" borderId="0" xfId="2" applyNumberFormat="1" applyFont="1" applyAlignment="1" applyProtection="1">
      <alignment horizontal="center"/>
      <protection locked="0"/>
    </xf>
    <xf numFmtId="14" fontId="0" fillId="0" borderId="29" xfId="0" applyNumberFormat="1" applyBorder="1" applyAlignment="1">
      <alignment horizontal="left"/>
    </xf>
    <xf numFmtId="9" fontId="0" fillId="0" borderId="0" xfId="8" applyFont="1"/>
    <xf numFmtId="43" fontId="12" fillId="0" borderId="0" xfId="1" applyFont="1" applyFill="1" applyBorder="1"/>
    <xf numFmtId="43" fontId="1" fillId="0" borderId="0" xfId="1" applyFont="1" applyFill="1" applyBorder="1"/>
    <xf numFmtId="170" fontId="1" fillId="0" borderId="0" xfId="1" applyNumberFormat="1" applyFont="1" applyFill="1" applyBorder="1"/>
    <xf numFmtId="0" fontId="12" fillId="0" borderId="0" xfId="2" applyFont="1" applyAlignment="1" applyProtection="1">
      <alignment horizontal="left"/>
      <protection locked="0"/>
    </xf>
    <xf numFmtId="164" fontId="1" fillId="0" borderId="0" xfId="4" applyFont="1" applyFill="1" applyBorder="1" applyAlignment="1">
      <alignment horizontal="left"/>
    </xf>
    <xf numFmtId="176" fontId="2" fillId="0" borderId="0" xfId="4" applyNumberFormat="1" applyFont="1" applyFill="1" applyBorder="1"/>
    <xf numFmtId="0" fontId="2" fillId="0" borderId="0" xfId="3" applyFont="1"/>
    <xf numFmtId="164" fontId="2" fillId="0" borderId="0" xfId="4" applyFont="1" applyFill="1" applyBorder="1"/>
    <xf numFmtId="170" fontId="2" fillId="0" borderId="0" xfId="1" applyNumberFormat="1" applyFont="1" applyFill="1" applyBorder="1"/>
    <xf numFmtId="0" fontId="0" fillId="15" borderId="0" xfId="0" applyFill="1"/>
    <xf numFmtId="164" fontId="16" fillId="0" borderId="0" xfId="4" applyFont="1" applyFill="1" applyBorder="1"/>
    <xf numFmtId="2" fontId="0" fillId="0" borderId="0" xfId="0" applyNumberFormat="1"/>
    <xf numFmtId="176" fontId="19" fillId="0" borderId="0" xfId="2" applyNumberFormat="1" applyFont="1" applyAlignment="1" applyProtection="1">
      <protection locked="0"/>
    </xf>
    <xf numFmtId="176" fontId="12" fillId="0" borderId="0" xfId="2" applyNumberFormat="1" applyFont="1" applyAlignment="1" applyProtection="1">
      <protection locked="0"/>
    </xf>
    <xf numFmtId="44" fontId="5" fillId="0" borderId="0" xfId="3" applyNumberFormat="1"/>
    <xf numFmtId="49" fontId="15" fillId="0" borderId="0" xfId="2" applyNumberFormat="1" applyFont="1" applyAlignment="1" applyProtection="1">
      <alignment vertical="center" wrapText="1"/>
      <protection locked="0"/>
    </xf>
    <xf numFmtId="14" fontId="5" fillId="0" borderId="31" xfId="3" applyNumberFormat="1" applyBorder="1"/>
    <xf numFmtId="14" fontId="12" fillId="0" borderId="32" xfId="2" applyNumberFormat="1" applyFont="1" applyBorder="1" applyAlignment="1" applyProtection="1">
      <protection locked="0"/>
    </xf>
    <xf numFmtId="176" fontId="12" fillId="0" borderId="32" xfId="4" applyNumberFormat="1" applyFont="1" applyFill="1" applyBorder="1" applyAlignment="1" applyProtection="1">
      <alignment vertical="top"/>
    </xf>
    <xf numFmtId="176" fontId="12" fillId="0" borderId="33" xfId="4" applyNumberFormat="1" applyFont="1" applyFill="1" applyBorder="1" applyAlignment="1" applyProtection="1">
      <alignment vertical="top"/>
    </xf>
    <xf numFmtId="14" fontId="5" fillId="0" borderId="34" xfId="3" applyNumberFormat="1" applyBorder="1"/>
    <xf numFmtId="14" fontId="12" fillId="0" borderId="29" xfId="2" applyNumberFormat="1" applyFont="1" applyBorder="1" applyAlignment="1" applyProtection="1">
      <protection locked="0"/>
    </xf>
    <xf numFmtId="176" fontId="12" fillId="0" borderId="29" xfId="4" applyNumberFormat="1" applyFont="1" applyFill="1" applyBorder="1" applyAlignment="1" applyProtection="1">
      <alignment vertical="top"/>
    </xf>
    <xf numFmtId="176" fontId="12" fillId="0" borderId="35" xfId="4" applyNumberFormat="1" applyFont="1" applyFill="1" applyBorder="1" applyAlignment="1" applyProtection="1">
      <alignment vertical="top"/>
    </xf>
    <xf numFmtId="14" fontId="5" fillId="0" borderId="36" xfId="3" applyNumberFormat="1" applyBorder="1"/>
    <xf numFmtId="14" fontId="12" fillId="0" borderId="37" xfId="2" applyNumberFormat="1" applyFont="1" applyBorder="1" applyAlignment="1" applyProtection="1">
      <protection locked="0"/>
    </xf>
    <xf numFmtId="176" fontId="12" fillId="0" borderId="37" xfId="4" applyNumberFormat="1" applyFont="1" applyFill="1" applyBorder="1" applyAlignment="1" applyProtection="1">
      <alignment vertical="top"/>
    </xf>
    <xf numFmtId="176" fontId="12" fillId="0" borderId="38" xfId="4" applyNumberFormat="1" applyFont="1" applyFill="1" applyBorder="1" applyAlignment="1" applyProtection="1">
      <alignment vertical="top"/>
    </xf>
    <xf numFmtId="0" fontId="16" fillId="0" borderId="0" xfId="2" applyFont="1" applyAlignment="1" applyProtection="1">
      <protection locked="0"/>
    </xf>
    <xf numFmtId="164" fontId="5" fillId="0" borderId="0" xfId="4" applyFont="1" applyFill="1" applyBorder="1" applyAlignment="1">
      <alignment horizontal="left"/>
    </xf>
    <xf numFmtId="176" fontId="1" fillId="0" borderId="0" xfId="4" applyNumberFormat="1" applyFont="1" applyFill="1" applyBorder="1"/>
    <xf numFmtId="167" fontId="12" fillId="0" borderId="0" xfId="1" applyNumberFormat="1" applyFont="1" applyFill="1" applyBorder="1"/>
    <xf numFmtId="1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wrapText="1"/>
    </xf>
    <xf numFmtId="167" fontId="5" fillId="0" borderId="1" xfId="1" applyNumberFormat="1" applyFont="1" applyFill="1" applyBorder="1"/>
    <xf numFmtId="43" fontId="5" fillId="0" borderId="0" xfId="1" applyFont="1" applyFill="1" applyBorder="1"/>
    <xf numFmtId="167" fontId="5" fillId="0" borderId="0" xfId="1" applyNumberFormat="1" applyFont="1" applyFill="1" applyBorder="1"/>
    <xf numFmtId="0" fontId="12" fillId="16" borderId="0" xfId="2" applyFont="1" applyFill="1" applyAlignment="1">
      <alignment horizontal="left" wrapText="1" indent="1"/>
    </xf>
    <xf numFmtId="0" fontId="12" fillId="17" borderId="0" xfId="2" applyFont="1" applyFill="1" applyAlignment="1">
      <alignment horizontal="left" wrapText="1" indent="1"/>
    </xf>
    <xf numFmtId="43" fontId="5" fillId="16" borderId="0" xfId="1" applyFont="1" applyFill="1" applyBorder="1"/>
    <xf numFmtId="0" fontId="11" fillId="0" borderId="29" xfId="0" applyFont="1" applyBorder="1" applyAlignment="1">
      <alignment wrapText="1"/>
    </xf>
    <xf numFmtId="0" fontId="31" fillId="0" borderId="0" xfId="0" applyFont="1"/>
    <xf numFmtId="170" fontId="0" fillId="5" borderId="0" xfId="0" applyNumberFormat="1" applyFill="1"/>
    <xf numFmtId="0" fontId="12" fillId="7" borderId="0" xfId="2" applyFont="1" applyFill="1" applyAlignment="1">
      <alignment horizontal="left" wrapText="1" indent="1"/>
    </xf>
    <xf numFmtId="43" fontId="5" fillId="7" borderId="0" xfId="1" applyFont="1" applyFill="1" applyBorder="1"/>
    <xf numFmtId="167" fontId="12" fillId="7" borderId="0" xfId="1" applyNumberFormat="1" applyFont="1" applyFill="1" applyBorder="1"/>
    <xf numFmtId="164" fontId="5" fillId="7" borderId="0" xfId="4" applyFont="1" applyFill="1" applyBorder="1" applyAlignment="1" applyProtection="1">
      <alignment vertical="top"/>
    </xf>
    <xf numFmtId="43" fontId="1" fillId="0" borderId="0" xfId="0" applyNumberFormat="1" applyFont="1"/>
    <xf numFmtId="167" fontId="0" fillId="0" borderId="0" xfId="0" applyNumberFormat="1"/>
    <xf numFmtId="167" fontId="12" fillId="0" borderId="1" xfId="1" applyNumberFormat="1" applyFont="1" applyFill="1" applyBorder="1"/>
    <xf numFmtId="43" fontId="0" fillId="18" borderId="1" xfId="1" applyFont="1" applyFill="1" applyBorder="1"/>
    <xf numFmtId="14" fontId="5" fillId="0" borderId="26" xfId="3" applyNumberFormat="1" applyBorder="1"/>
    <xf numFmtId="0" fontId="32" fillId="0" borderId="0" xfId="2" applyFont="1" applyAlignment="1">
      <alignment horizontal="left" wrapText="1" indent="1"/>
    </xf>
    <xf numFmtId="167" fontId="5" fillId="7" borderId="0" xfId="1" applyNumberFormat="1" applyFont="1" applyFill="1" applyBorder="1"/>
    <xf numFmtId="176" fontId="16" fillId="0" borderId="0" xfId="3" applyNumberFormat="1" applyFont="1"/>
    <xf numFmtId="176" fontId="5" fillId="0" borderId="0" xfId="3" applyNumberFormat="1"/>
    <xf numFmtId="167" fontId="12" fillId="0" borderId="29" xfId="1" applyNumberFormat="1" applyFont="1" applyFill="1" applyBorder="1"/>
    <xf numFmtId="0" fontId="12" fillId="0" borderId="29" xfId="0" applyFont="1" applyBorder="1"/>
    <xf numFmtId="43" fontId="1" fillId="0" borderId="0" xfId="0" applyNumberFormat="1" applyFont="1" applyAlignment="1">
      <alignment horizontal="center"/>
    </xf>
    <xf numFmtId="167" fontId="7" fillId="3" borderId="0" xfId="1" applyNumberFormat="1" applyFont="1" applyFill="1"/>
    <xf numFmtId="14" fontId="5" fillId="0" borderId="3" xfId="3" applyNumberFormat="1" applyBorder="1"/>
    <xf numFmtId="14" fontId="0" fillId="0" borderId="39" xfId="0" applyNumberFormat="1" applyBorder="1"/>
    <xf numFmtId="0" fontId="12" fillId="0" borderId="40" xfId="2" applyFont="1" applyBorder="1" applyAlignment="1">
      <alignment horizontal="left" wrapText="1" indent="1"/>
    </xf>
    <xf numFmtId="43" fontId="0" fillId="0" borderId="41" xfId="1" applyFont="1" applyFill="1" applyBorder="1"/>
    <xf numFmtId="14" fontId="0" fillId="0" borderId="42" xfId="0" applyNumberFormat="1" applyBorder="1"/>
    <xf numFmtId="0" fontId="12" fillId="0" borderId="2" xfId="2" applyFont="1" applyBorder="1" applyAlignment="1">
      <alignment horizontal="left" wrapText="1" indent="1"/>
    </xf>
    <xf numFmtId="43" fontId="0" fillId="0" borderId="43" xfId="1" applyFont="1" applyFill="1" applyBorder="1"/>
    <xf numFmtId="14" fontId="0" fillId="0" borderId="44" xfId="0" applyNumberFormat="1" applyBorder="1"/>
    <xf numFmtId="0" fontId="0" fillId="0" borderId="45" xfId="0" applyBorder="1"/>
    <xf numFmtId="43" fontId="0" fillId="0" borderId="46" xfId="1" applyFont="1" applyFill="1" applyBorder="1"/>
    <xf numFmtId="164" fontId="5" fillId="18" borderId="0" xfId="4" applyFont="1" applyFill="1" applyBorder="1" applyAlignment="1" applyProtection="1">
      <alignment vertical="top"/>
    </xf>
    <xf numFmtId="0" fontId="12" fillId="18" borderId="0" xfId="2" applyFont="1" applyFill="1" applyAlignment="1">
      <alignment horizontal="left" wrapText="1" indent="1"/>
    </xf>
    <xf numFmtId="43" fontId="5" fillId="18" borderId="0" xfId="1" applyFont="1" applyFill="1" applyBorder="1"/>
    <xf numFmtId="167" fontId="5" fillId="18" borderId="0" xfId="1" applyNumberFormat="1" applyFont="1" applyFill="1" applyBorder="1"/>
    <xf numFmtId="176" fontId="9" fillId="18" borderId="0" xfId="4" applyNumberFormat="1" applyFont="1" applyFill="1" applyBorder="1" applyAlignment="1" applyProtection="1">
      <alignment vertical="top"/>
    </xf>
    <xf numFmtId="170" fontId="9" fillId="18" borderId="0" xfId="4" applyNumberFormat="1" applyFont="1" applyFill="1" applyBorder="1" applyAlignment="1" applyProtection="1">
      <alignment horizontal="right" vertical="top"/>
    </xf>
    <xf numFmtId="176" fontId="12" fillId="16" borderId="0" xfId="4" applyNumberFormat="1" applyFont="1" applyFill="1" applyBorder="1" applyAlignment="1" applyProtection="1">
      <alignment vertical="top"/>
    </xf>
    <xf numFmtId="43" fontId="12" fillId="0" borderId="43" xfId="1" applyFont="1" applyFill="1" applyBorder="1"/>
    <xf numFmtId="43" fontId="12" fillId="0" borderId="1" xfId="1" applyFont="1" applyFill="1" applyBorder="1"/>
    <xf numFmtId="49" fontId="16" fillId="0" borderId="0" xfId="2" applyNumberFormat="1" applyFont="1" applyAlignment="1" applyProtection="1">
      <alignment vertical="center" wrapText="1"/>
      <protection locked="0"/>
    </xf>
    <xf numFmtId="43" fontId="12" fillId="7" borderId="0" xfId="1" applyFont="1" applyFill="1" applyBorder="1"/>
    <xf numFmtId="43" fontId="0" fillId="0" borderId="47" xfId="1" applyFont="1" applyFill="1" applyBorder="1"/>
    <xf numFmtId="43" fontId="5" fillId="0" borderId="1" xfId="1" applyFont="1" applyFill="1" applyBorder="1"/>
    <xf numFmtId="168" fontId="0" fillId="0" borderId="0" xfId="0" applyNumberFormat="1"/>
    <xf numFmtId="43" fontId="9" fillId="7" borderId="0" xfId="1" applyFont="1" applyFill="1" applyBorder="1"/>
    <xf numFmtId="176" fontId="9" fillId="0" borderId="0" xfId="4" applyNumberFormat="1" applyFont="1" applyFill="1" applyBorder="1" applyAlignment="1" applyProtection="1">
      <alignment vertical="top"/>
    </xf>
    <xf numFmtId="14" fontId="0" fillId="0" borderId="48" xfId="0" applyNumberFormat="1" applyBorder="1"/>
    <xf numFmtId="176" fontId="11" fillId="18" borderId="0" xfId="4" applyNumberFormat="1" applyFont="1" applyFill="1" applyBorder="1" applyAlignment="1" applyProtection="1">
      <alignment vertical="top"/>
    </xf>
    <xf numFmtId="14" fontId="5" fillId="0" borderId="29" xfId="3" applyNumberFormat="1" applyBorder="1"/>
    <xf numFmtId="43" fontId="11" fillId="0" borderId="0" xfId="1" applyFont="1" applyFill="1" applyBorder="1"/>
    <xf numFmtId="0" fontId="12" fillId="0" borderId="2" xfId="0" applyFont="1" applyBorder="1"/>
    <xf numFmtId="0" fontId="12" fillId="0" borderId="29" xfId="0" applyFont="1" applyBorder="1" applyAlignment="1">
      <alignment wrapText="1"/>
    </xf>
    <xf numFmtId="9" fontId="5" fillId="0" borderId="0" xfId="8" applyFont="1" applyFill="1" applyBorder="1"/>
    <xf numFmtId="0" fontId="12" fillId="0" borderId="1" xfId="2" applyFont="1" applyBorder="1" applyAlignment="1">
      <alignment horizontal="left" wrapText="1" indent="1"/>
    </xf>
    <xf numFmtId="9" fontId="0" fillId="0" borderId="0" xfId="8" applyFont="1" applyFill="1"/>
    <xf numFmtId="0" fontId="29" fillId="0" borderId="0" xfId="2" applyFont="1" applyAlignment="1" applyProtection="1">
      <alignment horizontal="center" wrapText="1"/>
      <protection locked="0"/>
    </xf>
    <xf numFmtId="176" fontId="12" fillId="19" borderId="0" xfId="4" applyNumberFormat="1" applyFont="1" applyFill="1" applyBorder="1" applyAlignment="1" applyProtection="1">
      <alignment vertical="top"/>
    </xf>
    <xf numFmtId="176" fontId="5" fillId="19" borderId="0" xfId="4" applyNumberFormat="1" applyFont="1" applyFill="1" applyBorder="1" applyAlignment="1" applyProtection="1">
      <alignment vertical="top"/>
    </xf>
    <xf numFmtId="170" fontId="12" fillId="20" borderId="0" xfId="4" applyNumberFormat="1" applyFont="1" applyFill="1" applyBorder="1" applyAlignment="1" applyProtection="1">
      <alignment horizontal="right" vertical="top"/>
    </xf>
    <xf numFmtId="176" fontId="12" fillId="17" borderId="0" xfId="4" applyNumberFormat="1" applyFont="1" applyFill="1" applyBorder="1" applyAlignment="1" applyProtection="1">
      <alignment vertical="top"/>
    </xf>
    <xf numFmtId="43" fontId="12" fillId="0" borderId="2" xfId="1" applyFont="1" applyFill="1" applyBorder="1"/>
    <xf numFmtId="0" fontId="15" fillId="0" borderId="0" xfId="0" applyFont="1"/>
    <xf numFmtId="176" fontId="14" fillId="9" borderId="0" xfId="4" applyNumberFormat="1" applyFont="1" applyFill="1"/>
    <xf numFmtId="170" fontId="14" fillId="9" borderId="0" xfId="4" applyNumberFormat="1" applyFont="1" applyFill="1"/>
    <xf numFmtId="0" fontId="14" fillId="9" borderId="0" xfId="6" applyFont="1" applyFill="1"/>
    <xf numFmtId="0" fontId="12" fillId="0" borderId="49" xfId="0" applyFont="1" applyBorder="1" applyAlignment="1">
      <alignment wrapText="1"/>
    </xf>
    <xf numFmtId="14" fontId="0" fillId="0" borderId="50" xfId="0" applyNumberFormat="1" applyBorder="1"/>
    <xf numFmtId="43" fontId="0" fillId="0" borderId="50" xfId="1" applyFont="1" applyFill="1" applyBorder="1"/>
    <xf numFmtId="0" fontId="0" fillId="0" borderId="49" xfId="0" applyBorder="1"/>
    <xf numFmtId="0" fontId="0" fillId="17" borderId="0" xfId="0" applyFill="1"/>
    <xf numFmtId="43" fontId="0" fillId="0" borderId="0" xfId="1" applyFont="1" applyFill="1"/>
    <xf numFmtId="0" fontId="0" fillId="0" borderId="0" xfId="0" applyAlignment="1">
      <alignment wrapText="1"/>
    </xf>
    <xf numFmtId="14" fontId="0" fillId="0" borderId="0" xfId="1" applyNumberFormat="1" applyFont="1" applyFill="1"/>
    <xf numFmtId="0" fontId="0" fillId="19" borderId="0" xfId="0" applyFill="1" applyAlignment="1">
      <alignment wrapText="1"/>
    </xf>
    <xf numFmtId="0" fontId="1" fillId="0" borderId="51" xfId="0" applyFont="1" applyBorder="1" applyAlignment="1">
      <alignment horizontal="center"/>
    </xf>
    <xf numFmtId="14" fontId="0" fillId="0" borderId="52" xfId="0" applyNumberFormat="1" applyBorder="1"/>
    <xf numFmtId="0" fontId="0" fillId="0" borderId="53" xfId="0" applyBorder="1"/>
    <xf numFmtId="14" fontId="0" fillId="0" borderId="34" xfId="0" applyNumberFormat="1" applyBorder="1"/>
    <xf numFmtId="14" fontId="0" fillId="0" borderId="36" xfId="0" applyNumberFormat="1" applyBorder="1"/>
    <xf numFmtId="0" fontId="0" fillId="0" borderId="37" xfId="0" applyBorder="1"/>
    <xf numFmtId="168" fontId="0" fillId="0" borderId="54" xfId="1" applyNumberFormat="1" applyFont="1" applyFill="1" applyBorder="1"/>
    <xf numFmtId="168" fontId="0" fillId="0" borderId="35" xfId="1" applyNumberFormat="1" applyFont="1" applyFill="1" applyBorder="1"/>
    <xf numFmtId="168" fontId="0" fillId="0" borderId="38" xfId="1" applyNumberFormat="1" applyFont="1" applyFill="1" applyBorder="1"/>
    <xf numFmtId="168" fontId="1" fillId="0" borderId="51" xfId="0" applyNumberFormat="1" applyFont="1" applyBorder="1"/>
    <xf numFmtId="167" fontId="5" fillId="0" borderId="29" xfId="1" applyNumberFormat="1" applyFont="1" applyFill="1" applyBorder="1"/>
    <xf numFmtId="0" fontId="31" fillId="0" borderId="0" xfId="2" applyFont="1" applyAlignment="1" applyProtection="1">
      <protection locked="0"/>
    </xf>
    <xf numFmtId="176" fontId="16" fillId="0" borderId="0" xfId="4" applyNumberFormat="1" applyFont="1" applyFill="1" applyBorder="1"/>
    <xf numFmtId="170" fontId="16" fillId="0" borderId="0" xfId="4" applyNumberFormat="1" applyFont="1" applyFill="1" applyBorder="1" applyAlignment="1" applyProtection="1">
      <alignment vertical="top"/>
    </xf>
    <xf numFmtId="0" fontId="5" fillId="7" borderId="0" xfId="2" applyFont="1" applyFill="1" applyAlignment="1">
      <alignment horizontal="left" wrapText="1" indent="1"/>
    </xf>
    <xf numFmtId="0" fontId="37" fillId="0" borderId="0" xfId="2" applyFont="1" applyAlignment="1" applyProtection="1">
      <alignment horizontal="center" wrapText="1"/>
      <protection locked="0"/>
    </xf>
    <xf numFmtId="0" fontId="9" fillId="0" borderId="0" xfId="2" applyFont="1" applyAlignment="1">
      <alignment horizontal="left" wrapText="1" indent="1"/>
    </xf>
    <xf numFmtId="0" fontId="11" fillId="0" borderId="0" xfId="2" applyFont="1" applyAlignment="1" applyProtection="1">
      <alignment horizontal="center" wrapText="1"/>
      <protection locked="0"/>
    </xf>
    <xf numFmtId="176" fontId="31" fillId="0" borderId="0" xfId="2" applyNumberFormat="1" applyFont="1" applyAlignment="1" applyProtection="1">
      <protection locked="0"/>
    </xf>
    <xf numFmtId="170" fontId="5" fillId="20" borderId="0" xfId="4" applyNumberFormat="1" applyFont="1" applyFill="1" applyBorder="1" applyAlignment="1" applyProtection="1">
      <alignment horizontal="right" vertical="top"/>
    </xf>
    <xf numFmtId="49" fontId="0" fillId="0" borderId="0" xfId="0" applyNumberFormat="1" applyAlignment="1">
      <alignment horizontal="center"/>
    </xf>
    <xf numFmtId="14" fontId="5" fillId="0" borderId="52" xfId="3" applyNumberFormat="1" applyBorder="1"/>
    <xf numFmtId="14" fontId="12" fillId="0" borderId="53" xfId="2" applyNumberFormat="1" applyFont="1" applyBorder="1" applyAlignment="1" applyProtection="1">
      <protection locked="0"/>
    </xf>
    <xf numFmtId="176" fontId="12" fillId="0" borderId="53" xfId="4" applyNumberFormat="1" applyFont="1" applyFill="1" applyBorder="1" applyAlignment="1" applyProtection="1">
      <alignment vertical="top"/>
    </xf>
    <xf numFmtId="176" fontId="12" fillId="0" borderId="54" xfId="4" applyNumberFormat="1" applyFont="1" applyFill="1" applyBorder="1" applyAlignment="1" applyProtection="1">
      <alignment vertical="top"/>
    </xf>
    <xf numFmtId="0" fontId="0" fillId="0" borderId="0" xfId="0" applyAlignment="1">
      <alignment horizontal="right"/>
    </xf>
    <xf numFmtId="0" fontId="0" fillId="0" borderId="49" xfId="0" applyBorder="1" applyAlignment="1">
      <alignment wrapText="1"/>
    </xf>
    <xf numFmtId="0" fontId="3" fillId="4" borderId="55" xfId="0" applyFont="1" applyFill="1" applyBorder="1"/>
    <xf numFmtId="0" fontId="3" fillId="4" borderId="55" xfId="0" applyFont="1" applyFill="1" applyBorder="1" applyAlignment="1">
      <alignment horizontal="center" wrapText="1"/>
    </xf>
    <xf numFmtId="0" fontId="3" fillId="4" borderId="55" xfId="0" applyFont="1" applyFill="1" applyBorder="1" applyAlignment="1">
      <alignment horizontal="center"/>
    </xf>
    <xf numFmtId="14" fontId="0" fillId="0" borderId="56" xfId="1" applyNumberFormat="1" applyFont="1" applyFill="1" applyBorder="1"/>
    <xf numFmtId="0" fontId="0" fillId="0" borderId="56" xfId="0" applyBorder="1" applyAlignment="1">
      <alignment wrapText="1"/>
    </xf>
    <xf numFmtId="0" fontId="0" fillId="0" borderId="56" xfId="0" applyBorder="1" applyAlignment="1">
      <alignment horizontal="center"/>
    </xf>
    <xf numFmtId="43" fontId="0" fillId="0" borderId="56" xfId="1" applyFont="1" applyFill="1" applyBorder="1"/>
    <xf numFmtId="167" fontId="0" fillId="0" borderId="56" xfId="1" applyNumberFormat="1" applyFont="1" applyFill="1" applyBorder="1"/>
    <xf numFmtId="0" fontId="0" fillId="0" borderId="56" xfId="0" applyBorder="1"/>
    <xf numFmtId="43" fontId="0" fillId="0" borderId="56" xfId="0" applyNumberFormat="1" applyBorder="1"/>
    <xf numFmtId="167" fontId="0" fillId="0" borderId="56" xfId="0" applyNumberFormat="1" applyBorder="1"/>
    <xf numFmtId="167" fontId="0" fillId="0" borderId="29" xfId="0" applyNumberFormat="1" applyBorder="1"/>
    <xf numFmtId="0" fontId="12" fillId="0" borderId="30" xfId="0" applyFont="1" applyBorder="1"/>
    <xf numFmtId="39" fontId="15" fillId="3" borderId="0" xfId="1" applyNumberFormat="1" applyFont="1" applyFill="1"/>
    <xf numFmtId="172" fontId="1" fillId="5" borderId="0" xfId="0" applyNumberFormat="1" applyFont="1" applyFill="1"/>
    <xf numFmtId="172" fontId="0" fillId="0" borderId="0" xfId="0" applyNumberFormat="1" applyAlignment="1">
      <alignment horizontal="center"/>
    </xf>
    <xf numFmtId="176" fontId="5" fillId="0" borderId="0" xfId="2" applyNumberFormat="1" applyFont="1" applyAlignment="1" applyProtection="1">
      <alignment horizontal="right"/>
      <protection locked="0"/>
    </xf>
    <xf numFmtId="176" fontId="1" fillId="0" borderId="0" xfId="2" applyNumberFormat="1" applyFont="1" applyAlignment="1" applyProtection="1">
      <alignment horizontal="right"/>
      <protection locked="0"/>
    </xf>
    <xf numFmtId="167" fontId="1" fillId="0" borderId="0" xfId="1" applyNumberFormat="1" applyFont="1" applyFill="1" applyBorder="1"/>
    <xf numFmtId="0" fontId="14" fillId="21" borderId="12" xfId="2" applyFont="1" applyFill="1" applyBorder="1" applyAlignment="1">
      <alignment horizontal="left" vertical="center"/>
    </xf>
    <xf numFmtId="176" fontId="14" fillId="21" borderId="13" xfId="4" applyNumberFormat="1" applyFont="1" applyFill="1" applyBorder="1" applyAlignment="1" applyProtection="1">
      <alignment horizontal="center" vertical="center"/>
    </xf>
    <xf numFmtId="170" fontId="14" fillId="21" borderId="13" xfId="4" applyNumberFormat="1" applyFont="1" applyFill="1" applyBorder="1" applyAlignment="1" applyProtection="1">
      <alignment horizontal="right" vertical="center"/>
    </xf>
    <xf numFmtId="14" fontId="12" fillId="0" borderId="2" xfId="0" applyNumberFormat="1" applyFont="1" applyBorder="1"/>
    <xf numFmtId="167" fontId="12" fillId="0" borderId="0" xfId="2" applyNumberFormat="1" applyFont="1" applyAlignment="1" applyProtection="1">
      <protection locked="0"/>
    </xf>
    <xf numFmtId="164" fontId="12" fillId="7" borderId="0" xfId="4" applyFont="1" applyFill="1" applyBorder="1" applyAlignment="1" applyProtection="1">
      <alignment vertical="top"/>
    </xf>
    <xf numFmtId="43" fontId="11" fillId="0" borderId="2" xfId="1" applyFont="1" applyFill="1" applyBorder="1"/>
    <xf numFmtId="14" fontId="0" fillId="19" borderId="29" xfId="0" applyNumberFormat="1" applyFill="1" applyBorder="1" applyAlignment="1">
      <alignment horizontal="left"/>
    </xf>
    <xf numFmtId="43" fontId="0" fillId="19" borderId="29" xfId="1" applyFont="1" applyFill="1" applyBorder="1"/>
    <xf numFmtId="43" fontId="0" fillId="22" borderId="29" xfId="1" applyFont="1" applyFill="1" applyBorder="1"/>
    <xf numFmtId="14" fontId="0" fillId="22" borderId="29" xfId="0" applyNumberFormat="1" applyFill="1" applyBorder="1" applyAlignment="1">
      <alignment horizontal="left"/>
    </xf>
    <xf numFmtId="43" fontId="0" fillId="17" borderId="29" xfId="1" applyFont="1" applyFill="1" applyBorder="1"/>
    <xf numFmtId="14" fontId="0" fillId="17" borderId="29" xfId="0" applyNumberFormat="1" applyFill="1" applyBorder="1" applyAlignment="1">
      <alignment horizontal="left"/>
    </xf>
    <xf numFmtId="43" fontId="0" fillId="23" borderId="29" xfId="1" applyFont="1" applyFill="1" applyBorder="1"/>
    <xf numFmtId="14" fontId="0" fillId="23" borderId="29" xfId="0" applyNumberFormat="1" applyFill="1" applyBorder="1" applyAlignment="1">
      <alignment horizontal="left"/>
    </xf>
    <xf numFmtId="43" fontId="5" fillId="0" borderId="2" xfId="1" applyFont="1" applyFill="1" applyBorder="1"/>
    <xf numFmtId="14" fontId="12" fillId="0" borderId="1" xfId="0" applyNumberFormat="1" applyFont="1" applyBorder="1"/>
    <xf numFmtId="0" fontId="12" fillId="0" borderId="1" xfId="0" applyFont="1" applyBorder="1"/>
    <xf numFmtId="0" fontId="37" fillId="7" borderId="0" xfId="2" applyFont="1" applyFill="1" applyAlignment="1">
      <alignment horizontal="left" wrapText="1" indent="1"/>
    </xf>
    <xf numFmtId="172" fontId="12" fillId="7" borderId="0" xfId="1" applyNumberFormat="1" applyFont="1" applyFill="1" applyBorder="1"/>
    <xf numFmtId="49" fontId="12" fillId="0" borderId="0" xfId="0" applyNumberFormat="1" applyFont="1" applyAlignment="1">
      <alignment horizontal="center"/>
    </xf>
    <xf numFmtId="0" fontId="12" fillId="0" borderId="57" xfId="0" applyFont="1" applyBorder="1"/>
    <xf numFmtId="9" fontId="1" fillId="0" borderId="0" xfId="8" applyFont="1" applyFill="1" applyBorder="1"/>
    <xf numFmtId="9" fontId="12" fillId="0" borderId="0" xfId="5" applyFont="1" applyFill="1" applyBorder="1" applyAlignment="1" applyProtection="1">
      <protection locked="0"/>
    </xf>
    <xf numFmtId="1" fontId="5" fillId="0" borderId="0" xfId="2" applyNumberFormat="1" applyFont="1" applyAlignment="1" applyProtection="1">
      <alignment horizontal="center"/>
      <protection locked="0"/>
    </xf>
    <xf numFmtId="0" fontId="0" fillId="7" borderId="0" xfId="2" applyFont="1" applyFill="1" applyAlignment="1">
      <alignment horizontal="left" wrapText="1" indent="1"/>
    </xf>
    <xf numFmtId="43" fontId="5" fillId="0" borderId="29" xfId="1" applyFont="1" applyFill="1" applyBorder="1"/>
    <xf numFmtId="170" fontId="9" fillId="20" borderId="0" xfId="4" applyNumberFormat="1" applyFont="1" applyFill="1" applyBorder="1" applyAlignment="1" applyProtection="1">
      <alignment horizontal="right" vertical="top"/>
    </xf>
    <xf numFmtId="167" fontId="9" fillId="7" borderId="0" xfId="1" applyNumberFormat="1" applyFont="1" applyFill="1" applyBorder="1"/>
    <xf numFmtId="0" fontId="0" fillId="0" borderId="0" xfId="2" applyFont="1" applyAlignment="1">
      <alignment horizontal="left" wrapText="1" indent="1"/>
    </xf>
    <xf numFmtId="14" fontId="0" fillId="24" borderId="29" xfId="0" applyNumberFormat="1" applyFill="1" applyBorder="1" applyAlignment="1">
      <alignment horizontal="left"/>
    </xf>
    <xf numFmtId="0" fontId="0" fillId="0" borderId="58" xfId="0" applyBorder="1"/>
    <xf numFmtId="170" fontId="12" fillId="19" borderId="0" xfId="4" applyNumberFormat="1" applyFont="1" applyFill="1" applyBorder="1" applyAlignment="1" applyProtection="1">
      <alignment horizontal="right" vertical="top"/>
    </xf>
    <xf numFmtId="176" fontId="5" fillId="22" borderId="0" xfId="4" applyNumberFormat="1" applyFont="1" applyFill="1" applyBorder="1" applyAlignment="1" applyProtection="1">
      <alignment vertical="top"/>
    </xf>
    <xf numFmtId="0" fontId="12" fillId="19" borderId="0" xfId="2" applyFont="1" applyFill="1" applyAlignment="1" applyProtection="1">
      <protection locked="0"/>
    </xf>
    <xf numFmtId="174" fontId="12" fillId="19" borderId="0" xfId="5" applyNumberFormat="1" applyFont="1" applyFill="1" applyBorder="1" applyAlignment="1" applyProtection="1">
      <protection locked="0"/>
    </xf>
    <xf numFmtId="0" fontId="9" fillId="19" borderId="0" xfId="2" applyFont="1" applyFill="1" applyAlignment="1" applyProtection="1">
      <protection locked="0"/>
    </xf>
    <xf numFmtId="49" fontId="12" fillId="0" borderId="0" xfId="2" applyNumberFormat="1" applyFont="1" applyAlignment="1" applyProtection="1">
      <alignment vertical="center" wrapText="1"/>
      <protection locked="0"/>
    </xf>
    <xf numFmtId="176" fontId="12" fillId="7" borderId="0" xfId="4" applyNumberFormat="1" applyFont="1" applyFill="1" applyBorder="1" applyAlignment="1" applyProtection="1">
      <alignment vertical="top"/>
    </xf>
    <xf numFmtId="170" fontId="12" fillId="7" borderId="0" xfId="4" applyNumberFormat="1" applyFont="1" applyFill="1" applyBorder="1" applyAlignment="1" applyProtection="1">
      <alignment horizontal="right" vertical="top"/>
    </xf>
    <xf numFmtId="43" fontId="12" fillId="0" borderId="0" xfId="2" applyNumberFormat="1" applyFont="1" applyAlignment="1" applyProtection="1">
      <protection locked="0"/>
    </xf>
    <xf numFmtId="43" fontId="9" fillId="0" borderId="0" xfId="1" applyFont="1" applyFill="1" applyBorder="1"/>
    <xf numFmtId="1" fontId="9" fillId="0" borderId="0" xfId="2" applyNumberFormat="1" applyFont="1" applyAlignment="1" applyProtection="1">
      <alignment horizontal="center"/>
      <protection locked="0"/>
    </xf>
    <xf numFmtId="14" fontId="0" fillId="19" borderId="2" xfId="0" applyNumberFormat="1" applyFill="1" applyBorder="1"/>
    <xf numFmtId="0" fontId="12" fillId="19" borderId="2" xfId="0" applyFont="1" applyFill="1" applyBorder="1"/>
    <xf numFmtId="43" fontId="0" fillId="19" borderId="2" xfId="1" applyFont="1" applyFill="1" applyBorder="1"/>
    <xf numFmtId="176" fontId="12" fillId="22" borderId="0" xfId="4" applyNumberFormat="1" applyFont="1" applyFill="1" applyBorder="1" applyAlignment="1" applyProtection="1">
      <alignment vertical="top"/>
    </xf>
    <xf numFmtId="0" fontId="40" fillId="0" borderId="0" xfId="2" applyFont="1" applyAlignment="1" applyProtection="1">
      <protection locked="0"/>
    </xf>
    <xf numFmtId="0" fontId="34" fillId="0" borderId="0" xfId="2" applyFont="1" applyAlignment="1" applyProtection="1">
      <protection locked="0"/>
    </xf>
    <xf numFmtId="0" fontId="30" fillId="0" borderId="0" xfId="2" applyFont="1" applyAlignment="1" applyProtection="1">
      <protection locked="0"/>
    </xf>
    <xf numFmtId="0" fontId="0" fillId="19" borderId="0" xfId="0" applyFill="1"/>
    <xf numFmtId="14" fontId="0" fillId="17" borderId="2" xfId="0" applyNumberFormat="1" applyFill="1" applyBorder="1"/>
    <xf numFmtId="0" fontId="12" fillId="17" borderId="2" xfId="0" applyFont="1" applyFill="1" applyBorder="1"/>
    <xf numFmtId="43" fontId="0" fillId="17" borderId="2" xfId="1" applyFont="1" applyFill="1" applyBorder="1"/>
    <xf numFmtId="14" fontId="0" fillId="4" borderId="2" xfId="0" applyNumberFormat="1" applyFill="1" applyBorder="1"/>
    <xf numFmtId="0" fontId="12" fillId="4" borderId="2" xfId="0" applyFont="1" applyFill="1" applyBorder="1"/>
    <xf numFmtId="43" fontId="0" fillId="4" borderId="2" xfId="1" applyFont="1" applyFill="1" applyBorder="1"/>
    <xf numFmtId="0" fontId="7" fillId="0" borderId="0" xfId="0" applyFont="1" applyAlignment="1">
      <alignment horizontal="center"/>
    </xf>
    <xf numFmtId="39" fontId="7" fillId="0" borderId="0" xfId="1" applyNumberFormat="1" applyFont="1" applyFill="1" applyBorder="1"/>
    <xf numFmtId="167" fontId="7" fillId="0" borderId="0" xfId="1" applyNumberFormat="1" applyFont="1" applyFill="1" applyBorder="1"/>
    <xf numFmtId="172" fontId="1" fillId="0" borderId="0" xfId="0" applyNumberFormat="1" applyFont="1"/>
    <xf numFmtId="14" fontId="5" fillId="0" borderId="59" xfId="3" applyNumberFormat="1" applyBorder="1"/>
    <xf numFmtId="14" fontId="12" fillId="0" borderId="60" xfId="2" applyNumberFormat="1" applyFont="1" applyBorder="1" applyAlignment="1" applyProtection="1">
      <protection locked="0"/>
    </xf>
    <xf numFmtId="176" fontId="12" fillId="0" borderId="60" xfId="4" applyNumberFormat="1" applyFont="1" applyFill="1" applyBorder="1" applyAlignment="1" applyProtection="1">
      <alignment vertical="top"/>
    </xf>
    <xf numFmtId="176" fontId="12" fillId="0" borderId="61" xfId="4" applyNumberFormat="1" applyFont="1" applyFill="1" applyBorder="1" applyAlignment="1" applyProtection="1">
      <alignment vertical="top"/>
    </xf>
    <xf numFmtId="170" fontId="1" fillId="0" borderId="0" xfId="4" applyNumberFormat="1" applyFont="1" applyFill="1" applyBorder="1"/>
    <xf numFmtId="0" fontId="11" fillId="19" borderId="29" xfId="0" applyFont="1" applyFill="1" applyBorder="1" applyAlignment="1">
      <alignment wrapText="1"/>
    </xf>
    <xf numFmtId="0" fontId="12" fillId="19" borderId="29" xfId="0" applyFont="1" applyFill="1" applyBorder="1" applyAlignment="1">
      <alignment wrapText="1"/>
    </xf>
    <xf numFmtId="0" fontId="12" fillId="0" borderId="49" xfId="0" applyFont="1" applyBorder="1" applyAlignment="1">
      <alignment horizontal="left" vertical="top" wrapText="1"/>
    </xf>
    <xf numFmtId="0" fontId="11" fillId="16" borderId="29" xfId="0" applyFont="1" applyFill="1" applyBorder="1" applyAlignment="1">
      <alignment wrapText="1"/>
    </xf>
    <xf numFmtId="167" fontId="12" fillId="19" borderId="29" xfId="1" applyNumberFormat="1" applyFont="1" applyFill="1" applyBorder="1"/>
    <xf numFmtId="43" fontId="0" fillId="25" borderId="29" xfId="1" applyFont="1" applyFill="1" applyBorder="1"/>
    <xf numFmtId="44" fontId="12" fillId="0" borderId="0" xfId="2" applyNumberFormat="1" applyFont="1" applyAlignment="1" applyProtection="1">
      <protection locked="0"/>
    </xf>
    <xf numFmtId="0" fontId="11" fillId="7" borderId="0" xfId="0" applyFont="1" applyFill="1" applyAlignment="1">
      <alignment horizontal="left" wrapText="1" indent="1"/>
    </xf>
    <xf numFmtId="0" fontId="12" fillId="7" borderId="0" xfId="0" applyFont="1" applyFill="1" applyAlignment="1">
      <alignment horizontal="left" wrapText="1" indent="1"/>
    </xf>
    <xf numFmtId="0" fontId="0" fillId="7" borderId="0" xfId="0" applyFill="1" applyAlignment="1">
      <alignment horizontal="left" wrapText="1" indent="1"/>
    </xf>
    <xf numFmtId="0" fontId="0" fillId="23" borderId="29" xfId="0" applyFill="1" applyBorder="1" applyAlignment="1">
      <alignment wrapText="1"/>
    </xf>
    <xf numFmtId="176" fontId="9" fillId="19" borderId="0" xfId="4" applyNumberFormat="1" applyFont="1" applyFill="1" applyBorder="1" applyAlignment="1" applyProtection="1">
      <alignment vertical="top"/>
    </xf>
    <xf numFmtId="176" fontId="41" fillId="19" borderId="0" xfId="4" applyNumberFormat="1" applyFont="1" applyFill="1" applyBorder="1" applyAlignment="1" applyProtection="1">
      <alignment vertical="top"/>
    </xf>
    <xf numFmtId="0" fontId="12" fillId="16" borderId="2" xfId="0" applyFont="1" applyFill="1" applyBorder="1"/>
    <xf numFmtId="1" fontId="12" fillId="0" borderId="0" xfId="2" applyNumberFormat="1" applyFont="1" applyAlignment="1" applyProtection="1">
      <alignment horizontal="center" wrapText="1"/>
      <protection locked="0"/>
    </xf>
    <xf numFmtId="14" fontId="5" fillId="0" borderId="62" xfId="3" applyNumberFormat="1" applyBorder="1"/>
    <xf numFmtId="14" fontId="12" fillId="0" borderId="63" xfId="2" applyNumberFormat="1" applyFont="1" applyBorder="1" applyAlignment="1" applyProtection="1">
      <protection locked="0"/>
    </xf>
    <xf numFmtId="176" fontId="12" fillId="0" borderId="63" xfId="4" applyNumberFormat="1" applyFont="1" applyFill="1" applyBorder="1" applyAlignment="1" applyProtection="1">
      <alignment vertical="top"/>
    </xf>
    <xf numFmtId="176" fontId="12" fillId="0" borderId="64" xfId="4" applyNumberFormat="1" applyFont="1" applyFill="1" applyBorder="1" applyAlignment="1" applyProtection="1">
      <alignment vertical="top"/>
    </xf>
    <xf numFmtId="172" fontId="5" fillId="0" borderId="0" xfId="4" applyNumberFormat="1" applyFont="1" applyFill="1" applyBorder="1"/>
    <xf numFmtId="0" fontId="12" fillId="0" borderId="29" xfId="0" applyFont="1" applyBorder="1" applyAlignment="1">
      <alignment horizontal="center"/>
    </xf>
    <xf numFmtId="43" fontId="12" fillId="0" borderId="29" xfId="1" applyFont="1" applyFill="1" applyBorder="1"/>
    <xf numFmtId="9" fontId="1" fillId="0" borderId="0" xfId="0" applyNumberFormat="1" applyFont="1"/>
    <xf numFmtId="43" fontId="15" fillId="0" borderId="2" xfId="1" applyFont="1" applyFill="1" applyBorder="1"/>
    <xf numFmtId="0" fontId="15" fillId="0" borderId="49" xfId="0" applyFont="1" applyBorder="1" applyAlignment="1">
      <alignment wrapText="1"/>
    </xf>
    <xf numFmtId="14" fontId="5" fillId="0" borderId="65" xfId="3" applyNumberFormat="1" applyBorder="1"/>
    <xf numFmtId="14" fontId="12" fillId="0" borderId="66" xfId="2" applyNumberFormat="1" applyFont="1" applyBorder="1" applyAlignment="1" applyProtection="1">
      <protection locked="0"/>
    </xf>
    <xf numFmtId="176" fontId="12" fillId="0" borderId="66" xfId="4" applyNumberFormat="1" applyFont="1" applyFill="1" applyBorder="1" applyAlignment="1" applyProtection="1">
      <alignment vertical="top"/>
    </xf>
    <xf numFmtId="176" fontId="12" fillId="0" borderId="67" xfId="4" applyNumberFormat="1" applyFont="1" applyFill="1" applyBorder="1" applyAlignment="1" applyProtection="1">
      <alignment vertical="top"/>
    </xf>
    <xf numFmtId="0" fontId="1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167" fontId="9" fillId="0" borderId="0" xfId="1" applyNumberFormat="1" applyFont="1" applyFill="1" applyBorder="1"/>
    <xf numFmtId="170" fontId="9" fillId="0" borderId="0" xfId="4" applyNumberFormat="1" applyFont="1" applyFill="1" applyBorder="1" applyAlignment="1" applyProtection="1">
      <alignment horizontal="right" vertical="top"/>
    </xf>
    <xf numFmtId="168" fontId="2" fillId="0" borderId="0" xfId="1" applyNumberFormat="1" applyFont="1" applyFill="1"/>
    <xf numFmtId="0" fontId="14" fillId="10" borderId="0" xfId="6" applyFont="1" applyFill="1" applyAlignment="1">
      <alignment horizontal="center"/>
    </xf>
    <xf numFmtId="0" fontId="2" fillId="12" borderId="0" xfId="3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1" fillId="0" borderId="0" xfId="3" applyFont="1" applyAlignment="1">
      <alignment horizontal="center"/>
    </xf>
    <xf numFmtId="0" fontId="5" fillId="0" borderId="0" xfId="3"/>
    <xf numFmtId="0" fontId="5" fillId="0" borderId="0" xfId="3" applyAlignment="1">
      <alignment horizontal="center"/>
    </xf>
    <xf numFmtId="0" fontId="12" fillId="0" borderId="0" xfId="2" applyFont="1" applyAlignment="1" applyProtection="1">
      <alignment horizontal="center"/>
      <protection locked="0"/>
    </xf>
    <xf numFmtId="49" fontId="15" fillId="0" borderId="0" xfId="2" applyNumberFormat="1" applyFont="1" applyAlignment="1" applyProtection="1">
      <alignment horizontal="center" vertical="center" wrapText="1"/>
      <protection locked="0"/>
    </xf>
    <xf numFmtId="0" fontId="15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51" xfId="0" applyFont="1" applyBorder="1" applyAlignment="1">
      <alignment horizontal="center"/>
    </xf>
  </cellXfs>
  <cellStyles count="9">
    <cellStyle name="Millares" xfId="1" builtinId="3"/>
    <cellStyle name="Moneda [0] 2" xfId="4" xr:uid="{4B744064-D51D-408D-B850-20B9F18076AA}"/>
    <cellStyle name="Moneda 2" xfId="7" xr:uid="{F1E70690-908F-4E4D-ADF7-9BF4EE320350}"/>
    <cellStyle name="Normal" xfId="0" builtinId="0"/>
    <cellStyle name="Normal 2 4" xfId="2" xr:uid="{00000000-0005-0000-0000-000002000000}"/>
    <cellStyle name="Normal 3 2 4" xfId="3" xr:uid="{8FD849CC-759C-42B0-8868-4B11B9B29785}"/>
    <cellStyle name="Normal 3 3" xfId="6" xr:uid="{46505ED0-26E0-4B1C-BAF9-927F5F6CB202}"/>
    <cellStyle name="Porcentaje" xfId="8" builtinId="5"/>
    <cellStyle name="Porcentaje 2" xfId="5" xr:uid="{CCF62760-8118-4DF4-B0CF-08C2352F4288}"/>
  </cellStyles>
  <dxfs count="34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theme="2" tint="-0.499984740745262"/>
        </patternFill>
      </fill>
    </dxf>
  </dxfs>
  <tableStyles count="0" defaultTableStyle="TableStyleMedium2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lutionspayroll-my.sharepoint.com/personal/rarambulo_solutionsandpayroll_com/Documents/EMPLOYMENT%20OUTSOURCING/COLOMBIA/Listado%20pagos%20Facturas%20OE.xlsx" TargetMode="External"/><Relationship Id="rId1" Type="http://schemas.openxmlformats.org/officeDocument/2006/relationships/externalLinkPath" Target="https://solutionspayroll-my.sharepoint.com/personal/rarambulo_solutionsandpayroll_com/Documents/EMPLOYMENT%20OUTSOURCING/COLOMBIA/Listado%20pagos%20Facturas%20O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s Pagadas y Pendientes"/>
      <sheetName val="Remotefirst"/>
      <sheetName val="GM"/>
      <sheetName val="Análisis"/>
      <sheetName val="Invoices to be paid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workbookViewId="0">
      <selection activeCell="C7" sqref="C7"/>
    </sheetView>
  </sheetViews>
  <sheetFormatPr baseColWidth="10" defaultColWidth="11.42578125" defaultRowHeight="15"/>
  <cols>
    <col min="3" max="3" width="40.85546875" bestFit="1" customWidth="1"/>
    <col min="4" max="4" width="40.85546875" customWidth="1"/>
  </cols>
  <sheetData>
    <row r="2" spans="2:7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2:7">
      <c r="B3" s="1">
        <v>1</v>
      </c>
      <c r="C3" t="s">
        <v>6</v>
      </c>
      <c r="D3" s="2">
        <v>44974</v>
      </c>
      <c r="E3" s="3">
        <v>0</v>
      </c>
      <c r="F3" s="3">
        <v>2697.47</v>
      </c>
      <c r="G3" s="3">
        <f>F3</f>
        <v>2697.47</v>
      </c>
    </row>
    <row r="4" spans="2:7">
      <c r="B4" s="1">
        <v>2</v>
      </c>
      <c r="C4" t="s">
        <v>7</v>
      </c>
      <c r="D4" s="2">
        <v>44974</v>
      </c>
      <c r="E4" s="3">
        <v>-2697.47</v>
      </c>
      <c r="F4" s="3">
        <v>0</v>
      </c>
      <c r="G4" s="3">
        <f>G3+E4</f>
        <v>0</v>
      </c>
    </row>
    <row r="5" spans="2:7">
      <c r="B5" s="1">
        <v>3</v>
      </c>
      <c r="C5" t="s">
        <v>8</v>
      </c>
      <c r="D5" s="2">
        <v>44988</v>
      </c>
      <c r="E5" s="3">
        <v>-19999.990000000002</v>
      </c>
      <c r="F5" s="3">
        <v>0</v>
      </c>
      <c r="G5" s="3">
        <f>G4+E5</f>
        <v>-19999.990000000002</v>
      </c>
    </row>
    <row r="6" spans="2:7">
      <c r="B6" s="1">
        <v>4</v>
      </c>
      <c r="C6" t="s">
        <v>9</v>
      </c>
      <c r="D6" s="2">
        <v>44991</v>
      </c>
      <c r="E6" s="3"/>
      <c r="F6" s="3">
        <v>1000</v>
      </c>
      <c r="G6" s="3">
        <f>F6+E6</f>
        <v>1000</v>
      </c>
    </row>
    <row r="7" spans="2:7">
      <c r="B7" s="1">
        <v>5</v>
      </c>
      <c r="C7" t="s">
        <v>10</v>
      </c>
      <c r="D7" s="2">
        <v>45000</v>
      </c>
      <c r="E7" s="3"/>
      <c r="F7" s="3">
        <v>1487.85</v>
      </c>
      <c r="G7" s="3">
        <f>G6+F7</f>
        <v>2487.85</v>
      </c>
    </row>
    <row r="8" spans="2:7">
      <c r="B8" s="1">
        <v>6</v>
      </c>
      <c r="C8" t="s">
        <v>11</v>
      </c>
      <c r="D8" s="2">
        <v>45003</v>
      </c>
      <c r="E8" s="3">
        <v>-1500</v>
      </c>
      <c r="F8" s="3"/>
      <c r="G8" s="3">
        <f>G7+E8</f>
        <v>987.84999999999991</v>
      </c>
    </row>
    <row r="9" spans="2:7">
      <c r="B9" s="1">
        <v>7</v>
      </c>
      <c r="C9" t="s">
        <v>12</v>
      </c>
      <c r="D9" s="2">
        <v>45015</v>
      </c>
      <c r="E9" s="3"/>
      <c r="F9" s="3">
        <v>35063.129999999997</v>
      </c>
      <c r="G9" s="3">
        <f>G8+F9</f>
        <v>36050.979999999996</v>
      </c>
    </row>
    <row r="10" spans="2:7">
      <c r="B10" s="1">
        <v>8</v>
      </c>
      <c r="C10" t="s">
        <v>13</v>
      </c>
      <c r="D10" s="2">
        <v>45016</v>
      </c>
      <c r="E10" s="3">
        <v>-18236.900000000001</v>
      </c>
      <c r="F10" s="3"/>
      <c r="G10" s="3">
        <f>G9+E10</f>
        <v>17814.079999999994</v>
      </c>
    </row>
    <row r="11" spans="2:7">
      <c r="B11" s="1">
        <v>9</v>
      </c>
      <c r="C11" t="s">
        <v>14</v>
      </c>
      <c r="D11" s="2">
        <v>45038</v>
      </c>
      <c r="E11" s="3">
        <v>-2000</v>
      </c>
      <c r="F11" s="3"/>
      <c r="G11" s="3">
        <f>G10+E11</f>
        <v>15814.079999999994</v>
      </c>
    </row>
    <row r="12" spans="2:7">
      <c r="C12" t="s">
        <v>15</v>
      </c>
      <c r="E12" s="3">
        <f>SUM(E3:E11)</f>
        <v>-44434.36</v>
      </c>
      <c r="F12" s="3">
        <f>SUM(F3:F11)</f>
        <v>40248.449999999997</v>
      </c>
      <c r="G12" s="3">
        <f>G11</f>
        <v>15814.079999999994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D14" sqref="D14"/>
    </sheetView>
  </sheetViews>
  <sheetFormatPr baseColWidth="10" defaultColWidth="11.42578125" defaultRowHeight="15"/>
  <cols>
    <col min="2" max="2" width="45.140625" bestFit="1" customWidth="1"/>
    <col min="3" max="4" width="11.5703125" style="10"/>
  </cols>
  <sheetData>
    <row r="1" spans="1:6" ht="23.25">
      <c r="A1" s="434" t="s">
        <v>16</v>
      </c>
      <c r="B1" s="434"/>
      <c r="C1" s="434"/>
      <c r="D1" s="434"/>
      <c r="E1" s="434"/>
      <c r="F1" s="434"/>
    </row>
    <row r="2" spans="1:6" ht="23.25">
      <c r="A2" s="434" t="s">
        <v>17</v>
      </c>
      <c r="B2" s="434"/>
      <c r="C2" s="434"/>
      <c r="D2" s="434"/>
      <c r="E2" s="434"/>
      <c r="F2" s="434"/>
    </row>
    <row r="3" spans="1:6" ht="23.25">
      <c r="A3" s="434" t="s">
        <v>18</v>
      </c>
      <c r="B3" s="434"/>
      <c r="C3" s="434"/>
      <c r="D3" s="434"/>
      <c r="E3" s="434"/>
      <c r="F3" s="434"/>
    </row>
    <row r="4" spans="1:6">
      <c r="A4" s="9" t="s">
        <v>19</v>
      </c>
      <c r="B4" s="9" t="s">
        <v>20</v>
      </c>
      <c r="C4" s="11" t="s">
        <v>21</v>
      </c>
      <c r="D4" s="11" t="s">
        <v>22</v>
      </c>
    </row>
    <row r="5" spans="1:6">
      <c r="A5" s="9">
        <v>1</v>
      </c>
      <c r="B5" s="9" t="s">
        <v>23</v>
      </c>
    </row>
    <row r="6" spans="1:6">
      <c r="A6">
        <v>1.1000000000000001</v>
      </c>
      <c r="B6" t="s">
        <v>24</v>
      </c>
      <c r="C6" s="10">
        <v>20477.39</v>
      </c>
    </row>
    <row r="7" spans="1:6">
      <c r="A7">
        <v>1.2</v>
      </c>
      <c r="B7" t="s">
        <v>25</v>
      </c>
      <c r="C7" s="10">
        <v>295632.14</v>
      </c>
    </row>
    <row r="9" spans="1:6">
      <c r="A9" s="9">
        <v>2</v>
      </c>
      <c r="B9" s="9" t="s">
        <v>26</v>
      </c>
    </row>
    <row r="10" spans="1:6">
      <c r="A10">
        <v>2.1</v>
      </c>
      <c r="B10" t="s">
        <v>27</v>
      </c>
      <c r="D10" s="10">
        <v>32633.16</v>
      </c>
    </row>
    <row r="12" spans="1:6">
      <c r="B12" t="s">
        <v>28</v>
      </c>
      <c r="C12" s="11">
        <f>SUM(C6:C8)</f>
        <v>316109.53000000003</v>
      </c>
      <c r="D12" s="11">
        <f>SUM(D6:D10)</f>
        <v>32633.16</v>
      </c>
    </row>
    <row r="13" spans="1:6">
      <c r="B13" t="s">
        <v>29</v>
      </c>
      <c r="D13" s="11">
        <f>C12-D12</f>
        <v>283476.37000000005</v>
      </c>
    </row>
    <row r="14" spans="1:6">
      <c r="B14" t="s">
        <v>30</v>
      </c>
      <c r="C14" s="11">
        <f>SUM(C12)</f>
        <v>316109.53000000003</v>
      </c>
      <c r="D14" s="11">
        <f>SUM(D12:D13)</f>
        <v>316109.53000000003</v>
      </c>
      <c r="F14" s="12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54"/>
  <sheetViews>
    <sheetView showGridLines="0" topLeftCell="A325" workbookViewId="0">
      <selection activeCell="F327" sqref="F327:H337"/>
    </sheetView>
  </sheetViews>
  <sheetFormatPr baseColWidth="10" defaultColWidth="11.42578125" defaultRowHeight="15" outlineLevelRow="1"/>
  <cols>
    <col min="1" max="1" width="7.7109375" customWidth="1"/>
    <col min="3" max="3" width="29.42578125" bestFit="1" customWidth="1"/>
    <col min="4" max="4" width="15.28515625" customWidth="1"/>
    <col min="5" max="5" width="1.42578125" customWidth="1"/>
    <col min="7" max="7" width="42.28515625" customWidth="1"/>
    <col min="8" max="8" width="15.5703125" bestFit="1" customWidth="1"/>
    <col min="9" max="9" width="13.28515625" customWidth="1"/>
    <col min="10" max="10" width="13.5703125" bestFit="1" customWidth="1"/>
  </cols>
  <sheetData>
    <row r="1" spans="2:11" ht="23.25">
      <c r="B1" s="435" t="s">
        <v>31</v>
      </c>
      <c r="C1" s="435"/>
      <c r="D1" s="435"/>
      <c r="E1" s="435"/>
      <c r="F1" s="435"/>
      <c r="G1" s="435"/>
      <c r="H1" s="435"/>
    </row>
    <row r="2" spans="2:11" ht="23.25">
      <c r="B2" s="435" t="s">
        <v>17</v>
      </c>
      <c r="C2" s="435"/>
      <c r="D2" s="435"/>
      <c r="E2" s="435"/>
      <c r="F2" s="435"/>
      <c r="G2" s="435"/>
      <c r="H2" s="435"/>
    </row>
    <row r="3" spans="2:11" ht="23.25">
      <c r="B3" s="435" t="s">
        <v>32</v>
      </c>
      <c r="C3" s="435"/>
      <c r="D3" s="435"/>
      <c r="E3" s="435"/>
      <c r="F3" s="435"/>
      <c r="G3" s="435"/>
      <c r="H3" s="435"/>
    </row>
    <row r="4" spans="2:11">
      <c r="C4" s="9" t="s">
        <v>21</v>
      </c>
      <c r="G4" s="9" t="s">
        <v>33</v>
      </c>
    </row>
    <row r="5" spans="2:11" ht="18.75">
      <c r="B5" s="18" t="s">
        <v>34</v>
      </c>
      <c r="C5" s="18" t="s">
        <v>35</v>
      </c>
      <c r="D5" s="18" t="s">
        <v>15</v>
      </c>
      <c r="E5" s="16"/>
      <c r="F5" s="18" t="s">
        <v>36</v>
      </c>
      <c r="G5" s="18" t="s">
        <v>35</v>
      </c>
      <c r="H5" s="18" t="s">
        <v>15</v>
      </c>
    </row>
    <row r="6" spans="2:11" outlineLevel="1">
      <c r="B6" s="8">
        <v>45292</v>
      </c>
      <c r="C6" s="6" t="s">
        <v>49</v>
      </c>
      <c r="D6" s="19">
        <v>100</v>
      </c>
      <c r="E6" s="15"/>
      <c r="F6" s="8">
        <v>45321</v>
      </c>
      <c r="G6" s="6" t="s">
        <v>74</v>
      </c>
      <c r="H6" s="19">
        <v>1039.74</v>
      </c>
    </row>
    <row r="7" spans="2:11" outlineLevel="1">
      <c r="B7" s="8">
        <v>45321</v>
      </c>
      <c r="C7" s="6" t="s">
        <v>75</v>
      </c>
      <c r="D7" s="19">
        <v>1040</v>
      </c>
      <c r="E7" s="15"/>
      <c r="F7" s="8"/>
      <c r="G7" s="6"/>
      <c r="H7" s="19"/>
    </row>
    <row r="8" spans="2:11">
      <c r="C8" s="7" t="s">
        <v>46</v>
      </c>
      <c r="D8" s="20">
        <f>SUM(D6:D7)</f>
        <v>1140</v>
      </c>
      <c r="E8" s="17"/>
      <c r="G8" s="7" t="s">
        <v>47</v>
      </c>
      <c r="H8" s="20">
        <f>SUM(H6:H7)</f>
        <v>1039.74</v>
      </c>
    </row>
    <row r="9" spans="2:11">
      <c r="G9" s="7" t="s">
        <v>48</v>
      </c>
      <c r="H9" s="20">
        <f>(D8-H8)</f>
        <v>100.25999999999999</v>
      </c>
    </row>
    <row r="10" spans="2:11" ht="8.25" customHeight="1"/>
    <row r="11" spans="2:11" ht="18.75">
      <c r="B11" s="18" t="s">
        <v>34</v>
      </c>
      <c r="C11" s="18" t="s">
        <v>35</v>
      </c>
      <c r="D11" s="18" t="s">
        <v>15</v>
      </c>
      <c r="E11" s="16"/>
      <c r="F11" s="18" t="s">
        <v>36</v>
      </c>
      <c r="G11" s="18" t="s">
        <v>35</v>
      </c>
      <c r="H11" s="18" t="s">
        <v>15</v>
      </c>
    </row>
    <row r="12" spans="2:11" outlineLevel="1">
      <c r="B12" s="8">
        <v>45323</v>
      </c>
      <c r="C12" s="6" t="s">
        <v>49</v>
      </c>
      <c r="D12" s="19">
        <f>H9</f>
        <v>100.25999999999999</v>
      </c>
      <c r="E12" s="15"/>
      <c r="F12" s="8">
        <v>45323</v>
      </c>
      <c r="G12" s="6" t="s">
        <v>76</v>
      </c>
      <c r="H12" s="19">
        <v>821.65</v>
      </c>
    </row>
    <row r="13" spans="2:11" outlineLevel="1">
      <c r="B13" s="8">
        <v>45323</v>
      </c>
      <c r="C13" s="6" t="s">
        <v>77</v>
      </c>
      <c r="D13" s="19">
        <v>821.65</v>
      </c>
      <c r="E13" s="15"/>
      <c r="F13" s="8">
        <v>45323</v>
      </c>
      <c r="G13" s="6" t="s">
        <v>221</v>
      </c>
      <c r="H13" s="19">
        <v>519.87</v>
      </c>
    </row>
    <row r="14" spans="2:11" outlineLevel="1">
      <c r="B14" s="8">
        <v>45349</v>
      </c>
      <c r="C14" s="6" t="s">
        <v>78</v>
      </c>
      <c r="D14" s="19">
        <v>499.74</v>
      </c>
      <c r="E14" s="15"/>
      <c r="F14" s="8"/>
      <c r="G14" s="6"/>
      <c r="H14" s="19"/>
    </row>
    <row r="15" spans="2:11">
      <c r="C15" s="7" t="s">
        <v>59</v>
      </c>
      <c r="D15" s="21">
        <f>SUM(D12:D14)</f>
        <v>1421.65</v>
      </c>
      <c r="G15" s="7" t="s">
        <v>60</v>
      </c>
      <c r="H15" s="20">
        <f>SUM(H12:H14)</f>
        <v>1341.52</v>
      </c>
    </row>
    <row r="16" spans="2:11">
      <c r="G16" s="7" t="s">
        <v>73</v>
      </c>
      <c r="H16" s="20">
        <f>D15-H15</f>
        <v>80.130000000000109</v>
      </c>
      <c r="K16" s="12"/>
    </row>
    <row r="17" spans="2:8" ht="8.25" customHeight="1"/>
    <row r="18" spans="2:8" ht="18.75">
      <c r="B18" s="18" t="s">
        <v>34</v>
      </c>
      <c r="C18" s="18" t="s">
        <v>35</v>
      </c>
      <c r="D18" s="18" t="s">
        <v>15</v>
      </c>
      <c r="E18" s="16"/>
      <c r="F18" s="18" t="s">
        <v>36</v>
      </c>
      <c r="G18" s="18" t="s">
        <v>35</v>
      </c>
      <c r="H18" s="18" t="s">
        <v>15</v>
      </c>
    </row>
    <row r="19" spans="2:8" outlineLevel="1">
      <c r="B19" s="8">
        <v>45352</v>
      </c>
      <c r="C19" s="6" t="s">
        <v>49</v>
      </c>
      <c r="D19" s="19">
        <f>H16</f>
        <v>80.130000000000109</v>
      </c>
      <c r="F19" s="8">
        <v>45358</v>
      </c>
      <c r="G19" s="6" t="s">
        <v>79</v>
      </c>
      <c r="H19" s="19">
        <v>979.7</v>
      </c>
    </row>
    <row r="20" spans="2:8" outlineLevel="1">
      <c r="B20" s="8">
        <v>45323</v>
      </c>
      <c r="C20" s="6" t="s">
        <v>80</v>
      </c>
      <c r="D20" s="19">
        <v>1000</v>
      </c>
      <c r="F20" s="8"/>
      <c r="G20" s="6"/>
      <c r="H20" s="19"/>
    </row>
    <row r="21" spans="2:8">
      <c r="C21" s="7" t="s">
        <v>71</v>
      </c>
      <c r="D21" s="20">
        <f>SUM(D19:D20)</f>
        <v>1080.1300000000001</v>
      </c>
      <c r="G21" s="7" t="s">
        <v>72</v>
      </c>
      <c r="H21" s="20">
        <f>SUM(H19:H20)</f>
        <v>979.7</v>
      </c>
    </row>
    <row r="22" spans="2:8">
      <c r="G22" s="7" t="s">
        <v>73</v>
      </c>
      <c r="H22" s="20">
        <f>D21-H21</f>
        <v>100.43000000000006</v>
      </c>
    </row>
    <row r="25" spans="2:8" ht="18.75">
      <c r="B25" s="18" t="s">
        <v>34</v>
      </c>
      <c r="C25" s="18" t="s">
        <v>35</v>
      </c>
      <c r="D25" s="18" t="s">
        <v>15</v>
      </c>
      <c r="E25" s="16"/>
      <c r="F25" s="18" t="s">
        <v>36</v>
      </c>
      <c r="G25" s="18" t="s">
        <v>35</v>
      </c>
      <c r="H25" s="18" t="s">
        <v>15</v>
      </c>
    </row>
    <row r="26" spans="2:8">
      <c r="B26" s="8">
        <v>45383</v>
      </c>
      <c r="C26" s="6" t="s">
        <v>49</v>
      </c>
      <c r="D26" s="19">
        <f>H22</f>
        <v>100.43000000000006</v>
      </c>
      <c r="F26" s="8">
        <v>45384</v>
      </c>
      <c r="G26" s="6" t="s">
        <v>79</v>
      </c>
      <c r="H26" s="19">
        <v>753.91</v>
      </c>
    </row>
    <row r="27" spans="2:8">
      <c r="B27" s="8">
        <v>45383</v>
      </c>
      <c r="C27" s="6" t="s">
        <v>80</v>
      </c>
      <c r="D27" s="19">
        <v>2017.06</v>
      </c>
      <c r="F27" s="8">
        <v>45384</v>
      </c>
      <c r="G27" s="6" t="s">
        <v>132</v>
      </c>
      <c r="H27" s="19">
        <v>1263.1500000000001</v>
      </c>
    </row>
    <row r="28" spans="2:8">
      <c r="B28" s="8">
        <v>45405</v>
      </c>
      <c r="C28" s="6" t="s">
        <v>220</v>
      </c>
      <c r="D28" s="19">
        <v>420.79</v>
      </c>
      <c r="F28" s="8">
        <v>45405</v>
      </c>
      <c r="G28" s="6" t="s">
        <v>221</v>
      </c>
      <c r="H28" s="19">
        <v>519.87</v>
      </c>
    </row>
    <row r="29" spans="2:8">
      <c r="B29" s="8"/>
      <c r="C29" s="6"/>
      <c r="D29" s="19"/>
      <c r="F29" s="8"/>
      <c r="G29" s="6"/>
      <c r="H29" s="19"/>
    </row>
    <row r="30" spans="2:8">
      <c r="C30" s="7" t="s">
        <v>128</v>
      </c>
      <c r="D30" s="20">
        <f>SUM(D26:D29)</f>
        <v>2538.2799999999997</v>
      </c>
      <c r="G30" s="7" t="s">
        <v>219</v>
      </c>
      <c r="H30" s="20">
        <f>SUM(H26:H29)</f>
        <v>2536.9299999999998</v>
      </c>
    </row>
    <row r="31" spans="2:8">
      <c r="G31" s="7" t="s">
        <v>130</v>
      </c>
      <c r="H31" s="20">
        <f>D30-H30</f>
        <v>1.3499999999999091</v>
      </c>
    </row>
    <row r="34" spans="2:8" ht="18.75">
      <c r="B34" s="18" t="s">
        <v>34</v>
      </c>
      <c r="C34" s="18" t="s">
        <v>35</v>
      </c>
      <c r="D34" s="18" t="s">
        <v>15</v>
      </c>
      <c r="F34" s="18" t="s">
        <v>36</v>
      </c>
      <c r="G34" s="18" t="s">
        <v>35</v>
      </c>
      <c r="H34" s="18" t="s">
        <v>15</v>
      </c>
    </row>
    <row r="35" spans="2:8">
      <c r="B35" s="8">
        <v>45413</v>
      </c>
      <c r="C35" s="6" t="s">
        <v>49</v>
      </c>
      <c r="D35" s="19">
        <f>H31</f>
        <v>1.3499999999999091</v>
      </c>
      <c r="F35" s="8">
        <v>45440</v>
      </c>
      <c r="G35" s="6" t="s">
        <v>221</v>
      </c>
      <c r="H35" s="19">
        <v>519.87</v>
      </c>
    </row>
    <row r="36" spans="2:8">
      <c r="B36" s="8">
        <v>45440</v>
      </c>
      <c r="C36" s="6" t="s">
        <v>267</v>
      </c>
      <c r="D36" s="19">
        <v>571.07000000000005</v>
      </c>
      <c r="F36" s="8">
        <v>45441</v>
      </c>
      <c r="G36" s="6" t="s">
        <v>79</v>
      </c>
      <c r="H36" s="19">
        <v>1434.21</v>
      </c>
    </row>
    <row r="37" spans="2:8">
      <c r="B37" s="8">
        <v>45441</v>
      </c>
      <c r="C37" s="6" t="s">
        <v>285</v>
      </c>
      <c r="D37" s="19">
        <v>2600</v>
      </c>
      <c r="F37" s="8">
        <v>45441</v>
      </c>
      <c r="G37" s="6" t="s">
        <v>132</v>
      </c>
      <c r="H37" s="19">
        <v>1088.3499999999999</v>
      </c>
    </row>
    <row r="38" spans="2:8">
      <c r="B38" s="8"/>
      <c r="C38" s="6"/>
      <c r="D38" s="19"/>
      <c r="F38" s="8"/>
      <c r="G38" s="6"/>
      <c r="H38" s="19"/>
    </row>
    <row r="39" spans="2:8">
      <c r="C39" s="7" t="s">
        <v>240</v>
      </c>
      <c r="D39" s="20">
        <f>SUM(D35:D38)</f>
        <v>3172.42</v>
      </c>
      <c r="G39" s="7" t="s">
        <v>268</v>
      </c>
      <c r="H39" s="20">
        <f>SUM(H35:H38)</f>
        <v>3042.43</v>
      </c>
    </row>
    <row r="40" spans="2:8">
      <c r="G40" s="7" t="s">
        <v>269</v>
      </c>
      <c r="H40" s="20">
        <f>D39-H39</f>
        <v>129.99000000000024</v>
      </c>
    </row>
    <row r="45" spans="2:8" ht="18.75">
      <c r="B45" s="18" t="s">
        <v>34</v>
      </c>
      <c r="C45" s="18" t="s">
        <v>35</v>
      </c>
      <c r="D45" s="18" t="s">
        <v>15</v>
      </c>
      <c r="F45" s="18" t="s">
        <v>36</v>
      </c>
      <c r="G45" s="18" t="s">
        <v>35</v>
      </c>
      <c r="H45" s="18" t="s">
        <v>15</v>
      </c>
    </row>
    <row r="46" spans="2:8">
      <c r="B46" s="8">
        <v>45444</v>
      </c>
      <c r="C46" s="6" t="s">
        <v>49</v>
      </c>
      <c r="D46" s="19">
        <f>$H$40</f>
        <v>129.99000000000024</v>
      </c>
      <c r="F46" s="8">
        <v>45450</v>
      </c>
      <c r="G46" s="6" t="s">
        <v>365</v>
      </c>
      <c r="H46" s="19">
        <f>1088.35</f>
        <v>1088.3499999999999</v>
      </c>
    </row>
    <row r="47" spans="2:8">
      <c r="B47" s="8">
        <v>45447</v>
      </c>
      <c r="C47" s="6" t="s">
        <v>291</v>
      </c>
      <c r="D47" s="19">
        <v>1088.3499999999999</v>
      </c>
      <c r="F47" s="8">
        <v>45457</v>
      </c>
      <c r="G47" s="6" t="s">
        <v>79</v>
      </c>
      <c r="H47" s="19">
        <f>1065.86</f>
        <v>1065.8599999999999</v>
      </c>
    </row>
    <row r="48" spans="2:8">
      <c r="B48" s="8">
        <v>45449</v>
      </c>
      <c r="C48" s="6" t="s">
        <v>294</v>
      </c>
      <c r="D48" s="19">
        <v>5280.45</v>
      </c>
      <c r="F48" s="8">
        <v>45471</v>
      </c>
      <c r="G48" s="6" t="s">
        <v>325</v>
      </c>
      <c r="H48" s="19">
        <f>55.07*$J$46</f>
        <v>0</v>
      </c>
    </row>
    <row r="49" spans="2:8">
      <c r="B49" s="8"/>
      <c r="C49" s="6"/>
      <c r="D49" s="19"/>
      <c r="F49" s="8">
        <v>45471</v>
      </c>
      <c r="G49" s="6" t="s">
        <v>326</v>
      </c>
      <c r="H49" s="19">
        <f>259.47*$J$46</f>
        <v>0</v>
      </c>
    </row>
    <row r="50" spans="2:8">
      <c r="C50" s="7" t="s">
        <v>290</v>
      </c>
      <c r="D50" s="20">
        <f>SUM(D46:D49)</f>
        <v>6498.79</v>
      </c>
      <c r="F50" s="8">
        <v>45471</v>
      </c>
      <c r="G50" s="6" t="s">
        <v>327</v>
      </c>
      <c r="H50" s="19">
        <f>205.33*$J$46</f>
        <v>0</v>
      </c>
    </row>
    <row r="51" spans="2:8">
      <c r="F51" s="8"/>
      <c r="G51" s="6"/>
      <c r="H51" s="19"/>
    </row>
    <row r="52" spans="2:8">
      <c r="G52" s="7" t="s">
        <v>292</v>
      </c>
      <c r="H52" s="20">
        <f>SUM(H46:H51)</f>
        <v>2154.21</v>
      </c>
    </row>
    <row r="53" spans="2:8">
      <c r="G53" s="7" t="s">
        <v>293</v>
      </c>
      <c r="H53" s="20">
        <f>D50-H52</f>
        <v>4344.58</v>
      </c>
    </row>
    <row r="57" spans="2:8" ht="18.75">
      <c r="B57" s="18" t="s">
        <v>34</v>
      </c>
      <c r="C57" s="18" t="s">
        <v>35</v>
      </c>
      <c r="D57" s="18" t="s">
        <v>15</v>
      </c>
      <c r="F57" s="18" t="s">
        <v>36</v>
      </c>
      <c r="G57" s="18" t="s">
        <v>35</v>
      </c>
      <c r="H57" s="18" t="s">
        <v>15</v>
      </c>
    </row>
    <row r="58" spans="2:8">
      <c r="B58" s="8" t="s">
        <v>332</v>
      </c>
      <c r="C58" s="6" t="s">
        <v>49</v>
      </c>
      <c r="D58" s="19">
        <f>H53</f>
        <v>4344.58</v>
      </c>
      <c r="F58" s="8">
        <v>45475</v>
      </c>
      <c r="G58" s="6" t="s">
        <v>356</v>
      </c>
      <c r="H58" s="19">
        <f>55.07</f>
        <v>55.07</v>
      </c>
    </row>
    <row r="59" spans="2:8">
      <c r="B59" s="8"/>
      <c r="C59" s="6"/>
      <c r="D59" s="19"/>
      <c r="F59" s="8">
        <v>45475</v>
      </c>
      <c r="G59" s="6" t="s">
        <v>355</v>
      </c>
      <c r="H59" s="19">
        <f>259.47</f>
        <v>259.47000000000003</v>
      </c>
    </row>
    <row r="60" spans="2:8">
      <c r="B60" s="8"/>
      <c r="C60" s="6"/>
      <c r="D60" s="19"/>
      <c r="F60" s="8">
        <v>45475</v>
      </c>
      <c r="G60" s="6" t="s">
        <v>357</v>
      </c>
      <c r="H60" s="19">
        <f>205.33</f>
        <v>205.33</v>
      </c>
    </row>
    <row r="61" spans="2:8">
      <c r="B61" s="8"/>
      <c r="C61" s="6"/>
      <c r="D61" s="19"/>
      <c r="F61" s="8">
        <v>45496</v>
      </c>
      <c r="G61" s="6" t="s">
        <v>353</v>
      </c>
      <c r="H61" s="19">
        <f>55.07</f>
        <v>55.07</v>
      </c>
    </row>
    <row r="62" spans="2:8">
      <c r="C62" s="7" t="s">
        <v>340</v>
      </c>
      <c r="D62" s="20">
        <f>SUM(D58:D61)</f>
        <v>4344.58</v>
      </c>
      <c r="F62" s="8">
        <v>45496</v>
      </c>
      <c r="G62" s="6" t="s">
        <v>354</v>
      </c>
      <c r="H62" s="19">
        <f>259.47</f>
        <v>259.47000000000003</v>
      </c>
    </row>
    <row r="63" spans="2:8">
      <c r="F63" s="8">
        <v>45496</v>
      </c>
      <c r="G63" s="6" t="s">
        <v>357</v>
      </c>
      <c r="H63" s="19">
        <f>205.33</f>
        <v>205.33</v>
      </c>
    </row>
    <row r="64" spans="2:8">
      <c r="F64" s="8">
        <v>45499</v>
      </c>
      <c r="G64" s="6" t="s">
        <v>365</v>
      </c>
      <c r="H64" s="19">
        <f>1544.59</f>
        <v>1544.59</v>
      </c>
    </row>
    <row r="65" spans="2:8">
      <c r="F65" s="8">
        <v>45499</v>
      </c>
      <c r="G65" s="6" t="s">
        <v>79</v>
      </c>
      <c r="H65" s="19">
        <f>912.34</f>
        <v>912.34</v>
      </c>
    </row>
    <row r="66" spans="2:8">
      <c r="F66" s="8"/>
      <c r="G66" s="6"/>
      <c r="H66" s="19"/>
    </row>
    <row r="67" spans="2:8">
      <c r="F67" s="8"/>
      <c r="G67" s="6"/>
      <c r="H67" s="19"/>
    </row>
    <row r="68" spans="2:8">
      <c r="F68" s="8"/>
      <c r="G68" s="6"/>
      <c r="H68" s="19"/>
    </row>
    <row r="69" spans="2:8">
      <c r="G69" s="7" t="s">
        <v>330</v>
      </c>
      <c r="H69" s="20">
        <f>SUM(H58:H68)</f>
        <v>3496.67</v>
      </c>
    </row>
    <row r="70" spans="2:8">
      <c r="G70" s="7" t="s">
        <v>331</v>
      </c>
      <c r="H70" s="20">
        <f>D62-H69</f>
        <v>847.90999999999985</v>
      </c>
    </row>
    <row r="72" spans="2:8" ht="18.75">
      <c r="B72" s="18" t="s">
        <v>34</v>
      </c>
      <c r="C72" s="18" t="s">
        <v>35</v>
      </c>
      <c r="D72" s="18" t="s">
        <v>15</v>
      </c>
      <c r="F72" s="18" t="s">
        <v>36</v>
      </c>
      <c r="G72" s="18" t="s">
        <v>35</v>
      </c>
      <c r="H72" s="18" t="s">
        <v>15</v>
      </c>
    </row>
    <row r="73" spans="2:8">
      <c r="B73" s="8">
        <v>45505</v>
      </c>
      <c r="C73" s="6" t="s">
        <v>49</v>
      </c>
      <c r="D73" s="19">
        <f>H70</f>
        <v>847.90999999999985</v>
      </c>
      <c r="F73" s="8">
        <v>45527</v>
      </c>
      <c r="G73" s="6" t="s">
        <v>403</v>
      </c>
      <c r="H73" s="19">
        <f>55.07</f>
        <v>55.07</v>
      </c>
    </row>
    <row r="74" spans="2:8">
      <c r="B74" s="8">
        <v>45532</v>
      </c>
      <c r="C74" s="6" t="s">
        <v>80</v>
      </c>
      <c r="D74" s="19">
        <f>2000</f>
        <v>2000</v>
      </c>
      <c r="F74" s="8">
        <v>45527</v>
      </c>
      <c r="G74" s="6" t="s">
        <v>404</v>
      </c>
      <c r="H74" s="19">
        <f>259.47</f>
        <v>259.47000000000003</v>
      </c>
    </row>
    <row r="75" spans="2:8">
      <c r="B75" s="8"/>
      <c r="C75" s="6"/>
      <c r="D75" s="19"/>
      <c r="F75" s="8">
        <v>45527</v>
      </c>
      <c r="G75" s="6" t="s">
        <v>405</v>
      </c>
      <c r="H75" s="19">
        <f>205.33</f>
        <v>205.33</v>
      </c>
    </row>
    <row r="76" spans="2:8">
      <c r="B76" s="8"/>
      <c r="C76" s="6"/>
      <c r="D76" s="19"/>
      <c r="F76" s="8">
        <v>45532</v>
      </c>
      <c r="G76" s="6" t="s">
        <v>79</v>
      </c>
      <c r="H76" s="19">
        <f>911.26</f>
        <v>911.26</v>
      </c>
    </row>
    <row r="77" spans="2:8">
      <c r="C77" s="7" t="s">
        <v>385</v>
      </c>
      <c r="D77" s="20">
        <f>SUM(D73:D76)</f>
        <v>2847.91</v>
      </c>
      <c r="F77" s="8"/>
      <c r="G77" s="6"/>
      <c r="H77" s="19"/>
    </row>
    <row r="78" spans="2:8">
      <c r="F78" s="8"/>
      <c r="G78" s="6"/>
      <c r="H78" s="19"/>
    </row>
    <row r="79" spans="2:8">
      <c r="F79" s="8"/>
      <c r="G79" s="6"/>
      <c r="H79" s="19"/>
    </row>
    <row r="80" spans="2:8">
      <c r="F80" s="8"/>
      <c r="G80" s="6"/>
      <c r="H80" s="19"/>
    </row>
    <row r="81" spans="2:8">
      <c r="F81" s="8"/>
      <c r="G81" s="6"/>
      <c r="H81" s="19"/>
    </row>
    <row r="82" spans="2:8">
      <c r="F82" s="8"/>
      <c r="G82" s="6"/>
      <c r="H82" s="19"/>
    </row>
    <row r="83" spans="2:8">
      <c r="F83" s="8"/>
      <c r="G83" s="6"/>
      <c r="H83" s="19"/>
    </row>
    <row r="84" spans="2:8">
      <c r="G84" s="7" t="s">
        <v>386</v>
      </c>
      <c r="H84" s="20">
        <f>SUM(H73:H83)</f>
        <v>1431.13</v>
      </c>
    </row>
    <row r="85" spans="2:8">
      <c r="G85" s="7" t="s">
        <v>387</v>
      </c>
      <c r="H85" s="20">
        <f>D77-H84</f>
        <v>1416.7799999999997</v>
      </c>
    </row>
    <row r="89" spans="2:8" ht="18.75">
      <c r="B89" s="18" t="s">
        <v>34</v>
      </c>
      <c r="C89" s="18" t="s">
        <v>35</v>
      </c>
      <c r="D89" s="18" t="s">
        <v>15</v>
      </c>
      <c r="F89" s="18" t="s">
        <v>36</v>
      </c>
      <c r="G89" s="18" t="s">
        <v>35</v>
      </c>
      <c r="H89" s="18" t="s">
        <v>15</v>
      </c>
    </row>
    <row r="90" spans="2:8">
      <c r="B90" s="8">
        <v>45536</v>
      </c>
      <c r="C90" s="6" t="s">
        <v>49</v>
      </c>
      <c r="D90" s="19">
        <f>H85</f>
        <v>1416.7799999999997</v>
      </c>
      <c r="F90" s="8">
        <v>45560</v>
      </c>
      <c r="G90" s="6" t="s">
        <v>474</v>
      </c>
      <c r="H90" s="206">
        <f>55.07</f>
        <v>55.07</v>
      </c>
    </row>
    <row r="91" spans="2:8">
      <c r="B91" s="8">
        <v>45561</v>
      </c>
      <c r="C91" s="6" t="s">
        <v>80</v>
      </c>
      <c r="D91" s="19">
        <f>2000</f>
        <v>2000</v>
      </c>
      <c r="F91" s="8">
        <v>45560</v>
      </c>
      <c r="G91" s="6" t="s">
        <v>475</v>
      </c>
      <c r="H91" s="206">
        <f>259.47</f>
        <v>259.47000000000003</v>
      </c>
    </row>
    <row r="92" spans="2:8">
      <c r="B92" s="8"/>
      <c r="C92" s="6"/>
      <c r="D92" s="19"/>
      <c r="F92" s="8">
        <v>45560</v>
      </c>
      <c r="G92" s="6" t="s">
        <v>476</v>
      </c>
      <c r="H92" s="206">
        <f>205.33</f>
        <v>205.33</v>
      </c>
    </row>
    <row r="93" spans="2:8">
      <c r="B93" s="8"/>
      <c r="C93" s="6"/>
      <c r="D93" s="19"/>
      <c r="F93" s="8">
        <v>45561</v>
      </c>
      <c r="G93" s="6" t="s">
        <v>79</v>
      </c>
      <c r="H93" s="19">
        <f>852.06</f>
        <v>852.06</v>
      </c>
    </row>
    <row r="94" spans="2:8">
      <c r="C94" s="7" t="s">
        <v>456</v>
      </c>
      <c r="D94" s="20">
        <f>SUM(D90:D93)</f>
        <v>3416.7799999999997</v>
      </c>
      <c r="F94" s="8">
        <v>45562</v>
      </c>
      <c r="G94" s="6" t="s">
        <v>489</v>
      </c>
      <c r="H94" s="19">
        <f>1713.19</f>
        <v>1713.19</v>
      </c>
    </row>
    <row r="95" spans="2:8">
      <c r="F95" s="8"/>
      <c r="G95" s="6"/>
      <c r="H95" s="19"/>
    </row>
    <row r="96" spans="2:8">
      <c r="F96" s="8"/>
      <c r="G96" s="6"/>
      <c r="H96" s="19"/>
    </row>
    <row r="97" spans="2:10">
      <c r="F97" s="8"/>
      <c r="G97" s="6"/>
      <c r="H97" s="19"/>
    </row>
    <row r="98" spans="2:10">
      <c r="F98" s="8"/>
      <c r="G98" s="6"/>
      <c r="H98" s="19"/>
    </row>
    <row r="99" spans="2:10">
      <c r="F99" s="8"/>
      <c r="G99" s="6"/>
      <c r="H99" s="19"/>
    </row>
    <row r="100" spans="2:10">
      <c r="F100" s="8"/>
      <c r="G100" s="6"/>
      <c r="H100" s="19"/>
    </row>
    <row r="101" spans="2:10">
      <c r="G101" s="7" t="s">
        <v>454</v>
      </c>
      <c r="H101" s="20">
        <f>SUM(H90:H100)</f>
        <v>3085.12</v>
      </c>
    </row>
    <row r="102" spans="2:10">
      <c r="G102" s="7" t="s">
        <v>455</v>
      </c>
      <c r="H102" s="20">
        <f>D94-H101</f>
        <v>331.65999999999985</v>
      </c>
    </row>
    <row r="104" spans="2:10" ht="18.75">
      <c r="B104" s="18" t="s">
        <v>34</v>
      </c>
      <c r="C104" s="18" t="s">
        <v>35</v>
      </c>
      <c r="D104" s="18" t="s">
        <v>15</v>
      </c>
      <c r="F104" s="18" t="s">
        <v>36</v>
      </c>
      <c r="G104" s="18" t="s">
        <v>35</v>
      </c>
      <c r="H104" s="18" t="s">
        <v>15</v>
      </c>
    </row>
    <row r="105" spans="2:10">
      <c r="B105" s="8">
        <v>45566</v>
      </c>
      <c r="C105" s="6" t="s">
        <v>49</v>
      </c>
      <c r="D105" s="19">
        <f>H102</f>
        <v>331.65999999999985</v>
      </c>
      <c r="F105" s="8">
        <v>45582</v>
      </c>
      <c r="G105" s="6" t="s">
        <v>539</v>
      </c>
      <c r="H105" s="206">
        <f>55.07</f>
        <v>55.07</v>
      </c>
      <c r="J105" s="180">
        <v>0</v>
      </c>
    </row>
    <row r="106" spans="2:10">
      <c r="B106" s="8">
        <v>45582</v>
      </c>
      <c r="C106" s="6" t="s">
        <v>542</v>
      </c>
      <c r="D106" s="19">
        <f>2000</f>
        <v>2000</v>
      </c>
      <c r="F106" s="8">
        <v>45582</v>
      </c>
      <c r="G106" s="6" t="s">
        <v>540</v>
      </c>
      <c r="H106" s="206">
        <f>259.47</f>
        <v>259.47000000000003</v>
      </c>
    </row>
    <row r="107" spans="2:10">
      <c r="B107" s="8"/>
      <c r="C107" s="6"/>
      <c r="D107" s="19"/>
      <c r="F107" s="8">
        <v>45582</v>
      </c>
      <c r="G107" s="6" t="s">
        <v>541</v>
      </c>
      <c r="H107" s="206">
        <f>205.33</f>
        <v>205.33</v>
      </c>
    </row>
    <row r="108" spans="2:10">
      <c r="B108" s="8"/>
      <c r="C108" s="6"/>
      <c r="D108" s="19"/>
      <c r="F108" s="8">
        <v>45593</v>
      </c>
      <c r="G108" s="6" t="s">
        <v>79</v>
      </c>
      <c r="H108" s="19">
        <f>695.72</f>
        <v>695.72</v>
      </c>
    </row>
    <row r="109" spans="2:10">
      <c r="C109" s="7" t="s">
        <v>490</v>
      </c>
      <c r="D109" s="20">
        <f>SUM(D105:D108)</f>
        <v>2331.66</v>
      </c>
      <c r="F109" s="8">
        <v>45593</v>
      </c>
      <c r="G109" s="6" t="s">
        <v>489</v>
      </c>
      <c r="H109" s="19">
        <f>769.01</f>
        <v>769.01</v>
      </c>
    </row>
    <row r="110" spans="2:10">
      <c r="F110" s="8"/>
      <c r="G110" s="6"/>
      <c r="H110" s="19"/>
    </row>
    <row r="111" spans="2:10">
      <c r="F111" s="8"/>
      <c r="G111" s="6"/>
      <c r="H111" s="19"/>
    </row>
    <row r="112" spans="2:10">
      <c r="F112" s="8"/>
      <c r="G112" s="6"/>
      <c r="H112" s="19"/>
    </row>
    <row r="113" spans="2:10">
      <c r="F113" s="8"/>
      <c r="G113" s="6"/>
      <c r="H113" s="19"/>
    </row>
    <row r="114" spans="2:10">
      <c r="F114" s="8"/>
      <c r="G114" s="6"/>
      <c r="H114" s="19"/>
    </row>
    <row r="115" spans="2:10">
      <c r="F115" s="8"/>
      <c r="G115" s="6"/>
      <c r="H115" s="19"/>
    </row>
    <row r="116" spans="2:10">
      <c r="G116" s="7" t="s">
        <v>491</v>
      </c>
      <c r="H116" s="20">
        <f>SUM(H105:H115)</f>
        <v>1984.6000000000001</v>
      </c>
    </row>
    <row r="117" spans="2:10">
      <c r="G117" s="7" t="s">
        <v>492</v>
      </c>
      <c r="H117" s="20">
        <f>D109-H116</f>
        <v>347.05999999999972</v>
      </c>
    </row>
    <row r="120" spans="2:10" ht="18.75">
      <c r="B120" s="18" t="s">
        <v>34</v>
      </c>
      <c r="C120" s="18" t="s">
        <v>35</v>
      </c>
      <c r="D120" s="18" t="s">
        <v>15</v>
      </c>
      <c r="F120" s="18" t="s">
        <v>36</v>
      </c>
      <c r="G120" s="18" t="s">
        <v>35</v>
      </c>
      <c r="H120" s="18" t="s">
        <v>15</v>
      </c>
    </row>
    <row r="121" spans="2:10">
      <c r="B121" s="8">
        <v>45597</v>
      </c>
      <c r="C121" s="6" t="s">
        <v>49</v>
      </c>
      <c r="D121" s="19">
        <f>H117</f>
        <v>347.05999999999972</v>
      </c>
      <c r="F121" s="8">
        <v>45617</v>
      </c>
      <c r="G121" s="6" t="s">
        <v>596</v>
      </c>
      <c r="H121" s="221">
        <f>55.07</f>
        <v>55.07</v>
      </c>
    </row>
    <row r="122" spans="2:10">
      <c r="B122" s="8">
        <v>45617</v>
      </c>
      <c r="C122" s="6" t="s">
        <v>542</v>
      </c>
      <c r="D122" s="19">
        <f>4000</f>
        <v>4000</v>
      </c>
      <c r="F122" s="8">
        <v>45617</v>
      </c>
      <c r="G122" s="6" t="s">
        <v>595</v>
      </c>
      <c r="H122" s="221">
        <f>259.47</f>
        <v>259.47000000000003</v>
      </c>
      <c r="J122" s="220"/>
    </row>
    <row r="123" spans="2:10">
      <c r="B123" s="8"/>
      <c r="C123" s="6"/>
      <c r="D123" s="19"/>
      <c r="F123" s="8">
        <v>45617</v>
      </c>
      <c r="G123" s="6" t="s">
        <v>594</v>
      </c>
      <c r="H123" s="221">
        <f>205.33</f>
        <v>205.33</v>
      </c>
      <c r="J123" s="180">
        <v>1</v>
      </c>
    </row>
    <row r="124" spans="2:10">
      <c r="B124" s="8"/>
      <c r="C124" s="6"/>
      <c r="D124" s="19"/>
      <c r="F124" s="8">
        <v>45624</v>
      </c>
      <c r="G124" s="6" t="s">
        <v>79</v>
      </c>
      <c r="H124" s="19">
        <f>1020.64</f>
        <v>1020.64</v>
      </c>
    </row>
    <row r="125" spans="2:10">
      <c r="C125" s="7" t="s">
        <v>564</v>
      </c>
      <c r="D125" s="20">
        <f>SUM(D121:D124)</f>
        <v>4347.0599999999995</v>
      </c>
      <c r="F125" s="8"/>
      <c r="G125" s="6"/>
      <c r="H125" s="19"/>
    </row>
    <row r="126" spans="2:10">
      <c r="F126" s="8"/>
      <c r="G126" s="6"/>
      <c r="H126" s="19"/>
    </row>
    <row r="127" spans="2:10">
      <c r="F127" s="8"/>
      <c r="G127" s="6"/>
      <c r="H127" s="19"/>
    </row>
    <row r="128" spans="2:10">
      <c r="F128" s="8"/>
      <c r="G128" s="6"/>
      <c r="H128" s="19"/>
    </row>
    <row r="129" spans="2:8">
      <c r="F129" s="8"/>
      <c r="G129" s="6"/>
      <c r="H129" s="19"/>
    </row>
    <row r="130" spans="2:8">
      <c r="F130" s="8"/>
      <c r="G130" s="6"/>
      <c r="H130" s="19"/>
    </row>
    <row r="131" spans="2:8">
      <c r="F131" s="8"/>
      <c r="G131" s="6"/>
      <c r="H131" s="19"/>
    </row>
    <row r="132" spans="2:8">
      <c r="G132" s="7" t="s">
        <v>560</v>
      </c>
      <c r="H132" s="20">
        <f>SUM(H121:H131)</f>
        <v>1540.51</v>
      </c>
    </row>
    <row r="133" spans="2:8">
      <c r="G133" s="7" t="s">
        <v>563</v>
      </c>
      <c r="H133" s="20">
        <f>D125-H132</f>
        <v>2806.5499999999993</v>
      </c>
    </row>
    <row r="135" spans="2:8" ht="18.75">
      <c r="B135" s="18" t="s">
        <v>34</v>
      </c>
      <c r="C135" s="18" t="s">
        <v>35</v>
      </c>
      <c r="D135" s="18" t="s">
        <v>15</v>
      </c>
      <c r="F135" s="18" t="s">
        <v>36</v>
      </c>
      <c r="G135" s="18" t="s">
        <v>35</v>
      </c>
      <c r="H135" s="18" t="s">
        <v>15</v>
      </c>
    </row>
    <row r="136" spans="2:8">
      <c r="B136" s="8">
        <v>45627</v>
      </c>
      <c r="C136" s="6" t="s">
        <v>49</v>
      </c>
      <c r="D136" s="19">
        <f>H133</f>
        <v>2806.5499999999993</v>
      </c>
      <c r="F136" s="8">
        <v>45644</v>
      </c>
      <c r="G136" s="6" t="s">
        <v>325</v>
      </c>
      <c r="H136" s="221">
        <v>55.07</v>
      </c>
    </row>
    <row r="137" spans="2:8">
      <c r="B137" s="8"/>
      <c r="C137" s="6"/>
      <c r="D137" s="19"/>
      <c r="F137" s="8">
        <v>45644</v>
      </c>
      <c r="G137" s="6" t="s">
        <v>326</v>
      </c>
      <c r="H137" s="221">
        <v>259.47000000000003</v>
      </c>
    </row>
    <row r="138" spans="2:8">
      <c r="B138" s="8"/>
      <c r="C138" s="6"/>
      <c r="D138" s="19"/>
      <c r="F138" s="8">
        <v>45644</v>
      </c>
      <c r="G138" s="6" t="s">
        <v>628</v>
      </c>
      <c r="H138" s="221">
        <v>205.33</v>
      </c>
    </row>
    <row r="139" spans="2:8">
      <c r="B139" s="8"/>
      <c r="C139" s="6"/>
      <c r="D139" s="19"/>
      <c r="F139" s="8"/>
      <c r="G139" s="6"/>
      <c r="H139" s="19"/>
    </row>
    <row r="140" spans="2:8">
      <c r="C140" s="7" t="s">
        <v>603</v>
      </c>
      <c r="D140" s="20">
        <f>SUM(D136:D139)</f>
        <v>2806.5499999999993</v>
      </c>
      <c r="F140" s="8"/>
      <c r="G140" s="6"/>
      <c r="H140" s="19"/>
    </row>
    <row r="141" spans="2:8">
      <c r="F141" s="8"/>
      <c r="G141" s="6"/>
      <c r="H141" s="19"/>
    </row>
    <row r="142" spans="2:8">
      <c r="F142" s="8"/>
      <c r="G142" s="6"/>
      <c r="H142" s="19"/>
    </row>
    <row r="143" spans="2:8">
      <c r="F143" s="8"/>
      <c r="G143" s="6"/>
      <c r="H143" s="19"/>
    </row>
    <row r="144" spans="2:8">
      <c r="F144" s="8"/>
      <c r="G144" s="6"/>
      <c r="H144" s="19"/>
    </row>
    <row r="145" spans="2:10">
      <c r="F145" s="8"/>
      <c r="G145" s="6"/>
      <c r="H145" s="19"/>
    </row>
    <row r="146" spans="2:10">
      <c r="F146" s="8"/>
      <c r="G146" s="6"/>
      <c r="H146" s="19"/>
    </row>
    <row r="147" spans="2:10">
      <c r="G147" s="7" t="s">
        <v>601</v>
      </c>
      <c r="H147" s="20">
        <f>SUM(H136:H146)</f>
        <v>519.87</v>
      </c>
    </row>
    <row r="148" spans="2:10">
      <c r="G148" s="7" t="s">
        <v>602</v>
      </c>
      <c r="H148" s="20">
        <f>D140-H147</f>
        <v>2286.6799999999994</v>
      </c>
    </row>
    <row r="150" spans="2:10" ht="18.75">
      <c r="B150" s="18" t="s">
        <v>34</v>
      </c>
      <c r="C150" s="18" t="s">
        <v>35</v>
      </c>
      <c r="D150" s="18" t="s">
        <v>15</v>
      </c>
      <c r="F150" s="18" t="s">
        <v>36</v>
      </c>
      <c r="G150" s="18" t="s">
        <v>35</v>
      </c>
      <c r="H150" s="18" t="s">
        <v>15</v>
      </c>
    </row>
    <row r="151" spans="2:10">
      <c r="B151" s="8">
        <v>45658</v>
      </c>
      <c r="C151" s="6" t="s">
        <v>49</v>
      </c>
      <c r="D151" s="19">
        <f>H148</f>
        <v>2286.6799999999994</v>
      </c>
      <c r="F151" s="8">
        <v>45686</v>
      </c>
      <c r="G151" s="6" t="s">
        <v>214</v>
      </c>
      <c r="H151" s="19">
        <v>55.07</v>
      </c>
    </row>
    <row r="152" spans="2:10">
      <c r="B152" s="8">
        <v>45686</v>
      </c>
      <c r="C152" s="6" t="s">
        <v>542</v>
      </c>
      <c r="D152" s="19">
        <v>4000</v>
      </c>
      <c r="F152" s="8">
        <v>45686</v>
      </c>
      <c r="G152" s="6" t="s">
        <v>212</v>
      </c>
      <c r="H152" s="19">
        <v>259.47000000000003</v>
      </c>
    </row>
    <row r="153" spans="2:10">
      <c r="B153" s="8"/>
      <c r="C153" s="6"/>
      <c r="D153" s="19"/>
      <c r="F153" s="8">
        <v>45686</v>
      </c>
      <c r="G153" s="6" t="s">
        <v>213</v>
      </c>
      <c r="H153" s="19">
        <v>205.33</v>
      </c>
      <c r="J153" s="220"/>
    </row>
    <row r="154" spans="2:10">
      <c r="B154" s="8"/>
      <c r="C154" s="6"/>
      <c r="D154" s="19"/>
      <c r="F154" s="8">
        <v>45686</v>
      </c>
      <c r="G154" s="6" t="s">
        <v>54</v>
      </c>
      <c r="H154" s="19">
        <v>4190.95</v>
      </c>
    </row>
    <row r="155" spans="2:10">
      <c r="C155" s="7" t="s">
        <v>46</v>
      </c>
      <c r="D155" s="20">
        <f>SUM(D151:D154)</f>
        <v>6286.6799999999994</v>
      </c>
      <c r="F155" s="8">
        <v>45686</v>
      </c>
      <c r="G155" s="6" t="s">
        <v>667</v>
      </c>
      <c r="H155" s="19">
        <v>572.80999999999995</v>
      </c>
    </row>
    <row r="156" spans="2:10">
      <c r="F156" s="8"/>
      <c r="G156" s="6"/>
      <c r="H156" s="19"/>
    </row>
    <row r="157" spans="2:10">
      <c r="F157" s="8"/>
      <c r="G157" s="6"/>
      <c r="H157" s="19"/>
    </row>
    <row r="158" spans="2:10">
      <c r="F158" s="8"/>
      <c r="G158" s="6"/>
      <c r="H158" s="19"/>
    </row>
    <row r="159" spans="2:10">
      <c r="G159" s="7" t="s">
        <v>47</v>
      </c>
      <c r="H159" s="20">
        <f>SUM(H151:H158)</f>
        <v>5283.6299999999992</v>
      </c>
    </row>
    <row r="160" spans="2:10">
      <c r="G160" s="7" t="s">
        <v>632</v>
      </c>
      <c r="H160" s="20">
        <f>D155-H159</f>
        <v>1003.0500000000002</v>
      </c>
    </row>
    <row r="164" spans="2:8" ht="18.75">
      <c r="B164" s="18" t="s">
        <v>34</v>
      </c>
      <c r="C164" s="18" t="s">
        <v>35</v>
      </c>
      <c r="D164" s="18" t="s">
        <v>15</v>
      </c>
      <c r="F164" s="18" t="s">
        <v>36</v>
      </c>
      <c r="G164" s="18" t="s">
        <v>35</v>
      </c>
      <c r="H164" s="18" t="s">
        <v>15</v>
      </c>
    </row>
    <row r="165" spans="2:8">
      <c r="B165" s="8">
        <v>45689</v>
      </c>
      <c r="C165" s="6" t="s">
        <v>49</v>
      </c>
      <c r="D165" s="19">
        <f>$H$160</f>
        <v>1003.0500000000002</v>
      </c>
      <c r="F165" s="8">
        <v>45714</v>
      </c>
      <c r="G165" s="204" t="s">
        <v>712</v>
      </c>
      <c r="H165" s="19">
        <v>519.87</v>
      </c>
    </row>
    <row r="166" spans="2:8">
      <c r="B166" s="8">
        <v>45716</v>
      </c>
      <c r="C166" s="6" t="s">
        <v>715</v>
      </c>
      <c r="D166" s="19">
        <f>5000</f>
        <v>5000</v>
      </c>
      <c r="F166" s="8">
        <v>45716</v>
      </c>
      <c r="G166" s="6" t="s">
        <v>719</v>
      </c>
      <c r="H166" s="19">
        <v>4421.55</v>
      </c>
    </row>
    <row r="167" spans="2:8">
      <c r="B167" s="8"/>
      <c r="C167" s="6"/>
      <c r="D167" s="19"/>
      <c r="F167" s="8"/>
      <c r="G167" s="6"/>
      <c r="H167" s="19"/>
    </row>
    <row r="168" spans="2:8">
      <c r="B168" s="8"/>
      <c r="C168" s="6"/>
      <c r="D168" s="19"/>
      <c r="F168" s="8"/>
      <c r="G168" s="6"/>
      <c r="H168" s="19"/>
    </row>
    <row r="169" spans="2:8">
      <c r="C169" s="7" t="s">
        <v>59</v>
      </c>
      <c r="D169" s="20">
        <f>SUM(D165:D168)</f>
        <v>6003.05</v>
      </c>
      <c r="F169" s="8"/>
      <c r="G169" s="6"/>
      <c r="H169" s="19"/>
    </row>
    <row r="170" spans="2:8">
      <c r="F170" s="8"/>
      <c r="G170" s="6"/>
      <c r="H170" s="19"/>
    </row>
    <row r="171" spans="2:8">
      <c r="F171" s="8"/>
      <c r="G171" s="6"/>
      <c r="H171" s="19"/>
    </row>
    <row r="172" spans="2:8">
      <c r="F172" s="8"/>
      <c r="G172" s="6"/>
      <c r="H172" s="19"/>
    </row>
    <row r="173" spans="2:8">
      <c r="G173" s="7" t="s">
        <v>688</v>
      </c>
      <c r="H173" s="20">
        <f>SUM(H165:H172)</f>
        <v>4941.42</v>
      </c>
    </row>
    <row r="174" spans="2:8">
      <c r="G174" s="7" t="s">
        <v>61</v>
      </c>
      <c r="H174" s="20">
        <f>D169-H173</f>
        <v>1061.6300000000001</v>
      </c>
    </row>
    <row r="177" spans="2:10" ht="18.75">
      <c r="B177" s="18" t="s">
        <v>34</v>
      </c>
      <c r="C177" s="18" t="s">
        <v>35</v>
      </c>
      <c r="D177" s="18" t="s">
        <v>15</v>
      </c>
      <c r="F177" s="18" t="s">
        <v>36</v>
      </c>
      <c r="G177" s="18" t="s">
        <v>35</v>
      </c>
      <c r="H177" s="18" t="s">
        <v>15</v>
      </c>
    </row>
    <row r="178" spans="2:10">
      <c r="B178" s="8">
        <v>45717</v>
      </c>
      <c r="C178" s="6" t="s">
        <v>49</v>
      </c>
      <c r="D178" s="19">
        <f>H174</f>
        <v>1061.6300000000001</v>
      </c>
      <c r="F178" s="8">
        <v>45743</v>
      </c>
      <c r="G178" s="204" t="s">
        <v>712</v>
      </c>
      <c r="H178" s="19">
        <f>('Flujo Caja Marzo '!$E$36+'Flujo Caja Marzo '!$E$37+'Flujo Caja Marzo '!$E$38)</f>
        <v>519.87</v>
      </c>
    </row>
    <row r="179" spans="2:10">
      <c r="B179" s="8">
        <v>45744</v>
      </c>
      <c r="C179" s="6" t="s">
        <v>753</v>
      </c>
      <c r="D179" s="19">
        <v>6958.24</v>
      </c>
      <c r="F179" s="8">
        <v>45744</v>
      </c>
      <c r="G179" s="6" t="s">
        <v>755</v>
      </c>
      <c r="H179" s="19">
        <v>5404.56</v>
      </c>
    </row>
    <row r="180" spans="2:10">
      <c r="B180" s="8"/>
      <c r="C180" s="6"/>
      <c r="D180" s="19"/>
      <c r="F180" s="8">
        <v>45744</v>
      </c>
      <c r="G180" s="6" t="s">
        <v>756</v>
      </c>
      <c r="H180" s="19">
        <v>1210.58</v>
      </c>
    </row>
    <row r="181" spans="2:10">
      <c r="B181" s="8"/>
      <c r="C181" s="6"/>
      <c r="D181" s="19"/>
      <c r="F181" s="8"/>
      <c r="G181" s="6"/>
      <c r="H181" s="19"/>
    </row>
    <row r="182" spans="2:10">
      <c r="C182" s="7" t="s">
        <v>720</v>
      </c>
      <c r="D182" s="20">
        <f>SUM(D178:D181)</f>
        <v>8019.87</v>
      </c>
      <c r="F182" s="8"/>
      <c r="G182" s="6"/>
      <c r="H182" s="19"/>
      <c r="J182" s="255"/>
    </row>
    <row r="183" spans="2:10">
      <c r="F183" s="8"/>
      <c r="G183" s="6"/>
      <c r="H183" s="19"/>
    </row>
    <row r="184" spans="2:10">
      <c r="F184" s="8"/>
      <c r="G184" s="6"/>
      <c r="H184" s="19"/>
    </row>
    <row r="185" spans="2:10">
      <c r="F185" s="8"/>
      <c r="G185" s="6"/>
      <c r="H185" s="19"/>
    </row>
    <row r="186" spans="2:10">
      <c r="G186" s="7" t="s">
        <v>72</v>
      </c>
      <c r="H186" s="20">
        <f>SUM(H178:H185)</f>
        <v>7135.01</v>
      </c>
    </row>
    <row r="187" spans="2:10">
      <c r="G187" s="7" t="s">
        <v>721</v>
      </c>
      <c r="H187" s="20">
        <f>D182-H186</f>
        <v>884.85999999999967</v>
      </c>
    </row>
    <row r="190" spans="2:10" ht="18.75">
      <c r="B190" s="18" t="s">
        <v>34</v>
      </c>
      <c r="C190" s="18" t="s">
        <v>35</v>
      </c>
      <c r="D190" s="18" t="s">
        <v>15</v>
      </c>
      <c r="F190" s="18" t="s">
        <v>36</v>
      </c>
      <c r="G190" s="18" t="s">
        <v>35</v>
      </c>
      <c r="H190" s="18" t="s">
        <v>15</v>
      </c>
    </row>
    <row r="191" spans="2:10">
      <c r="B191" s="8">
        <v>45748</v>
      </c>
      <c r="C191" s="6" t="s">
        <v>49</v>
      </c>
      <c r="D191" s="19">
        <f>H187</f>
        <v>884.85999999999967</v>
      </c>
      <c r="F191" s="8">
        <v>45775</v>
      </c>
      <c r="G191" s="6" t="s">
        <v>756</v>
      </c>
      <c r="H191" s="19">
        <f>'Flujo Caja Abril 2025'!E73</f>
        <v>1078.92</v>
      </c>
    </row>
    <row r="192" spans="2:10">
      <c r="B192" s="8">
        <v>45775</v>
      </c>
      <c r="C192" s="6" t="s">
        <v>790</v>
      </c>
      <c r="D192" s="19">
        <v>2000</v>
      </c>
      <c r="F192" s="8">
        <v>45776</v>
      </c>
      <c r="G192" s="204" t="s">
        <v>712</v>
      </c>
      <c r="H192" s="19">
        <f>'Flujo Caja Abril 2025'!$E$43+'Flujo Caja Abril 2025'!$E$44+'Flujo Caja Abril 2025'!$E$45</f>
        <v>519.87</v>
      </c>
    </row>
    <row r="193" spans="2:10">
      <c r="B193" s="8"/>
      <c r="C193" s="6"/>
      <c r="D193" s="19"/>
      <c r="F193" s="8"/>
      <c r="G193" s="6"/>
      <c r="H193" s="19"/>
    </row>
    <row r="194" spans="2:10">
      <c r="B194" s="8"/>
      <c r="C194" s="6"/>
      <c r="D194" s="19"/>
      <c r="F194" s="8"/>
      <c r="G194" s="6"/>
      <c r="H194" s="19"/>
    </row>
    <row r="195" spans="2:10">
      <c r="C195" s="7" t="s">
        <v>128</v>
      </c>
      <c r="D195" s="20">
        <f>SUM(D191:D194)</f>
        <v>2884.8599999999997</v>
      </c>
      <c r="F195" s="8"/>
      <c r="G195" s="6"/>
      <c r="H195" s="19"/>
    </row>
    <row r="196" spans="2:10">
      <c r="F196" s="8"/>
      <c r="G196" s="6"/>
      <c r="H196" s="19"/>
    </row>
    <row r="197" spans="2:10">
      <c r="F197" s="8"/>
      <c r="G197" s="6"/>
      <c r="H197" s="19"/>
    </row>
    <row r="198" spans="2:10">
      <c r="F198" s="8"/>
      <c r="G198" s="6"/>
      <c r="H198" s="19"/>
    </row>
    <row r="199" spans="2:10">
      <c r="G199" s="7" t="s">
        <v>129</v>
      </c>
      <c r="H199" s="20">
        <f>SUM(H191:H198)</f>
        <v>1598.79</v>
      </c>
    </row>
    <row r="200" spans="2:10">
      <c r="G200" s="7" t="s">
        <v>130</v>
      </c>
      <c r="H200" s="20">
        <f>D195-H199</f>
        <v>1286.0699999999997</v>
      </c>
    </row>
    <row r="204" spans="2:10" ht="18.75">
      <c r="B204" s="18" t="s">
        <v>34</v>
      </c>
      <c r="C204" s="18" t="s">
        <v>35</v>
      </c>
      <c r="D204" s="18" t="s">
        <v>15</v>
      </c>
      <c r="F204" s="18" t="s">
        <v>36</v>
      </c>
      <c r="G204" s="18" t="s">
        <v>35</v>
      </c>
      <c r="H204" s="18" t="s">
        <v>15</v>
      </c>
    </row>
    <row r="205" spans="2:10">
      <c r="B205" s="8">
        <v>45778</v>
      </c>
      <c r="C205" s="6" t="s">
        <v>49</v>
      </c>
      <c r="D205" s="19">
        <f>H200</f>
        <v>1286.0699999999997</v>
      </c>
      <c r="F205" s="8">
        <v>45805</v>
      </c>
      <c r="G205" s="6" t="s">
        <v>712</v>
      </c>
      <c r="H205" s="19">
        <f>('Flujo Caja Mayo 2025'!$E$45+'Flujo Caja Mayo 2025'!$E$46+'Flujo Caja Mayo 2025'!$E$47)</f>
        <v>519.87</v>
      </c>
    </row>
    <row r="206" spans="2:10">
      <c r="B206" s="8">
        <v>45806</v>
      </c>
      <c r="C206" s="204" t="s">
        <v>842</v>
      </c>
      <c r="D206" s="19">
        <v>5000</v>
      </c>
      <c r="F206" s="8">
        <v>45806</v>
      </c>
      <c r="G206" s="204" t="s">
        <v>838</v>
      </c>
      <c r="H206" s="19">
        <f>'Flujo Caja Mayo 2025'!$E$78</f>
        <v>656.26</v>
      </c>
    </row>
    <row r="207" spans="2:10">
      <c r="B207" s="8"/>
      <c r="C207" s="6"/>
      <c r="D207" s="19"/>
      <c r="F207" s="8">
        <v>45806</v>
      </c>
      <c r="G207" s="204" t="s">
        <v>839</v>
      </c>
      <c r="H207" s="19">
        <f>'Flujo Caja Mayo 2025'!$E$79</f>
        <v>2187.21</v>
      </c>
      <c r="J207" s="180">
        <v>1</v>
      </c>
    </row>
    <row r="208" spans="2:10">
      <c r="B208" s="8"/>
      <c r="C208" s="6"/>
      <c r="D208" s="19"/>
      <c r="F208" s="8">
        <v>45806</v>
      </c>
      <c r="G208" s="204" t="s">
        <v>840</v>
      </c>
      <c r="H208" s="19">
        <f>'Flujo Caja Mayo 2025'!$E$80</f>
        <v>674.35</v>
      </c>
    </row>
    <row r="209" spans="2:8">
      <c r="C209" s="7" t="s">
        <v>240</v>
      </c>
      <c r="D209" s="20">
        <f>SUM(D205:D208)</f>
        <v>6286.07</v>
      </c>
      <c r="F209" s="8"/>
      <c r="G209" s="6"/>
      <c r="H209" s="19"/>
    </row>
    <row r="210" spans="2:8">
      <c r="F210" s="8"/>
      <c r="G210" s="6"/>
      <c r="H210" s="19"/>
    </row>
    <row r="211" spans="2:8">
      <c r="F211" s="8"/>
      <c r="G211" s="6"/>
      <c r="H211" s="19"/>
    </row>
    <row r="212" spans="2:8">
      <c r="G212" s="7" t="s">
        <v>268</v>
      </c>
      <c r="H212" s="20">
        <f>SUM(H205:H211)</f>
        <v>4037.69</v>
      </c>
    </row>
    <row r="213" spans="2:8">
      <c r="G213" s="7" t="s">
        <v>269</v>
      </c>
      <c r="H213" s="20">
        <f>D209-H212</f>
        <v>2248.3799999999997</v>
      </c>
    </row>
    <row r="216" spans="2:8" ht="18.75">
      <c r="B216" s="18" t="s">
        <v>34</v>
      </c>
      <c r="C216" s="18" t="s">
        <v>35</v>
      </c>
      <c r="D216" s="18" t="s">
        <v>15</v>
      </c>
      <c r="F216" s="18" t="s">
        <v>36</v>
      </c>
      <c r="G216" s="18" t="s">
        <v>35</v>
      </c>
      <c r="H216" s="18" t="s">
        <v>15</v>
      </c>
    </row>
    <row r="217" spans="2:8">
      <c r="B217" s="8">
        <v>45809</v>
      </c>
      <c r="C217" s="6" t="s">
        <v>49</v>
      </c>
      <c r="D217" s="19">
        <f>H213</f>
        <v>2248.3799999999997</v>
      </c>
      <c r="F217" s="8">
        <v>45812</v>
      </c>
      <c r="G217" s="6" t="s">
        <v>848</v>
      </c>
      <c r="H217" s="19">
        <f>'Flujo Caja Mayo 2025'!E81</f>
        <v>108.44</v>
      </c>
    </row>
    <row r="218" spans="2:8">
      <c r="B218" s="8"/>
      <c r="C218" s="204"/>
      <c r="D218" s="19"/>
      <c r="F218" s="8">
        <v>45834</v>
      </c>
      <c r="G218" s="6" t="s">
        <v>712</v>
      </c>
      <c r="H218" s="19">
        <f>'Flujo Caja Junio 2025'!$E$50+'Flujo Caja Junio 2025'!$E$51+'Flujo Caja Junio 2025'!$E$52</f>
        <v>519.87</v>
      </c>
    </row>
    <row r="219" spans="2:8">
      <c r="B219" s="8"/>
      <c r="C219" s="6"/>
      <c r="D219" s="19"/>
      <c r="F219" s="8">
        <v>45835</v>
      </c>
      <c r="G219" s="204" t="s">
        <v>894</v>
      </c>
      <c r="H219" s="19">
        <f>'Flujo Caja Junio 2025'!$E$87</f>
        <v>802.69</v>
      </c>
    </row>
    <row r="220" spans="2:8">
      <c r="B220" s="8"/>
      <c r="C220" s="6"/>
      <c r="D220" s="19"/>
      <c r="F220" s="8">
        <v>45835</v>
      </c>
      <c r="G220" s="204" t="s">
        <v>896</v>
      </c>
      <c r="H220" s="19">
        <f>'Flujo Caja Junio 2025'!$E$88</f>
        <v>108.44</v>
      </c>
    </row>
    <row r="221" spans="2:8">
      <c r="C221" s="7" t="s">
        <v>290</v>
      </c>
      <c r="D221" s="20">
        <f>SUM(D217:D220)</f>
        <v>2248.3799999999997</v>
      </c>
      <c r="F221" s="8"/>
      <c r="G221" s="6"/>
      <c r="H221" s="19"/>
    </row>
    <row r="222" spans="2:8">
      <c r="F222" s="8"/>
      <c r="G222" s="6"/>
      <c r="H222" s="19"/>
    </row>
    <row r="223" spans="2:8">
      <c r="F223" s="8"/>
      <c r="G223" s="6"/>
      <c r="H223" s="19"/>
    </row>
    <row r="224" spans="2:8">
      <c r="G224" s="7" t="s">
        <v>292</v>
      </c>
      <c r="H224" s="20">
        <f>SUM(H217:H223)</f>
        <v>1539.44</v>
      </c>
    </row>
    <row r="225" spans="2:12">
      <c r="G225" s="7" t="s">
        <v>293</v>
      </c>
      <c r="H225" s="20">
        <f>D221-H224</f>
        <v>708.9399999999996</v>
      </c>
      <c r="J225" s="20">
        <v>2139.9399999999996</v>
      </c>
      <c r="K225" s="9" t="s">
        <v>903</v>
      </c>
      <c r="L225" s="273" t="s">
        <v>904</v>
      </c>
    </row>
    <row r="227" spans="2:12" ht="18.75">
      <c r="B227" s="18" t="s">
        <v>34</v>
      </c>
      <c r="C227" s="18" t="s">
        <v>35</v>
      </c>
      <c r="D227" s="18" t="s">
        <v>15</v>
      </c>
      <c r="F227" s="18" t="s">
        <v>36</v>
      </c>
      <c r="G227" s="18" t="s">
        <v>35</v>
      </c>
      <c r="H227" s="18" t="s">
        <v>15</v>
      </c>
    </row>
    <row r="228" spans="2:12">
      <c r="B228" s="8">
        <v>45839</v>
      </c>
      <c r="C228" s="6" t="s">
        <v>49</v>
      </c>
      <c r="D228" s="19">
        <f>H225</f>
        <v>708.9399999999996</v>
      </c>
      <c r="F228" s="8">
        <v>45867</v>
      </c>
      <c r="G228" s="6" t="s">
        <v>712</v>
      </c>
      <c r="H228" s="19">
        <f>'Flujo Caja Julio 2025 '!$E$50+'Flujo Caja Julio 2025 '!$E$51+'Flujo Caja Julio 2025 '!$E$52</f>
        <v>519.87</v>
      </c>
    </row>
    <row r="229" spans="2:12">
      <c r="B229" s="8">
        <v>45868</v>
      </c>
      <c r="C229" s="280" t="s">
        <v>953</v>
      </c>
      <c r="D229" s="19">
        <v>3950.06</v>
      </c>
      <c r="F229" s="8">
        <v>45868</v>
      </c>
      <c r="G229" s="204" t="s">
        <v>954</v>
      </c>
      <c r="H229" s="19">
        <f>'Flujo Caja Julio 2025 '!E92</f>
        <v>3887.84</v>
      </c>
    </row>
    <row r="230" spans="2:12">
      <c r="B230" s="8"/>
      <c r="C230" s="6"/>
      <c r="D230" s="19"/>
      <c r="F230" s="8"/>
      <c r="G230" s="204"/>
      <c r="H230" s="19"/>
    </row>
    <row r="231" spans="2:12">
      <c r="B231" s="8"/>
      <c r="C231" s="6"/>
      <c r="D231" s="19"/>
      <c r="F231" s="8"/>
      <c r="G231" s="204"/>
      <c r="H231" s="19"/>
    </row>
    <row r="232" spans="2:12">
      <c r="C232" s="7" t="s">
        <v>340</v>
      </c>
      <c r="D232" s="20">
        <f>SUM(D228:D231)</f>
        <v>4659</v>
      </c>
      <c r="F232" s="8"/>
      <c r="G232" s="6"/>
      <c r="H232" s="19"/>
    </row>
    <row r="233" spans="2:12">
      <c r="F233" s="8"/>
      <c r="G233" s="6"/>
      <c r="H233" s="19"/>
    </row>
    <row r="234" spans="2:12">
      <c r="F234" s="8"/>
      <c r="G234" s="6"/>
      <c r="H234" s="19"/>
    </row>
    <row r="235" spans="2:12">
      <c r="G235" s="7" t="s">
        <v>330</v>
      </c>
      <c r="H235" s="20">
        <f>SUM(H228:H234)</f>
        <v>4407.71</v>
      </c>
    </row>
    <row r="236" spans="2:12">
      <c r="G236" s="7" t="s">
        <v>331</v>
      </c>
      <c r="H236" s="20">
        <f>D232-H235</f>
        <v>251.28999999999996</v>
      </c>
    </row>
    <row r="239" spans="2:12" ht="18.75">
      <c r="B239" s="18" t="s">
        <v>34</v>
      </c>
      <c r="C239" s="18" t="s">
        <v>35</v>
      </c>
      <c r="D239" s="18" t="s">
        <v>15</v>
      </c>
      <c r="F239" s="18" t="s">
        <v>36</v>
      </c>
      <c r="G239" s="18" t="s">
        <v>35</v>
      </c>
      <c r="H239" s="18" t="s">
        <v>15</v>
      </c>
    </row>
    <row r="240" spans="2:12">
      <c r="B240" s="8">
        <v>45870</v>
      </c>
      <c r="C240" s="6" t="s">
        <v>49</v>
      </c>
      <c r="D240" s="19">
        <f>H236</f>
        <v>251.28999999999996</v>
      </c>
      <c r="F240" s="8">
        <v>45865</v>
      </c>
      <c r="G240" s="6" t="s">
        <v>1044</v>
      </c>
      <c r="H240" s="19">
        <f>'Flujo Caja Agosto 2025'!$E$101</f>
        <v>623.11</v>
      </c>
    </row>
    <row r="241" spans="2:10">
      <c r="B241" s="8">
        <v>45896</v>
      </c>
      <c r="C241" s="280" t="s">
        <v>1040</v>
      </c>
      <c r="D241" s="19">
        <v>3000</v>
      </c>
      <c r="F241" s="8">
        <v>45896</v>
      </c>
      <c r="G241" s="6" t="s">
        <v>54</v>
      </c>
      <c r="H241" s="19">
        <f>'Flujo Caja Agosto 2025'!E102</f>
        <v>861.57</v>
      </c>
      <c r="J241" s="220">
        <f>H241*7.56</f>
        <v>6513.4692000000005</v>
      </c>
    </row>
    <row r="242" spans="2:10">
      <c r="B242" s="8"/>
      <c r="C242" s="6"/>
      <c r="D242" s="19"/>
      <c r="F242" s="8">
        <v>45896</v>
      </c>
      <c r="G242" s="6" t="s">
        <v>712</v>
      </c>
      <c r="H242" s="19">
        <f>('Flujo Caja Agosto 2025'!$E$56+'Flujo Caja Agosto 2025'!$E$57+'Flujo Caja Agosto 2025'!$E$58)</f>
        <v>519.87</v>
      </c>
      <c r="J242" s="220">
        <f>H242*7.56</f>
        <v>3930.2172</v>
      </c>
    </row>
    <row r="243" spans="2:10">
      <c r="B243" s="8"/>
      <c r="C243" s="6"/>
      <c r="D243" s="19"/>
      <c r="F243" s="8"/>
      <c r="G243" s="204"/>
      <c r="H243" s="19"/>
    </row>
    <row r="244" spans="2:10">
      <c r="C244" s="7" t="s">
        <v>385</v>
      </c>
      <c r="D244" s="20">
        <f>SUM(D240:D243)</f>
        <v>3251.29</v>
      </c>
      <c r="F244" s="8"/>
      <c r="G244" s="6"/>
      <c r="H244" s="19"/>
    </row>
    <row r="245" spans="2:10">
      <c r="F245" s="8"/>
      <c r="G245" s="6"/>
      <c r="H245" s="19"/>
    </row>
    <row r="246" spans="2:10">
      <c r="F246" s="8"/>
      <c r="G246" s="6"/>
      <c r="H246" s="19"/>
    </row>
    <row r="247" spans="2:10">
      <c r="G247" s="7" t="s">
        <v>386</v>
      </c>
      <c r="H247" s="20">
        <f>SUM(H240:H246)</f>
        <v>2004.5500000000002</v>
      </c>
    </row>
    <row r="248" spans="2:10">
      <c r="G248" s="7" t="s">
        <v>387</v>
      </c>
      <c r="H248" s="20">
        <f>D244-H247</f>
        <v>1246.7399999999998</v>
      </c>
    </row>
    <row r="251" spans="2:10" ht="18.75">
      <c r="B251" s="18" t="s">
        <v>34</v>
      </c>
      <c r="C251" s="18" t="s">
        <v>35</v>
      </c>
      <c r="D251" s="18" t="s">
        <v>15</v>
      </c>
      <c r="F251" s="18" t="s">
        <v>36</v>
      </c>
      <c r="G251" s="18" t="s">
        <v>35</v>
      </c>
      <c r="H251" s="18" t="s">
        <v>15</v>
      </c>
    </row>
    <row r="252" spans="2:10">
      <c r="B252" s="8">
        <v>45901</v>
      </c>
      <c r="C252" s="6" t="s">
        <v>49</v>
      </c>
      <c r="D252" s="19">
        <f>H248</f>
        <v>1246.7399999999998</v>
      </c>
      <c r="F252" s="8">
        <v>45908</v>
      </c>
      <c r="G252" s="6" t="s">
        <v>1068</v>
      </c>
      <c r="H252" s="19">
        <f>'Flujo Caja Septiembre 2025'!E45</f>
        <v>963</v>
      </c>
    </row>
    <row r="253" spans="2:10">
      <c r="B253" s="348">
        <v>45925</v>
      </c>
      <c r="C253" s="262" t="s">
        <v>1119</v>
      </c>
      <c r="D253" s="221">
        <v>2000</v>
      </c>
      <c r="F253" s="8">
        <v>45925</v>
      </c>
      <c r="G253" s="6" t="s">
        <v>1069</v>
      </c>
      <c r="H253" s="19">
        <v>40</v>
      </c>
    </row>
    <row r="254" spans="2:10">
      <c r="B254" s="348">
        <v>45925</v>
      </c>
      <c r="C254" s="262" t="s">
        <v>1119</v>
      </c>
      <c r="D254" s="221">
        <v>2000</v>
      </c>
      <c r="F254" s="348">
        <v>45926</v>
      </c>
      <c r="G254" s="349" t="s">
        <v>712</v>
      </c>
      <c r="H254" s="221">
        <f>519.87</f>
        <v>519.87</v>
      </c>
    </row>
    <row r="255" spans="2:10">
      <c r="B255" s="8"/>
      <c r="C255" s="6"/>
      <c r="D255" s="19"/>
      <c r="F255" s="348">
        <v>45926</v>
      </c>
      <c r="G255" s="353" t="s">
        <v>1121</v>
      </c>
      <c r="H255" s="221">
        <f>'Flujo Caja Septiembre 2025'!E98</f>
        <v>996.15</v>
      </c>
    </row>
    <row r="256" spans="2:10">
      <c r="C256" s="7" t="s">
        <v>456</v>
      </c>
      <c r="D256" s="20">
        <f>SUM(D252:D255)</f>
        <v>5246.74</v>
      </c>
      <c r="F256" s="8">
        <v>45926</v>
      </c>
      <c r="G256" s="6" t="s">
        <v>1122</v>
      </c>
      <c r="H256" s="19">
        <f>'Flujo Caja Septiembre 2025'!E99</f>
        <v>733.64</v>
      </c>
    </row>
    <row r="257" spans="2:8">
      <c r="F257" s="8">
        <v>45926</v>
      </c>
      <c r="G257" s="6" t="s">
        <v>1123</v>
      </c>
      <c r="H257" s="19">
        <f>'Flujo Caja Septiembre 2025'!E100</f>
        <v>93.2</v>
      </c>
    </row>
    <row r="258" spans="2:8">
      <c r="F258" s="8"/>
      <c r="G258" s="6"/>
      <c r="H258" s="19"/>
    </row>
    <row r="259" spans="2:8">
      <c r="G259" s="7" t="s">
        <v>454</v>
      </c>
      <c r="H259" s="20">
        <f>SUM(H252:H258)</f>
        <v>3345.8599999999997</v>
      </c>
    </row>
    <row r="260" spans="2:8">
      <c r="G260" s="7" t="s">
        <v>455</v>
      </c>
      <c r="H260" s="20">
        <f>D256-H259</f>
        <v>1900.88</v>
      </c>
    </row>
    <row r="262" spans="2:8" ht="18.75">
      <c r="B262" s="18" t="s">
        <v>34</v>
      </c>
      <c r="C262" s="18" t="s">
        <v>35</v>
      </c>
      <c r="D262" s="18" t="s">
        <v>15</v>
      </c>
      <c r="F262" s="18" t="s">
        <v>36</v>
      </c>
      <c r="G262" s="18" t="s">
        <v>35</v>
      </c>
      <c r="H262" s="18" t="s">
        <v>15</v>
      </c>
    </row>
    <row r="263" spans="2:8">
      <c r="B263" s="8">
        <v>45931</v>
      </c>
      <c r="C263" s="6" t="s">
        <v>49</v>
      </c>
      <c r="D263" s="19">
        <f>$H$260</f>
        <v>1900.88</v>
      </c>
      <c r="F263" s="8">
        <v>45937</v>
      </c>
      <c r="G263" s="6" t="s">
        <v>1068</v>
      </c>
      <c r="H263" s="19">
        <v>900</v>
      </c>
    </row>
    <row r="264" spans="2:8">
      <c r="B264" s="8">
        <v>45945</v>
      </c>
      <c r="C264" s="6" t="s">
        <v>1154</v>
      </c>
      <c r="D264" s="19">
        <v>7000</v>
      </c>
      <c r="F264" s="8">
        <v>45937</v>
      </c>
      <c r="G264" s="6" t="s">
        <v>1069</v>
      </c>
      <c r="H264" s="19">
        <v>40</v>
      </c>
    </row>
    <row r="265" spans="2:8">
      <c r="B265" s="348">
        <v>46019</v>
      </c>
      <c r="C265" s="6" t="s">
        <v>1205</v>
      </c>
      <c r="D265" s="221">
        <v>10000</v>
      </c>
      <c r="F265" s="348">
        <v>45945</v>
      </c>
      <c r="G265" s="349" t="s">
        <v>1155</v>
      </c>
      <c r="H265" s="221">
        <v>5000</v>
      </c>
    </row>
    <row r="266" spans="2:8">
      <c r="B266" s="348"/>
      <c r="C266" s="363"/>
      <c r="D266" s="221"/>
      <c r="F266" s="348">
        <v>45947</v>
      </c>
      <c r="G266" s="353" t="s">
        <v>1162</v>
      </c>
      <c r="H266" s="221">
        <v>650</v>
      </c>
    </row>
    <row r="267" spans="2:8">
      <c r="B267" s="348"/>
      <c r="C267" s="353"/>
      <c r="D267" s="221"/>
      <c r="F267" s="8">
        <v>45954</v>
      </c>
      <c r="G267" s="349" t="s">
        <v>712</v>
      </c>
      <c r="H267" s="19">
        <f>SUM('Flujo Caja Octubre 2025'!E66:E68)</f>
        <v>519.87</v>
      </c>
    </row>
    <row r="268" spans="2:8">
      <c r="C268" s="7" t="s">
        <v>490</v>
      </c>
      <c r="D268" s="20">
        <f>SUM(D263:D267)</f>
        <v>18900.88</v>
      </c>
      <c r="F268" s="8">
        <v>45958</v>
      </c>
      <c r="G268" s="6" t="s">
        <v>1122</v>
      </c>
      <c r="H268" s="19">
        <v>765.15</v>
      </c>
    </row>
    <row r="269" spans="2:8">
      <c r="F269" s="8">
        <v>45959</v>
      </c>
      <c r="G269" s="6" t="s">
        <v>1207</v>
      </c>
      <c r="H269" s="19">
        <v>4435.82</v>
      </c>
    </row>
    <row r="270" spans="2:8">
      <c r="F270" s="8"/>
      <c r="G270" s="6"/>
      <c r="H270" s="19"/>
    </row>
    <row r="271" spans="2:8">
      <c r="F271" s="348"/>
      <c r="G271" s="349"/>
      <c r="H271" s="221"/>
    </row>
    <row r="272" spans="2:8">
      <c r="G272" s="7" t="s">
        <v>491</v>
      </c>
      <c r="H272" s="20">
        <f>SUM(H263:H271)</f>
        <v>12310.84</v>
      </c>
    </row>
    <row r="273" spans="2:8">
      <c r="G273" s="7" t="s">
        <v>492</v>
      </c>
      <c r="H273" s="20">
        <f>D268-H272</f>
        <v>6590.0400000000009</v>
      </c>
    </row>
    <row r="276" spans="2:8" ht="18.75">
      <c r="B276" s="18" t="s">
        <v>34</v>
      </c>
      <c r="C276" s="18" t="s">
        <v>35</v>
      </c>
      <c r="D276" s="18" t="s">
        <v>15</v>
      </c>
      <c r="F276" s="18" t="s">
        <v>36</v>
      </c>
      <c r="G276" s="18" t="s">
        <v>35</v>
      </c>
      <c r="H276" s="18" t="s">
        <v>15</v>
      </c>
    </row>
    <row r="277" spans="2:8">
      <c r="B277" s="8">
        <v>45962</v>
      </c>
      <c r="C277" s="6" t="s">
        <v>49</v>
      </c>
      <c r="D277" s="19">
        <f>H273</f>
        <v>6590.0400000000009</v>
      </c>
      <c r="F277" s="8">
        <v>45968</v>
      </c>
      <c r="G277" s="6" t="s">
        <v>1255</v>
      </c>
      <c r="H277" s="19">
        <v>1350</v>
      </c>
    </row>
    <row r="278" spans="2:8">
      <c r="B278" s="8">
        <v>45982</v>
      </c>
      <c r="C278" s="6" t="s">
        <v>1277</v>
      </c>
      <c r="D278" s="19">
        <v>5000</v>
      </c>
      <c r="F278" s="8">
        <v>45968</v>
      </c>
      <c r="G278" s="6" t="s">
        <v>1256</v>
      </c>
      <c r="H278" s="19">
        <v>40</v>
      </c>
    </row>
    <row r="279" spans="2:8">
      <c r="B279" s="348">
        <v>45988</v>
      </c>
      <c r="C279" s="262" t="s">
        <v>1302</v>
      </c>
      <c r="D279" s="221">
        <v>6000</v>
      </c>
      <c r="F279" s="348">
        <v>45971</v>
      </c>
      <c r="G279" s="349" t="s">
        <v>1155</v>
      </c>
      <c r="H279" s="221">
        <v>5000</v>
      </c>
    </row>
    <row r="280" spans="2:8">
      <c r="B280" s="348"/>
      <c r="C280" s="353"/>
      <c r="D280" s="221"/>
      <c r="F280" s="8">
        <v>45982</v>
      </c>
      <c r="G280" s="349" t="s">
        <v>712</v>
      </c>
      <c r="H280" s="19">
        <f>SUM('Flujo Caja Noviembre 2025'!$E$48:$E$50)</f>
        <v>519.87</v>
      </c>
    </row>
    <row r="281" spans="2:8">
      <c r="C281" s="7" t="s">
        <v>564</v>
      </c>
      <c r="D281" s="20">
        <f>SUM(D277:D280)</f>
        <v>17590.04</v>
      </c>
      <c r="F281" s="8">
        <v>45988</v>
      </c>
      <c r="G281" s="262" t="s">
        <v>1308</v>
      </c>
      <c r="H281" s="19">
        <f>'Flujo Caja Noviembre 2025'!$E$112</f>
        <v>5798.04</v>
      </c>
    </row>
    <row r="282" spans="2:8">
      <c r="F282" s="8"/>
      <c r="G282" s="6"/>
      <c r="H282" s="19"/>
    </row>
    <row r="283" spans="2:8">
      <c r="F283" s="8"/>
      <c r="G283" s="6"/>
      <c r="H283" s="19"/>
    </row>
    <row r="284" spans="2:8">
      <c r="F284" s="8"/>
      <c r="G284" s="6"/>
      <c r="H284" s="19"/>
    </row>
    <row r="285" spans="2:8">
      <c r="F285" s="348"/>
      <c r="G285" s="349"/>
      <c r="H285" s="221"/>
    </row>
    <row r="286" spans="2:8">
      <c r="G286" s="7" t="s">
        <v>560</v>
      </c>
      <c r="H286" s="20">
        <f>SUM(H277:H285)</f>
        <v>12707.91</v>
      </c>
    </row>
    <row r="287" spans="2:8">
      <c r="G287" s="7" t="s">
        <v>563</v>
      </c>
      <c r="H287" s="20">
        <f>D281-H286</f>
        <v>4882.130000000001</v>
      </c>
    </row>
    <row r="289" spans="2:8" ht="18.75">
      <c r="B289" s="18" t="s">
        <v>34</v>
      </c>
      <c r="C289" s="18" t="s">
        <v>35</v>
      </c>
      <c r="D289" s="18" t="s">
        <v>15</v>
      </c>
      <c r="F289" s="18" t="s">
        <v>36</v>
      </c>
      <c r="G289" s="18" t="s">
        <v>35</v>
      </c>
      <c r="H289" s="18" t="s">
        <v>15</v>
      </c>
    </row>
    <row r="290" spans="2:8">
      <c r="B290" s="8">
        <v>45992</v>
      </c>
      <c r="C290" s="6" t="s">
        <v>49</v>
      </c>
      <c r="D290" s="19">
        <f>H287</f>
        <v>4882.130000000001</v>
      </c>
      <c r="F290" s="8">
        <v>45995</v>
      </c>
      <c r="G290" s="6" t="s">
        <v>1328</v>
      </c>
      <c r="H290" s="19">
        <v>1650</v>
      </c>
    </row>
    <row r="291" spans="2:8">
      <c r="B291" s="8">
        <v>46007</v>
      </c>
      <c r="C291" s="6" t="s">
        <v>1361</v>
      </c>
      <c r="D291" s="19">
        <v>4421.55</v>
      </c>
      <c r="F291" s="8">
        <v>45995</v>
      </c>
      <c r="G291" s="6" t="s">
        <v>1256</v>
      </c>
      <c r="H291" s="19">
        <v>40</v>
      </c>
    </row>
    <row r="292" spans="2:8">
      <c r="B292" s="348">
        <v>46020</v>
      </c>
      <c r="C292" s="262" t="s">
        <v>1393</v>
      </c>
      <c r="D292" s="221">
        <v>10400</v>
      </c>
      <c r="F292" s="348">
        <v>46014</v>
      </c>
      <c r="G292" s="349" t="s">
        <v>712</v>
      </c>
      <c r="H292" s="19">
        <f>SUM('Flujo Caja Diciembre 2025'!$E$50:$E$52)</f>
        <v>519.87</v>
      </c>
    </row>
    <row r="293" spans="2:8">
      <c r="B293" s="348"/>
      <c r="C293" s="353"/>
      <c r="D293" s="221"/>
      <c r="F293" s="8">
        <v>46020</v>
      </c>
      <c r="G293" s="262" t="s">
        <v>1308</v>
      </c>
      <c r="H293" s="19">
        <v>10335.61</v>
      </c>
    </row>
    <row r="294" spans="2:8">
      <c r="C294" s="7" t="s">
        <v>603</v>
      </c>
      <c r="D294" s="20">
        <f>SUM(D290:D293)</f>
        <v>19703.68</v>
      </c>
      <c r="F294" s="8"/>
      <c r="G294" s="6"/>
      <c r="H294" s="19"/>
    </row>
    <row r="295" spans="2:8">
      <c r="F295" s="8"/>
      <c r="G295" s="6"/>
      <c r="H295" s="19"/>
    </row>
    <row r="296" spans="2:8">
      <c r="F296" s="8"/>
      <c r="G296" s="6"/>
      <c r="H296" s="19"/>
    </row>
    <row r="297" spans="2:8">
      <c r="F297" s="8"/>
      <c r="G297" s="6"/>
      <c r="H297" s="19"/>
    </row>
    <row r="298" spans="2:8">
      <c r="F298" s="348"/>
      <c r="G298" s="349"/>
      <c r="H298" s="221"/>
    </row>
    <row r="299" spans="2:8">
      <c r="G299" s="7" t="s">
        <v>601</v>
      </c>
      <c r="H299" s="20">
        <f>SUM(H290:H298)</f>
        <v>12545.48</v>
      </c>
    </row>
    <row r="300" spans="2:8">
      <c r="G300" s="7" t="s">
        <v>602</v>
      </c>
      <c r="H300" s="20">
        <f>D294-H299</f>
        <v>7158.2000000000007</v>
      </c>
    </row>
    <row r="302" spans="2:8" ht="18.75">
      <c r="B302" s="18" t="s">
        <v>34</v>
      </c>
      <c r="C302" s="18" t="s">
        <v>35</v>
      </c>
      <c r="D302" s="18" t="s">
        <v>15</v>
      </c>
      <c r="F302" s="18" t="s">
        <v>36</v>
      </c>
      <c r="G302" s="18" t="s">
        <v>35</v>
      </c>
      <c r="H302" s="18" t="s">
        <v>15</v>
      </c>
    </row>
    <row r="303" spans="2:8">
      <c r="B303" s="8">
        <v>46023</v>
      </c>
      <c r="C303" s="6" t="s">
        <v>49</v>
      </c>
      <c r="D303" s="19">
        <f>H300</f>
        <v>7158.2000000000007</v>
      </c>
      <c r="F303" s="8">
        <v>46028</v>
      </c>
      <c r="G303" s="6" t="s">
        <v>1396</v>
      </c>
      <c r="H303" s="19">
        <v>900</v>
      </c>
    </row>
    <row r="304" spans="2:8">
      <c r="B304" s="8">
        <v>46042</v>
      </c>
      <c r="C304" s="262" t="s">
        <v>1302</v>
      </c>
      <c r="D304" s="19">
        <v>10000</v>
      </c>
      <c r="F304" s="8">
        <v>46028</v>
      </c>
      <c r="G304" s="6" t="s">
        <v>1256</v>
      </c>
      <c r="H304" s="19">
        <v>40</v>
      </c>
    </row>
    <row r="305" spans="2:8">
      <c r="B305" s="348">
        <v>46051</v>
      </c>
      <c r="C305" s="262" t="s">
        <v>1302</v>
      </c>
      <c r="D305" s="19">
        <v>10000</v>
      </c>
      <c r="F305" s="348">
        <v>46042</v>
      </c>
      <c r="G305" s="262" t="s">
        <v>1474</v>
      </c>
      <c r="H305" s="19">
        <f>'Flujo Caja Enero 2026'!$E$87</f>
        <v>8963.84</v>
      </c>
    </row>
    <row r="306" spans="2:8">
      <c r="B306" s="348"/>
      <c r="C306" s="353"/>
      <c r="D306" s="221"/>
      <c r="F306" s="348">
        <v>46042</v>
      </c>
      <c r="G306" s="262" t="s">
        <v>1472</v>
      </c>
      <c r="H306" s="19">
        <f>'Flujo Caja Enero 2026'!$E$88</f>
        <v>3867.5</v>
      </c>
    </row>
    <row r="307" spans="2:8">
      <c r="C307" s="7" t="s">
        <v>46</v>
      </c>
      <c r="D307" s="20">
        <f>SUM(D303:D306)</f>
        <v>27158.2</v>
      </c>
      <c r="F307" s="8">
        <v>46049</v>
      </c>
      <c r="G307" s="349" t="s">
        <v>712</v>
      </c>
      <c r="H307" s="19">
        <f>'Flujo Caja Enero 2026'!$E$52</f>
        <v>55.07</v>
      </c>
    </row>
    <row r="308" spans="2:8">
      <c r="F308" s="8">
        <v>46051</v>
      </c>
      <c r="G308" s="262" t="s">
        <v>1506</v>
      </c>
      <c r="H308" s="19">
        <f>'Flujo Caja Enero 2026'!E124</f>
        <v>10752.78</v>
      </c>
    </row>
    <row r="309" spans="2:8">
      <c r="F309" s="8">
        <v>46051</v>
      </c>
      <c r="G309" s="6" t="s">
        <v>1511</v>
      </c>
      <c r="H309" s="19">
        <f>'Flujo Caja Enero 2026'!E89</f>
        <v>1112.6600000000001</v>
      </c>
    </row>
    <row r="310" spans="2:8">
      <c r="F310" s="8"/>
      <c r="G310" s="6"/>
      <c r="H310" s="19"/>
    </row>
    <row r="311" spans="2:8">
      <c r="F311" s="348"/>
      <c r="G311" s="349"/>
      <c r="H311" s="221"/>
    </row>
    <row r="312" spans="2:8">
      <c r="G312" s="7" t="s">
        <v>47</v>
      </c>
      <c r="H312" s="20">
        <f>SUM(H303:H311)</f>
        <v>25691.850000000002</v>
      </c>
    </row>
    <row r="313" spans="2:8">
      <c r="G313" s="7" t="s">
        <v>632</v>
      </c>
      <c r="H313" s="20">
        <f>D307-H312</f>
        <v>1466.3499999999985</v>
      </c>
    </row>
    <row r="315" spans="2:8" ht="18.75">
      <c r="B315" s="18" t="s">
        <v>34</v>
      </c>
      <c r="C315" s="18" t="s">
        <v>35</v>
      </c>
      <c r="D315" s="18" t="s">
        <v>15</v>
      </c>
      <c r="F315" s="18" t="s">
        <v>36</v>
      </c>
      <c r="G315" s="18" t="s">
        <v>35</v>
      </c>
      <c r="H315" s="18" t="s">
        <v>15</v>
      </c>
    </row>
    <row r="316" spans="2:8">
      <c r="B316" s="8">
        <v>46054</v>
      </c>
      <c r="C316" s="6" t="s">
        <v>49</v>
      </c>
      <c r="D316" s="19">
        <f>H313</f>
        <v>1466.3499999999985</v>
      </c>
      <c r="F316" s="8">
        <v>46059</v>
      </c>
      <c r="G316" s="6" t="s">
        <v>1632</v>
      </c>
      <c r="H316" s="19">
        <v>1650</v>
      </c>
    </row>
    <row r="317" spans="2:8">
      <c r="B317" s="8">
        <v>46059</v>
      </c>
      <c r="C317" s="262" t="s">
        <v>1536</v>
      </c>
      <c r="D317" s="19">
        <v>2000</v>
      </c>
      <c r="F317" s="8">
        <v>46059</v>
      </c>
      <c r="G317" s="6" t="s">
        <v>1256</v>
      </c>
      <c r="H317" s="19">
        <v>40</v>
      </c>
    </row>
    <row r="318" spans="2:8">
      <c r="B318" s="348">
        <v>46065</v>
      </c>
      <c r="C318" s="262" t="s">
        <v>1541</v>
      </c>
      <c r="D318" s="19">
        <v>15000</v>
      </c>
      <c r="F318" s="8">
        <v>46065</v>
      </c>
      <c r="G318" s="6" t="s">
        <v>1542</v>
      </c>
      <c r="H318" s="19">
        <v>14122.029999999999</v>
      </c>
    </row>
    <row r="319" spans="2:8">
      <c r="B319" s="348">
        <v>46066</v>
      </c>
      <c r="C319" s="277" t="s">
        <v>1572</v>
      </c>
      <c r="D319" s="22">
        <v>1187.2</v>
      </c>
      <c r="F319" s="8">
        <v>46065</v>
      </c>
      <c r="G319" s="6" t="s">
        <v>1256</v>
      </c>
      <c r="H319" s="19">
        <v>40</v>
      </c>
    </row>
    <row r="320" spans="2:8">
      <c r="B320" s="348">
        <v>46066</v>
      </c>
      <c r="C320" s="277" t="s">
        <v>1573</v>
      </c>
      <c r="D320" s="22">
        <v>1176</v>
      </c>
      <c r="F320" s="8"/>
      <c r="G320" s="6"/>
      <c r="H320" s="19"/>
    </row>
    <row r="321" spans="2:8" ht="45">
      <c r="B321" s="348">
        <v>46080</v>
      </c>
      <c r="C321" s="277" t="s">
        <v>1601</v>
      </c>
      <c r="D321" s="22">
        <v>57931.21</v>
      </c>
      <c r="F321" s="8"/>
      <c r="G321" s="6"/>
      <c r="H321" s="19"/>
    </row>
    <row r="322" spans="2:8" ht="30">
      <c r="B322" s="348">
        <v>46081</v>
      </c>
      <c r="C322" s="277" t="s">
        <v>1610</v>
      </c>
      <c r="D322" s="22">
        <v>108.44</v>
      </c>
      <c r="F322" s="8"/>
      <c r="G322" s="6"/>
      <c r="H322" s="19"/>
    </row>
    <row r="323" spans="2:8">
      <c r="B323" s="348"/>
      <c r="C323" s="277"/>
      <c r="D323" s="22"/>
      <c r="G323" s="7" t="s">
        <v>688</v>
      </c>
      <c r="H323" s="20">
        <f>SUM(H316:H322)</f>
        <v>15852.029999999999</v>
      </c>
    </row>
    <row r="324" spans="2:8">
      <c r="C324" s="7" t="s">
        <v>59</v>
      </c>
      <c r="D324" s="20">
        <f>SUM(D316:D323)</f>
        <v>78869.2</v>
      </c>
      <c r="G324" s="7" t="s">
        <v>61</v>
      </c>
      <c r="H324" s="20">
        <f>D324-H323</f>
        <v>63017.17</v>
      </c>
    </row>
    <row r="326" spans="2:8" ht="18.75">
      <c r="B326" s="18" t="s">
        <v>34</v>
      </c>
      <c r="C326" s="18" t="s">
        <v>35</v>
      </c>
      <c r="D326" s="18" t="s">
        <v>15</v>
      </c>
      <c r="F326" s="18" t="s">
        <v>36</v>
      </c>
      <c r="G326" s="18" t="s">
        <v>35</v>
      </c>
      <c r="H326" s="18" t="s">
        <v>15</v>
      </c>
    </row>
    <row r="327" spans="2:8" ht="30">
      <c r="B327" s="8">
        <v>46082</v>
      </c>
      <c r="C327" s="6" t="s">
        <v>49</v>
      </c>
      <c r="D327" s="19">
        <f>H324</f>
        <v>63017.17</v>
      </c>
      <c r="F327" s="8">
        <v>46082</v>
      </c>
      <c r="G327" s="312" t="s">
        <v>1602</v>
      </c>
      <c r="H327" s="19">
        <v>57931.21</v>
      </c>
    </row>
    <row r="328" spans="2:8">
      <c r="B328" s="8">
        <v>46082</v>
      </c>
      <c r="C328" s="262" t="s">
        <v>1607</v>
      </c>
      <c r="D328" s="19">
        <v>10000</v>
      </c>
      <c r="F328" s="8">
        <v>46082</v>
      </c>
      <c r="G328" s="6" t="s">
        <v>1606</v>
      </c>
      <c r="H328" s="19">
        <v>8760.25</v>
      </c>
    </row>
    <row r="329" spans="2:8">
      <c r="B329" s="348">
        <v>46090</v>
      </c>
      <c r="C329" s="262" t="s">
        <v>1635</v>
      </c>
      <c r="D329" s="221">
        <v>1120</v>
      </c>
      <c r="F329" s="8">
        <v>46082</v>
      </c>
      <c r="G329" s="349" t="s">
        <v>712</v>
      </c>
      <c r="H329" s="19">
        <f>'Flujo Caja Febrero 2026'!$E$49</f>
        <v>55.07</v>
      </c>
    </row>
    <row r="330" spans="2:8">
      <c r="B330" s="348">
        <v>46111</v>
      </c>
      <c r="C330" s="262" t="s">
        <v>1702</v>
      </c>
      <c r="D330" s="22">
        <v>8000</v>
      </c>
      <c r="F330" s="8">
        <v>46087</v>
      </c>
      <c r="G330" s="6" t="s">
        <v>1631</v>
      </c>
      <c r="H330" s="19">
        <f>'Flujo Caja Marzo 2026'!$E$46</f>
        <v>1495</v>
      </c>
    </row>
    <row r="331" spans="2:8">
      <c r="B331" s="348"/>
      <c r="C331" s="277"/>
      <c r="D331" s="22"/>
      <c r="F331" s="8">
        <v>46087</v>
      </c>
      <c r="G331" s="6" t="s">
        <v>1256</v>
      </c>
      <c r="H331" s="19">
        <v>40</v>
      </c>
    </row>
    <row r="332" spans="2:8">
      <c r="B332" s="348"/>
      <c r="C332" s="277"/>
      <c r="D332" s="22"/>
      <c r="F332" s="8">
        <v>46111</v>
      </c>
      <c r="G332" s="349" t="s">
        <v>1701</v>
      </c>
      <c r="H332" s="19">
        <f>'Flujo Caja Marzo 2026'!$E$52</f>
        <v>55.07</v>
      </c>
    </row>
    <row r="333" spans="2:8">
      <c r="B333" s="348"/>
      <c r="C333" s="277"/>
      <c r="D333" s="22"/>
      <c r="F333" s="8">
        <v>46111</v>
      </c>
      <c r="G333" s="6" t="s">
        <v>1606</v>
      </c>
      <c r="H333" s="19">
        <f>'Flujo Caja Marzo 2026'!$E$117</f>
        <v>7304.08</v>
      </c>
    </row>
    <row r="334" spans="2:8">
      <c r="C334" s="7" t="s">
        <v>720</v>
      </c>
      <c r="D334" s="20">
        <f>SUM(D327:D333)</f>
        <v>82137.17</v>
      </c>
      <c r="F334" s="8"/>
      <c r="G334" s="349"/>
      <c r="H334" s="19"/>
    </row>
    <row r="335" spans="2:8">
      <c r="F335" s="8"/>
      <c r="G335" s="349"/>
      <c r="H335" s="19"/>
    </row>
    <row r="336" spans="2:8">
      <c r="F336" s="8"/>
      <c r="G336" s="349"/>
      <c r="H336" s="19"/>
    </row>
    <row r="337" spans="2:12">
      <c r="F337" s="8"/>
      <c r="G337" s="6"/>
      <c r="H337" s="19"/>
    </row>
    <row r="338" spans="2:12">
      <c r="G338" s="7" t="s">
        <v>1603</v>
      </c>
      <c r="H338" s="20">
        <f>SUM(H327:H337)</f>
        <v>75640.680000000008</v>
      </c>
    </row>
    <row r="339" spans="2:12">
      <c r="G339" s="7" t="s">
        <v>721</v>
      </c>
      <c r="H339" s="20">
        <f>D334-H338</f>
        <v>6496.4899999999907</v>
      </c>
      <c r="J339" s="20">
        <v>6270.6399999999994</v>
      </c>
      <c r="K339" s="9" t="s">
        <v>1612</v>
      </c>
      <c r="L339" s="273" t="s">
        <v>904</v>
      </c>
    </row>
    <row r="340" spans="2:12">
      <c r="G340" s="37"/>
      <c r="H340" s="431"/>
      <c r="J340" s="431"/>
      <c r="K340" s="9"/>
      <c r="L340" s="273"/>
    </row>
    <row r="341" spans="2:12" ht="18.75">
      <c r="B341" s="18" t="s">
        <v>34</v>
      </c>
      <c r="C341" s="18" t="s">
        <v>35</v>
      </c>
      <c r="D341" s="18" t="s">
        <v>15</v>
      </c>
      <c r="F341" s="18" t="s">
        <v>36</v>
      </c>
      <c r="G341" s="18" t="s">
        <v>35</v>
      </c>
      <c r="H341" s="18" t="s">
        <v>15</v>
      </c>
    </row>
    <row r="342" spans="2:12">
      <c r="B342" s="8">
        <v>46113</v>
      </c>
      <c r="C342" s="6" t="s">
        <v>49</v>
      </c>
      <c r="D342" s="19">
        <f>H339</f>
        <v>6496.4899999999907</v>
      </c>
      <c r="F342" s="8"/>
      <c r="G342" s="312"/>
      <c r="H342" s="19"/>
    </row>
    <row r="343" spans="2:12">
      <c r="B343" s="8"/>
      <c r="C343" s="262"/>
      <c r="D343" s="19"/>
      <c r="F343" s="8"/>
      <c r="G343" s="6"/>
      <c r="H343" s="19"/>
    </row>
    <row r="344" spans="2:12">
      <c r="B344" s="348"/>
      <c r="C344" s="262"/>
      <c r="D344" s="221"/>
      <c r="F344" s="8"/>
      <c r="G344" s="349"/>
      <c r="H344" s="19"/>
    </row>
    <row r="345" spans="2:12">
      <c r="B345" s="348"/>
      <c r="C345" s="262"/>
      <c r="D345" s="22"/>
      <c r="F345" s="8"/>
      <c r="G345" s="6"/>
      <c r="H345" s="19"/>
    </row>
    <row r="346" spans="2:12">
      <c r="B346" s="348"/>
      <c r="C346" s="277"/>
      <c r="D346" s="22"/>
      <c r="F346" s="8"/>
      <c r="G346" s="6"/>
      <c r="H346" s="19"/>
    </row>
    <row r="347" spans="2:12">
      <c r="B347" s="348"/>
      <c r="C347" s="277"/>
      <c r="D347" s="22"/>
      <c r="F347" s="8"/>
      <c r="G347" s="349"/>
      <c r="H347" s="19"/>
    </row>
    <row r="348" spans="2:12">
      <c r="B348" s="348"/>
      <c r="C348" s="277"/>
      <c r="D348" s="22"/>
      <c r="F348" s="8"/>
      <c r="G348" s="6"/>
      <c r="H348" s="19"/>
    </row>
    <row r="349" spans="2:12">
      <c r="C349" s="7" t="s">
        <v>128</v>
      </c>
      <c r="D349" s="20">
        <f>SUM(D342:D348)</f>
        <v>6496.4899999999907</v>
      </c>
      <c r="F349" s="8"/>
      <c r="G349" s="349"/>
      <c r="H349" s="19"/>
    </row>
    <row r="350" spans="2:12">
      <c r="F350" s="8"/>
      <c r="G350" s="349"/>
      <c r="H350" s="19"/>
    </row>
    <row r="351" spans="2:12">
      <c r="F351" s="8"/>
      <c r="G351" s="349"/>
      <c r="H351" s="19"/>
    </row>
    <row r="352" spans="2:12">
      <c r="F352" s="8"/>
      <c r="G352" s="6"/>
      <c r="H352" s="19"/>
    </row>
    <row r="353" spans="7:8">
      <c r="G353" s="7" t="s">
        <v>129</v>
      </c>
      <c r="H353" s="20">
        <f>SUM(H342:H352)</f>
        <v>0</v>
      </c>
    </row>
    <row r="354" spans="7:8">
      <c r="G354" s="7" t="s">
        <v>130</v>
      </c>
      <c r="H354" s="20">
        <f>D349-H353</f>
        <v>6496.4899999999907</v>
      </c>
    </row>
  </sheetData>
  <mergeCells count="3">
    <mergeCell ref="B1:H1"/>
    <mergeCell ref="B2:H2"/>
    <mergeCell ref="B3:H3"/>
  </mergeCells>
  <dataValidations disablePrompts="1" count="1">
    <dataValidation type="list" allowBlank="1" showInputMessage="1" showErrorMessage="1" sqref="J105 J123 J207" xr:uid="{629D221F-B58C-41CE-A8A9-3FFD727009FB}">
      <formula1>"0,1"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8"/>
  <sheetViews>
    <sheetView showGridLines="0" topLeftCell="A1053" zoomScaleNormal="100" workbookViewId="0">
      <selection activeCell="F1003" sqref="F1003:H1076"/>
    </sheetView>
  </sheetViews>
  <sheetFormatPr baseColWidth="10" defaultColWidth="11.42578125" defaultRowHeight="15" outlineLevelRow="1"/>
  <cols>
    <col min="1" max="1" width="3.28515625" customWidth="1"/>
    <col min="3" max="3" width="46" customWidth="1"/>
    <col min="4" max="4" width="13.140625" bestFit="1" customWidth="1"/>
    <col min="5" max="5" width="1.42578125" customWidth="1"/>
    <col min="7" max="7" width="50.42578125" customWidth="1"/>
    <col min="8" max="8" width="13.140625" bestFit="1" customWidth="1"/>
    <col min="9" max="9" width="12.28515625" bestFit="1" customWidth="1"/>
    <col min="10" max="10" width="15.140625" bestFit="1" customWidth="1"/>
  </cols>
  <sheetData>
    <row r="1" spans="2:9" ht="23.25">
      <c r="B1" s="434" t="s">
        <v>31</v>
      </c>
      <c r="C1" s="434"/>
      <c r="D1" s="434"/>
      <c r="E1" s="434"/>
      <c r="F1" s="434"/>
      <c r="G1" s="434"/>
      <c r="H1" s="434"/>
    </row>
    <row r="2" spans="2:9" ht="23.25">
      <c r="B2" s="434" t="s">
        <v>17</v>
      </c>
      <c r="C2" s="434"/>
      <c r="D2" s="434"/>
      <c r="E2" s="434"/>
      <c r="F2" s="434"/>
      <c r="G2" s="434"/>
      <c r="H2" s="434"/>
    </row>
    <row r="3" spans="2:9" ht="23.25">
      <c r="B3" s="434" t="s">
        <v>32</v>
      </c>
      <c r="C3" s="434"/>
      <c r="D3" s="434"/>
      <c r="E3" s="434"/>
      <c r="F3" s="434"/>
      <c r="G3" s="434"/>
      <c r="H3" s="434"/>
    </row>
    <row r="4" spans="2:9">
      <c r="C4" s="9" t="s">
        <v>21</v>
      </c>
      <c r="G4" s="9" t="s">
        <v>33</v>
      </c>
    </row>
    <row r="5" spans="2:9" ht="18.75">
      <c r="B5" s="5" t="s">
        <v>34</v>
      </c>
      <c r="C5" s="5" t="s">
        <v>35</v>
      </c>
      <c r="D5" s="5" t="s">
        <v>15</v>
      </c>
      <c r="E5" s="16"/>
      <c r="F5" s="5" t="s">
        <v>36</v>
      </c>
      <c r="G5" s="5" t="s">
        <v>35</v>
      </c>
      <c r="H5" s="5" t="s">
        <v>15</v>
      </c>
    </row>
    <row r="6" spans="2:9" outlineLevel="1">
      <c r="B6" s="8">
        <v>45292</v>
      </c>
      <c r="C6" s="6" t="s">
        <v>37</v>
      </c>
      <c r="D6" s="14">
        <v>20477.39</v>
      </c>
      <c r="E6" s="15"/>
      <c r="F6" s="8">
        <v>45296</v>
      </c>
      <c r="G6" s="6" t="s">
        <v>38</v>
      </c>
      <c r="H6" s="14">
        <v>15</v>
      </c>
    </row>
    <row r="7" spans="2:9" outlineLevel="1">
      <c r="B7" s="8">
        <v>45303</v>
      </c>
      <c r="C7" s="6" t="s">
        <v>39</v>
      </c>
      <c r="D7" s="14">
        <v>18270.77</v>
      </c>
      <c r="E7" s="15"/>
      <c r="F7" s="8">
        <v>45296</v>
      </c>
      <c r="G7" s="6" t="s">
        <v>38</v>
      </c>
      <c r="H7" s="14">
        <v>15</v>
      </c>
    </row>
    <row r="8" spans="2:9" outlineLevel="1">
      <c r="B8" s="8">
        <v>45322</v>
      </c>
      <c r="C8" s="6" t="s">
        <v>40</v>
      </c>
      <c r="D8" s="14">
        <v>277361.37</v>
      </c>
      <c r="E8" s="15"/>
      <c r="F8" s="8">
        <v>45296</v>
      </c>
      <c r="G8" s="6" t="s">
        <v>38</v>
      </c>
      <c r="H8" s="14">
        <v>15</v>
      </c>
    </row>
    <row r="9" spans="2:9" outlineLevel="1">
      <c r="B9" s="8"/>
      <c r="C9" s="6"/>
      <c r="D9" s="14"/>
      <c r="E9" s="15"/>
      <c r="F9" s="8">
        <v>45307</v>
      </c>
      <c r="G9" s="6" t="s">
        <v>41</v>
      </c>
      <c r="H9" s="14">
        <v>1892.89</v>
      </c>
    </row>
    <row r="10" spans="2:9" outlineLevel="1">
      <c r="B10" s="8"/>
      <c r="C10" s="6"/>
      <c r="D10" s="14"/>
      <c r="E10" s="15"/>
      <c r="F10" s="8">
        <v>45308</v>
      </c>
      <c r="G10" s="6" t="s">
        <v>42</v>
      </c>
      <c r="H10" s="14">
        <v>3159.63</v>
      </c>
    </row>
    <row r="11" spans="2:9" outlineLevel="1">
      <c r="B11" s="8"/>
      <c r="C11" s="6"/>
      <c r="D11" s="14"/>
      <c r="E11" s="15"/>
      <c r="F11" s="8">
        <v>45320</v>
      </c>
      <c r="G11" s="6" t="s">
        <v>43</v>
      </c>
      <c r="H11" s="14">
        <v>17507.04</v>
      </c>
      <c r="I11" s="9"/>
    </row>
    <row r="12" spans="2:9" outlineLevel="1">
      <c r="B12" s="8"/>
      <c r="C12" s="6"/>
      <c r="D12" s="14"/>
      <c r="E12" s="15"/>
      <c r="F12" s="8">
        <v>45321</v>
      </c>
      <c r="G12" s="6" t="s">
        <v>44</v>
      </c>
      <c r="H12" s="14">
        <v>8236.7999999999993</v>
      </c>
    </row>
    <row r="13" spans="2:9" outlineLevel="1">
      <c r="B13" s="8"/>
      <c r="C13" s="6"/>
      <c r="D13" s="14"/>
      <c r="E13" s="15"/>
      <c r="F13" s="8">
        <v>45321</v>
      </c>
      <c r="G13" s="6" t="s">
        <v>45</v>
      </c>
      <c r="H13" s="14">
        <v>1791.8</v>
      </c>
    </row>
    <row r="14" spans="2:9" outlineLevel="1">
      <c r="B14" s="6"/>
      <c r="C14" s="6"/>
      <c r="D14" s="14"/>
      <c r="E14" s="15"/>
      <c r="F14" s="6"/>
      <c r="G14" s="6"/>
      <c r="H14" s="14"/>
    </row>
    <row r="15" spans="2:9" outlineLevel="1">
      <c r="B15" s="6"/>
      <c r="C15" s="6"/>
      <c r="D15" s="14"/>
      <c r="E15" s="15"/>
      <c r="F15" s="6"/>
      <c r="G15" s="6"/>
      <c r="H15" s="14"/>
    </row>
    <row r="16" spans="2:9">
      <c r="C16" s="7" t="s">
        <v>46</v>
      </c>
      <c r="D16" s="13">
        <f>SUM(D6:D15)</f>
        <v>316109.53000000003</v>
      </c>
      <c r="E16" s="17"/>
      <c r="G16" s="7" t="s">
        <v>47</v>
      </c>
      <c r="H16" s="13">
        <f>SUM(H6:H15)</f>
        <v>32633.16</v>
      </c>
    </row>
    <row r="17" spans="2:11">
      <c r="G17" s="7" t="s">
        <v>48</v>
      </c>
      <c r="H17" s="13">
        <f>(D16-H16)</f>
        <v>283476.37000000005</v>
      </c>
    </row>
    <row r="18" spans="2:11" ht="8.25" customHeight="1"/>
    <row r="19" spans="2:11" ht="18.75">
      <c r="B19" s="5" t="s">
        <v>34</v>
      </c>
      <c r="C19" s="5" t="s">
        <v>35</v>
      </c>
      <c r="D19" s="5" t="s">
        <v>15</v>
      </c>
      <c r="E19" s="16"/>
      <c r="F19" s="5" t="s">
        <v>36</v>
      </c>
      <c r="G19" s="5" t="s">
        <v>35</v>
      </c>
      <c r="H19" s="5" t="s">
        <v>15</v>
      </c>
    </row>
    <row r="20" spans="2:11" outlineLevel="1">
      <c r="B20" s="8">
        <v>45323</v>
      </c>
      <c r="C20" s="6" t="s">
        <v>49</v>
      </c>
      <c r="D20" s="14">
        <f>H17</f>
        <v>283476.37000000005</v>
      </c>
      <c r="E20" s="15"/>
      <c r="F20" s="8">
        <v>45323</v>
      </c>
      <c r="G20" s="6" t="s">
        <v>50</v>
      </c>
      <c r="H20" s="14">
        <v>69020.570000000007</v>
      </c>
    </row>
    <row r="21" spans="2:11" outlineLevel="1">
      <c r="B21" s="8">
        <v>45334</v>
      </c>
      <c r="C21" s="6" t="s">
        <v>51</v>
      </c>
      <c r="D21" s="14">
        <v>25</v>
      </c>
      <c r="E21" s="15"/>
      <c r="F21" s="8">
        <v>45323</v>
      </c>
      <c r="G21" s="6" t="s">
        <v>52</v>
      </c>
      <c r="H21" s="14">
        <v>80877.89</v>
      </c>
    </row>
    <row r="22" spans="2:11" outlineLevel="1">
      <c r="B22" s="8">
        <v>45335</v>
      </c>
      <c r="C22" s="6" t="s">
        <v>39</v>
      </c>
      <c r="D22" s="14">
        <v>22574.81</v>
      </c>
      <c r="E22" s="15"/>
      <c r="F22" s="8">
        <v>45323</v>
      </c>
      <c r="G22" s="6" t="s">
        <v>53</v>
      </c>
      <c r="H22" s="14">
        <v>39790.21</v>
      </c>
    </row>
    <row r="23" spans="2:11" outlineLevel="1">
      <c r="B23" s="8"/>
      <c r="C23" s="6"/>
      <c r="D23" s="14"/>
      <c r="F23" s="8">
        <v>45323</v>
      </c>
      <c r="G23" s="6" t="s">
        <v>54</v>
      </c>
      <c r="H23" s="14">
        <v>5386.76</v>
      </c>
    </row>
    <row r="24" spans="2:11" outlineLevel="1">
      <c r="B24" s="8"/>
      <c r="C24" s="6"/>
      <c r="D24" s="14"/>
      <c r="F24" s="8">
        <v>45323</v>
      </c>
      <c r="G24" s="6" t="s">
        <v>54</v>
      </c>
      <c r="H24" s="14">
        <v>6507.47</v>
      </c>
    </row>
    <row r="25" spans="2:11" outlineLevel="1">
      <c r="B25" s="8"/>
      <c r="C25" s="6"/>
      <c r="D25" s="14"/>
      <c r="F25" s="8">
        <v>45336</v>
      </c>
      <c r="G25" s="6" t="s">
        <v>55</v>
      </c>
      <c r="H25" s="14">
        <v>12314.65</v>
      </c>
    </row>
    <row r="26" spans="2:11" outlineLevel="1">
      <c r="B26" s="8"/>
      <c r="C26" s="6"/>
      <c r="D26" s="14"/>
      <c r="F26" s="8">
        <v>45341</v>
      </c>
      <c r="G26" s="6" t="s">
        <v>199</v>
      </c>
      <c r="H26" s="14">
        <v>30448.42</v>
      </c>
    </row>
    <row r="27" spans="2:11" outlineLevel="1">
      <c r="B27" s="8"/>
      <c r="C27" s="6"/>
      <c r="D27" s="14"/>
      <c r="F27" s="8">
        <v>45349</v>
      </c>
      <c r="G27" s="6" t="s">
        <v>56</v>
      </c>
      <c r="H27" s="14">
        <v>3952.94</v>
      </c>
    </row>
    <row r="28" spans="2:11" outlineLevel="1">
      <c r="B28" s="8"/>
      <c r="C28" s="6"/>
      <c r="D28" s="14"/>
      <c r="F28" s="8">
        <v>45349</v>
      </c>
      <c r="G28" s="6" t="s">
        <v>57</v>
      </c>
      <c r="H28" s="14">
        <v>1792.2</v>
      </c>
    </row>
    <row r="29" spans="2:11" outlineLevel="1">
      <c r="B29" s="8"/>
      <c r="C29" s="6"/>
      <c r="D29" s="14"/>
      <c r="F29" s="8">
        <v>45351</v>
      </c>
      <c r="G29" s="6" t="s">
        <v>58</v>
      </c>
      <c r="H29" s="14">
        <v>17507.04</v>
      </c>
    </row>
    <row r="30" spans="2:11">
      <c r="C30" s="7" t="s">
        <v>59</v>
      </c>
      <c r="D30" s="13">
        <f>SUM(D20:D29)</f>
        <v>306076.18000000005</v>
      </c>
      <c r="G30" s="7" t="s">
        <v>60</v>
      </c>
      <c r="H30" s="13">
        <f>SUM(H20:H29)</f>
        <v>267598.15000000002</v>
      </c>
    </row>
    <row r="31" spans="2:11">
      <c r="G31" s="7" t="s">
        <v>61</v>
      </c>
      <c r="H31" s="13">
        <f>D30-H30</f>
        <v>38478.030000000028</v>
      </c>
      <c r="K31" s="12"/>
    </row>
    <row r="32" spans="2:11" ht="8.25" customHeight="1"/>
    <row r="33" spans="2:11" ht="18.75">
      <c r="B33" s="5" t="s">
        <v>34</v>
      </c>
      <c r="C33" s="5" t="s">
        <v>35</v>
      </c>
      <c r="D33" s="5" t="s">
        <v>15</v>
      </c>
      <c r="E33" s="16"/>
      <c r="F33" s="5" t="s">
        <v>36</v>
      </c>
      <c r="G33" s="5" t="s">
        <v>35</v>
      </c>
      <c r="H33" s="5" t="s">
        <v>15</v>
      </c>
      <c r="K33" s="15"/>
    </row>
    <row r="34" spans="2:11" outlineLevel="1">
      <c r="B34" s="8">
        <v>45352</v>
      </c>
      <c r="C34" s="6" t="s">
        <v>49</v>
      </c>
      <c r="D34" s="14">
        <f>H31</f>
        <v>38478.030000000028</v>
      </c>
      <c r="F34" s="8">
        <v>45352</v>
      </c>
      <c r="G34" s="6" t="s">
        <v>62</v>
      </c>
      <c r="H34" s="14">
        <v>54332.57</v>
      </c>
    </row>
    <row r="35" spans="2:11" outlineLevel="1">
      <c r="B35" s="8">
        <v>45352</v>
      </c>
      <c r="C35" s="6" t="s">
        <v>40</v>
      </c>
      <c r="D35" s="14">
        <v>225566.58</v>
      </c>
      <c r="F35" s="8">
        <v>45352</v>
      </c>
      <c r="G35" s="6" t="s">
        <v>63</v>
      </c>
      <c r="H35" s="14">
        <v>66189.899999999994</v>
      </c>
      <c r="K35" s="15"/>
    </row>
    <row r="36" spans="2:11" outlineLevel="1">
      <c r="B36" s="8">
        <v>45362</v>
      </c>
      <c r="C36" s="6" t="s">
        <v>64</v>
      </c>
      <c r="D36" s="14">
        <v>17468.75</v>
      </c>
      <c r="F36" s="8">
        <v>45352</v>
      </c>
      <c r="G36" s="6" t="s">
        <v>65</v>
      </c>
      <c r="H36" s="14">
        <v>24970.21</v>
      </c>
    </row>
    <row r="37" spans="2:11" outlineLevel="1">
      <c r="B37" s="8">
        <v>45366</v>
      </c>
      <c r="C37" s="6" t="s">
        <v>116</v>
      </c>
      <c r="D37" s="14">
        <v>7172.5</v>
      </c>
      <c r="F37" s="8">
        <v>45355</v>
      </c>
      <c r="G37" s="6" t="s">
        <v>66</v>
      </c>
      <c r="H37" s="14">
        <v>4381.18</v>
      </c>
      <c r="K37" s="12"/>
    </row>
    <row r="38" spans="2:11" outlineLevel="1">
      <c r="B38" s="8">
        <v>45371</v>
      </c>
      <c r="C38" s="6" t="s">
        <v>114</v>
      </c>
      <c r="D38" s="22">
        <v>288267.58</v>
      </c>
      <c r="F38" s="8">
        <v>45357</v>
      </c>
      <c r="G38" s="6" t="s">
        <v>67</v>
      </c>
      <c r="H38" s="14">
        <v>945</v>
      </c>
    </row>
    <row r="39" spans="2:11" outlineLevel="1">
      <c r="B39" s="8">
        <v>45377</v>
      </c>
      <c r="C39" s="6" t="s">
        <v>122</v>
      </c>
      <c r="D39" s="14">
        <v>77876.160000000003</v>
      </c>
      <c r="F39" s="8">
        <v>45358</v>
      </c>
      <c r="G39" s="6" t="s">
        <v>68</v>
      </c>
      <c r="H39" s="14">
        <v>1868.42</v>
      </c>
    </row>
    <row r="40" spans="2:11" outlineLevel="1">
      <c r="B40" s="8"/>
      <c r="C40" s="6"/>
      <c r="D40" s="14"/>
      <c r="F40" s="8">
        <v>45358</v>
      </c>
      <c r="G40" s="6" t="s">
        <v>69</v>
      </c>
      <c r="H40" s="14">
        <v>7910</v>
      </c>
    </row>
    <row r="41" spans="2:11" outlineLevel="1">
      <c r="B41" s="8"/>
      <c r="C41" s="6"/>
      <c r="D41" s="14"/>
      <c r="F41" s="8">
        <v>45364</v>
      </c>
      <c r="G41" s="6" t="s">
        <v>70</v>
      </c>
      <c r="H41" s="14">
        <v>9710.64</v>
      </c>
    </row>
    <row r="42" spans="2:11">
      <c r="C42" s="7" t="s">
        <v>71</v>
      </c>
      <c r="D42" s="13">
        <f>SUM(D34:D41)</f>
        <v>654829.6</v>
      </c>
      <c r="F42" s="8">
        <v>45366</v>
      </c>
      <c r="G42" s="6" t="s">
        <v>113</v>
      </c>
      <c r="H42" s="14">
        <f>16550.42</f>
        <v>16550.419999999998</v>
      </c>
    </row>
    <row r="43" spans="2:11">
      <c r="C43" s="37"/>
      <c r="D43" s="38"/>
      <c r="F43" s="8">
        <v>45369</v>
      </c>
      <c r="G43" s="6" t="s">
        <v>117</v>
      </c>
      <c r="H43" s="14">
        <v>15</v>
      </c>
    </row>
    <row r="44" spans="2:11">
      <c r="C44" s="37"/>
      <c r="D44" s="38"/>
      <c r="F44" s="8">
        <v>45369</v>
      </c>
      <c r="G44" s="6" t="s">
        <v>117</v>
      </c>
      <c r="H44" s="14">
        <v>15</v>
      </c>
    </row>
    <row r="45" spans="2:11">
      <c r="C45" s="37"/>
      <c r="D45" s="38"/>
      <c r="F45" s="8">
        <v>45370</v>
      </c>
      <c r="G45" s="6" t="s">
        <v>118</v>
      </c>
      <c r="H45" s="14">
        <v>2086.88</v>
      </c>
    </row>
    <row r="46" spans="2:11">
      <c r="C46" s="37"/>
      <c r="D46" s="38"/>
      <c r="F46" s="8">
        <v>45372</v>
      </c>
      <c r="G46" s="6" t="s">
        <v>119</v>
      </c>
      <c r="H46" s="14">
        <f>22996</f>
        <v>22996</v>
      </c>
    </row>
    <row r="47" spans="2:11">
      <c r="C47" s="37"/>
      <c r="D47" s="38"/>
      <c r="F47" s="8">
        <v>45372</v>
      </c>
      <c r="G47" s="6" t="s">
        <v>120</v>
      </c>
      <c r="H47" s="14">
        <f>888.15</f>
        <v>888.15</v>
      </c>
    </row>
    <row r="48" spans="2:11">
      <c r="C48" s="37"/>
      <c r="D48" s="38"/>
      <c r="F48" s="8">
        <v>45372</v>
      </c>
      <c r="G48" s="6" t="s">
        <v>121</v>
      </c>
      <c r="H48" s="14">
        <f>903.72</f>
        <v>903.72</v>
      </c>
    </row>
    <row r="49" spans="2:11">
      <c r="C49" s="37"/>
      <c r="D49" s="38"/>
      <c r="F49" s="8">
        <v>45378</v>
      </c>
      <c r="G49" s="6" t="s">
        <v>123</v>
      </c>
      <c r="H49" s="14">
        <v>64225.96</v>
      </c>
    </row>
    <row r="50" spans="2:11">
      <c r="C50" s="37"/>
      <c r="D50" s="38"/>
      <c r="F50" s="8">
        <v>45378</v>
      </c>
      <c r="G50" s="6" t="s">
        <v>124</v>
      </c>
      <c r="H50" s="14">
        <v>104766.97</v>
      </c>
    </row>
    <row r="51" spans="2:11">
      <c r="C51" s="37"/>
      <c r="D51" s="38"/>
      <c r="F51" s="8">
        <v>45378</v>
      </c>
      <c r="G51" s="6" t="s">
        <v>125</v>
      </c>
      <c r="H51" s="14">
        <v>24970.21</v>
      </c>
    </row>
    <row r="52" spans="2:11">
      <c r="C52" s="37"/>
      <c r="D52" s="38"/>
      <c r="F52" s="8">
        <v>45378</v>
      </c>
      <c r="G52" s="6" t="s">
        <v>126</v>
      </c>
      <c r="H52" s="14">
        <v>9364.49</v>
      </c>
    </row>
    <row r="53" spans="2:11">
      <c r="C53" s="37"/>
      <c r="D53" s="38"/>
      <c r="F53" s="8">
        <v>45378</v>
      </c>
      <c r="G53" s="6" t="s">
        <v>127</v>
      </c>
      <c r="H53" s="14">
        <v>5732.9</v>
      </c>
    </row>
    <row r="54" spans="2:11">
      <c r="G54" s="7" t="s">
        <v>72</v>
      </c>
      <c r="H54" s="13">
        <f>SUM(H34:H53)</f>
        <v>422823.62000000005</v>
      </c>
    </row>
    <row r="55" spans="2:11">
      <c r="G55" s="7" t="s">
        <v>73</v>
      </c>
      <c r="H55" s="13">
        <f>D42-H54</f>
        <v>232005.97999999992</v>
      </c>
      <c r="K55" s="12"/>
    </row>
    <row r="56" spans="2:11" ht="8.25" customHeight="1"/>
    <row r="57" spans="2:11" ht="18.75">
      <c r="B57" s="5" t="s">
        <v>34</v>
      </c>
      <c r="C57" s="5" t="s">
        <v>35</v>
      </c>
      <c r="D57" s="5" t="s">
        <v>15</v>
      </c>
      <c r="F57" s="5" t="s">
        <v>36</v>
      </c>
      <c r="G57" s="5" t="s">
        <v>35</v>
      </c>
      <c r="H57" s="5" t="s">
        <v>15</v>
      </c>
    </row>
    <row r="58" spans="2:11" outlineLevel="1">
      <c r="B58" s="8">
        <v>45383</v>
      </c>
      <c r="C58" s="6" t="s">
        <v>49</v>
      </c>
      <c r="D58" s="14">
        <f>H55</f>
        <v>232005.97999999992</v>
      </c>
      <c r="F58" s="8">
        <v>45383</v>
      </c>
      <c r="G58" s="6" t="s">
        <v>230</v>
      </c>
      <c r="H58" s="14">
        <f>66373.88</f>
        <v>66373.88</v>
      </c>
      <c r="J58" s="12"/>
    </row>
    <row r="59" spans="2:11" outlineLevel="1">
      <c r="B59" s="8">
        <v>45383</v>
      </c>
      <c r="C59" s="6" t="s">
        <v>115</v>
      </c>
      <c r="D59" s="14">
        <v>11926.09</v>
      </c>
      <c r="F59" s="8">
        <v>45384</v>
      </c>
      <c r="G59" s="6" t="s">
        <v>131</v>
      </c>
      <c r="H59" s="14">
        <v>15934.78</v>
      </c>
    </row>
    <row r="60" spans="2:11" outlineLevel="1">
      <c r="B60" s="8">
        <v>45393</v>
      </c>
      <c r="C60" s="6" t="s">
        <v>198</v>
      </c>
      <c r="D60" s="14">
        <v>7182.2</v>
      </c>
      <c r="F60" s="8">
        <v>45392</v>
      </c>
      <c r="G60" s="6" t="s">
        <v>201</v>
      </c>
      <c r="H60" s="14">
        <v>30680.39</v>
      </c>
      <c r="J60" s="12"/>
    </row>
    <row r="61" spans="2:11" outlineLevel="1">
      <c r="B61" s="8">
        <v>45397</v>
      </c>
      <c r="C61" s="6" t="s">
        <v>208</v>
      </c>
      <c r="D61" s="14">
        <v>13290.7</v>
      </c>
      <c r="F61" s="8">
        <v>45392</v>
      </c>
      <c r="G61" s="6" t="s">
        <v>204</v>
      </c>
      <c r="H61" s="14">
        <v>1783</v>
      </c>
      <c r="J61" s="12"/>
      <c r="K61" s="30"/>
    </row>
    <row r="62" spans="2:11" outlineLevel="1">
      <c r="B62" s="8">
        <v>45405</v>
      </c>
      <c r="C62" s="6" t="s">
        <v>122</v>
      </c>
      <c r="D62" s="14">
        <v>46356.30000000009</v>
      </c>
      <c r="F62" s="8">
        <v>45393</v>
      </c>
      <c r="G62" s="6" t="s">
        <v>203</v>
      </c>
      <c r="H62" s="14">
        <v>1700</v>
      </c>
    </row>
    <row r="63" spans="2:11" outlineLevel="1">
      <c r="B63" s="8">
        <v>45405</v>
      </c>
      <c r="C63" s="6" t="s">
        <v>197</v>
      </c>
      <c r="D63" s="14">
        <v>371170.87</v>
      </c>
      <c r="F63" s="8">
        <v>45394</v>
      </c>
      <c r="G63" s="6" t="s">
        <v>205</v>
      </c>
      <c r="H63" s="14">
        <v>17191.61</v>
      </c>
    </row>
    <row r="64" spans="2:11" outlineLevel="1">
      <c r="B64" s="8"/>
      <c r="C64" s="6"/>
      <c r="D64" s="14"/>
      <c r="F64" s="8">
        <v>45394</v>
      </c>
      <c r="G64" s="6" t="s">
        <v>207</v>
      </c>
      <c r="H64" s="14">
        <v>1178.23</v>
      </c>
    </row>
    <row r="65" spans="2:8" outlineLevel="1">
      <c r="B65" s="8"/>
      <c r="C65" s="6"/>
      <c r="D65" s="14"/>
      <c r="F65" s="8">
        <v>45397</v>
      </c>
      <c r="G65" s="6" t="s">
        <v>209</v>
      </c>
      <c r="H65" s="14">
        <f>90+125</f>
        <v>215</v>
      </c>
    </row>
    <row r="66" spans="2:8">
      <c r="C66" s="7" t="s">
        <v>128</v>
      </c>
      <c r="D66" s="13">
        <f>SUM(D58:D65)</f>
        <v>681932.14</v>
      </c>
      <c r="F66" s="8">
        <v>45397</v>
      </c>
      <c r="G66" s="6" t="s">
        <v>210</v>
      </c>
      <c r="H66" s="14">
        <v>45016.17</v>
      </c>
    </row>
    <row r="67" spans="2:8">
      <c r="F67" s="8">
        <v>45405</v>
      </c>
      <c r="G67" s="6" t="s">
        <v>216</v>
      </c>
      <c r="H67" s="14">
        <v>1791.87</v>
      </c>
    </row>
    <row r="68" spans="2:8">
      <c r="F68" s="8">
        <v>45405</v>
      </c>
      <c r="G68" s="6" t="s">
        <v>217</v>
      </c>
      <c r="H68" s="14">
        <v>914.3</v>
      </c>
    </row>
    <row r="69" spans="2:8">
      <c r="F69" s="8">
        <v>45405</v>
      </c>
      <c r="G69" s="6" t="s">
        <v>218</v>
      </c>
      <c r="H69" s="14">
        <v>3320</v>
      </c>
    </row>
    <row r="70" spans="2:8">
      <c r="F70" s="8">
        <v>45406</v>
      </c>
      <c r="G70" s="6" t="s">
        <v>224</v>
      </c>
      <c r="H70" s="14">
        <v>558.38</v>
      </c>
    </row>
    <row r="71" spans="2:8">
      <c r="F71" s="8">
        <v>45408</v>
      </c>
      <c r="G71" s="6" t="s">
        <v>227</v>
      </c>
      <c r="H71" s="14">
        <v>79101.47</v>
      </c>
    </row>
    <row r="72" spans="2:8">
      <c r="F72" s="8">
        <v>45408</v>
      </c>
      <c r="G72" s="6" t="s">
        <v>228</v>
      </c>
      <c r="H72" s="14">
        <v>105311.95</v>
      </c>
    </row>
    <row r="73" spans="2:8">
      <c r="F73" s="8">
        <v>45408</v>
      </c>
      <c r="G73" s="6" t="s">
        <v>229</v>
      </c>
      <c r="H73" s="14">
        <v>24970.21</v>
      </c>
    </row>
    <row r="74" spans="2:8">
      <c r="F74" s="8">
        <v>45408</v>
      </c>
      <c r="G74" s="6" t="s">
        <v>225</v>
      </c>
      <c r="H74" s="14">
        <v>10382.76</v>
      </c>
    </row>
    <row r="75" spans="2:8">
      <c r="F75" s="8">
        <v>45408</v>
      </c>
      <c r="G75" s="6" t="s">
        <v>226</v>
      </c>
      <c r="H75" s="14">
        <v>5732.9</v>
      </c>
    </row>
    <row r="76" spans="2:8">
      <c r="F76" s="8">
        <v>45408</v>
      </c>
      <c r="G76" s="6" t="s">
        <v>264</v>
      </c>
      <c r="H76" s="14">
        <v>28242.02</v>
      </c>
    </row>
    <row r="77" spans="2:8">
      <c r="F77" s="8">
        <v>45411</v>
      </c>
      <c r="G77" s="6" t="s">
        <v>231</v>
      </c>
      <c r="H77" s="14">
        <v>3707</v>
      </c>
    </row>
    <row r="78" spans="2:8">
      <c r="F78" s="8">
        <v>45411</v>
      </c>
      <c r="G78" s="6" t="s">
        <v>232</v>
      </c>
      <c r="H78" s="14">
        <v>56936.08</v>
      </c>
    </row>
    <row r="79" spans="2:8">
      <c r="F79" s="8">
        <v>45411</v>
      </c>
      <c r="G79" s="6" t="s">
        <v>233</v>
      </c>
      <c r="H79" s="14">
        <v>12012.85</v>
      </c>
    </row>
    <row r="80" spans="2:8">
      <c r="F80" s="8"/>
      <c r="G80" s="6"/>
      <c r="H80" s="14"/>
    </row>
    <row r="81" spans="2:11">
      <c r="F81" s="8"/>
      <c r="G81" s="6"/>
      <c r="H81" s="14"/>
    </row>
    <row r="82" spans="2:11">
      <c r="G82" s="7" t="s">
        <v>129</v>
      </c>
      <c r="H82" s="13">
        <f>SUM(H58:H81)</f>
        <v>513054.85000000003</v>
      </c>
    </row>
    <row r="83" spans="2:11">
      <c r="G83" s="7" t="s">
        <v>130</v>
      </c>
      <c r="H83" s="13">
        <f>D66-H82</f>
        <v>168877.28999999998</v>
      </c>
      <c r="I83" s="12"/>
      <c r="J83" s="12"/>
      <c r="K83" s="12"/>
    </row>
    <row r="84" spans="2:11">
      <c r="G84" s="28"/>
      <c r="H84" s="28"/>
      <c r="I84" s="28"/>
      <c r="J84" s="28"/>
    </row>
    <row r="85" spans="2:11" ht="18.75">
      <c r="B85" s="5" t="s">
        <v>34</v>
      </c>
      <c r="C85" s="5" t="s">
        <v>35</v>
      </c>
      <c r="D85" s="5" t="s">
        <v>15</v>
      </c>
      <c r="F85" s="5" t="s">
        <v>36</v>
      </c>
      <c r="G85" s="5" t="s">
        <v>35</v>
      </c>
      <c r="H85" s="5" t="s">
        <v>15</v>
      </c>
      <c r="I85" s="165"/>
      <c r="J85" s="28"/>
    </row>
    <row r="86" spans="2:11">
      <c r="B86" s="8">
        <v>45413</v>
      </c>
      <c r="C86" s="6" t="s">
        <v>49</v>
      </c>
      <c r="D86" s="14">
        <f>H83</f>
        <v>168877.28999999998</v>
      </c>
      <c r="F86" s="8">
        <v>45420</v>
      </c>
      <c r="G86" s="6" t="s">
        <v>241</v>
      </c>
      <c r="H86" s="14">
        <v>840</v>
      </c>
      <c r="I86" s="28"/>
      <c r="J86" s="28"/>
    </row>
    <row r="87" spans="2:11">
      <c r="B87" s="8">
        <v>45425</v>
      </c>
      <c r="C87" s="6" t="s">
        <v>254</v>
      </c>
      <c r="D87" s="14">
        <v>20483.740000000002</v>
      </c>
      <c r="F87" s="8">
        <v>45426</v>
      </c>
      <c r="G87" s="6" t="s">
        <v>245</v>
      </c>
      <c r="H87" s="14">
        <v>48442.26</v>
      </c>
      <c r="I87" s="28"/>
      <c r="J87" s="28"/>
    </row>
    <row r="88" spans="2:11">
      <c r="B88" s="8">
        <v>45428</v>
      </c>
      <c r="C88" s="6" t="s">
        <v>250</v>
      </c>
      <c r="D88" s="14">
        <v>269107.59999999998</v>
      </c>
      <c r="F88" s="8">
        <v>45426</v>
      </c>
      <c r="G88" s="6" t="s">
        <v>246</v>
      </c>
      <c r="H88" s="14">
        <v>15808.3</v>
      </c>
      <c r="I88" s="28"/>
      <c r="J88" s="28"/>
    </row>
    <row r="89" spans="2:11">
      <c r="B89" s="8">
        <v>45440</v>
      </c>
      <c r="C89" s="6" t="s">
        <v>248</v>
      </c>
      <c r="D89" s="14">
        <v>41146.97</v>
      </c>
      <c r="F89" s="8">
        <v>45426</v>
      </c>
      <c r="G89" s="6" t="s">
        <v>247</v>
      </c>
      <c r="H89" s="14">
        <v>1771.69</v>
      </c>
    </row>
    <row r="90" spans="2:11">
      <c r="B90" s="8"/>
      <c r="C90" s="6"/>
      <c r="D90" s="14"/>
      <c r="F90" s="8">
        <v>45428</v>
      </c>
      <c r="G90" s="6" t="s">
        <v>256</v>
      </c>
      <c r="H90" s="14">
        <f>1200*4</f>
        <v>4800</v>
      </c>
    </row>
    <row r="91" spans="2:11">
      <c r="B91" s="8"/>
      <c r="C91" s="6"/>
      <c r="D91" s="14"/>
      <c r="F91" s="8">
        <v>45440</v>
      </c>
      <c r="G91" s="6" t="s">
        <v>260</v>
      </c>
      <c r="H91" s="14">
        <v>54108.45</v>
      </c>
    </row>
    <row r="92" spans="2:11">
      <c r="B92" s="8"/>
      <c r="C92" s="6"/>
      <c r="D92" s="14"/>
      <c r="F92" s="8">
        <v>45440</v>
      </c>
      <c r="G92" s="6" t="s">
        <v>261</v>
      </c>
      <c r="H92" s="14">
        <v>84606.11</v>
      </c>
    </row>
    <row r="93" spans="2:11">
      <c r="B93" s="8"/>
      <c r="C93" s="6"/>
      <c r="D93" s="14"/>
      <c r="F93" s="8">
        <v>45440</v>
      </c>
      <c r="G93" s="6" t="s">
        <v>262</v>
      </c>
      <c r="H93" s="14">
        <v>24970.21</v>
      </c>
    </row>
    <row r="94" spans="2:11">
      <c r="C94" s="7" t="s">
        <v>240</v>
      </c>
      <c r="D94" s="13">
        <f>SUM(D86:D93)</f>
        <v>499615.6</v>
      </c>
      <c r="F94" s="8">
        <v>45440</v>
      </c>
      <c r="G94" s="6" t="s">
        <v>263</v>
      </c>
      <c r="H94" s="14">
        <v>10382.76</v>
      </c>
    </row>
    <row r="95" spans="2:11">
      <c r="F95" s="8">
        <v>45440</v>
      </c>
      <c r="G95" s="6" t="s">
        <v>226</v>
      </c>
      <c r="H95" s="14">
        <v>5732.9</v>
      </c>
    </row>
    <row r="96" spans="2:11">
      <c r="F96" s="8">
        <v>45440</v>
      </c>
      <c r="G96" s="6" t="s">
        <v>265</v>
      </c>
      <c r="H96" s="14">
        <f>28242.02</f>
        <v>28242.02</v>
      </c>
    </row>
    <row r="97" spans="6:11">
      <c r="F97" s="8">
        <v>45440</v>
      </c>
      <c r="G97" s="6" t="s">
        <v>284</v>
      </c>
      <c r="H97" s="14">
        <f>1791.87</f>
        <v>1791.87</v>
      </c>
    </row>
    <row r="98" spans="6:11">
      <c r="F98" s="8">
        <v>45440</v>
      </c>
      <c r="G98" s="6" t="s">
        <v>266</v>
      </c>
      <c r="H98" s="14">
        <v>4500</v>
      </c>
    </row>
    <row r="99" spans="6:11">
      <c r="F99" s="8">
        <v>45441</v>
      </c>
      <c r="G99" s="6" t="s">
        <v>283</v>
      </c>
      <c r="H99" s="14">
        <v>1828.6</v>
      </c>
    </row>
    <row r="100" spans="6:11">
      <c r="F100" s="8">
        <v>45441</v>
      </c>
      <c r="G100" s="6" t="s">
        <v>286</v>
      </c>
      <c r="H100" s="14">
        <v>20488</v>
      </c>
      <c r="I100">
        <v>7.88</v>
      </c>
    </row>
    <row r="101" spans="6:11">
      <c r="F101" s="8">
        <v>45441</v>
      </c>
      <c r="G101" s="6" t="s">
        <v>231</v>
      </c>
      <c r="H101" s="14">
        <v>2376.61</v>
      </c>
    </row>
    <row r="102" spans="6:11">
      <c r="F102" s="8">
        <v>45441</v>
      </c>
      <c r="G102" s="6" t="s">
        <v>232</v>
      </c>
      <c r="H102" s="14">
        <v>3960.32</v>
      </c>
    </row>
    <row r="103" spans="6:11">
      <c r="F103" s="8">
        <v>45441</v>
      </c>
      <c r="G103" s="6" t="s">
        <v>233</v>
      </c>
      <c r="H103" s="14">
        <v>7782.15</v>
      </c>
    </row>
    <row r="104" spans="6:11">
      <c r="F104" s="8"/>
      <c r="G104" s="6"/>
      <c r="H104" s="14"/>
    </row>
    <row r="105" spans="6:11">
      <c r="F105" s="8"/>
      <c r="G105" s="6"/>
      <c r="H105" s="14"/>
    </row>
    <row r="106" spans="6:11">
      <c r="F106" s="8"/>
      <c r="G106" s="6"/>
      <c r="H106" s="14"/>
    </row>
    <row r="107" spans="6:11">
      <c r="F107" s="8"/>
      <c r="G107" s="6"/>
      <c r="H107" s="14"/>
    </row>
    <row r="108" spans="6:11">
      <c r="F108" s="8"/>
      <c r="G108" s="6"/>
      <c r="H108" s="14"/>
    </row>
    <row r="109" spans="6:11">
      <c r="F109" s="8"/>
      <c r="G109" s="6"/>
      <c r="H109" s="14"/>
    </row>
    <row r="110" spans="6:11">
      <c r="G110" s="7" t="s">
        <v>268</v>
      </c>
      <c r="H110" s="13">
        <f>SUM(H86:H109)</f>
        <v>322432.25</v>
      </c>
    </row>
    <row r="111" spans="6:11">
      <c r="G111" s="7" t="s">
        <v>269</v>
      </c>
      <c r="H111" s="13">
        <f>D94-H110</f>
        <v>177183.34999999998</v>
      </c>
      <c r="J111" s="12"/>
      <c r="K111" s="12"/>
    </row>
    <row r="114" spans="2:10" ht="18.75">
      <c r="B114" s="5" t="s">
        <v>34</v>
      </c>
      <c r="C114" s="5" t="s">
        <v>35</v>
      </c>
      <c r="D114" s="5" t="s">
        <v>15</v>
      </c>
      <c r="F114" s="5" t="s">
        <v>36</v>
      </c>
      <c r="G114" s="5" t="s">
        <v>35</v>
      </c>
      <c r="H114" s="5" t="s">
        <v>15</v>
      </c>
    </row>
    <row r="115" spans="2:10">
      <c r="B115" s="8">
        <v>45444</v>
      </c>
      <c r="C115" s="6" t="s">
        <v>49</v>
      </c>
      <c r="D115" s="14">
        <f>H111</f>
        <v>177183.34999999998</v>
      </c>
      <c r="F115" s="8">
        <v>45449</v>
      </c>
      <c r="G115" s="6" t="s">
        <v>296</v>
      </c>
      <c r="H115" s="14">
        <v>41609.94</v>
      </c>
    </row>
    <row r="116" spans="2:10">
      <c r="B116" s="8">
        <v>45455</v>
      </c>
      <c r="C116" s="6" t="s">
        <v>305</v>
      </c>
      <c r="D116" s="14">
        <v>9387.8071999999993</v>
      </c>
      <c r="F116" s="8">
        <v>45450</v>
      </c>
      <c r="G116" s="6" t="s">
        <v>295</v>
      </c>
      <c r="H116" s="14">
        <f>840</f>
        <v>840</v>
      </c>
      <c r="J116" s="180">
        <v>0</v>
      </c>
    </row>
    <row r="117" spans="2:10">
      <c r="B117" s="8">
        <v>45455</v>
      </c>
      <c r="C117" s="6" t="s">
        <v>301</v>
      </c>
      <c r="D117" s="14">
        <v>341220.02480000001</v>
      </c>
      <c r="F117" s="8">
        <v>45450</v>
      </c>
      <c r="G117" s="6" t="s">
        <v>310</v>
      </c>
      <c r="H117" s="14">
        <f>(5280.45*7.88)</f>
        <v>41609.945999999996</v>
      </c>
    </row>
    <row r="118" spans="2:10">
      <c r="B118" s="8">
        <v>45455</v>
      </c>
      <c r="C118" s="6" t="s">
        <v>306</v>
      </c>
      <c r="D118" s="14">
        <f>15861.6632+0.06</f>
        <v>15861.7232</v>
      </c>
      <c r="F118" s="8">
        <v>45450</v>
      </c>
      <c r="G118" s="6" t="s">
        <v>297</v>
      </c>
      <c r="H118" s="14">
        <f>(40*7.88)</f>
        <v>315.2</v>
      </c>
    </row>
    <row r="119" spans="2:10">
      <c r="B119" s="8">
        <v>45469</v>
      </c>
      <c r="C119" s="6" t="s">
        <v>304</v>
      </c>
      <c r="D119" s="14">
        <v>43071.81</v>
      </c>
      <c r="F119" s="8">
        <v>45456</v>
      </c>
      <c r="G119" s="6" t="s">
        <v>309</v>
      </c>
      <c r="H119" s="14">
        <f>(1153.36*7.88)</f>
        <v>9088.4767999999985</v>
      </c>
    </row>
    <row r="120" spans="2:10">
      <c r="B120" s="8">
        <v>45470</v>
      </c>
      <c r="C120" s="6" t="s">
        <v>328</v>
      </c>
      <c r="D120" s="14">
        <v>41200.42</v>
      </c>
      <c r="F120" s="8">
        <v>45456</v>
      </c>
      <c r="G120" s="6" t="s">
        <v>297</v>
      </c>
      <c r="H120" s="14">
        <f>(40*7.88)</f>
        <v>315.2</v>
      </c>
    </row>
    <row r="121" spans="2:10">
      <c r="B121" s="8"/>
      <c r="C121" s="6"/>
      <c r="D121" s="14"/>
      <c r="F121" s="8">
        <v>45456</v>
      </c>
      <c r="G121" s="6" t="s">
        <v>311</v>
      </c>
      <c r="H121" s="14">
        <v>39252.31</v>
      </c>
    </row>
    <row r="122" spans="2:10">
      <c r="B122" s="8"/>
      <c r="C122" s="6"/>
      <c r="D122" s="14"/>
      <c r="F122" s="8">
        <v>45457</v>
      </c>
      <c r="G122" s="6" t="s">
        <v>350</v>
      </c>
      <c r="H122" s="14">
        <f>11895.04</f>
        <v>11895.04</v>
      </c>
    </row>
    <row r="123" spans="2:10">
      <c r="C123" s="7" t="s">
        <v>290</v>
      </c>
      <c r="D123" s="13">
        <f>SUM(D115:D122)</f>
        <v>627925.13520000002</v>
      </c>
      <c r="F123" s="8">
        <v>45457</v>
      </c>
      <c r="G123" s="6" t="s">
        <v>314</v>
      </c>
      <c r="H123" s="14">
        <f>1343.15</f>
        <v>1343.15</v>
      </c>
    </row>
    <row r="124" spans="2:10">
      <c r="F124" s="8">
        <v>45457</v>
      </c>
      <c r="G124" s="6" t="s">
        <v>232</v>
      </c>
      <c r="H124" s="14">
        <f>1740.27</f>
        <v>1740.27</v>
      </c>
    </row>
    <row r="125" spans="2:10">
      <c r="F125" s="8">
        <v>45457</v>
      </c>
      <c r="G125" s="6" t="s">
        <v>233</v>
      </c>
      <c r="H125" s="14">
        <f>10986.74</f>
        <v>10986.74</v>
      </c>
    </row>
    <row r="126" spans="2:10">
      <c r="F126" s="8">
        <v>45471</v>
      </c>
      <c r="G126" s="6" t="s">
        <v>319</v>
      </c>
      <c r="H126" s="14">
        <f>96255.75</f>
        <v>96255.75</v>
      </c>
    </row>
    <row r="127" spans="2:10">
      <c r="F127" s="8">
        <v>45471</v>
      </c>
      <c r="G127" s="6" t="s">
        <v>320</v>
      </c>
      <c r="H127" s="14">
        <f>114725.07</f>
        <v>114725.07</v>
      </c>
    </row>
    <row r="128" spans="2:10">
      <c r="F128" s="8">
        <v>45471</v>
      </c>
      <c r="G128" s="6" t="s">
        <v>321</v>
      </c>
      <c r="H128" s="14">
        <f>38748.71</f>
        <v>38748.71</v>
      </c>
    </row>
    <row r="129" spans="2:10">
      <c r="F129" s="8">
        <v>45471</v>
      </c>
      <c r="G129" s="6" t="s">
        <v>322</v>
      </c>
      <c r="H129" s="14">
        <f>12847.82</f>
        <v>12847.82</v>
      </c>
    </row>
    <row r="130" spans="2:10">
      <c r="F130" s="8">
        <v>45471</v>
      </c>
      <c r="G130" s="6" t="s">
        <v>323</v>
      </c>
      <c r="H130" s="14">
        <f>7685.23</f>
        <v>7685.23</v>
      </c>
    </row>
    <row r="131" spans="2:10">
      <c r="F131" s="8">
        <v>45471</v>
      </c>
      <c r="G131" s="6" t="s">
        <v>318</v>
      </c>
      <c r="H131" s="14">
        <f>32199.32</f>
        <v>32199.32</v>
      </c>
    </row>
    <row r="132" spans="2:10">
      <c r="F132" s="8"/>
      <c r="G132" s="6"/>
      <c r="H132" s="14"/>
    </row>
    <row r="133" spans="2:10">
      <c r="F133" s="8"/>
      <c r="G133" s="6"/>
      <c r="H133" s="14"/>
    </row>
    <row r="134" spans="2:10">
      <c r="F134" s="8"/>
      <c r="G134" s="6"/>
      <c r="H134" s="14"/>
    </row>
    <row r="135" spans="2:10">
      <c r="G135" s="7" t="s">
        <v>292</v>
      </c>
      <c r="H135" s="13">
        <f>SUM(H115:H134)</f>
        <v>461458.1728</v>
      </c>
    </row>
    <row r="136" spans="2:10">
      <c r="G136" s="7" t="s">
        <v>293</v>
      </c>
      <c r="H136" s="13">
        <f>D123-H135</f>
        <v>166466.96240000002</v>
      </c>
      <c r="I136" s="38"/>
      <c r="J136" s="12"/>
    </row>
    <row r="139" spans="2:10">
      <c r="H139" s="12"/>
    </row>
    <row r="141" spans="2:10" ht="18.75">
      <c r="B141" s="5" t="s">
        <v>34</v>
      </c>
      <c r="C141" s="5" t="s">
        <v>35</v>
      </c>
      <c r="D141" s="5" t="s">
        <v>15</v>
      </c>
      <c r="F141" s="5" t="s">
        <v>36</v>
      </c>
      <c r="G141" s="5" t="s">
        <v>35</v>
      </c>
      <c r="H141" s="5" t="s">
        <v>15</v>
      </c>
    </row>
    <row r="142" spans="2:10">
      <c r="B142" s="8">
        <v>45474</v>
      </c>
      <c r="C142" s="6" t="s">
        <v>49</v>
      </c>
      <c r="D142" s="14">
        <f>H136+0.03</f>
        <v>166466.99240000002</v>
      </c>
      <c r="F142" s="8">
        <v>45475</v>
      </c>
      <c r="G142" s="6" t="s">
        <v>324</v>
      </c>
      <c r="H142" s="14">
        <f>38497.02</f>
        <v>38497.019999999997</v>
      </c>
    </row>
    <row r="143" spans="2:10">
      <c r="B143" s="8">
        <v>45485</v>
      </c>
      <c r="C143" s="6" t="s">
        <v>344</v>
      </c>
      <c r="D143" s="14">
        <v>284899.12</v>
      </c>
      <c r="F143" s="8">
        <v>45475</v>
      </c>
      <c r="G143" s="6" t="s">
        <v>356</v>
      </c>
      <c r="H143" s="14">
        <f>888.15</f>
        <v>888.15</v>
      </c>
      <c r="J143" s="180">
        <v>0</v>
      </c>
    </row>
    <row r="144" spans="2:10">
      <c r="B144" s="8">
        <v>45488</v>
      </c>
      <c r="C144" s="6" t="s">
        <v>346</v>
      </c>
      <c r="D144" s="14">
        <v>7197.2642727906114</v>
      </c>
      <c r="F144" s="8">
        <v>45475</v>
      </c>
      <c r="G144" s="6" t="s">
        <v>501</v>
      </c>
      <c r="H144" s="14">
        <f>903.72</f>
        <v>903.72</v>
      </c>
    </row>
    <row r="145" spans="2:8">
      <c r="B145" s="8">
        <v>45488</v>
      </c>
      <c r="C145" s="6" t="s">
        <v>347</v>
      </c>
      <c r="D145" s="14">
        <v>13286.47572720939</v>
      </c>
      <c r="F145" s="8">
        <v>45475</v>
      </c>
      <c r="G145" s="6" t="s">
        <v>502</v>
      </c>
      <c r="H145" s="14">
        <f>1828.6</f>
        <v>1828.6</v>
      </c>
    </row>
    <row r="146" spans="2:8">
      <c r="B146" s="8">
        <v>45495</v>
      </c>
      <c r="C146" s="6" t="s">
        <v>345</v>
      </c>
      <c r="D146" s="14">
        <f>'Diferencia en cambio'!I25</f>
        <v>41329.252369087997</v>
      </c>
      <c r="F146" s="8">
        <v>45483</v>
      </c>
      <c r="G146" s="6" t="s">
        <v>342</v>
      </c>
      <c r="H146" s="14">
        <v>43669.120000000003</v>
      </c>
    </row>
    <row r="147" spans="2:8">
      <c r="B147" s="8">
        <v>45495</v>
      </c>
      <c r="C147" s="6" t="s">
        <v>348</v>
      </c>
      <c r="D147" s="14">
        <f>'Diferencia en cambio'!I29</f>
        <v>43204.147630911997</v>
      </c>
      <c r="F147" s="8">
        <v>45483</v>
      </c>
      <c r="G147" s="6" t="s">
        <v>343</v>
      </c>
      <c r="H147" s="14">
        <f>840</f>
        <v>840</v>
      </c>
    </row>
    <row r="148" spans="2:8">
      <c r="B148" s="8"/>
      <c r="C148" s="6"/>
      <c r="D148" s="14"/>
      <c r="F148" s="8">
        <v>45485</v>
      </c>
      <c r="G148" s="6" t="s">
        <v>244</v>
      </c>
      <c r="H148" s="14">
        <f>1200</f>
        <v>1200</v>
      </c>
    </row>
    <row r="149" spans="2:8">
      <c r="B149" s="8"/>
      <c r="C149" s="6"/>
      <c r="D149" s="14"/>
      <c r="F149" s="8">
        <v>45488</v>
      </c>
      <c r="G149" s="6" t="s">
        <v>349</v>
      </c>
      <c r="H149" s="14">
        <f>223.15</f>
        <v>223.15</v>
      </c>
    </row>
    <row r="150" spans="2:8">
      <c r="C150" s="7" t="s">
        <v>329</v>
      </c>
      <c r="D150" s="13">
        <f>SUM(D142:D149)</f>
        <v>556383.2524</v>
      </c>
      <c r="F150" s="8">
        <v>45488</v>
      </c>
      <c r="G150" s="6" t="s">
        <v>351</v>
      </c>
      <c r="H150" s="14">
        <v>12837.81</v>
      </c>
    </row>
    <row r="151" spans="2:8">
      <c r="F151" s="8">
        <v>45488</v>
      </c>
      <c r="G151" s="6" t="s">
        <v>352</v>
      </c>
      <c r="H151" s="14">
        <v>1755.82</v>
      </c>
    </row>
    <row r="152" spans="2:8">
      <c r="F152" s="8">
        <v>45496</v>
      </c>
      <c r="G152" s="6" t="s">
        <v>353</v>
      </c>
      <c r="H152" s="14">
        <f>888.15</f>
        <v>888.15</v>
      </c>
    </row>
    <row r="153" spans="2:8">
      <c r="F153" s="8">
        <v>45496</v>
      </c>
      <c r="G153" s="6" t="s">
        <v>477</v>
      </c>
      <c r="H153" s="14">
        <f>903.72</f>
        <v>903.72</v>
      </c>
    </row>
    <row r="154" spans="2:8">
      <c r="F154" s="8">
        <v>45496</v>
      </c>
      <c r="G154" s="6" t="s">
        <v>478</v>
      </c>
      <c r="H154" s="14">
        <f>1828.6</f>
        <v>1828.6</v>
      </c>
    </row>
    <row r="155" spans="2:8">
      <c r="F155" s="8">
        <v>45499</v>
      </c>
      <c r="G155" s="6" t="s">
        <v>358</v>
      </c>
      <c r="H155" s="14">
        <f>84891.41</f>
        <v>84891.41</v>
      </c>
    </row>
    <row r="156" spans="2:8">
      <c r="F156" s="8">
        <v>45499</v>
      </c>
      <c r="G156" s="6" t="s">
        <v>359</v>
      </c>
      <c r="H156" s="14">
        <f>72752.58</f>
        <v>72752.58</v>
      </c>
    </row>
    <row r="157" spans="2:8">
      <c r="F157" s="8">
        <v>45499</v>
      </c>
      <c r="G157" s="6" t="s">
        <v>360</v>
      </c>
      <c r="H157" s="14">
        <f>24970.21</f>
        <v>24970.21</v>
      </c>
    </row>
    <row r="158" spans="2:8">
      <c r="F158" s="8">
        <v>45499</v>
      </c>
      <c r="G158" s="6" t="s">
        <v>361</v>
      </c>
      <c r="H158" s="14">
        <f>10382.76</f>
        <v>10382.76</v>
      </c>
    </row>
    <row r="159" spans="2:8">
      <c r="F159" s="8">
        <v>45499</v>
      </c>
      <c r="G159" s="6" t="s">
        <v>362</v>
      </c>
      <c r="H159" s="14">
        <f>5732.9</f>
        <v>5732.9</v>
      </c>
    </row>
    <row r="160" spans="2:8">
      <c r="F160" s="8">
        <v>45499</v>
      </c>
      <c r="G160" s="6" t="s">
        <v>363</v>
      </c>
      <c r="H160" s="14">
        <f>29515.65</f>
        <v>29515.65</v>
      </c>
    </row>
    <row r="161" spans="1:10">
      <c r="F161" s="8">
        <v>45499</v>
      </c>
      <c r="G161" s="6" t="s">
        <v>364</v>
      </c>
      <c r="H161" s="14">
        <f>28242.02</f>
        <v>28242.02</v>
      </c>
    </row>
    <row r="162" spans="1:10">
      <c r="F162" s="8">
        <v>45499</v>
      </c>
      <c r="G162" s="6" t="s">
        <v>366</v>
      </c>
      <c r="H162" s="14">
        <f>4622.5</f>
        <v>4622.5</v>
      </c>
    </row>
    <row r="163" spans="1:10">
      <c r="F163" s="8">
        <v>45499</v>
      </c>
      <c r="G163" s="6" t="s">
        <v>367</v>
      </c>
      <c r="H163" s="14">
        <f>4796.53</f>
        <v>4796.53</v>
      </c>
    </row>
    <row r="164" spans="1:10">
      <c r="F164" s="8">
        <v>45504</v>
      </c>
      <c r="G164" s="6" t="s">
        <v>370</v>
      </c>
      <c r="H164" s="14">
        <f>558.38</f>
        <v>558.38</v>
      </c>
    </row>
    <row r="165" spans="1:10">
      <c r="F165" s="8"/>
      <c r="G165" s="6"/>
      <c r="H165" s="14"/>
    </row>
    <row r="166" spans="1:10">
      <c r="G166" s="7" t="s">
        <v>330</v>
      </c>
      <c r="H166" s="13">
        <f>SUM(H142:H165)</f>
        <v>372728.80000000016</v>
      </c>
    </row>
    <row r="167" spans="1:10">
      <c r="G167" s="7" t="s">
        <v>331</v>
      </c>
      <c r="H167" s="13">
        <f>D150-H166</f>
        <v>183654.45239999983</v>
      </c>
      <c r="I167" s="38"/>
      <c r="J167" s="12"/>
    </row>
    <row r="170" spans="1:10" ht="18.75">
      <c r="B170" s="5" t="s">
        <v>34</v>
      </c>
      <c r="C170" s="5" t="s">
        <v>35</v>
      </c>
      <c r="D170" s="5" t="s">
        <v>15</v>
      </c>
      <c r="F170" s="5" t="s">
        <v>36</v>
      </c>
      <c r="G170" s="5" t="s">
        <v>35</v>
      </c>
      <c r="H170" s="5" t="s">
        <v>15</v>
      </c>
    </row>
    <row r="171" spans="1:10">
      <c r="B171" s="8">
        <v>45505</v>
      </c>
      <c r="C171" s="6" t="s">
        <v>49</v>
      </c>
      <c r="D171" s="14">
        <f>H167</f>
        <v>183654.45239999983</v>
      </c>
      <c r="F171" s="8">
        <v>45513</v>
      </c>
      <c r="G171" s="6" t="s">
        <v>388</v>
      </c>
      <c r="H171" s="14">
        <f>840</f>
        <v>840</v>
      </c>
    </row>
    <row r="172" spans="1:10">
      <c r="B172" s="8">
        <v>45517</v>
      </c>
      <c r="C172" s="6" t="s">
        <v>399</v>
      </c>
      <c r="D172" s="14">
        <v>13203.01</v>
      </c>
      <c r="F172" s="8">
        <v>45513</v>
      </c>
      <c r="G172" s="6" t="s">
        <v>384</v>
      </c>
      <c r="H172" s="14">
        <f>842.11</f>
        <v>842.11</v>
      </c>
    </row>
    <row r="173" spans="1:10">
      <c r="A173" s="170"/>
      <c r="B173" s="8">
        <v>45518</v>
      </c>
      <c r="C173" s="6" t="s">
        <v>397</v>
      </c>
      <c r="D173" s="14">
        <v>220045.98351379536</v>
      </c>
      <c r="F173" s="8">
        <v>45513</v>
      </c>
      <c r="G173" s="6" t="s">
        <v>389</v>
      </c>
      <c r="H173" s="14">
        <v>48735.98</v>
      </c>
    </row>
    <row r="174" spans="1:10">
      <c r="A174" s="170"/>
      <c r="B174" s="8">
        <v>45518</v>
      </c>
      <c r="C174" s="6" t="s">
        <v>398</v>
      </c>
      <c r="D174" s="14">
        <v>7266.2064862046427</v>
      </c>
      <c r="F174" s="8">
        <v>45517</v>
      </c>
      <c r="G174" s="6" t="s">
        <v>391</v>
      </c>
      <c r="H174" s="14">
        <f>1486.96</f>
        <v>1486.96</v>
      </c>
      <c r="J174" s="12"/>
    </row>
    <row r="175" spans="1:10">
      <c r="B175" s="8">
        <v>45526</v>
      </c>
      <c r="C175" s="6" t="s">
        <v>396</v>
      </c>
      <c r="D175" s="14">
        <v>41118.30054545556</v>
      </c>
      <c r="F175" s="8">
        <v>45518</v>
      </c>
      <c r="G175" s="6" t="s">
        <v>401</v>
      </c>
      <c r="H175" s="14">
        <f>14909.47</f>
        <v>14909.47</v>
      </c>
    </row>
    <row r="176" spans="1:10">
      <c r="B176" s="8">
        <v>45526</v>
      </c>
      <c r="C176" s="6" t="s">
        <v>400</v>
      </c>
      <c r="D176" s="14">
        <v>42983.471874131894</v>
      </c>
      <c r="F176" s="8">
        <v>45525</v>
      </c>
      <c r="G176" s="6" t="s">
        <v>406</v>
      </c>
      <c r="H176" s="14">
        <v>15</v>
      </c>
    </row>
    <row r="177" spans="2:8">
      <c r="B177" s="8">
        <v>45526</v>
      </c>
      <c r="C177" s="6" t="s">
        <v>408</v>
      </c>
      <c r="D177" s="14">
        <v>18803.837580412554</v>
      </c>
      <c r="F177" s="8">
        <v>45525</v>
      </c>
      <c r="G177" s="6" t="s">
        <v>406</v>
      </c>
      <c r="H177" s="14">
        <v>15</v>
      </c>
    </row>
    <row r="178" spans="2:8">
      <c r="B178" s="8">
        <v>45534</v>
      </c>
      <c r="C178" s="6" t="s">
        <v>443</v>
      </c>
      <c r="D178" s="14">
        <f>'Diferencia en cambio'!$I$35</f>
        <v>6832.27</v>
      </c>
      <c r="F178" s="8">
        <v>45525</v>
      </c>
      <c r="G178" s="6" t="s">
        <v>406</v>
      </c>
      <c r="H178" s="14">
        <v>15</v>
      </c>
    </row>
    <row r="179" spans="2:8">
      <c r="C179" s="7" t="s">
        <v>385</v>
      </c>
      <c r="D179" s="13">
        <f>SUM(D171:D178)</f>
        <v>533907.53239999979</v>
      </c>
      <c r="F179" s="8">
        <v>45527</v>
      </c>
      <c r="G179" s="6" t="s">
        <v>403</v>
      </c>
      <c r="H179" s="14">
        <f>888.15</f>
        <v>888.15</v>
      </c>
    </row>
    <row r="180" spans="2:8">
      <c r="F180" s="8">
        <v>45527</v>
      </c>
      <c r="G180" s="6" t="s">
        <v>479</v>
      </c>
      <c r="H180" s="14">
        <f>903.72</f>
        <v>903.72</v>
      </c>
    </row>
    <row r="181" spans="2:8">
      <c r="F181" s="8">
        <v>45527</v>
      </c>
      <c r="G181" s="6" t="s">
        <v>480</v>
      </c>
      <c r="H181" s="14">
        <f>1828.6</f>
        <v>1828.6</v>
      </c>
    </row>
    <row r="182" spans="2:8">
      <c r="F182" s="8">
        <v>45532</v>
      </c>
      <c r="G182" s="6" t="s">
        <v>432</v>
      </c>
      <c r="H182" s="14">
        <v>15740</v>
      </c>
    </row>
    <row r="183" spans="2:8">
      <c r="C183" s="12"/>
      <c r="F183" s="8">
        <v>45532</v>
      </c>
      <c r="G183" s="6" t="s">
        <v>419</v>
      </c>
      <c r="H183" s="14">
        <f>53704.34</f>
        <v>53704.34</v>
      </c>
    </row>
    <row r="184" spans="2:8">
      <c r="F184" s="8">
        <v>45532</v>
      </c>
      <c r="G184" s="6" t="s">
        <v>420</v>
      </c>
      <c r="H184" s="14">
        <f>66369.9</f>
        <v>66369.899999999994</v>
      </c>
    </row>
    <row r="185" spans="2:8">
      <c r="D185" s="12"/>
      <c r="F185" s="8">
        <v>45532</v>
      </c>
      <c r="G185" s="6" t="s">
        <v>421</v>
      </c>
      <c r="H185" s="14">
        <f>24970.21</f>
        <v>24970.21</v>
      </c>
    </row>
    <row r="186" spans="2:8">
      <c r="C186" s="12"/>
      <c r="F186" s="8">
        <v>45532</v>
      </c>
      <c r="G186" s="6" t="s">
        <v>422</v>
      </c>
      <c r="H186" s="14">
        <f>10382.76</f>
        <v>10382.76</v>
      </c>
    </row>
    <row r="187" spans="2:8">
      <c r="C187" s="12"/>
      <c r="F187" s="8">
        <v>45532</v>
      </c>
      <c r="G187" s="6" t="s">
        <v>423</v>
      </c>
      <c r="H187" s="14">
        <f>5732.9</f>
        <v>5732.9</v>
      </c>
    </row>
    <row r="188" spans="2:8">
      <c r="C188" s="12"/>
      <c r="F188" s="8">
        <v>45532</v>
      </c>
      <c r="G188" s="6" t="s">
        <v>424</v>
      </c>
      <c r="H188" s="14">
        <f>29515.65</f>
        <v>29515.65</v>
      </c>
    </row>
    <row r="189" spans="2:8">
      <c r="F189" s="8">
        <v>45532</v>
      </c>
      <c r="G189" s="6" t="s">
        <v>425</v>
      </c>
      <c r="H189" s="14">
        <f>28242.02</f>
        <v>28242.02</v>
      </c>
    </row>
    <row r="190" spans="2:8">
      <c r="F190" s="8">
        <v>45532</v>
      </c>
      <c r="G190" s="6" t="s">
        <v>426</v>
      </c>
      <c r="H190" s="14">
        <f>5501.16</f>
        <v>5501.16</v>
      </c>
    </row>
    <row r="191" spans="2:8">
      <c r="F191" s="8">
        <v>45532</v>
      </c>
      <c r="G191" s="6" t="s">
        <v>427</v>
      </c>
      <c r="H191" s="14">
        <f>3943.21</f>
        <v>3943.21</v>
      </c>
    </row>
    <row r="192" spans="2:8">
      <c r="F192" s="8">
        <v>45532</v>
      </c>
      <c r="G192" s="6" t="s">
        <v>428</v>
      </c>
      <c r="H192" s="14">
        <f>3943.21</f>
        <v>3943.21</v>
      </c>
    </row>
    <row r="193" spans="2:11">
      <c r="F193" s="8">
        <v>45532</v>
      </c>
      <c r="G193" s="6" t="s">
        <v>429</v>
      </c>
      <c r="H193" s="14">
        <f>3943.21</f>
        <v>3943.21</v>
      </c>
    </row>
    <row r="194" spans="2:11">
      <c r="F194" s="8">
        <v>45532</v>
      </c>
      <c r="G194" s="6" t="s">
        <v>430</v>
      </c>
      <c r="H194" s="14">
        <f>6724.03</f>
        <v>6724.03</v>
      </c>
    </row>
    <row r="195" spans="2:11">
      <c r="F195" s="8">
        <v>45532</v>
      </c>
      <c r="G195" s="6" t="s">
        <v>431</v>
      </c>
      <c r="H195" s="14">
        <f>5024</f>
        <v>5024</v>
      </c>
    </row>
    <row r="196" spans="2:11">
      <c r="F196" s="8">
        <v>45533</v>
      </c>
      <c r="G196" s="6" t="s">
        <v>435</v>
      </c>
      <c r="H196" s="14">
        <v>32054.510000000002</v>
      </c>
    </row>
    <row r="197" spans="2:11">
      <c r="C197" t="s">
        <v>433</v>
      </c>
      <c r="F197" s="8">
        <v>45533</v>
      </c>
      <c r="G197" s="6" t="s">
        <v>457</v>
      </c>
      <c r="H197" s="14">
        <v>314.8</v>
      </c>
    </row>
    <row r="198" spans="2:11">
      <c r="F198" s="8"/>
      <c r="G198" s="6"/>
      <c r="H198" s="14"/>
    </row>
    <row r="199" spans="2:11">
      <c r="F199" s="8"/>
      <c r="G199" s="6"/>
      <c r="H199" s="14"/>
    </row>
    <row r="200" spans="2:11">
      <c r="C200" s="38"/>
      <c r="F200" s="8"/>
      <c r="G200" s="6"/>
      <c r="H200" s="14"/>
    </row>
    <row r="201" spans="2:11">
      <c r="G201" s="7" t="s">
        <v>386</v>
      </c>
      <c r="H201" s="13">
        <f>SUM(H171:H200)</f>
        <v>366585.90000000008</v>
      </c>
    </row>
    <row r="202" spans="2:11">
      <c r="G202" s="7" t="s">
        <v>387</v>
      </c>
      <c r="H202" s="13">
        <f>D179-H201</f>
        <v>167321.63239999971</v>
      </c>
      <c r="K202" s="12"/>
    </row>
    <row r="204" spans="2:11" ht="18.75">
      <c r="B204" s="5" t="s">
        <v>34</v>
      </c>
      <c r="C204" s="5" t="s">
        <v>35</v>
      </c>
      <c r="D204" s="5" t="s">
        <v>15</v>
      </c>
      <c r="F204" s="5" t="s">
        <v>36</v>
      </c>
      <c r="G204" s="5" t="s">
        <v>35</v>
      </c>
      <c r="H204" s="5" t="s">
        <v>15</v>
      </c>
    </row>
    <row r="205" spans="2:11">
      <c r="B205" s="203">
        <v>45536</v>
      </c>
      <c r="C205" s="204" t="s">
        <v>49</v>
      </c>
      <c r="D205" s="22">
        <f>H202</f>
        <v>167321.63239999971</v>
      </c>
      <c r="F205" s="8">
        <v>45541</v>
      </c>
      <c r="G205" s="6" t="s">
        <v>500</v>
      </c>
      <c r="H205" s="14">
        <f>840</f>
        <v>840</v>
      </c>
    </row>
    <row r="206" spans="2:11" ht="30">
      <c r="B206" s="203">
        <v>45552</v>
      </c>
      <c r="C206" s="205" t="s">
        <v>461</v>
      </c>
      <c r="D206" s="22">
        <f>'Diferencia en cambio'!$I$38</f>
        <v>226530.02737696387</v>
      </c>
      <c r="F206" s="8">
        <v>45541</v>
      </c>
      <c r="G206" s="6" t="s">
        <v>441</v>
      </c>
      <c r="H206" s="14">
        <f>240*7.87</f>
        <v>1888.8</v>
      </c>
    </row>
    <row r="207" spans="2:11">
      <c r="B207" s="203">
        <v>45552</v>
      </c>
      <c r="C207" s="205" t="s">
        <v>462</v>
      </c>
      <c r="D207" s="22">
        <f>'Diferencia en cambio'!$I$39</f>
        <v>7228.3613984190069</v>
      </c>
      <c r="F207" s="8">
        <v>45541</v>
      </c>
      <c r="G207" s="6" t="s">
        <v>457</v>
      </c>
      <c r="H207" s="14">
        <f>15*7.87</f>
        <v>118.05</v>
      </c>
    </row>
    <row r="208" spans="2:11">
      <c r="B208" s="203">
        <v>45552</v>
      </c>
      <c r="C208" s="205" t="s">
        <v>463</v>
      </c>
      <c r="D208" s="22">
        <f>'Diferencia en cambio'!$I$40</f>
        <v>13543.911224617113</v>
      </c>
      <c r="F208" s="8">
        <v>45545</v>
      </c>
      <c r="G208" s="6" t="s">
        <v>467</v>
      </c>
      <c r="H208" s="14">
        <f>843.56</f>
        <v>843.56</v>
      </c>
    </row>
    <row r="209" spans="2:8">
      <c r="B209" s="203">
        <v>45553</v>
      </c>
      <c r="C209" s="204" t="s">
        <v>450</v>
      </c>
      <c r="D209" s="22">
        <v>6832.27</v>
      </c>
      <c r="F209" s="8">
        <v>45548</v>
      </c>
      <c r="G209" s="6" t="s">
        <v>472</v>
      </c>
      <c r="H209" s="14">
        <f>44275.81</f>
        <v>44275.81</v>
      </c>
    </row>
    <row r="210" spans="2:8">
      <c r="B210" s="203">
        <v>45555</v>
      </c>
      <c r="C210" s="204" t="s">
        <v>445</v>
      </c>
      <c r="D210" s="22">
        <f>'Flujo caja Septiembre'!$D$14</f>
        <v>41117.35701250258</v>
      </c>
      <c r="F210" s="8">
        <v>45548</v>
      </c>
      <c r="G210" s="6" t="s">
        <v>471</v>
      </c>
      <c r="H210" s="14">
        <f>11892.63</f>
        <v>11892.63</v>
      </c>
    </row>
    <row r="211" spans="2:8">
      <c r="B211" s="203">
        <v>45555</v>
      </c>
      <c r="C211" s="204" t="s">
        <v>449</v>
      </c>
      <c r="D211" s="22">
        <f>'Flujo caja Septiembre'!$D$18</f>
        <v>43829.259794235368</v>
      </c>
      <c r="F211" s="8">
        <v>45548</v>
      </c>
      <c r="G211" s="6" t="s">
        <v>470</v>
      </c>
      <c r="H211" s="14">
        <f>1489.01</f>
        <v>1489.01</v>
      </c>
    </row>
    <row r="212" spans="2:8">
      <c r="B212" s="203">
        <v>45555</v>
      </c>
      <c r="C212" s="204" t="s">
        <v>451</v>
      </c>
      <c r="D212" s="22">
        <f>'Flujo caja Septiembre'!$D$20</f>
        <v>18803.873193262047</v>
      </c>
      <c r="F212" s="8">
        <v>45560</v>
      </c>
      <c r="G212" s="6" t="s">
        <v>533</v>
      </c>
      <c r="H212" s="14">
        <f>888.15</f>
        <v>888.15</v>
      </c>
    </row>
    <row r="213" spans="2:8">
      <c r="C213" s="7" t="s">
        <v>456</v>
      </c>
      <c r="D213" s="13">
        <f>SUM(D205:D212)</f>
        <v>525206.69239999971</v>
      </c>
      <c r="F213" s="8">
        <v>45560</v>
      </c>
      <c r="G213" s="6" t="s">
        <v>534</v>
      </c>
      <c r="H213" s="14">
        <f>903.72</f>
        <v>903.72</v>
      </c>
    </row>
    <row r="214" spans="2:8">
      <c r="F214" s="8">
        <v>45560</v>
      </c>
      <c r="G214" s="6" t="s">
        <v>535</v>
      </c>
      <c r="H214" s="14">
        <f>1828.6</f>
        <v>1828.6</v>
      </c>
    </row>
    <row r="215" spans="2:8">
      <c r="F215" s="8">
        <v>45561</v>
      </c>
      <c r="G215" s="6" t="s">
        <v>548</v>
      </c>
      <c r="H215" s="14">
        <f>6160.09</f>
        <v>6160.09</v>
      </c>
    </row>
    <row r="216" spans="2:8">
      <c r="F216" s="8">
        <v>45561</v>
      </c>
      <c r="G216" s="6" t="s">
        <v>488</v>
      </c>
      <c r="H216" s="14">
        <f>(2000*7.87)</f>
        <v>15740</v>
      </c>
    </row>
    <row r="217" spans="2:8">
      <c r="F217" s="8">
        <v>45562</v>
      </c>
      <c r="G217" s="6" t="s">
        <v>481</v>
      </c>
      <c r="H217" s="14">
        <f>28242.02</f>
        <v>28242.02</v>
      </c>
    </row>
    <row r="218" spans="2:8">
      <c r="F218" s="8">
        <v>45562</v>
      </c>
      <c r="G218" s="6" t="s">
        <v>482</v>
      </c>
      <c r="H218" s="14">
        <f>24970.21</f>
        <v>24970.21</v>
      </c>
    </row>
    <row r="219" spans="2:8">
      <c r="F219" s="8">
        <v>45562</v>
      </c>
      <c r="G219" s="6" t="s">
        <v>483</v>
      </c>
      <c r="H219" s="14">
        <f>53704.34</f>
        <v>53704.34</v>
      </c>
    </row>
    <row r="220" spans="2:8">
      <c r="F220" s="8">
        <v>45562</v>
      </c>
      <c r="G220" s="6" t="s">
        <v>484</v>
      </c>
      <c r="H220" s="14">
        <f>66369.9</f>
        <v>66369.899999999994</v>
      </c>
    </row>
    <row r="221" spans="2:8">
      <c r="F221" s="8">
        <v>45562</v>
      </c>
      <c r="G221" s="6" t="s">
        <v>487</v>
      </c>
      <c r="H221" s="14">
        <f>5732.9</f>
        <v>5732.9</v>
      </c>
    </row>
    <row r="222" spans="2:8">
      <c r="F222" s="8">
        <v>45562</v>
      </c>
      <c r="G222" s="6" t="s">
        <v>165</v>
      </c>
      <c r="H222" s="14">
        <f>10562.8</f>
        <v>10562.8</v>
      </c>
    </row>
    <row r="223" spans="2:8">
      <c r="F223" s="8">
        <v>45562</v>
      </c>
      <c r="G223" s="6" t="s">
        <v>485</v>
      </c>
      <c r="H223" s="14">
        <f>29515.65</f>
        <v>29515.65</v>
      </c>
    </row>
    <row r="224" spans="2:8">
      <c r="F224" s="8">
        <v>45562</v>
      </c>
      <c r="G224" s="6" t="s">
        <v>426</v>
      </c>
      <c r="H224" s="14">
        <f>5501.16</f>
        <v>5501.16</v>
      </c>
    </row>
    <row r="225" spans="2:11">
      <c r="F225" s="8">
        <v>45562</v>
      </c>
      <c r="G225" s="6" t="s">
        <v>427</v>
      </c>
      <c r="H225" s="14">
        <f>3943.21</f>
        <v>3943.21</v>
      </c>
    </row>
    <row r="226" spans="2:11">
      <c r="F226" s="8">
        <v>45562</v>
      </c>
      <c r="G226" s="6" t="s">
        <v>428</v>
      </c>
      <c r="H226" s="14">
        <f>3943.21</f>
        <v>3943.21</v>
      </c>
    </row>
    <row r="227" spans="2:11">
      <c r="F227" s="8">
        <v>45562</v>
      </c>
      <c r="G227" s="6" t="s">
        <v>486</v>
      </c>
      <c r="H227" s="14">
        <f>3943.21</f>
        <v>3943.21</v>
      </c>
    </row>
    <row r="228" spans="2:11">
      <c r="G228" s="7" t="s">
        <v>454</v>
      </c>
      <c r="H228" s="13">
        <f>SUM(H205:H227)</f>
        <v>323297.03000000003</v>
      </c>
    </row>
    <row r="229" spans="2:11">
      <c r="G229" s="7" t="s">
        <v>455</v>
      </c>
      <c r="H229" s="13">
        <f>D213-H228</f>
        <v>201909.66239999968</v>
      </c>
    </row>
    <row r="231" spans="2:11" ht="18.75">
      <c r="B231" s="5" t="s">
        <v>34</v>
      </c>
      <c r="C231" s="5" t="s">
        <v>35</v>
      </c>
      <c r="D231" s="5" t="s">
        <v>15</v>
      </c>
      <c r="F231" s="5" t="s">
        <v>36</v>
      </c>
      <c r="G231" s="5" t="s">
        <v>35</v>
      </c>
      <c r="H231" s="5" t="s">
        <v>15</v>
      </c>
    </row>
    <row r="232" spans="2:11">
      <c r="B232" s="203">
        <v>45536</v>
      </c>
      <c r="C232" s="204" t="s">
        <v>49</v>
      </c>
      <c r="D232" s="22">
        <f>H229</f>
        <v>201909.66239999968</v>
      </c>
      <c r="F232" s="8">
        <v>45569</v>
      </c>
      <c r="G232" s="6" t="s">
        <v>499</v>
      </c>
      <c r="H232" s="14">
        <v>880</v>
      </c>
    </row>
    <row r="233" spans="2:11">
      <c r="B233" s="203">
        <v>45580</v>
      </c>
      <c r="C233" s="158" t="s">
        <v>508</v>
      </c>
      <c r="D233" s="22">
        <f>'Diferencia en cambio'!$I$46</f>
        <v>7162.6735059050907</v>
      </c>
      <c r="F233" s="8">
        <v>45569</v>
      </c>
      <c r="G233" s="6" t="s">
        <v>503</v>
      </c>
      <c r="H233" s="14">
        <f>2450</f>
        <v>2450</v>
      </c>
    </row>
    <row r="234" spans="2:11" ht="15" customHeight="1">
      <c r="B234" s="203">
        <v>45580</v>
      </c>
      <c r="C234" s="158" t="s">
        <v>509</v>
      </c>
      <c r="D234" s="22">
        <f>'Diferencia en cambio'!$I$47</f>
        <v>13420.825591600838</v>
      </c>
      <c r="F234" s="8">
        <v>45569</v>
      </c>
      <c r="G234" s="6" t="s">
        <v>504</v>
      </c>
      <c r="H234" s="14">
        <f>1850.82</f>
        <v>1850.82</v>
      </c>
    </row>
    <row r="235" spans="2:11" ht="30">
      <c r="B235" s="203">
        <v>45580</v>
      </c>
      <c r="C235" s="205" t="s">
        <v>510</v>
      </c>
      <c r="D235" s="22">
        <f>'Diferencia en cambio'!$I$49</f>
        <v>6860.6609024940735</v>
      </c>
      <c r="F235" s="8">
        <v>45579</v>
      </c>
      <c r="G235" s="6" t="s">
        <v>522</v>
      </c>
      <c r="H235" s="14">
        <v>11902.13</v>
      </c>
    </row>
    <row r="236" spans="2:11">
      <c r="B236" s="203">
        <v>45581</v>
      </c>
      <c r="C236" s="204" t="s">
        <v>507</v>
      </c>
      <c r="D236" s="22">
        <f>'Diferencia en cambio'!I45</f>
        <v>254916.3</v>
      </c>
      <c r="F236" s="8">
        <v>45579</v>
      </c>
      <c r="G236" s="6" t="s">
        <v>495</v>
      </c>
      <c r="H236" s="14">
        <v>1522.3</v>
      </c>
    </row>
    <row r="237" spans="2:11">
      <c r="B237" s="203">
        <v>45583</v>
      </c>
      <c r="C237" s="204" t="s">
        <v>543</v>
      </c>
      <c r="D237" s="22">
        <f>'Diferencia en cambio'!I44</f>
        <v>41118.425976283725</v>
      </c>
      <c r="F237" s="8">
        <v>45580</v>
      </c>
      <c r="G237" s="6" t="s">
        <v>521</v>
      </c>
      <c r="H237" s="14">
        <v>558.38</v>
      </c>
      <c r="J237" s="180">
        <v>0</v>
      </c>
    </row>
    <row r="238" spans="2:11">
      <c r="B238" s="203">
        <v>45583</v>
      </c>
      <c r="C238" s="204" t="s">
        <v>544</v>
      </c>
      <c r="D238" s="22">
        <f>'Diferencia en cambio'!$I$48</f>
        <v>43829.079082447621</v>
      </c>
      <c r="F238" s="8">
        <v>45580</v>
      </c>
      <c r="G238" s="6" t="s">
        <v>523</v>
      </c>
      <c r="H238" s="14">
        <v>44275.81</v>
      </c>
    </row>
    <row r="239" spans="2:11">
      <c r="B239" s="203">
        <v>45583</v>
      </c>
      <c r="C239" s="204" t="s">
        <v>545</v>
      </c>
      <c r="D239" s="22">
        <f>'Diferencia en cambio'!I50</f>
        <v>18803.894941268652</v>
      </c>
      <c r="F239" s="8">
        <v>45580</v>
      </c>
      <c r="G239" s="6" t="s">
        <v>524</v>
      </c>
      <c r="H239" s="14">
        <v>88.5</v>
      </c>
      <c r="I239" s="14">
        <f>28.5*3</f>
        <v>85.5</v>
      </c>
      <c r="J239" s="12">
        <f>H239-I239</f>
        <v>3</v>
      </c>
      <c r="K239" s="213" t="s">
        <v>546</v>
      </c>
    </row>
    <row r="240" spans="2:11">
      <c r="B240" s="203"/>
      <c r="C240" s="204"/>
      <c r="D240" s="22"/>
      <c r="F240" s="8">
        <v>45580</v>
      </c>
      <c r="G240" s="6" t="s">
        <v>597</v>
      </c>
      <c r="H240" s="14">
        <f>(2000*7.87)</f>
        <v>15740</v>
      </c>
    </row>
    <row r="241" spans="2:10">
      <c r="B241" s="203"/>
      <c r="C241" s="204"/>
      <c r="D241" s="22"/>
      <c r="F241" s="8">
        <v>45582</v>
      </c>
      <c r="G241" s="6" t="s">
        <v>532</v>
      </c>
      <c r="H241" s="14">
        <f>888.15</f>
        <v>888.15</v>
      </c>
    </row>
    <row r="242" spans="2:10">
      <c r="C242" s="7" t="s">
        <v>490</v>
      </c>
      <c r="D242" s="13">
        <f>SUM(D232:D241)</f>
        <v>588021.52239999955</v>
      </c>
      <c r="F242" s="8">
        <v>45582</v>
      </c>
      <c r="G242" s="6" t="s">
        <v>536</v>
      </c>
      <c r="H242" s="14">
        <f>903.72</f>
        <v>903.72</v>
      </c>
    </row>
    <row r="243" spans="2:10">
      <c r="F243" s="8">
        <v>45582</v>
      </c>
      <c r="G243" s="6" t="s">
        <v>537</v>
      </c>
      <c r="H243" s="14">
        <f>1828.6</f>
        <v>1828.6</v>
      </c>
    </row>
    <row r="244" spans="2:10">
      <c r="F244" s="8">
        <v>45582</v>
      </c>
      <c r="G244" s="6" t="s">
        <v>538</v>
      </c>
      <c r="H244" s="14">
        <f>843.56</f>
        <v>843.56</v>
      </c>
    </row>
    <row r="245" spans="2:10">
      <c r="F245" s="8">
        <v>45593</v>
      </c>
      <c r="G245" s="6" t="s">
        <v>481</v>
      </c>
      <c r="H245" s="14">
        <f>28242.02</f>
        <v>28242.02</v>
      </c>
    </row>
    <row r="246" spans="2:10">
      <c r="F246" s="8">
        <v>45593</v>
      </c>
      <c r="G246" s="6" t="s">
        <v>482</v>
      </c>
      <c r="H246" s="14">
        <f>24970.21</f>
        <v>24970.21</v>
      </c>
    </row>
    <row r="247" spans="2:10">
      <c r="F247" s="8">
        <v>45593</v>
      </c>
      <c r="G247" s="6" t="s">
        <v>483</v>
      </c>
      <c r="H247" s="14">
        <f>69782.54</f>
        <v>69782.539999999994</v>
      </c>
    </row>
    <row r="248" spans="2:10">
      <c r="F248" s="8">
        <v>45593</v>
      </c>
      <c r="G248" s="6" t="s">
        <v>484</v>
      </c>
      <c r="H248" s="14">
        <f>73579.86</f>
        <v>73579.86</v>
      </c>
    </row>
    <row r="249" spans="2:10">
      <c r="F249" s="8">
        <v>45593</v>
      </c>
      <c r="G249" s="6" t="s">
        <v>487</v>
      </c>
      <c r="H249" s="14">
        <f>5732.9</f>
        <v>5732.9</v>
      </c>
    </row>
    <row r="250" spans="2:10">
      <c r="F250" s="8">
        <v>45593</v>
      </c>
      <c r="G250" s="6" t="s">
        <v>165</v>
      </c>
      <c r="H250" s="14">
        <f>10562.8</f>
        <v>10562.8</v>
      </c>
      <c r="J250" s="12"/>
    </row>
    <row r="251" spans="2:10">
      <c r="F251" s="8">
        <v>45593</v>
      </c>
      <c r="G251" s="6" t="s">
        <v>485</v>
      </c>
      <c r="H251" s="14">
        <f>29515.65</f>
        <v>29515.65</v>
      </c>
      <c r="J251" s="12"/>
    </row>
    <row r="252" spans="2:10">
      <c r="F252" s="8">
        <v>45593</v>
      </c>
      <c r="G252" s="6" t="s">
        <v>426</v>
      </c>
      <c r="H252" s="14">
        <f>5501.16</f>
        <v>5501.16</v>
      </c>
      <c r="J252" s="12"/>
    </row>
    <row r="253" spans="2:10">
      <c r="F253" s="8">
        <v>45593</v>
      </c>
      <c r="G253" s="6" t="s">
        <v>427</v>
      </c>
      <c r="H253" s="14">
        <f>3943.21</f>
        <v>3943.21</v>
      </c>
    </row>
    <row r="254" spans="2:10">
      <c r="F254" s="8">
        <v>45593</v>
      </c>
      <c r="G254" s="6" t="s">
        <v>428</v>
      </c>
      <c r="H254" s="14">
        <f>3943.21</f>
        <v>3943.21</v>
      </c>
    </row>
    <row r="255" spans="2:10">
      <c r="F255" s="8">
        <v>45593</v>
      </c>
      <c r="G255" s="6" t="s">
        <v>486</v>
      </c>
      <c r="H255" s="14">
        <f>3943.21</f>
        <v>3943.21</v>
      </c>
    </row>
    <row r="256" spans="2:10">
      <c r="F256" s="8">
        <v>45593</v>
      </c>
      <c r="G256" s="6" t="s">
        <v>547</v>
      </c>
      <c r="H256" s="14">
        <f>4194.64</f>
        <v>4194.6400000000003</v>
      </c>
    </row>
    <row r="257" spans="2:8">
      <c r="F257" s="8">
        <v>45593</v>
      </c>
      <c r="G257" s="6" t="s">
        <v>549</v>
      </c>
      <c r="H257" s="14">
        <f>4448</f>
        <v>4448</v>
      </c>
    </row>
    <row r="258" spans="2:8">
      <c r="F258" s="8">
        <v>45595</v>
      </c>
      <c r="G258" s="6" t="s">
        <v>550</v>
      </c>
      <c r="H258" s="14">
        <v>37210.934000000001</v>
      </c>
    </row>
    <row r="259" spans="2:8">
      <c r="F259" s="8">
        <v>45595</v>
      </c>
      <c r="G259" s="6" t="s">
        <v>297</v>
      </c>
      <c r="H259" s="14">
        <f>40*7.87</f>
        <v>314.8</v>
      </c>
    </row>
    <row r="260" spans="2:8">
      <c r="F260" s="8">
        <v>45595</v>
      </c>
      <c r="G260" s="6" t="s">
        <v>552</v>
      </c>
      <c r="H260" s="14">
        <v>3377.89</v>
      </c>
    </row>
    <row r="261" spans="2:8">
      <c r="F261" s="8"/>
      <c r="G261" s="6"/>
      <c r="H261" s="14"/>
    </row>
    <row r="262" spans="2:8">
      <c r="F262" s="8"/>
      <c r="G262" s="6"/>
      <c r="H262" s="14"/>
    </row>
    <row r="263" spans="2:8">
      <c r="F263" s="8"/>
      <c r="G263" s="6"/>
      <c r="H263" s="14"/>
    </row>
    <row r="264" spans="2:8">
      <c r="F264" s="8"/>
      <c r="G264" s="6"/>
      <c r="H264" s="14"/>
    </row>
    <row r="265" spans="2:8">
      <c r="G265" s="7" t="s">
        <v>491</v>
      </c>
      <c r="H265" s="13">
        <f>SUM(H232:H264)</f>
        <v>392995.00400000007</v>
      </c>
    </row>
    <row r="266" spans="2:8">
      <c r="G266" s="7" t="s">
        <v>492</v>
      </c>
      <c r="H266" s="13">
        <f>D242-H265</f>
        <v>195026.51839999948</v>
      </c>
    </row>
    <row r="269" spans="2:8" ht="18.75">
      <c r="B269" s="5" t="s">
        <v>34</v>
      </c>
      <c r="C269" s="5" t="s">
        <v>35</v>
      </c>
      <c r="D269" s="5" t="s">
        <v>15</v>
      </c>
      <c r="F269" s="5" t="s">
        <v>36</v>
      </c>
      <c r="G269" s="5" t="s">
        <v>35</v>
      </c>
      <c r="H269" s="5" t="s">
        <v>15</v>
      </c>
    </row>
    <row r="270" spans="2:8">
      <c r="B270" s="203">
        <v>45597</v>
      </c>
      <c r="C270" s="204" t="s">
        <v>49</v>
      </c>
      <c r="D270" s="22">
        <f>H266</f>
        <v>195026.51839999948</v>
      </c>
      <c r="F270" s="8">
        <v>45608</v>
      </c>
      <c r="G270" s="6" t="s">
        <v>556</v>
      </c>
      <c r="H270" s="14">
        <v>48910.94</v>
      </c>
    </row>
    <row r="271" spans="2:8" ht="30">
      <c r="B271" s="203">
        <v>45610</v>
      </c>
      <c r="C271" s="158" t="s">
        <v>584</v>
      </c>
      <c r="D271" s="22">
        <f>'Diferencia en cambio'!$I$52</f>
        <v>408290.82323863456</v>
      </c>
      <c r="F271" s="8">
        <v>45608</v>
      </c>
      <c r="G271" s="6" t="s">
        <v>561</v>
      </c>
      <c r="H271" s="14">
        <v>1500</v>
      </c>
    </row>
    <row r="272" spans="2:8" ht="30">
      <c r="B272" s="203">
        <v>45610</v>
      </c>
      <c r="C272" s="158" t="s">
        <v>585</v>
      </c>
      <c r="D272" s="22">
        <f>'Diferencia en cambio'!$I$53</f>
        <v>11942.845507762318</v>
      </c>
      <c r="F272" s="8">
        <v>45609</v>
      </c>
      <c r="G272" s="6" t="s">
        <v>572</v>
      </c>
      <c r="H272" s="14">
        <v>13821.14</v>
      </c>
    </row>
    <row r="273" spans="2:10" ht="30">
      <c r="B273" s="203">
        <v>45610</v>
      </c>
      <c r="C273" s="158" t="s">
        <v>586</v>
      </c>
      <c r="D273" s="22">
        <f>'Diferencia en cambio'!$I$54</f>
        <v>22300.596756136893</v>
      </c>
      <c r="F273" s="8">
        <v>45609</v>
      </c>
      <c r="G273" s="6" t="s">
        <v>573</v>
      </c>
      <c r="H273" s="14">
        <f>3953.3</f>
        <v>3953.3</v>
      </c>
    </row>
    <row r="274" spans="2:10" ht="30">
      <c r="B274" s="203">
        <v>45610</v>
      </c>
      <c r="C274" s="158" t="s">
        <v>587</v>
      </c>
      <c r="D274" s="22">
        <f>'Diferencia en cambio'!$I$56</f>
        <v>8952.8144974662537</v>
      </c>
      <c r="F274" s="8">
        <v>45610</v>
      </c>
      <c r="G274" s="6" t="s">
        <v>577</v>
      </c>
      <c r="H274" s="14">
        <f>840</f>
        <v>840</v>
      </c>
    </row>
    <row r="275" spans="2:10" ht="30">
      <c r="B275" s="203">
        <v>45615</v>
      </c>
      <c r="C275" s="158" t="s">
        <v>565</v>
      </c>
      <c r="D275" s="22">
        <f>'Flujo caja Noviembre '!D13</f>
        <v>41067.208471898179</v>
      </c>
      <c r="F275" s="8">
        <v>45610</v>
      </c>
      <c r="G275" s="6" t="s">
        <v>576</v>
      </c>
      <c r="H275" s="14">
        <f>(50-3)</f>
        <v>47</v>
      </c>
      <c r="J275" s="12">
        <f>H274+H275</f>
        <v>887</v>
      </c>
    </row>
    <row r="276" spans="2:10" ht="30">
      <c r="B276" s="203">
        <v>45615</v>
      </c>
      <c r="C276" s="158" t="s">
        <v>569</v>
      </c>
      <c r="D276" s="22">
        <f>'Flujo caja Noviembre '!$D$17</f>
        <v>43769.668289753645</v>
      </c>
      <c r="F276" s="8">
        <v>45611</v>
      </c>
      <c r="G276" s="6" t="s">
        <v>583</v>
      </c>
      <c r="H276" s="14">
        <v>2299</v>
      </c>
    </row>
    <row r="277" spans="2:10">
      <c r="B277" s="203">
        <v>45615</v>
      </c>
      <c r="C277" s="158" t="s">
        <v>589</v>
      </c>
      <c r="D277" s="22">
        <f>'Flujo caja Noviembre '!$D$19</f>
        <v>18783.653238348161</v>
      </c>
      <c r="F277" s="8">
        <v>45614</v>
      </c>
      <c r="G277" s="6" t="s">
        <v>588</v>
      </c>
      <c r="H277" s="14">
        <f>2500</f>
        <v>2500</v>
      </c>
    </row>
    <row r="278" spans="2:10">
      <c r="B278" s="203"/>
      <c r="C278" s="204"/>
      <c r="D278" s="22"/>
      <c r="F278" s="8">
        <v>45617</v>
      </c>
      <c r="G278" s="6" t="s">
        <v>590</v>
      </c>
      <c r="H278" s="14">
        <f>'Flujo caja Noviembre '!D42</f>
        <v>888.15</v>
      </c>
    </row>
    <row r="279" spans="2:10">
      <c r="B279" s="203"/>
      <c r="C279" s="204"/>
      <c r="D279" s="22"/>
      <c r="F279" s="8">
        <v>45617</v>
      </c>
      <c r="G279" s="6" t="s">
        <v>591</v>
      </c>
      <c r="H279" s="14">
        <f>'Flujo caja Noviembre '!D43</f>
        <v>903.72</v>
      </c>
      <c r="J279" s="219"/>
    </row>
    <row r="280" spans="2:10">
      <c r="C280" s="7" t="s">
        <v>564</v>
      </c>
      <c r="D280" s="13">
        <f>SUM(D270:D279)</f>
        <v>750134.12839999935</v>
      </c>
      <c r="F280" s="8">
        <v>45617</v>
      </c>
      <c r="G280" s="6" t="s">
        <v>592</v>
      </c>
      <c r="H280" s="14">
        <f>'Flujo caja Noviembre '!D44</f>
        <v>1828.6</v>
      </c>
    </row>
    <row r="281" spans="2:10">
      <c r="F281" s="8">
        <v>45617</v>
      </c>
      <c r="G281" s="6" t="s">
        <v>593</v>
      </c>
      <c r="H281" s="14">
        <f>'Flujo caja Noviembre '!D41</f>
        <v>843.56</v>
      </c>
      <c r="J281" s="12"/>
    </row>
    <row r="282" spans="2:10">
      <c r="F282" s="8">
        <v>45617</v>
      </c>
      <c r="G282" s="6" t="s">
        <v>598</v>
      </c>
      <c r="H282" s="14">
        <f>(4000*7.86)</f>
        <v>31440</v>
      </c>
      <c r="J282" s="12"/>
    </row>
    <row r="283" spans="2:10">
      <c r="F283" s="8">
        <v>45624</v>
      </c>
      <c r="G283" s="6" t="s">
        <v>481</v>
      </c>
      <c r="H283" s="222">
        <f>51315.77*$J$283</f>
        <v>51315.77</v>
      </c>
      <c r="J283" s="180">
        <v>1</v>
      </c>
    </row>
    <row r="284" spans="2:10">
      <c r="F284" s="8">
        <v>45624</v>
      </c>
      <c r="G284" s="6" t="s">
        <v>482</v>
      </c>
      <c r="H284" s="14">
        <f>50230.79</f>
        <v>50230.79</v>
      </c>
    </row>
    <row r="285" spans="2:10">
      <c r="F285" s="8">
        <v>45624</v>
      </c>
      <c r="G285" s="6" t="s">
        <v>483</v>
      </c>
      <c r="H285" s="14">
        <f>114927.49</f>
        <v>114927.49</v>
      </c>
    </row>
    <row r="286" spans="2:10">
      <c r="F286" s="8">
        <v>45624</v>
      </c>
      <c r="G286" s="6" t="s">
        <v>484</v>
      </c>
      <c r="H286" s="14">
        <f>158204.59</f>
        <v>158204.59</v>
      </c>
    </row>
    <row r="287" spans="2:10">
      <c r="F287" s="8">
        <v>45624</v>
      </c>
      <c r="G287" s="6" t="s">
        <v>487</v>
      </c>
      <c r="H287" s="14">
        <f>10125.65</f>
        <v>10125.65</v>
      </c>
    </row>
    <row r="288" spans="2:10">
      <c r="F288" s="8">
        <v>45624</v>
      </c>
      <c r="G288" s="6" t="s">
        <v>165</v>
      </c>
      <c r="H288" s="14">
        <f>18721.13</f>
        <v>18721.13</v>
      </c>
    </row>
    <row r="289" spans="6:8">
      <c r="F289" s="8">
        <v>45624</v>
      </c>
      <c r="G289" s="6" t="s">
        <v>485</v>
      </c>
      <c r="H289" s="14">
        <f>45617.65</f>
        <v>45617.65</v>
      </c>
    </row>
    <row r="290" spans="6:8">
      <c r="F290" s="8">
        <v>45624</v>
      </c>
      <c r="G290" s="6" t="s">
        <v>426</v>
      </c>
      <c r="H290" s="14">
        <f>7368.16</f>
        <v>7368.16</v>
      </c>
    </row>
    <row r="291" spans="6:8">
      <c r="F291" s="8">
        <v>45624</v>
      </c>
      <c r="G291" s="6" t="s">
        <v>427</v>
      </c>
      <c r="H291" s="14">
        <f>5236.88</f>
        <v>5236.88</v>
      </c>
    </row>
    <row r="292" spans="6:8">
      <c r="F292" s="8">
        <v>45624</v>
      </c>
      <c r="G292" s="6" t="s">
        <v>428</v>
      </c>
      <c r="H292" s="14">
        <f>5236.88</f>
        <v>5236.88</v>
      </c>
    </row>
    <row r="293" spans="6:8">
      <c r="F293" s="8">
        <v>45624</v>
      </c>
      <c r="G293" s="6" t="s">
        <v>486</v>
      </c>
      <c r="H293" s="14">
        <f>5236.88</f>
        <v>5236.88</v>
      </c>
    </row>
    <row r="294" spans="6:8">
      <c r="F294" s="8">
        <v>45624</v>
      </c>
      <c r="G294" s="6" t="s">
        <v>600</v>
      </c>
      <c r="H294" s="14">
        <f>3906.63</f>
        <v>3906.63</v>
      </c>
    </row>
    <row r="295" spans="6:8">
      <c r="F295" s="8"/>
      <c r="G295" s="6"/>
      <c r="H295" s="14"/>
    </row>
    <row r="296" spans="6:8">
      <c r="F296" s="8"/>
      <c r="G296" s="6"/>
      <c r="H296" s="14"/>
    </row>
    <row r="297" spans="6:8">
      <c r="F297" s="8"/>
      <c r="G297" s="6"/>
      <c r="H297" s="14"/>
    </row>
    <row r="298" spans="6:8">
      <c r="F298" s="8"/>
      <c r="G298" s="6"/>
      <c r="H298" s="14"/>
    </row>
    <row r="299" spans="6:8">
      <c r="F299" s="8"/>
      <c r="G299" s="6"/>
      <c r="H299" s="14"/>
    </row>
    <row r="300" spans="6:8">
      <c r="F300" s="8"/>
      <c r="G300" s="6"/>
      <c r="H300" s="14"/>
    </row>
    <row r="301" spans="6:8">
      <c r="F301" s="8"/>
      <c r="G301" s="6"/>
      <c r="H301" s="14"/>
    </row>
    <row r="302" spans="6:8">
      <c r="F302" s="8"/>
      <c r="G302" s="6"/>
      <c r="H302" s="14"/>
    </row>
    <row r="303" spans="6:8">
      <c r="F303" s="8"/>
      <c r="G303" s="6"/>
      <c r="H303" s="14"/>
    </row>
    <row r="304" spans="6:8">
      <c r="G304" s="7" t="s">
        <v>560</v>
      </c>
      <c r="H304" s="13">
        <f>SUM(H270:H303)</f>
        <v>585903.91000000015</v>
      </c>
    </row>
    <row r="305" spans="2:10">
      <c r="G305" s="7" t="s">
        <v>563</v>
      </c>
      <c r="H305" s="13">
        <f>D280-H304</f>
        <v>164230.2183999992</v>
      </c>
    </row>
    <row r="307" spans="2:10" ht="18.75">
      <c r="B307" s="5" t="s">
        <v>34</v>
      </c>
      <c r="C307" s="5" t="s">
        <v>35</v>
      </c>
      <c r="D307" s="5" t="s">
        <v>15</v>
      </c>
      <c r="F307" s="5" t="s">
        <v>36</v>
      </c>
      <c r="G307" s="5" t="s">
        <v>35</v>
      </c>
      <c r="H307" s="5" t="s">
        <v>15</v>
      </c>
    </row>
    <row r="308" spans="2:10">
      <c r="B308" s="203">
        <v>45627</v>
      </c>
      <c r="C308" s="204" t="s">
        <v>49</v>
      </c>
      <c r="D308" s="22">
        <f>H305</f>
        <v>164230.2183999992</v>
      </c>
      <c r="F308" s="8">
        <v>45638</v>
      </c>
      <c r="G308" s="6" t="s">
        <v>605</v>
      </c>
      <c r="H308" s="14">
        <v>47179.5</v>
      </c>
    </row>
    <row r="309" spans="2:10" ht="30">
      <c r="B309" s="203">
        <v>45632</v>
      </c>
      <c r="C309" s="212" t="s">
        <v>613</v>
      </c>
      <c r="D309" s="22">
        <f>'Diferencia en cambio'!I59</f>
        <v>215164.75338521143</v>
      </c>
      <c r="F309" s="8">
        <v>45638</v>
      </c>
      <c r="G309" s="6" t="s">
        <v>606</v>
      </c>
      <c r="H309" s="14">
        <v>13104.31</v>
      </c>
    </row>
    <row r="310" spans="2:10" ht="30">
      <c r="B310" s="203">
        <v>45632</v>
      </c>
      <c r="C310" s="212" t="s">
        <v>614</v>
      </c>
      <c r="D310" s="22">
        <f>'Diferencia en cambio'!I60</f>
        <v>7916.8472083100896</v>
      </c>
      <c r="F310" s="8">
        <v>45638</v>
      </c>
      <c r="G310" s="6" t="s">
        <v>607</v>
      </c>
      <c r="H310" s="14">
        <v>2355.9299999999998</v>
      </c>
    </row>
    <row r="311" spans="2:10" ht="30">
      <c r="B311" s="203">
        <v>45632</v>
      </c>
      <c r="C311" s="212" t="s">
        <v>615</v>
      </c>
      <c r="D311" s="22">
        <f>'Diferencia en cambio'!I61</f>
        <v>13366.14</v>
      </c>
      <c r="F311" s="8">
        <v>45638</v>
      </c>
      <c r="G311" s="6" t="s">
        <v>608</v>
      </c>
      <c r="H311" s="14">
        <f>840</f>
        <v>840</v>
      </c>
    </row>
    <row r="312" spans="2:10" ht="30">
      <c r="B312" s="203">
        <v>45635</v>
      </c>
      <c r="C312" s="212" t="s">
        <v>617</v>
      </c>
      <c r="D312" s="22">
        <f>'Diferencia en cambio'!I63</f>
        <v>6922.7694064784828</v>
      </c>
      <c r="F312" s="8">
        <v>45638</v>
      </c>
      <c r="G312" s="6" t="s">
        <v>619</v>
      </c>
      <c r="H312" s="14">
        <f>50</f>
        <v>50</v>
      </c>
    </row>
    <row r="313" spans="2:10" ht="30">
      <c r="B313" s="203">
        <v>45639</v>
      </c>
      <c r="C313" s="212" t="s">
        <v>612</v>
      </c>
      <c r="D313" s="22">
        <f>'Flujo caja Diciembre'!D13</f>
        <v>40957.379952033611</v>
      </c>
      <c r="F313" s="8">
        <v>45638</v>
      </c>
      <c r="G313" s="6" t="s">
        <v>622</v>
      </c>
      <c r="H313" s="14">
        <f>1500</f>
        <v>1500</v>
      </c>
      <c r="J313" s="180">
        <v>0</v>
      </c>
    </row>
    <row r="314" spans="2:10" ht="30">
      <c r="B314" s="203">
        <v>45639</v>
      </c>
      <c r="C314" s="158" t="s">
        <v>616</v>
      </c>
      <c r="D314" s="22">
        <f>'Flujo caja Diciembre'!$D$17</f>
        <v>43657.547080935467</v>
      </c>
      <c r="F314" s="8">
        <v>45644</v>
      </c>
      <c r="G314" s="6" t="s">
        <v>625</v>
      </c>
      <c r="H314" s="14">
        <f>3350</f>
        <v>3350</v>
      </c>
    </row>
    <row r="315" spans="2:10">
      <c r="B315" s="203">
        <v>45639</v>
      </c>
      <c r="C315" s="158" t="s">
        <v>623</v>
      </c>
      <c r="D315" s="22">
        <f>'Flujo caja Diciembre'!$D$19</f>
        <v>18733.292967030928</v>
      </c>
      <c r="F315" s="8">
        <v>45644</v>
      </c>
      <c r="G315" s="6" t="s">
        <v>626</v>
      </c>
      <c r="H315" s="14">
        <v>843.56</v>
      </c>
    </row>
    <row r="316" spans="2:10">
      <c r="B316" s="203"/>
      <c r="C316" s="204"/>
      <c r="D316" s="22"/>
      <c r="F316" s="8">
        <v>45644</v>
      </c>
      <c r="G316" s="6" t="s">
        <v>325</v>
      </c>
      <c r="H316" s="14">
        <v>888.15</v>
      </c>
    </row>
    <row r="317" spans="2:10">
      <c r="B317" s="203"/>
      <c r="C317" s="204"/>
      <c r="D317" s="22"/>
      <c r="F317" s="8">
        <v>45644</v>
      </c>
      <c r="G317" s="6" t="s">
        <v>326</v>
      </c>
      <c r="H317" s="14">
        <v>903.72</v>
      </c>
    </row>
    <row r="318" spans="2:10">
      <c r="C318" s="7" t="s">
        <v>603</v>
      </c>
      <c r="D318" s="13">
        <f>SUM(D308:D317)</f>
        <v>510948.9483999993</v>
      </c>
      <c r="F318" s="8">
        <v>45644</v>
      </c>
      <c r="G318" s="6" t="s">
        <v>627</v>
      </c>
      <c r="H318" s="14">
        <v>1828.6</v>
      </c>
    </row>
    <row r="319" spans="2:10">
      <c r="F319" s="8">
        <v>45646</v>
      </c>
      <c r="G319" s="6" t="s">
        <v>629</v>
      </c>
      <c r="H319" s="14">
        <v>2299</v>
      </c>
    </row>
    <row r="320" spans="2:10">
      <c r="F320" s="8">
        <v>45652</v>
      </c>
      <c r="G320" s="6" t="s">
        <v>631</v>
      </c>
      <c r="H320" s="14">
        <f>('Flujo caja Diciembre'!$E$46+'Flujo caja Diciembre'!$E$47)*7.85</f>
        <v>26030.207499999997</v>
      </c>
    </row>
    <row r="321" spans="6:8">
      <c r="F321" s="8">
        <v>45652</v>
      </c>
      <c r="G321" s="6" t="s">
        <v>297</v>
      </c>
      <c r="H321" s="14">
        <v>314</v>
      </c>
    </row>
    <row r="322" spans="6:8">
      <c r="F322" s="8">
        <v>45652</v>
      </c>
      <c r="G322" s="6" t="s">
        <v>481</v>
      </c>
      <c r="H322" s="14">
        <v>28242.01</v>
      </c>
    </row>
    <row r="323" spans="6:8">
      <c r="F323" s="8">
        <v>45653</v>
      </c>
      <c r="G323" s="6" t="s">
        <v>482</v>
      </c>
      <c r="H323" s="14">
        <v>24970.21</v>
      </c>
    </row>
    <row r="324" spans="6:8">
      <c r="F324" s="8">
        <v>45653</v>
      </c>
      <c r="G324" s="6" t="s">
        <v>483</v>
      </c>
      <c r="H324" s="14">
        <v>53704.34</v>
      </c>
    </row>
    <row r="325" spans="6:8">
      <c r="F325" s="8">
        <v>45653</v>
      </c>
      <c r="G325" s="6" t="s">
        <v>484</v>
      </c>
      <c r="H325" s="14">
        <v>77129.259999999995</v>
      </c>
    </row>
    <row r="326" spans="6:8">
      <c r="F326" s="8">
        <v>45653</v>
      </c>
      <c r="G326" s="6" t="s">
        <v>487</v>
      </c>
      <c r="H326" s="14">
        <v>6332.91</v>
      </c>
    </row>
    <row r="327" spans="6:8">
      <c r="F327" s="8">
        <v>45653</v>
      </c>
      <c r="G327" s="6" t="s">
        <v>165</v>
      </c>
      <c r="H327" s="14">
        <v>10562.83</v>
      </c>
    </row>
    <row r="328" spans="6:8">
      <c r="F328" s="8">
        <v>45653</v>
      </c>
      <c r="G328" s="6" t="s">
        <v>485</v>
      </c>
      <c r="H328" s="14">
        <v>29515.66</v>
      </c>
    </row>
    <row r="329" spans="6:8">
      <c r="F329" s="8">
        <v>45653</v>
      </c>
      <c r="G329" s="6" t="s">
        <v>426</v>
      </c>
      <c r="H329" s="14">
        <v>5501.16</v>
      </c>
    </row>
    <row r="330" spans="6:8">
      <c r="F330" s="8">
        <v>45653</v>
      </c>
      <c r="G330" s="6" t="s">
        <v>427</v>
      </c>
      <c r="H330" s="14">
        <v>3943.21</v>
      </c>
    </row>
    <row r="331" spans="6:8">
      <c r="F331" s="8">
        <v>45653</v>
      </c>
      <c r="G331" s="6" t="s">
        <v>428</v>
      </c>
      <c r="H331" s="14">
        <v>3943.21</v>
      </c>
    </row>
    <row r="332" spans="6:8">
      <c r="F332" s="8">
        <v>45653</v>
      </c>
      <c r="G332" s="6" t="s">
        <v>486</v>
      </c>
      <c r="H332" s="14">
        <v>3943.21</v>
      </c>
    </row>
    <row r="333" spans="6:8">
      <c r="F333" s="8"/>
      <c r="G333" s="6"/>
      <c r="H333" s="14"/>
    </row>
    <row r="334" spans="6:8">
      <c r="F334" s="8"/>
      <c r="G334" s="6"/>
      <c r="H334" s="14"/>
    </row>
    <row r="335" spans="6:8">
      <c r="F335" s="8"/>
      <c r="G335" s="6"/>
      <c r="H335" s="14"/>
    </row>
    <row r="336" spans="6:8">
      <c r="F336" s="8"/>
      <c r="G336" s="6"/>
      <c r="H336" s="14"/>
    </row>
    <row r="337" spans="2:8">
      <c r="F337" s="8"/>
      <c r="G337" s="6"/>
      <c r="H337" s="14"/>
    </row>
    <row r="338" spans="2:8">
      <c r="F338" s="8"/>
      <c r="G338" s="6"/>
      <c r="H338" s="14"/>
    </row>
    <row r="339" spans="2:8">
      <c r="F339" s="8"/>
      <c r="G339" s="6"/>
      <c r="H339" s="14"/>
    </row>
    <row r="340" spans="2:8">
      <c r="F340" s="8"/>
      <c r="G340" s="6"/>
      <c r="H340" s="14"/>
    </row>
    <row r="341" spans="2:8">
      <c r="F341" s="8"/>
      <c r="G341" s="6"/>
      <c r="H341" s="14"/>
    </row>
    <row r="342" spans="2:8">
      <c r="F342" s="8"/>
      <c r="G342" s="6"/>
      <c r="H342" s="14"/>
    </row>
    <row r="343" spans="2:8">
      <c r="F343" s="8"/>
      <c r="G343" s="6"/>
      <c r="H343" s="14"/>
    </row>
    <row r="344" spans="2:8">
      <c r="G344" s="7" t="s">
        <v>601</v>
      </c>
      <c r="H344" s="13">
        <f>SUM(H308:H343)</f>
        <v>349274.98749999999</v>
      </c>
    </row>
    <row r="345" spans="2:8">
      <c r="G345" s="7" t="s">
        <v>602</v>
      </c>
      <c r="H345" s="13">
        <f>D318-H344</f>
        <v>161673.96089999931</v>
      </c>
    </row>
    <row r="348" spans="2:8" ht="18.75">
      <c r="B348" s="5" t="s">
        <v>34</v>
      </c>
      <c r="C348" s="5" t="s">
        <v>35</v>
      </c>
      <c r="D348" s="5" t="s">
        <v>15</v>
      </c>
      <c r="F348" s="5" t="s">
        <v>36</v>
      </c>
      <c r="G348" s="5" t="s">
        <v>35</v>
      </c>
      <c r="H348" s="5" t="s">
        <v>15</v>
      </c>
    </row>
    <row r="349" spans="2:8">
      <c r="B349" s="203">
        <v>45658</v>
      </c>
      <c r="C349" s="204" t="s">
        <v>49</v>
      </c>
      <c r="D349" s="22">
        <f>$H$345</f>
        <v>161673.96089999931</v>
      </c>
      <c r="F349" s="8">
        <v>45667</v>
      </c>
      <c r="G349" s="6" t="s">
        <v>635</v>
      </c>
      <c r="H349" s="14">
        <f>840</f>
        <v>840</v>
      </c>
    </row>
    <row r="350" spans="2:8" ht="30">
      <c r="B350" s="203">
        <v>45672</v>
      </c>
      <c r="C350" s="158" t="s">
        <v>654</v>
      </c>
      <c r="D350" s="22">
        <f>'Flujo caja Enero 25'!$D$14</f>
        <v>280556.65268554701</v>
      </c>
      <c r="F350" s="8">
        <v>45667</v>
      </c>
      <c r="G350" s="6" t="s">
        <v>645</v>
      </c>
      <c r="H350" s="14">
        <v>342.09</v>
      </c>
    </row>
    <row r="351" spans="2:8" ht="30">
      <c r="B351" s="203">
        <v>45672</v>
      </c>
      <c r="C351" s="158" t="s">
        <v>655</v>
      </c>
      <c r="D351" s="22">
        <f>'Flujo caja Enero 25'!$D$15</f>
        <v>7237.9824835904501</v>
      </c>
      <c r="F351" s="8">
        <v>45671</v>
      </c>
      <c r="G351" s="6" t="s">
        <v>648</v>
      </c>
      <c r="H351" s="14">
        <v>12820.31</v>
      </c>
    </row>
    <row r="352" spans="2:8" ht="30">
      <c r="B352" s="203">
        <v>45672</v>
      </c>
      <c r="C352" s="158" t="s">
        <v>656</v>
      </c>
      <c r="D352" s="22">
        <f>'Flujo caja Enero 25'!$D$16</f>
        <v>13561.9548308626</v>
      </c>
      <c r="F352" s="8">
        <v>45671</v>
      </c>
      <c r="G352" s="6" t="s">
        <v>649</v>
      </c>
      <c r="H352" s="14">
        <v>1471.23</v>
      </c>
    </row>
    <row r="353" spans="2:10" ht="30">
      <c r="B353" s="203">
        <v>45673</v>
      </c>
      <c r="C353" s="158" t="s">
        <v>657</v>
      </c>
      <c r="D353" s="22">
        <f>'Flujo caja Enero 25'!$D$18</f>
        <v>18049.55</v>
      </c>
      <c r="F353" s="8">
        <v>45671</v>
      </c>
      <c r="G353" s="6" t="s">
        <v>633</v>
      </c>
      <c r="H353" s="14">
        <v>46417.3</v>
      </c>
    </row>
    <row r="354" spans="2:10" ht="30">
      <c r="B354" s="203">
        <v>45678</v>
      </c>
      <c r="C354" s="158" t="s">
        <v>658</v>
      </c>
      <c r="D354" s="22">
        <f>'Flujo caja Enero 25'!$D$13</f>
        <v>40957.155418215203</v>
      </c>
      <c r="F354" s="8">
        <v>45685</v>
      </c>
      <c r="G354" s="6" t="s">
        <v>481</v>
      </c>
      <c r="H354" s="14">
        <f>28242.02</f>
        <v>28242.02</v>
      </c>
    </row>
    <row r="355" spans="2:10">
      <c r="B355" s="203">
        <v>45678</v>
      </c>
      <c r="C355" s="158" t="s">
        <v>659</v>
      </c>
      <c r="D355" s="22">
        <f>'Flujo caja Enero 25'!$D$17</f>
        <v>43657.298302658426</v>
      </c>
      <c r="F355" s="8">
        <v>45685</v>
      </c>
      <c r="G355" s="6" t="s">
        <v>482</v>
      </c>
      <c r="H355" s="14">
        <v>57657.9</v>
      </c>
    </row>
    <row r="356" spans="2:10">
      <c r="B356" s="203">
        <v>45678</v>
      </c>
      <c r="C356" s="158" t="s">
        <v>660</v>
      </c>
      <c r="D356" s="22">
        <f>'Flujo caja Enero 25'!$D$19</f>
        <v>18733.316279126379</v>
      </c>
      <c r="F356" s="8">
        <v>45685</v>
      </c>
      <c r="G356" s="6" t="s">
        <v>483</v>
      </c>
      <c r="H356" s="14">
        <v>10562.8</v>
      </c>
    </row>
    <row r="357" spans="2:10">
      <c r="B357" s="203"/>
      <c r="C357" s="204"/>
      <c r="D357" s="22"/>
      <c r="F357" s="8">
        <v>45685</v>
      </c>
      <c r="G357" s="6" t="s">
        <v>484</v>
      </c>
      <c r="H357" s="14">
        <v>14151.42</v>
      </c>
    </row>
    <row r="358" spans="2:10">
      <c r="B358" s="203"/>
      <c r="C358" s="204"/>
      <c r="D358" s="22"/>
      <c r="F358" s="8">
        <v>45685</v>
      </c>
      <c r="G358" s="6" t="s">
        <v>487</v>
      </c>
      <c r="H358" s="14">
        <v>71279.14</v>
      </c>
    </row>
    <row r="359" spans="2:10">
      <c r="C359" s="7" t="s">
        <v>46</v>
      </c>
      <c r="D359" s="13">
        <f>SUM(D349:D358)</f>
        <v>584427.87089999928</v>
      </c>
      <c r="F359" s="8">
        <v>45685</v>
      </c>
      <c r="G359" s="6" t="s">
        <v>165</v>
      </c>
      <c r="H359" s="14">
        <v>5732.9</v>
      </c>
    </row>
    <row r="360" spans="2:10">
      <c r="F360" s="8">
        <v>45685</v>
      </c>
      <c r="G360" s="6" t="s">
        <v>485</v>
      </c>
      <c r="H360" s="14">
        <v>3943.21</v>
      </c>
    </row>
    <row r="361" spans="2:10">
      <c r="F361" s="8">
        <v>45685</v>
      </c>
      <c r="G361" s="6" t="s">
        <v>426</v>
      </c>
      <c r="H361" s="14">
        <v>26912.46</v>
      </c>
      <c r="J361" s="180">
        <v>1</v>
      </c>
    </row>
    <row r="362" spans="2:10">
      <c r="F362" s="8">
        <v>45685</v>
      </c>
      <c r="G362" s="6" t="s">
        <v>427</v>
      </c>
      <c r="H362" s="14">
        <v>3943.21</v>
      </c>
    </row>
    <row r="363" spans="2:10">
      <c r="F363" s="8">
        <v>45685</v>
      </c>
      <c r="G363" s="6" t="s">
        <v>428</v>
      </c>
      <c r="H363" s="14">
        <v>29515.65</v>
      </c>
    </row>
    <row r="364" spans="2:10">
      <c r="F364" s="8">
        <v>45685</v>
      </c>
      <c r="G364" s="6" t="s">
        <v>486</v>
      </c>
      <c r="H364" s="14">
        <v>3943.21</v>
      </c>
    </row>
    <row r="365" spans="2:10">
      <c r="F365" s="8">
        <v>45686</v>
      </c>
      <c r="G365" s="6" t="s">
        <v>664</v>
      </c>
      <c r="H365" s="14">
        <f>861.81*$J$361</f>
        <v>861.81</v>
      </c>
    </row>
    <row r="366" spans="2:10">
      <c r="F366" s="8">
        <v>45686</v>
      </c>
      <c r="G366" s="6" t="s">
        <v>665</v>
      </c>
      <c r="H366" s="14">
        <f>943.23*$J$361</f>
        <v>943.23</v>
      </c>
    </row>
    <row r="367" spans="2:10">
      <c r="F367" s="8">
        <v>45686</v>
      </c>
      <c r="G367" s="6" t="s">
        <v>258</v>
      </c>
      <c r="H367" s="14">
        <f>1023.02*$J$361</f>
        <v>1023.02</v>
      </c>
      <c r="J367" s="12"/>
    </row>
    <row r="368" spans="2:10">
      <c r="F368" s="8">
        <v>45686</v>
      </c>
      <c r="G368" s="6" t="s">
        <v>666</v>
      </c>
      <c r="H368" s="14">
        <f>2002.09*$J$361</f>
        <v>2002.09</v>
      </c>
    </row>
    <row r="369" spans="6:10">
      <c r="F369" s="8">
        <v>45686</v>
      </c>
      <c r="G369" s="6" t="s">
        <v>54</v>
      </c>
      <c r="H369" s="14">
        <f>24611.18*$J$361</f>
        <v>24611.18</v>
      </c>
      <c r="J369" s="12"/>
    </row>
    <row r="370" spans="6:10">
      <c r="F370" s="8">
        <v>45686</v>
      </c>
      <c r="G370" s="6" t="s">
        <v>667</v>
      </c>
      <c r="H370" s="14">
        <f>386.5*$J$361</f>
        <v>386.5</v>
      </c>
    </row>
    <row r="371" spans="6:10">
      <c r="F371" s="8">
        <v>45686</v>
      </c>
      <c r="G371" s="6" t="s">
        <v>668</v>
      </c>
      <c r="H371" s="14">
        <f>1500*$J$361</f>
        <v>1500</v>
      </c>
    </row>
    <row r="372" spans="6:10">
      <c r="F372" s="8">
        <v>45686</v>
      </c>
      <c r="G372" s="6" t="s">
        <v>708</v>
      </c>
      <c r="H372" s="14">
        <v>2299</v>
      </c>
    </row>
    <row r="373" spans="6:10">
      <c r="F373" s="8">
        <v>45686</v>
      </c>
      <c r="G373" s="6" t="s">
        <v>670</v>
      </c>
      <c r="H373" s="14">
        <v>31400</v>
      </c>
    </row>
    <row r="374" spans="6:10">
      <c r="F374" s="8">
        <v>45688</v>
      </c>
      <c r="G374" s="6" t="s">
        <v>675</v>
      </c>
      <c r="H374" s="14">
        <v>558.38</v>
      </c>
    </row>
    <row r="375" spans="6:10">
      <c r="F375" s="8"/>
      <c r="G375" s="6"/>
      <c r="H375" s="14"/>
    </row>
    <row r="376" spans="6:10">
      <c r="F376" s="8"/>
      <c r="G376" s="6"/>
      <c r="H376" s="14"/>
    </row>
    <row r="377" spans="6:10">
      <c r="F377" s="8"/>
      <c r="G377" s="6"/>
      <c r="H377" s="14"/>
    </row>
    <row r="378" spans="6:10">
      <c r="F378" s="8"/>
      <c r="G378" s="6"/>
      <c r="H378" s="14"/>
    </row>
    <row r="379" spans="6:10">
      <c r="F379" s="8"/>
      <c r="G379" s="6"/>
      <c r="H379" s="14"/>
    </row>
    <row r="380" spans="6:10">
      <c r="F380" s="8"/>
      <c r="G380" s="6"/>
      <c r="H380" s="14"/>
    </row>
    <row r="381" spans="6:10">
      <c r="F381" s="8"/>
      <c r="G381" s="6"/>
      <c r="H381" s="14"/>
    </row>
    <row r="382" spans="6:10">
      <c r="F382" s="8"/>
      <c r="G382" s="6"/>
      <c r="H382" s="14"/>
    </row>
    <row r="383" spans="6:10">
      <c r="G383" s="7" t="s">
        <v>47</v>
      </c>
      <c r="H383" s="13">
        <f>SUM(H349:H382)</f>
        <v>383360.06000000011</v>
      </c>
    </row>
    <row r="384" spans="6:10">
      <c r="G384" s="7" t="s">
        <v>632</v>
      </c>
      <c r="H384" s="13">
        <f>D359-H383</f>
        <v>201067.81089999917</v>
      </c>
      <c r="J384" s="12"/>
    </row>
    <row r="386" spans="2:8" ht="18.75">
      <c r="B386" s="5" t="s">
        <v>34</v>
      </c>
      <c r="C386" s="5" t="s">
        <v>35</v>
      </c>
      <c r="D386" s="5" t="s">
        <v>15</v>
      </c>
      <c r="F386" s="5" t="s">
        <v>36</v>
      </c>
      <c r="G386" s="5" t="s">
        <v>35</v>
      </c>
      <c r="H386" s="5" t="s">
        <v>15</v>
      </c>
    </row>
    <row r="387" spans="2:8">
      <c r="B387" s="203">
        <v>45689</v>
      </c>
      <c r="C387" s="204" t="s">
        <v>49</v>
      </c>
      <c r="D387" s="22">
        <f>$H$384</f>
        <v>201067.81089999917</v>
      </c>
      <c r="F387" s="233">
        <v>45692</v>
      </c>
      <c r="G387" s="234" t="s">
        <v>682</v>
      </c>
      <c r="H387" s="235">
        <v>13332.16</v>
      </c>
    </row>
    <row r="388" spans="2:8" ht="30">
      <c r="B388" s="203">
        <v>45707</v>
      </c>
      <c r="C388" s="158" t="s">
        <v>699</v>
      </c>
      <c r="D388" s="22">
        <f>'Flujo Caja Febrero 25'!$D$16</f>
        <v>7156.1190345219893</v>
      </c>
      <c r="F388" s="236">
        <v>45692</v>
      </c>
      <c r="G388" s="237" t="s">
        <v>683</v>
      </c>
      <c r="H388" s="238">
        <v>52457.77</v>
      </c>
    </row>
    <row r="389" spans="2:8" ht="30">
      <c r="B389" s="203">
        <v>45707</v>
      </c>
      <c r="C389" s="158" t="s">
        <v>700</v>
      </c>
      <c r="D389" s="22">
        <f>'Flujo Caja Febrero 25'!$D$17</f>
        <v>13408.544364876596</v>
      </c>
      <c r="F389" s="236">
        <v>45692</v>
      </c>
      <c r="G389" s="237" t="s">
        <v>684</v>
      </c>
      <c r="H389" s="238">
        <v>31443.52</v>
      </c>
    </row>
    <row r="390" spans="2:8">
      <c r="B390" s="203">
        <v>45707</v>
      </c>
      <c r="C390" s="158" t="s">
        <v>701</v>
      </c>
      <c r="D390" s="22">
        <f>'Flujo Caja Febrero 25'!$D$19</f>
        <v>18117.516600601419</v>
      </c>
      <c r="F390" s="236">
        <v>45701</v>
      </c>
      <c r="G390" s="204" t="s">
        <v>676</v>
      </c>
      <c r="H390" s="238">
        <v>61173.11</v>
      </c>
    </row>
    <row r="391" spans="2:8" ht="30">
      <c r="B391" s="203">
        <v>45709</v>
      </c>
      <c r="C391" s="158" t="s">
        <v>702</v>
      </c>
      <c r="D391" s="22">
        <f>'Diferencia en cambio'!$I$75</f>
        <v>397103.67</v>
      </c>
      <c r="F391" s="236">
        <v>45701</v>
      </c>
      <c r="G391" s="204" t="s">
        <v>678</v>
      </c>
      <c r="H391" s="238">
        <v>20915.87</v>
      </c>
    </row>
    <row r="392" spans="2:8" ht="30">
      <c r="B392" s="203">
        <v>45709</v>
      </c>
      <c r="C392" s="158" t="s">
        <v>703</v>
      </c>
      <c r="D392" s="22">
        <f>'Flujo Caja Febrero 25'!$D$14</f>
        <v>42561.727374701208</v>
      </c>
      <c r="F392" s="236">
        <v>45701</v>
      </c>
      <c r="G392" s="204" t="s">
        <v>697</v>
      </c>
      <c r="H392" s="238">
        <v>1800.58</v>
      </c>
    </row>
    <row r="393" spans="2:8" ht="30">
      <c r="B393" s="203">
        <v>45709</v>
      </c>
      <c r="C393" s="158" t="s">
        <v>704</v>
      </c>
      <c r="D393" s="22">
        <f>'Flujo Caja Febrero 25'!$D$18</f>
        <v>43673.155114458728</v>
      </c>
      <c r="F393" s="236">
        <v>45701</v>
      </c>
      <c r="G393" s="204" t="s">
        <v>679</v>
      </c>
      <c r="H393" s="238">
        <f>842.11</f>
        <v>842.11</v>
      </c>
    </row>
    <row r="394" spans="2:8">
      <c r="B394" s="203">
        <v>45709</v>
      </c>
      <c r="C394" s="158" t="s">
        <v>623</v>
      </c>
      <c r="D394" s="22">
        <f>'Flujo Caja Febrero 25'!$D$20</f>
        <v>18739.857510840055</v>
      </c>
      <c r="F394" s="236">
        <v>45713</v>
      </c>
      <c r="G394" s="6" t="s">
        <v>707</v>
      </c>
      <c r="H394" s="238">
        <v>1500</v>
      </c>
    </row>
    <row r="395" spans="2:8">
      <c r="B395" s="203"/>
      <c r="C395" s="204"/>
      <c r="D395" s="22"/>
      <c r="F395" s="236">
        <v>45713</v>
      </c>
      <c r="G395" s="6" t="s">
        <v>709</v>
      </c>
      <c r="H395" s="238">
        <v>2299</v>
      </c>
    </row>
    <row r="396" spans="2:8">
      <c r="B396" s="203"/>
      <c r="C396" s="204"/>
      <c r="D396" s="22"/>
      <c r="F396" s="236">
        <v>45714</v>
      </c>
      <c r="G396" s="204" t="s">
        <v>713</v>
      </c>
      <c r="H396" s="249">
        <v>4830.1499999999996</v>
      </c>
    </row>
    <row r="397" spans="2:8">
      <c r="C397" s="7" t="s">
        <v>59</v>
      </c>
      <c r="D397" s="13">
        <f>SUM(D387:D396)</f>
        <v>741828.40089999908</v>
      </c>
      <c r="F397" s="236">
        <v>45715</v>
      </c>
      <c r="G397" s="6" t="s">
        <v>714</v>
      </c>
      <c r="H397" s="250">
        <v>28129.14</v>
      </c>
    </row>
    <row r="398" spans="2:8">
      <c r="F398" s="236">
        <v>45715</v>
      </c>
      <c r="G398" s="204" t="s">
        <v>716</v>
      </c>
      <c r="H398" s="250">
        <v>30698.47</v>
      </c>
    </row>
    <row r="399" spans="2:8">
      <c r="F399" s="236">
        <v>45716</v>
      </c>
      <c r="G399" s="204" t="s">
        <v>717</v>
      </c>
      <c r="H399" s="250">
        <v>30781.45</v>
      </c>
    </row>
    <row r="400" spans="2:8">
      <c r="F400" s="236">
        <v>45716</v>
      </c>
      <c r="G400" s="204" t="s">
        <v>718</v>
      </c>
      <c r="H400" s="250">
        <v>225154.01</v>
      </c>
    </row>
    <row r="401" spans="2:8">
      <c r="F401" s="236">
        <v>45716</v>
      </c>
      <c r="G401" s="204" t="s">
        <v>715</v>
      </c>
      <c r="H401" s="250">
        <f>5000*7.85</f>
        <v>39250</v>
      </c>
    </row>
    <row r="402" spans="2:8">
      <c r="F402" s="239"/>
      <c r="G402" s="240"/>
      <c r="H402" s="241"/>
    </row>
    <row r="403" spans="2:8">
      <c r="G403" s="7" t="s">
        <v>688</v>
      </c>
      <c r="H403" s="13">
        <f>SUM(H387:H402)</f>
        <v>544607.34</v>
      </c>
    </row>
    <row r="404" spans="2:8">
      <c r="G404" s="7" t="s">
        <v>689</v>
      </c>
      <c r="H404" s="13">
        <f>D397-H403</f>
        <v>197221.06089999911</v>
      </c>
    </row>
    <row r="407" spans="2:8" ht="18.75">
      <c r="B407" s="5" t="s">
        <v>34</v>
      </c>
      <c r="C407" s="5" t="s">
        <v>35</v>
      </c>
      <c r="D407" s="5" t="s">
        <v>15</v>
      </c>
      <c r="F407" s="5" t="s">
        <v>36</v>
      </c>
      <c r="G407" s="5" t="s">
        <v>35</v>
      </c>
      <c r="H407" s="5" t="s">
        <v>15</v>
      </c>
    </row>
    <row r="408" spans="2:8">
      <c r="B408" s="203">
        <v>45717</v>
      </c>
      <c r="C408" s="204" t="s">
        <v>49</v>
      </c>
      <c r="D408" s="22">
        <f>H404</f>
        <v>197221.06089999911</v>
      </c>
      <c r="F408" s="233">
        <v>45728</v>
      </c>
      <c r="G408" s="234" t="s">
        <v>722</v>
      </c>
      <c r="H408" s="235">
        <v>52831.62</v>
      </c>
    </row>
    <row r="409" spans="2:8" ht="30">
      <c r="B409" s="203">
        <v>45736</v>
      </c>
      <c r="C409" s="205" t="s">
        <v>741</v>
      </c>
      <c r="D409" s="22">
        <f>'Diferencia en cambio'!I82</f>
        <v>301647.27054760716</v>
      </c>
      <c r="F409" s="236">
        <v>45729</v>
      </c>
      <c r="G409" s="237" t="s">
        <v>732</v>
      </c>
      <c r="H409" s="238">
        <f>12308</f>
        <v>12308</v>
      </c>
    </row>
    <row r="410" spans="2:8" ht="30">
      <c r="B410" s="203">
        <v>45736</v>
      </c>
      <c r="C410" s="205" t="s">
        <v>742</v>
      </c>
      <c r="D410" s="22">
        <f>'Diferencia en cambio'!I83</f>
        <v>7247.5675641512644</v>
      </c>
      <c r="F410" s="236">
        <v>45729</v>
      </c>
      <c r="G410" s="204" t="s">
        <v>731</v>
      </c>
      <c r="H410" s="238">
        <v>7947.69</v>
      </c>
    </row>
    <row r="411" spans="2:8" ht="30">
      <c r="B411" s="203">
        <v>45736</v>
      </c>
      <c r="C411" s="205" t="s">
        <v>743</v>
      </c>
      <c r="D411" s="22">
        <f>'Diferencia en cambio'!I84</f>
        <v>13579.898598793563</v>
      </c>
      <c r="F411" s="236">
        <v>45729</v>
      </c>
      <c r="G411" s="204" t="s">
        <v>733</v>
      </c>
      <c r="H411" s="238">
        <v>2297.7800000000002</v>
      </c>
    </row>
    <row r="412" spans="2:8" ht="30">
      <c r="B412" s="203">
        <v>45736</v>
      </c>
      <c r="C412" s="205" t="s">
        <v>744</v>
      </c>
      <c r="D412" s="22">
        <f>'Diferencia en cambio'!I85</f>
        <v>18349.053289447951</v>
      </c>
      <c r="F412" s="236">
        <v>45729</v>
      </c>
      <c r="G412" s="204" t="s">
        <v>730</v>
      </c>
      <c r="H412" s="238">
        <v>842</v>
      </c>
    </row>
    <row r="413" spans="2:8" ht="30">
      <c r="B413" s="203">
        <v>45736</v>
      </c>
      <c r="C413" s="205" t="s">
        <v>747</v>
      </c>
      <c r="D413" s="22">
        <f>'Diferencia en cambio'!I79</f>
        <v>41752.070453277702</v>
      </c>
      <c r="F413" s="236">
        <v>45744</v>
      </c>
      <c r="G413" s="204" t="s">
        <v>713</v>
      </c>
      <c r="H413" s="238">
        <f>('Flujo Caja Marzo '!$D$39+'Flujo Caja Marzo '!$D$40+'Flujo Caja Marzo '!$D$41+'Flujo Caja Marzo '!$D$42)</f>
        <v>4830.1499999999996</v>
      </c>
    </row>
    <row r="414" spans="2:8" ht="30">
      <c r="B414" s="203">
        <v>45737</v>
      </c>
      <c r="C414" s="205" t="s">
        <v>748</v>
      </c>
      <c r="D414" s="22">
        <f>'Diferencia en cambio'!I80</f>
        <v>43675.661629757866</v>
      </c>
      <c r="F414" s="236">
        <v>45743</v>
      </c>
      <c r="G414" s="6" t="s">
        <v>751</v>
      </c>
      <c r="H414" s="253">
        <v>2874</v>
      </c>
    </row>
    <row r="415" spans="2:8">
      <c r="B415" s="203">
        <v>45737</v>
      </c>
      <c r="C415" s="205" t="s">
        <v>749</v>
      </c>
      <c r="D415" s="22">
        <f>'Diferencia en cambio'!I81</f>
        <v>18733.36791696442</v>
      </c>
      <c r="F415" s="236">
        <v>45743</v>
      </c>
      <c r="G415" s="204" t="s">
        <v>752</v>
      </c>
      <c r="H415" s="250">
        <v>1500</v>
      </c>
    </row>
    <row r="416" spans="2:8">
      <c r="B416" s="203"/>
      <c r="C416" s="204"/>
      <c r="D416" s="22"/>
      <c r="F416" s="236">
        <v>45744</v>
      </c>
      <c r="G416" s="204" t="s">
        <v>716</v>
      </c>
      <c r="H416" s="254">
        <f>28786.83</f>
        <v>28786.83</v>
      </c>
    </row>
    <row r="417" spans="2:9">
      <c r="B417" s="203"/>
      <c r="C417" s="204"/>
      <c r="D417" s="22"/>
      <c r="F417" s="236">
        <v>45744</v>
      </c>
      <c r="G417" s="204" t="s">
        <v>717</v>
      </c>
      <c r="H417" s="254">
        <f>29515.65</f>
        <v>29515.65</v>
      </c>
    </row>
    <row r="418" spans="2:9">
      <c r="C418" s="7" t="s">
        <v>720</v>
      </c>
      <c r="D418" s="13">
        <f>SUM(D408:D417)</f>
        <v>642205.95089999901</v>
      </c>
      <c r="F418" s="236">
        <v>45744</v>
      </c>
      <c r="G418" s="204" t="s">
        <v>750</v>
      </c>
      <c r="H418" s="254">
        <f>211849.71</f>
        <v>211849.71</v>
      </c>
    </row>
    <row r="419" spans="2:9">
      <c r="F419" s="236">
        <v>45744</v>
      </c>
      <c r="G419" s="204" t="s">
        <v>754</v>
      </c>
      <c r="H419" s="249">
        <f>6958.24*7.85</f>
        <v>54622.183999999994</v>
      </c>
    </row>
    <row r="420" spans="2:9">
      <c r="F420" s="236"/>
      <c r="G420" s="6"/>
      <c r="H420" s="250"/>
    </row>
    <row r="421" spans="2:9">
      <c r="F421" s="236"/>
      <c r="G421" s="204"/>
      <c r="H421" s="250"/>
    </row>
    <row r="422" spans="2:9">
      <c r="F422" s="236"/>
      <c r="G422" s="204"/>
      <c r="H422" s="250"/>
    </row>
    <row r="423" spans="2:9">
      <c r="F423" s="236"/>
      <c r="G423" s="204"/>
      <c r="H423" s="250"/>
    </row>
    <row r="424" spans="2:9">
      <c r="F424" s="236"/>
      <c r="G424" s="204"/>
      <c r="H424" s="250"/>
    </row>
    <row r="425" spans="2:9">
      <c r="F425" s="239"/>
      <c r="G425" s="240"/>
      <c r="H425" s="241"/>
    </row>
    <row r="426" spans="2:9">
      <c r="G426" s="7" t="s">
        <v>72</v>
      </c>
      <c r="H426" s="13">
        <f>SUM(H408:H425)</f>
        <v>410205.614</v>
      </c>
    </row>
    <row r="427" spans="2:9">
      <c r="G427" s="7" t="s">
        <v>721</v>
      </c>
      <c r="H427" s="13">
        <f>D418-H426</f>
        <v>232000.33689999901</v>
      </c>
    </row>
    <row r="429" spans="2:9" ht="18.75">
      <c r="B429" s="5" t="s">
        <v>34</v>
      </c>
      <c r="C429" s="5" t="s">
        <v>35</v>
      </c>
      <c r="D429" s="5" t="s">
        <v>15</v>
      </c>
      <c r="F429" s="5" t="s">
        <v>36</v>
      </c>
      <c r="G429" s="5" t="s">
        <v>35</v>
      </c>
      <c r="H429" s="5" t="s">
        <v>15</v>
      </c>
    </row>
    <row r="430" spans="2:9">
      <c r="B430" s="203">
        <v>45748</v>
      </c>
      <c r="C430" s="204" t="s">
        <v>49</v>
      </c>
      <c r="D430" s="22">
        <f>H427</f>
        <v>232000.33689999901</v>
      </c>
      <c r="F430" s="233">
        <v>45749</v>
      </c>
      <c r="G430" s="234" t="s">
        <v>758</v>
      </c>
      <c r="H430" s="235">
        <v>7433.41</v>
      </c>
      <c r="I430" s="12">
        <f>H430/7.55</f>
        <v>984.55761589403971</v>
      </c>
    </row>
    <row r="431" spans="2:9" ht="30">
      <c r="B431" s="203">
        <v>45768</v>
      </c>
      <c r="C431" s="158" t="s">
        <v>658</v>
      </c>
      <c r="D431" s="22">
        <f>'Flujo Caja Abril 2025'!$D$18</f>
        <v>41866.21809350988</v>
      </c>
      <c r="F431" s="236">
        <v>45757</v>
      </c>
      <c r="G431" s="204" t="s">
        <v>206</v>
      </c>
      <c r="H431" s="238">
        <f>'Flujo Caja Abril 2025'!$D$31</f>
        <v>7947.69</v>
      </c>
    </row>
    <row r="432" spans="2:9" ht="30">
      <c r="B432" s="203">
        <v>45768</v>
      </c>
      <c r="C432" s="158" t="s">
        <v>780</v>
      </c>
      <c r="D432" s="22">
        <f>'Flujo Caja Abril 2025'!$D$19</f>
        <v>36956.769840343062</v>
      </c>
      <c r="F432" s="236">
        <v>45757</v>
      </c>
      <c r="G432" s="204" t="s">
        <v>766</v>
      </c>
      <c r="H432" s="238">
        <f>'Flujo Caja Abril 2025'!$D$32</f>
        <v>1889.93</v>
      </c>
    </row>
    <row r="433" spans="2:8">
      <c r="B433" s="203">
        <v>45768</v>
      </c>
      <c r="C433" s="158" t="s">
        <v>659</v>
      </c>
      <c r="D433" s="22">
        <f>'Flujo Caja Abril 2025'!$D$20</f>
        <v>43795.068252147896</v>
      </c>
      <c r="F433" s="236">
        <v>45758</v>
      </c>
      <c r="G433" s="204" t="s">
        <v>767</v>
      </c>
      <c r="H433" s="238">
        <f>'Flujo Caja Abril 2025'!$D$29</f>
        <v>50931.66</v>
      </c>
    </row>
    <row r="434" spans="2:8">
      <c r="B434" s="203">
        <v>45768</v>
      </c>
      <c r="C434" s="158" t="s">
        <v>660</v>
      </c>
      <c r="D434" s="22">
        <f>'Flujo Caja Abril 2025'!$D$21</f>
        <v>18784.583813999172</v>
      </c>
      <c r="F434" s="236">
        <v>45762</v>
      </c>
      <c r="G434" s="204" t="str">
        <f>'Flujo Caja Abril 2025'!C36</f>
        <v>Servicios profesionales Juan-Servicios prestados Marzo y ajuste de tarifas enero a marzo</v>
      </c>
      <c r="H434" s="238">
        <f>'Flujo Caja Abril 2025'!D36</f>
        <v>1094.74</v>
      </c>
    </row>
    <row r="435" spans="2:8">
      <c r="B435" s="203">
        <v>45769</v>
      </c>
      <c r="C435" s="158" t="s">
        <v>700</v>
      </c>
      <c r="D435" s="22">
        <f>'Flujo Caja Abril 2025'!$D$15</f>
        <v>13405.570584472678</v>
      </c>
      <c r="F435" s="236">
        <v>45762</v>
      </c>
      <c r="G435" s="204" t="str">
        <f>'Flujo Caja Abril 2025'!C37</f>
        <v>Gastos de transporte trámite bancario el día 17 marzo 2025</v>
      </c>
      <c r="H435" s="238">
        <f>'Flujo Caja Abril 2025'!D37</f>
        <v>52.63</v>
      </c>
    </row>
    <row r="436" spans="2:8">
      <c r="B436" s="203">
        <v>45769</v>
      </c>
      <c r="C436" s="158" t="s">
        <v>701</v>
      </c>
      <c r="D436" s="22">
        <f>'Flujo Caja Abril 2025'!$D$16</f>
        <v>18113.509415527325</v>
      </c>
      <c r="F436" s="236">
        <v>45763</v>
      </c>
      <c r="G436" s="204" t="s">
        <v>776</v>
      </c>
      <c r="H436" s="238">
        <v>30</v>
      </c>
    </row>
    <row r="437" spans="2:8" ht="30">
      <c r="B437" s="203">
        <v>45770</v>
      </c>
      <c r="C437" s="158" t="s">
        <v>783</v>
      </c>
      <c r="D437" s="22">
        <f>'Flujo Caja Abril 2025'!$D$13</f>
        <v>274828.83779682359</v>
      </c>
      <c r="F437" s="236">
        <v>45771</v>
      </c>
      <c r="G437" s="204" t="str">
        <f>'Flujo Caja Abril 2025'!C38</f>
        <v>Anticipo honorarios abogada -procuración de inscripción como garante ante la Dirección General de Migración, residencia temporal y permiso de trabajo de extranjero</v>
      </c>
      <c r="H437" s="238">
        <v>2000</v>
      </c>
    </row>
    <row r="438" spans="2:8">
      <c r="B438" s="203">
        <v>45770</v>
      </c>
      <c r="C438" s="204" t="s">
        <v>699</v>
      </c>
      <c r="D438" s="22">
        <f>'Flujo Caja Abril 2025'!$D$14</f>
        <v>7247.3922031763886</v>
      </c>
      <c r="F438" s="236">
        <v>45802</v>
      </c>
      <c r="G438" s="204" t="s">
        <v>786</v>
      </c>
      <c r="H438" s="238">
        <f>'Flujo Caja Abril 2025'!$D$39</f>
        <v>5339.65</v>
      </c>
    </row>
    <row r="439" spans="2:8">
      <c r="B439" s="203">
        <v>45777</v>
      </c>
      <c r="C439" s="204" t="s">
        <v>795</v>
      </c>
      <c r="D439" s="22">
        <f>'Diferencia en cambio'!$I$94</f>
        <v>8098.73</v>
      </c>
      <c r="F439" s="236">
        <v>45802</v>
      </c>
      <c r="G439" s="204" t="s">
        <v>788</v>
      </c>
      <c r="H439" s="238">
        <f>'Flujo Caja Abril 2025'!$D$40</f>
        <v>2299</v>
      </c>
    </row>
    <row r="440" spans="2:8">
      <c r="B440" s="203"/>
      <c r="C440" s="204"/>
      <c r="D440" s="22"/>
      <c r="F440" s="236">
        <v>45802</v>
      </c>
      <c r="G440" s="204" t="s">
        <v>789</v>
      </c>
      <c r="H440" s="238">
        <f>'Flujo Caja Abril 2025'!$D$79</f>
        <v>1500</v>
      </c>
    </row>
    <row r="441" spans="2:8">
      <c r="C441" s="7" t="s">
        <v>128</v>
      </c>
      <c r="D441" s="13">
        <f>SUM(D430:D440)</f>
        <v>695097.016899999</v>
      </c>
      <c r="F441" s="236">
        <v>45775</v>
      </c>
      <c r="G441" s="204" t="s">
        <v>176</v>
      </c>
      <c r="H441" s="238">
        <f>'Flujo Caja Abril 2025'!D59</f>
        <v>65704.83</v>
      </c>
    </row>
    <row r="442" spans="2:8">
      <c r="F442" s="236">
        <v>45775</v>
      </c>
      <c r="G442" s="204" t="s">
        <v>414</v>
      </c>
      <c r="H442" s="238">
        <f>'Flujo Caja Abril 2025'!$D$60</f>
        <v>86442.97</v>
      </c>
    </row>
    <row r="443" spans="2:8">
      <c r="F443" s="236">
        <v>45775</v>
      </c>
      <c r="G443" s="204" t="s">
        <v>417</v>
      </c>
      <c r="H443" s="238">
        <f>'Flujo Caja Abril 2025'!$D$61</f>
        <v>10562.8</v>
      </c>
    </row>
    <row r="444" spans="2:8">
      <c r="F444" s="236">
        <v>45775</v>
      </c>
      <c r="G444" s="204" t="s">
        <v>409</v>
      </c>
      <c r="H444" s="238">
        <f>'Flujo Caja Abril 2025'!$D$62</f>
        <v>14151.42</v>
      </c>
    </row>
    <row r="445" spans="2:8">
      <c r="F445" s="236">
        <v>45775</v>
      </c>
      <c r="G445" s="204" t="s">
        <v>416</v>
      </c>
      <c r="H445" s="238">
        <f>'Flujo Caja Abril 2025'!$D$63</f>
        <v>77584.56</v>
      </c>
    </row>
    <row r="446" spans="2:8">
      <c r="F446" s="236">
        <v>45775</v>
      </c>
      <c r="G446" s="204" t="s">
        <v>412</v>
      </c>
      <c r="H446" s="238">
        <f>'Flujo Caja Abril 2025'!$D$64</f>
        <v>5732.9</v>
      </c>
    </row>
    <row r="447" spans="2:8">
      <c r="F447" s="236">
        <v>45775</v>
      </c>
      <c r="G447" s="204" t="s">
        <v>413</v>
      </c>
      <c r="H447" s="238">
        <f>'Flujo Caja Abril 2025'!$D$65</f>
        <v>3943.21</v>
      </c>
    </row>
    <row r="448" spans="2:8">
      <c r="F448" s="236">
        <v>45775</v>
      </c>
      <c r="G448" s="204" t="s">
        <v>415</v>
      </c>
      <c r="H448" s="238">
        <f>'Flujo Caja Abril 2025'!$D$66</f>
        <v>25739.759999999998</v>
      </c>
    </row>
    <row r="449" spans="2:8">
      <c r="F449" s="236">
        <v>45775</v>
      </c>
      <c r="G449" s="204" t="s">
        <v>410</v>
      </c>
      <c r="H449" s="238">
        <f>'Flujo Caja Abril 2025'!$D$67</f>
        <v>3943.21</v>
      </c>
    </row>
    <row r="450" spans="2:8">
      <c r="F450" s="236">
        <v>45775</v>
      </c>
      <c r="G450" s="204" t="s">
        <v>418</v>
      </c>
      <c r="H450" s="238">
        <f>'Flujo Caja Abril 2025'!$D$68</f>
        <v>29455.33</v>
      </c>
    </row>
    <row r="451" spans="2:8">
      <c r="F451" s="236">
        <v>45775</v>
      </c>
      <c r="G451" s="204" t="s">
        <v>411</v>
      </c>
      <c r="H451" s="238">
        <f>'Flujo Caja Abril 2025'!D69</f>
        <v>3943.21</v>
      </c>
    </row>
    <row r="452" spans="2:8">
      <c r="F452" s="236">
        <v>45775</v>
      </c>
      <c r="G452" s="204" t="s">
        <v>790</v>
      </c>
      <c r="H452" s="238">
        <v>15700</v>
      </c>
    </row>
    <row r="453" spans="2:8">
      <c r="F453" s="236">
        <v>45775</v>
      </c>
      <c r="G453" s="6" t="s">
        <v>791</v>
      </c>
      <c r="H453" s="238">
        <v>24852.79</v>
      </c>
    </row>
    <row r="454" spans="2:8">
      <c r="F454" s="236">
        <v>45775</v>
      </c>
      <c r="G454" s="204" t="s">
        <v>792</v>
      </c>
      <c r="H454" s="238">
        <v>314</v>
      </c>
    </row>
    <row r="455" spans="2:8">
      <c r="F455" s="236">
        <v>45775</v>
      </c>
      <c r="G455" s="204" t="s">
        <v>54</v>
      </c>
      <c r="H455" s="238">
        <f>'Flujo Caja Abril 2025'!$D$74</f>
        <v>3917.14</v>
      </c>
    </row>
    <row r="456" spans="2:8">
      <c r="F456" s="236">
        <v>45775</v>
      </c>
      <c r="G456" s="204" t="s">
        <v>793</v>
      </c>
      <c r="H456" s="238">
        <f>'Flujo Caja Abril 2025'!$D$34</f>
        <v>11548</v>
      </c>
    </row>
    <row r="457" spans="2:8">
      <c r="F457" s="258">
        <v>45776</v>
      </c>
      <c r="G457" s="204" t="s">
        <v>713</v>
      </c>
      <c r="H457" s="238">
        <f>'Flujo Caja Abril 2025'!$D$46+'Flujo Caja Abril 2025'!$D$47+'Flujo Caja Abril 2025'!$D$48+'Flujo Caja Abril 2025'!$D$49</f>
        <v>4830.1499999999996</v>
      </c>
    </row>
    <row r="458" spans="2:8">
      <c r="F458" s="239"/>
      <c r="G458" s="204"/>
      <c r="H458" s="238"/>
    </row>
    <row r="459" spans="2:8">
      <c r="G459" s="7" t="s">
        <v>129</v>
      </c>
      <c r="H459" s="13">
        <f>SUM(H430:H458)</f>
        <v>468884.99000000017</v>
      </c>
    </row>
    <row r="460" spans="2:8">
      <c r="G460" s="7" t="s">
        <v>759</v>
      </c>
      <c r="H460" s="13">
        <f>D441-H459</f>
        <v>226212.02689999883</v>
      </c>
    </row>
    <row r="464" spans="2:8" ht="18.75">
      <c r="B464" s="5" t="s">
        <v>34</v>
      </c>
      <c r="C464" s="5" t="s">
        <v>35</v>
      </c>
      <c r="D464" s="5" t="s">
        <v>15</v>
      </c>
      <c r="F464" s="5" t="s">
        <v>36</v>
      </c>
      <c r="G464" s="5" t="s">
        <v>35</v>
      </c>
      <c r="H464" s="5" t="s">
        <v>15</v>
      </c>
    </row>
    <row r="465" spans="2:10" ht="30">
      <c r="B465" s="203">
        <v>45778</v>
      </c>
      <c r="C465" s="204" t="s">
        <v>49</v>
      </c>
      <c r="D465" s="22">
        <f>$H$460</f>
        <v>226212.02689999883</v>
      </c>
      <c r="F465" s="233">
        <v>45779</v>
      </c>
      <c r="G465" s="234" t="s">
        <v>797</v>
      </c>
      <c r="H465" s="235">
        <f>'Flujo Caja Abril 2025'!$D$70</f>
        <v>6321.84</v>
      </c>
    </row>
    <row r="466" spans="2:10" ht="30">
      <c r="B466" s="203">
        <v>45799</v>
      </c>
      <c r="C466" s="205" t="str">
        <f>'Diferencia en cambio'!C95</f>
        <v>Client: Czarnikow- Sthepanie Rodriguez Lopez 202505 Remofirst</v>
      </c>
      <c r="D466" s="22">
        <f>'Diferencia en cambio'!$I$95</f>
        <v>41696.514763957872</v>
      </c>
      <c r="F466" s="236">
        <v>45783</v>
      </c>
      <c r="G466" s="204" t="s">
        <v>805</v>
      </c>
      <c r="H466" s="238">
        <f>'Flujo Caja Mayo 2025'!$D$38</f>
        <v>195.25</v>
      </c>
    </row>
    <row r="467" spans="2:10" ht="30">
      <c r="B467" s="203">
        <v>45799</v>
      </c>
      <c r="C467" s="205" t="str">
        <f>'Diferencia en cambio'!C96</f>
        <v>Client: NotableGrowth-Miriam Lucia Morfin Gonzalez 202505 Remofirst</v>
      </c>
      <c r="D467" s="22">
        <f>'Diferencia en cambio'!$I$96</f>
        <v>49874.306567906111</v>
      </c>
      <c r="F467" s="236">
        <v>45785</v>
      </c>
      <c r="G467" s="204" t="str">
        <f>'Flujo Caja Mayo 2025'!$C$34</f>
        <v xml:space="preserve">Declaraguate Solvencia Fiscal Marzo 2025 </v>
      </c>
      <c r="H467" s="238">
        <f>'Flujo Caja Mayo 2025'!$D$34</f>
        <v>30</v>
      </c>
    </row>
    <row r="468" spans="2:10">
      <c r="B468" s="203">
        <v>45799</v>
      </c>
      <c r="C468" s="205" t="str">
        <f>'Diferencia en cambio'!C97</f>
        <v>Client: Bilingual Bridges-202505 Remotefist</v>
      </c>
      <c r="D468" s="22">
        <f>'Diferencia en cambio'!$I$97</f>
        <v>18705.388668136035</v>
      </c>
      <c r="F468" s="236">
        <v>45791</v>
      </c>
      <c r="G468" s="204" t="s">
        <v>236</v>
      </c>
      <c r="H468" s="238">
        <f>'Flujo Caja Mayo 2025'!$D$35</f>
        <v>16330.84</v>
      </c>
    </row>
    <row r="469" spans="2:10" ht="30">
      <c r="B469" s="203">
        <v>45800</v>
      </c>
      <c r="C469" s="205" t="str">
        <f>'Diferencia en cambio'!C99</f>
        <v>Client:Energyzer-Ivan Chavez-Jerry García-Ronny Quan 202505-Safeguard</v>
      </c>
      <c r="D469" s="22">
        <f>'Diferencia en cambio'!$I$99</f>
        <v>259973.61140949561</v>
      </c>
      <c r="F469" s="236">
        <v>45791</v>
      </c>
      <c r="G469" s="204" t="s">
        <v>810</v>
      </c>
      <c r="H469" s="238">
        <f>'Flujo Caja Mayo 2025'!$D$36</f>
        <v>1766.91</v>
      </c>
    </row>
    <row r="470" spans="2:10" ht="30">
      <c r="B470" s="203">
        <v>45800</v>
      </c>
      <c r="C470" s="205" t="str">
        <f>'Diferencia en cambio'!C100</f>
        <v>Client:Kairos Ruth Carolina Vasquez 202505-Safeguard</v>
      </c>
      <c r="D470" s="22">
        <f>'Diferencia en cambio'!$I$100</f>
        <v>10190.012055651405</v>
      </c>
      <c r="F470" s="236">
        <v>45791</v>
      </c>
      <c r="G470" s="204" t="s">
        <v>799</v>
      </c>
      <c r="H470" s="238">
        <f>'Flujo Caja Mayo 2025'!$D$32</f>
        <v>56797.96</v>
      </c>
    </row>
    <row r="471" spans="2:10" ht="30">
      <c r="B471" s="203">
        <v>45800</v>
      </c>
      <c r="C471" s="205" t="str">
        <f>'Diferencia en cambio'!C102</f>
        <v>Client: Panthera-Barbara Isabel Escobar Anleu 202505-Safeguard</v>
      </c>
      <c r="D471" s="22">
        <f>'Diferencia en cambio'!$I$102</f>
        <v>18297.592662317773</v>
      </c>
      <c r="F471" s="236">
        <v>45798</v>
      </c>
      <c r="G471" s="204" t="str">
        <f>'Flujo Caja Mayo 2025'!C39</f>
        <v>Servicios profesionales Juan-Servicios prestados Abril</v>
      </c>
      <c r="H471" s="238">
        <f>('Flujo Caja Mayo 2025'!$D$39+'Flujo Caja Mayo 2025'!$D$40)</f>
        <v>1110.52</v>
      </c>
    </row>
    <row r="472" spans="2:10" ht="30">
      <c r="B472" s="203">
        <v>45800</v>
      </c>
      <c r="C472" s="205" t="str">
        <f>'Diferencia en cambio'!C103</f>
        <v>Client: Basis GlobalTechnologies-Carlos Raymundo Morales202505-Safeguard</v>
      </c>
      <c r="D472" s="22">
        <f>'Diferencia en cambio'!$I$103</f>
        <v>24628.128330832926</v>
      </c>
      <c r="F472" s="236">
        <v>45798</v>
      </c>
      <c r="G472" s="204" t="str">
        <f>'Flujo Caja Mayo 2025'!C48</f>
        <v>Póliza de salud Carlos Raymundo Morales Santos-QTQ-GM-Inclusión</v>
      </c>
      <c r="H472" s="238">
        <f>'Flujo Caja Mayo 2025'!$D$48</f>
        <v>216.63</v>
      </c>
    </row>
    <row r="473" spans="2:10" ht="30">
      <c r="B473" s="203">
        <v>45800</v>
      </c>
      <c r="C473" s="205" t="str">
        <f>'Diferencia en cambio'!C104</f>
        <v>Client:Careercircle, LLC-Michael Scott Edgar 202505-Safeguard</v>
      </c>
      <c r="D473" s="22">
        <f>'Diferencia en cambio'!$I$104</f>
        <v>46265.125541702255</v>
      </c>
      <c r="F473" s="236">
        <v>45798</v>
      </c>
      <c r="G473" s="204" t="str">
        <f>'Flujo Caja Mayo 2025'!C49</f>
        <v>Póliza de salud Hector Augusto Castillo Luna-QTQ-GM-Inclusión</v>
      </c>
      <c r="H473" s="238">
        <f>'Flujo Caja Mayo 2025'!$D$49</f>
        <v>361.2</v>
      </c>
    </row>
    <row r="474" spans="2:10">
      <c r="B474" s="203"/>
      <c r="C474" s="204"/>
      <c r="D474" s="22"/>
      <c r="F474" s="236">
        <v>45805</v>
      </c>
      <c r="G474" s="204" t="s">
        <v>176</v>
      </c>
      <c r="H474" s="238">
        <f>'Flujo Caja Mayo 2025'!D61</f>
        <v>28786.83</v>
      </c>
      <c r="J474" s="180">
        <v>1</v>
      </c>
    </row>
    <row r="475" spans="2:10">
      <c r="C475" s="7" t="s">
        <v>240</v>
      </c>
      <c r="D475" s="13">
        <f>SUM(D465:D474)</f>
        <v>695842.70689999883</v>
      </c>
      <c r="F475" s="236">
        <v>45805</v>
      </c>
      <c r="G475" s="204" t="s">
        <v>829</v>
      </c>
      <c r="H475" s="238">
        <f>'Flujo Caja Mayo 2025'!D62</f>
        <v>38061.46</v>
      </c>
    </row>
    <row r="476" spans="2:10">
      <c r="F476" s="236">
        <v>45805</v>
      </c>
      <c r="G476" s="262" t="s">
        <v>414</v>
      </c>
      <c r="H476" s="249">
        <f>'Flujo Caja Mayo 2025'!D63</f>
        <v>71056.990000000005</v>
      </c>
    </row>
    <row r="477" spans="2:10">
      <c r="F477" s="236">
        <v>45805</v>
      </c>
      <c r="G477" s="262" t="s">
        <v>797</v>
      </c>
      <c r="H477" s="249">
        <f>'Flujo Caja Mayo 2025'!D64</f>
        <v>18965.53</v>
      </c>
    </row>
    <row r="478" spans="2:10">
      <c r="F478" s="236">
        <v>45805</v>
      </c>
      <c r="G478" s="262" t="s">
        <v>417</v>
      </c>
      <c r="H478" s="249">
        <f>'Flujo Caja Mayo 2025'!D65</f>
        <v>10562.83</v>
      </c>
    </row>
    <row r="479" spans="2:10">
      <c r="F479" s="236">
        <v>45805</v>
      </c>
      <c r="G479" s="262" t="s">
        <v>409</v>
      </c>
      <c r="H479" s="249">
        <f>'Flujo Caja Mayo 2025'!D66</f>
        <v>14151.42</v>
      </c>
    </row>
    <row r="480" spans="2:10">
      <c r="F480" s="236">
        <v>45805</v>
      </c>
      <c r="G480" s="262" t="s">
        <v>416</v>
      </c>
      <c r="H480" s="249">
        <f>'Flujo Caja Mayo 2025'!D67</f>
        <v>66458.559999999998</v>
      </c>
    </row>
    <row r="481" spans="6:10">
      <c r="F481" s="236">
        <v>45805</v>
      </c>
      <c r="G481" s="262" t="s">
        <v>412</v>
      </c>
      <c r="H481" s="249">
        <f>'Flujo Caja Mayo 2025'!D68</f>
        <v>8104.53</v>
      </c>
    </row>
    <row r="482" spans="6:10">
      <c r="F482" s="236">
        <v>45805</v>
      </c>
      <c r="G482" s="262" t="s">
        <v>413</v>
      </c>
      <c r="H482" s="249">
        <f>'Flujo Caja Mayo 2025'!D69</f>
        <v>3943.21</v>
      </c>
    </row>
    <row r="483" spans="6:10">
      <c r="F483" s="236">
        <v>45805</v>
      </c>
      <c r="G483" s="262" t="s">
        <v>415</v>
      </c>
      <c r="H483" s="249">
        <f>'Flujo Caja Mayo 2025'!D70</f>
        <v>25739.759999999998</v>
      </c>
    </row>
    <row r="484" spans="6:10">
      <c r="F484" s="236">
        <v>45805</v>
      </c>
      <c r="G484" s="262" t="s">
        <v>410</v>
      </c>
      <c r="H484" s="249">
        <f>'Flujo Caja Mayo 2025'!D71</f>
        <v>3943.21</v>
      </c>
    </row>
    <row r="485" spans="6:10">
      <c r="F485" s="236">
        <v>45805</v>
      </c>
      <c r="G485" s="262" t="s">
        <v>418</v>
      </c>
      <c r="H485" s="249">
        <f>'Flujo Caja Mayo 2025'!D72</f>
        <v>34072.980000000003</v>
      </c>
    </row>
    <row r="486" spans="6:10">
      <c r="F486" s="236">
        <v>45805</v>
      </c>
      <c r="G486" s="262" t="s">
        <v>411</v>
      </c>
      <c r="H486" s="249">
        <f>'Flujo Caja Mayo 2025'!D73</f>
        <v>3943.21</v>
      </c>
    </row>
    <row r="487" spans="6:10">
      <c r="F487" s="236">
        <v>45805</v>
      </c>
      <c r="G487" s="262" t="s">
        <v>833</v>
      </c>
      <c r="H487" s="249">
        <f>'Flujo Caja Abril 2025'!$D$79</f>
        <v>1500</v>
      </c>
    </row>
    <row r="488" spans="6:10">
      <c r="F488" s="236">
        <v>45805</v>
      </c>
      <c r="G488" s="204" t="s">
        <v>713</v>
      </c>
      <c r="H488" s="238">
        <f>('Flujo Caja Mayo 2025'!$D$50+'Flujo Caja Mayo 2025'!$D$51+'Flujo Caja Mayo 2025'!$D$52+'Flujo Caja Mayo 2025'!$D$53)</f>
        <v>4830.1499999999996</v>
      </c>
      <c r="J488" s="180">
        <v>1</v>
      </c>
    </row>
    <row r="489" spans="6:10">
      <c r="F489" s="236">
        <v>45805</v>
      </c>
      <c r="G489" s="204" t="s">
        <v>836</v>
      </c>
      <c r="H489" s="238">
        <f>'Flujo Caja Mayo 2025'!$D$41</f>
        <v>2299</v>
      </c>
    </row>
    <row r="490" spans="6:10">
      <c r="F490" s="236">
        <v>45805</v>
      </c>
      <c r="G490" s="204" t="s">
        <v>837</v>
      </c>
      <c r="H490" s="238">
        <f>'Flujo Caja Mayo 2025'!$D$42</f>
        <v>12308</v>
      </c>
    </row>
    <row r="491" spans="6:10">
      <c r="F491" s="236">
        <v>45805</v>
      </c>
      <c r="G491" s="204" t="s">
        <v>842</v>
      </c>
      <c r="H491" s="238">
        <v>39150</v>
      </c>
    </row>
    <row r="492" spans="6:10">
      <c r="F492" s="236">
        <v>45806</v>
      </c>
      <c r="G492" s="204" t="s">
        <v>838</v>
      </c>
      <c r="H492" s="238">
        <f>'Flujo Caja Mayo 2025'!D82</f>
        <v>300.06</v>
      </c>
    </row>
    <row r="493" spans="6:10">
      <c r="F493" s="236">
        <v>45806</v>
      </c>
      <c r="G493" s="204" t="s">
        <v>839</v>
      </c>
      <c r="H493" s="238">
        <f>'Flujo Caja Mayo 2025'!$D$83</f>
        <v>2875.73</v>
      </c>
    </row>
    <row r="494" spans="6:10">
      <c r="F494" s="236">
        <v>45807</v>
      </c>
      <c r="G494" s="204" t="s">
        <v>843</v>
      </c>
      <c r="H494" s="238">
        <f>'Flujo Caja Mayo 2025'!$D$74</f>
        <v>9877.23</v>
      </c>
    </row>
    <row r="495" spans="6:10">
      <c r="F495" s="236">
        <v>45807</v>
      </c>
      <c r="G495" s="204" t="s">
        <v>844</v>
      </c>
      <c r="H495" s="238">
        <f>'Flujo Caja Mayo 2025'!$D$75</f>
        <v>21600.5</v>
      </c>
    </row>
    <row r="496" spans="6:10">
      <c r="F496" s="236">
        <v>45807</v>
      </c>
      <c r="G496" s="204" t="s">
        <v>845</v>
      </c>
      <c r="H496" s="238">
        <f>'Flujo Caja Mayo 2025'!$D$76</f>
        <v>21600.5</v>
      </c>
    </row>
    <row r="497" spans="2:11">
      <c r="F497" s="236"/>
      <c r="G497" s="204"/>
      <c r="H497" s="238"/>
    </row>
    <row r="498" spans="2:11">
      <c r="F498" s="236"/>
      <c r="G498" s="237"/>
      <c r="H498" s="238"/>
    </row>
    <row r="499" spans="2:11">
      <c r="F499" s="236"/>
      <c r="G499" s="204"/>
      <c r="H499" s="238"/>
    </row>
    <row r="500" spans="2:11">
      <c r="F500" s="258"/>
      <c r="G500" s="204"/>
      <c r="H500" s="238"/>
    </row>
    <row r="501" spans="2:11">
      <c r="F501" s="239"/>
      <c r="G501" s="204"/>
      <c r="H501" s="238"/>
    </row>
    <row r="502" spans="2:11">
      <c r="G502" s="7" t="s">
        <v>268</v>
      </c>
      <c r="H502" s="13">
        <f>SUM(H465:H501)</f>
        <v>527262.84000000008</v>
      </c>
    </row>
    <row r="503" spans="2:11">
      <c r="G503" s="7" t="s">
        <v>269</v>
      </c>
      <c r="H503" s="13">
        <f>D475-H502</f>
        <v>168579.86689999874</v>
      </c>
      <c r="K503" s="12"/>
    </row>
    <row r="505" spans="2:11" ht="18.75">
      <c r="B505" s="5" t="s">
        <v>34</v>
      </c>
      <c r="C505" s="5" t="s">
        <v>35</v>
      </c>
      <c r="D505" s="5" t="s">
        <v>15</v>
      </c>
      <c r="F505" s="5" t="s">
        <v>36</v>
      </c>
      <c r="G505" s="5" t="s">
        <v>35</v>
      </c>
      <c r="H505" s="5" t="s">
        <v>15</v>
      </c>
    </row>
    <row r="506" spans="2:11">
      <c r="B506" s="203">
        <v>45809</v>
      </c>
      <c r="C506" s="204" t="s">
        <v>49</v>
      </c>
      <c r="D506" s="22">
        <f>$H$503</f>
        <v>168579.86689999874</v>
      </c>
      <c r="F506" s="8">
        <v>45819</v>
      </c>
      <c r="G506" s="265" t="s">
        <v>859</v>
      </c>
      <c r="H506" s="14">
        <f>'Flujo Caja Junio 2025'!$D$39</f>
        <v>71657.91</v>
      </c>
    </row>
    <row r="507" spans="2:11" ht="30">
      <c r="B507" s="203">
        <v>45813</v>
      </c>
      <c r="C507" s="263" t="s">
        <v>858</v>
      </c>
      <c r="D507" s="22">
        <f>'Diferencia en cambio'!$I$105</f>
        <v>14758.23</v>
      </c>
      <c r="F507" s="8">
        <v>45819</v>
      </c>
      <c r="G507" s="265" t="s">
        <v>313</v>
      </c>
      <c r="H507" s="14">
        <f>'Flujo Caja Junio 2025'!$D$41</f>
        <v>20761.43</v>
      </c>
    </row>
    <row r="508" spans="2:11" ht="30">
      <c r="B508" s="203">
        <v>45819</v>
      </c>
      <c r="C508" s="158" t="str">
        <f>'Diferencia en cambio'!C98</f>
        <v>Client:Careercircle, LLC-Michael Scott Edgar 202504-Safeguard</v>
      </c>
      <c r="D508" s="22">
        <f>'Diferencia en cambio'!$I$98</f>
        <v>4460.17</v>
      </c>
      <c r="F508" s="8">
        <v>45819</v>
      </c>
      <c r="G508" s="265" t="s">
        <v>860</v>
      </c>
      <c r="H508" s="14">
        <f>'Flujo Caja Junio 2025'!$D$42</f>
        <v>2081.59</v>
      </c>
    </row>
    <row r="509" spans="2:11" ht="30">
      <c r="B509" s="203">
        <v>45821</v>
      </c>
      <c r="C509" s="158" t="s">
        <v>862</v>
      </c>
      <c r="D509" s="22">
        <f>'Diferencia en cambio'!$I$101</f>
        <v>13432.01309270721</v>
      </c>
      <c r="F509" s="8">
        <v>45828</v>
      </c>
      <c r="G509" s="265" t="s">
        <v>856</v>
      </c>
      <c r="H509" s="14">
        <f>'Flujo Caja Junio 2025'!$D$44</f>
        <v>929.32</v>
      </c>
    </row>
    <row r="510" spans="2:11" ht="30">
      <c r="B510" s="203">
        <v>45821</v>
      </c>
      <c r="C510" s="158" t="s">
        <v>863</v>
      </c>
      <c r="D510" s="22">
        <f>'Diferencia en cambio'!$I$106</f>
        <v>55813.046907292781</v>
      </c>
      <c r="F510" s="8">
        <v>45828</v>
      </c>
      <c r="G510" s="265" t="s">
        <v>869</v>
      </c>
      <c r="H510" s="14">
        <f>'Flujo Caja Junio 2025'!$D$45</f>
        <v>106</v>
      </c>
    </row>
    <row r="511" spans="2:11" ht="45">
      <c r="B511" s="203">
        <v>45828</v>
      </c>
      <c r="C511" s="158" t="s">
        <v>872</v>
      </c>
      <c r="D511" s="22">
        <f>'Diferencia en cambio'!$I$115</f>
        <v>29030.248768902802</v>
      </c>
      <c r="F511" s="8">
        <v>45828</v>
      </c>
      <c r="G511" s="265" t="s">
        <v>868</v>
      </c>
      <c r="H511" s="14">
        <f>'Flujo Caja Junio 2025'!$D$46</f>
        <v>929.76</v>
      </c>
    </row>
    <row r="512" spans="2:11" ht="30">
      <c r="B512" s="203">
        <v>45828</v>
      </c>
      <c r="C512" s="158" t="s">
        <v>873</v>
      </c>
      <c r="D512" s="22">
        <f>'Diferencia en cambio'!$I$111</f>
        <v>456437.27203268558</v>
      </c>
      <c r="F512" s="8">
        <v>45828</v>
      </c>
      <c r="G512" s="262" t="s">
        <v>871</v>
      </c>
      <c r="H512" s="14">
        <f>'Flujo Caja Junio 2025'!$D$95</f>
        <v>1500</v>
      </c>
    </row>
    <row r="513" spans="2:11" ht="30">
      <c r="B513" s="203">
        <v>45828</v>
      </c>
      <c r="C513" s="158" t="s">
        <v>874</v>
      </c>
      <c r="D513" s="22">
        <f>'Diferencia en cambio'!$I$114</f>
        <v>33194.966475941073</v>
      </c>
      <c r="F513" s="8">
        <v>45834</v>
      </c>
      <c r="G513" s="204" t="s">
        <v>888</v>
      </c>
      <c r="H513" s="14">
        <f>'Flujo Caja Junio 2025'!D47</f>
        <v>2299</v>
      </c>
    </row>
    <row r="514" spans="2:11" ht="30">
      <c r="B514" s="203">
        <v>45828</v>
      </c>
      <c r="C514" s="158" t="s">
        <v>875</v>
      </c>
      <c r="D514" s="22">
        <f>'Diferencia en cambio'!$I$113</f>
        <v>29119.51894677573</v>
      </c>
      <c r="F514" s="8">
        <v>45834</v>
      </c>
      <c r="G514" s="6" t="s">
        <v>889</v>
      </c>
      <c r="H514" s="14">
        <f>('Flujo Caja Junio 2025'!$D$53+'Flujo Caja Junio 2025'!$D$54+'Flujo Caja Junio 2025'!$D$55+'Flujo Caja Junio 2025'!$D$56+'Flujo Caja Junio 2025'!$D$57+'Flujo Caja Junio 2025'!$D$58)</f>
        <v>5985.82</v>
      </c>
    </row>
    <row r="515" spans="2:11" ht="30">
      <c r="B515" s="203">
        <v>45828</v>
      </c>
      <c r="C515" s="158" t="s">
        <v>876</v>
      </c>
      <c r="D515" s="22">
        <f>'Diferencia en cambio'!$I$112</f>
        <v>19411.176740636303</v>
      </c>
      <c r="F515" s="8">
        <v>45835</v>
      </c>
      <c r="G515" s="6" t="str">
        <f>'Flujo Caja Junio 2025'!C67</f>
        <v>Hector Augusto Castillo Luna-Iberia-CC013</v>
      </c>
      <c r="H515" s="14">
        <f>'Flujo Caja Junio 2025'!$D$67</f>
        <v>21075.360000000001</v>
      </c>
    </row>
    <row r="516" spans="2:11" ht="30">
      <c r="B516" s="203">
        <v>45828</v>
      </c>
      <c r="C516" s="158" t="s">
        <v>877</v>
      </c>
      <c r="D516" s="22">
        <f>'Diferencia en cambio'!$I$117</f>
        <v>74322.357035058507</v>
      </c>
      <c r="F516" s="8">
        <v>45835</v>
      </c>
      <c r="G516" s="6" t="str">
        <f>'Flujo Caja Junio 2025'!C68</f>
        <v>Victor Jose Moscoso Portillo -Global Expansion-CC015</v>
      </c>
      <c r="H516" s="14">
        <f>'Flujo Caja Junio 2025'!$D$68</f>
        <v>46930.33</v>
      </c>
    </row>
    <row r="517" spans="2:11" ht="30">
      <c r="B517" s="203">
        <v>45832</v>
      </c>
      <c r="C517" s="158" t="s">
        <v>879</v>
      </c>
      <c r="D517" s="22">
        <f>'Diferencia en cambio'!$I$107</f>
        <v>41917.185226392874</v>
      </c>
      <c r="F517" s="8">
        <v>45835</v>
      </c>
      <c r="G517" s="6" t="str">
        <f>'Flujo Caja Junio 2025'!C69</f>
        <v>Stephanie Rodriguez Lopez-RF-Czarnikow-CC002</v>
      </c>
      <c r="H517" s="14">
        <f>'Flujo Caja Junio 2025'!$D$69</f>
        <v>59859.61</v>
      </c>
    </row>
    <row r="518" spans="2:11" ht="30">
      <c r="B518" s="203">
        <v>45832</v>
      </c>
      <c r="C518" s="158" t="s">
        <v>880</v>
      </c>
      <c r="D518" s="22">
        <f>'Diferencia en cambio'!$I$108</f>
        <v>50138.924628114153</v>
      </c>
      <c r="F518" s="8">
        <v>45835</v>
      </c>
      <c r="G518" s="6" t="str">
        <f>'Flujo Caja Junio 2025'!C70</f>
        <v>Michael scott Edgar  -Basis Global Technologies -CC011</v>
      </c>
      <c r="H518" s="14">
        <f>'Flujo Caja Junio 2025'!$D$70</f>
        <v>41242.58</v>
      </c>
    </row>
    <row r="519" spans="2:11">
      <c r="B519" s="203">
        <v>45832</v>
      </c>
      <c r="C519" s="158" t="s">
        <v>881</v>
      </c>
      <c r="D519" s="22">
        <f>'Diferencia en cambio'!$I$109</f>
        <v>18798.620365030954</v>
      </c>
      <c r="F519" s="8">
        <v>45835</v>
      </c>
      <c r="G519" s="6" t="str">
        <f>'Flujo Caja Junio 2025'!C72</f>
        <v>Jerry García-Energyzer-CC004</v>
      </c>
      <c r="H519" s="14">
        <f>'Flujo Caja Junio 2025'!$D$72</f>
        <v>141692</v>
      </c>
    </row>
    <row r="520" spans="2:11" ht="30">
      <c r="B520" s="203">
        <v>45832</v>
      </c>
      <c r="C520" s="158" t="s">
        <v>858</v>
      </c>
      <c r="D520" s="22">
        <f>'Diferencia en cambio'!$I$110</f>
        <v>27163.809780462027</v>
      </c>
      <c r="F520" s="8">
        <v>45835</v>
      </c>
      <c r="G520" s="6" t="str">
        <f>'Flujo Caja Junio 2025'!C73</f>
        <v>Carlos Raymundo Morales Santos -Basis Global Technologies -CC011</v>
      </c>
      <c r="H520" s="14">
        <f>'Flujo Caja Junio 2025'!$D$73</f>
        <v>22950.28</v>
      </c>
    </row>
    <row r="521" spans="2:11" ht="30">
      <c r="B521" s="203" t="s">
        <v>890</v>
      </c>
      <c r="C521" s="263" t="s">
        <v>858</v>
      </c>
      <c r="D521" s="272">
        <f>'Diferencia en cambio'!$I$121</f>
        <v>2518.0700000000002</v>
      </c>
      <c r="F521" s="8">
        <v>45835</v>
      </c>
      <c r="G521" s="6" t="str">
        <f>'Flujo Caja Junio 2025'!C74</f>
        <v>Edlin Ivette Ramos Poitan-Opportunnity-CC006</v>
      </c>
      <c r="H521" s="14">
        <f>'Flujo Caja Junio 2025'!$D$74</f>
        <v>25137</v>
      </c>
    </row>
    <row r="522" spans="2:11" ht="30">
      <c r="B522" s="203">
        <v>45834</v>
      </c>
      <c r="C522" s="158" t="str">
        <f>'Diferencia en cambio'!$C$118</f>
        <v>Client: Opportunity-Edlin Ivette Poitan 202506-Safeguard</v>
      </c>
      <c r="D522" s="22">
        <f>'Diferencia en cambio'!I118</f>
        <v>5149.34</v>
      </c>
      <c r="F522" s="8">
        <v>45835</v>
      </c>
      <c r="G522" s="6" t="str">
        <f>'Flujo Caja Junio 2025'!C75</f>
        <v>Barbara Isabela Escobar Anleu -Panthera-CC008</v>
      </c>
      <c r="H522" s="14">
        <f>'Flujo Caja Junio 2025'!$D$75</f>
        <v>28055</v>
      </c>
    </row>
    <row r="523" spans="2:11">
      <c r="B523" s="203"/>
      <c r="C523" s="204"/>
      <c r="D523" s="22"/>
      <c r="F523" s="8">
        <v>45835</v>
      </c>
      <c r="G523" s="6" t="str">
        <f>'Flujo Caja Junio 2025'!C76</f>
        <v>Wendy Maricela Marroquin Hernandez-Archewll-CC014</v>
      </c>
      <c r="H523" s="14">
        <f>'Flujo Caja Junio 2025'!$D$76</f>
        <v>29136</v>
      </c>
    </row>
    <row r="524" spans="2:11">
      <c r="C524" s="7" t="s">
        <v>290</v>
      </c>
      <c r="D524" s="13">
        <f>SUM(D506:D523)</f>
        <v>1044244.8168999988</v>
      </c>
      <c r="F524" s="8">
        <v>45835</v>
      </c>
      <c r="G524" s="6" t="str">
        <f>'Flujo Caja Junio 2025'!C77</f>
        <v>Ronny Eduardo Quan Lam-Energyzer-CC004</v>
      </c>
      <c r="H524" s="14">
        <f>'Flujo Caja Junio 2025'!$D$77</f>
        <v>161148</v>
      </c>
      <c r="J524" s="12"/>
      <c r="K524" s="12"/>
    </row>
    <row r="525" spans="2:11">
      <c r="F525" s="8">
        <v>45835</v>
      </c>
      <c r="G525" s="6" t="str">
        <f>'Flujo Caja Junio 2025'!C78</f>
        <v>Ruth Carolina Vasquez Avelar de Rabanal-Kairos-CC005</v>
      </c>
      <c r="H525" s="14">
        <f>'Flujo Caja Junio 2025'!$D$78</f>
        <v>31573</v>
      </c>
    </row>
    <row r="526" spans="2:11">
      <c r="F526" s="8">
        <v>45835</v>
      </c>
      <c r="G526" s="6" t="str">
        <f>'Flujo Caja Junio 2025'!C79</f>
        <v>Osman Alejandro López Acuta   -Bilingual Bridges -CC009</v>
      </c>
      <c r="H526" s="14">
        <f>'Flujo Caja Junio 2025'!$D$79</f>
        <v>7500</v>
      </c>
      <c r="J526" s="12"/>
    </row>
    <row r="527" spans="2:11">
      <c r="F527" s="8">
        <v>45835</v>
      </c>
      <c r="G527" s="6" t="str">
        <f>'Flujo Caja Junio 2025'!C80</f>
        <v>Ivan Estuardo Chávez Morales-Energyzer-CC004</v>
      </c>
      <c r="H527" s="14">
        <f>'Flujo Caja Junio 2025'!$D$80</f>
        <v>59172</v>
      </c>
    </row>
    <row r="528" spans="2:11">
      <c r="F528" s="8">
        <v>45835</v>
      </c>
      <c r="G528" s="6" t="str">
        <f>'Flujo Caja Junio 2025'!C81</f>
        <v>Sara María Arias Arrivillaga -Bilingual Bridges -CC009</v>
      </c>
      <c r="H528" s="14">
        <f>'Flujo Caja Junio 2025'!$D$81</f>
        <v>7500</v>
      </c>
    </row>
    <row r="529" spans="2:8">
      <c r="F529" s="8">
        <v>45835</v>
      </c>
      <c r="G529" s="6" t="str">
        <f>'Flujo Caja Junio 2025'!C82</f>
        <v>José Gilberto Villagran Soto-Archewll-CC014</v>
      </c>
      <c r="H529" s="14">
        <f>'Flujo Caja Junio 2025'!$D$82</f>
        <v>29136.560000000001</v>
      </c>
    </row>
    <row r="530" spans="2:8">
      <c r="F530" s="8">
        <v>45835</v>
      </c>
      <c r="G530" s="6" t="str">
        <f>'Flujo Caja Junio 2025'!C83</f>
        <v>Miriam Lucia Morfin Gonzalez RF-Notable Growth INC-CC007</v>
      </c>
      <c r="H530" s="14">
        <f>'Flujo Caja Junio 2025'!$D$83</f>
        <v>67085.649999999994</v>
      </c>
    </row>
    <row r="531" spans="2:8">
      <c r="F531" s="8">
        <v>45835</v>
      </c>
      <c r="G531" s="6" t="str">
        <f>'Flujo Caja Junio 2025'!C84</f>
        <v>Natali Gabriela Ziller Santos -Bilingual Bridges -CC009</v>
      </c>
      <c r="H531" s="14">
        <f>'Flujo Caja Junio 2025'!$D$84</f>
        <v>7500</v>
      </c>
    </row>
    <row r="532" spans="2:8">
      <c r="F532" s="8">
        <v>45835</v>
      </c>
      <c r="G532" s="6" t="s">
        <v>894</v>
      </c>
      <c r="H532" s="14">
        <f>'Flujo Caja Junio 2025'!$D$89</f>
        <v>6041.35</v>
      </c>
    </row>
    <row r="533" spans="2:8">
      <c r="F533" s="8">
        <v>45835</v>
      </c>
      <c r="G533" s="6" t="s">
        <v>895</v>
      </c>
      <c r="H533" s="14">
        <f>'Flujo Caja Junio 2025'!$D$90</f>
        <v>1098</v>
      </c>
    </row>
    <row r="534" spans="2:8">
      <c r="F534" s="8"/>
      <c r="G534" s="6"/>
      <c r="H534" s="14"/>
    </row>
    <row r="535" spans="2:8">
      <c r="G535" s="7" t="s">
        <v>292</v>
      </c>
      <c r="H535" s="13">
        <f>SUM(H506:H534)</f>
        <v>900083.55</v>
      </c>
    </row>
    <row r="536" spans="2:8">
      <c r="G536" s="7" t="s">
        <v>293</v>
      </c>
      <c r="H536" s="13">
        <f>D524-H535</f>
        <v>144161.26689999877</v>
      </c>
    </row>
    <row r="540" spans="2:8" ht="18.75">
      <c r="B540" s="5" t="s">
        <v>34</v>
      </c>
      <c r="C540" s="5" t="s">
        <v>35</v>
      </c>
      <c r="D540" s="5" t="s">
        <v>15</v>
      </c>
      <c r="F540" s="5" t="s">
        <v>36</v>
      </c>
      <c r="G540" s="5" t="s">
        <v>35</v>
      </c>
      <c r="H540" s="5" t="s">
        <v>15</v>
      </c>
    </row>
    <row r="541" spans="2:8">
      <c r="B541" s="203">
        <v>45839</v>
      </c>
      <c r="C541" s="158" t="s">
        <v>49</v>
      </c>
      <c r="D541" s="22">
        <f>$H$536</f>
        <v>144161.26689999877</v>
      </c>
      <c r="F541" s="203">
        <v>45840</v>
      </c>
      <c r="G541" s="262" t="s">
        <v>899</v>
      </c>
      <c r="H541" s="22">
        <f>'Flujo Caja Junio 2025'!$D$91</f>
        <v>2040.66</v>
      </c>
    </row>
    <row r="542" spans="2:8" ht="30">
      <c r="B542" s="203">
        <v>45839</v>
      </c>
      <c r="C542" s="158" t="s">
        <v>897</v>
      </c>
      <c r="D542" s="22">
        <f>'Diferencia en cambio'!$I$119</f>
        <v>63313.168344087608</v>
      </c>
      <c r="F542" s="203">
        <v>45840</v>
      </c>
      <c r="G542" s="262" t="s">
        <v>901</v>
      </c>
      <c r="H542" s="22">
        <f>'Flujo Caja Junio 2025'!$D$85</f>
        <v>17781.54</v>
      </c>
    </row>
    <row r="543" spans="2:8" ht="30">
      <c r="B543" s="203">
        <v>45839</v>
      </c>
      <c r="C543" s="158" t="s">
        <v>898</v>
      </c>
      <c r="D543" s="22">
        <f>'Diferencia en cambio'!$I$120</f>
        <v>24600.511655912374</v>
      </c>
      <c r="F543" s="203">
        <v>45840</v>
      </c>
      <c r="G543" s="262" t="s">
        <v>902</v>
      </c>
      <c r="H543" s="22">
        <f>'Flujo Caja Junio 2025'!$D$71</f>
        <v>4124.79</v>
      </c>
    </row>
    <row r="544" spans="2:8" ht="30">
      <c r="B544" s="203">
        <v>45846</v>
      </c>
      <c r="C544" s="158" t="s">
        <v>919</v>
      </c>
      <c r="D544" s="22">
        <f>'Diferencia en cambio'!$I$116</f>
        <v>52901.94</v>
      </c>
      <c r="F544" s="203">
        <v>45847</v>
      </c>
      <c r="G544" s="262" t="s">
        <v>1003</v>
      </c>
      <c r="H544" s="22">
        <f>'Flujo Caja Julio 2025 '!$D$39</f>
        <v>88155.61</v>
      </c>
    </row>
    <row r="545" spans="2:8">
      <c r="B545" s="203">
        <v>45861</v>
      </c>
      <c r="C545" s="158" t="s">
        <v>937</v>
      </c>
      <c r="D545" s="22">
        <f>'Flujo Caja Julio 2025 '!D31</f>
        <v>120779.43</v>
      </c>
      <c r="F545" s="203">
        <v>45849</v>
      </c>
      <c r="G545" s="262" t="s">
        <v>334</v>
      </c>
      <c r="H545" s="22">
        <f>'Flujo Caja Julio 2025 '!$D$41</f>
        <v>24841.439999999999</v>
      </c>
    </row>
    <row r="546" spans="2:8">
      <c r="B546" s="203">
        <v>45861</v>
      </c>
      <c r="C546" s="263" t="s">
        <v>938</v>
      </c>
      <c r="D546" s="22">
        <f>'Diferencia en cambio'!$I$129</f>
        <v>25902.886270187279</v>
      </c>
      <c r="F546" s="203">
        <v>45849</v>
      </c>
      <c r="G546" s="262" t="s">
        <v>920</v>
      </c>
      <c r="H546" s="22">
        <f>'Flujo Caja Julio 2025 '!$D$42</f>
        <v>3681.04</v>
      </c>
    </row>
    <row r="547" spans="2:8">
      <c r="B547" s="203">
        <v>45861</v>
      </c>
      <c r="C547" s="263" t="s">
        <v>939</v>
      </c>
      <c r="D547" s="22">
        <f>'Diferencia en cambio'!I130</f>
        <v>25731.695679824221</v>
      </c>
      <c r="F547" s="203">
        <v>45861</v>
      </c>
      <c r="G547" s="262" t="s">
        <v>936</v>
      </c>
      <c r="H547" s="22">
        <f>'Flujo Caja Julio 2025 '!D43</f>
        <v>11548</v>
      </c>
    </row>
    <row r="548" spans="2:8">
      <c r="B548" s="203">
        <v>45861</v>
      </c>
      <c r="C548" s="263" t="s">
        <v>701</v>
      </c>
      <c r="D548" s="22">
        <f>'Diferencia en cambio'!$I$131</f>
        <v>18323.860368927275</v>
      </c>
      <c r="F548" s="203">
        <v>45866</v>
      </c>
      <c r="G548" s="262" t="str">
        <f>'Flujo Caja Julio 2025 '!C67</f>
        <v>Hector Augusto Castillo Luna-Iberia-CC013</v>
      </c>
      <c r="H548" s="22">
        <f>'Flujo Caja Julio 2025 '!D67</f>
        <v>18519.8</v>
      </c>
    </row>
    <row r="549" spans="2:8">
      <c r="B549" s="203">
        <v>45861</v>
      </c>
      <c r="C549" s="263" t="s">
        <v>977</v>
      </c>
      <c r="D549" s="22">
        <f>'Estado Cartera Julio'!$J$7</f>
        <v>45448.286607238479</v>
      </c>
      <c r="F549" s="203">
        <v>45866</v>
      </c>
      <c r="G549" s="262" t="str">
        <f>'Flujo Caja Julio 2025 '!C68</f>
        <v>Victor Jose Moscoso Portillo -Global Expansion-CC015</v>
      </c>
      <c r="H549" s="22">
        <f>'Flujo Caja Julio 2025 '!D68</f>
        <v>51622.41</v>
      </c>
    </row>
    <row r="550" spans="2:8">
      <c r="B550" s="203">
        <v>45861</v>
      </c>
      <c r="C550" s="263" t="s">
        <v>941</v>
      </c>
      <c r="D550" s="22">
        <f>'Estado Cartera Julio'!$J$8</f>
        <v>74279.521073822776</v>
      </c>
      <c r="F550" s="203">
        <v>45866</v>
      </c>
      <c r="G550" s="262" t="str">
        <f>'Flujo Caja Julio 2025 '!C69</f>
        <v>Stephanie Rodriguez Lopez-RF-Czarnikow-CC002</v>
      </c>
      <c r="H550" s="22">
        <f>'Flujo Caja Julio 2025 '!D69</f>
        <v>28786.83</v>
      </c>
    </row>
    <row r="551" spans="2:8">
      <c r="B551" s="203">
        <v>45863</v>
      </c>
      <c r="C551" s="263" t="s">
        <v>943</v>
      </c>
      <c r="D551" s="22">
        <f>'Flujo Caja Julio 2025 '!D27</f>
        <v>41313.655460567963</v>
      </c>
      <c r="F551" s="203">
        <v>45866</v>
      </c>
      <c r="G551" s="262" t="str">
        <f>'Flujo Caja Julio 2025 '!C70</f>
        <v>Liza Marlene Torres Valdes  -Vinmar international -CC016</v>
      </c>
      <c r="H551" s="22">
        <f>'Flujo Caja Julio 2025 '!D70</f>
        <v>7719.42</v>
      </c>
    </row>
    <row r="552" spans="2:8">
      <c r="B552" s="203">
        <v>45863</v>
      </c>
      <c r="C552" s="263" t="s">
        <v>659</v>
      </c>
      <c r="D552" s="22">
        <f>'Flujo Caja Julio 2025 '!D28</f>
        <v>49416.885212012909</v>
      </c>
      <c r="F552" s="203">
        <v>45866</v>
      </c>
      <c r="G552" s="262" t="str">
        <f>'Flujo Caja Julio 2025 '!C71</f>
        <v>Douglas Miguel Villa Fuerte Leiva  -Archell -CC014</v>
      </c>
      <c r="H552" s="22">
        <f>'Flujo Caja Julio 2025 '!D71</f>
        <v>7221.28</v>
      </c>
    </row>
    <row r="553" spans="2:8">
      <c r="B553" s="203">
        <v>45863</v>
      </c>
      <c r="C553" s="263" t="s">
        <v>660</v>
      </c>
      <c r="D553" s="22">
        <f>'Flujo Caja Julio 2025 '!D29</f>
        <v>18527.429564052534</v>
      </c>
      <c r="F553" s="203">
        <v>45866</v>
      </c>
      <c r="G553" s="262" t="str">
        <f>'Flujo Caja Julio 2025 '!C72</f>
        <v>Michael scott Edgar  -Basis Global Technologies -CC011</v>
      </c>
      <c r="H553" s="22">
        <f>'Flujo Caja Julio 2025 '!D72</f>
        <v>34601.33</v>
      </c>
    </row>
    <row r="554" spans="2:8">
      <c r="B554" s="203">
        <v>45863</v>
      </c>
      <c r="C554" s="263" t="s">
        <v>942</v>
      </c>
      <c r="D554" s="22">
        <f>'Flujo Caja Julio 2025 '!D30</f>
        <v>30572.409763366613</v>
      </c>
      <c r="F554" s="203">
        <v>45866</v>
      </c>
      <c r="G554" s="262" t="str">
        <f>'Flujo Caja Julio 2025 '!C74</f>
        <v>María Fernanda Robles Solis -Oportunity-CC006</v>
      </c>
      <c r="H554" s="22">
        <f>'Flujo Caja Julio 2025 '!D74</f>
        <v>9478.65</v>
      </c>
    </row>
    <row r="555" spans="2:8">
      <c r="B555" s="203">
        <v>45863</v>
      </c>
      <c r="C555" s="263" t="s">
        <v>940</v>
      </c>
      <c r="D555" s="22">
        <f>'Diferencia en cambio'!$I$132</f>
        <v>37436</v>
      </c>
      <c r="F555" s="203">
        <v>45866</v>
      </c>
      <c r="G555" s="262" t="str">
        <f>'Flujo Caja Julio 2025 '!C76</f>
        <v>Jerry García-Energyzer-CC004</v>
      </c>
      <c r="H555" s="22">
        <f>'Flujo Caja Julio 2025 '!D76</f>
        <v>70588</v>
      </c>
    </row>
    <row r="556" spans="2:8">
      <c r="B556" s="203">
        <v>45869</v>
      </c>
      <c r="C556" s="277" t="s">
        <v>995</v>
      </c>
      <c r="D556" s="22">
        <v>1556.83</v>
      </c>
      <c r="F556" s="203">
        <v>45866</v>
      </c>
      <c r="G556" s="262" t="str">
        <f>'Flujo Caja Julio 2025 '!C77</f>
        <v>Carlos Raymundo Morales Santos -Basis Global Technologies -CC011</v>
      </c>
      <c r="H556" s="22">
        <f>'Flujo Caja Julio 2025 '!D77</f>
        <v>18951</v>
      </c>
    </row>
    <row r="557" spans="2:8">
      <c r="B557" s="203"/>
      <c r="C557" s="277"/>
      <c r="D557" s="22"/>
      <c r="F557" s="203">
        <v>45866</v>
      </c>
      <c r="G557" s="262" t="str">
        <f>'Flujo Caja Julio 2025 '!C78</f>
        <v>Edlin Ivette Ramos Poitan-Opportunnity-CC006</v>
      </c>
      <c r="H557" s="22">
        <f>'Flujo Caja Julio 2025 '!D78</f>
        <v>10562</v>
      </c>
    </row>
    <row r="558" spans="2:8">
      <c r="B558" s="203"/>
      <c r="C558" s="277"/>
      <c r="D558" s="22"/>
      <c r="F558" s="203">
        <v>45866</v>
      </c>
      <c r="G558" s="262" t="str">
        <f>'Flujo Caja Julio 2025 '!C79</f>
        <v>Barbara Isabela Escobar Anleu -Panthera-CC008</v>
      </c>
      <c r="H558" s="22">
        <f>'Flujo Caja Julio 2025 '!D79</f>
        <v>14151</v>
      </c>
    </row>
    <row r="559" spans="2:8">
      <c r="B559" s="203"/>
      <c r="C559" s="204"/>
      <c r="D559" s="22"/>
      <c r="F559" s="203">
        <v>45866</v>
      </c>
      <c r="G559" s="262" t="str">
        <f>'Flujo Caja Julio 2025 '!$C$80</f>
        <v>Wendy Maricela Marroquin Hernandez-Archewll-CC014</v>
      </c>
      <c r="H559" s="22">
        <f>'Flujo Caja Julio 2025 '!$D$80</f>
        <v>24703.15</v>
      </c>
    </row>
    <row r="560" spans="2:8">
      <c r="C560" s="7" t="s">
        <v>340</v>
      </c>
      <c r="D560" s="13">
        <f>SUM(D541:D559)</f>
        <v>774265.77689999866</v>
      </c>
      <c r="F560" s="203">
        <v>45866</v>
      </c>
      <c r="G560" s="262" t="str">
        <f>'Flujo Caja Julio 2025 '!C82</f>
        <v>Cynthia Arlene fuentes elias  -Global Expansion -CC015</v>
      </c>
      <c r="H560" s="22">
        <f>'Flujo Caja Julio 2025 '!D82</f>
        <v>32589.919999999998</v>
      </c>
    </row>
    <row r="561" spans="4:13">
      <c r="F561" s="203">
        <v>45866</v>
      </c>
      <c r="G561" s="262" t="str">
        <f>'Flujo Caja Julio 2025 '!C83</f>
        <v>Ronny Eduardo Quan Lam-Energyzer-CC004</v>
      </c>
      <c r="H561" s="22">
        <f>'Flujo Caja Julio 2025 '!D83</f>
        <v>67392</v>
      </c>
    </row>
    <row r="562" spans="4:13">
      <c r="D562" s="38"/>
      <c r="F562" s="203">
        <v>45866</v>
      </c>
      <c r="G562" s="262" t="str">
        <f>'Flujo Caja Julio 2025 '!C84</f>
        <v>Ruth Carolina Vasquez Avelar de Rabanal-Kairos-CC005</v>
      </c>
      <c r="H562" s="22">
        <f>'Flujo Caja Julio 2025 '!D84</f>
        <v>8025</v>
      </c>
    </row>
    <row r="563" spans="4:13">
      <c r="F563" s="203">
        <v>45866</v>
      </c>
      <c r="G563" s="262" t="str">
        <f>'Flujo Caja Julio 2025 '!C85</f>
        <v>Osman Alejandro López Acuta   -Bilingual Bridges -CC009</v>
      </c>
      <c r="H563" s="22">
        <f>'Flujo Caja Julio 2025 '!D85</f>
        <v>3943</v>
      </c>
    </row>
    <row r="564" spans="4:13">
      <c r="F564" s="203">
        <v>45866</v>
      </c>
      <c r="G564" s="262" t="str">
        <f>'Flujo Caja Julio 2025 '!C86</f>
        <v>Ivan Estuardo Chávez Morales-Energyzer-CC004</v>
      </c>
      <c r="H564" s="22">
        <f>'Flujo Caja Julio 2025 '!D86</f>
        <v>25739</v>
      </c>
    </row>
    <row r="565" spans="4:13">
      <c r="F565" s="203">
        <v>45866</v>
      </c>
      <c r="G565" s="262" t="str">
        <f>'Flujo Caja Julio 2025 '!C87</f>
        <v>Sara María Arias Arrivillaga -Bilingual Bridges -CC009</v>
      </c>
      <c r="H565" s="22">
        <f>'Flujo Caja Julio 2025 '!D87</f>
        <v>3943</v>
      </c>
    </row>
    <row r="566" spans="4:13">
      <c r="F566" s="203">
        <v>45866</v>
      </c>
      <c r="G566" s="262" t="str">
        <f>'Flujo Caja Julio 2025 '!C88</f>
        <v>José Gilberto Villagran Soto-Archewll-CC014</v>
      </c>
      <c r="H566" s="22">
        <f>'Flujo Caja Julio 2025 '!D88</f>
        <v>24703</v>
      </c>
    </row>
    <row r="567" spans="4:13">
      <c r="F567" s="203">
        <v>45866</v>
      </c>
      <c r="G567" s="262" t="str">
        <f>'Flujo Caja Julio 2025 '!C89</f>
        <v>Miriam Lucia Morfin Gonzalez RF-Notable Growth INC-CC007</v>
      </c>
      <c r="H567" s="22">
        <f>'Flujo Caja Julio 2025 '!D89</f>
        <v>33857.480000000003</v>
      </c>
    </row>
    <row r="568" spans="4:13">
      <c r="F568" s="203">
        <v>45866</v>
      </c>
      <c r="G568" s="262" t="str">
        <f>'Flujo Caja Julio 2025 '!C90</f>
        <v>Natali Gabriela Ziller Santos -Bilingual Bridges -CC009</v>
      </c>
      <c r="H568" s="22">
        <f>'Flujo Caja Julio 2025 '!D90</f>
        <v>3943</v>
      </c>
    </row>
    <row r="569" spans="4:13">
      <c r="F569" s="203">
        <v>45866</v>
      </c>
      <c r="G569" s="262" t="s">
        <v>949</v>
      </c>
      <c r="H569" s="22">
        <f>'Flujo Caja Julio 2025 '!$D$80</f>
        <v>24703.15</v>
      </c>
    </row>
    <row r="570" spans="4:13">
      <c r="F570" s="203">
        <v>45866</v>
      </c>
      <c r="G570" s="262" t="str">
        <f>'Flujo Caja Julio 2025 '!C45</f>
        <v>Servicios profesionales Juan-Servicios prestados Junio</v>
      </c>
      <c r="H570" s="22">
        <f>'Flujo Caja Julio 2025 '!D45</f>
        <v>926.32</v>
      </c>
    </row>
    <row r="571" spans="4:13">
      <c r="F571" s="203">
        <v>45866</v>
      </c>
      <c r="G571" s="262" t="str">
        <f>'Flujo Caja Julio 2025 '!C46</f>
        <v>Servicios de transporte gestiones BAC 27 junio</v>
      </c>
      <c r="H571" s="22">
        <f>'Flujo Caja Julio 2025 '!D46</f>
        <v>157.88999999999999</v>
      </c>
    </row>
    <row r="572" spans="4:13">
      <c r="F572" s="203">
        <v>45866</v>
      </c>
      <c r="G572" s="262" t="str">
        <f>'Flujo Caja Julio 2025 '!C47</f>
        <v>Inbers contadores Servicios contables con entrega de información financiera correspondiente al periodo de Junio 2025</v>
      </c>
      <c r="H572" s="22">
        <f>'Flujo Caja Julio 2025 '!D47</f>
        <v>2299</v>
      </c>
    </row>
    <row r="573" spans="4:13">
      <c r="F573" s="203">
        <v>45866</v>
      </c>
      <c r="G573" s="262" t="str">
        <f>'Flujo Caja Julio 2025 '!C73</f>
        <v>Joshua Esteban Lopez Fernandez   -Highspring-CC017</v>
      </c>
      <c r="H573" s="22">
        <f>'Flujo Caja Julio 2025 '!D73</f>
        <v>7944.78</v>
      </c>
      <c r="M573" s="12"/>
    </row>
    <row r="574" spans="4:13">
      <c r="F574" s="203">
        <v>45866</v>
      </c>
      <c r="G574" s="262" t="str">
        <f>'Flujo Caja Julio 2025 '!C75</f>
        <v>Carlos Alejandro Montiel Lorenzana--Archell -CC014</v>
      </c>
      <c r="H574" s="22">
        <f>'Flujo Caja Julio 2025 '!D75</f>
        <v>5957.99</v>
      </c>
    </row>
    <row r="575" spans="4:13">
      <c r="F575" s="278">
        <v>45867</v>
      </c>
      <c r="G575" s="262" t="s">
        <v>950</v>
      </c>
      <c r="H575" s="279">
        <f>'Flujo Caja Julio 2025 '!$D$53+'Flujo Caja Julio 2025 '!$D$54+'Flujo Caja Julio 2025 '!$D$55+'Flujo Caja Julio 2025 '!$D$56+'Flujo Caja Julio 2025 '!$D$57+'Flujo Caja Julio 2025 '!$D$58</f>
        <v>5985.82</v>
      </c>
    </row>
    <row r="576" spans="4:13">
      <c r="F576" s="203">
        <v>45868</v>
      </c>
      <c r="G576" s="262" t="s">
        <v>953</v>
      </c>
      <c r="H576" s="22">
        <v>30929</v>
      </c>
    </row>
    <row r="577" spans="2:12">
      <c r="F577" s="203">
        <v>45868</v>
      </c>
      <c r="G577" s="262" t="s">
        <v>955</v>
      </c>
      <c r="H577" s="22">
        <f>'Flujo Caja Julio 2025 '!$D$93</f>
        <v>5056.6000000000004</v>
      </c>
    </row>
    <row r="578" spans="2:12">
      <c r="F578" s="203">
        <v>45868</v>
      </c>
      <c r="G578" s="262" t="s">
        <v>956</v>
      </c>
      <c r="H578" s="22">
        <f>'Flujo Caja Julio 2025 '!$D$94</f>
        <v>11408.75</v>
      </c>
    </row>
    <row r="579" spans="2:12">
      <c r="F579" s="203">
        <v>45868</v>
      </c>
      <c r="G579" s="262" t="s">
        <v>951</v>
      </c>
      <c r="H579" s="22">
        <f>'Flujo Caja Julio 2025 '!$D$98</f>
        <v>1500</v>
      </c>
    </row>
    <row r="580" spans="2:12">
      <c r="F580" s="203"/>
      <c r="G580" s="237"/>
      <c r="H580" s="22"/>
    </row>
    <row r="581" spans="2:12">
      <c r="F581" s="203"/>
      <c r="G581" s="205"/>
      <c r="H581" s="22"/>
    </row>
    <row r="582" spans="2:12">
      <c r="G582" s="7" t="s">
        <v>330</v>
      </c>
      <c r="H582" s="13">
        <f>SUM(H541:H581)</f>
        <v>750082.65</v>
      </c>
    </row>
    <row r="583" spans="2:12">
      <c r="G583" s="7" t="s">
        <v>331</v>
      </c>
      <c r="H583" s="13">
        <f>D560-H582</f>
        <v>24183.126899998635</v>
      </c>
      <c r="J583" s="13">
        <v>208127.95689999877</v>
      </c>
      <c r="K583" s="9" t="s">
        <v>981</v>
      </c>
      <c r="L583" s="273" t="s">
        <v>904</v>
      </c>
    </row>
    <row r="586" spans="2:12" ht="18.75">
      <c r="B586" s="5" t="s">
        <v>34</v>
      </c>
      <c r="C586" s="5" t="s">
        <v>35</v>
      </c>
      <c r="D586" s="5" t="s">
        <v>15</v>
      </c>
      <c r="F586" s="5" t="s">
        <v>36</v>
      </c>
      <c r="G586" s="5" t="s">
        <v>35</v>
      </c>
      <c r="H586" s="5" t="s">
        <v>15</v>
      </c>
    </row>
    <row r="587" spans="2:12">
      <c r="B587" s="203">
        <v>45870</v>
      </c>
      <c r="C587" s="158" t="s">
        <v>49</v>
      </c>
      <c r="D587" s="22">
        <f>$H$583</f>
        <v>24183.126899998635</v>
      </c>
      <c r="F587" s="203">
        <v>45880</v>
      </c>
      <c r="G587" s="262" t="str">
        <f>'Flujo Caja Agosto 2025'!C47</f>
        <v>Nadia Yohana, jimenez Ramos Elaboración de informe y  capacitación sobre aspectos de derechos laborales.-Redacción de rectificación de contrato individual de trabajo.</v>
      </c>
      <c r="H587" s="22">
        <f>'Flujo Caja Agosto 2025'!D47</f>
        <v>1382.5</v>
      </c>
    </row>
    <row r="588" spans="2:12" ht="30">
      <c r="B588" s="203">
        <v>45873</v>
      </c>
      <c r="C588" s="277" t="s">
        <v>979</v>
      </c>
      <c r="D588" s="22">
        <v>24703.15</v>
      </c>
      <c r="F588" s="203">
        <v>45881</v>
      </c>
      <c r="G588" s="262" t="s">
        <v>376</v>
      </c>
      <c r="H588" s="22">
        <v>27481.79</v>
      </c>
    </row>
    <row r="589" spans="2:12" ht="30">
      <c r="B589" s="203">
        <v>45877</v>
      </c>
      <c r="C589" s="277" t="s">
        <v>996</v>
      </c>
      <c r="D589" s="22">
        <f>'Flujo Caja Agosto 2025'!$D$17</f>
        <v>7615.5074052362834</v>
      </c>
      <c r="F589" s="203">
        <v>45881</v>
      </c>
      <c r="G589" s="262" t="s">
        <v>987</v>
      </c>
      <c r="H589" s="22">
        <v>2834.53</v>
      </c>
    </row>
    <row r="590" spans="2:12" ht="30">
      <c r="B590" s="203">
        <v>45877</v>
      </c>
      <c r="C590" s="277" t="s">
        <v>997</v>
      </c>
      <c r="D590" s="22">
        <f>'Flujo Caja Agosto 2025'!$D$18</f>
        <v>10045.64259476372</v>
      </c>
      <c r="F590" s="203">
        <v>45888</v>
      </c>
      <c r="G590" s="262" t="s">
        <v>988</v>
      </c>
      <c r="H590" s="22">
        <f>'Flujo Caja Agosto 2025'!$D$41</f>
        <v>97522.28</v>
      </c>
    </row>
    <row r="591" spans="2:12" ht="30">
      <c r="B591" s="203">
        <v>45887</v>
      </c>
      <c r="C591" s="277" t="s">
        <v>1002</v>
      </c>
      <c r="D591" s="22">
        <f>'Flujo Caja Agosto 2025'!$D$15</f>
        <v>234032.34089987481</v>
      </c>
      <c r="F591" s="203">
        <v>45896</v>
      </c>
      <c r="G591" s="262" t="str">
        <f>'Flujo Caja Agosto 2025'!C85</f>
        <v>Jerry García-Energyzer-CC004</v>
      </c>
      <c r="H591" s="22">
        <f>'Flujo Caja Agosto 2025'!D85</f>
        <v>62165</v>
      </c>
    </row>
    <row r="592" spans="2:12" ht="30">
      <c r="B592" s="203">
        <v>45887</v>
      </c>
      <c r="C592" s="277" t="s">
        <v>1002</v>
      </c>
      <c r="D592" s="22">
        <f>'Flujo Caja Agosto 2025'!$D$16</f>
        <v>31608.179100125195</v>
      </c>
      <c r="F592" s="203">
        <v>45896</v>
      </c>
      <c r="G592" s="262" t="str">
        <f>'Flujo Caja Agosto 2025'!C86</f>
        <v>Carlos Raymundo Morales Santos -Basis Global Technologies -CC011</v>
      </c>
      <c r="H592" s="22">
        <f>'Flujo Caja Agosto 2025'!D86</f>
        <v>19880</v>
      </c>
    </row>
    <row r="593" spans="2:8" ht="30">
      <c r="B593" s="203">
        <v>45888</v>
      </c>
      <c r="C593" s="277" t="s">
        <v>1018</v>
      </c>
      <c r="D593" s="22">
        <f>'Diferencia en cambio'!I152</f>
        <v>120143.75</v>
      </c>
      <c r="F593" s="203">
        <v>45896</v>
      </c>
      <c r="G593" s="262" t="str">
        <f>'Flujo Caja Agosto 2025'!C87</f>
        <v>Edlin Ivette Ramos Poitan-Opportunnity-CC006</v>
      </c>
      <c r="H593" s="22">
        <f>'Flujo Caja Agosto 2025'!D87</f>
        <v>10562</v>
      </c>
    </row>
    <row r="594" spans="2:8" ht="30">
      <c r="B594" s="203">
        <v>45889</v>
      </c>
      <c r="C594" s="277" t="s">
        <v>1019</v>
      </c>
      <c r="D594" s="22">
        <f>'Diferencia en cambio'!I145</f>
        <v>10190.521799620337</v>
      </c>
      <c r="F594" s="203">
        <v>45896</v>
      </c>
      <c r="G594" s="262" t="str">
        <f>'Flujo Caja Agosto 2025'!C88</f>
        <v>Barbara Isabela Escobar Anleu -Panthera-CC008</v>
      </c>
      <c r="H594" s="22">
        <f>'Flujo Caja Agosto 2025'!D88</f>
        <v>14151</v>
      </c>
    </row>
    <row r="595" spans="2:8" ht="30">
      <c r="B595" s="203">
        <v>45889</v>
      </c>
      <c r="C595" s="277" t="s">
        <v>1020</v>
      </c>
      <c r="D595" s="22">
        <f>'Diferencia en cambio'!I146</f>
        <v>25895.688641408797</v>
      </c>
      <c r="F595" s="203">
        <v>45896</v>
      </c>
      <c r="G595" s="262" t="str">
        <f>'Flujo Caja Agosto 2025'!C89</f>
        <v>Wendy Maricela Marroquin Hernandez-Archewll-CC014</v>
      </c>
      <c r="H595" s="22">
        <f>'Flujo Caja Agosto 2025'!D89</f>
        <v>24923.65</v>
      </c>
    </row>
    <row r="596" spans="2:8" ht="30">
      <c r="B596" s="203">
        <v>45889</v>
      </c>
      <c r="C596" s="277" t="s">
        <v>1021</v>
      </c>
      <c r="D596" s="22">
        <f>'Diferencia en cambio'!I147</f>
        <v>18298.506174301951</v>
      </c>
      <c r="F596" s="203">
        <v>45896</v>
      </c>
      <c r="G596" s="262" t="str">
        <f>'Flujo Caja Agosto 2025'!C90</f>
        <v>Cynthia Arlene fuentes elias  -Global Expansion -CC015</v>
      </c>
      <c r="H596" s="22">
        <f>'Flujo Caja Agosto 2025'!D90</f>
        <v>32589.919999999998</v>
      </c>
    </row>
    <row r="597" spans="2:8" ht="30">
      <c r="B597" s="203">
        <v>45889</v>
      </c>
      <c r="C597" s="277" t="s">
        <v>1022</v>
      </c>
      <c r="D597" s="22">
        <f>'Diferencia en cambio'!I148</f>
        <v>26066.789604726993</v>
      </c>
      <c r="F597" s="203">
        <v>45896</v>
      </c>
      <c r="G597" s="262" t="str">
        <f>'Flujo Caja Agosto 2025'!C91</f>
        <v>Ronny Eduardo Quan Lam-Energyzer-CC004</v>
      </c>
      <c r="H597" s="22">
        <f>'Flujo Caja Agosto 2025'!D91</f>
        <v>67392</v>
      </c>
    </row>
    <row r="598" spans="2:8" ht="30">
      <c r="B598" s="203">
        <v>45889</v>
      </c>
      <c r="C598" s="277" t="s">
        <v>1023</v>
      </c>
      <c r="D598" s="22">
        <f>'Diferencia en cambio'!I149</f>
        <v>45385.211167255409</v>
      </c>
      <c r="F598" s="203">
        <v>45896</v>
      </c>
      <c r="G598" s="262" t="str">
        <f>'Flujo Caja Agosto 2025'!C92</f>
        <v>Ruth Carolina Vasquez Avelar de Rabanal-Kairos-CC005</v>
      </c>
      <c r="H598" s="22">
        <f>'Flujo Caja Agosto 2025'!D92</f>
        <v>8025</v>
      </c>
    </row>
    <row r="599" spans="2:8" ht="30">
      <c r="B599" s="203">
        <v>45889</v>
      </c>
      <c r="C599" s="277" t="s">
        <v>1024</v>
      </c>
      <c r="D599" s="22">
        <f>'Diferencia en cambio'!$I$151</f>
        <v>12747.992612686532</v>
      </c>
      <c r="F599" s="203">
        <v>45896</v>
      </c>
      <c r="G599" s="262" t="str">
        <f>'Flujo Caja Agosto 2025'!C93</f>
        <v>Osman Alejandro López Acuta   -Bilingual Bridges -CC009</v>
      </c>
      <c r="H599" s="22">
        <f>'Flujo Caja Agosto 2025'!D93</f>
        <v>3943</v>
      </c>
    </row>
    <row r="600" spans="2:8" ht="30">
      <c r="B600" s="203">
        <v>45889</v>
      </c>
      <c r="C600" s="277" t="s">
        <v>1027</v>
      </c>
      <c r="D600" s="22">
        <v>11868.808844526066</v>
      </c>
      <c r="F600" s="203">
        <v>45896</v>
      </c>
      <c r="G600" s="262" t="str">
        <f>'Flujo Caja Agosto 2025'!C94</f>
        <v>Ivan Estuardo Chávez Morales-Energyzer-CC004</v>
      </c>
      <c r="H600" s="22">
        <f>'Flujo Caja Agosto 2025'!D94</f>
        <v>25739</v>
      </c>
    </row>
    <row r="601" spans="2:8" ht="30">
      <c r="B601" s="203">
        <v>45889</v>
      </c>
      <c r="C601" s="277" t="s">
        <v>1028</v>
      </c>
      <c r="D601" s="22">
        <v>42031.565423111169</v>
      </c>
      <c r="F601" s="203">
        <v>45896</v>
      </c>
      <c r="G601" s="262" t="str">
        <f>'Flujo Caja Agosto 2025'!C95</f>
        <v>Sara María Arias Arrivillaga -Bilingual Bridges -CC009</v>
      </c>
      <c r="H601" s="22">
        <f>'Flujo Caja Agosto 2025'!D95</f>
        <v>3943</v>
      </c>
    </row>
    <row r="602" spans="2:8" ht="30">
      <c r="B602" s="203">
        <v>45889</v>
      </c>
      <c r="C602" s="277" t="s">
        <v>1029</v>
      </c>
      <c r="D602" s="22">
        <v>50275.542641380838</v>
      </c>
      <c r="F602" s="203">
        <v>45896</v>
      </c>
      <c r="G602" s="262" t="str">
        <f>'Flujo Caja Agosto 2025'!C96</f>
        <v>José Gilberto Villagran Soto-Archewll-CC014</v>
      </c>
      <c r="H602" s="22">
        <f>'Flujo Caja Agosto 2025'!D96</f>
        <v>24923</v>
      </c>
    </row>
    <row r="603" spans="2:8">
      <c r="B603" s="203">
        <v>45889</v>
      </c>
      <c r="C603" s="277" t="s">
        <v>1030</v>
      </c>
      <c r="D603" s="22">
        <v>18849.359647245659</v>
      </c>
      <c r="F603" s="203">
        <v>45896</v>
      </c>
      <c r="G603" s="262" t="str">
        <f>'Flujo Caja Agosto 2025'!C97</f>
        <v>Miriam Lucia Morfin Gonzalez RF-Notable Growth INC-CC007</v>
      </c>
      <c r="H603" s="22">
        <f>'Flujo Caja Agosto 2025'!D97</f>
        <v>33857.480000000003</v>
      </c>
    </row>
    <row r="604" spans="2:8" ht="30">
      <c r="B604" s="203">
        <v>45889</v>
      </c>
      <c r="C604" s="277" t="s">
        <v>1031</v>
      </c>
      <c r="D604" s="22">
        <v>28173.575848388267</v>
      </c>
      <c r="F604" s="203">
        <v>45896</v>
      </c>
      <c r="G604" s="262" t="str">
        <f>'Flujo Caja Agosto 2025'!C98</f>
        <v>Natali Gabriela Ziller Santos -Bilingual Bridges -CC009</v>
      </c>
      <c r="H604" s="22">
        <f>'Flujo Caja Agosto 2025'!D98</f>
        <v>3943.21</v>
      </c>
    </row>
    <row r="605" spans="2:8" ht="30">
      <c r="B605" s="203">
        <v>45889</v>
      </c>
      <c r="C605" s="277" t="s">
        <v>1032</v>
      </c>
      <c r="D605" s="22">
        <v>20196.047595348002</v>
      </c>
      <c r="F605" s="203">
        <v>45896</v>
      </c>
      <c r="G605" s="262" t="str">
        <f>'Flujo Caja Agosto 2025'!C76</f>
        <v>Hector Augusto Castillo Luna-Iberia-CC013</v>
      </c>
      <c r="H605" s="22">
        <f>'Flujo Caja Agosto 2025'!D76</f>
        <v>18937.8</v>
      </c>
    </row>
    <row r="606" spans="2:8" ht="30">
      <c r="B606" s="203">
        <v>45890</v>
      </c>
      <c r="C606" s="277" t="s">
        <v>1017</v>
      </c>
      <c r="D606" s="22">
        <v>230212.51</v>
      </c>
      <c r="F606" s="203">
        <v>45896</v>
      </c>
      <c r="G606" s="262" t="str">
        <f>'Flujo Caja Agosto 2025'!C77</f>
        <v>Victor Jose Moscoso Portillo -Global Expansion-CC015</v>
      </c>
      <c r="H606" s="22">
        <f>'Flujo Caja Agosto 2025'!D77</f>
        <v>49577.78</v>
      </c>
    </row>
    <row r="607" spans="2:8">
      <c r="B607" s="203">
        <v>45896</v>
      </c>
      <c r="C607" s="277" t="s">
        <v>1030</v>
      </c>
      <c r="D607" s="22">
        <v>6277.05</v>
      </c>
      <c r="F607" s="203">
        <v>45896</v>
      </c>
      <c r="G607" s="262" t="str">
        <f>'Flujo Caja Agosto 2025'!C78</f>
        <v>Stephanie Rodriguez Lopez-RF-Czarnikow-CC002</v>
      </c>
      <c r="H607" s="22">
        <f>'Flujo Caja Agosto 2025'!D78</f>
        <v>28786.83</v>
      </c>
    </row>
    <row r="608" spans="2:8">
      <c r="B608" s="203"/>
      <c r="C608" s="277"/>
      <c r="D608" s="22"/>
      <c r="F608" s="203">
        <v>45896</v>
      </c>
      <c r="G608" s="262" t="str">
        <f>'Flujo Caja Agosto 2025'!C79</f>
        <v>Carlos Alejandro Montiel Lorenzana--Archell -CC014</v>
      </c>
      <c r="H608" s="22">
        <f>'Flujo Caja Agosto 2025'!D79</f>
        <v>17873.990000000002</v>
      </c>
    </row>
    <row r="609" spans="3:8">
      <c r="C609" s="7" t="s">
        <v>385</v>
      </c>
      <c r="D609" s="13">
        <f>SUM(D587:D608)</f>
        <v>998800.86689999863</v>
      </c>
      <c r="F609" s="203">
        <v>45896</v>
      </c>
      <c r="G609" s="262" t="str">
        <f>'Flujo Caja Agosto 2025'!C80</f>
        <v>Liza Marlene Torres Valdes  -Vinmar international -CC016</v>
      </c>
      <c r="H609" s="22">
        <f>'Flujo Caja Agosto 2025'!D80</f>
        <v>13622.51</v>
      </c>
    </row>
    <row r="610" spans="3:8">
      <c r="F610" s="203">
        <v>45896</v>
      </c>
      <c r="G610" s="262" t="str">
        <f>'Flujo Caja Agosto 2025'!C81</f>
        <v>Douglas Miguel Villa Fuerte Leiva  -Archell -CC014</v>
      </c>
      <c r="H610" s="22">
        <f>'Flujo Caja Agosto 2025'!D81</f>
        <v>9026.59</v>
      </c>
    </row>
    <row r="611" spans="3:8">
      <c r="F611" s="203">
        <v>45896</v>
      </c>
      <c r="G611" s="262" t="str">
        <f>'Flujo Caja Agosto 2025'!C82</f>
        <v>Michael scott Edgar  -Basis Global Technologies -CC011</v>
      </c>
      <c r="H611" s="22">
        <f>'Flujo Caja Agosto 2025'!D82</f>
        <v>34601.33</v>
      </c>
    </row>
    <row r="612" spans="3:8">
      <c r="F612" s="203">
        <v>45896</v>
      </c>
      <c r="G612" s="262" t="str">
        <f>'Flujo Caja Agosto 2025'!C83</f>
        <v>Joshua Esteban Lopez Fernandez   -Highspring-CC017</v>
      </c>
      <c r="H612" s="22">
        <f>'Flujo Caja Agosto 2025'!D83</f>
        <v>9930.7099999999991</v>
      </c>
    </row>
    <row r="613" spans="3:8">
      <c r="F613" s="203">
        <v>45896</v>
      </c>
      <c r="G613" s="262" t="str">
        <f>'Flujo Caja Agosto 2025'!C84</f>
        <v>María Fernanda Robles Solis -Oportunity-CC006</v>
      </c>
      <c r="H613" s="22">
        <f>'Flujo Caja Agosto 2025'!D84</f>
        <v>9667.8799999999992</v>
      </c>
    </row>
    <row r="614" spans="3:8">
      <c r="F614" s="203">
        <v>45896</v>
      </c>
      <c r="G614" s="262" t="s">
        <v>1039</v>
      </c>
      <c r="H614" s="22">
        <v>23430</v>
      </c>
    </row>
    <row r="615" spans="3:8">
      <c r="F615" s="375">
        <v>45896</v>
      </c>
      <c r="G615" s="376" t="s">
        <v>1041</v>
      </c>
      <c r="H615" s="377">
        <f>'Flujo Caja Agosto 2025'!D103</f>
        <v>598.29</v>
      </c>
    </row>
    <row r="616" spans="3:8">
      <c r="F616" s="203">
        <v>45896</v>
      </c>
      <c r="G616" s="262" t="s">
        <v>1042</v>
      </c>
      <c r="H616" s="22">
        <f>'Flujo Caja Agosto 2025'!D107</f>
        <v>1500</v>
      </c>
    </row>
    <row r="617" spans="3:8">
      <c r="F617" s="203">
        <v>45896</v>
      </c>
      <c r="G617" s="262" t="s">
        <v>1043</v>
      </c>
      <c r="H617" s="22">
        <f>('Flujo Caja Agosto 2025'!$D$59+'Flujo Caja Agosto 2025'!$D$60+'Flujo Caja Agosto 2025'!$D$61+'Flujo Caja Agosto 2025'!$D$62+'Flujo Caja Agosto 2025'!$D$63+'Flujo Caja Agosto 2025'!$D$64)</f>
        <v>5985.82</v>
      </c>
    </row>
    <row r="618" spans="3:8">
      <c r="F618" s="203">
        <v>45897</v>
      </c>
      <c r="G618" s="262" t="s">
        <v>1046</v>
      </c>
      <c r="H618" s="22">
        <f>SUM('Flujo Caja Agosto 2025'!$D$48:$D$51)</f>
        <v>3694.7400000000002</v>
      </c>
    </row>
    <row r="619" spans="3:8">
      <c r="F619" s="203">
        <v>45897</v>
      </c>
      <c r="G619" s="262" t="s">
        <v>1047</v>
      </c>
      <c r="H619" s="22">
        <f>'Flujo Caja Agosto 2025'!$D$52</f>
        <v>4673.2</v>
      </c>
    </row>
    <row r="620" spans="3:8">
      <c r="F620" s="203">
        <v>45898</v>
      </c>
      <c r="G620" s="262" t="s">
        <v>1051</v>
      </c>
      <c r="H620" s="22">
        <f>(SUM('Flujo Caja Agosto 2025'!E66:E69)*7.8)</f>
        <v>77354.939999999988</v>
      </c>
    </row>
    <row r="621" spans="3:8">
      <c r="F621" s="203">
        <v>45898</v>
      </c>
      <c r="G621" s="262" t="s">
        <v>792</v>
      </c>
      <c r="H621" s="22">
        <f>(40*7.8)</f>
        <v>312</v>
      </c>
    </row>
    <row r="622" spans="3:8">
      <c r="F622" s="203">
        <v>45898</v>
      </c>
      <c r="G622" s="262" t="str">
        <f>'Flujo Caja Agosto 2025'!C99</f>
        <v>Natali Gabriela Ziller Santos -Bilingual Bridges -CC009- Liquidación Prestaciones Social</v>
      </c>
      <c r="H622" s="22">
        <f>'Flujo Caja Agosto 2025'!D99</f>
        <v>9826</v>
      </c>
    </row>
    <row r="623" spans="3:8">
      <c r="F623" s="203"/>
      <c r="G623" s="237"/>
      <c r="H623" s="22"/>
    </row>
    <row r="624" spans="3:8">
      <c r="G624" s="7" t="s">
        <v>386</v>
      </c>
      <c r="H624" s="13">
        <f>SUM(H587:H623)</f>
        <v>784658.76999999967</v>
      </c>
    </row>
    <row r="625" spans="2:12">
      <c r="G625" s="7" t="s">
        <v>387</v>
      </c>
      <c r="H625" s="13">
        <f>D609-H624</f>
        <v>214142.09689999896</v>
      </c>
      <c r="J625" s="13">
        <v>48886.276899998637</v>
      </c>
      <c r="K625" s="9" t="s">
        <v>1060</v>
      </c>
      <c r="L625" s="273" t="s">
        <v>904</v>
      </c>
    </row>
    <row r="627" spans="2:12" ht="18.75">
      <c r="B627" s="5" t="s">
        <v>34</v>
      </c>
      <c r="C627" s="5" t="s">
        <v>35</v>
      </c>
      <c r="D627" s="5" t="s">
        <v>15</v>
      </c>
      <c r="F627" s="5" t="s">
        <v>36</v>
      </c>
      <c r="G627" s="5" t="s">
        <v>35</v>
      </c>
      <c r="H627" s="5" t="s">
        <v>15</v>
      </c>
    </row>
    <row r="628" spans="2:12">
      <c r="B628" s="203">
        <v>45901</v>
      </c>
      <c r="C628" s="158" t="s">
        <v>49</v>
      </c>
      <c r="D628" s="22">
        <f>$H$625</f>
        <v>214142.09689999896</v>
      </c>
      <c r="F628" s="203">
        <v>45903</v>
      </c>
      <c r="G628" s="205" t="s">
        <v>1055</v>
      </c>
      <c r="H628" s="22">
        <f>'Flujo Caja Agosto 2025'!$D$105</f>
        <v>197.5</v>
      </c>
    </row>
    <row r="629" spans="2:12">
      <c r="B629" s="203">
        <v>45908</v>
      </c>
      <c r="C629" s="312" t="s">
        <v>1070</v>
      </c>
      <c r="D629" s="22">
        <f>'Flujo Caja Septiembre 2025'!$D$13</f>
        <v>99409.27</v>
      </c>
      <c r="F629" s="203">
        <v>45903</v>
      </c>
      <c r="G629" s="262" t="s">
        <v>1057</v>
      </c>
      <c r="H629" s="22">
        <f>'Flujo Caja Agosto 2025'!$D$53</f>
        <v>3000</v>
      </c>
    </row>
    <row r="630" spans="2:12">
      <c r="B630" s="203">
        <v>45917</v>
      </c>
      <c r="C630" s="312" t="s">
        <v>1093</v>
      </c>
      <c r="D630" s="22">
        <f>'Diferencia en cambio'!$I$166</f>
        <v>120779.43</v>
      </c>
      <c r="F630" s="203">
        <v>45905</v>
      </c>
      <c r="G630" s="262" t="s">
        <v>1064</v>
      </c>
      <c r="H630" s="22">
        <f>'Flujo Caja Septiembre 2025'!$D$105</f>
        <v>197.5</v>
      </c>
    </row>
    <row r="631" spans="2:12">
      <c r="B631" s="203">
        <v>45923</v>
      </c>
      <c r="C631" s="312" t="s">
        <v>1101</v>
      </c>
      <c r="D631" s="22">
        <f>'Diferencia en cambio'!$I$154</f>
        <v>41919.027475615381</v>
      </c>
      <c r="F631" s="203">
        <v>45910</v>
      </c>
      <c r="G631" s="262" t="s">
        <v>1062</v>
      </c>
      <c r="H631" s="22">
        <f>'Flujo Caja Septiembre 2025'!$D$36</f>
        <v>100029.29</v>
      </c>
    </row>
    <row r="632" spans="2:12">
      <c r="B632" s="203">
        <v>45923</v>
      </c>
      <c r="C632" s="312" t="s">
        <v>1102</v>
      </c>
      <c r="D632" s="22">
        <f>'Diferencia en cambio'!$I$155</f>
        <v>50140.9317526085</v>
      </c>
      <c r="F632" s="203">
        <v>45911</v>
      </c>
      <c r="G632" s="262" t="s">
        <v>1063</v>
      </c>
      <c r="H632" s="22">
        <f>'Flujo Caja Septiembre 2025'!$D$39</f>
        <v>2813.39</v>
      </c>
    </row>
    <row r="633" spans="2:12">
      <c r="B633" s="203">
        <v>45923</v>
      </c>
      <c r="C633" s="312" t="s">
        <v>1103</v>
      </c>
      <c r="D633" s="22">
        <f>'Diferencia en cambio'!$I$156</f>
        <v>12532.59412692383</v>
      </c>
      <c r="F633" s="203">
        <v>45911</v>
      </c>
      <c r="G633" s="262" t="s">
        <v>471</v>
      </c>
      <c r="H633" s="22">
        <f>'Flujo Caja Septiembre 2025'!$D$38</f>
        <v>27862.41</v>
      </c>
    </row>
    <row r="634" spans="2:12">
      <c r="B634" s="203">
        <v>45923</v>
      </c>
      <c r="C634" s="312" t="s">
        <v>1104</v>
      </c>
      <c r="D634" s="22">
        <f>'Diferencia en cambio'!$I$157</f>
        <v>28307.643213077048</v>
      </c>
      <c r="F634" s="203">
        <v>45916</v>
      </c>
      <c r="G634" s="262" t="s">
        <v>1085</v>
      </c>
      <c r="H634" s="22">
        <f>'Flujo Caja Septiembre 2025'!$D$107</f>
        <v>10059.562</v>
      </c>
    </row>
    <row r="635" spans="2:12">
      <c r="B635" s="203">
        <v>45923</v>
      </c>
      <c r="C635" s="312" t="s">
        <v>1105</v>
      </c>
      <c r="D635" s="22">
        <f>'Diferencia en cambio'!$I$158</f>
        <v>20141.973431775263</v>
      </c>
      <c r="F635" s="203">
        <v>45916</v>
      </c>
      <c r="G635" s="262" t="s">
        <v>792</v>
      </c>
      <c r="H635" s="22">
        <f>'Flujo Caja Septiembre 2025'!$D$66</f>
        <v>312</v>
      </c>
    </row>
    <row r="636" spans="2:12" ht="30">
      <c r="B636" s="335">
        <v>45924</v>
      </c>
      <c r="C636" s="312" t="s">
        <v>1145</v>
      </c>
      <c r="D636" s="22">
        <v>10846.26</v>
      </c>
      <c r="F636" s="203">
        <v>45916</v>
      </c>
      <c r="G636" s="262" t="s">
        <v>1086</v>
      </c>
      <c r="H636" s="22">
        <f>'Flujo Caja Septiembre 2025'!$D$106</f>
        <v>3594</v>
      </c>
    </row>
    <row r="637" spans="2:12">
      <c r="B637" s="335">
        <v>45925</v>
      </c>
      <c r="C637" s="277" t="s">
        <v>1113</v>
      </c>
      <c r="D637" s="272">
        <f>'Flujo Caja Septiembre 2025'!$D$20</f>
        <v>239524.46716739738</v>
      </c>
      <c r="F637" s="203">
        <v>45922</v>
      </c>
      <c r="G637" s="262" t="s">
        <v>1094</v>
      </c>
      <c r="H637" s="22">
        <f>'Flujo Caja Septiembre 2025'!D$108</f>
        <v>1</v>
      </c>
    </row>
    <row r="638" spans="2:12">
      <c r="B638" s="335">
        <v>45925</v>
      </c>
      <c r="C638" s="312" t="s">
        <v>1114</v>
      </c>
      <c r="D638" s="22">
        <f>'Flujo Caja Septiembre 2025'!$D$21</f>
        <v>10205.732718380923</v>
      </c>
      <c r="F638" s="203">
        <v>45922</v>
      </c>
      <c r="G638" s="262" t="s">
        <v>1095</v>
      </c>
      <c r="H638" s="22">
        <f>'Flujo Caja Septiembre 2025'!$D$109</f>
        <v>1</v>
      </c>
    </row>
    <row r="639" spans="2:12">
      <c r="B639" s="335">
        <v>45925</v>
      </c>
      <c r="C639" s="312" t="s">
        <v>1115</v>
      </c>
      <c r="D639" s="22">
        <f>'Flujo Caja Septiembre 2025'!$D$23</f>
        <v>18325.998345781598</v>
      </c>
      <c r="F639" s="203">
        <v>45922</v>
      </c>
      <c r="G639" s="262" t="s">
        <v>1096</v>
      </c>
      <c r="H639" s="22">
        <f>'Flujo Caja Septiembre 2025'!$D$110</f>
        <v>1</v>
      </c>
    </row>
    <row r="640" spans="2:12">
      <c r="B640" s="335">
        <v>45925</v>
      </c>
      <c r="C640" s="312" t="s">
        <v>1116</v>
      </c>
      <c r="D640" s="22">
        <f>'Flujo Caja Septiembre 2025'!$D$26</f>
        <v>99830.713174241435</v>
      </c>
      <c r="F640" s="203">
        <v>45922</v>
      </c>
      <c r="G640" s="262" t="s">
        <v>1097</v>
      </c>
      <c r="H640" s="22">
        <f>'Flujo Caja Septiembre 2025'!$D$111</f>
        <v>1</v>
      </c>
    </row>
    <row r="641" spans="2:10">
      <c r="B641" s="335">
        <v>45925</v>
      </c>
      <c r="C641" s="312" t="s">
        <v>1117</v>
      </c>
      <c r="D641" s="22">
        <f>'Flujo Caja Septiembre 2025'!$D$25</f>
        <v>13165.648594198641</v>
      </c>
      <c r="F641" s="203">
        <v>45922</v>
      </c>
      <c r="G641" s="262" t="s">
        <v>1098</v>
      </c>
      <c r="H641" s="22">
        <f>'Flujo Caja Septiembre 2025'!$D$112</f>
        <v>1</v>
      </c>
    </row>
    <row r="642" spans="2:10">
      <c r="B642" s="203">
        <v>45926</v>
      </c>
      <c r="C642" s="312" t="s">
        <v>1133</v>
      </c>
      <c r="D642" s="22">
        <f>'Diferencia en cambio'!$J$161</f>
        <v>25820.841656874491</v>
      </c>
      <c r="F642" s="203">
        <v>45922</v>
      </c>
      <c r="G642" s="262" t="s">
        <v>1100</v>
      </c>
      <c r="H642" s="22">
        <f>'Flujo Caja Septiembre 2025'!$D$115</f>
        <v>14518.15</v>
      </c>
    </row>
    <row r="643" spans="2:10">
      <c r="B643" s="203">
        <v>45926</v>
      </c>
      <c r="C643" s="312" t="s">
        <v>1134</v>
      </c>
      <c r="D643" s="22">
        <f>'Diferencia en cambio'!$I$163</f>
        <v>45254.088343125513</v>
      </c>
      <c r="F643" s="203">
        <v>45925</v>
      </c>
      <c r="G643" s="262" t="s">
        <v>1124</v>
      </c>
      <c r="H643" s="22">
        <v>15600</v>
      </c>
    </row>
    <row r="644" spans="2:10">
      <c r="B644" s="203">
        <v>45926</v>
      </c>
      <c r="C644" s="312" t="s">
        <v>1132</v>
      </c>
      <c r="D644" s="22">
        <f>'Diferencia en cambio'!$I$168</f>
        <v>118768.59</v>
      </c>
      <c r="F644" s="203">
        <v>45925</v>
      </c>
      <c r="G644" s="262" t="s">
        <v>843</v>
      </c>
      <c r="H644" s="22">
        <f>'Flujo Caja Septiembre 2025'!$D$70</f>
        <v>18728.8</v>
      </c>
      <c r="J644" s="12"/>
    </row>
    <row r="645" spans="2:10">
      <c r="B645" s="203"/>
      <c r="C645" s="312"/>
      <c r="D645" s="22"/>
      <c r="F645" s="203">
        <v>45925</v>
      </c>
      <c r="G645" s="262" t="s">
        <v>886</v>
      </c>
      <c r="H645" s="22">
        <f>'Flujo Caja Septiembre 2025'!$D$71</f>
        <v>49577.78</v>
      </c>
    </row>
    <row r="646" spans="2:10">
      <c r="B646" s="203"/>
      <c r="C646" s="277"/>
      <c r="D646" s="22"/>
      <c r="F646" s="203">
        <v>45925</v>
      </c>
      <c r="G646" s="262" t="s">
        <v>1128</v>
      </c>
      <c r="H646" s="22">
        <v>15600</v>
      </c>
    </row>
    <row r="647" spans="2:10">
      <c r="C647" s="7" t="s">
        <v>456</v>
      </c>
      <c r="D647" s="13">
        <f>SUM(D628:D646)</f>
        <v>1169115.306899999</v>
      </c>
      <c r="F647" s="203">
        <v>45925</v>
      </c>
      <c r="G647" s="262" t="s">
        <v>1125</v>
      </c>
      <c r="H647" s="22">
        <f>'Flujo Caja Septiembre 2025'!$D$117</f>
        <v>1500</v>
      </c>
    </row>
    <row r="648" spans="2:10">
      <c r="F648" s="203">
        <v>45926</v>
      </c>
      <c r="G648" s="262" t="s">
        <v>176</v>
      </c>
      <c r="H648" s="22">
        <f>'Flujo Caja Septiembre 2025'!$D$72</f>
        <v>10713.5</v>
      </c>
    </row>
    <row r="649" spans="2:10">
      <c r="F649" s="203">
        <v>45926</v>
      </c>
      <c r="G649" s="262" t="s">
        <v>948</v>
      </c>
      <c r="H649" s="22">
        <f>'Flujo Caja Septiembre 2025'!$D$73</f>
        <v>17873.990000000002</v>
      </c>
    </row>
    <row r="650" spans="2:10">
      <c r="F650" s="203">
        <v>45926</v>
      </c>
      <c r="G650" s="262" t="s">
        <v>944</v>
      </c>
      <c r="H650" s="22">
        <f>'Flujo Caja Septiembre 2025'!$D$74</f>
        <v>13622.51</v>
      </c>
    </row>
    <row r="651" spans="2:10">
      <c r="F651" s="203">
        <v>45926</v>
      </c>
      <c r="G651" s="262" t="s">
        <v>945</v>
      </c>
      <c r="H651" s="22">
        <f>'Flujo Caja Septiembre 2025'!$D$75</f>
        <v>9026.59</v>
      </c>
    </row>
    <row r="652" spans="2:10">
      <c r="F652" s="203">
        <v>45926</v>
      </c>
      <c r="G652" s="262" t="s">
        <v>946</v>
      </c>
      <c r="H652" s="22">
        <f>'Flujo Caja Septiembre 2025'!$D$77</f>
        <v>10307.92</v>
      </c>
    </row>
    <row r="653" spans="2:10">
      <c r="F653" s="203">
        <v>45926</v>
      </c>
      <c r="G653" s="262" t="s">
        <v>947</v>
      </c>
      <c r="H653" s="22">
        <f>'Flujo Caja Septiembre 2025'!$D$78</f>
        <v>9667.89</v>
      </c>
    </row>
    <row r="654" spans="2:10">
      <c r="F654" s="203">
        <v>45926</v>
      </c>
      <c r="G654" s="262" t="s">
        <v>414</v>
      </c>
      <c r="H654" s="338">
        <f>'Flujo Caja Septiembre 2025'!$D$79</f>
        <v>64147</v>
      </c>
    </row>
    <row r="655" spans="2:10">
      <c r="F655" s="203">
        <v>45926</v>
      </c>
      <c r="G655" s="262" t="s">
        <v>417</v>
      </c>
      <c r="H655" s="338">
        <f>'Flujo Caja Septiembre 2025'!$D$80</f>
        <v>10562</v>
      </c>
    </row>
    <row r="656" spans="2:10">
      <c r="F656" s="203">
        <v>45926</v>
      </c>
      <c r="G656" s="262" t="s">
        <v>409</v>
      </c>
      <c r="H656" s="338">
        <f>'Flujo Caja Septiembre 2025'!$D$81</f>
        <v>14151</v>
      </c>
    </row>
    <row r="657" spans="6:10">
      <c r="F657" s="203">
        <v>45926</v>
      </c>
      <c r="G657" s="262" t="s">
        <v>844</v>
      </c>
      <c r="H657" s="338">
        <f>'Flujo Caja Septiembre 2025'!$D$82</f>
        <v>24923</v>
      </c>
    </row>
    <row r="658" spans="6:10">
      <c r="F658" s="203">
        <v>45926</v>
      </c>
      <c r="G658" s="262" t="s">
        <v>901</v>
      </c>
      <c r="H658" s="22">
        <f>'Flujo Caja Septiembre 2025'!$D$83</f>
        <v>32589.919999999998</v>
      </c>
    </row>
    <row r="659" spans="6:10">
      <c r="F659" s="203">
        <v>45926</v>
      </c>
      <c r="G659" s="262" t="s">
        <v>416</v>
      </c>
      <c r="H659" s="338">
        <f>'Flujo Caja Septiembre 2025'!$D$84</f>
        <v>67392</v>
      </c>
      <c r="J659" s="12">
        <f>H654+H655+H656+H657+H659+H660+H661+H662+H663</f>
        <v>222825</v>
      </c>
    </row>
    <row r="660" spans="6:10">
      <c r="F660" s="203">
        <v>45926</v>
      </c>
      <c r="G660" s="262" t="s">
        <v>412</v>
      </c>
      <c r="H660" s="338">
        <f>'Flujo Caja Septiembre 2025'!$D$85</f>
        <v>8025</v>
      </c>
    </row>
    <row r="661" spans="6:10">
      <c r="F661" s="203">
        <v>45926</v>
      </c>
      <c r="G661" s="262" t="s">
        <v>413</v>
      </c>
      <c r="H661" s="338">
        <f>'Flujo Caja Septiembre 2025'!$D$86</f>
        <v>3943</v>
      </c>
    </row>
    <row r="662" spans="6:10">
      <c r="F662" s="203">
        <v>45926</v>
      </c>
      <c r="G662" s="262" t="s">
        <v>415</v>
      </c>
      <c r="H662" s="338">
        <f>'Flujo Caja Septiembre 2025'!$D$87</f>
        <v>25739</v>
      </c>
    </row>
    <row r="663" spans="6:10">
      <c r="F663" s="203">
        <v>45926</v>
      </c>
      <c r="G663" s="262" t="s">
        <v>410</v>
      </c>
      <c r="H663" s="338">
        <f>'Flujo Caja Septiembre 2025'!$D$88</f>
        <v>3943</v>
      </c>
    </row>
    <row r="664" spans="6:10">
      <c r="F664" s="203">
        <v>45926</v>
      </c>
      <c r="G664" s="262" t="s">
        <v>845</v>
      </c>
      <c r="H664" s="22">
        <f>'Flujo Caja Septiembre 2025'!$D$89</f>
        <v>24923.65</v>
      </c>
    </row>
    <row r="665" spans="6:10">
      <c r="F665" s="203">
        <v>45926</v>
      </c>
      <c r="G665" s="262" t="s">
        <v>418</v>
      </c>
      <c r="H665" s="22">
        <f>'Flujo Caja Septiembre 2025'!$D$90</f>
        <v>33857.480000000003</v>
      </c>
    </row>
    <row r="666" spans="6:10">
      <c r="F666" s="203">
        <v>45926</v>
      </c>
      <c r="G666" s="262" t="s">
        <v>1118</v>
      </c>
      <c r="H666" s="22">
        <f>SUM('Flujo Caja Septiembre 2025'!$D$55:$D$60)</f>
        <v>5985.82</v>
      </c>
    </row>
    <row r="667" spans="6:10">
      <c r="F667" s="203">
        <v>45926</v>
      </c>
      <c r="G667" s="262" t="s">
        <v>1108</v>
      </c>
      <c r="H667" s="22">
        <f>'Flujo Caja Septiembre 2025'!$D$92</f>
        <v>10678.36</v>
      </c>
    </row>
    <row r="668" spans="6:10">
      <c r="F668" s="203">
        <v>45926</v>
      </c>
      <c r="G668" s="262" t="s">
        <v>1109</v>
      </c>
      <c r="H668" s="22">
        <f>'Flujo Caja Septiembre 2025'!$D$93</f>
        <v>37726.230000000003</v>
      </c>
    </row>
    <row r="669" spans="6:10">
      <c r="F669" s="203">
        <v>45926</v>
      </c>
      <c r="G669" s="262" t="s">
        <v>1110</v>
      </c>
      <c r="H669" s="22">
        <f>'Flujo Caja Septiembre 2025'!$D$94</f>
        <v>16277.07</v>
      </c>
    </row>
    <row r="670" spans="6:10">
      <c r="F670" s="203">
        <v>45926</v>
      </c>
      <c r="G670" s="262" t="s">
        <v>1111</v>
      </c>
      <c r="H670" s="22">
        <f>'Flujo Caja Septiembre 2025'!$D$95</f>
        <v>15406.23</v>
      </c>
    </row>
    <row r="671" spans="6:10">
      <c r="F671" s="203">
        <v>45926</v>
      </c>
      <c r="G671" s="262" t="s">
        <v>1112</v>
      </c>
      <c r="H671" s="22">
        <f>'Flujo Caja Septiembre 2025'!$D$96</f>
        <v>16220.02</v>
      </c>
    </row>
    <row r="672" spans="6:10">
      <c r="F672" s="203">
        <v>45926</v>
      </c>
      <c r="G672" s="262" t="s">
        <v>1122</v>
      </c>
      <c r="H672" s="347">
        <f>'Flujo Caja Septiembre 2025'!$D$101</f>
        <v>4189.34</v>
      </c>
    </row>
    <row r="673" spans="2:12">
      <c r="F673" s="203">
        <v>45926</v>
      </c>
      <c r="G673" s="262" t="s">
        <v>1127</v>
      </c>
      <c r="H673" s="22">
        <f>'Flujo Caja Septiembre 2025'!$D$102</f>
        <v>1959.45</v>
      </c>
    </row>
    <row r="674" spans="2:12">
      <c r="F674" s="203">
        <v>45926</v>
      </c>
      <c r="G674" s="262" t="s">
        <v>829</v>
      </c>
      <c r="H674" s="22">
        <f>'Flujo Caja Septiembre 2025'!$D$76</f>
        <v>34601.300000000003</v>
      </c>
    </row>
    <row r="675" spans="2:12">
      <c r="F675" s="203">
        <v>45929</v>
      </c>
      <c r="G675" s="262" t="s">
        <v>1135</v>
      </c>
      <c r="H675" s="22">
        <f>'Flujo Caja Septiembre 2025'!$D$46+'Flujo Caja Septiembre 2025'!$D$47+'Flujo Caja Septiembre 2025'!$D$48+'Flujo Caja Septiembre 2025'!$D$49</f>
        <v>2785.08</v>
      </c>
    </row>
    <row r="676" spans="2:12">
      <c r="F676" s="203">
        <v>45929</v>
      </c>
      <c r="G676" s="262" t="s">
        <v>1058</v>
      </c>
      <c r="H676" s="22">
        <f>'Flujo Caja Septiembre 2025'!$D$50</f>
        <v>4673.2</v>
      </c>
    </row>
    <row r="677" spans="2:12">
      <c r="F677" s="203">
        <v>45929</v>
      </c>
      <c r="G677" s="262" t="s">
        <v>1136</v>
      </c>
      <c r="H677" s="22">
        <v>157.5</v>
      </c>
    </row>
    <row r="678" spans="2:12">
      <c r="F678" s="203">
        <v>45930</v>
      </c>
      <c r="G678" s="262" t="s">
        <v>1141</v>
      </c>
      <c r="H678" s="22">
        <f>'Flujo Caja Septiembre 2025'!$D$113</f>
        <v>10284.923999999999</v>
      </c>
    </row>
    <row r="679" spans="2:12">
      <c r="F679" s="203">
        <v>45930</v>
      </c>
      <c r="G679" s="262" t="s">
        <v>792</v>
      </c>
      <c r="H679" s="22">
        <f>'Flujo Caja Septiembre 2025'!$D$67</f>
        <v>312</v>
      </c>
    </row>
    <row r="680" spans="2:12">
      <c r="F680" s="203"/>
      <c r="G680" s="237"/>
      <c r="H680" s="22"/>
    </row>
    <row r="681" spans="2:12">
      <c r="F681" s="203"/>
      <c r="G681" s="237"/>
      <c r="H681" s="22"/>
    </row>
    <row r="682" spans="2:12">
      <c r="G682" s="7" t="s">
        <v>454</v>
      </c>
      <c r="H682" s="13">
        <f>SUM(H628:H681)</f>
        <v>810260.3559999998</v>
      </c>
    </row>
    <row r="683" spans="2:12">
      <c r="G683" s="7" t="s">
        <v>455</v>
      </c>
      <c r="H683" s="13">
        <f>D647-H682</f>
        <v>358854.95089999924</v>
      </c>
      <c r="J683" s="13">
        <v>210944.59689999896</v>
      </c>
      <c r="K683" s="9" t="s">
        <v>1059</v>
      </c>
      <c r="L683" s="273" t="s">
        <v>904</v>
      </c>
    </row>
    <row r="685" spans="2:12">
      <c r="H685" s="38"/>
    </row>
    <row r="686" spans="2:12" ht="18.75">
      <c r="B686" s="5" t="s">
        <v>34</v>
      </c>
      <c r="C686" s="5" t="s">
        <v>35</v>
      </c>
      <c r="D686" s="5" t="s">
        <v>15</v>
      </c>
      <c r="F686" s="5" t="s">
        <v>36</v>
      </c>
      <c r="G686" s="5" t="s">
        <v>35</v>
      </c>
      <c r="H686" s="5" t="s">
        <v>15</v>
      </c>
    </row>
    <row r="687" spans="2:12">
      <c r="B687" s="203">
        <v>45901</v>
      </c>
      <c r="C687" s="158" t="s">
        <v>49</v>
      </c>
      <c r="D687" s="22">
        <f>$H$683</f>
        <v>358854.95089999924</v>
      </c>
      <c r="F687" s="203">
        <v>45944</v>
      </c>
      <c r="G687" s="262" t="s">
        <v>522</v>
      </c>
      <c r="H687" s="22">
        <v>26220.12</v>
      </c>
    </row>
    <row r="688" spans="2:12" ht="30">
      <c r="B688" s="203">
        <v>45939</v>
      </c>
      <c r="C688" s="312" t="s">
        <v>1158</v>
      </c>
      <c r="D688" s="22">
        <v>10991.49</v>
      </c>
      <c r="F688" s="203">
        <v>45944</v>
      </c>
      <c r="G688" s="262" t="s">
        <v>1149</v>
      </c>
      <c r="H688" s="22">
        <v>3333.74</v>
      </c>
    </row>
    <row r="689" spans="2:8">
      <c r="B689" s="203">
        <v>45940</v>
      </c>
      <c r="C689" s="312" t="s">
        <v>1164</v>
      </c>
      <c r="D689" s="22">
        <v>3630.25</v>
      </c>
      <c r="F689" s="203">
        <v>45944</v>
      </c>
      <c r="G689" s="262" t="s">
        <v>1148</v>
      </c>
      <c r="H689" s="22">
        <v>1106.0999999999999</v>
      </c>
    </row>
    <row r="690" spans="2:8">
      <c r="B690" s="203">
        <v>45944</v>
      </c>
      <c r="C690" s="277" t="s">
        <v>1161</v>
      </c>
      <c r="D690" s="347">
        <v>38690.400000000001</v>
      </c>
      <c r="F690" s="203">
        <v>45944</v>
      </c>
      <c r="G690" s="262" t="s">
        <v>1150</v>
      </c>
      <c r="H690" s="22">
        <v>219.68</v>
      </c>
    </row>
    <row r="691" spans="2:8" ht="30">
      <c r="B691" s="203">
        <v>45947</v>
      </c>
      <c r="C691" s="312" t="s">
        <v>1177</v>
      </c>
      <c r="D691" s="22">
        <f>'Diferencia en cambio'!$I$183</f>
        <v>120458.84</v>
      </c>
      <c r="F691" s="203">
        <v>45944</v>
      </c>
      <c r="G691" s="262" t="s">
        <v>1151</v>
      </c>
      <c r="H691" s="22">
        <v>1980.51</v>
      </c>
    </row>
    <row r="692" spans="2:8">
      <c r="B692" s="203">
        <v>45952</v>
      </c>
      <c r="C692" s="312" t="s">
        <v>659</v>
      </c>
      <c r="D692" s="22">
        <f>'Diferencia en cambio'!$I$171</f>
        <v>49870.579598971439</v>
      </c>
      <c r="F692" s="203">
        <v>45945</v>
      </c>
      <c r="G692" s="262" t="s">
        <v>1153</v>
      </c>
      <c r="H692" s="22">
        <f>'Flujo Caja Octubre 2025'!$D$115</f>
        <v>9952.8700000000008</v>
      </c>
    </row>
    <row r="693" spans="2:8">
      <c r="B693" s="203">
        <v>45952</v>
      </c>
      <c r="C693" s="312" t="s">
        <v>660</v>
      </c>
      <c r="D693" s="22">
        <f>'Diferencia en cambio'!$I$172</f>
        <v>12462.940227502069</v>
      </c>
      <c r="F693" s="203">
        <v>45945</v>
      </c>
      <c r="G693" s="262" t="s">
        <v>1154</v>
      </c>
      <c r="H693" s="22">
        <v>54600</v>
      </c>
    </row>
    <row r="694" spans="2:8">
      <c r="B694" s="203">
        <v>45952</v>
      </c>
      <c r="C694" s="312" t="s">
        <v>942</v>
      </c>
      <c r="D694" s="22">
        <f>'Diferencia en cambio'!$I$173</f>
        <v>29899.735222724721</v>
      </c>
      <c r="F694" s="203">
        <v>45951</v>
      </c>
      <c r="G694" s="262" t="s">
        <v>1197</v>
      </c>
      <c r="H694" s="22">
        <f>'Flujo Caja Octubre 2025'!$D$124</f>
        <v>16753.330000000002</v>
      </c>
    </row>
    <row r="695" spans="2:8" ht="30">
      <c r="B695" s="203">
        <v>45952</v>
      </c>
      <c r="C695" s="312" t="s">
        <v>1032</v>
      </c>
      <c r="D695" s="22">
        <f>'Diferencia en cambio'!$I$174</f>
        <v>20032.64495080175</v>
      </c>
      <c r="F695" s="203">
        <v>45951</v>
      </c>
      <c r="G695" s="262" t="s">
        <v>523</v>
      </c>
      <c r="H695" s="22">
        <f>'Flujo Caja Octubre 2025'!$D$36</f>
        <v>92650.31</v>
      </c>
    </row>
    <row r="696" spans="2:8" ht="30">
      <c r="B696" s="203">
        <v>45952</v>
      </c>
      <c r="C696" s="312" t="s">
        <v>1017</v>
      </c>
      <c r="D696" s="22">
        <f>'Diferencia en cambio'!$I$176</f>
        <v>422666.13341886736</v>
      </c>
      <c r="F696" s="203">
        <v>45952</v>
      </c>
      <c r="G696" s="262" t="s">
        <v>1179</v>
      </c>
      <c r="H696" s="22">
        <f>'Flujo Caja Octubre 2025'!$D$137</f>
        <v>283.35000000000002</v>
      </c>
    </row>
    <row r="697" spans="2:8">
      <c r="B697" s="203">
        <v>45952</v>
      </c>
      <c r="C697" s="312" t="s">
        <v>1180</v>
      </c>
      <c r="D697" s="22">
        <f>'Diferencia en cambio'!$I$177</f>
        <v>10232.932491301708</v>
      </c>
      <c r="F697" s="203">
        <v>45954</v>
      </c>
      <c r="G697" s="262" t="s">
        <v>1184</v>
      </c>
      <c r="H697" s="22">
        <f>SUM('Flujo Caja Octubre 2025'!$D$69:$D$73)</f>
        <v>5552.57</v>
      </c>
    </row>
    <row r="698" spans="2:8">
      <c r="B698" s="203">
        <v>45952</v>
      </c>
      <c r="C698" s="312" t="s">
        <v>700</v>
      </c>
      <c r="D698" s="22">
        <f>'Diferencia en cambio'!$I$178</f>
        <v>26226.785010915697</v>
      </c>
      <c r="F698" s="203">
        <v>45954</v>
      </c>
      <c r="G698" s="262" t="s">
        <v>1185</v>
      </c>
      <c r="H698" s="22">
        <f>'Flujo Caja Octubre 2025'!$D$112</f>
        <v>1500</v>
      </c>
    </row>
    <row r="699" spans="2:8">
      <c r="B699" s="203">
        <v>45952</v>
      </c>
      <c r="C699" s="312" t="s">
        <v>701</v>
      </c>
      <c r="D699" s="22">
        <f>'Diferencia en cambio'!$I$179</f>
        <v>18374.704653312459</v>
      </c>
      <c r="F699" s="203">
        <v>45954</v>
      </c>
      <c r="G699" s="262" t="s">
        <v>1186</v>
      </c>
      <c r="H699" s="22">
        <f>'Flujo Caja Octubre 2025'!$D$60</f>
        <v>4673.2</v>
      </c>
    </row>
    <row r="700" spans="2:8">
      <c r="B700" s="203">
        <v>45952</v>
      </c>
      <c r="C700" s="312" t="s">
        <v>1181</v>
      </c>
      <c r="D700" s="22">
        <f>'Diferencia en cambio'!$I$180</f>
        <v>45574.113515691046</v>
      </c>
      <c r="F700" s="203">
        <v>45954</v>
      </c>
      <c r="G700" s="262" t="s">
        <v>1195</v>
      </c>
      <c r="H700" s="22">
        <v>11548</v>
      </c>
    </row>
    <row r="701" spans="2:8">
      <c r="B701" s="203">
        <v>45952</v>
      </c>
      <c r="C701" s="312" t="s">
        <v>1182</v>
      </c>
      <c r="D701" s="22">
        <f>'Diferencia en cambio'!$I$182</f>
        <v>12801.070909911716</v>
      </c>
      <c r="F701" s="203">
        <v>45958</v>
      </c>
      <c r="G701" s="262" t="s">
        <v>414</v>
      </c>
      <c r="H701" s="22">
        <f>'Flujo Caja Octubre 2025'!$D$91</f>
        <v>151609</v>
      </c>
    </row>
    <row r="702" spans="2:8">
      <c r="B702" s="203">
        <v>45952</v>
      </c>
      <c r="C702" s="312" t="s">
        <v>1196</v>
      </c>
      <c r="D702" s="22">
        <f>'Diferencia en cambio'!I181</f>
        <v>101515.6</v>
      </c>
      <c r="F702" s="203">
        <v>45958</v>
      </c>
      <c r="G702" s="262" t="s">
        <v>417</v>
      </c>
      <c r="H702" s="22">
        <f>'Flujo Caja Octubre 2025'!$D$92</f>
        <v>10738</v>
      </c>
    </row>
    <row r="703" spans="2:8">
      <c r="B703" s="203">
        <v>45958</v>
      </c>
      <c r="C703" s="312" t="s">
        <v>1200</v>
      </c>
      <c r="D703" s="22">
        <v>209623.84</v>
      </c>
      <c r="F703" s="203">
        <v>45958</v>
      </c>
      <c r="G703" s="262" t="s">
        <v>409</v>
      </c>
      <c r="H703" s="22">
        <f>'Flujo Caja Octubre 2025'!$D$93</f>
        <v>14151</v>
      </c>
    </row>
    <row r="704" spans="2:8" ht="30">
      <c r="B704" s="335">
        <v>45958</v>
      </c>
      <c r="C704" s="312" t="s">
        <v>1208</v>
      </c>
      <c r="D704" s="22">
        <v>17873.95</v>
      </c>
      <c r="F704" s="203">
        <v>45958</v>
      </c>
      <c r="G704" s="262" t="s">
        <v>416</v>
      </c>
      <c r="H704" s="22">
        <f>'Flujo Caja Octubre 2025'!$D$94</f>
        <v>131772</v>
      </c>
    </row>
    <row r="705" spans="2:8" ht="30">
      <c r="B705" s="335">
        <v>45959</v>
      </c>
      <c r="C705" s="312" t="s">
        <v>1212</v>
      </c>
      <c r="D705" s="22">
        <v>21275.279999999999</v>
      </c>
      <c r="F705" s="203">
        <v>45958</v>
      </c>
      <c r="G705" s="262" t="s">
        <v>412</v>
      </c>
      <c r="H705" s="22">
        <f>'Flujo Caja Octubre 2025'!$D$95</f>
        <v>8025</v>
      </c>
    </row>
    <row r="706" spans="2:8" ht="30">
      <c r="B706" s="335">
        <v>45960</v>
      </c>
      <c r="C706" s="312" t="s">
        <v>658</v>
      </c>
      <c r="D706" s="22">
        <f>'Diferencia en cambio'!$I$175</f>
        <v>6372.49</v>
      </c>
      <c r="F706" s="203">
        <v>45958</v>
      </c>
      <c r="G706" s="262" t="s">
        <v>413</v>
      </c>
      <c r="H706" s="22">
        <f>'Flujo Caja Octubre 2025'!$D$96</f>
        <v>3943</v>
      </c>
    </row>
    <row r="707" spans="2:8">
      <c r="B707" s="203"/>
      <c r="C707" s="277"/>
      <c r="D707" s="22"/>
      <c r="F707" s="203">
        <v>45958</v>
      </c>
      <c r="G707" s="262" t="s">
        <v>415</v>
      </c>
      <c r="H707" s="22">
        <f>'Flujo Caja Octubre 2025'!$D$97</f>
        <v>25709</v>
      </c>
    </row>
    <row r="708" spans="2:8">
      <c r="C708" s="7" t="s">
        <v>490</v>
      </c>
      <c r="D708" s="13">
        <f>SUM(D687:D707)</f>
        <v>1537428.7308999994</v>
      </c>
      <c r="F708" s="203">
        <v>45958</v>
      </c>
      <c r="G708" s="262" t="s">
        <v>410</v>
      </c>
      <c r="H708" s="22">
        <f>'Flujo Caja Octubre 2025'!$D$98</f>
        <v>3943</v>
      </c>
    </row>
    <row r="709" spans="2:8">
      <c r="F709" s="203">
        <v>45958</v>
      </c>
      <c r="G709" s="262" t="s">
        <v>844</v>
      </c>
      <c r="H709" s="22">
        <f>'Flujo Caja Octubre 2025'!$D$99</f>
        <v>24923</v>
      </c>
    </row>
    <row r="710" spans="2:8">
      <c r="F710" s="203">
        <v>45958</v>
      </c>
      <c r="G710" s="262" t="s">
        <v>901</v>
      </c>
      <c r="H710" s="22">
        <f>'Flujo Caja Octubre 2025'!$D$100</f>
        <v>32589.919999999998</v>
      </c>
    </row>
    <row r="711" spans="2:8">
      <c r="F711" s="203">
        <v>45958</v>
      </c>
      <c r="G711" s="262" t="s">
        <v>845</v>
      </c>
      <c r="H711" s="22">
        <f>'Flujo Caja Octubre 2025'!$D$101</f>
        <v>24923.65</v>
      </c>
    </row>
    <row r="712" spans="2:8">
      <c r="D712" s="12"/>
      <c r="F712" s="203">
        <v>45958</v>
      </c>
      <c r="G712" s="262" t="s">
        <v>418</v>
      </c>
      <c r="H712" s="22">
        <f>'Flujo Caja Octubre 2025'!$D$102</f>
        <v>33857.480000000003</v>
      </c>
    </row>
    <row r="713" spans="2:8">
      <c r="F713" s="203">
        <v>45958</v>
      </c>
      <c r="G713" s="262" t="s">
        <v>843</v>
      </c>
      <c r="H713" s="22">
        <f>'Flujo Caja Octubre 2025'!$D$81</f>
        <v>18701.009999999998</v>
      </c>
    </row>
    <row r="714" spans="2:8">
      <c r="F714" s="203">
        <v>45958</v>
      </c>
      <c r="G714" s="262" t="s">
        <v>886</v>
      </c>
      <c r="H714" s="22">
        <f>'Flujo Caja Octubre 2025'!$D$82</f>
        <v>49577.78</v>
      </c>
    </row>
    <row r="715" spans="2:8">
      <c r="F715" s="203">
        <v>45958</v>
      </c>
      <c r="G715" s="262" t="s">
        <v>176</v>
      </c>
      <c r="H715" s="22">
        <f>'Flujo Caja Octubre 2025'!$D$83</f>
        <v>250</v>
      </c>
    </row>
    <row r="716" spans="2:8">
      <c r="F716" s="203">
        <v>45958</v>
      </c>
      <c r="G716" s="262" t="s">
        <v>948</v>
      </c>
      <c r="H716" s="22">
        <f>'Flujo Caja Octubre 2025'!$D$84</f>
        <v>17873.95</v>
      </c>
    </row>
    <row r="717" spans="2:8">
      <c r="F717" s="203">
        <v>45958</v>
      </c>
      <c r="G717" s="262" t="s">
        <v>944</v>
      </c>
      <c r="H717" s="22">
        <f>'Flujo Caja Octubre 2025'!$D$85</f>
        <v>13622.51</v>
      </c>
    </row>
    <row r="718" spans="2:8">
      <c r="F718" s="203">
        <v>45958</v>
      </c>
      <c r="G718" s="262" t="s">
        <v>945</v>
      </c>
      <c r="H718" s="22">
        <f>'Flujo Caja Octubre 2025'!$D$86</f>
        <v>10608.79</v>
      </c>
    </row>
    <row r="719" spans="2:8">
      <c r="F719" s="203">
        <v>45958</v>
      </c>
      <c r="G719" s="262" t="s">
        <v>829</v>
      </c>
      <c r="H719" s="22">
        <f>'Flujo Caja Octubre 2025'!$D$87</f>
        <v>34601.33</v>
      </c>
    </row>
    <row r="720" spans="2:8">
      <c r="F720" s="203">
        <v>45958</v>
      </c>
      <c r="G720" s="262" t="s">
        <v>946</v>
      </c>
      <c r="H720" s="22">
        <f>'Flujo Caja Octubre 2025'!$D$89</f>
        <v>9930.7099999999991</v>
      </c>
    </row>
    <row r="721" spans="6:8">
      <c r="F721" s="203">
        <v>45958</v>
      </c>
      <c r="G721" s="262" t="s">
        <v>947</v>
      </c>
      <c r="H721" s="22">
        <f>'Flujo Caja Octubre 2025'!$D$90</f>
        <v>9662.36</v>
      </c>
    </row>
    <row r="722" spans="6:8">
      <c r="F722" s="203">
        <v>45958</v>
      </c>
      <c r="G722" s="262" t="s">
        <v>1108</v>
      </c>
      <c r="H722" s="22">
        <f>'Flujo Caja Octubre 2025'!$D$116</f>
        <v>10855.64</v>
      </c>
    </row>
    <row r="723" spans="6:8">
      <c r="F723" s="203">
        <v>45958</v>
      </c>
      <c r="G723" s="262" t="s">
        <v>1109</v>
      </c>
      <c r="H723" s="22">
        <f>'Flujo Caja Octubre 2025'!$D$117</f>
        <v>37726.230000000003</v>
      </c>
    </row>
    <row r="724" spans="6:8">
      <c r="F724" s="203">
        <v>45958</v>
      </c>
      <c r="G724" s="262" t="s">
        <v>1110</v>
      </c>
      <c r="H724" s="22">
        <f>'Flujo Caja Octubre 2025'!$D$118</f>
        <v>16255.41</v>
      </c>
    </row>
    <row r="725" spans="6:8">
      <c r="F725" s="203">
        <v>45958</v>
      </c>
      <c r="G725" s="262" t="s">
        <v>1111</v>
      </c>
      <c r="H725" s="22">
        <f>'Flujo Caja Octubre 2025'!$D$119</f>
        <v>15653.9</v>
      </c>
    </row>
    <row r="726" spans="6:8">
      <c r="F726" s="203">
        <v>45958</v>
      </c>
      <c r="G726" s="262" t="s">
        <v>1193</v>
      </c>
      <c r="H726" s="22">
        <f>'Flujo Caja Octubre 2025'!$D$120</f>
        <v>34981.760000000002</v>
      </c>
    </row>
    <row r="727" spans="6:8">
      <c r="F727" s="203">
        <v>45958</v>
      </c>
      <c r="G727" s="262" t="s">
        <v>1198</v>
      </c>
      <c r="H727" s="22">
        <f>'Flujo Caja Octubre 2025'!$D$121</f>
        <v>3095.49</v>
      </c>
    </row>
    <row r="728" spans="6:8">
      <c r="F728" s="203">
        <v>45958</v>
      </c>
      <c r="G728" s="262" t="s">
        <v>1194</v>
      </c>
      <c r="H728" s="22">
        <f>'Flujo Caja Octubre 2025'!$D$122</f>
        <v>17291.11</v>
      </c>
    </row>
    <row r="729" spans="6:8">
      <c r="F729" s="203">
        <v>45958</v>
      </c>
      <c r="G729" s="262" t="s">
        <v>1199</v>
      </c>
      <c r="H729" s="22">
        <v>5394.88</v>
      </c>
    </row>
    <row r="730" spans="6:8">
      <c r="F730" s="203">
        <v>45958</v>
      </c>
      <c r="G730" s="262" t="s">
        <v>956</v>
      </c>
      <c r="H730" s="22">
        <f>'Flujo Caja Octubre 2025'!$D$130</f>
        <v>35</v>
      </c>
    </row>
    <row r="731" spans="6:8">
      <c r="F731" s="203">
        <v>45958</v>
      </c>
      <c r="G731" s="262" t="s">
        <v>1203</v>
      </c>
      <c r="H731" s="22">
        <f>'Flujo Caja Octubre 2025'!$D$131</f>
        <v>8996.56</v>
      </c>
    </row>
    <row r="732" spans="6:8">
      <c r="F732" s="203">
        <v>45958</v>
      </c>
      <c r="G732" s="262" t="s">
        <v>1206</v>
      </c>
      <c r="H732" s="22">
        <v>78000</v>
      </c>
    </row>
    <row r="733" spans="6:8">
      <c r="F733" s="203">
        <v>45959</v>
      </c>
      <c r="G733" s="262" t="s">
        <v>1210</v>
      </c>
      <c r="H733" s="22">
        <f>'Flujo Caja Octubre 2025'!$D$61</f>
        <v>1368.42</v>
      </c>
    </row>
    <row r="734" spans="6:8">
      <c r="F734" s="203">
        <v>45959</v>
      </c>
      <c r="G734" s="262" t="s">
        <v>1188</v>
      </c>
      <c r="H734" s="22">
        <f>'Flujo Caja Octubre 2025'!$D$62</f>
        <v>926.32</v>
      </c>
    </row>
    <row r="735" spans="6:8">
      <c r="F735" s="203">
        <v>45959</v>
      </c>
      <c r="G735" s="262" t="s">
        <v>1191</v>
      </c>
      <c r="H735" s="22">
        <f>'Flujo Caja Octubre 2025'!$D$63</f>
        <v>157.88999999999999</v>
      </c>
    </row>
    <row r="736" spans="6:8">
      <c r="F736" s="203">
        <v>45959</v>
      </c>
      <c r="G736" s="262" t="s">
        <v>1211</v>
      </c>
      <c r="H736" s="22">
        <f>'Flujo Caja Octubre 2025'!$D$64</f>
        <v>55</v>
      </c>
    </row>
    <row r="737" spans="6:8">
      <c r="F737" s="203">
        <v>45959</v>
      </c>
      <c r="G737" s="262" t="s">
        <v>1213</v>
      </c>
      <c r="H737" s="22">
        <f>'Flujo Caja Octubre 2025'!$D$127</f>
        <v>1228.92</v>
      </c>
    </row>
    <row r="738" spans="6:8">
      <c r="F738" s="203">
        <v>45959</v>
      </c>
      <c r="G738" s="262" t="s">
        <v>1214</v>
      </c>
      <c r="H738" s="22">
        <f>'Flujo Caja Octubre 2025'!$D$43</f>
        <v>15</v>
      </c>
    </row>
    <row r="739" spans="6:8">
      <c r="F739" s="203">
        <v>45959</v>
      </c>
      <c r="G739" s="262" t="s">
        <v>1215</v>
      </c>
      <c r="H739" s="22">
        <f>'Flujo Caja Octubre 2025'!$D$44</f>
        <v>15</v>
      </c>
    </row>
    <row r="740" spans="6:8">
      <c r="F740" s="203">
        <v>45959</v>
      </c>
      <c r="G740" s="262" t="s">
        <v>1216</v>
      </c>
      <c r="H740" s="22">
        <f>'Flujo Caja Octubre 2025'!$D$45</f>
        <v>15</v>
      </c>
    </row>
    <row r="741" spans="6:8">
      <c r="F741" s="203">
        <v>45959</v>
      </c>
      <c r="G741" s="262" t="s">
        <v>1217</v>
      </c>
      <c r="H741" s="22">
        <f>'Flujo Caja Octubre 2025'!$D$46</f>
        <v>15</v>
      </c>
    </row>
    <row r="742" spans="6:8">
      <c r="F742" s="203">
        <v>45959</v>
      </c>
      <c r="G742" s="262" t="s">
        <v>1218</v>
      </c>
      <c r="H742" s="22">
        <f>'Flujo Caja Octubre 2025'!$D$47</f>
        <v>15</v>
      </c>
    </row>
    <row r="743" spans="6:8">
      <c r="F743" s="203">
        <v>45959</v>
      </c>
      <c r="G743" s="262" t="s">
        <v>1219</v>
      </c>
      <c r="H743" s="22">
        <f>'Flujo Caja Octubre 2025'!$D$48</f>
        <v>15</v>
      </c>
    </row>
    <row r="744" spans="6:8">
      <c r="F744" s="203">
        <v>45959</v>
      </c>
      <c r="G744" s="262" t="s">
        <v>1220</v>
      </c>
      <c r="H744" s="22">
        <f>'Flujo Caja Octubre 2025'!$D$49</f>
        <v>15</v>
      </c>
    </row>
    <row r="745" spans="6:8">
      <c r="F745" s="203">
        <v>45959</v>
      </c>
      <c r="G745" s="262" t="s">
        <v>1221</v>
      </c>
      <c r="H745" s="22">
        <f>'Flujo Caja Octubre 2025'!$D$50</f>
        <v>15</v>
      </c>
    </row>
    <row r="746" spans="6:8">
      <c r="F746" s="203">
        <v>45959</v>
      </c>
      <c r="G746" s="262" t="s">
        <v>1222</v>
      </c>
      <c r="H746" s="22">
        <f>'Flujo Caja Octubre 2025'!$D$51</f>
        <v>15</v>
      </c>
    </row>
    <row r="747" spans="6:8">
      <c r="F747" s="203">
        <v>45959</v>
      </c>
      <c r="G747" s="262" t="s">
        <v>1223</v>
      </c>
      <c r="H747" s="22">
        <f>'Flujo Caja Octubre 2025'!$D$52</f>
        <v>15</v>
      </c>
    </row>
    <row r="748" spans="6:8">
      <c r="F748" s="203">
        <v>45959</v>
      </c>
      <c r="G748" s="262" t="s">
        <v>1224</v>
      </c>
      <c r="H748" s="22">
        <f>'Flujo Caja Octubre 2025'!$D$53</f>
        <v>15</v>
      </c>
    </row>
    <row r="749" spans="6:8">
      <c r="F749" s="203">
        <v>45959</v>
      </c>
      <c r="G749" s="262" t="s">
        <v>1225</v>
      </c>
      <c r="H749" s="22">
        <f>'Flujo Caja Octubre 2025'!$D$54</f>
        <v>15</v>
      </c>
    </row>
    <row r="750" spans="6:8">
      <c r="F750" s="203">
        <v>45959</v>
      </c>
      <c r="G750" s="262" t="s">
        <v>1226</v>
      </c>
      <c r="H750" s="22">
        <f>'Flujo Caja Octubre 2025'!$D$55</f>
        <v>15</v>
      </c>
    </row>
    <row r="751" spans="6:8">
      <c r="F751" s="203">
        <v>45959</v>
      </c>
      <c r="G751" s="262" t="s">
        <v>1227</v>
      </c>
      <c r="H751" s="22">
        <f>'Flujo Caja Octubre 2025'!$D$56</f>
        <v>15</v>
      </c>
    </row>
    <row r="752" spans="6:8">
      <c r="F752" s="203">
        <v>45959</v>
      </c>
      <c r="G752" s="262" t="s">
        <v>1228</v>
      </c>
      <c r="H752" s="22">
        <f>'Flujo Caja Octubre 2025'!$D$57</f>
        <v>15</v>
      </c>
    </row>
    <row r="753" spans="2:8">
      <c r="F753" s="203">
        <v>45960</v>
      </c>
      <c r="G753" s="262" t="s">
        <v>1246</v>
      </c>
      <c r="H753" s="22">
        <f>'Flujo Caja Octubre 2025'!$D$133</f>
        <v>433.25</v>
      </c>
    </row>
    <row r="754" spans="2:8">
      <c r="F754" s="203">
        <v>45960</v>
      </c>
      <c r="G754" s="262" t="s">
        <v>1244</v>
      </c>
      <c r="H754" s="22">
        <f>'Flujo Caja Octubre 2025'!$D$134</f>
        <v>1151.99</v>
      </c>
    </row>
    <row r="755" spans="2:8">
      <c r="F755" s="203">
        <v>45960</v>
      </c>
      <c r="G755" s="262" t="s">
        <v>1245</v>
      </c>
      <c r="H755" s="22">
        <f>'Flujo Caja Octubre 2025'!$D$135</f>
        <v>3679.98</v>
      </c>
    </row>
    <row r="756" spans="2:8">
      <c r="F756" s="203">
        <v>45961</v>
      </c>
      <c r="G756" s="262" t="s">
        <v>1247</v>
      </c>
      <c r="H756" s="22">
        <f>'Flujo Caja Octubre 2025'!D88</f>
        <v>4481.22</v>
      </c>
    </row>
    <row r="757" spans="2:8">
      <c r="F757" s="203"/>
      <c r="G757" s="237"/>
      <c r="H757" s="22"/>
    </row>
    <row r="758" spans="2:8">
      <c r="G758" s="7" t="s">
        <v>491</v>
      </c>
      <c r="H758" s="13">
        <f>SUM(H687:H757)</f>
        <v>1103380.2399999998</v>
      </c>
    </row>
    <row r="759" spans="2:8">
      <c r="G759" s="7" t="s">
        <v>492</v>
      </c>
      <c r="H759" s="13">
        <f>D708-H758</f>
        <v>434048.49089999963</v>
      </c>
    </row>
    <row r="763" spans="2:8" ht="18.75">
      <c r="B763" s="5" t="s">
        <v>34</v>
      </c>
      <c r="C763" s="5" t="s">
        <v>35</v>
      </c>
      <c r="D763" s="5" t="s">
        <v>15</v>
      </c>
      <c r="F763" s="5" t="s">
        <v>36</v>
      </c>
      <c r="G763" s="5" t="s">
        <v>35</v>
      </c>
      <c r="H763" s="5" t="s">
        <v>15</v>
      </c>
    </row>
    <row r="764" spans="2:8">
      <c r="B764" s="203">
        <v>45962</v>
      </c>
      <c r="C764" s="158" t="s">
        <v>49</v>
      </c>
      <c r="D764" s="22">
        <f>$H$759</f>
        <v>434048.49089999963</v>
      </c>
      <c r="F764" s="203">
        <v>45962</v>
      </c>
      <c r="G764" s="312" t="s">
        <v>1249</v>
      </c>
      <c r="H764" s="22">
        <v>17873.95</v>
      </c>
    </row>
    <row r="765" spans="2:8">
      <c r="B765" s="203">
        <v>45971</v>
      </c>
      <c r="C765" s="312" t="s">
        <v>1261</v>
      </c>
      <c r="D765" s="22">
        <f>'Diferencia en cambio'!$I$185</f>
        <v>38638.949999999997</v>
      </c>
      <c r="F765" s="203">
        <v>45975</v>
      </c>
      <c r="G765" s="312" t="s">
        <v>1263</v>
      </c>
      <c r="H765" s="22">
        <f>'Flujo Caja Noviembre 2025'!D110</f>
        <v>2749.27</v>
      </c>
    </row>
    <row r="766" spans="2:8">
      <c r="B766" s="203">
        <v>45979</v>
      </c>
      <c r="C766" s="312" t="s">
        <v>1276</v>
      </c>
      <c r="D766" s="22">
        <f>'Diferencia en cambio'!I$186</f>
        <v>121412.13</v>
      </c>
      <c r="F766" s="203">
        <v>45975</v>
      </c>
      <c r="G766" s="312" t="s">
        <v>1264</v>
      </c>
      <c r="H766" s="22">
        <f>'Flujo Caja Noviembre 2025'!$D$108</f>
        <v>25913.38</v>
      </c>
    </row>
    <row r="767" spans="2:8">
      <c r="B767" s="203">
        <v>45986</v>
      </c>
      <c r="C767" s="312" t="s">
        <v>1287</v>
      </c>
      <c r="D767" s="347">
        <f>'Diferencia en cambio'!$I$193</f>
        <v>425268.22375714133</v>
      </c>
      <c r="F767" s="203">
        <v>45975</v>
      </c>
      <c r="G767" s="312" t="s">
        <v>1265</v>
      </c>
      <c r="H767" s="22">
        <f>'Flujo Caja Noviembre 2025'!D36</f>
        <v>119631.47</v>
      </c>
    </row>
    <row r="768" spans="2:8">
      <c r="B768" s="203">
        <v>45986</v>
      </c>
      <c r="C768" s="312" t="s">
        <v>1288</v>
      </c>
      <c r="D768" s="347">
        <f>'Flujo Caja Noviembre 2025'!$D$21</f>
        <v>42797.11051958106</v>
      </c>
      <c r="F768" s="203">
        <v>45975</v>
      </c>
      <c r="G768" s="312" t="s">
        <v>1266</v>
      </c>
      <c r="H768" s="22">
        <f>'Flujo Caja Noviembre 2025'!$D$38</f>
        <v>25414.84</v>
      </c>
    </row>
    <row r="769" spans="2:8">
      <c r="B769" s="203">
        <v>45986</v>
      </c>
      <c r="C769" s="312" t="s">
        <v>1289</v>
      </c>
      <c r="D769" s="347">
        <f>'Flujo Caja Noviembre 2025'!$D$22</f>
        <v>33691.75626158627</v>
      </c>
      <c r="F769" s="203">
        <v>45975</v>
      </c>
      <c r="G769" s="262" t="s">
        <v>1267</v>
      </c>
      <c r="H769" s="22">
        <f>'Flujo Caja Noviembre 2025'!$D$39</f>
        <v>3462.99</v>
      </c>
    </row>
    <row r="770" spans="2:8">
      <c r="B770" s="203">
        <v>45986</v>
      </c>
      <c r="C770" s="312" t="s">
        <v>1290</v>
      </c>
      <c r="D770" s="347">
        <f>'Flujo Caja Noviembre 2025'!$D$23</f>
        <v>69708.449052574186</v>
      </c>
      <c r="F770" s="203">
        <v>45975</v>
      </c>
      <c r="G770" s="262" t="s">
        <v>1148</v>
      </c>
      <c r="H770" s="22">
        <f>'Flujo Caja Noviembre 2025'!$D$40</f>
        <v>1033.52</v>
      </c>
    </row>
    <row r="771" spans="2:8">
      <c r="B771" s="203">
        <v>45986</v>
      </c>
      <c r="C771" s="312" t="s">
        <v>1291</v>
      </c>
      <c r="D771" s="347">
        <f>'Flujo Caja Noviembre 2025'!$D$24</f>
        <v>17297.159461691277</v>
      </c>
      <c r="F771" s="203">
        <v>45982</v>
      </c>
      <c r="G771" s="262" t="s">
        <v>1278</v>
      </c>
      <c r="H771" s="22">
        <f>5000*7.8</f>
        <v>39000</v>
      </c>
    </row>
    <row r="772" spans="2:8">
      <c r="B772" s="203">
        <v>45986</v>
      </c>
      <c r="C772" s="312" t="s">
        <v>1292</v>
      </c>
      <c r="D772" s="347">
        <f>'Flujo Caja Noviembre 2025'!$D$25</f>
        <v>143579.2409474258</v>
      </c>
      <c r="F772" s="203">
        <v>45982</v>
      </c>
      <c r="G772" s="262" t="s">
        <v>1280</v>
      </c>
      <c r="H772" s="22">
        <v>4673.2</v>
      </c>
    </row>
    <row r="773" spans="2:8">
      <c r="B773" s="203">
        <v>45987</v>
      </c>
      <c r="C773" s="312" t="s">
        <v>1298</v>
      </c>
      <c r="D773" s="22">
        <f>'Flujo Caja Noviembre 2025'!$D$20</f>
        <v>23739.41</v>
      </c>
      <c r="F773" s="203">
        <v>45951</v>
      </c>
      <c r="G773" s="262" t="s">
        <v>1281</v>
      </c>
      <c r="H773" s="22">
        <v>6313.78</v>
      </c>
    </row>
    <row r="774" spans="2:8">
      <c r="B774" s="203">
        <v>45987</v>
      </c>
      <c r="C774" s="312" t="s">
        <v>1316</v>
      </c>
      <c r="D774" s="22">
        <f>'Flujo Caja Noviembre 2025'!D28</f>
        <v>311098.25</v>
      </c>
      <c r="F774" s="203">
        <v>45951</v>
      </c>
      <c r="G774" s="262" t="s">
        <v>1284</v>
      </c>
      <c r="H774" s="22">
        <f>'Flujo Caja Noviembre 2025'!$D$44</f>
        <v>1368.42</v>
      </c>
    </row>
    <row r="775" spans="2:8" ht="30">
      <c r="B775" s="203">
        <v>45989</v>
      </c>
      <c r="C775" s="312" t="s">
        <v>1310</v>
      </c>
      <c r="D775" s="22">
        <f>'Diferencia en cambio'!$I$187</f>
        <v>50408.410087439443</v>
      </c>
      <c r="F775" s="203">
        <v>45951</v>
      </c>
      <c r="G775" s="262" t="s">
        <v>1285</v>
      </c>
      <c r="H775" s="22">
        <f>'Flujo Caja Noviembre 2025'!$D$45</f>
        <v>926.32</v>
      </c>
    </row>
    <row r="776" spans="2:8" ht="30">
      <c r="B776" s="203">
        <v>45989</v>
      </c>
      <c r="C776" s="312" t="s">
        <v>1311</v>
      </c>
      <c r="D776" s="22">
        <f>'Diferencia en cambio'!$I$188</f>
        <v>12594.788717686795</v>
      </c>
      <c r="F776" s="203">
        <v>45951</v>
      </c>
      <c r="G776" s="262" t="s">
        <v>1286</v>
      </c>
      <c r="H776" s="22">
        <f>'Flujo Caja Noviembre 2025'!$D$46</f>
        <v>578.95000000000005</v>
      </c>
    </row>
    <row r="777" spans="2:8" ht="30">
      <c r="B777" s="203">
        <v>45989</v>
      </c>
      <c r="C777" s="312" t="s">
        <v>1312</v>
      </c>
      <c r="D777" s="22">
        <f>'Diferencia en cambio'!$I$189</f>
        <v>28246.937548654765</v>
      </c>
      <c r="F777" s="203">
        <v>45987</v>
      </c>
      <c r="G777" s="262" t="s">
        <v>1294</v>
      </c>
      <c r="H777" s="22">
        <v>394</v>
      </c>
    </row>
    <row r="778" spans="2:8" ht="30">
      <c r="B778" s="203">
        <v>45989</v>
      </c>
      <c r="C778" s="312" t="s">
        <v>1313</v>
      </c>
      <c r="D778" s="22">
        <f>'Diferencia en cambio'!$I$190</f>
        <v>20247.953404383119</v>
      </c>
      <c r="F778" s="203">
        <v>45987</v>
      </c>
      <c r="G778" s="262" t="s">
        <v>1246</v>
      </c>
      <c r="H778" s="22">
        <f>'Flujo Caja Noviembre 2025'!$D$115</f>
        <v>433.25</v>
      </c>
    </row>
    <row r="779" spans="2:8" ht="30">
      <c r="B779" s="203">
        <v>45989</v>
      </c>
      <c r="C779" s="312" t="s">
        <v>1314</v>
      </c>
      <c r="D779" s="22">
        <f>'Diferencia en cambio'!$I$191</f>
        <v>18416.424864295732</v>
      </c>
      <c r="F779" s="203">
        <v>45987</v>
      </c>
      <c r="G779" s="262" t="s">
        <v>1244</v>
      </c>
      <c r="H779" s="22">
        <f>'Flujo Caja Noviembre 2025'!$D$116</f>
        <v>1151.99</v>
      </c>
    </row>
    <row r="780" spans="2:8" ht="30">
      <c r="B780" s="203">
        <v>45989</v>
      </c>
      <c r="C780" s="312" t="s">
        <v>1315</v>
      </c>
      <c r="D780" s="22">
        <f>'Diferencia en cambio'!$I$192</f>
        <v>102473.04537754015</v>
      </c>
      <c r="F780" s="203">
        <v>45987</v>
      </c>
      <c r="G780" s="262" t="s">
        <v>1245</v>
      </c>
      <c r="H780" s="22">
        <f>'Flujo Caja Noviembre 2025'!$D$117</f>
        <v>4042.28</v>
      </c>
    </row>
    <row r="781" spans="2:8" ht="30">
      <c r="B781" s="203">
        <v>45989</v>
      </c>
      <c r="C781" s="312" t="s">
        <v>1317</v>
      </c>
      <c r="D781" s="22">
        <v>59616.45</v>
      </c>
      <c r="F781" s="203">
        <v>45988</v>
      </c>
      <c r="G781" s="262" t="s">
        <v>414</v>
      </c>
      <c r="H781" s="22">
        <f>'Flujo Caja Noviembre 2025'!$D$74</f>
        <v>133147</v>
      </c>
    </row>
    <row r="782" spans="2:8">
      <c r="B782" s="203"/>
      <c r="C782" s="312"/>
      <c r="D782" s="22"/>
      <c r="F782" s="203">
        <v>45988</v>
      </c>
      <c r="G782" s="262" t="s">
        <v>417</v>
      </c>
      <c r="H782" s="22">
        <f>'Flujo Caja Noviembre 2025'!$D$75</f>
        <v>21769</v>
      </c>
    </row>
    <row r="783" spans="2:8">
      <c r="B783" s="203"/>
      <c r="C783" s="312"/>
      <c r="D783" s="22"/>
      <c r="F783" s="203">
        <v>45988</v>
      </c>
      <c r="G783" s="262" t="s">
        <v>409</v>
      </c>
      <c r="H783" s="22">
        <f>'Flujo Caja Noviembre 2025'!$D$76</f>
        <v>28522</v>
      </c>
    </row>
    <row r="784" spans="2:8">
      <c r="B784" s="203"/>
      <c r="C784" s="312"/>
      <c r="D784" s="22"/>
      <c r="F784" s="203">
        <v>45988</v>
      </c>
      <c r="G784" s="262" t="s">
        <v>416</v>
      </c>
      <c r="H784" s="22">
        <f>'Flujo Caja Noviembre 2025'!$D$77</f>
        <v>158702</v>
      </c>
    </row>
    <row r="785" spans="2:8">
      <c r="B785" s="203"/>
      <c r="C785" s="312"/>
      <c r="D785" s="22"/>
      <c r="F785" s="203">
        <v>45988</v>
      </c>
      <c r="G785" s="262" t="s">
        <v>412</v>
      </c>
      <c r="H785" s="22">
        <f>'Flujo Caja Noviembre 2025'!$D$78</f>
        <v>16129</v>
      </c>
    </row>
    <row r="786" spans="2:8">
      <c r="B786" s="203"/>
      <c r="C786" s="312"/>
      <c r="D786" s="22"/>
      <c r="F786" s="203">
        <v>45988</v>
      </c>
      <c r="G786" s="262" t="s">
        <v>413</v>
      </c>
      <c r="H786" s="22">
        <f>'Flujo Caja Noviembre 2025'!$D$79</f>
        <v>7823</v>
      </c>
    </row>
    <row r="787" spans="2:8">
      <c r="B787" s="203"/>
      <c r="C787" s="277"/>
      <c r="D787" s="22"/>
      <c r="F787" s="203">
        <v>45988</v>
      </c>
      <c r="G787" s="262" t="s">
        <v>415</v>
      </c>
      <c r="H787" s="22">
        <f>'Flujo Caja Noviembre 2025'!$D$80</f>
        <v>54036</v>
      </c>
    </row>
    <row r="788" spans="2:8">
      <c r="C788" s="7" t="s">
        <v>564</v>
      </c>
      <c r="D788" s="13">
        <f>SUM(D764:D787)</f>
        <v>1953283.1808999993</v>
      </c>
      <c r="F788" s="203">
        <v>45988</v>
      </c>
      <c r="G788" s="262" t="s">
        <v>410</v>
      </c>
      <c r="H788" s="22">
        <f>'Flujo Caja Noviembre 2025'!$D$81</f>
        <v>7823</v>
      </c>
    </row>
    <row r="789" spans="2:8">
      <c r="F789" s="203">
        <v>45988</v>
      </c>
      <c r="G789" s="262" t="s">
        <v>844</v>
      </c>
      <c r="H789" s="22">
        <f>'Flujo Caja Noviembre 2025'!$D$82</f>
        <v>40421</v>
      </c>
    </row>
    <row r="790" spans="2:8">
      <c r="F790" s="203">
        <v>45988</v>
      </c>
      <c r="G790" s="262" t="s">
        <v>901</v>
      </c>
      <c r="H790" s="22">
        <f>'Flujo Caja Noviembre 2025'!$D$83</f>
        <v>48942.080000000002</v>
      </c>
    </row>
    <row r="791" spans="2:8">
      <c r="F791" s="203">
        <v>45988</v>
      </c>
      <c r="G791" s="262" t="s">
        <v>845</v>
      </c>
      <c r="H791" s="22">
        <f>'Flujo Caja Noviembre 2025'!D84</f>
        <v>40421.14</v>
      </c>
    </row>
    <row r="792" spans="2:8">
      <c r="F792" s="203">
        <v>45988</v>
      </c>
      <c r="G792" s="262" t="s">
        <v>418</v>
      </c>
      <c r="H792" s="22">
        <f>'Flujo Caja Noviembre 2025'!$D$85</f>
        <v>68891.81</v>
      </c>
    </row>
    <row r="793" spans="2:8">
      <c r="F793" s="203">
        <v>45988</v>
      </c>
      <c r="G793" s="262" t="s">
        <v>843</v>
      </c>
      <c r="H793" s="22">
        <f>'Flujo Caja Noviembre 2025'!$D$64</f>
        <v>29589.9</v>
      </c>
    </row>
    <row r="794" spans="2:8">
      <c r="F794" s="203">
        <v>45988</v>
      </c>
      <c r="G794" s="262" t="s">
        <v>886</v>
      </c>
      <c r="H794" s="22">
        <f>'Flujo Caja Noviembre 2025'!$D$65</f>
        <v>76403.600000000006</v>
      </c>
    </row>
    <row r="795" spans="2:8">
      <c r="F795" s="203">
        <v>45988</v>
      </c>
      <c r="G795" s="262" t="s">
        <v>944</v>
      </c>
      <c r="H795" s="22">
        <f>'Flujo Caja Noviembre 2025'!$D$68</f>
        <v>19172.23</v>
      </c>
    </row>
    <row r="796" spans="2:8">
      <c r="F796" s="203">
        <v>45988</v>
      </c>
      <c r="G796" s="262" t="s">
        <v>945</v>
      </c>
      <c r="H796" s="22">
        <f>'Flujo Caja Noviembre 2025'!$D$69</f>
        <v>12965.13</v>
      </c>
    </row>
    <row r="797" spans="2:8">
      <c r="F797" s="203">
        <v>45988</v>
      </c>
      <c r="G797" s="262" t="s">
        <v>1300</v>
      </c>
      <c r="H797" s="22">
        <f>'Flujo Caja Noviembre 2025'!$D$71</f>
        <v>73689.47</v>
      </c>
    </row>
    <row r="798" spans="2:8">
      <c r="F798" s="203">
        <v>45988</v>
      </c>
      <c r="G798" s="262" t="s">
        <v>829</v>
      </c>
      <c r="H798" s="22">
        <f>'Flujo Caja Noviembre 2025'!$D$70</f>
        <v>57055.09</v>
      </c>
    </row>
    <row r="799" spans="2:8">
      <c r="F799" s="203">
        <v>45988</v>
      </c>
      <c r="G799" s="262" t="s">
        <v>946</v>
      </c>
      <c r="H799" s="22">
        <f>'Flujo Caja Noviembre 2025'!$D$72</f>
        <v>14130.71</v>
      </c>
    </row>
    <row r="800" spans="2:8">
      <c r="F800" s="203">
        <v>45988</v>
      </c>
      <c r="G800" s="262" t="s">
        <v>947</v>
      </c>
      <c r="H800" s="22">
        <f>'Flujo Caja Noviembre 2025'!$D$73</f>
        <v>14162.36</v>
      </c>
    </row>
    <row r="801" spans="6:8">
      <c r="F801" s="203">
        <v>45988</v>
      </c>
      <c r="G801" s="262" t="s">
        <v>1249</v>
      </c>
      <c r="H801" s="22">
        <f>'Flujo Caja Noviembre 2025'!$D$67</f>
        <v>24838.23</v>
      </c>
    </row>
    <row r="802" spans="6:8">
      <c r="F802" s="203">
        <v>45988</v>
      </c>
      <c r="G802" s="262" t="s">
        <v>176</v>
      </c>
      <c r="H802" s="22">
        <f>'Flujo Caja Noviembre 2025'!$D$66</f>
        <v>56575.92</v>
      </c>
    </row>
    <row r="803" spans="6:8">
      <c r="F803" s="203">
        <v>45988</v>
      </c>
      <c r="G803" s="262" t="s">
        <v>1108</v>
      </c>
      <c r="H803" s="22">
        <f>'Flujo Caja Noviembre 2025'!$D$99</f>
        <v>10855.64</v>
      </c>
    </row>
    <row r="804" spans="6:8">
      <c r="F804" s="203">
        <v>45988</v>
      </c>
      <c r="G804" s="262" t="s">
        <v>1109</v>
      </c>
      <c r="H804" s="22">
        <f>'Flujo Caja Noviembre 2025'!$D$100</f>
        <v>37726.230000000003</v>
      </c>
    </row>
    <row r="805" spans="6:8">
      <c r="F805" s="203">
        <v>45988</v>
      </c>
      <c r="G805" s="262" t="s">
        <v>1110</v>
      </c>
      <c r="H805" s="22">
        <f>'Flujo Caja Noviembre 2025'!$D$101</f>
        <v>16287.9</v>
      </c>
    </row>
    <row r="806" spans="6:8">
      <c r="F806" s="203">
        <v>45988</v>
      </c>
      <c r="G806" s="262" t="s">
        <v>1111</v>
      </c>
      <c r="H806" s="22">
        <f>'Flujo Caja Noviembre 2025'!$D$102</f>
        <v>15653.9</v>
      </c>
    </row>
    <row r="807" spans="6:8">
      <c r="F807" s="203">
        <v>45988</v>
      </c>
      <c r="G807" s="262" t="s">
        <v>1193</v>
      </c>
      <c r="H807" s="22">
        <f>'Flujo Caja Noviembre 2025'!$D$103</f>
        <v>22644.97</v>
      </c>
    </row>
    <row r="808" spans="6:8">
      <c r="F808" s="203">
        <v>45988</v>
      </c>
      <c r="G808" s="262" t="s">
        <v>1112</v>
      </c>
      <c r="H808" s="22">
        <f>'Flujo Caja Noviembre 2025'!$D$104</f>
        <v>9032.61</v>
      </c>
    </row>
    <row r="809" spans="6:8">
      <c r="F809" s="203">
        <v>45988</v>
      </c>
      <c r="G809" s="262" t="s">
        <v>1194</v>
      </c>
      <c r="H809" s="22">
        <f>'Flujo Caja Noviembre 2025'!$D$106</f>
        <v>27222.22</v>
      </c>
    </row>
    <row r="810" spans="6:8">
      <c r="F810" s="203">
        <v>45988</v>
      </c>
      <c r="G810" s="262" t="s">
        <v>1301</v>
      </c>
      <c r="H810" s="22">
        <f>'Flujo Caja Noviembre 2025'!$D$105</f>
        <v>47799.56</v>
      </c>
    </row>
    <row r="811" spans="6:8">
      <c r="F811" s="203">
        <v>45988</v>
      </c>
      <c r="G811" s="262" t="s">
        <v>1302</v>
      </c>
      <c r="H811" s="22">
        <f>6000*7.8</f>
        <v>46800</v>
      </c>
    </row>
    <row r="812" spans="6:8">
      <c r="F812" s="203">
        <v>45988</v>
      </c>
      <c r="G812" s="262" t="s">
        <v>1305</v>
      </c>
      <c r="H812" s="22">
        <f>'Flujo Caja Noviembre 2025'!$D$88</f>
        <v>4577.25</v>
      </c>
    </row>
    <row r="813" spans="6:8">
      <c r="F813" s="203">
        <v>45988</v>
      </c>
      <c r="G813" s="262" t="s">
        <v>1306</v>
      </c>
      <c r="H813" s="22">
        <f>'Flujo Caja Noviembre 2025'!$D$89</f>
        <v>107.5</v>
      </c>
    </row>
    <row r="814" spans="6:8">
      <c r="F814" s="203">
        <v>45988</v>
      </c>
      <c r="G814" s="262" t="s">
        <v>1307</v>
      </c>
      <c r="H814" s="22">
        <f>'Flujo Caja Noviembre 2025'!$D$90</f>
        <v>741.21</v>
      </c>
    </row>
    <row r="815" spans="6:8">
      <c r="F815" s="203">
        <v>45988</v>
      </c>
      <c r="G815" s="262" t="s">
        <v>1308</v>
      </c>
      <c r="H815" s="22">
        <f>'Flujo Caja Noviembre 2025'!$D$113</f>
        <v>25457.85</v>
      </c>
    </row>
    <row r="816" spans="6:8">
      <c r="F816" s="203">
        <v>45988</v>
      </c>
      <c r="G816" s="262" t="s">
        <v>1378</v>
      </c>
      <c r="H816" s="22">
        <f>'Flujo Caja Noviembre 2025'!$D$96</f>
        <v>1500</v>
      </c>
    </row>
    <row r="817" spans="2:12">
      <c r="F817" s="203"/>
      <c r="G817" s="262"/>
      <c r="H817" s="22"/>
    </row>
    <row r="818" spans="2:12">
      <c r="F818" s="203"/>
      <c r="G818" s="262"/>
      <c r="H818" s="22"/>
    </row>
    <row r="819" spans="2:12">
      <c r="F819" s="203"/>
      <c r="G819" s="262"/>
      <c r="H819" s="22"/>
    </row>
    <row r="820" spans="2:12">
      <c r="F820" s="203"/>
      <c r="G820" s="262"/>
      <c r="H820" s="22"/>
    </row>
    <row r="821" spans="2:12">
      <c r="G821" s="7" t="s">
        <v>560</v>
      </c>
      <c r="H821" s="13">
        <f>SUM(H764:H820)</f>
        <v>1526578.1199999999</v>
      </c>
    </row>
    <row r="822" spans="2:12">
      <c r="G822" s="7" t="s">
        <v>563</v>
      </c>
      <c r="H822" s="13">
        <f>D788-H821</f>
        <v>426705.06089999946</v>
      </c>
      <c r="J822" s="13">
        <v>416174.54089999961</v>
      </c>
      <c r="K822" s="9" t="s">
        <v>1250</v>
      </c>
      <c r="L822" s="273" t="s">
        <v>904</v>
      </c>
    </row>
    <row r="825" spans="2:12" ht="18.75">
      <c r="B825" s="5" t="s">
        <v>34</v>
      </c>
      <c r="C825" s="5" t="s">
        <v>35</v>
      </c>
      <c r="D825" s="5" t="s">
        <v>15</v>
      </c>
      <c r="F825" s="5" t="s">
        <v>36</v>
      </c>
      <c r="G825" s="5" t="s">
        <v>35</v>
      </c>
      <c r="H825" s="5" t="s">
        <v>15</v>
      </c>
    </row>
    <row r="826" spans="2:12">
      <c r="B826" s="203">
        <v>45992</v>
      </c>
      <c r="C826" s="158" t="s">
        <v>49</v>
      </c>
      <c r="D826" s="22">
        <f>$H$822</f>
        <v>426705.06089999946</v>
      </c>
      <c r="F826" s="203">
        <v>45995</v>
      </c>
      <c r="G826" s="312" t="s">
        <v>1329</v>
      </c>
      <c r="H826" s="22">
        <f>'Flujo Caja Diciembre 2025'!D132</f>
        <v>13725.45</v>
      </c>
    </row>
    <row r="827" spans="2:12" ht="30">
      <c r="B827" s="203">
        <v>46003</v>
      </c>
      <c r="C827" s="312" t="s">
        <v>1350</v>
      </c>
      <c r="D827" s="22">
        <f>'Diferencia en cambio'!$I$214</f>
        <v>117321.19</v>
      </c>
      <c r="F827" s="203">
        <v>46003</v>
      </c>
      <c r="G827" s="312" t="s">
        <v>1331</v>
      </c>
      <c r="H827" s="22">
        <f>'Flujo Caja Diciembre 2025'!$D$40</f>
        <v>28513.4</v>
      </c>
    </row>
    <row r="828" spans="2:12">
      <c r="B828" s="203">
        <v>46007</v>
      </c>
      <c r="C828" s="312" t="s">
        <v>1360</v>
      </c>
      <c r="D828" s="22">
        <f>'Diferencia en cambio'!$I$215</f>
        <v>121412.05</v>
      </c>
      <c r="F828" s="203">
        <v>46003</v>
      </c>
      <c r="G828" s="262" t="s">
        <v>1319</v>
      </c>
      <c r="H828" s="22">
        <f>'Flujo Caja Diciembre 2025'!$D$41</f>
        <v>1703</v>
      </c>
    </row>
    <row r="829" spans="2:12" ht="30">
      <c r="B829" s="203">
        <v>46009</v>
      </c>
      <c r="C829" s="312" t="s">
        <v>1363</v>
      </c>
      <c r="D829" s="347">
        <f>'Diferencia en cambio'!I201</f>
        <v>50276.328001827205</v>
      </c>
      <c r="F829" s="203">
        <v>46003</v>
      </c>
      <c r="G829" s="262" t="s">
        <v>1148</v>
      </c>
      <c r="H829" s="22">
        <f>'Flujo Caja Diciembre 2025'!$D$42</f>
        <v>1549.43</v>
      </c>
    </row>
    <row r="830" spans="2:12" ht="30">
      <c r="B830" s="203">
        <v>46009</v>
      </c>
      <c r="C830" s="312" t="s">
        <v>1364</v>
      </c>
      <c r="D830" s="347">
        <f>'Diferencia en cambio'!I202</f>
        <v>12562.24209102044</v>
      </c>
      <c r="F830" s="203">
        <v>46003</v>
      </c>
      <c r="G830" s="312" t="s">
        <v>1332</v>
      </c>
      <c r="H830" s="22">
        <f>'Flujo Caja Diciembre 2025'!$D$122</f>
        <v>4112.49</v>
      </c>
    </row>
    <row r="831" spans="2:12" ht="30">
      <c r="B831" s="203">
        <v>46009</v>
      </c>
      <c r="C831" s="312" t="s">
        <v>1365</v>
      </c>
      <c r="D831" s="347">
        <f>'Diferencia en cambio'!I203</f>
        <v>28172.923819256965</v>
      </c>
      <c r="F831" s="203">
        <v>46003</v>
      </c>
      <c r="G831" s="312" t="s">
        <v>1333</v>
      </c>
      <c r="H831" s="22">
        <f>'Flujo Caja Diciembre 2025'!$D$38</f>
        <v>106546.18</v>
      </c>
    </row>
    <row r="832" spans="2:12" ht="30">
      <c r="B832" s="203">
        <v>46009</v>
      </c>
      <c r="C832" s="312" t="s">
        <v>1366</v>
      </c>
      <c r="D832" s="347">
        <f>'Diferencia en cambio'!I204</f>
        <v>20194.89892576752</v>
      </c>
      <c r="F832" s="203">
        <v>46003</v>
      </c>
      <c r="G832" s="312" t="s">
        <v>1334</v>
      </c>
      <c r="H832" s="22">
        <f>'Flujo Caja Diciembre 2025'!$D$120</f>
        <v>33158.71</v>
      </c>
    </row>
    <row r="833" spans="2:10">
      <c r="B833" s="203">
        <v>46009</v>
      </c>
      <c r="C833" s="312" t="s">
        <v>1367</v>
      </c>
      <c r="D833" s="347">
        <f>'Diferencia en cambio'!I205</f>
        <v>42031.830847082958</v>
      </c>
      <c r="F833" s="203">
        <v>46006</v>
      </c>
      <c r="G833" s="262" t="s">
        <v>1352</v>
      </c>
      <c r="H833" s="22">
        <f>'Flujo Caja Diciembre 2025'!D101</f>
        <v>11081.8</v>
      </c>
    </row>
    <row r="834" spans="2:10" ht="30">
      <c r="B834" s="203">
        <v>46009</v>
      </c>
      <c r="C834" s="312" t="s">
        <v>1368</v>
      </c>
      <c r="D834" s="347">
        <f>'Diferencia en cambio'!I206</f>
        <v>95878.32631504492</v>
      </c>
      <c r="F834" s="203">
        <v>46006</v>
      </c>
      <c r="G834" s="262" t="s">
        <v>1353</v>
      </c>
      <c r="H834" s="22">
        <f>'Flujo Caja Diciembre 2025'!D102</f>
        <v>34571.019999999997</v>
      </c>
    </row>
    <row r="835" spans="2:10">
      <c r="B835" s="203">
        <v>46010</v>
      </c>
      <c r="C835" s="277" t="s">
        <v>1373</v>
      </c>
      <c r="D835" s="272">
        <f>'Diferencia en cambio'!I208</f>
        <v>11102.885994089998</v>
      </c>
      <c r="F835" s="203">
        <v>46006</v>
      </c>
      <c r="G835" s="262" t="s">
        <v>1354</v>
      </c>
      <c r="H835" s="22">
        <f>'Flujo Caja Diciembre 2025'!D103</f>
        <v>4269.25</v>
      </c>
    </row>
    <row r="836" spans="2:10">
      <c r="B836" s="203">
        <v>46010</v>
      </c>
      <c r="C836" s="277" t="s">
        <v>1374</v>
      </c>
      <c r="D836" s="272">
        <f>'Diferencia en cambio'!I209</f>
        <v>27323.371729048122</v>
      </c>
      <c r="F836" s="203">
        <v>46006</v>
      </c>
      <c r="G836" s="262" t="s">
        <v>1355</v>
      </c>
      <c r="H836" s="22">
        <f>'Flujo Caja Diciembre 2025'!D104</f>
        <v>16296.43</v>
      </c>
    </row>
    <row r="837" spans="2:10">
      <c r="B837" s="203">
        <v>46010</v>
      </c>
      <c r="C837" s="277" t="s">
        <v>1372</v>
      </c>
      <c r="D837" s="272">
        <f>'Diferencia en cambio'!I210</f>
        <v>18300.690066435604</v>
      </c>
      <c r="F837" s="203">
        <v>46006</v>
      </c>
      <c r="G837" s="262" t="s">
        <v>1356</v>
      </c>
      <c r="H837" s="22">
        <f>'Flujo Caja Diciembre 2025'!D105</f>
        <v>36025.33</v>
      </c>
    </row>
    <row r="838" spans="2:10" ht="30">
      <c r="B838" s="203">
        <v>46010</v>
      </c>
      <c r="C838" s="277" t="s">
        <v>1371</v>
      </c>
      <c r="D838" s="272">
        <f>'Diferencia en cambio'!I211</f>
        <v>45390.561739185199</v>
      </c>
      <c r="F838" s="203">
        <v>46006</v>
      </c>
      <c r="G838" s="262" t="s">
        <v>1357</v>
      </c>
      <c r="H838" s="22">
        <f>'Flujo Caja Diciembre 2025'!D106</f>
        <v>17206.72</v>
      </c>
    </row>
    <row r="839" spans="2:10">
      <c r="B839" s="203">
        <v>46010</v>
      </c>
      <c r="C839" s="277" t="s">
        <v>1369</v>
      </c>
      <c r="D839" s="272">
        <f>'Diferencia en cambio'!I212</f>
        <v>107775.16814699912</v>
      </c>
      <c r="F839" s="203">
        <v>46006</v>
      </c>
      <c r="G839" s="262" t="s">
        <v>1358</v>
      </c>
      <c r="H839" s="22">
        <f>'Flujo Caja Diciembre 2025'!D107</f>
        <v>48042.879999999997</v>
      </c>
    </row>
    <row r="840" spans="2:10">
      <c r="B840" s="203">
        <v>46010</v>
      </c>
      <c r="C840" s="277" t="s">
        <v>1370</v>
      </c>
      <c r="D840" s="272">
        <f>'Diferencia en cambio'!I213</f>
        <v>12749.512324241967</v>
      </c>
      <c r="F840" s="203">
        <v>46006</v>
      </c>
      <c r="G840" s="262" t="s">
        <v>1359</v>
      </c>
      <c r="H840" s="272">
        <f>'Flujo Caja Diciembre 2025'!D108</f>
        <v>3906.98</v>
      </c>
    </row>
    <row r="841" spans="2:10">
      <c r="B841" s="203">
        <v>46015</v>
      </c>
      <c r="C841" s="312" t="s">
        <v>1386</v>
      </c>
      <c r="D841" s="22">
        <f>'Diferencia en cambio'!$I$216</f>
        <v>387994.35</v>
      </c>
      <c r="F841" s="203">
        <v>46008</v>
      </c>
      <c r="G841" s="262" t="s">
        <v>886</v>
      </c>
      <c r="H841" s="22">
        <f>'Flujo Caja Diciembre 2025'!$D$67</f>
        <v>49577.78</v>
      </c>
    </row>
    <row r="842" spans="2:10">
      <c r="B842" s="203"/>
      <c r="C842" s="312"/>
      <c r="D842" s="22"/>
      <c r="F842" s="203">
        <v>46008</v>
      </c>
      <c r="G842" s="262" t="s">
        <v>901</v>
      </c>
      <c r="H842" s="22">
        <f>'Flujo Caja Diciembre 2025'!$D$68</f>
        <v>32589.919999999998</v>
      </c>
    </row>
    <row r="843" spans="2:10">
      <c r="B843" s="203"/>
      <c r="C843" s="312"/>
      <c r="D843" s="22"/>
      <c r="F843" s="203">
        <v>46010</v>
      </c>
      <c r="G843" s="262" t="s">
        <v>1284</v>
      </c>
      <c r="H843" s="22">
        <f>'Flujo Caja Diciembre 2025'!D46</f>
        <v>1368.42</v>
      </c>
    </row>
    <row r="844" spans="2:10">
      <c r="B844" s="203"/>
      <c r="C844" s="312"/>
      <c r="D844" s="22"/>
      <c r="F844" s="203">
        <v>46010</v>
      </c>
      <c r="G844" s="262" t="s">
        <v>1376</v>
      </c>
      <c r="H844" s="22">
        <f>'Flujo Caja Diciembre 2025'!D47</f>
        <v>926.32</v>
      </c>
    </row>
    <row r="845" spans="2:10">
      <c r="B845" s="203"/>
      <c r="C845" s="312"/>
      <c r="D845" s="22"/>
      <c r="F845" s="203">
        <v>46010</v>
      </c>
      <c r="G845" s="262" t="s">
        <v>1377</v>
      </c>
      <c r="H845" s="22">
        <f>'Flujo Caja Diciembre 2025'!D45</f>
        <v>4573.2</v>
      </c>
    </row>
    <row r="846" spans="2:10">
      <c r="B846" s="203"/>
      <c r="C846" s="312"/>
      <c r="D846" s="22"/>
      <c r="F846" s="203">
        <v>46010</v>
      </c>
      <c r="G846" s="262" t="s">
        <v>621</v>
      </c>
      <c r="H846" s="22">
        <f>'Flujo Caja Diciembre 2025'!D99</f>
        <v>1500</v>
      </c>
    </row>
    <row r="847" spans="2:10">
      <c r="B847" s="203"/>
      <c r="C847" s="312"/>
      <c r="D847" s="22"/>
      <c r="F847" s="203">
        <v>46014</v>
      </c>
      <c r="G847" s="262" t="s">
        <v>1385</v>
      </c>
      <c r="H847" s="22">
        <f>'Flujo Caja Diciembre 2025'!$D$109</f>
        <v>5493.13</v>
      </c>
    </row>
    <row r="848" spans="2:10">
      <c r="B848" s="203"/>
      <c r="C848" s="312"/>
      <c r="D848" s="22"/>
      <c r="F848" s="203">
        <v>46014</v>
      </c>
      <c r="G848" s="262" t="s">
        <v>1380</v>
      </c>
      <c r="H848" s="22">
        <f>SUM('Flujo Caja Diciembre 2025'!$D$53:$D$57)</f>
        <v>6313.7800000000007</v>
      </c>
      <c r="J848" s="382">
        <v>1</v>
      </c>
    </row>
    <row r="849" spans="2:8">
      <c r="B849" s="203"/>
      <c r="C849" s="277"/>
      <c r="D849" s="22"/>
      <c r="F849" s="383">
        <v>46017</v>
      </c>
      <c r="G849" s="384" t="s">
        <v>417</v>
      </c>
      <c r="H849" s="385">
        <f>'Flujo Caja Diciembre 2025'!$D$78</f>
        <v>11877</v>
      </c>
    </row>
    <row r="850" spans="2:8">
      <c r="C850" s="7" t="s">
        <v>603</v>
      </c>
      <c r="D850" s="13">
        <f>SUM(D826:D849)</f>
        <v>1525191.3908999995</v>
      </c>
      <c r="F850" s="383">
        <v>46017</v>
      </c>
      <c r="G850" s="384" t="s">
        <v>409</v>
      </c>
      <c r="H850" s="385">
        <f>'Flujo Caja Diciembre 2025'!$D$79</f>
        <v>14151</v>
      </c>
    </row>
    <row r="851" spans="2:8">
      <c r="F851" s="383">
        <v>46017</v>
      </c>
      <c r="G851" s="384" t="s">
        <v>844</v>
      </c>
      <c r="H851" s="385">
        <f>'Flujo Caja Diciembre 2025'!$D$80</f>
        <v>24923</v>
      </c>
    </row>
    <row r="852" spans="2:8">
      <c r="F852" s="383">
        <v>46017</v>
      </c>
      <c r="G852" s="384" t="s">
        <v>412</v>
      </c>
      <c r="H852" s="385">
        <f>'Flujo Caja Diciembre 2025'!$D$81</f>
        <v>8754</v>
      </c>
    </row>
    <row r="853" spans="2:8">
      <c r="F853" s="383">
        <v>46017</v>
      </c>
      <c r="G853" s="384" t="s">
        <v>413</v>
      </c>
      <c r="H853" s="385">
        <f>'Flujo Caja Diciembre 2025'!$D$82</f>
        <v>3943</v>
      </c>
    </row>
    <row r="854" spans="2:8">
      <c r="F854" s="383">
        <v>46017</v>
      </c>
      <c r="G854" s="384" t="s">
        <v>415</v>
      </c>
      <c r="H854" s="385">
        <f>'Flujo Caja Diciembre 2025'!$D$83</f>
        <v>48622</v>
      </c>
    </row>
    <row r="855" spans="2:8">
      <c r="F855" s="383">
        <v>46017</v>
      </c>
      <c r="G855" s="384" t="s">
        <v>410</v>
      </c>
      <c r="H855" s="385">
        <f>'Flujo Caja Diciembre 2025'!$D$84</f>
        <v>3943</v>
      </c>
    </row>
    <row r="856" spans="2:8">
      <c r="F856" s="383">
        <v>46017</v>
      </c>
      <c r="G856" s="384" t="s">
        <v>418</v>
      </c>
      <c r="H856" s="385">
        <f>'Flujo Caja Diciembre 2025'!$D$86</f>
        <v>33857.480000000003</v>
      </c>
    </row>
    <row r="857" spans="2:8">
      <c r="F857" s="383">
        <v>46017</v>
      </c>
      <c r="G857" s="384" t="s">
        <v>845</v>
      </c>
      <c r="H857" s="385">
        <f>'Flujo Caja Diciembre 2025'!$D$85</f>
        <v>24923.65</v>
      </c>
    </row>
    <row r="858" spans="2:8">
      <c r="F858" s="383">
        <v>46017</v>
      </c>
      <c r="G858" s="384" t="s">
        <v>1249</v>
      </c>
      <c r="H858" s="385">
        <f>'Flujo Caja Diciembre 2025'!$D$71</f>
        <v>25531.03</v>
      </c>
    </row>
    <row r="859" spans="2:8">
      <c r="F859" s="386">
        <v>46017</v>
      </c>
      <c r="G859" s="387" t="str">
        <f>'Flujo Caja Diciembre 2025'!$C$69</f>
        <v>Hector Augusto Castillo Luna-Iberia-CC013</v>
      </c>
      <c r="H859" s="388">
        <f>'Flujo Caja Diciembre 2025'!$D$69</f>
        <v>18701.009999999998</v>
      </c>
    </row>
    <row r="860" spans="2:8">
      <c r="F860" s="386">
        <v>46017</v>
      </c>
      <c r="G860" s="387" t="str">
        <f>'Flujo Caja Diciembre 2025'!$C$70</f>
        <v>Stephanie Rodriguez Lopez-RF-Czarnikow-CC002</v>
      </c>
      <c r="H860" s="388">
        <f>'Flujo Caja Diciembre 2025'!$D$70</f>
        <v>29033.11</v>
      </c>
    </row>
    <row r="861" spans="2:8">
      <c r="F861" s="386">
        <v>46017</v>
      </c>
      <c r="G861" s="387" t="str">
        <f>'Flujo Caja Diciembre 2025'!$C$72</f>
        <v>Liza Marlene Torres Valdes  -Vinmar international -CC016</v>
      </c>
      <c r="H861" s="388">
        <f>'Flujo Caja Diciembre 2025'!$D$72</f>
        <v>13622.51</v>
      </c>
    </row>
    <row r="862" spans="2:8">
      <c r="F862" s="386">
        <v>46017</v>
      </c>
      <c r="G862" s="387" t="str">
        <f>'Flujo Caja Diciembre 2025'!$C$73</f>
        <v>Douglas Miguel Villa Fuerte Leiva  -Archell -CC014</v>
      </c>
      <c r="H862" s="388">
        <f>'Flujo Caja Diciembre 2025'!$D$73</f>
        <v>10127.07</v>
      </c>
    </row>
    <row r="863" spans="2:8">
      <c r="F863" s="386">
        <v>46017</v>
      </c>
      <c r="G863" s="387" t="str">
        <f>'Flujo Caja Diciembre 2025'!$C$74</f>
        <v>Javier Ricardo Martinez Cruz-Suol Innovations Ltd (RF)</v>
      </c>
      <c r="H863" s="388">
        <f>'Flujo Caja Diciembre 2025'!$D$74</f>
        <v>67218.36</v>
      </c>
    </row>
    <row r="864" spans="2:8">
      <c r="F864" s="386">
        <v>46017</v>
      </c>
      <c r="G864" s="387" t="str">
        <f>'Flujo Caja Diciembre 2025'!$C$75</f>
        <v>Michael scott Edgar  -Basis Global Technologies -CC011</v>
      </c>
      <c r="H864" s="388">
        <f>'Flujo Caja Diciembre 2025'!$D$75</f>
        <v>34601.33</v>
      </c>
    </row>
    <row r="865" spans="6:8">
      <c r="F865" s="386">
        <v>46017</v>
      </c>
      <c r="G865" s="387" t="str">
        <f>'Flujo Caja Diciembre 2025'!$C$76</f>
        <v>Joshua Esteban Lopez Fernandez   -Highspring-CC017</v>
      </c>
      <c r="H865" s="388">
        <f>'Flujo Caja Diciembre 2025'!$D$76</f>
        <v>9930.7099999999991</v>
      </c>
    </row>
    <row r="866" spans="6:8">
      <c r="F866" s="386">
        <v>46017</v>
      </c>
      <c r="G866" s="387" t="str">
        <f>'Flujo Caja Diciembre 2025'!$C$77</f>
        <v>María Fernanda Robles Solis -Oportunity-CC006</v>
      </c>
      <c r="H866" s="388">
        <f>'Flujo Caja Diciembre 2025'!$D$77</f>
        <v>9662.36</v>
      </c>
    </row>
    <row r="867" spans="6:8">
      <c r="F867" s="203">
        <v>46017</v>
      </c>
      <c r="G867" s="262" t="s">
        <v>1108</v>
      </c>
      <c r="H867" s="22">
        <f>'Flujo Caja Diciembre 2025'!$D$111</f>
        <v>10855.64</v>
      </c>
    </row>
    <row r="868" spans="6:8">
      <c r="F868" s="203">
        <v>46017</v>
      </c>
      <c r="G868" s="262" t="s">
        <v>1109</v>
      </c>
      <c r="H868" s="22">
        <f>'Flujo Caja Diciembre 2025'!$D$112</f>
        <v>37726.22</v>
      </c>
    </row>
    <row r="869" spans="6:8">
      <c r="F869" s="203">
        <v>46017</v>
      </c>
      <c r="G869" s="262" t="s">
        <v>1110</v>
      </c>
      <c r="H869" s="22">
        <f>'Flujo Caja Diciembre 2025'!$D$113</f>
        <v>16287.9</v>
      </c>
    </row>
    <row r="870" spans="6:8">
      <c r="F870" s="203">
        <v>46017</v>
      </c>
      <c r="G870" s="262" t="s">
        <v>1111</v>
      </c>
      <c r="H870" s="22">
        <f>'Flujo Caja Diciembre 2025'!$D$114</f>
        <v>15653.9</v>
      </c>
    </row>
    <row r="871" spans="6:8">
      <c r="F871" s="203">
        <v>46017</v>
      </c>
      <c r="G871" s="262" t="s">
        <v>1193</v>
      </c>
      <c r="H871" s="22">
        <f>'Flujo Caja Diciembre 2025'!$D$115</f>
        <v>21295.75</v>
      </c>
    </row>
    <row r="872" spans="6:8">
      <c r="F872" s="203">
        <v>46017</v>
      </c>
      <c r="G872" s="262" t="s">
        <v>1112</v>
      </c>
      <c r="H872" s="22">
        <f>'Flujo Caja Diciembre 2025'!$D$116</f>
        <v>8705.81</v>
      </c>
    </row>
    <row r="873" spans="6:8">
      <c r="F873" s="203">
        <v>46017</v>
      </c>
      <c r="G873" s="262" t="s">
        <v>1301</v>
      </c>
      <c r="H873" s="22">
        <f>'Flujo Caja Diciembre 2025'!$D$117</f>
        <v>47799.56</v>
      </c>
    </row>
    <row r="874" spans="6:8">
      <c r="F874" s="203">
        <v>46017</v>
      </c>
      <c r="G874" s="262" t="s">
        <v>1194</v>
      </c>
      <c r="H874" s="22">
        <f>'Flujo Caja Diciembre 2025'!$D$118</f>
        <v>27579.66</v>
      </c>
    </row>
    <row r="875" spans="6:8">
      <c r="F875" s="203">
        <v>46017</v>
      </c>
      <c r="G875" s="262" t="s">
        <v>1387</v>
      </c>
      <c r="H875" s="22">
        <f>'Flujo Caja Diciembre 2025'!$D$128</f>
        <v>433.25</v>
      </c>
    </row>
    <row r="876" spans="6:8">
      <c r="F876" s="203">
        <v>46017</v>
      </c>
      <c r="G876" s="262" t="s">
        <v>1388</v>
      </c>
      <c r="H876" s="22">
        <f>'Flujo Caja Diciembre 2025'!$D$129</f>
        <v>1151.99</v>
      </c>
    </row>
    <row r="877" spans="6:8">
      <c r="F877" s="203">
        <v>46017</v>
      </c>
      <c r="G877" s="262" t="s">
        <v>1389</v>
      </c>
      <c r="H877" s="22">
        <f>'Flujo Caja Diciembre 2025'!$D$130</f>
        <v>7722.24</v>
      </c>
    </row>
    <row r="878" spans="6:8">
      <c r="F878" s="203">
        <v>46020</v>
      </c>
      <c r="G878" s="262" t="s">
        <v>1308</v>
      </c>
      <c r="H878" s="22">
        <f>'Flujo Caja Diciembre 2025'!$D$125</f>
        <v>28788.51</v>
      </c>
    </row>
    <row r="879" spans="6:8">
      <c r="F879" s="203">
        <v>46020</v>
      </c>
      <c r="G879" s="262" t="s">
        <v>1392</v>
      </c>
      <c r="H879" s="22">
        <f>'Flujo Caja Diciembre 2025'!$D$126</f>
        <v>16736.669999999998</v>
      </c>
    </row>
    <row r="880" spans="6:8">
      <c r="F880" s="203">
        <v>46020</v>
      </c>
      <c r="G880" s="262" t="s">
        <v>1393</v>
      </c>
      <c r="H880" s="22">
        <f>10400*7.8</f>
        <v>81120</v>
      </c>
    </row>
    <row r="881" spans="2:10">
      <c r="F881" s="203">
        <v>46020</v>
      </c>
      <c r="G881" s="262" t="s">
        <v>414</v>
      </c>
      <c r="H881" s="22">
        <f>'Flujo Caja Diciembre 2025'!$D$87</f>
        <v>54673.09</v>
      </c>
    </row>
    <row r="882" spans="2:10">
      <c r="F882" s="203">
        <v>46020</v>
      </c>
      <c r="G882" s="262" t="s">
        <v>416</v>
      </c>
      <c r="H882" s="22">
        <f>'Flujo Caja Diciembre 2025'!$D$88</f>
        <v>67852.600000000006</v>
      </c>
    </row>
    <row r="883" spans="2:10">
      <c r="G883" s="7" t="s">
        <v>601</v>
      </c>
      <c r="H883" s="13">
        <f>SUM(H826:H882)</f>
        <v>1300856.0300000003</v>
      </c>
    </row>
    <row r="884" spans="2:10">
      <c r="G884" s="7" t="s">
        <v>602</v>
      </c>
      <c r="H884" s="13">
        <f>D850-H883</f>
        <v>224335.36089999927</v>
      </c>
      <c r="J884" s="12"/>
    </row>
    <row r="886" spans="2:10" ht="18.75">
      <c r="B886" s="5" t="s">
        <v>34</v>
      </c>
      <c r="C886" s="5" t="s">
        <v>35</v>
      </c>
      <c r="D886" s="5" t="s">
        <v>15</v>
      </c>
      <c r="F886" s="5" t="s">
        <v>36</v>
      </c>
      <c r="G886" s="5" t="s">
        <v>35</v>
      </c>
      <c r="H886" s="5" t="s">
        <v>15</v>
      </c>
    </row>
    <row r="887" spans="2:10">
      <c r="B887" s="203">
        <v>46023</v>
      </c>
      <c r="C887" s="158" t="s">
        <v>49</v>
      </c>
      <c r="D887" s="22">
        <f>$H$884</f>
        <v>224335.36089999927</v>
      </c>
      <c r="F887" s="203">
        <v>45664</v>
      </c>
      <c r="G887" s="312" t="s">
        <v>1404</v>
      </c>
      <c r="H887" s="272">
        <v>4021.5</v>
      </c>
    </row>
    <row r="888" spans="2:10">
      <c r="B888" s="203">
        <v>46030</v>
      </c>
      <c r="C888" s="312" t="s">
        <v>1444</v>
      </c>
      <c r="D888" s="22">
        <f>'Flujo Caja Enero 2026'!$D$30</f>
        <v>14817.347312753996</v>
      </c>
      <c r="F888" s="203">
        <v>46030</v>
      </c>
      <c r="G888" s="312" t="s">
        <v>1413</v>
      </c>
      <c r="H888" s="272">
        <v>5929</v>
      </c>
    </row>
    <row r="889" spans="2:10" ht="30">
      <c r="B889" s="203">
        <v>46030</v>
      </c>
      <c r="C889" s="312" t="s">
        <v>1445</v>
      </c>
      <c r="D889" s="22">
        <f>'Flujo Caja Enero 2026'!$D$31</f>
        <v>50511.102687245999</v>
      </c>
      <c r="F889" s="203">
        <v>46031</v>
      </c>
      <c r="G889" s="262" t="s">
        <v>1414</v>
      </c>
      <c r="H889" s="272">
        <v>2983.05</v>
      </c>
    </row>
    <row r="890" spans="2:10">
      <c r="B890" s="203">
        <v>46038</v>
      </c>
      <c r="C890" s="277" t="s">
        <v>1473</v>
      </c>
      <c r="D890" s="22">
        <f>'Flujo Caja Enero 2026'!$D$14</f>
        <v>2001473.48</v>
      </c>
      <c r="F890" s="203">
        <v>46031</v>
      </c>
      <c r="G890" s="262" t="s">
        <v>1408</v>
      </c>
      <c r="H890" s="272">
        <v>16605.96</v>
      </c>
    </row>
    <row r="891" spans="2:10" ht="17.100000000000001" customHeight="1">
      <c r="B891" s="203">
        <v>46042</v>
      </c>
      <c r="C891" s="400" t="s">
        <v>1449</v>
      </c>
      <c r="D891" s="22">
        <f>'Flujo Caja Enero 2026'!$D$21</f>
        <v>333163.8</v>
      </c>
      <c r="F891" s="203">
        <v>46031</v>
      </c>
      <c r="G891" s="312" t="s">
        <v>1415</v>
      </c>
      <c r="H891" s="272">
        <v>32487.7</v>
      </c>
    </row>
    <row r="892" spans="2:10" ht="17.100000000000001" customHeight="1">
      <c r="B892" s="203">
        <v>46042</v>
      </c>
      <c r="C892" s="277" t="s">
        <v>1450</v>
      </c>
      <c r="D892" s="22">
        <f>'Flujo Caja Enero 2026'!$D$22</f>
        <v>47100.124821340258</v>
      </c>
      <c r="F892" s="203">
        <v>46036</v>
      </c>
      <c r="G892" s="312" t="s">
        <v>1416</v>
      </c>
      <c r="H892" s="272">
        <v>106.73</v>
      </c>
    </row>
    <row r="893" spans="2:10" ht="17.100000000000001" customHeight="1">
      <c r="B893" s="203">
        <v>46042</v>
      </c>
      <c r="C893" s="277" t="s">
        <v>1451</v>
      </c>
      <c r="D893" s="22">
        <f>'Flujo Caja Enero 2026'!$D$23</f>
        <v>11174.817907088613</v>
      </c>
      <c r="F893" s="203">
        <v>46038</v>
      </c>
      <c r="G893" s="312" t="s">
        <v>1410</v>
      </c>
      <c r="H893" s="272">
        <f>'Flujo Caja Enero 2026'!$D$41</f>
        <v>71533.039999999994</v>
      </c>
    </row>
    <row r="894" spans="2:10" ht="17.100000000000001" customHeight="1">
      <c r="B894" s="203">
        <v>46042</v>
      </c>
      <c r="C894" s="277" t="s">
        <v>1452</v>
      </c>
      <c r="D894" s="22">
        <f>'Flujo Caja Enero 2026'!$D$24</f>
        <v>26290.315008967784</v>
      </c>
      <c r="F894" s="203">
        <v>46038</v>
      </c>
      <c r="G894" s="262" t="s">
        <v>1148</v>
      </c>
      <c r="H894" s="272">
        <f>'Flujo Caja Enero 2026'!$D$42</f>
        <v>1896.44</v>
      </c>
    </row>
    <row r="895" spans="2:10" ht="17.100000000000001" customHeight="1">
      <c r="B895" s="203">
        <v>46042</v>
      </c>
      <c r="C895" s="277" t="s">
        <v>1453</v>
      </c>
      <c r="D895" s="22">
        <f>'Flujo Caja Enero 2026'!$D$25</f>
        <v>18782.261640084762</v>
      </c>
      <c r="F895" s="203">
        <v>46038</v>
      </c>
      <c r="G895" s="312" t="s">
        <v>1417</v>
      </c>
      <c r="H895" s="272">
        <f>'Flujo Caja Enero 2026'!$D$117</f>
        <v>4931.8599999999997</v>
      </c>
    </row>
    <row r="896" spans="2:10" ht="17.100000000000001" customHeight="1">
      <c r="B896" s="203">
        <v>46042</v>
      </c>
      <c r="C896" s="277" t="s">
        <v>1454</v>
      </c>
      <c r="D896" s="22">
        <f>'Flujo Caja Enero 2026'!$D$26</f>
        <v>46186.313185058447</v>
      </c>
      <c r="F896" s="203">
        <v>46038</v>
      </c>
      <c r="G896" s="262" t="s">
        <v>1418</v>
      </c>
      <c r="H896" s="272">
        <f>'Flujo Caja Enero 2026'!$D$39</f>
        <v>125949.72</v>
      </c>
    </row>
    <row r="897" spans="2:10" ht="17.100000000000001" customHeight="1">
      <c r="B897" s="203">
        <v>46042</v>
      </c>
      <c r="C897" s="277" t="s">
        <v>1455</v>
      </c>
      <c r="D897" s="22">
        <f>'Flujo Caja Enero 2026'!$D$27</f>
        <v>101796.63305119747</v>
      </c>
      <c r="F897" s="203">
        <v>46038</v>
      </c>
      <c r="G897" s="262" t="s">
        <v>1419</v>
      </c>
      <c r="H897" s="272">
        <f>'Flujo Caja Enero 2026'!$D$115</f>
        <v>35590.800000000003</v>
      </c>
    </row>
    <row r="898" spans="2:10" ht="17.100000000000001" customHeight="1">
      <c r="B898" s="203">
        <v>46042</v>
      </c>
      <c r="C898" s="277" t="s">
        <v>1456</v>
      </c>
      <c r="D898" s="22">
        <f>'Flujo Caja Enero 2026'!$D$28</f>
        <v>14432.884386262653</v>
      </c>
      <c r="F898" s="203">
        <v>46041</v>
      </c>
      <c r="G898" s="262" t="s">
        <v>1422</v>
      </c>
      <c r="H898" s="272">
        <f>'Flujo Caja Enero 2026'!$D$96</f>
        <v>1276620.51</v>
      </c>
      <c r="I898" s="12"/>
      <c r="J898" s="12"/>
    </row>
    <row r="899" spans="2:10" ht="17.100000000000001" customHeight="1">
      <c r="B899" s="203">
        <v>46044</v>
      </c>
      <c r="C899" s="277" t="s">
        <v>1481</v>
      </c>
      <c r="D899" s="22">
        <f>'Flujo Caja Enero 2026'!$D$15</f>
        <v>47499.870434189237</v>
      </c>
      <c r="F899" s="203">
        <v>46041</v>
      </c>
      <c r="G899" s="262" t="s">
        <v>1423</v>
      </c>
      <c r="H899" s="272">
        <f>'Flujo Caja Enero 2026'!$D$97</f>
        <v>509459.14</v>
      </c>
      <c r="I899" s="12"/>
      <c r="J899" s="12"/>
    </row>
    <row r="900" spans="2:10" ht="17.100000000000001" customHeight="1">
      <c r="B900" s="203">
        <v>46044</v>
      </c>
      <c r="C900" s="277" t="s">
        <v>1482</v>
      </c>
      <c r="D900" s="22">
        <f>'Flujo Caja Enero 2026'!$D$16</f>
        <v>11853.139051194983</v>
      </c>
      <c r="F900" s="203">
        <v>46041</v>
      </c>
      <c r="G900" s="262" t="s">
        <v>640</v>
      </c>
      <c r="H900" s="272">
        <f>'Flujo Caja Enero 2026'!$D$100</f>
        <v>1500</v>
      </c>
    </row>
    <row r="901" spans="2:10" ht="17.100000000000001" customHeight="1">
      <c r="B901" s="203">
        <v>46044</v>
      </c>
      <c r="C901" s="277" t="s">
        <v>1483</v>
      </c>
      <c r="D901" s="22">
        <f>'Flujo Caja Enero 2026'!$D$17</f>
        <v>26634.415491106265</v>
      </c>
      <c r="F901" s="203">
        <v>46042</v>
      </c>
      <c r="G901" s="262" t="s">
        <v>1471</v>
      </c>
      <c r="H901" s="272">
        <v>78000</v>
      </c>
      <c r="J901" s="12"/>
    </row>
    <row r="902" spans="2:10" ht="17.100000000000001" customHeight="1">
      <c r="B902" s="203">
        <v>46044</v>
      </c>
      <c r="C902" s="277" t="s">
        <v>1484</v>
      </c>
      <c r="D902" s="22">
        <f>'Flujo Caja Enero 2026'!$D$18</f>
        <v>19054.953992890787</v>
      </c>
      <c r="F902" s="203">
        <v>46042</v>
      </c>
      <c r="G902" s="262" t="s">
        <v>1472</v>
      </c>
      <c r="H902" s="272">
        <f>'Flujo Caja Enero 2026'!$D$90</f>
        <v>27808.46</v>
      </c>
    </row>
    <row r="903" spans="2:10" ht="17.100000000000001" customHeight="1">
      <c r="B903" s="203">
        <v>46044</v>
      </c>
      <c r="C903" s="277" t="s">
        <v>1485</v>
      </c>
      <c r="D903" s="22">
        <f>'Flujo Caja Enero 2026'!$D$19</f>
        <v>69889.11</v>
      </c>
      <c r="F903" s="203">
        <v>46049</v>
      </c>
      <c r="G903" s="262" t="s">
        <v>1480</v>
      </c>
      <c r="H903" s="272">
        <f>'Flujo Caja Enero 2026'!$D$43</f>
        <v>9771.49</v>
      </c>
    </row>
    <row r="904" spans="2:10" ht="17.100000000000001" customHeight="1">
      <c r="B904" s="203">
        <v>46044</v>
      </c>
      <c r="C904" s="400" t="s">
        <v>1486</v>
      </c>
      <c r="D904" s="22">
        <f>'Flujo Caja Enero 2026'!$D$20</f>
        <v>122006.15359239807</v>
      </c>
      <c r="F904" s="203">
        <v>46049</v>
      </c>
      <c r="G904" s="262" t="s">
        <v>1487</v>
      </c>
      <c r="H904" s="272">
        <f>'Flujo Caja Enero 2026'!$D$44</f>
        <v>11548</v>
      </c>
    </row>
    <row r="905" spans="2:10">
      <c r="B905" s="203">
        <v>46048</v>
      </c>
      <c r="C905" s="312" t="s">
        <v>1522</v>
      </c>
      <c r="D905" s="347">
        <v>136499.65</v>
      </c>
      <c r="F905" s="203">
        <v>46049</v>
      </c>
      <c r="G905" s="262" t="s">
        <v>1479</v>
      </c>
      <c r="H905" s="272">
        <f>'Flujo Caja Enero 2026'!$D$47</f>
        <v>5373.2</v>
      </c>
    </row>
    <row r="906" spans="2:10" ht="17.100000000000001" customHeight="1">
      <c r="B906" s="203">
        <v>46050</v>
      </c>
      <c r="C906" s="400" t="s">
        <v>1492</v>
      </c>
      <c r="D906" s="22">
        <f>'Diferencia en cambio'!$I$234</f>
        <v>462707.18</v>
      </c>
      <c r="F906" s="203">
        <v>46050</v>
      </c>
      <c r="G906" s="262" t="s">
        <v>1475</v>
      </c>
      <c r="H906" s="272">
        <f>'Flujo Caja Enero 2026'!$D$48</f>
        <v>475</v>
      </c>
    </row>
    <row r="907" spans="2:10" ht="17.100000000000001" customHeight="1">
      <c r="B907" s="203">
        <v>46051</v>
      </c>
      <c r="C907" s="400" t="s">
        <v>1519</v>
      </c>
      <c r="D907" s="22">
        <v>133.46</v>
      </c>
      <c r="F907" s="203">
        <v>46050</v>
      </c>
      <c r="G907" s="262" t="s">
        <v>1476</v>
      </c>
      <c r="H907" s="272">
        <f>'Flujo Caja Enero 2026'!$D$49</f>
        <v>926.32</v>
      </c>
    </row>
    <row r="908" spans="2:10" ht="17.100000000000001" customHeight="1">
      <c r="B908" s="203"/>
      <c r="C908" s="400"/>
      <c r="D908" s="22"/>
      <c r="F908" s="203">
        <v>46050</v>
      </c>
      <c r="G908" s="262" t="s">
        <v>1477</v>
      </c>
      <c r="H908" s="272">
        <f>'Flujo Caja Enero 2026'!$D$50</f>
        <v>1368.42</v>
      </c>
    </row>
    <row r="909" spans="2:10">
      <c r="B909" s="203"/>
      <c r="C909" s="312"/>
      <c r="D909" s="22"/>
      <c r="F909" s="203">
        <v>46050</v>
      </c>
      <c r="G909" s="262" t="s">
        <v>1489</v>
      </c>
      <c r="H909" s="272">
        <f>SUM('Flujo Caja Enero 2026'!$D$53:$D$55)</f>
        <v>3510.75</v>
      </c>
    </row>
    <row r="910" spans="2:10">
      <c r="B910" s="203"/>
      <c r="C910" s="312"/>
      <c r="D910" s="22"/>
      <c r="F910" s="383">
        <v>46050</v>
      </c>
      <c r="G910" s="384" t="s">
        <v>417</v>
      </c>
      <c r="H910" s="272">
        <f>'Flujo Caja Enero 2026'!$D$74</f>
        <v>10731</v>
      </c>
    </row>
    <row r="911" spans="2:10">
      <c r="B911" s="203"/>
      <c r="C911" s="312"/>
      <c r="D911" s="22"/>
      <c r="F911" s="383">
        <v>46050</v>
      </c>
      <c r="G911" s="384" t="s">
        <v>409</v>
      </c>
      <c r="H911" s="272">
        <f>'Flujo Caja Enero 2026'!$D$75</f>
        <v>14425</v>
      </c>
    </row>
    <row r="912" spans="2:10">
      <c r="B912" s="203"/>
      <c r="C912" s="312"/>
      <c r="D912" s="22"/>
      <c r="F912" s="383">
        <v>46050</v>
      </c>
      <c r="G912" s="384" t="s">
        <v>412</v>
      </c>
      <c r="H912" s="272">
        <f>'Flujo Caja Enero 2026'!$D$78</f>
        <v>8678</v>
      </c>
    </row>
    <row r="913" spans="2:8">
      <c r="B913" s="203"/>
      <c r="C913" s="312"/>
      <c r="D913" s="22"/>
      <c r="F913" s="383">
        <v>46050</v>
      </c>
      <c r="G913" s="384" t="s">
        <v>413</v>
      </c>
      <c r="H913" s="272">
        <f>'Flujo Caja Enero 2026'!$D$79</f>
        <v>3943</v>
      </c>
    </row>
    <row r="914" spans="2:8">
      <c r="B914" s="203"/>
      <c r="C914" s="312"/>
      <c r="D914" s="22"/>
      <c r="F914" s="383">
        <v>46050</v>
      </c>
      <c r="G914" s="384" t="s">
        <v>415</v>
      </c>
      <c r="H914" s="272">
        <f>'Flujo Caja Enero 2026'!$D$80</f>
        <v>26568</v>
      </c>
    </row>
    <row r="915" spans="2:8">
      <c r="B915" s="203"/>
      <c r="C915" s="312"/>
      <c r="D915" s="22"/>
      <c r="F915" s="383">
        <v>46050</v>
      </c>
      <c r="G915" s="384" t="s">
        <v>410</v>
      </c>
      <c r="H915" s="272">
        <f>'Flujo Caja Enero 2026'!$D$81</f>
        <v>3943</v>
      </c>
    </row>
    <row r="916" spans="2:8">
      <c r="B916" s="203"/>
      <c r="C916" s="312"/>
      <c r="D916" s="22"/>
      <c r="F916" s="383">
        <v>46050</v>
      </c>
      <c r="G916" s="384" t="s">
        <v>844</v>
      </c>
      <c r="H916" s="272">
        <f>'Flujo Caja Enero 2026'!$D$76</f>
        <v>24923</v>
      </c>
    </row>
    <row r="917" spans="2:8">
      <c r="B917" s="203"/>
      <c r="C917" s="277"/>
      <c r="D917" s="22"/>
      <c r="F917" s="383">
        <v>46050</v>
      </c>
      <c r="G917" s="384" t="s">
        <v>845</v>
      </c>
      <c r="H917" s="272">
        <f>'Flujo Caja Enero 2026'!$D$82</f>
        <v>24923.65</v>
      </c>
    </row>
    <row r="918" spans="2:8">
      <c r="C918" s="7" t="s">
        <v>46</v>
      </c>
      <c r="D918" s="13">
        <f>SUM(D887:D917)</f>
        <v>3786342.3734617783</v>
      </c>
      <c r="F918" s="383">
        <v>46050</v>
      </c>
      <c r="G918" s="384" t="s">
        <v>418</v>
      </c>
      <c r="H918" s="272">
        <f>'Flujo Caja Enero 2026'!$D$84</f>
        <v>33745.199999999997</v>
      </c>
    </row>
    <row r="919" spans="2:8">
      <c r="F919" s="383">
        <v>46050</v>
      </c>
      <c r="G919" s="384" t="s">
        <v>1490</v>
      </c>
      <c r="H919" s="272">
        <f>'Flujo Caja Enero 2026'!$D$77</f>
        <v>17324.25</v>
      </c>
    </row>
    <row r="920" spans="2:8">
      <c r="D920" s="12"/>
      <c r="F920" s="383">
        <v>46050</v>
      </c>
      <c r="G920" s="384" t="s">
        <v>1491</v>
      </c>
      <c r="H920" s="272">
        <f>'Flujo Caja Enero 2026'!D83</f>
        <v>22787.78</v>
      </c>
    </row>
    <row r="921" spans="2:8">
      <c r="D921" s="12"/>
      <c r="F921" s="386">
        <v>46050</v>
      </c>
      <c r="G921" s="387" t="str">
        <f>'Flujo Caja Enero 2026'!C64</f>
        <v>Victor Jose Moscoso Portillo -Global Expansion-CC015</v>
      </c>
      <c r="H921" s="272">
        <f>'Flujo Caja Enero 2026'!$D$64</f>
        <v>67911.929999999993</v>
      </c>
    </row>
    <row r="922" spans="2:8">
      <c r="D922" s="12"/>
      <c r="F922" s="386">
        <v>46050</v>
      </c>
      <c r="G922" s="387" t="str">
        <f>'Flujo Caja Enero 2026'!C65</f>
        <v>Hector Augusto Castillo Luna-Iberia-CC013</v>
      </c>
      <c r="H922" s="272">
        <f>'Flujo Caja Enero 2026'!$D$65</f>
        <v>18679.5</v>
      </c>
    </row>
    <row r="923" spans="2:8">
      <c r="D923" s="12"/>
      <c r="F923" s="386">
        <v>46050</v>
      </c>
      <c r="G923" s="387" t="str">
        <f>'Flujo Caja Enero 2026'!C66</f>
        <v>Stephanie Rodriguez Lopez-RF-Czarnikow-CC002</v>
      </c>
      <c r="H923" s="272">
        <f>'Flujo Caja Enero 2026'!$D$66</f>
        <v>28786.83</v>
      </c>
    </row>
    <row r="924" spans="2:8">
      <c r="D924" s="12"/>
      <c r="F924" s="386">
        <v>46050</v>
      </c>
      <c r="G924" s="387" t="str">
        <f>'Flujo Caja Enero 2026'!C67</f>
        <v>Carlos Alejandro Montiel Lorenzana-Archell -CC014</v>
      </c>
      <c r="H924" s="272">
        <f>'Flujo Caja Enero 2026'!$D$67</f>
        <v>17874</v>
      </c>
    </row>
    <row r="925" spans="2:8">
      <c r="D925" s="12"/>
      <c r="F925" s="386">
        <v>46050</v>
      </c>
      <c r="G925" s="387" t="str">
        <f>'Flujo Caja Enero 2026'!C68</f>
        <v>Liza Marlene Torres Valdes  -Vinmar international -CC016</v>
      </c>
      <c r="H925" s="272">
        <f>'Flujo Caja Enero 2026'!$D$68</f>
        <v>13622.51</v>
      </c>
    </row>
    <row r="926" spans="2:8">
      <c r="D926" s="12"/>
      <c r="F926" s="386">
        <v>46050</v>
      </c>
      <c r="G926" s="387" t="str">
        <f>'Flujo Caja Enero 2026'!C69</f>
        <v>Douglas Miguel Villa Fuerte Leiva  -Archell -CC014</v>
      </c>
      <c r="H926" s="272">
        <f>'Flujo Caja Enero 2026'!$D$69</f>
        <v>9026.59</v>
      </c>
    </row>
    <row r="927" spans="2:8">
      <c r="D927" s="12"/>
      <c r="F927" s="386">
        <v>46050</v>
      </c>
      <c r="G927" s="387" t="str">
        <f>'Flujo Caja Enero 2026'!C70</f>
        <v>Javier Ricardo Martinez Cruz-Suol Innovations Ltd (RF)</v>
      </c>
      <c r="H927" s="272">
        <f>'Flujo Caja Enero 2026'!$D$70</f>
        <v>65446.400000000001</v>
      </c>
    </row>
    <row r="928" spans="2:8">
      <c r="D928" s="12"/>
      <c r="F928" s="386">
        <v>46050</v>
      </c>
      <c r="G928" s="387" t="str">
        <f>'Flujo Caja Enero 2026'!C71</f>
        <v>Michael scott Edgar  -Basis Global Technologies -CC011</v>
      </c>
      <c r="H928" s="272">
        <f>'Flujo Caja Enero 2026'!$D$71</f>
        <v>34601.33</v>
      </c>
    </row>
    <row r="929" spans="4:8">
      <c r="D929" s="12"/>
      <c r="F929" s="386">
        <v>46050</v>
      </c>
      <c r="G929" s="387" t="str">
        <f>'Flujo Caja Enero 2026'!C72</f>
        <v>Joshua Esteban Lopez Fernandez   -Highspring-CC017</v>
      </c>
      <c r="H929" s="272">
        <f>'Flujo Caja Enero 2026'!$D$72</f>
        <v>11431.49</v>
      </c>
    </row>
    <row r="930" spans="4:8">
      <c r="D930" s="12"/>
      <c r="F930" s="386">
        <v>46050</v>
      </c>
      <c r="G930" s="387" t="str">
        <f>'Flujo Caja Enero 2026'!C73</f>
        <v>María Fernanda Robles Solis -Oportunity-CC006</v>
      </c>
      <c r="H930" s="272">
        <f>'Flujo Caja Enero 2026'!$D$73</f>
        <v>9658.43</v>
      </c>
    </row>
    <row r="931" spans="4:8">
      <c r="D931" s="12"/>
      <c r="F931" s="203">
        <v>46050</v>
      </c>
      <c r="G931" s="262" t="s">
        <v>1496</v>
      </c>
      <c r="H931" s="272">
        <f>'Flujo Caja Enero 2026'!$D$105</f>
        <v>10512.86</v>
      </c>
    </row>
    <row r="932" spans="4:8">
      <c r="D932" s="12"/>
      <c r="F932" s="203">
        <v>46050</v>
      </c>
      <c r="G932" s="262" t="s">
        <v>1497</v>
      </c>
      <c r="H932" s="272">
        <f>'Flujo Caja Enero 2026'!$D$106</f>
        <v>37124.620000000003</v>
      </c>
    </row>
    <row r="933" spans="4:8">
      <c r="D933" s="12"/>
      <c r="F933" s="203">
        <v>46050</v>
      </c>
      <c r="G933" s="262" t="s">
        <v>1498</v>
      </c>
      <c r="H933" s="272">
        <f>'Flujo Caja Enero 2026'!$D$107</f>
        <v>15877.07</v>
      </c>
    </row>
    <row r="934" spans="4:8">
      <c r="D934" s="12"/>
      <c r="F934" s="203">
        <v>46050</v>
      </c>
      <c r="G934" s="262" t="s">
        <v>1499</v>
      </c>
      <c r="H934" s="272">
        <f>'Flujo Caja Enero 2026'!$D$108</f>
        <v>15256.07</v>
      </c>
    </row>
    <row r="935" spans="4:8">
      <c r="D935" s="12"/>
      <c r="F935" s="203">
        <v>46050</v>
      </c>
      <c r="G935" s="262" t="s">
        <v>1500</v>
      </c>
      <c r="H935" s="272">
        <f>'Flujo Caja Enero 2026'!$D$109</f>
        <v>31396.66</v>
      </c>
    </row>
    <row r="936" spans="4:8">
      <c r="D936" s="12"/>
      <c r="F936" s="203">
        <v>46050</v>
      </c>
      <c r="G936" s="262" t="s">
        <v>1501</v>
      </c>
      <c r="H936" s="272">
        <f>'Flujo Caja Enero 2026'!$D$110</f>
        <v>16081.52</v>
      </c>
    </row>
    <row r="937" spans="4:8">
      <c r="D937" s="12"/>
      <c r="F937" s="203">
        <v>46050</v>
      </c>
      <c r="G937" s="262" t="s">
        <v>1502</v>
      </c>
      <c r="H937" s="272">
        <f>'Flujo Caja Enero 2026'!$D$111</f>
        <v>46398.52</v>
      </c>
    </row>
    <row r="938" spans="4:8">
      <c r="D938" s="12"/>
      <c r="F938" s="203">
        <v>46050</v>
      </c>
      <c r="G938" s="262" t="s">
        <v>1503</v>
      </c>
      <c r="H938" s="272">
        <f>'Flujo Caja Enero 2026'!D112</f>
        <v>47485.65</v>
      </c>
    </row>
    <row r="939" spans="4:8">
      <c r="D939" s="12"/>
      <c r="F939" s="203">
        <v>46051</v>
      </c>
      <c r="G939" s="262" t="s">
        <v>1504</v>
      </c>
      <c r="H939" s="272">
        <f>'Flujo Caja Enero 2026'!$D$91</f>
        <v>472.3</v>
      </c>
    </row>
    <row r="940" spans="4:8">
      <c r="F940" s="203">
        <v>46051</v>
      </c>
      <c r="G940" s="262" t="s">
        <v>1505</v>
      </c>
      <c r="H940" s="272">
        <f>'Flujo Caja Enero 2026'!$D$92</f>
        <v>8539.4599999999991</v>
      </c>
    </row>
    <row r="941" spans="4:8">
      <c r="F941" s="203">
        <v>46051</v>
      </c>
      <c r="G941" s="262" t="s">
        <v>1302</v>
      </c>
      <c r="H941" s="272">
        <f>10000*7.8</f>
        <v>78000</v>
      </c>
    </row>
    <row r="942" spans="4:8">
      <c r="F942" s="203">
        <v>46051</v>
      </c>
      <c r="G942" s="262" t="s">
        <v>1508</v>
      </c>
      <c r="H942" s="272">
        <f>'Flujo Caja Enero 2026'!$D$121</f>
        <v>619.53</v>
      </c>
    </row>
    <row r="943" spans="4:8">
      <c r="F943" s="203">
        <v>46051</v>
      </c>
      <c r="G943" s="262" t="s">
        <v>1509</v>
      </c>
      <c r="H943" s="272">
        <f>'Flujo Caja Enero 2026'!$D$122</f>
        <v>2254.9</v>
      </c>
    </row>
    <row r="944" spans="4:8">
      <c r="F944" s="203">
        <v>46051</v>
      </c>
      <c r="G944" s="262" t="s">
        <v>1506</v>
      </c>
      <c r="H944" s="272">
        <f>'Flujo Caja Enero 2026'!$D$123</f>
        <v>42822.54</v>
      </c>
    </row>
    <row r="945" spans="2:10">
      <c r="F945" s="203">
        <v>46052</v>
      </c>
      <c r="G945" s="262" t="s">
        <v>1515</v>
      </c>
      <c r="H945" s="272">
        <f>'Flujo Caja Enero 2026'!$D$126</f>
        <v>499.41</v>
      </c>
    </row>
    <row r="946" spans="2:10">
      <c r="F946" s="203">
        <v>46052</v>
      </c>
      <c r="G946" s="262" t="s">
        <v>1516</v>
      </c>
      <c r="H946" s="272">
        <f>'Flujo Caja Enero 2026'!$D$127</f>
        <v>1151.99</v>
      </c>
    </row>
    <row r="947" spans="2:10">
      <c r="F947" s="203">
        <v>46052</v>
      </c>
      <c r="G947" s="262" t="s">
        <v>1517</v>
      </c>
      <c r="H947" s="272">
        <f>'Flujo Caja Enero 2026'!$D$128</f>
        <v>4042.28</v>
      </c>
    </row>
    <row r="948" spans="2:10">
      <c r="F948" s="203">
        <v>46052</v>
      </c>
      <c r="G948" s="262" t="s">
        <v>1518</v>
      </c>
      <c r="H948" s="272">
        <f>'Flujo Caja Enero 2026'!$D$113</f>
        <v>30076.93</v>
      </c>
    </row>
    <row r="949" spans="2:10">
      <c r="F949" s="203">
        <v>46052</v>
      </c>
      <c r="G949" s="262" t="s">
        <v>1520</v>
      </c>
      <c r="H949" s="272">
        <f>'Flujo Caja Enero 2026'!D85</f>
        <v>3474.66</v>
      </c>
    </row>
    <row r="950" spans="2:10">
      <c r="F950" s="203">
        <v>46052</v>
      </c>
      <c r="G950" s="262" t="s">
        <v>1521</v>
      </c>
      <c r="H950" s="272">
        <f>'Flujo Caja Enero 2026'!$D$98</f>
        <v>56678.93</v>
      </c>
    </row>
    <row r="951" spans="2:10">
      <c r="F951" s="203"/>
      <c r="G951" s="262"/>
      <c r="H951" s="22"/>
    </row>
    <row r="952" spans="2:10">
      <c r="F952" s="203"/>
      <c r="G952" s="262"/>
      <c r="H952" s="22"/>
    </row>
    <row r="953" spans="2:10">
      <c r="F953" s="203"/>
      <c r="G953" s="262"/>
      <c r="H953" s="22"/>
    </row>
    <row r="954" spans="2:10">
      <c r="F954" s="203"/>
      <c r="G954" s="262"/>
      <c r="H954" s="22"/>
    </row>
    <row r="955" spans="2:10">
      <c r="F955" s="203"/>
      <c r="G955" s="7" t="s">
        <v>47</v>
      </c>
      <c r="H955" s="13">
        <f>SUM(H887:H954)</f>
        <v>3146193.8800000004</v>
      </c>
    </row>
    <row r="956" spans="2:10">
      <c r="G956" s="7" t="s">
        <v>632</v>
      </c>
      <c r="H956" s="13">
        <f>D918-H955</f>
        <v>640148.49346177792</v>
      </c>
      <c r="J956" s="12"/>
    </row>
    <row r="958" spans="2:10" ht="18.75">
      <c r="B958" s="5" t="s">
        <v>34</v>
      </c>
      <c r="C958" s="5" t="s">
        <v>35</v>
      </c>
      <c r="D958" s="5" t="s">
        <v>15</v>
      </c>
      <c r="F958" s="5" t="s">
        <v>36</v>
      </c>
      <c r="G958" s="5" t="s">
        <v>35</v>
      </c>
      <c r="H958" s="5" t="s">
        <v>15</v>
      </c>
    </row>
    <row r="959" spans="2:10" ht="30">
      <c r="B959" s="203">
        <v>46054</v>
      </c>
      <c r="C959" s="158" t="s">
        <v>49</v>
      </c>
      <c r="D959" s="22">
        <f>$H$956</f>
        <v>640148.49346177792</v>
      </c>
      <c r="F959" s="203">
        <v>46059</v>
      </c>
      <c r="G959" s="312" t="s">
        <v>1536</v>
      </c>
      <c r="H959" s="272">
        <v>15600</v>
      </c>
    </row>
    <row r="960" spans="2:10" ht="30">
      <c r="B960" s="203">
        <v>46056</v>
      </c>
      <c r="C960" s="312" t="s">
        <v>1534</v>
      </c>
      <c r="D960" s="22">
        <f>'Diferencia en cambio'!$I$235</f>
        <v>8536.43</v>
      </c>
      <c r="F960" s="203">
        <v>46065</v>
      </c>
      <c r="G960" s="312" t="s">
        <v>1540</v>
      </c>
      <c r="H960" s="272">
        <f>117000</f>
        <v>117000</v>
      </c>
    </row>
    <row r="961" spans="2:8">
      <c r="B961" s="203">
        <v>46059</v>
      </c>
      <c r="C961" s="383" t="s">
        <v>1537</v>
      </c>
      <c r="D961" s="385">
        <v>38892.15</v>
      </c>
      <c r="F961" s="203">
        <v>46065</v>
      </c>
      <c r="G961" s="262" t="s">
        <v>1544</v>
      </c>
      <c r="H961" s="272">
        <f>'Flujo Caja Febrero 2026'!$D$37</f>
        <v>95354.57</v>
      </c>
    </row>
    <row r="962" spans="2:8">
      <c r="B962" s="203">
        <v>46070</v>
      </c>
      <c r="C962" s="277" t="s">
        <v>1571</v>
      </c>
      <c r="D962" s="22">
        <f>'Diferencia en cambio'!$I$244</f>
        <v>12508.65</v>
      </c>
      <c r="F962" s="203">
        <v>46065</v>
      </c>
      <c r="G962" s="312" t="s">
        <v>1547</v>
      </c>
      <c r="H962" s="272">
        <f>'Flujo Caja Febrero 2026'!$D$106</f>
        <v>51817.7</v>
      </c>
    </row>
    <row r="963" spans="2:8">
      <c r="B963" s="203">
        <v>46071</v>
      </c>
      <c r="C963" s="277" t="s">
        <v>1574</v>
      </c>
      <c r="D963" s="22">
        <f>'Diferencia en cambio'!I246</f>
        <v>11068.0366590389</v>
      </c>
      <c r="F963" s="203">
        <v>46065</v>
      </c>
      <c r="G963" s="312" t="s">
        <v>1545</v>
      </c>
      <c r="H963" s="272">
        <f>'Flujo Caja Febrero 2026'!$D$40</f>
        <v>2759</v>
      </c>
    </row>
    <row r="964" spans="2:8" ht="30">
      <c r="B964" s="203">
        <v>46071</v>
      </c>
      <c r="C964" s="277" t="s">
        <v>1575</v>
      </c>
      <c r="D964" s="22">
        <f>'Diferencia en cambio'!I247</f>
        <v>26039.097255656849</v>
      </c>
      <c r="F964" s="203">
        <v>46065</v>
      </c>
      <c r="G964" s="312" t="s">
        <v>1549</v>
      </c>
      <c r="H964" s="272">
        <f>'Flujo Caja Febrero 2026'!$D$41</f>
        <v>1034.6300000000001</v>
      </c>
    </row>
    <row r="965" spans="2:8" ht="30">
      <c r="B965" s="203">
        <v>46071</v>
      </c>
      <c r="C965" s="277" t="s">
        <v>1576</v>
      </c>
      <c r="D965" s="22">
        <f>'Diferencia en cambio'!I248</f>
        <v>18602.787275866955</v>
      </c>
      <c r="F965" s="203">
        <v>46065</v>
      </c>
      <c r="G965" s="312" t="s">
        <v>1551</v>
      </c>
      <c r="H965" s="272">
        <f>'Flujo Caja Febrero 2026'!$D$39</f>
        <v>21360.21</v>
      </c>
    </row>
    <row r="966" spans="2:8" ht="30">
      <c r="B966" s="203">
        <v>46071</v>
      </c>
      <c r="C966" s="277" t="s">
        <v>1577</v>
      </c>
      <c r="D966" s="22">
        <f>'Diferencia en cambio'!I249</f>
        <v>45248.091493606844</v>
      </c>
      <c r="F966" s="203">
        <v>46065</v>
      </c>
      <c r="G966" s="262" t="s">
        <v>1548</v>
      </c>
      <c r="H966" s="272">
        <f>'Flujo Caja Febrero 2026'!$D$108</f>
        <v>10360.56</v>
      </c>
    </row>
    <row r="967" spans="2:8">
      <c r="B967" s="203">
        <v>46071</v>
      </c>
      <c r="C967" s="277" t="s">
        <v>1578</v>
      </c>
      <c r="D967" s="22">
        <f>'Diferencia en cambio'!I250</f>
        <v>11524.127315830445</v>
      </c>
      <c r="F967" s="203">
        <v>46065</v>
      </c>
      <c r="G967" s="262" t="s">
        <v>1106</v>
      </c>
      <c r="H967" s="272">
        <f>'Flujo Caja Febrero 2026'!$D$94</f>
        <v>1500</v>
      </c>
    </row>
    <row r="968" spans="2:8">
      <c r="B968" s="203">
        <v>46072</v>
      </c>
      <c r="C968" s="277" t="s">
        <v>1579</v>
      </c>
      <c r="D968" s="22">
        <v>40674.51</v>
      </c>
      <c r="F968" s="203">
        <v>46065</v>
      </c>
      <c r="G968" s="262" t="s">
        <v>1554</v>
      </c>
      <c r="H968" s="272">
        <f>'Flujo Caja Febrero 2026'!$D$118</f>
        <v>37633.300000000003</v>
      </c>
    </row>
    <row r="969" spans="2:8">
      <c r="B969" s="203">
        <v>46073</v>
      </c>
      <c r="C969" s="277" t="s">
        <v>1580</v>
      </c>
      <c r="D969" s="22">
        <f>'Diferencia en cambio'!$I$237</f>
        <v>76371.940472617964</v>
      </c>
      <c r="F969" s="203">
        <v>46066</v>
      </c>
      <c r="G969" s="262" t="s">
        <v>1552</v>
      </c>
      <c r="H969" s="272">
        <f>'Flujo Caja Febrero 2026'!$D$89</f>
        <v>3916.49</v>
      </c>
    </row>
    <row r="970" spans="2:8">
      <c r="B970" s="203">
        <v>46073</v>
      </c>
      <c r="C970" s="277" t="s">
        <v>1581</v>
      </c>
      <c r="D970" s="22">
        <f>'Diferencia en cambio'!$I$238</f>
        <v>50603.369852995493</v>
      </c>
      <c r="F970" s="203">
        <v>46066</v>
      </c>
      <c r="G970" s="262" t="s">
        <v>1555</v>
      </c>
      <c r="H970" s="272">
        <f>'Flujo Caja Febrero 2026'!$D$90</f>
        <v>1500</v>
      </c>
    </row>
    <row r="971" spans="2:8" ht="30">
      <c r="B971" s="203">
        <v>46073</v>
      </c>
      <c r="C971" s="277" t="s">
        <v>1582</v>
      </c>
      <c r="D971" s="22">
        <f>'Diferencia en cambio'!$I$239</f>
        <v>12627.587693268239</v>
      </c>
      <c r="F971" s="203">
        <v>46076</v>
      </c>
      <c r="G971" s="262" t="s">
        <v>1587</v>
      </c>
      <c r="H971" s="272">
        <f>'Flujo Caja Febrero 2026'!$D$45</f>
        <v>400</v>
      </c>
    </row>
    <row r="972" spans="2:8">
      <c r="B972" s="203">
        <v>46073</v>
      </c>
      <c r="C972" s="277" t="s">
        <v>1583</v>
      </c>
      <c r="D972" s="22">
        <f>'Diferencia en cambio'!$I$240</f>
        <v>28374.62851150634</v>
      </c>
      <c r="F972" s="203">
        <v>46076</v>
      </c>
      <c r="G972" s="262" t="s">
        <v>1588</v>
      </c>
      <c r="H972" s="272">
        <f>'Flujo Caja Febrero 2026'!$D$46</f>
        <v>926.32</v>
      </c>
    </row>
    <row r="973" spans="2:8" ht="30">
      <c r="B973" s="203">
        <v>46073</v>
      </c>
      <c r="C973" s="277" t="s">
        <v>1584</v>
      </c>
      <c r="D973" s="22">
        <f>'Diferencia en cambio'!$I$241</f>
        <v>20299.947676068317</v>
      </c>
      <c r="F973" s="203">
        <v>46076</v>
      </c>
      <c r="G973" s="262" t="s">
        <v>1589</v>
      </c>
      <c r="H973" s="272">
        <f>'Flujo Caja Febrero 2026'!$D$47</f>
        <v>1368.42</v>
      </c>
    </row>
    <row r="974" spans="2:8" ht="30">
      <c r="B974" s="203">
        <v>46073</v>
      </c>
      <c r="C974" s="277" t="s">
        <v>1585</v>
      </c>
      <c r="D974" s="22">
        <f>'Diferencia en cambio'!$I$242</f>
        <v>138130.28637686477</v>
      </c>
      <c r="F974" s="203">
        <v>46079</v>
      </c>
      <c r="G974" s="384" t="s">
        <v>417</v>
      </c>
      <c r="H974" s="272">
        <f>'Flujo Caja Febrero 2026'!$D$75</f>
        <v>10731</v>
      </c>
    </row>
    <row r="975" spans="2:8" ht="30">
      <c r="B975" s="203">
        <v>46073</v>
      </c>
      <c r="C975" s="277" t="s">
        <v>1586</v>
      </c>
      <c r="D975" s="22">
        <f>'Diferencia en cambio'!$I$243</f>
        <v>8531.9294166788732</v>
      </c>
      <c r="F975" s="203">
        <v>46079</v>
      </c>
      <c r="G975" s="384" t="s">
        <v>409</v>
      </c>
      <c r="H975" s="272">
        <f>'Flujo Caja Febrero 2026'!$D$76</f>
        <v>14425</v>
      </c>
    </row>
    <row r="976" spans="2:8">
      <c r="B976" s="203"/>
      <c r="C976" s="312"/>
      <c r="D976" s="22"/>
      <c r="F976" s="203">
        <v>46079</v>
      </c>
      <c r="G976" s="384" t="s">
        <v>412</v>
      </c>
      <c r="H976" s="272">
        <f>'Flujo Caja Febrero 2026'!$D$79</f>
        <v>8678</v>
      </c>
    </row>
    <row r="977" spans="2:8">
      <c r="B977" s="203"/>
      <c r="C977" s="277"/>
      <c r="D977" s="22"/>
      <c r="F977" s="203">
        <v>46079</v>
      </c>
      <c r="G977" s="384" t="s">
        <v>413</v>
      </c>
      <c r="H977" s="272">
        <f>'Flujo Caja Febrero 2026'!$D$80</f>
        <v>3943</v>
      </c>
    </row>
    <row r="978" spans="2:8">
      <c r="C978" s="7" t="s">
        <v>59</v>
      </c>
      <c r="D978" s="13">
        <f>SUM(D959:D977)</f>
        <v>1188182.0634617778</v>
      </c>
      <c r="F978" s="203">
        <v>46079</v>
      </c>
      <c r="G978" s="384" t="s">
        <v>415</v>
      </c>
      <c r="H978" s="272">
        <f>'Flujo Caja Febrero 2026'!$D$81</f>
        <v>26186</v>
      </c>
    </row>
    <row r="979" spans="2:8">
      <c r="F979" s="203">
        <v>46079</v>
      </c>
      <c r="G979" s="384" t="s">
        <v>410</v>
      </c>
      <c r="H979" s="272">
        <f>'Flujo Caja Febrero 2026'!$D$82</f>
        <v>3943</v>
      </c>
    </row>
    <row r="980" spans="2:8">
      <c r="F980" s="203">
        <v>46080</v>
      </c>
      <c r="G980" s="384" t="s">
        <v>1490</v>
      </c>
      <c r="H980" s="272">
        <f>'Flujo Caja Febrero 2026'!$D$78</f>
        <v>23998.73</v>
      </c>
    </row>
    <row r="981" spans="2:8">
      <c r="F981" s="203">
        <v>46080</v>
      </c>
      <c r="G981" s="384" t="s">
        <v>1491</v>
      </c>
      <c r="H981" s="272">
        <f>'Flujo Caja Febrero 2026'!$D$84</f>
        <v>28484.720000000001</v>
      </c>
    </row>
    <row r="982" spans="2:8">
      <c r="F982" s="203">
        <v>46080</v>
      </c>
      <c r="G982" s="384" t="s">
        <v>418</v>
      </c>
      <c r="H982" s="272">
        <f>'Flujo Caja Febrero 2026'!$D$85</f>
        <v>33745.199999999997</v>
      </c>
    </row>
    <row r="983" spans="2:8">
      <c r="F983" s="203">
        <v>46080</v>
      </c>
      <c r="G983" s="262" t="s">
        <v>1597</v>
      </c>
      <c r="H983" s="272">
        <f>'Flujo Caja Febrero 2026'!$D$44</f>
        <v>1789.9399999999996</v>
      </c>
    </row>
    <row r="984" spans="2:8">
      <c r="F984" s="203">
        <v>46080</v>
      </c>
      <c r="G984" s="411" t="s">
        <v>843</v>
      </c>
      <c r="H984" s="272">
        <f>'Flujo Caja Febrero 2026'!$D$66</f>
        <v>19322.599999999999</v>
      </c>
    </row>
    <row r="985" spans="2:8">
      <c r="F985" s="203">
        <v>46080</v>
      </c>
      <c r="G985" s="411" t="s">
        <v>176</v>
      </c>
      <c r="H985" s="272">
        <f>'Flujo Caja Febrero 2026'!$D$68</f>
        <v>28786.83</v>
      </c>
    </row>
    <row r="986" spans="2:8">
      <c r="F986" s="203">
        <v>46080</v>
      </c>
      <c r="G986" s="411" t="s">
        <v>944</v>
      </c>
      <c r="H986" s="272">
        <f>'Flujo Caja Febrero 2026'!$D$69</f>
        <v>14909.19</v>
      </c>
    </row>
    <row r="987" spans="2:8">
      <c r="F987" s="203">
        <v>46080</v>
      </c>
      <c r="G987" s="411" t="s">
        <v>945</v>
      </c>
      <c r="H987" s="272">
        <f>'Flujo Caja Febrero 2026'!$D$70</f>
        <v>7244.17</v>
      </c>
    </row>
    <row r="988" spans="2:8">
      <c r="F988" s="203">
        <v>46080</v>
      </c>
      <c r="G988" s="411" t="s">
        <v>1300</v>
      </c>
      <c r="H988" s="272">
        <f>'Flujo Caja Febrero 2026'!$D$71</f>
        <v>65446.400000000001</v>
      </c>
    </row>
    <row r="989" spans="2:8">
      <c r="F989" s="203">
        <v>46080</v>
      </c>
      <c r="G989" s="411" t="s">
        <v>829</v>
      </c>
      <c r="H989" s="272">
        <f>'Flujo Caja Febrero 2026'!$D$72</f>
        <v>36574.769999999997</v>
      </c>
    </row>
    <row r="990" spans="2:8">
      <c r="F990" s="203">
        <v>46080</v>
      </c>
      <c r="G990" s="411" t="s">
        <v>946</v>
      </c>
      <c r="H990" s="272">
        <f>'Flujo Caja Febrero 2026'!$D$73</f>
        <v>11145.55</v>
      </c>
    </row>
    <row r="991" spans="2:8">
      <c r="F991" s="203">
        <v>46080</v>
      </c>
      <c r="G991" s="411" t="s">
        <v>947</v>
      </c>
      <c r="H991" s="272">
        <f>'Flujo Caja Febrero 2026'!$D$74</f>
        <v>10747.68</v>
      </c>
    </row>
    <row r="992" spans="2:8">
      <c r="F992" s="203">
        <v>46080</v>
      </c>
      <c r="G992" s="411" t="s">
        <v>886</v>
      </c>
      <c r="H992" s="272">
        <f>'Flujo Caja Febrero 2026'!$D$67</f>
        <v>56010.18</v>
      </c>
    </row>
    <row r="993" spans="2:8">
      <c r="F993" s="203">
        <v>46080</v>
      </c>
      <c r="G993" s="411" t="s">
        <v>1595</v>
      </c>
      <c r="H993" s="272">
        <f>'Flujo Caja Febrero 2026'!$D$87</f>
        <v>8658.3700000000008</v>
      </c>
    </row>
    <row r="994" spans="2:8">
      <c r="F994" s="203">
        <v>46080</v>
      </c>
      <c r="G994" s="262" t="s">
        <v>1598</v>
      </c>
      <c r="H994" s="272">
        <f>'Flujo Caja Febrero 2026'!$D$114</f>
        <v>998.82</v>
      </c>
    </row>
    <row r="995" spans="2:8">
      <c r="F995" s="203">
        <v>46080</v>
      </c>
      <c r="G995" s="262" t="s">
        <v>1599</v>
      </c>
      <c r="H995" s="272">
        <f>'Flujo Caja Febrero 2026'!$D$115</f>
        <v>2303.98</v>
      </c>
    </row>
    <row r="996" spans="2:8">
      <c r="F996" s="203">
        <v>46080</v>
      </c>
      <c r="G996" s="262" t="s">
        <v>1600</v>
      </c>
      <c r="H996" s="272">
        <f>'Flujo Caja Febrero 2026'!$D$116</f>
        <v>4042.28</v>
      </c>
    </row>
    <row r="997" spans="2:8">
      <c r="F997" s="203"/>
      <c r="G997" s="262"/>
      <c r="H997" s="22"/>
    </row>
    <row r="998" spans="2:8">
      <c r="F998" s="203"/>
      <c r="G998" s="7" t="s">
        <v>688</v>
      </c>
      <c r="H998" s="13">
        <f>SUM(H959:H997)</f>
        <v>784646.6100000001</v>
      </c>
    </row>
    <row r="999" spans="2:8">
      <c r="G999" s="7" t="s">
        <v>61</v>
      </c>
      <c r="H999" s="13">
        <f>D978-H998</f>
        <v>403535.45346177765</v>
      </c>
    </row>
    <row r="1002" spans="2:8" ht="18.75">
      <c r="B1002" s="5" t="s">
        <v>34</v>
      </c>
      <c r="C1002" s="5" t="s">
        <v>35</v>
      </c>
      <c r="D1002" s="5" t="s">
        <v>15</v>
      </c>
      <c r="F1002" s="5" t="s">
        <v>36</v>
      </c>
      <c r="G1002" s="5" t="s">
        <v>35</v>
      </c>
      <c r="H1002" s="5" t="s">
        <v>15</v>
      </c>
    </row>
    <row r="1003" spans="2:8">
      <c r="B1003" s="203">
        <v>46082</v>
      </c>
      <c r="C1003" s="158" t="s">
        <v>49</v>
      </c>
      <c r="D1003" s="22">
        <f>$H$999</f>
        <v>403535.45346177765</v>
      </c>
      <c r="F1003" s="203">
        <v>46082</v>
      </c>
      <c r="G1003" s="262" t="s">
        <v>1496</v>
      </c>
      <c r="H1003" s="272">
        <f>'Flujo Caja Febrero 2026'!D96</f>
        <v>10512.86</v>
      </c>
    </row>
    <row r="1004" spans="2:8" ht="30">
      <c r="B1004" s="203">
        <v>46082</v>
      </c>
      <c r="C1004" s="312" t="s">
        <v>1602</v>
      </c>
      <c r="D1004" s="22">
        <v>432166.83</v>
      </c>
      <c r="F1004" s="203">
        <v>46082</v>
      </c>
      <c r="G1004" s="262" t="s">
        <v>1497</v>
      </c>
      <c r="H1004" s="272">
        <f>'Flujo Caja Febrero 2026'!D97</f>
        <v>37326.230000000003</v>
      </c>
    </row>
    <row r="1005" spans="2:8">
      <c r="B1005" s="203">
        <v>46084</v>
      </c>
      <c r="C1005" s="203" t="s">
        <v>1634</v>
      </c>
      <c r="D1005" s="22">
        <v>76987.58</v>
      </c>
      <c r="F1005" s="203">
        <v>46082</v>
      </c>
      <c r="G1005" s="262" t="s">
        <v>1498</v>
      </c>
      <c r="H1005" s="272">
        <f>'Flujo Caja Febrero 2026'!D98</f>
        <v>19981.650000000001</v>
      </c>
    </row>
    <row r="1006" spans="2:8">
      <c r="B1006" s="203">
        <v>46090</v>
      </c>
      <c r="C1006" s="263" t="s">
        <v>1628</v>
      </c>
      <c r="D1006" s="22">
        <f>'Diferencia en cambio'!$I$253</f>
        <v>161472.09350981328</v>
      </c>
      <c r="F1006" s="203">
        <v>46082</v>
      </c>
      <c r="G1006" s="262" t="s">
        <v>1499</v>
      </c>
      <c r="H1006" s="272">
        <f>'Flujo Caja Febrero 2026'!D99</f>
        <v>15253.9</v>
      </c>
    </row>
    <row r="1007" spans="2:8">
      <c r="B1007" s="203">
        <v>46090</v>
      </c>
      <c r="C1007" s="263" t="s">
        <v>1629</v>
      </c>
      <c r="D1007" s="22">
        <f>'Diferencia en cambio'!$I$254</f>
        <v>21139.646490186733</v>
      </c>
      <c r="F1007" s="203">
        <v>46082</v>
      </c>
      <c r="G1007" s="262" t="s">
        <v>1605</v>
      </c>
      <c r="H1007" s="272">
        <f>'Flujo Caja Febrero 2026'!D100</f>
        <v>34579.51</v>
      </c>
    </row>
    <row r="1008" spans="2:8">
      <c r="B1008" s="203">
        <v>46099</v>
      </c>
      <c r="C1008" s="277" t="s">
        <v>1656</v>
      </c>
      <c r="D1008" s="22">
        <f>'Diferencia en cambio'!I255</f>
        <v>13397.15401662958</v>
      </c>
      <c r="F1008" s="203">
        <v>46082</v>
      </c>
      <c r="G1008" s="262" t="s">
        <v>1501</v>
      </c>
      <c r="H1008" s="272">
        <f>'Flujo Caja Febrero 2026'!D101</f>
        <v>16081.53</v>
      </c>
    </row>
    <row r="1009" spans="2:8">
      <c r="B1009" s="203">
        <v>46099</v>
      </c>
      <c r="C1009" s="277" t="s">
        <v>1657</v>
      </c>
      <c r="D1009" s="22">
        <f>'Diferencia en cambio'!$I$256</f>
        <v>11023.845409710406</v>
      </c>
      <c r="F1009" s="203">
        <v>46082</v>
      </c>
      <c r="G1009" s="262" t="s">
        <v>1502</v>
      </c>
      <c r="H1009" s="272">
        <f>'Flujo Caja Febrero 2026'!D102</f>
        <v>46799.56</v>
      </c>
    </row>
    <row r="1010" spans="2:8">
      <c r="B1010" s="203">
        <v>46099</v>
      </c>
      <c r="C1010" s="277" t="s">
        <v>1658</v>
      </c>
      <c r="D1010" s="22">
        <f>'Diferencia en cambio'!$I$257</f>
        <v>25935.131188813913</v>
      </c>
      <c r="F1010" s="203">
        <v>46082</v>
      </c>
      <c r="G1010" s="262" t="s">
        <v>1604</v>
      </c>
      <c r="H1010" s="272">
        <f>'Flujo Caja Febrero 2026'!D110</f>
        <v>26640.93</v>
      </c>
    </row>
    <row r="1011" spans="2:8" ht="30">
      <c r="B1011" s="203">
        <v>46099</v>
      </c>
      <c r="C1011" s="277" t="s">
        <v>1639</v>
      </c>
      <c r="D1011" s="22">
        <f>'Diferencia en cambio'!$I$259</f>
        <v>45067.429850134642</v>
      </c>
      <c r="F1011" s="203">
        <v>46082</v>
      </c>
      <c r="G1011" s="262" t="s">
        <v>1606</v>
      </c>
      <c r="H1011" s="272">
        <f>'Flujo Caja Febrero 2026'!D111</f>
        <v>35809.56</v>
      </c>
    </row>
    <row r="1012" spans="2:8">
      <c r="B1012" s="203">
        <v>46099</v>
      </c>
      <c r="C1012" s="277" t="s">
        <v>1659</v>
      </c>
      <c r="D1012" s="22">
        <f>'Diferencia en cambio'!$I$260</f>
        <v>12658.749534711451</v>
      </c>
      <c r="F1012" s="203">
        <v>46082</v>
      </c>
      <c r="G1012" s="262" t="s">
        <v>1607</v>
      </c>
      <c r="H1012" s="272">
        <v>78000</v>
      </c>
    </row>
    <row r="1013" spans="2:8">
      <c r="B1013" s="203">
        <v>46099</v>
      </c>
      <c r="C1013" s="277" t="s">
        <v>1660</v>
      </c>
      <c r="D1013" s="22">
        <v>18343.5</v>
      </c>
      <c r="F1013" s="203">
        <v>46082</v>
      </c>
      <c r="G1013" s="262" t="s">
        <v>1194</v>
      </c>
      <c r="H1013" s="272">
        <f>'Flujo Caja Febrero 2026'!D103</f>
        <v>24981.97</v>
      </c>
    </row>
    <row r="1014" spans="2:8">
      <c r="B1014" s="203">
        <v>46104</v>
      </c>
      <c r="C1014" s="277" t="s">
        <v>1669</v>
      </c>
      <c r="D1014" s="22">
        <f>'Flujo Caja Marzo 2026'!$D$24</f>
        <v>48605.373346173852</v>
      </c>
      <c r="F1014" s="203">
        <v>46082</v>
      </c>
      <c r="G1014" s="262" t="s">
        <v>1495</v>
      </c>
      <c r="H1014" s="272">
        <f>'Flujo Caja Febrero 2026'!D104</f>
        <v>30126.98</v>
      </c>
    </row>
    <row r="1015" spans="2:8" ht="30">
      <c r="B1015" s="203">
        <v>46104</v>
      </c>
      <c r="C1015" s="277" t="s">
        <v>1670</v>
      </c>
      <c r="D1015" s="22">
        <f>'Flujo Caja Marzo 2026'!$D$25</f>
        <v>12129.006745516586</v>
      </c>
      <c r="F1015" s="203">
        <v>46082</v>
      </c>
      <c r="G1015" s="262" t="s">
        <v>1609</v>
      </c>
      <c r="H1015" s="272">
        <f>SUM('Flujo Caja Febrero 2026'!$D$50:$D$52)</f>
        <v>3510.75</v>
      </c>
    </row>
    <row r="1016" spans="2:8" ht="30">
      <c r="B1016" s="203">
        <v>46104</v>
      </c>
      <c r="C1016" s="277" t="s">
        <v>1671</v>
      </c>
      <c r="D1016" s="22">
        <f>'Flujo Caja Marzo 2026'!$D$26</f>
        <v>27254.299790058645</v>
      </c>
      <c r="F1016" s="203">
        <v>46090</v>
      </c>
      <c r="G1016" s="262" t="s">
        <v>1625</v>
      </c>
      <c r="H1016" s="272">
        <f>'Flujo Caja Marzo 2026'!$D$90</f>
        <v>55056.24</v>
      </c>
    </row>
    <row r="1017" spans="2:8" ht="30">
      <c r="B1017" s="203">
        <v>46104</v>
      </c>
      <c r="C1017" s="277" t="s">
        <v>1672</v>
      </c>
      <c r="D1017" s="22">
        <f>'Flujo Caja Marzo 2026'!$D$27</f>
        <v>19498.43535261491</v>
      </c>
      <c r="F1017" s="203">
        <v>46090</v>
      </c>
      <c r="G1017" s="262" t="s">
        <v>1626</v>
      </c>
      <c r="H1017" s="272">
        <f>'Flujo Caja Marzo 2026'!$D$91</f>
        <v>55056.24</v>
      </c>
    </row>
    <row r="1018" spans="2:8">
      <c r="B1018" s="203">
        <v>46104</v>
      </c>
      <c r="C1018" s="277" t="s">
        <v>1673</v>
      </c>
      <c r="D1018" s="22">
        <f>'Flujo Caja Marzo 2026'!$D$28</f>
        <v>74486.183165472539</v>
      </c>
      <c r="F1018" s="203">
        <v>46090</v>
      </c>
      <c r="G1018" s="262" t="s">
        <v>1627</v>
      </c>
      <c r="H1018" s="272">
        <f>'Flujo Caja Marzo 2026'!D88</f>
        <v>23013.59</v>
      </c>
    </row>
    <row r="1019" spans="2:8" ht="30">
      <c r="B1019" s="203">
        <v>46104</v>
      </c>
      <c r="C1019" s="277" t="s">
        <v>1674</v>
      </c>
      <c r="D1019" s="22">
        <f>'Flujo Caja Marzo 2026'!$D$29</f>
        <v>140816.23603627936</v>
      </c>
      <c r="F1019" s="203">
        <v>46090</v>
      </c>
      <c r="G1019" s="262" t="s">
        <v>1624</v>
      </c>
      <c r="H1019" s="272">
        <f>'Flujo Caja Marzo 2026'!$D$89</f>
        <v>43858.87</v>
      </c>
    </row>
    <row r="1020" spans="2:8" ht="30">
      <c r="B1020" s="203">
        <v>46104</v>
      </c>
      <c r="C1020" s="277" t="s">
        <v>1668</v>
      </c>
      <c r="D1020" s="22">
        <f>'Flujo Caja Marzo 2026'!$D$30</f>
        <v>12827.825563884069</v>
      </c>
      <c r="F1020" s="203">
        <v>46094</v>
      </c>
      <c r="G1020" s="262" t="s">
        <v>1649</v>
      </c>
      <c r="H1020" s="272">
        <f>'Flujo Caja Marzo 2026'!$D$39</f>
        <v>79591.59</v>
      </c>
    </row>
    <row r="1021" spans="2:8">
      <c r="B1021" s="203">
        <v>46106</v>
      </c>
      <c r="C1021" s="263" t="s">
        <v>1641</v>
      </c>
      <c r="D1021" s="22">
        <f>'Flujo Caja Marzo 2026'!D23</f>
        <v>74652.09</v>
      </c>
      <c r="F1021" s="203">
        <v>46094</v>
      </c>
      <c r="G1021" s="312" t="s">
        <v>1650</v>
      </c>
      <c r="H1021" s="272">
        <f>'Flujo Caja Marzo 2026'!$D$108</f>
        <v>42382.04</v>
      </c>
    </row>
    <row r="1022" spans="2:8" ht="30">
      <c r="B1022" s="203">
        <v>46107</v>
      </c>
      <c r="C1022" s="277" t="s">
        <v>1690</v>
      </c>
      <c r="D1022" s="22">
        <v>709017.1</v>
      </c>
      <c r="F1022" s="203">
        <v>46094</v>
      </c>
      <c r="G1022" s="312" t="s">
        <v>1653</v>
      </c>
      <c r="H1022" s="272">
        <f>'Flujo Caja Marzo 2026'!$D$42</f>
        <v>4965.43</v>
      </c>
    </row>
    <row r="1023" spans="2:8">
      <c r="B1023" s="203">
        <v>46108</v>
      </c>
      <c r="C1023" s="422" t="s">
        <v>1692</v>
      </c>
      <c r="D1023" s="421">
        <v>13055.37</v>
      </c>
      <c r="F1023" s="203">
        <v>46094</v>
      </c>
      <c r="G1023" s="262" t="s">
        <v>1654</v>
      </c>
      <c r="H1023" s="272">
        <f>'Flujo Caja Marzo 2026'!$D$43</f>
        <v>1896.52</v>
      </c>
    </row>
    <row r="1024" spans="2:8">
      <c r="B1024" s="203"/>
      <c r="C1024" s="277"/>
      <c r="D1024" s="22"/>
      <c r="F1024" s="203">
        <v>46094</v>
      </c>
      <c r="G1024" s="262" t="s">
        <v>1651</v>
      </c>
      <c r="H1024" s="272">
        <f>'Flujo Caja Marzo 2026'!$D$41</f>
        <v>18662.490000000002</v>
      </c>
    </row>
    <row r="1025" spans="2:8">
      <c r="B1025" s="203"/>
      <c r="C1025" s="277"/>
      <c r="D1025" s="22"/>
      <c r="F1025" s="203">
        <v>46094</v>
      </c>
      <c r="G1025" s="262" t="s">
        <v>1652</v>
      </c>
      <c r="H1025" s="272">
        <f>'Flujo Caja Marzo 2026'!$D$110</f>
        <v>10204.81</v>
      </c>
    </row>
    <row r="1026" spans="2:8">
      <c r="B1026" s="203"/>
      <c r="C1026" s="277"/>
      <c r="D1026" s="22"/>
      <c r="F1026" s="203">
        <v>46101</v>
      </c>
      <c r="G1026" s="262" t="s">
        <v>1666</v>
      </c>
      <c r="H1026" s="272">
        <f>'Flujo Caja Marzo 2026'!$D$47</f>
        <v>9946.2000000000007</v>
      </c>
    </row>
    <row r="1027" spans="2:8">
      <c r="C1027" s="7" t="s">
        <v>720</v>
      </c>
      <c r="D1027" s="13">
        <f>SUM(D1003:D1026)</f>
        <v>2354069.3334617778</v>
      </c>
      <c r="F1027" s="203">
        <v>46101</v>
      </c>
      <c r="G1027" s="262" t="s">
        <v>1663</v>
      </c>
      <c r="H1027" s="272">
        <f>'Flujo Caja Marzo 2026'!$D$48</f>
        <v>800</v>
      </c>
    </row>
    <row r="1028" spans="2:8">
      <c r="F1028" s="203">
        <v>46101</v>
      </c>
      <c r="G1028" s="262" t="s">
        <v>1664</v>
      </c>
      <c r="H1028" s="272">
        <f>'Flujo Caja Marzo 2026'!$D$49</f>
        <v>926.32</v>
      </c>
    </row>
    <row r="1029" spans="2:8">
      <c r="F1029" s="203">
        <v>46101</v>
      </c>
      <c r="G1029" s="262" t="s">
        <v>1665</v>
      </c>
      <c r="H1029" s="272">
        <f>'Flujo Caja Marzo 2026'!$D$50</f>
        <v>1368.42</v>
      </c>
    </row>
    <row r="1030" spans="2:8">
      <c r="F1030" s="203">
        <v>46106</v>
      </c>
      <c r="G1030" s="262" t="s">
        <v>1685</v>
      </c>
      <c r="H1030" s="272">
        <f>'Flujo Caja Marzo 2026'!D94</f>
        <v>5400</v>
      </c>
    </row>
    <row r="1031" spans="2:8">
      <c r="C1031" s="311" t="s">
        <v>581</v>
      </c>
      <c r="D1031" s="12">
        <f>D1023/7.8</f>
        <v>1673.7653846153848</v>
      </c>
      <c r="F1031" s="203">
        <v>46108</v>
      </c>
      <c r="G1031" s="384" t="s">
        <v>417</v>
      </c>
      <c r="H1031" s="385">
        <f>'Flujo Caja Marzo 2026'!$D$72</f>
        <v>10731</v>
      </c>
    </row>
    <row r="1032" spans="2:8">
      <c r="F1032" s="203">
        <v>46108</v>
      </c>
      <c r="G1032" s="384" t="s">
        <v>409</v>
      </c>
      <c r="H1032" s="385">
        <f>'Flujo Caja Marzo 2026'!$D$73</f>
        <v>14425</v>
      </c>
    </row>
    <row r="1033" spans="2:8">
      <c r="F1033" s="203">
        <v>46108</v>
      </c>
      <c r="G1033" s="384" t="s">
        <v>412</v>
      </c>
      <c r="H1033" s="385">
        <f>'Flujo Caja Marzo 2026'!$D$75</f>
        <v>8678</v>
      </c>
    </row>
    <row r="1034" spans="2:8">
      <c r="F1034" s="203">
        <v>46108</v>
      </c>
      <c r="G1034" s="384" t="s">
        <v>413</v>
      </c>
      <c r="H1034" s="385">
        <f>'Flujo Caja Marzo 2026'!$D$76</f>
        <v>3943</v>
      </c>
    </row>
    <row r="1035" spans="2:8">
      <c r="F1035" s="203">
        <v>46108</v>
      </c>
      <c r="G1035" s="384" t="s">
        <v>415</v>
      </c>
      <c r="H1035" s="385">
        <f>'Flujo Caja Marzo 2026'!$D$77</f>
        <v>35307</v>
      </c>
    </row>
    <row r="1036" spans="2:8">
      <c r="F1036" s="203">
        <v>46108</v>
      </c>
      <c r="G1036" s="384" t="s">
        <v>410</v>
      </c>
      <c r="H1036" s="385">
        <f>'Flujo Caja Marzo 2026'!$D$78</f>
        <v>3943</v>
      </c>
    </row>
    <row r="1037" spans="2:8">
      <c r="F1037" s="203">
        <v>46108</v>
      </c>
      <c r="G1037" s="384" t="s">
        <v>1490</v>
      </c>
      <c r="H1037" s="385">
        <f>'Flujo Caja Marzo 2026'!$D$74</f>
        <v>24027.01</v>
      </c>
    </row>
    <row r="1038" spans="2:8">
      <c r="F1038" s="203">
        <v>46108</v>
      </c>
      <c r="G1038" s="384" t="s">
        <v>1491</v>
      </c>
      <c r="H1038" s="385">
        <f>'Flujo Caja Marzo 2026'!$D$79</f>
        <v>28450.01</v>
      </c>
    </row>
    <row r="1039" spans="2:8">
      <c r="F1039" s="203">
        <v>46108</v>
      </c>
      <c r="G1039" s="384" t="s">
        <v>418</v>
      </c>
      <c r="H1039" s="385">
        <f>'Flujo Caja Marzo 2026'!$D$80</f>
        <v>33745</v>
      </c>
    </row>
    <row r="1040" spans="2:8">
      <c r="F1040" s="203">
        <v>46108</v>
      </c>
      <c r="G1040" s="384" t="s">
        <v>1691</v>
      </c>
      <c r="H1040" s="385">
        <f>'Flujo Caja Marzo 2026'!$D$81</f>
        <v>8796.74</v>
      </c>
    </row>
    <row r="1041" spans="6:9">
      <c r="F1041" s="203">
        <v>46108</v>
      </c>
      <c r="G1041" s="262" t="s">
        <v>1496</v>
      </c>
      <c r="H1041" s="22">
        <f>'Flujo Caja Marzo 2026'!$D$96</f>
        <v>10512.86</v>
      </c>
    </row>
    <row r="1042" spans="6:9">
      <c r="F1042" s="203">
        <v>46108</v>
      </c>
      <c r="G1042" s="262" t="s">
        <v>1497</v>
      </c>
      <c r="H1042" s="22">
        <f>'Flujo Caja Marzo 2026'!$D$97</f>
        <v>248570.73</v>
      </c>
    </row>
    <row r="1043" spans="6:9">
      <c r="F1043" s="203">
        <v>46108</v>
      </c>
      <c r="G1043" s="262" t="s">
        <v>1498</v>
      </c>
      <c r="H1043" s="22">
        <f>'Flujo Caja Marzo 2026'!$D$98</f>
        <v>26694.15</v>
      </c>
    </row>
    <row r="1044" spans="6:9">
      <c r="F1044" s="203">
        <v>46108</v>
      </c>
      <c r="G1044" s="262" t="s">
        <v>1499</v>
      </c>
      <c r="H1044" s="22">
        <f>'Flujo Caja Marzo 2026'!$D$99</f>
        <v>15253.9</v>
      </c>
    </row>
    <row r="1045" spans="6:9">
      <c r="F1045" s="203">
        <v>46108</v>
      </c>
      <c r="G1045" s="262" t="s">
        <v>1500</v>
      </c>
      <c r="H1045" s="22">
        <f>'Flujo Caja Marzo 2026'!$D$100</f>
        <v>36458.85</v>
      </c>
    </row>
    <row r="1046" spans="6:9">
      <c r="F1046" s="203">
        <v>46108</v>
      </c>
      <c r="G1046" s="262" t="s">
        <v>1501</v>
      </c>
      <c r="H1046" s="22">
        <f>'Flujo Caja Marzo 2026'!$D$101</f>
        <v>16081.52</v>
      </c>
    </row>
    <row r="1047" spans="6:9">
      <c r="F1047" s="203">
        <v>46108</v>
      </c>
      <c r="G1047" s="262" t="s">
        <v>1502</v>
      </c>
      <c r="H1047" s="22">
        <f>'Flujo Caja Marzo 2026'!$D$102</f>
        <v>46799.56</v>
      </c>
    </row>
    <row r="1048" spans="6:9">
      <c r="F1048" s="203">
        <v>46111</v>
      </c>
      <c r="G1048" s="411" t="s">
        <v>843</v>
      </c>
      <c r="H1048" s="385">
        <f>'Flujo Caja Marzo 2026'!$D$64*$I$1048</f>
        <v>18679.5</v>
      </c>
      <c r="I1048">
        <v>1</v>
      </c>
    </row>
    <row r="1049" spans="6:9">
      <c r="F1049" s="203">
        <v>46111</v>
      </c>
      <c r="G1049" s="411" t="s">
        <v>886</v>
      </c>
      <c r="H1049" s="385">
        <f>'Flujo Caja Marzo 2026'!$D$65*$I$1048</f>
        <v>51034.74</v>
      </c>
    </row>
    <row r="1050" spans="6:9">
      <c r="F1050" s="203">
        <v>46111</v>
      </c>
      <c r="G1050" s="411" t="s">
        <v>176</v>
      </c>
      <c r="H1050" s="385">
        <f>'Flujo Caja Marzo 2026'!$D$66*$I$1048</f>
        <v>28786.83</v>
      </c>
    </row>
    <row r="1051" spans="6:9">
      <c r="F1051" s="203">
        <v>46111</v>
      </c>
      <c r="G1051" s="411" t="s">
        <v>944</v>
      </c>
      <c r="H1051" s="385">
        <f>'Flujo Caja Marzo 2026'!$D$67*$I$1048</f>
        <v>13622.51</v>
      </c>
    </row>
    <row r="1052" spans="6:9">
      <c r="F1052" s="203">
        <v>46111</v>
      </c>
      <c r="G1052" s="411" t="s">
        <v>1300</v>
      </c>
      <c r="H1052" s="385">
        <f>'Flujo Caja Marzo 2026'!$D$68*$I$1048</f>
        <v>65446.400000000001</v>
      </c>
    </row>
    <row r="1053" spans="6:9">
      <c r="F1053" s="203">
        <v>46111</v>
      </c>
      <c r="G1053" s="411" t="s">
        <v>829</v>
      </c>
      <c r="H1053" s="385">
        <f>'Flujo Caja Marzo 2026'!$D$69*$I$1048</f>
        <v>34601.33</v>
      </c>
    </row>
    <row r="1054" spans="6:9">
      <c r="F1054" s="203">
        <v>46111</v>
      </c>
      <c r="G1054" s="411" t="s">
        <v>946</v>
      </c>
      <c r="H1054" s="385">
        <f>'Flujo Caja Marzo 2026'!$D$70*$I$1048</f>
        <v>9924.43</v>
      </c>
    </row>
    <row r="1055" spans="6:9">
      <c r="F1055" s="203">
        <v>46111</v>
      </c>
      <c r="G1055" s="411" t="s">
        <v>947</v>
      </c>
      <c r="H1055" s="385">
        <f>'Flujo Caja Marzo 2026'!$D$71*$I$1048</f>
        <v>9658.43</v>
      </c>
    </row>
    <row r="1056" spans="6:9">
      <c r="F1056" s="203">
        <v>46111</v>
      </c>
      <c r="G1056" s="262" t="s">
        <v>1696</v>
      </c>
      <c r="H1056" s="272">
        <f>3000*$I$1048</f>
        <v>3000</v>
      </c>
    </row>
    <row r="1057" spans="6:8">
      <c r="F1057" s="203">
        <v>46111</v>
      </c>
      <c r="G1057" s="262" t="s">
        <v>1697</v>
      </c>
      <c r="H1057" s="272">
        <f>'Flujo Caja Marzo 2026'!D103*$I$1048</f>
        <v>9518.65</v>
      </c>
    </row>
    <row r="1058" spans="6:8">
      <c r="F1058" s="203">
        <v>46111</v>
      </c>
      <c r="G1058" s="262" t="s">
        <v>1698</v>
      </c>
      <c r="H1058" s="272">
        <f>'Flujo Caja Marzo 2026'!D104*$I$1048</f>
        <v>25039.55</v>
      </c>
    </row>
    <row r="1059" spans="6:8">
      <c r="F1059" s="203">
        <v>46111</v>
      </c>
      <c r="G1059" s="262" t="s">
        <v>1694</v>
      </c>
      <c r="H1059" s="272">
        <f>'Flujo Caja Marzo 2026'!D105*$I$1048</f>
        <v>30126.98</v>
      </c>
    </row>
    <row r="1060" spans="6:8">
      <c r="F1060" s="203">
        <v>46111</v>
      </c>
      <c r="G1060" s="262" t="s">
        <v>1699</v>
      </c>
      <c r="H1060" s="272">
        <f>'Flujo Caja Marzo 2026'!D106*$I$1048</f>
        <v>16292.63</v>
      </c>
    </row>
    <row r="1061" spans="6:8">
      <c r="F1061" s="203">
        <v>46111</v>
      </c>
      <c r="G1061" s="262" t="s">
        <v>1700</v>
      </c>
      <c r="H1061" s="272">
        <f>SUM('Flujo Caja Marzo 2026'!$D$53:$D$55)</f>
        <v>3510.75</v>
      </c>
    </row>
    <row r="1062" spans="6:8">
      <c r="F1062" s="203">
        <v>46111</v>
      </c>
      <c r="G1062" s="262" t="s">
        <v>1702</v>
      </c>
      <c r="H1062" s="272">
        <v>62400</v>
      </c>
    </row>
    <row r="1063" spans="6:8">
      <c r="F1063" s="203">
        <v>46111</v>
      </c>
      <c r="G1063" s="262" t="s">
        <v>1704</v>
      </c>
      <c r="H1063" s="272">
        <f>'Flujo Caja Marzo 2026'!$D$113</f>
        <v>1395</v>
      </c>
    </row>
    <row r="1064" spans="6:8">
      <c r="F1064" s="203">
        <v>46111</v>
      </c>
      <c r="G1064" s="262" t="s">
        <v>1705</v>
      </c>
      <c r="H1064" s="272">
        <f>'Flujo Caja Marzo 2026'!$D$114</f>
        <v>27977.1</v>
      </c>
    </row>
    <row r="1065" spans="6:8">
      <c r="F1065" s="203">
        <v>46111</v>
      </c>
      <c r="G1065" s="262" t="s">
        <v>1706</v>
      </c>
      <c r="H1065" s="272">
        <f>'Flujo Caja Marzo 2026'!$D$115</f>
        <v>1886.11</v>
      </c>
    </row>
    <row r="1066" spans="6:8">
      <c r="F1066" s="203">
        <v>46111</v>
      </c>
      <c r="G1066" s="262" t="s">
        <v>1707</v>
      </c>
      <c r="H1066" s="272">
        <f>'Flujo Caja Marzo 2026'!$D$116</f>
        <v>8595.6</v>
      </c>
    </row>
    <row r="1067" spans="6:8">
      <c r="F1067" s="203">
        <v>46111</v>
      </c>
      <c r="G1067" s="262" t="s">
        <v>1708</v>
      </c>
      <c r="H1067" s="272">
        <f>'Flujo Caja Marzo 2026'!D83</f>
        <v>8387.4</v>
      </c>
    </row>
    <row r="1068" spans="6:8">
      <c r="F1068" s="203">
        <v>46111</v>
      </c>
      <c r="G1068" s="262" t="s">
        <v>1709</v>
      </c>
      <c r="H1068" s="272">
        <f>'Flujo Caja Marzo 2026'!$D$119</f>
        <v>499.91</v>
      </c>
    </row>
    <row r="1069" spans="6:8">
      <c r="F1069" s="203">
        <v>46111</v>
      </c>
      <c r="G1069" s="262" t="s">
        <v>1710</v>
      </c>
      <c r="H1069" s="272">
        <f>'Flujo Caja Marzo 2026'!$D$120</f>
        <v>1151.99</v>
      </c>
    </row>
    <row r="1070" spans="6:8">
      <c r="F1070" s="203">
        <v>46111</v>
      </c>
      <c r="G1070" s="262" t="s">
        <v>1711</v>
      </c>
      <c r="H1070" s="272">
        <f>'Flujo Caja Marzo 2026'!$D$121</f>
        <v>4042.28</v>
      </c>
    </row>
    <row r="1071" spans="6:8">
      <c r="F1071" s="203">
        <v>46112</v>
      </c>
      <c r="G1071" s="262" t="s">
        <v>1713</v>
      </c>
      <c r="H1071" s="272">
        <f>'Flujo Caja Marzo 2026'!$D$44</f>
        <v>16935.41</v>
      </c>
    </row>
    <row r="1072" spans="6:8">
      <c r="F1072" s="203">
        <v>46112</v>
      </c>
      <c r="G1072" s="262" t="s">
        <v>1714</v>
      </c>
      <c r="H1072" s="272">
        <f>'Flujo Caja Marzo 2026'!$D$111</f>
        <v>51464.06</v>
      </c>
    </row>
    <row r="1073" spans="2:12">
      <c r="F1073" s="203"/>
      <c r="G1073" s="262"/>
      <c r="H1073" s="272"/>
      <c r="I1073" s="12"/>
    </row>
    <row r="1074" spans="2:12">
      <c r="F1074" s="203"/>
      <c r="G1074" s="262"/>
      <c r="H1074" s="272"/>
    </row>
    <row r="1075" spans="2:12">
      <c r="F1075" s="203"/>
      <c r="G1075" s="262"/>
      <c r="H1075" s="272"/>
    </row>
    <row r="1076" spans="2:12">
      <c r="F1076" s="203"/>
      <c r="G1076" s="262"/>
      <c r="H1076" s="22"/>
    </row>
    <row r="1077" spans="2:12">
      <c r="F1077" s="203"/>
      <c r="G1077" s="7" t="s">
        <v>72</v>
      </c>
      <c r="H1077" s="13">
        <f>SUM(H1003:H1076)</f>
        <v>1809129.1099999999</v>
      </c>
    </row>
    <row r="1078" spans="2:12">
      <c r="G1078" s="7" t="s">
        <v>721</v>
      </c>
      <c r="H1078" s="13">
        <f>D1027-H1077</f>
        <v>544940.2234617779</v>
      </c>
      <c r="J1078" s="13">
        <v>533084.43346177775</v>
      </c>
      <c r="K1078" s="9" t="s">
        <v>1717</v>
      </c>
      <c r="L1078" s="273" t="s">
        <v>904</v>
      </c>
    </row>
    <row r="1082" spans="2:12" ht="18.75">
      <c r="B1082" s="5" t="s">
        <v>34</v>
      </c>
      <c r="C1082" s="5" t="s">
        <v>35</v>
      </c>
      <c r="D1082" s="5" t="s">
        <v>15</v>
      </c>
      <c r="F1082" s="5" t="s">
        <v>36</v>
      </c>
      <c r="G1082" s="5" t="s">
        <v>35</v>
      </c>
      <c r="H1082" s="5" t="s">
        <v>15</v>
      </c>
    </row>
    <row r="1083" spans="2:12">
      <c r="B1083" s="203">
        <v>46113</v>
      </c>
      <c r="C1083" s="158" t="s">
        <v>49</v>
      </c>
      <c r="D1083" s="22">
        <f>H1078</f>
        <v>544940.2234617779</v>
      </c>
      <c r="F1083" s="203">
        <v>46118</v>
      </c>
      <c r="G1083" s="262" t="s">
        <v>1715</v>
      </c>
      <c r="H1083" s="272">
        <v>50923.34</v>
      </c>
    </row>
    <row r="1084" spans="2:12">
      <c r="B1084" s="203">
        <v>46114</v>
      </c>
      <c r="C1084" s="312"/>
      <c r="D1084" s="22">
        <v>29834.09</v>
      </c>
      <c r="F1084" s="203">
        <v>46118</v>
      </c>
      <c r="G1084" s="262" t="s">
        <v>1716</v>
      </c>
      <c r="H1084" s="272">
        <f>'Flujo Caja Marzo 2026'!$D$86</f>
        <v>484.67</v>
      </c>
    </row>
    <row r="1085" spans="2:12">
      <c r="B1085" s="203"/>
      <c r="C1085" s="203"/>
      <c r="D1085" s="22"/>
      <c r="F1085" s="203"/>
      <c r="G1085" s="262"/>
      <c r="H1085" s="272"/>
    </row>
    <row r="1086" spans="2:12">
      <c r="B1086" s="203"/>
      <c r="C1086" s="263"/>
      <c r="D1086" s="22"/>
      <c r="F1086" s="203"/>
      <c r="G1086" s="262"/>
      <c r="H1086" s="272"/>
    </row>
    <row r="1087" spans="2:12">
      <c r="B1087" s="203"/>
      <c r="C1087" s="263"/>
      <c r="D1087" s="22"/>
      <c r="F1087" s="203"/>
      <c r="G1087" s="262"/>
      <c r="H1087" s="272"/>
    </row>
    <row r="1088" spans="2:12">
      <c r="B1088" s="203"/>
      <c r="C1088" s="277"/>
      <c r="D1088" s="22"/>
      <c r="F1088" s="203"/>
      <c r="G1088" s="262"/>
      <c r="H1088" s="272"/>
    </row>
    <row r="1089" spans="2:8">
      <c r="B1089" s="203"/>
      <c r="C1089" s="277"/>
      <c r="D1089" s="22"/>
      <c r="F1089" s="203"/>
      <c r="G1089" s="262"/>
      <c r="H1089" s="272"/>
    </row>
    <row r="1090" spans="2:8">
      <c r="B1090" s="203"/>
      <c r="C1090" s="277"/>
      <c r="D1090" s="22"/>
      <c r="F1090" s="203"/>
      <c r="G1090" s="262"/>
      <c r="H1090" s="272"/>
    </row>
    <row r="1091" spans="2:8">
      <c r="B1091" s="203"/>
      <c r="C1091" s="277"/>
      <c r="D1091" s="22"/>
      <c r="F1091" s="203"/>
      <c r="G1091" s="262"/>
      <c r="H1091" s="272"/>
    </row>
    <row r="1092" spans="2:8">
      <c r="B1092" s="203"/>
      <c r="C1092" s="277"/>
      <c r="D1092" s="22"/>
      <c r="F1092" s="203"/>
      <c r="G1092" s="262"/>
      <c r="H1092" s="272"/>
    </row>
    <row r="1093" spans="2:8">
      <c r="B1093" s="203"/>
      <c r="C1093" s="277"/>
      <c r="D1093" s="22"/>
      <c r="F1093" s="203"/>
      <c r="G1093" s="262"/>
      <c r="H1093" s="272"/>
    </row>
    <row r="1094" spans="2:8">
      <c r="B1094" s="203"/>
      <c r="C1094" s="277"/>
      <c r="D1094" s="22"/>
      <c r="F1094" s="203"/>
      <c r="G1094" s="262"/>
      <c r="H1094" s="272"/>
    </row>
    <row r="1095" spans="2:8">
      <c r="B1095" s="203"/>
      <c r="C1095" s="277"/>
      <c r="D1095" s="22"/>
      <c r="F1095" s="203"/>
      <c r="G1095" s="262"/>
      <c r="H1095" s="272"/>
    </row>
    <row r="1096" spans="2:8">
      <c r="B1096" s="203"/>
      <c r="C1096" s="277"/>
      <c r="D1096" s="22"/>
      <c r="F1096" s="203"/>
      <c r="G1096" s="262"/>
      <c r="H1096" s="272"/>
    </row>
    <row r="1097" spans="2:8">
      <c r="B1097" s="203"/>
      <c r="C1097" s="277"/>
      <c r="D1097" s="22"/>
      <c r="F1097" s="203"/>
      <c r="G1097" s="262"/>
      <c r="H1097" s="272"/>
    </row>
    <row r="1098" spans="2:8">
      <c r="B1098" s="203"/>
      <c r="C1098" s="277"/>
      <c r="D1098" s="22"/>
      <c r="F1098" s="203"/>
      <c r="G1098" s="262"/>
      <c r="H1098" s="272"/>
    </row>
    <row r="1099" spans="2:8">
      <c r="B1099" s="203"/>
      <c r="C1099" s="277"/>
      <c r="D1099" s="22"/>
      <c r="F1099" s="203"/>
      <c r="G1099" s="262"/>
      <c r="H1099" s="272"/>
    </row>
    <row r="1100" spans="2:8">
      <c r="B1100" s="203"/>
      <c r="C1100" s="277"/>
      <c r="D1100" s="22"/>
      <c r="F1100" s="203"/>
      <c r="G1100" s="262"/>
      <c r="H1100" s="272"/>
    </row>
    <row r="1101" spans="2:8">
      <c r="B1101" s="203"/>
      <c r="C1101" s="263"/>
      <c r="D1101" s="22"/>
      <c r="F1101" s="203"/>
      <c r="G1101" s="312"/>
      <c r="H1101" s="272"/>
    </row>
    <row r="1102" spans="2:8">
      <c r="B1102" s="203"/>
      <c r="C1102" s="277"/>
      <c r="D1102" s="22"/>
      <c r="F1102" s="203"/>
      <c r="G1102" s="312"/>
      <c r="H1102" s="272"/>
    </row>
    <row r="1103" spans="2:8">
      <c r="B1103" s="203"/>
      <c r="C1103" s="422"/>
      <c r="D1103" s="421"/>
      <c r="F1103" s="203"/>
      <c r="G1103" s="262"/>
      <c r="H1103" s="272"/>
    </row>
    <row r="1104" spans="2:8">
      <c r="B1104" s="203"/>
      <c r="C1104" s="277"/>
      <c r="D1104" s="22"/>
      <c r="F1104" s="203"/>
      <c r="G1104" s="262"/>
      <c r="H1104" s="272"/>
    </row>
    <row r="1105" spans="2:12">
      <c r="B1105" s="203"/>
      <c r="C1105" s="277"/>
      <c r="D1105" s="22"/>
      <c r="F1105" s="203"/>
      <c r="G1105" s="262"/>
      <c r="H1105" s="272"/>
    </row>
    <row r="1106" spans="2:12">
      <c r="B1106" s="203"/>
      <c r="C1106" s="277"/>
      <c r="D1106" s="22"/>
      <c r="F1106" s="203"/>
      <c r="G1106" s="262"/>
      <c r="H1106" s="272"/>
    </row>
    <row r="1107" spans="2:12">
      <c r="C1107" s="7" t="s">
        <v>128</v>
      </c>
      <c r="D1107" s="13">
        <f>SUM(D1083:D1106)</f>
        <v>574774.31346177787</v>
      </c>
      <c r="F1107" s="203"/>
      <c r="G1107" s="7" t="s">
        <v>129</v>
      </c>
      <c r="H1107" s="13">
        <f>SUM(H1083:H1106)</f>
        <v>51408.009999999995</v>
      </c>
    </row>
    <row r="1108" spans="2:12">
      <c r="G1108" s="7" t="s">
        <v>130</v>
      </c>
      <c r="H1108" s="13">
        <f>D1107-H1107</f>
        <v>523366.30346177786</v>
      </c>
      <c r="J1108" s="13">
        <v>523366.30346177786</v>
      </c>
      <c r="K1108" s="9" t="s">
        <v>1718</v>
      </c>
      <c r="L1108" s="273" t="s">
        <v>904</v>
      </c>
    </row>
  </sheetData>
  <protectedRanges>
    <protectedRange sqref="H365:H368" name="Presupuestos_14"/>
    <protectedRange sqref="H369:H370" name="Presupuestos_6_1_1_1"/>
  </protectedRanges>
  <mergeCells count="3">
    <mergeCell ref="B1:H1"/>
    <mergeCell ref="B2:H2"/>
    <mergeCell ref="B3:H3"/>
  </mergeCells>
  <dataValidations count="1">
    <dataValidation type="list" allowBlank="1" showInputMessage="1" showErrorMessage="1" sqref="J116 J143 J237 J283 J313 J361 J474 J488 J848 I1048" xr:uid="{6AE41FE2-CF33-4F2F-929F-33071A69BD36}">
      <formula1>"0,1"</formula1>
    </dataValidation>
  </dataValidations>
  <pageMargins left="0.7" right="0.7" top="0.75" bottom="0.75" header="0.3" footer="0.3"/>
  <pageSetup orientation="portrait" r:id="rId1"/>
  <ignoredErrors>
    <ignoredError sqref="H119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D0BE-54F2-4B4D-8446-30CA146F458E}">
  <dimension ref="A1:S161"/>
  <sheetViews>
    <sheetView showGridLines="0" topLeftCell="A2" zoomScaleNormal="100" workbookViewId="0">
      <selection activeCell="C35" sqref="C35"/>
    </sheetView>
  </sheetViews>
  <sheetFormatPr baseColWidth="10" defaultColWidth="11.42578125" defaultRowHeight="15" outlineLevelRow="1"/>
  <cols>
    <col min="1" max="1" width="2.140625" style="39" customWidth="1"/>
    <col min="2" max="2" width="14.425781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10" hidden="1">
      <c r="D1" s="41">
        <v>42400</v>
      </c>
    </row>
    <row r="2" spans="2:10">
      <c r="D2" s="42"/>
      <c r="E2" s="42"/>
      <c r="I2" s="43"/>
    </row>
    <row r="3" spans="2:10">
      <c r="E3" s="15"/>
      <c r="I3" s="43"/>
    </row>
    <row r="4" spans="2:10" ht="15.75">
      <c r="B4" s="134"/>
      <c r="C4" s="134"/>
      <c r="D4" s="111" t="s">
        <v>139</v>
      </c>
      <c r="E4" s="66">
        <v>45962</v>
      </c>
      <c r="I4" s="43"/>
    </row>
    <row r="5" spans="2:10">
      <c r="D5" s="42"/>
      <c r="E5" s="42"/>
      <c r="I5" s="43"/>
    </row>
    <row r="6" spans="2:10">
      <c r="C6" s="98" t="s">
        <v>181</v>
      </c>
      <c r="D6" s="125">
        <v>7.46</v>
      </c>
      <c r="E6" s="42"/>
      <c r="I6" s="43"/>
    </row>
    <row r="7" spans="2:10" ht="15.75">
      <c r="C7" s="99"/>
      <c r="D7" s="432" t="s">
        <v>555</v>
      </c>
      <c r="E7" s="432"/>
      <c r="I7" s="43"/>
    </row>
    <row r="8" spans="2:10">
      <c r="D8" s="110" t="s">
        <v>168</v>
      </c>
      <c r="E8" s="110" t="s">
        <v>169</v>
      </c>
    </row>
    <row r="9" spans="2:10" s="44" customFormat="1" ht="15.75">
      <c r="C9" s="101" t="s">
        <v>133</v>
      </c>
      <c r="D9" s="126">
        <f>SUBTOTAL(9,D10:D11)</f>
        <v>461596.23569999961</v>
      </c>
      <c r="E9" s="122">
        <f>SUBTOTAL(9,E10:E11)</f>
        <v>61876.171005361874</v>
      </c>
      <c r="F9" s="45"/>
      <c r="I9" s="43"/>
    </row>
    <row r="10" spans="2:10" s="43" customFormat="1" outlineLevel="1">
      <c r="B10" s="46"/>
      <c r="C10" s="47" t="s">
        <v>153</v>
      </c>
      <c r="D10" s="15">
        <f>'Caja QTQ'!$J$822+31241.13</f>
        <v>447415.67089999962</v>
      </c>
      <c r="E10" s="25">
        <f>D10/$D$6</f>
        <v>59975.291005361876</v>
      </c>
      <c r="F10" s="49"/>
    </row>
    <row r="11" spans="2:10" s="43" customFormat="1" outlineLevel="1">
      <c r="B11" s="46"/>
      <c r="C11" s="47" t="s">
        <v>154</v>
      </c>
      <c r="D11" s="15">
        <f>E11*D6</f>
        <v>14180.5648</v>
      </c>
      <c r="E11" s="25">
        <f>'Caja USD'!$H$260</f>
        <v>1900.88</v>
      </c>
      <c r="F11" s="49"/>
    </row>
    <row r="12" spans="2:10" s="43" customFormat="1" ht="15.75">
      <c r="B12" s="46"/>
      <c r="C12" s="102" t="s">
        <v>134</v>
      </c>
      <c r="D12" s="127">
        <f>SUBTOTAL(9,D13:D29)</f>
        <v>1519234.69</v>
      </c>
      <c r="E12" s="122">
        <f>SUBTOTAL(9,E13:E29)</f>
        <v>199963.21123324396</v>
      </c>
      <c r="F12" s="128"/>
    </row>
    <row r="13" spans="2:10" s="43" customFormat="1" outlineLevel="1">
      <c r="B13" s="218" t="s">
        <v>298</v>
      </c>
      <c r="C13" s="215" t="s">
        <v>515</v>
      </c>
      <c r="D13" s="252">
        <f>'Diferencia en cambio'!I187</f>
        <v>50408.410087439443</v>
      </c>
      <c r="E13" s="225">
        <f>D13/'Diferencia en cambio'!$L$187</f>
        <v>6633.77</v>
      </c>
      <c r="F13" s="128"/>
      <c r="G13" s="171">
        <v>232387.56</v>
      </c>
      <c r="J13" s="372">
        <f>G13/$D$6</f>
        <v>31151.147453083111</v>
      </c>
    </row>
    <row r="14" spans="2:10" s="43" customFormat="1" ht="14.25" customHeight="1" outlineLevel="1">
      <c r="B14" s="218" t="s">
        <v>298</v>
      </c>
      <c r="C14" s="215" t="s">
        <v>516</v>
      </c>
      <c r="D14" s="252">
        <f>'Diferencia en cambio'!I188</f>
        <v>12594.788717686795</v>
      </c>
      <c r="E14" s="225">
        <f>D14/'Diferencia en cambio'!$L$188</f>
        <v>1657.48</v>
      </c>
      <c r="F14" s="202"/>
      <c r="G14" s="171">
        <v>59616.41</v>
      </c>
      <c r="J14" s="372">
        <f>G14/$D$6</f>
        <v>7991.4758713136735</v>
      </c>
    </row>
    <row r="15" spans="2:10" s="43" customFormat="1" outlineLevel="1">
      <c r="B15" s="218" t="s">
        <v>298</v>
      </c>
      <c r="C15" s="215" t="s">
        <v>831</v>
      </c>
      <c r="D15" s="252">
        <f>'Diferencia en cambio'!I189</f>
        <v>28246.937548654765</v>
      </c>
      <c r="E15" s="225">
        <f>D15/'Diferencia en cambio'!$L$189</f>
        <v>3717.31</v>
      </c>
      <c r="F15" s="329"/>
      <c r="G15" s="208"/>
    </row>
    <row r="16" spans="2:10" s="43" customFormat="1" outlineLevel="1">
      <c r="B16" s="218" t="s">
        <v>298</v>
      </c>
      <c r="C16" s="215" t="s">
        <v>1016</v>
      </c>
      <c r="D16" s="252">
        <f>'Diferencia en cambio'!I190</f>
        <v>20247.953404383119</v>
      </c>
      <c r="E16" s="225">
        <f>D16/'Diferencia en cambio'!$L$190</f>
        <v>2664.64</v>
      </c>
      <c r="F16" s="329"/>
      <c r="G16" s="208"/>
    </row>
    <row r="17" spans="1:17" s="43" customFormat="1" outlineLevel="1">
      <c r="B17" s="218" t="s">
        <v>298</v>
      </c>
      <c r="C17" s="357" t="s">
        <v>514</v>
      </c>
      <c r="D17" s="252">
        <f>'Diferencia en cambio'!I191</f>
        <v>18416.424864295732</v>
      </c>
      <c r="E17" s="225">
        <f>D17/'Diferencia en cambio'!L191</f>
        <v>2423.6099999999997</v>
      </c>
      <c r="F17" s="128"/>
      <c r="G17" s="208"/>
    </row>
    <row r="18" spans="1:17" s="43" customFormat="1" outlineLevel="1">
      <c r="B18" s="218" t="s">
        <v>298</v>
      </c>
      <c r="C18" s="357" t="s">
        <v>1309</v>
      </c>
      <c r="D18" s="252">
        <f>'Diferencia en cambio'!I192</f>
        <v>102473.04537754015</v>
      </c>
      <c r="E18" s="225">
        <f>D18/'Diferencia en cambio'!$L$192</f>
        <v>13485.5</v>
      </c>
      <c r="F18" s="128"/>
      <c r="G18" s="208"/>
    </row>
    <row r="19" spans="1:17" s="43" customFormat="1" outlineLevel="1">
      <c r="B19" s="218" t="s">
        <v>298</v>
      </c>
      <c r="C19" s="215" t="s">
        <v>1295</v>
      </c>
      <c r="D19" s="252">
        <f>'Diferencia en cambio'!I193</f>
        <v>425268.22375714133</v>
      </c>
      <c r="E19" s="225">
        <f>$D$19/'Diferencia en cambio'!$L$193</f>
        <v>55740.43</v>
      </c>
      <c r="F19" s="329"/>
      <c r="G19" s="336"/>
    </row>
    <row r="20" spans="1:17" s="43" customFormat="1" outlineLevel="1">
      <c r="A20" s="50"/>
      <c r="B20" s="218" t="s">
        <v>298</v>
      </c>
      <c r="C20" s="215" t="s">
        <v>1296</v>
      </c>
      <c r="D20" s="252">
        <f>'Diferencia en cambio'!$I$194</f>
        <v>23739.41</v>
      </c>
      <c r="E20" s="225">
        <f>D20/'Diferencia en cambio'!$L$194</f>
        <v>3174.48</v>
      </c>
      <c r="F20" s="330"/>
      <c r="G20" s="354"/>
    </row>
    <row r="21" spans="1:17" s="43" customFormat="1" outlineLevel="1">
      <c r="B21" s="218" t="s">
        <v>298</v>
      </c>
      <c r="C21" s="215" t="s">
        <v>1297</v>
      </c>
      <c r="D21" s="252">
        <f>'Diferencia en cambio'!I195</f>
        <v>42797.11051958106</v>
      </c>
      <c r="E21" s="225">
        <f>D21/'Diferencia en cambio'!$L$195</f>
        <v>5609.47</v>
      </c>
    </row>
    <row r="22" spans="1:17" s="43" customFormat="1" outlineLevel="1">
      <c r="B22" s="218" t="s">
        <v>298</v>
      </c>
      <c r="C22" s="215" t="s">
        <v>518</v>
      </c>
      <c r="D22" s="252">
        <f>'Diferencia en cambio'!I196</f>
        <v>33691.75626158627</v>
      </c>
      <c r="E22" s="225">
        <f>D22/'Diferencia en cambio'!$L$196</f>
        <v>4416.0200000000004</v>
      </c>
      <c r="F22" s="128"/>
      <c r="G22" s="52"/>
    </row>
    <row r="23" spans="1:17" s="43" customFormat="1" outlineLevel="1">
      <c r="B23" s="218" t="s">
        <v>298</v>
      </c>
      <c r="C23" s="215" t="s">
        <v>819</v>
      </c>
      <c r="D23" s="252">
        <f>'Diferencia en cambio'!I197</f>
        <v>69708.449052574186</v>
      </c>
      <c r="E23" s="225">
        <f>D23/'Diferencia en cambio'!$L$197</f>
        <v>9219.2800000000007</v>
      </c>
      <c r="F23" s="128"/>
      <c r="G23" s="52"/>
    </row>
    <row r="24" spans="1:17" s="43" customFormat="1" outlineLevel="1">
      <c r="B24" s="218" t="s">
        <v>298</v>
      </c>
      <c r="C24" s="215" t="s">
        <v>929</v>
      </c>
      <c r="D24" s="252">
        <f>'Diferencia en cambio'!I198</f>
        <v>17297.159461691277</v>
      </c>
      <c r="E24" s="225">
        <f>D24/'Diferencia en cambio'!$L$198</f>
        <v>2267.16</v>
      </c>
      <c r="F24" s="128"/>
      <c r="G24" s="52"/>
    </row>
    <row r="25" spans="1:17" s="43" customFormat="1" outlineLevel="1">
      <c r="B25" s="218" t="s">
        <v>298</v>
      </c>
      <c r="C25" s="215" t="s">
        <v>832</v>
      </c>
      <c r="D25" s="252">
        <f>'Diferencia en cambio'!I199</f>
        <v>143579.2409474258</v>
      </c>
      <c r="E25" s="225">
        <f>D25/'Diferencia en cambio'!$L$199</f>
        <v>18989.05</v>
      </c>
      <c r="F25" s="202"/>
      <c r="G25" s="52"/>
    </row>
    <row r="26" spans="1:17" s="43" customFormat="1" outlineLevel="1">
      <c r="A26" s="50"/>
      <c r="B26" s="218" t="s">
        <v>298</v>
      </c>
      <c r="C26" s="300" t="s">
        <v>937</v>
      </c>
      <c r="D26" s="252">
        <f>'Diferencia en cambio'!I186</f>
        <v>121412.13</v>
      </c>
      <c r="E26" s="225">
        <f>D26/'Diferencia en cambio'!L186</f>
        <v>15938.35</v>
      </c>
      <c r="F26" s="128"/>
      <c r="G26" s="184"/>
    </row>
    <row r="27" spans="1:17" s="43" customFormat="1" outlineLevel="1">
      <c r="B27" s="218" t="s">
        <v>298</v>
      </c>
      <c r="C27" s="215" t="s">
        <v>1260</v>
      </c>
      <c r="D27" s="252">
        <f>'Diferencia en cambio'!I185</f>
        <v>38638.949999999997</v>
      </c>
      <c r="E27" s="217">
        <f>D27/'Diferencia en cambio'!L185</f>
        <v>5150</v>
      </c>
      <c r="F27" s="128"/>
      <c r="G27" s="52"/>
    </row>
    <row r="28" spans="1:17" s="43" customFormat="1" outlineLevel="1">
      <c r="B28" s="218" t="s">
        <v>298</v>
      </c>
      <c r="C28" s="215" t="s">
        <v>1130</v>
      </c>
      <c r="D28" s="252">
        <f>'Diferencia en cambio'!I200</f>
        <v>311098.25</v>
      </c>
      <c r="E28" s="225">
        <f>D28/'Diferencia en cambio'!L200</f>
        <v>40885.18</v>
      </c>
      <c r="F28" s="128"/>
      <c r="G28" s="208"/>
    </row>
    <row r="29" spans="1:17" s="43" customFormat="1" outlineLevel="1">
      <c r="B29" s="218" t="s">
        <v>298</v>
      </c>
      <c r="C29" s="215" t="s">
        <v>1318</v>
      </c>
      <c r="D29" s="252">
        <v>59616.45</v>
      </c>
      <c r="E29" s="225">
        <f>D29/D6</f>
        <v>7991.4812332439678</v>
      </c>
      <c r="F29" s="128"/>
      <c r="G29" s="208"/>
    </row>
    <row r="30" spans="1:17" s="43" customFormat="1" ht="15.75">
      <c r="B30" s="46"/>
      <c r="C30" s="276" t="s">
        <v>136</v>
      </c>
      <c r="D30" s="274">
        <f>SUBTOTAL(9,D9:D29)</f>
        <v>1980830.9256999991</v>
      </c>
      <c r="E30" s="275">
        <f>SUBTOTAL(9,E9:E29)</f>
        <v>261839.38223860585</v>
      </c>
      <c r="F30" s="56"/>
      <c r="G30" s="56"/>
      <c r="J30" s="52"/>
      <c r="K30" s="57"/>
      <c r="O30" s="58"/>
      <c r="P30" s="59"/>
      <c r="Q30" s="53"/>
    </row>
    <row r="31" spans="1:17" s="43" customFormat="1" ht="15.75">
      <c r="B31" s="46"/>
      <c r="C31" s="60"/>
      <c r="D31" s="61"/>
      <c r="E31" s="61"/>
      <c r="G31" s="62"/>
      <c r="O31" s="59"/>
      <c r="P31" s="59"/>
    </row>
    <row r="32" spans="1:17" s="43" customFormat="1" ht="15.75">
      <c r="B32" s="46"/>
      <c r="N32" s="63"/>
      <c r="O32" s="64"/>
      <c r="P32" s="65"/>
    </row>
    <row r="33" spans="2:19" s="43" customFormat="1" ht="15.75">
      <c r="B33" s="432" t="s">
        <v>137</v>
      </c>
      <c r="C33" s="432"/>
      <c r="D33" s="432" t="s">
        <v>555</v>
      </c>
      <c r="E33" s="432"/>
      <c r="K33" s="65"/>
      <c r="L33" s="65"/>
      <c r="N33" s="63"/>
      <c r="R33" s="52"/>
      <c r="S33" s="52"/>
    </row>
    <row r="34" spans="2:19" s="43" customFormat="1" ht="16.5" thickBot="1">
      <c r="B34" s="67" t="s">
        <v>81</v>
      </c>
      <c r="C34" s="68" t="s">
        <v>106</v>
      </c>
      <c r="D34" s="110" t="s">
        <v>168</v>
      </c>
      <c r="E34" s="110" t="s">
        <v>169</v>
      </c>
      <c r="F34" s="69" t="s">
        <v>140</v>
      </c>
      <c r="G34" s="63" t="s">
        <v>141</v>
      </c>
      <c r="H34" s="63"/>
      <c r="I34" s="63"/>
      <c r="J34" s="70" t="s">
        <v>142</v>
      </c>
      <c r="N34" s="71"/>
      <c r="R34" s="52"/>
      <c r="S34" s="72"/>
    </row>
    <row r="35" spans="2:19" s="43" customFormat="1" ht="16.5" thickBot="1">
      <c r="B35" s="46"/>
      <c r="C35" s="73" t="s">
        <v>155</v>
      </c>
      <c r="D35" s="103">
        <f>SUBTOTAL(9,D36:D36)</f>
        <v>119631.47</v>
      </c>
      <c r="E35" s="112">
        <f>SUBTOTAL(9,E36:E36)</f>
        <v>16036.390080428955</v>
      </c>
      <c r="F35" s="74"/>
      <c r="J35" s="76"/>
    </row>
    <row r="36" spans="2:19" s="43" customFormat="1" ht="15.75" outlineLevel="1" thickBot="1">
      <c r="B36" s="168">
        <v>5794688</v>
      </c>
      <c r="C36" s="78" t="s">
        <v>556</v>
      </c>
      <c r="D36" s="104">
        <v>119631.47</v>
      </c>
      <c r="E36" s="115">
        <f>D36/$D$6</f>
        <v>16036.390080428955</v>
      </c>
      <c r="F36" s="80">
        <v>45975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10</v>
      </c>
      <c r="J36" s="75">
        <f>H36</f>
        <v>0</v>
      </c>
      <c r="K36" s="52"/>
      <c r="L36" s="52"/>
    </row>
    <row r="37" spans="2:19" s="43" customFormat="1" ht="16.5" thickBot="1">
      <c r="B37" s="46"/>
      <c r="C37" s="73" t="s">
        <v>144</v>
      </c>
      <c r="D37" s="103">
        <f>SUBTOTAL(9,D38:D40)</f>
        <v>29911.350000000002</v>
      </c>
      <c r="E37" s="112">
        <f>SUBTOTAL(9,E38:E40)</f>
        <v>4009.5643431635385</v>
      </c>
      <c r="J37" s="76">
        <f t="shared" ref="J37:J45" si="0">H37</f>
        <v>0</v>
      </c>
    </row>
    <row r="38" spans="2:19" s="43" customFormat="1" outlineLevel="1">
      <c r="B38" s="168">
        <v>49088379970</v>
      </c>
      <c r="C38" s="47" t="s">
        <v>522</v>
      </c>
      <c r="D38" s="104">
        <v>25414.84</v>
      </c>
      <c r="E38" s="115">
        <f>D38/$D$6</f>
        <v>3406.8150134048255</v>
      </c>
      <c r="F38" s="80">
        <v>45975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10</v>
      </c>
      <c r="J38" s="75">
        <f t="shared" si="0"/>
        <v>0</v>
      </c>
      <c r="K38" s="48"/>
      <c r="L38" s="57"/>
    </row>
    <row r="39" spans="2:19" s="43" customFormat="1" ht="14.25" customHeight="1" outlineLevel="1">
      <c r="B39" s="168">
        <v>49088577105</v>
      </c>
      <c r="C39" s="47" t="s">
        <v>1267</v>
      </c>
      <c r="D39" s="109">
        <v>3462.99</v>
      </c>
      <c r="E39" s="115">
        <f>D39/$D$6</f>
        <v>464.20777479892757</v>
      </c>
      <c r="F39" s="80">
        <v>45975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10</v>
      </c>
      <c r="J39" s="75">
        <f t="shared" si="0"/>
        <v>0</v>
      </c>
      <c r="K39" s="48"/>
      <c r="L39" s="57"/>
    </row>
    <row r="40" spans="2:19" s="43" customFormat="1" ht="14.25" customHeight="1" outlineLevel="1" thickBot="1">
      <c r="B40" s="168">
        <v>4904205174</v>
      </c>
      <c r="C40" s="47" t="s">
        <v>1148</v>
      </c>
      <c r="D40" s="109">
        <v>1033.52</v>
      </c>
      <c r="E40" s="115">
        <f>D40/$D$6</f>
        <v>138.54155495978551</v>
      </c>
      <c r="F40" s="80">
        <v>45975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10</v>
      </c>
      <c r="J40" s="75">
        <f t="shared" si="0"/>
        <v>0</v>
      </c>
      <c r="K40" s="48"/>
      <c r="L40" s="57"/>
    </row>
    <row r="41" spans="2:19" s="43" customFormat="1" ht="16.5" thickBot="1">
      <c r="B41" s="46"/>
      <c r="C41" s="73" t="s">
        <v>1065</v>
      </c>
      <c r="D41" s="103">
        <f>SUBTOTAL(9,D42:D46)</f>
        <v>17617.890000000003</v>
      </c>
      <c r="E41" s="112">
        <f>SUBTOTAL(9,E42:E46)</f>
        <v>2361.6474530831101</v>
      </c>
      <c r="J41" s="76">
        <f t="shared" si="0"/>
        <v>0</v>
      </c>
      <c r="K41" s="52"/>
      <c r="L41" s="52"/>
    </row>
    <row r="42" spans="2:19" s="43" customFormat="1" outlineLevel="1">
      <c r="B42" s="352" t="s">
        <v>1251</v>
      </c>
      <c r="C42" s="47" t="s">
        <v>1068</v>
      </c>
      <c r="D42" s="109">
        <f>$E$42*$D$6</f>
        <v>10071</v>
      </c>
      <c r="E42" s="113">
        <v>1350</v>
      </c>
      <c r="F42" s="74">
        <v>45968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5</v>
      </c>
      <c r="J42" s="75">
        <f>H42</f>
        <v>0</v>
      </c>
      <c r="M42" s="297"/>
      <c r="N42" s="49"/>
    </row>
    <row r="43" spans="2:19" s="43" customFormat="1" ht="30" outlineLevel="1">
      <c r="B43" s="84">
        <v>752578</v>
      </c>
      <c r="C43" s="47" t="s">
        <v>1279</v>
      </c>
      <c r="D43" s="109">
        <f>4673.2</f>
        <v>4673.2</v>
      </c>
      <c r="E43" s="113">
        <f>D43/$D$6</f>
        <v>626.43431635388743</v>
      </c>
      <c r="F43" s="74">
        <v>45982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15</v>
      </c>
      <c r="J43" s="75">
        <f>H43</f>
        <v>0</v>
      </c>
      <c r="M43" s="297"/>
      <c r="N43" s="49"/>
    </row>
    <row r="44" spans="2:19" s="43" customFormat="1" outlineLevel="1">
      <c r="B44" s="46">
        <v>2888256700</v>
      </c>
      <c r="C44" s="47" t="s">
        <v>1268</v>
      </c>
      <c r="D44" s="109">
        <v>1368.42</v>
      </c>
      <c r="E44" s="115">
        <f>D44/$D$6</f>
        <v>183.4343163538874</v>
      </c>
      <c r="F44" s="74">
        <v>45982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15</v>
      </c>
      <c r="J44" s="75">
        <f t="shared" si="0"/>
        <v>0</v>
      </c>
      <c r="M44" s="297"/>
      <c r="N44" s="49"/>
    </row>
    <row r="45" spans="2:19" s="43" customFormat="1" outlineLevel="1">
      <c r="B45" s="46">
        <v>1089948594</v>
      </c>
      <c r="C45" s="47" t="s">
        <v>1282</v>
      </c>
      <c r="D45" s="109">
        <v>926.32</v>
      </c>
      <c r="E45" s="115">
        <f>D45/$D$6</f>
        <v>124.17158176943701</v>
      </c>
      <c r="F45" s="74">
        <v>45982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15</v>
      </c>
      <c r="J45" s="75">
        <f t="shared" si="0"/>
        <v>0</v>
      </c>
      <c r="M45" s="304"/>
      <c r="N45" s="49"/>
    </row>
    <row r="46" spans="2:19" s="43" customFormat="1" ht="15.75" outlineLevel="1" thickBot="1">
      <c r="B46" s="46">
        <v>363809461</v>
      </c>
      <c r="C46" s="47" t="s">
        <v>1283</v>
      </c>
      <c r="D46" s="109">
        <v>578.95000000000005</v>
      </c>
      <c r="E46" s="115">
        <f>D46/$D$6</f>
        <v>77.607238605898132</v>
      </c>
      <c r="F46" s="74">
        <v>45982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15</v>
      </c>
      <c r="J46" s="75">
        <f t="shared" ref="J46" si="1">H46</f>
        <v>0</v>
      </c>
      <c r="M46" s="304"/>
      <c r="N46" s="49"/>
    </row>
    <row r="47" spans="2:19" s="43" customFormat="1" ht="16.5" thickBot="1">
      <c r="C47" s="73" t="s">
        <v>146</v>
      </c>
      <c r="D47" s="103">
        <f>SUBTOTAL(9,D48:D55)</f>
        <v>10192.010200000001</v>
      </c>
      <c r="E47" s="112">
        <f>SUBTOTAL(9,E48:E55)</f>
        <v>1366.2212064343162</v>
      </c>
      <c r="F47" s="43" t="s">
        <v>725</v>
      </c>
      <c r="K47" s="49"/>
      <c r="L47" s="49"/>
      <c r="O47" s="49"/>
      <c r="P47" s="49"/>
    </row>
    <row r="48" spans="2:19" s="43" customFormat="1" ht="14.25" customHeight="1" outlineLevel="1">
      <c r="B48" s="186" t="s">
        <v>746</v>
      </c>
      <c r="C48" s="210" t="s">
        <v>272</v>
      </c>
      <c r="D48" s="104">
        <f>E48*$D$6</f>
        <v>410.82220000000001</v>
      </c>
      <c r="E48" s="359">
        <v>55.07</v>
      </c>
      <c r="F48" s="74">
        <v>45982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15</v>
      </c>
      <c r="J48" s="75">
        <f t="shared" ref="J48:J55" si="2">H48</f>
        <v>0</v>
      </c>
      <c r="K48" s="49"/>
      <c r="L48" s="49"/>
      <c r="O48" s="49"/>
      <c r="P48" s="49"/>
    </row>
    <row r="49" spans="2:16" s="43" customFormat="1" outlineLevel="1">
      <c r="B49" s="186" t="s">
        <v>745</v>
      </c>
      <c r="C49" s="210" t="s">
        <v>273</v>
      </c>
      <c r="D49" s="104">
        <f>E49*$D$6</f>
        <v>1935.6462000000001</v>
      </c>
      <c r="E49" s="359">
        <v>259.47000000000003</v>
      </c>
      <c r="F49" s="74">
        <v>45982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15</v>
      </c>
      <c r="J49" s="75">
        <f t="shared" si="2"/>
        <v>0</v>
      </c>
    </row>
    <row r="50" spans="2:16" s="43" customFormat="1" outlineLevel="1">
      <c r="B50" s="186" t="s">
        <v>745</v>
      </c>
      <c r="C50" s="210" t="s">
        <v>274</v>
      </c>
      <c r="D50" s="104">
        <f>E50*$D$6</f>
        <v>1531.7618</v>
      </c>
      <c r="E50" s="359">
        <v>205.33</v>
      </c>
      <c r="F50" s="74">
        <v>45982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15</v>
      </c>
      <c r="J50" s="75">
        <f t="shared" si="2"/>
        <v>0</v>
      </c>
    </row>
    <row r="51" spans="2:16" s="43" customFormat="1" ht="14.25" customHeight="1" outlineLevel="1">
      <c r="B51" s="251" t="s">
        <v>745</v>
      </c>
      <c r="C51" s="209" t="s">
        <v>827</v>
      </c>
      <c r="D51" s="269">
        <v>722.42</v>
      </c>
      <c r="E51" s="113">
        <f>D51/$D$6</f>
        <v>96.839142091152809</v>
      </c>
      <c r="F51" s="74">
        <v>45982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15</v>
      </c>
      <c r="J51" s="75">
        <f>H51</f>
        <v>0</v>
      </c>
      <c r="K51" s="49"/>
      <c r="L51" s="49"/>
      <c r="O51" s="49"/>
      <c r="P51" s="49"/>
    </row>
    <row r="52" spans="2:16" s="43" customFormat="1" ht="14.25" customHeight="1" outlineLevel="1">
      <c r="B52" s="251" t="s">
        <v>745</v>
      </c>
      <c r="C52" s="209" t="s">
        <v>825</v>
      </c>
      <c r="D52" s="269">
        <v>861.81</v>
      </c>
      <c r="E52" s="113">
        <f>D52/$D$6</f>
        <v>115.52412868632707</v>
      </c>
      <c r="F52" s="74">
        <v>45982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15</v>
      </c>
      <c r="J52" s="75">
        <f>H52</f>
        <v>0</v>
      </c>
      <c r="K52" s="49"/>
      <c r="L52" s="49"/>
      <c r="O52" s="49"/>
      <c r="P52" s="49"/>
    </row>
    <row r="53" spans="2:16" s="43" customFormat="1" ht="14.25" customHeight="1" outlineLevel="1">
      <c r="B53" s="251" t="s">
        <v>745</v>
      </c>
      <c r="C53" s="209" t="s">
        <v>822</v>
      </c>
      <c r="D53" s="269">
        <v>1704.44</v>
      </c>
      <c r="E53" s="113">
        <f>D53/$D$6</f>
        <v>228.47721179624665</v>
      </c>
      <c r="F53" s="74">
        <v>45982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15</v>
      </c>
      <c r="J53" s="75">
        <f t="shared" si="2"/>
        <v>0</v>
      </c>
      <c r="K53" s="49"/>
      <c r="L53" s="49"/>
      <c r="O53" s="49"/>
      <c r="P53" s="49"/>
    </row>
    <row r="54" spans="2:16" s="43" customFormat="1" outlineLevel="1">
      <c r="B54" s="251" t="s">
        <v>745</v>
      </c>
      <c r="C54" s="209" t="s">
        <v>823</v>
      </c>
      <c r="D54" s="269">
        <v>1023.02</v>
      </c>
      <c r="E54" s="113">
        <f>D54/$D$6</f>
        <v>137.13404825737265</v>
      </c>
      <c r="F54" s="74">
        <v>45982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15</v>
      </c>
      <c r="J54" s="75">
        <f t="shared" si="2"/>
        <v>0</v>
      </c>
    </row>
    <row r="55" spans="2:16" s="43" customFormat="1" ht="15.75" outlineLevel="1" thickBot="1">
      <c r="B55" s="251" t="s">
        <v>745</v>
      </c>
      <c r="C55" s="209" t="s">
        <v>824</v>
      </c>
      <c r="D55" s="269">
        <v>2002.09</v>
      </c>
      <c r="E55" s="113">
        <f>D55/$D$6</f>
        <v>268.37667560321717</v>
      </c>
      <c r="F55" s="74">
        <v>45982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15</v>
      </c>
      <c r="J55" s="75">
        <f t="shared" si="2"/>
        <v>0</v>
      </c>
    </row>
    <row r="56" spans="2:16" s="43" customFormat="1" ht="16.5" thickBot="1">
      <c r="B56" s="82"/>
      <c r="C56" s="85" t="s">
        <v>162</v>
      </c>
      <c r="D56" s="119">
        <f>SUBTOTAL(9,D57:D57)</f>
        <v>0</v>
      </c>
      <c r="E56" s="114">
        <f>SUBTOTAL(9,E57:E57)</f>
        <v>0</v>
      </c>
      <c r="K56" s="52"/>
      <c r="M56" s="183"/>
      <c r="N56" s="183"/>
    </row>
    <row r="57" spans="2:16" s="43" customFormat="1" ht="15.75" outlineLevel="1" thickBot="1">
      <c r="B57" s="46">
        <v>0</v>
      </c>
      <c r="C57" s="47"/>
      <c r="D57" s="104">
        <f>E57*7.8</f>
        <v>0</v>
      </c>
      <c r="E57" s="115">
        <v>0</v>
      </c>
      <c r="F57" s="74">
        <v>45991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20</v>
      </c>
      <c r="J57" s="75">
        <f t="shared" ref="J57" si="3">H57</f>
        <v>0</v>
      </c>
      <c r="M57" s="104"/>
      <c r="N57" s="49"/>
    </row>
    <row r="58" spans="2:16" s="43" customFormat="1" ht="16.5" thickBot="1">
      <c r="B58" s="46"/>
      <c r="C58" s="73" t="s">
        <v>147</v>
      </c>
      <c r="D58" s="103">
        <f>SUBTOTAL(9,D59:D59)</f>
        <v>0</v>
      </c>
      <c r="E58" s="112">
        <f>SUBTOTAL(9,E59:E59)</f>
        <v>0</v>
      </c>
    </row>
    <row r="59" spans="2:16" s="43" customFormat="1" ht="15.75" outlineLevel="1" thickBot="1">
      <c r="B59" s="46"/>
      <c r="C59" s="47"/>
      <c r="D59" s="104"/>
      <c r="E59" s="113"/>
      <c r="F59" s="74">
        <v>45991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20</v>
      </c>
      <c r="J59" s="75">
        <f>H59</f>
        <v>0</v>
      </c>
    </row>
    <row r="60" spans="2:16" s="43" customFormat="1" ht="15.75" customHeight="1" thickBot="1">
      <c r="C60" s="73" t="s">
        <v>148</v>
      </c>
      <c r="D60" s="119">
        <f>SUBTOTAL(9,D61:D62)</f>
        <v>298.39999999999998</v>
      </c>
      <c r="E60" s="114">
        <f>SUBTOTAL(9,E61:E62)</f>
        <v>40</v>
      </c>
    </row>
    <row r="61" spans="2:16" s="43" customFormat="1" outlineLevel="1">
      <c r="B61" s="46"/>
      <c r="C61" s="47" t="s">
        <v>1257</v>
      </c>
      <c r="D61" s="109">
        <f>E61*$D$6</f>
        <v>298.39999999999998</v>
      </c>
      <c r="E61" s="115">
        <v>40</v>
      </c>
      <c r="F61" s="74">
        <v>45968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5</v>
      </c>
      <c r="J61" s="75">
        <f t="shared" ref="J61" si="4">H61</f>
        <v>0</v>
      </c>
    </row>
    <row r="62" spans="2:16" s="43" customFormat="1" ht="15.75" outlineLevel="1" thickBot="1">
      <c r="B62" s="46"/>
      <c r="C62" s="47" t="s">
        <v>117</v>
      </c>
      <c r="D62" s="370">
        <f>E62*D6</f>
        <v>0</v>
      </c>
      <c r="E62" s="371">
        <f>40*0</f>
        <v>0</v>
      </c>
      <c r="F62" s="74">
        <v>45991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20</v>
      </c>
      <c r="J62" s="75">
        <f t="shared" ref="J62" si="5">H62</f>
        <v>0</v>
      </c>
    </row>
    <row r="63" spans="2:16" s="43" customFormat="1" ht="16.5" thickBot="1">
      <c r="C63" s="73" t="s">
        <v>164</v>
      </c>
      <c r="D63" s="119">
        <f>SUBTOTAL(9,D64:D85)</f>
        <v>1005209.6699999999</v>
      </c>
      <c r="E63" s="114">
        <f>SUBTOTAL(9,E64:E85)</f>
        <v>134746.60455764076</v>
      </c>
      <c r="K63" s="52"/>
      <c r="L63" s="86"/>
      <c r="M63" s="109"/>
      <c r="N63" s="109"/>
      <c r="O63" s="113"/>
    </row>
    <row r="64" spans="2:16" s="43" customFormat="1" outlineLevel="1">
      <c r="B64" s="83" t="s">
        <v>1034</v>
      </c>
      <c r="C64" s="47" t="s">
        <v>843</v>
      </c>
      <c r="D64" s="271">
        <v>29589.9</v>
      </c>
      <c r="E64" s="113">
        <f t="shared" ref="E64:E85" si="6">D64/$D$6</f>
        <v>3966.4745308310994</v>
      </c>
      <c r="F64" s="74">
        <v>45988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19</v>
      </c>
      <c r="J64" s="75">
        <f t="shared" ref="J64:J85" si="7">H64</f>
        <v>0</v>
      </c>
      <c r="L64" s="52"/>
    </row>
    <row r="65" spans="2:12" s="43" customFormat="1" outlineLevel="1">
      <c r="B65" s="83" t="s">
        <v>1034</v>
      </c>
      <c r="C65" s="47" t="s">
        <v>886</v>
      </c>
      <c r="D65" s="271">
        <v>76403.600000000006</v>
      </c>
      <c r="E65" s="113">
        <f t="shared" si="6"/>
        <v>10241.76943699732</v>
      </c>
      <c r="F65" s="74">
        <v>45988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19</v>
      </c>
      <c r="J65" s="75">
        <f t="shared" si="7"/>
        <v>0</v>
      </c>
      <c r="L65" s="52"/>
    </row>
    <row r="66" spans="2:12" s="43" customFormat="1" outlineLevel="1">
      <c r="B66" s="83" t="s">
        <v>1034</v>
      </c>
      <c r="C66" s="47" t="s">
        <v>176</v>
      </c>
      <c r="D66" s="271">
        <v>56575.92</v>
      </c>
      <c r="E66" s="113">
        <f t="shared" si="6"/>
        <v>7583.9034852546911</v>
      </c>
      <c r="F66" s="74">
        <v>45988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19</v>
      </c>
      <c r="J66" s="75">
        <f t="shared" si="7"/>
        <v>0</v>
      </c>
      <c r="L66" s="52"/>
    </row>
    <row r="67" spans="2:12" s="43" customFormat="1" ht="13.5" customHeight="1" outlineLevel="1">
      <c r="B67" s="83" t="s">
        <v>1034</v>
      </c>
      <c r="C67" s="47" t="s">
        <v>1249</v>
      </c>
      <c r="D67" s="271">
        <v>24838.23</v>
      </c>
      <c r="E67" s="113">
        <f t="shared" si="6"/>
        <v>3329.5214477211794</v>
      </c>
      <c r="F67" s="74">
        <v>45988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19</v>
      </c>
      <c r="J67" s="75">
        <f>H67</f>
        <v>0</v>
      </c>
      <c r="L67" s="52"/>
    </row>
    <row r="68" spans="2:12" s="43" customFormat="1" outlineLevel="1">
      <c r="B68" s="267" t="s">
        <v>1035</v>
      </c>
      <c r="C68" s="47" t="s">
        <v>944</v>
      </c>
      <c r="D68" s="271">
        <v>19172.23</v>
      </c>
      <c r="E68" s="113">
        <f t="shared" si="6"/>
        <v>2570.0040214477212</v>
      </c>
      <c r="F68" s="74">
        <v>45988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19</v>
      </c>
      <c r="J68" s="75">
        <f t="shared" si="7"/>
        <v>0</v>
      </c>
      <c r="L68" s="52"/>
    </row>
    <row r="69" spans="2:12" s="43" customFormat="1" outlineLevel="1">
      <c r="B69" s="267" t="s">
        <v>1035</v>
      </c>
      <c r="C69" s="47" t="s">
        <v>945</v>
      </c>
      <c r="D69" s="271">
        <v>12965.13</v>
      </c>
      <c r="E69" s="113">
        <f t="shared" si="6"/>
        <v>1737.9530831099194</v>
      </c>
      <c r="F69" s="74">
        <v>45988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19</v>
      </c>
      <c r="J69" s="75">
        <f t="shared" si="7"/>
        <v>0</v>
      </c>
      <c r="L69" s="52"/>
    </row>
    <row r="70" spans="2:12" s="43" customFormat="1" outlineLevel="1">
      <c r="B70" s="267" t="s">
        <v>1035</v>
      </c>
      <c r="C70" s="47" t="s">
        <v>829</v>
      </c>
      <c r="D70" s="271">
        <v>57055.09</v>
      </c>
      <c r="E70" s="113">
        <f t="shared" si="6"/>
        <v>7648.1353887399464</v>
      </c>
      <c r="F70" s="74">
        <v>45988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19</v>
      </c>
      <c r="J70" s="75">
        <f t="shared" si="7"/>
        <v>0</v>
      </c>
      <c r="L70" s="52"/>
    </row>
    <row r="71" spans="2:12" s="43" customFormat="1" outlineLevel="1">
      <c r="B71" s="267" t="s">
        <v>1035</v>
      </c>
      <c r="C71" s="47" t="s">
        <v>1300</v>
      </c>
      <c r="D71" s="271">
        <v>73689.47</v>
      </c>
      <c r="E71" s="113">
        <f t="shared" si="6"/>
        <v>9877.9450402144776</v>
      </c>
      <c r="F71" s="74">
        <v>45988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19</v>
      </c>
      <c r="J71" s="75">
        <f t="shared" si="7"/>
        <v>0</v>
      </c>
      <c r="L71" s="52"/>
    </row>
    <row r="72" spans="2:12" s="43" customFormat="1" outlineLevel="1">
      <c r="B72" s="267" t="s">
        <v>1036</v>
      </c>
      <c r="C72" s="47" t="s">
        <v>946</v>
      </c>
      <c r="D72" s="271">
        <v>14130.71</v>
      </c>
      <c r="E72" s="113">
        <f t="shared" si="6"/>
        <v>1894.1970509383377</v>
      </c>
      <c r="F72" s="74">
        <v>45988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19</v>
      </c>
      <c r="J72" s="75">
        <f t="shared" si="7"/>
        <v>0</v>
      </c>
      <c r="L72" s="52"/>
    </row>
    <row r="73" spans="2:12" s="43" customFormat="1" outlineLevel="1">
      <c r="B73" s="301" t="s">
        <v>1037</v>
      </c>
      <c r="C73" s="47" t="s">
        <v>947</v>
      </c>
      <c r="D73" s="271">
        <v>14162.36</v>
      </c>
      <c r="E73" s="113">
        <f t="shared" si="6"/>
        <v>1898.4396782841825</v>
      </c>
      <c r="F73" s="74">
        <v>45988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19</v>
      </c>
      <c r="J73" s="75">
        <f>H73</f>
        <v>0</v>
      </c>
      <c r="L73" s="52"/>
    </row>
    <row r="74" spans="2:12" s="43" customFormat="1" outlineLevel="1">
      <c r="B74" s="303" t="s">
        <v>892</v>
      </c>
      <c r="C74" s="50" t="s">
        <v>414</v>
      </c>
      <c r="D74" s="268">
        <v>133147</v>
      </c>
      <c r="E74" s="113">
        <f t="shared" si="6"/>
        <v>17848.123324396784</v>
      </c>
      <c r="F74" s="74">
        <v>45988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19</v>
      </c>
      <c r="J74" s="75">
        <f t="shared" si="7"/>
        <v>0</v>
      </c>
      <c r="L74" s="52"/>
    </row>
    <row r="75" spans="2:12" s="43" customFormat="1" outlineLevel="1">
      <c r="B75" s="303" t="s">
        <v>892</v>
      </c>
      <c r="C75" s="47" t="s">
        <v>417</v>
      </c>
      <c r="D75" s="268">
        <v>21769</v>
      </c>
      <c r="E75" s="113">
        <f t="shared" si="6"/>
        <v>2918.0965147453085</v>
      </c>
      <c r="F75" s="74">
        <v>45988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19</v>
      </c>
      <c r="J75" s="75">
        <f>H75</f>
        <v>0</v>
      </c>
      <c r="L75" s="52"/>
    </row>
    <row r="76" spans="2:12" s="43" customFormat="1" outlineLevel="1">
      <c r="B76" s="303" t="s">
        <v>892</v>
      </c>
      <c r="C76" s="47" t="s">
        <v>409</v>
      </c>
      <c r="D76" s="268">
        <v>28522</v>
      </c>
      <c r="E76" s="113">
        <f t="shared" si="6"/>
        <v>3823.3243967828416</v>
      </c>
      <c r="F76" s="74">
        <v>45988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19</v>
      </c>
      <c r="J76" s="75">
        <f>H76</f>
        <v>0</v>
      </c>
      <c r="L76" s="52"/>
    </row>
    <row r="77" spans="2:12" s="43" customFormat="1" outlineLevel="1">
      <c r="B77" s="303" t="s">
        <v>892</v>
      </c>
      <c r="C77" s="47" t="s">
        <v>416</v>
      </c>
      <c r="D77" s="268">
        <v>158702</v>
      </c>
      <c r="E77" s="113">
        <f t="shared" si="6"/>
        <v>21273.726541554959</v>
      </c>
      <c r="F77" s="74">
        <v>45988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19</v>
      </c>
      <c r="J77" s="75">
        <f t="shared" si="7"/>
        <v>0</v>
      </c>
      <c r="L77" s="52"/>
    </row>
    <row r="78" spans="2:12" s="43" customFormat="1" outlineLevel="1">
      <c r="B78" s="303" t="s">
        <v>892</v>
      </c>
      <c r="C78" s="47" t="s">
        <v>412</v>
      </c>
      <c r="D78" s="268">
        <v>16129</v>
      </c>
      <c r="E78" s="113">
        <f t="shared" si="6"/>
        <v>2162.064343163539</v>
      </c>
      <c r="F78" s="74">
        <v>45988</v>
      </c>
      <c r="G78" s="43" t="s">
        <v>135</v>
      </c>
      <c r="H78" s="43">
        <f>IF(OR(G78="Sin pagar",G78="Pagar"),NETWORKDAYS($E$4,F78,'Festivos Guatemala'!$A$3:$A$15),0)</f>
        <v>0</v>
      </c>
      <c r="I78" s="43">
        <f>NETWORKDAYS($E$4,F78,'Festivos Guatemala'!$A$3:$A$15)</f>
        <v>19</v>
      </c>
      <c r="J78" s="75">
        <f t="shared" si="7"/>
        <v>0</v>
      </c>
      <c r="L78" s="52"/>
    </row>
    <row r="79" spans="2:12" s="43" customFormat="1" outlineLevel="1">
      <c r="B79" s="303" t="s">
        <v>892</v>
      </c>
      <c r="C79" s="47" t="s">
        <v>413</v>
      </c>
      <c r="D79" s="268">
        <v>7823</v>
      </c>
      <c r="E79" s="113">
        <f t="shared" si="6"/>
        <v>1048.6595174262734</v>
      </c>
      <c r="F79" s="74">
        <v>45988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19</v>
      </c>
      <c r="J79" s="75">
        <f t="shared" si="7"/>
        <v>0</v>
      </c>
      <c r="L79" s="52"/>
    </row>
    <row r="80" spans="2:12" s="43" customFormat="1" outlineLevel="1">
      <c r="B80" s="303" t="s">
        <v>892</v>
      </c>
      <c r="C80" s="47" t="s">
        <v>415</v>
      </c>
      <c r="D80" s="268">
        <v>54036</v>
      </c>
      <c r="E80" s="113">
        <f t="shared" si="6"/>
        <v>7243.4316353887398</v>
      </c>
      <c r="F80" s="74">
        <v>45988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19</v>
      </c>
      <c r="J80" s="75">
        <f t="shared" si="7"/>
        <v>0</v>
      </c>
      <c r="L80" s="52"/>
    </row>
    <row r="81" spans="2:12" s="43" customFormat="1" outlineLevel="1">
      <c r="B81" s="303" t="s">
        <v>892</v>
      </c>
      <c r="C81" s="47" t="s">
        <v>410</v>
      </c>
      <c r="D81" s="268">
        <v>7823</v>
      </c>
      <c r="E81" s="113">
        <f t="shared" si="6"/>
        <v>1048.6595174262734</v>
      </c>
      <c r="F81" s="74">
        <v>45988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19</v>
      </c>
      <c r="J81" s="75">
        <f t="shared" si="7"/>
        <v>0</v>
      </c>
      <c r="L81" s="52"/>
    </row>
    <row r="82" spans="2:12" s="43" customFormat="1" outlineLevel="1">
      <c r="B82" s="303" t="s">
        <v>892</v>
      </c>
      <c r="C82" s="47" t="s">
        <v>844</v>
      </c>
      <c r="D82" s="268">
        <v>40421</v>
      </c>
      <c r="E82" s="113">
        <f t="shared" si="6"/>
        <v>5418.3646112600536</v>
      </c>
      <c r="F82" s="74">
        <v>45988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19</v>
      </c>
      <c r="J82" s="75">
        <f>H82</f>
        <v>0</v>
      </c>
      <c r="L82" s="52"/>
    </row>
    <row r="83" spans="2:12" s="43" customFormat="1" ht="13.5" customHeight="1" outlineLevel="1">
      <c r="B83" s="303" t="s">
        <v>892</v>
      </c>
      <c r="C83" s="47" t="s">
        <v>901</v>
      </c>
      <c r="D83" s="268">
        <v>48942.080000000002</v>
      </c>
      <c r="E83" s="113">
        <f t="shared" si="6"/>
        <v>6560.6005361930302</v>
      </c>
      <c r="F83" s="74">
        <v>45988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19</v>
      </c>
      <c r="J83" s="75">
        <f>H83</f>
        <v>0</v>
      </c>
      <c r="L83" s="52"/>
    </row>
    <row r="84" spans="2:12" s="43" customFormat="1" outlineLevel="1">
      <c r="B84" s="303" t="s">
        <v>892</v>
      </c>
      <c r="C84" s="47" t="s">
        <v>845</v>
      </c>
      <c r="D84" s="268">
        <v>40421.14</v>
      </c>
      <c r="E84" s="113">
        <f t="shared" si="6"/>
        <v>5418.3833780160858</v>
      </c>
      <c r="F84" s="74">
        <v>45988</v>
      </c>
      <c r="G84" s="43" t="s">
        <v>135</v>
      </c>
      <c r="H84" s="43">
        <f>IF(OR(G84="Sin pagar",G84="Pagar"),NETWORKDAYS($E$4,F84,'Festivos Guatemala'!$A$3:$A$15),0)</f>
        <v>0</v>
      </c>
      <c r="I84" s="43">
        <f>NETWORKDAYS($E$4,F84,'Festivos Guatemala'!$A$3:$A$15)</f>
        <v>19</v>
      </c>
      <c r="J84" s="75">
        <f t="shared" si="7"/>
        <v>0</v>
      </c>
      <c r="L84" s="52"/>
    </row>
    <row r="85" spans="2:12" s="43" customFormat="1" ht="15.75" outlineLevel="1" thickBot="1">
      <c r="B85" s="303" t="s">
        <v>892</v>
      </c>
      <c r="C85" s="47" t="s">
        <v>418</v>
      </c>
      <c r="D85" s="268">
        <v>68891.81</v>
      </c>
      <c r="E85" s="113">
        <f t="shared" si="6"/>
        <v>9234.8270777479884</v>
      </c>
      <c r="F85" s="74">
        <v>45988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19</v>
      </c>
      <c r="J85" s="75">
        <f t="shared" si="7"/>
        <v>0</v>
      </c>
      <c r="L85" s="52"/>
    </row>
    <row r="86" spans="2:12" s="43" customFormat="1" ht="16.5" thickBot="1">
      <c r="B86" s="46"/>
      <c r="C86" s="73" t="s">
        <v>173</v>
      </c>
      <c r="D86" s="103">
        <f>SUBTOTAL(9,D87:D90)</f>
        <v>5425.96</v>
      </c>
      <c r="E86" s="112">
        <f>SUBTOTAL(9,E87:E90)</f>
        <v>727.34048257372649</v>
      </c>
    </row>
    <row r="87" spans="2:12" s="43" customFormat="1" outlineLevel="1">
      <c r="B87" s="46"/>
      <c r="C87" s="210" t="s">
        <v>278</v>
      </c>
      <c r="D87" s="104">
        <f>E87*D6</f>
        <v>0</v>
      </c>
      <c r="E87" s="115">
        <v>0</v>
      </c>
      <c r="F87" s="74">
        <v>45991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20</v>
      </c>
      <c r="J87" s="75">
        <f t="shared" ref="J87:J88" si="8">H87</f>
        <v>0</v>
      </c>
      <c r="K87" s="52"/>
      <c r="L87" s="54"/>
    </row>
    <row r="88" spans="2:12" s="43" customFormat="1" outlineLevel="1">
      <c r="B88" s="46"/>
      <c r="C88" s="209" t="s">
        <v>280</v>
      </c>
      <c r="D88" s="104">
        <v>4577.25</v>
      </c>
      <c r="E88" s="115">
        <f>D88/$D$6</f>
        <v>613.57238605898124</v>
      </c>
      <c r="F88" s="74">
        <v>45988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19</v>
      </c>
      <c r="J88" s="75">
        <f t="shared" si="8"/>
        <v>0</v>
      </c>
      <c r="K88" s="52"/>
      <c r="L88" s="54"/>
    </row>
    <row r="89" spans="2:12" s="43" customFormat="1" outlineLevel="1">
      <c r="B89" s="46"/>
      <c r="C89" s="209" t="s">
        <v>1304</v>
      </c>
      <c r="D89" s="104">
        <v>107.5</v>
      </c>
      <c r="E89" s="115">
        <f t="shared" ref="E89:E90" si="9">D89/$D$6</f>
        <v>14.410187667560322</v>
      </c>
      <c r="F89" s="74">
        <v>45988</v>
      </c>
      <c r="G89" s="43" t="s">
        <v>135</v>
      </c>
      <c r="H89" s="43">
        <f>IF(OR(G89="Sin pagar",G89="Pagar"),NETWORKDAYS($E$4,F89,'Festivos Guatemala'!$A$3:$A$15),0)</f>
        <v>0</v>
      </c>
      <c r="I89" s="43">
        <f>NETWORKDAYS($E$4,F89,'Festivos Guatemala'!$A$3:$A$15)</f>
        <v>19</v>
      </c>
      <c r="J89" s="75">
        <f t="shared" ref="J89:J90" si="10">H89</f>
        <v>0</v>
      </c>
      <c r="K89" s="52"/>
      <c r="L89" s="54"/>
    </row>
    <row r="90" spans="2:12" s="43" customFormat="1" ht="15.75" outlineLevel="1" thickBot="1">
      <c r="B90" s="46"/>
      <c r="C90" s="209" t="s">
        <v>1303</v>
      </c>
      <c r="D90" s="104">
        <v>741.21</v>
      </c>
      <c r="E90" s="115">
        <f t="shared" si="9"/>
        <v>99.357908847184987</v>
      </c>
      <c r="F90" s="74">
        <v>45988</v>
      </c>
      <c r="G90" s="43" t="s">
        <v>135</v>
      </c>
      <c r="H90" s="43">
        <f>IF(OR(G90="Sin pagar",G90="Pagar"),NETWORKDAYS($E$4,F90,'Festivos Guatemala'!$A$3:$A$15),0)</f>
        <v>0</v>
      </c>
      <c r="I90" s="43">
        <f>NETWORKDAYS($E$4,F90,'Festivos Guatemala'!$A$3:$A$15)</f>
        <v>19</v>
      </c>
      <c r="J90" s="75">
        <f t="shared" si="10"/>
        <v>0</v>
      </c>
      <c r="K90" s="52"/>
      <c r="L90" s="54"/>
    </row>
    <row r="91" spans="2:12" s="43" customFormat="1" ht="16.5" thickBot="1">
      <c r="B91" s="87"/>
      <c r="C91" s="73" t="s">
        <v>149</v>
      </c>
      <c r="D91" s="103">
        <f>SUBTOTAL(9,D92:D92)</f>
        <v>0</v>
      </c>
      <c r="E91" s="112">
        <f>SUBTOTAL(9,E92:E92)</f>
        <v>0</v>
      </c>
      <c r="L91" s="52"/>
    </row>
    <row r="92" spans="2:12" s="43" customFormat="1" ht="15.75" outlineLevel="1" thickBot="1">
      <c r="B92" s="311" t="s">
        <v>145</v>
      </c>
      <c r="C92" s="47" t="s">
        <v>1085</v>
      </c>
      <c r="D92" s="109">
        <f>$E$92*$D$6</f>
        <v>0</v>
      </c>
      <c r="E92" s="115">
        <v>0</v>
      </c>
      <c r="F92" s="74">
        <v>45991</v>
      </c>
      <c r="G92" s="43" t="s">
        <v>135</v>
      </c>
      <c r="H92" s="43">
        <f>IF(OR(G92="Sin pagar",G92="Pagar"),NETWORKDAYS($E$4,F92,'Festivos Guatemala'!$A$3:$A$15),0)</f>
        <v>0</v>
      </c>
      <c r="I92" s="43">
        <f>NETWORKDAYS($E$4,F92,'Festivos Guatemala'!$A$3:$A$15)</f>
        <v>20</v>
      </c>
      <c r="J92" s="75">
        <f>H92</f>
        <v>0</v>
      </c>
      <c r="K92" s="52"/>
      <c r="L92" s="54"/>
    </row>
    <row r="93" spans="2:12" s="43" customFormat="1" ht="16.5" thickBot="1">
      <c r="B93" s="87"/>
      <c r="C93" s="73" t="s">
        <v>1144</v>
      </c>
      <c r="D93" s="103">
        <f>SUBTOTAL(9,D94:D94)</f>
        <v>0</v>
      </c>
      <c r="E93" s="112">
        <f>SUBTOTAL(9,E94:E94)</f>
        <v>0</v>
      </c>
      <c r="L93" s="52"/>
    </row>
    <row r="94" spans="2:12" s="43" customFormat="1" ht="15.75" outlineLevel="1" thickBot="1">
      <c r="B94" s="311"/>
      <c r="C94" s="47"/>
      <c r="D94" s="109">
        <v>0</v>
      </c>
      <c r="E94" s="115">
        <f>D94/$D$6</f>
        <v>0</v>
      </c>
      <c r="F94" s="74">
        <v>45991</v>
      </c>
      <c r="G94" s="43" t="s">
        <v>135</v>
      </c>
      <c r="H94" s="43">
        <f>IF(OR(G94="Sin pagar",G94="Pagar"),NETWORKDAYS($E$4,F94,'Festivos Guatemala'!$A$3:$A$15),0)</f>
        <v>0</v>
      </c>
      <c r="I94" s="43">
        <f>NETWORKDAYS($E$4,F94,'Festivos Guatemala'!$A$3:$A$15)</f>
        <v>20</v>
      </c>
      <c r="J94" s="75">
        <f>H94</f>
        <v>0</v>
      </c>
      <c r="K94" s="52"/>
      <c r="L94" s="54"/>
    </row>
    <row r="95" spans="2:12" s="43" customFormat="1" ht="16.5" thickBot="1">
      <c r="B95" s="46"/>
      <c r="C95" s="73" t="s">
        <v>638</v>
      </c>
      <c r="D95" s="103">
        <f>SUBTOTAL(9,D96:D96)</f>
        <v>1500</v>
      </c>
      <c r="E95" s="112">
        <f>SUBTOTAL(9,E96:E96)</f>
        <v>201.07238605898124</v>
      </c>
    </row>
    <row r="96" spans="2:12" s="43" customFormat="1" ht="15.75" outlineLevel="1" thickBot="1">
      <c r="B96" s="46">
        <v>3075098786</v>
      </c>
      <c r="C96" s="47" t="s">
        <v>1106</v>
      </c>
      <c r="D96" s="109">
        <v>1500</v>
      </c>
      <c r="E96" s="115">
        <f>D96/$D$6</f>
        <v>201.07238605898124</v>
      </c>
      <c r="F96" s="74">
        <v>45987</v>
      </c>
      <c r="G96" s="43" t="s">
        <v>135</v>
      </c>
      <c r="H96" s="43">
        <f>IF(OR(G96="Sin pagar",G96="Pagar"),NETWORKDAYS($E$4,F96,'Festivos Guatemala'!$A$3:$A$15),0)</f>
        <v>0</v>
      </c>
      <c r="I96" s="43">
        <f>NETWORKDAYS($E$4,F96,'Festivos Guatemala'!$A$3:$A$15)</f>
        <v>18</v>
      </c>
      <c r="J96" s="75">
        <f>H96</f>
        <v>0</v>
      </c>
      <c r="K96" s="52"/>
      <c r="L96" s="54"/>
    </row>
    <row r="97" spans="2:15" s="43" customFormat="1" ht="16.5" thickBot="1">
      <c r="C97" s="332" t="s">
        <v>1107</v>
      </c>
      <c r="D97" s="333">
        <f>SUBTOTAL(9,D98:D106)</f>
        <v>224523.03</v>
      </c>
      <c r="E97" s="334">
        <f>SUBTOTAL(9,E98:E106)</f>
        <v>30096.920911528156</v>
      </c>
      <c r="K97" s="52"/>
      <c r="L97" s="86"/>
      <c r="M97" s="109"/>
      <c r="N97" s="109"/>
      <c r="O97" s="113"/>
    </row>
    <row r="98" spans="2:15" s="43" customFormat="1" outlineLevel="1">
      <c r="B98" s="303" t="s">
        <v>892</v>
      </c>
      <c r="C98" s="47" t="s">
        <v>1258</v>
      </c>
      <c r="D98" s="109">
        <f>E98*D6</f>
        <v>37300</v>
      </c>
      <c r="E98" s="115">
        <v>5000</v>
      </c>
      <c r="F98" s="74">
        <v>45971</v>
      </c>
      <c r="G98" s="43" t="s">
        <v>135</v>
      </c>
      <c r="H98" s="43">
        <f>IF(OR(G98="Sin pagar",G98="Pagar"),NETWORKDAYS($E$4,F98,'Festivos Guatemala'!$A$3:$A$15),0)</f>
        <v>0</v>
      </c>
      <c r="I98" s="43">
        <f>NETWORKDAYS($E$4,F98,'Festivos Guatemala'!$A$3:$A$15)</f>
        <v>6</v>
      </c>
      <c r="J98" s="75">
        <f>H98</f>
        <v>0</v>
      </c>
      <c r="L98" s="52"/>
    </row>
    <row r="99" spans="2:15" s="43" customFormat="1" outlineLevel="1">
      <c r="B99" s="303" t="s">
        <v>892</v>
      </c>
      <c r="C99" s="47" t="s">
        <v>1108</v>
      </c>
      <c r="D99" s="109">
        <v>10855.64</v>
      </c>
      <c r="E99" s="115">
        <f t="shared" ref="E99:E106" si="11">D99/$D$6</f>
        <v>1455.1796246648794</v>
      </c>
      <c r="F99" s="74">
        <v>45988</v>
      </c>
      <c r="G99" s="43" t="s">
        <v>135</v>
      </c>
      <c r="H99" s="43">
        <f>IF(OR(G99="Sin pagar",G99="Pagar"),NETWORKDAYS($E$4,F99,'Festivos Guatemala'!$A$3:$A$15),0)</f>
        <v>0</v>
      </c>
      <c r="I99" s="43">
        <f>NETWORKDAYS($E$4,F99,'Festivos Guatemala'!$A$3:$A$15)</f>
        <v>19</v>
      </c>
      <c r="J99" s="75">
        <f t="shared" ref="J99" si="12">H99</f>
        <v>0</v>
      </c>
      <c r="L99" s="52"/>
    </row>
    <row r="100" spans="2:15" s="43" customFormat="1" outlineLevel="1">
      <c r="B100" s="303" t="s">
        <v>892</v>
      </c>
      <c r="C100" s="47" t="s">
        <v>1109</v>
      </c>
      <c r="D100" s="109">
        <v>37726.230000000003</v>
      </c>
      <c r="E100" s="115">
        <f t="shared" si="11"/>
        <v>5057.1353887399464</v>
      </c>
      <c r="F100" s="74">
        <v>45988</v>
      </c>
      <c r="G100" s="43" t="s">
        <v>135</v>
      </c>
      <c r="H100" s="43">
        <f>IF(OR(G100="Sin pagar",G100="Pagar"),NETWORKDAYS($E$4,F100,'Festivos Guatemala'!$A$3:$A$15),0)</f>
        <v>0</v>
      </c>
      <c r="I100" s="43">
        <f>NETWORKDAYS($E$4,F100,'Festivos Guatemala'!$A$3:$A$15)</f>
        <v>19</v>
      </c>
      <c r="J100" s="75">
        <f>H100</f>
        <v>0</v>
      </c>
      <c r="L100" s="52"/>
    </row>
    <row r="101" spans="2:15" s="43" customFormat="1" outlineLevel="1">
      <c r="B101" s="303" t="s">
        <v>892</v>
      </c>
      <c r="C101" s="47" t="s">
        <v>1110</v>
      </c>
      <c r="D101" s="109">
        <v>16287.9</v>
      </c>
      <c r="E101" s="115">
        <f t="shared" si="11"/>
        <v>2183.3646112600536</v>
      </c>
      <c r="F101" s="74">
        <v>45988</v>
      </c>
      <c r="G101" s="43" t="s">
        <v>135</v>
      </c>
      <c r="H101" s="43">
        <f>IF(OR(G101="Sin pagar",G101="Pagar"),NETWORKDAYS($E$4,F101,'Festivos Guatemala'!$A$3:$A$15),0)</f>
        <v>0</v>
      </c>
      <c r="I101" s="43">
        <f>NETWORKDAYS($E$4,F101,'Festivos Guatemala'!$A$3:$A$15)</f>
        <v>19</v>
      </c>
      <c r="J101" s="75">
        <f>H101</f>
        <v>0</v>
      </c>
      <c r="L101" s="52"/>
    </row>
    <row r="102" spans="2:15" s="43" customFormat="1" outlineLevel="1">
      <c r="B102" s="303" t="s">
        <v>892</v>
      </c>
      <c r="C102" s="47" t="s">
        <v>1111</v>
      </c>
      <c r="D102" s="109">
        <v>15653.9</v>
      </c>
      <c r="E102" s="115">
        <f t="shared" si="11"/>
        <v>2098.3780160857909</v>
      </c>
      <c r="F102" s="74">
        <v>45988</v>
      </c>
      <c r="G102" s="43" t="s">
        <v>135</v>
      </c>
      <c r="H102" s="43">
        <f>IF(OR(G102="Sin pagar",G102="Pagar"),NETWORKDAYS($E$4,F102,'Festivos Guatemala'!$A$3:$A$15),0)</f>
        <v>0</v>
      </c>
      <c r="I102" s="43">
        <f>NETWORKDAYS($E$4,F102,'Festivos Guatemala'!$A$3:$A$15)</f>
        <v>19</v>
      </c>
      <c r="J102" s="75">
        <f t="shared" ref="J102:J106" si="13">H102</f>
        <v>0</v>
      </c>
      <c r="L102" s="52"/>
    </row>
    <row r="103" spans="2:15" s="43" customFormat="1" outlineLevel="1">
      <c r="B103" s="303" t="s">
        <v>892</v>
      </c>
      <c r="C103" s="47" t="s">
        <v>1193</v>
      </c>
      <c r="D103" s="109">
        <v>22644.97</v>
      </c>
      <c r="E103" s="115">
        <f t="shared" si="11"/>
        <v>3035.5187667560322</v>
      </c>
      <c r="F103" s="74">
        <v>45988</v>
      </c>
      <c r="G103" s="43" t="s">
        <v>135</v>
      </c>
      <c r="H103" s="43">
        <f>IF(OR(G103="Sin pagar",G103="Pagar"),NETWORKDAYS($E$4,F103,'Festivos Guatemala'!$A$3:$A$15),0)</f>
        <v>0</v>
      </c>
      <c r="I103" s="43">
        <f>NETWORKDAYS($E$4,F103,'Festivos Guatemala'!$A$3:$A$15)</f>
        <v>19</v>
      </c>
      <c r="J103" s="75">
        <f t="shared" si="13"/>
        <v>0</v>
      </c>
      <c r="L103" s="52"/>
    </row>
    <row r="104" spans="2:15" s="43" customFormat="1" outlineLevel="1">
      <c r="B104" s="303" t="s">
        <v>892</v>
      </c>
      <c r="C104" s="47" t="s">
        <v>1112</v>
      </c>
      <c r="D104" s="109">
        <v>9032.61</v>
      </c>
      <c r="E104" s="115">
        <f t="shared" si="11"/>
        <v>1210.8056300268097</v>
      </c>
      <c r="F104" s="74">
        <v>45988</v>
      </c>
      <c r="G104" s="43" t="s">
        <v>135</v>
      </c>
      <c r="H104" s="43">
        <f>IF(OR(G104="Sin pagar",G104="Pagar"),NETWORKDAYS($E$4,F104,'Festivos Guatemala'!$A$3:$A$15),0)</f>
        <v>0</v>
      </c>
      <c r="I104" s="43">
        <f>NETWORKDAYS($E$4,F104,'Festivos Guatemala'!$A$3:$A$15)</f>
        <v>19</v>
      </c>
      <c r="J104" s="75">
        <f t="shared" si="13"/>
        <v>0</v>
      </c>
      <c r="L104" s="52"/>
    </row>
    <row r="105" spans="2:15" s="43" customFormat="1" outlineLevel="1">
      <c r="B105" s="303" t="s">
        <v>892</v>
      </c>
      <c r="C105" s="47" t="s">
        <v>1301</v>
      </c>
      <c r="D105" s="109">
        <v>47799.56</v>
      </c>
      <c r="E105" s="115">
        <f t="shared" si="11"/>
        <v>6407.4477211796248</v>
      </c>
      <c r="F105" s="74">
        <v>45988</v>
      </c>
      <c r="G105" s="43" t="s">
        <v>135</v>
      </c>
      <c r="H105" s="43">
        <f>IF(OR(G105="Sin pagar",G105="Pagar"),NETWORKDAYS($E$4,F105,'Festivos Guatemala'!$A$3:$A$15),0)</f>
        <v>0</v>
      </c>
      <c r="I105" s="43">
        <f>NETWORKDAYS($E$4,F105,'Festivos Guatemala'!$A$3:$A$15)</f>
        <v>19</v>
      </c>
      <c r="J105" s="75">
        <f t="shared" ref="J105" si="14">H105</f>
        <v>0</v>
      </c>
      <c r="L105" s="52"/>
    </row>
    <row r="106" spans="2:15" s="43" customFormat="1" ht="15.75" outlineLevel="1" thickBot="1">
      <c r="B106" s="267" t="s">
        <v>1036</v>
      </c>
      <c r="C106" s="47" t="s">
        <v>1194</v>
      </c>
      <c r="D106" s="109">
        <v>27222.22</v>
      </c>
      <c r="E106" s="115">
        <f t="shared" si="11"/>
        <v>3649.0911528150136</v>
      </c>
      <c r="F106" s="74">
        <v>45988</v>
      </c>
      <c r="G106" s="43" t="s">
        <v>135</v>
      </c>
      <c r="H106" s="43">
        <f>IF(OR(G106="Sin pagar",G106="Pagar"),NETWORKDAYS($E$4,F106,'Festivos Guatemala'!$A$3:$A$15),0)</f>
        <v>0</v>
      </c>
      <c r="I106" s="43">
        <f>NETWORKDAYS($E$4,F106,'Festivos Guatemala'!$A$3:$A$15)</f>
        <v>19</v>
      </c>
      <c r="J106" s="75">
        <f t="shared" si="13"/>
        <v>0</v>
      </c>
      <c r="L106" s="52"/>
    </row>
    <row r="107" spans="2:15" s="43" customFormat="1" ht="16.5" thickBot="1">
      <c r="B107" s="46"/>
      <c r="C107" s="332" t="s">
        <v>155</v>
      </c>
      <c r="D107" s="333">
        <f>SUBTOTAL(9,D108:D108)</f>
        <v>25913.38</v>
      </c>
      <c r="E107" s="334">
        <f>SUBTOTAL(9,E108:E108)</f>
        <v>3473.6434316353889</v>
      </c>
      <c r="F107" s="74"/>
      <c r="J107" s="76"/>
    </row>
    <row r="108" spans="2:15" s="43" customFormat="1" ht="15.75" outlineLevel="1" thickBot="1">
      <c r="B108" s="168">
        <v>5794755</v>
      </c>
      <c r="C108" s="78" t="s">
        <v>1264</v>
      </c>
      <c r="D108" s="104">
        <v>25913.38</v>
      </c>
      <c r="E108" s="115">
        <f>D108/$D$6</f>
        <v>3473.6434316353889</v>
      </c>
      <c r="F108" s="80">
        <v>45975</v>
      </c>
      <c r="G108" s="43" t="s">
        <v>135</v>
      </c>
      <c r="H108" s="43">
        <f>IF(OR(G108="Sin pagar",G108="Pagar"),NETWORKDAYS($E$4,F108,'Festivos Guatemala'!$A$3:$A$15),0)</f>
        <v>0</v>
      </c>
      <c r="I108" s="43">
        <f>NETWORKDAYS($E$4,F108,'Festivos Guatemala'!$A$3:$A$15)</f>
        <v>10</v>
      </c>
      <c r="J108" s="75">
        <f>H108</f>
        <v>0</v>
      </c>
      <c r="K108" s="52"/>
      <c r="L108" s="52"/>
    </row>
    <row r="109" spans="2:15" s="43" customFormat="1" ht="16.5" thickBot="1">
      <c r="B109" s="46"/>
      <c r="C109" s="332" t="s">
        <v>144</v>
      </c>
      <c r="D109" s="333">
        <f>SUBTOTAL(9,D110:D110)</f>
        <v>2749.27</v>
      </c>
      <c r="E109" s="334">
        <f>SUBTOTAL(9,E110:E110)</f>
        <v>368.53485254691691</v>
      </c>
      <c r="J109" s="76">
        <f t="shared" ref="J109" si="15">H109</f>
        <v>0</v>
      </c>
    </row>
    <row r="110" spans="2:15" s="43" customFormat="1" ht="15.75" outlineLevel="1" thickBot="1">
      <c r="B110" s="168">
        <v>49115192689</v>
      </c>
      <c r="C110" s="47" t="s">
        <v>1262</v>
      </c>
      <c r="D110" s="104">
        <v>2749.27</v>
      </c>
      <c r="E110" s="115">
        <f>D110/$D$6</f>
        <v>368.53485254691691</v>
      </c>
      <c r="F110" s="80">
        <v>45975</v>
      </c>
      <c r="G110" s="43" t="s">
        <v>135</v>
      </c>
      <c r="H110" s="43">
        <f>IF(OR(G110="Sin pagar",G110="Pagar"),NETWORKDAYS($E$4,F110,'Festivos Guatemala'!$A$3:$A$15),0)</f>
        <v>0</v>
      </c>
      <c r="I110" s="43">
        <f>NETWORKDAYS($E$4,F110,'Festivos Guatemala'!$A$3:$A$15)</f>
        <v>10</v>
      </c>
      <c r="J110" s="75">
        <f>H110</f>
        <v>0</v>
      </c>
      <c r="K110" s="48"/>
      <c r="L110" s="57"/>
    </row>
    <row r="111" spans="2:15" s="43" customFormat="1" ht="16.5" thickBot="1">
      <c r="B111" s="46"/>
      <c r="C111" s="332" t="s">
        <v>173</v>
      </c>
      <c r="D111" s="333">
        <f>SUBTOTAL(9,D112:D113)</f>
        <v>68711.228399999993</v>
      </c>
      <c r="E111" s="334">
        <f>SUBTOTAL(9,E112:E113)</f>
        <v>9210.6204289544239</v>
      </c>
    </row>
    <row r="112" spans="2:15" s="43" customFormat="1" outlineLevel="1">
      <c r="B112" s="46"/>
      <c r="C112" s="47" t="s">
        <v>1204</v>
      </c>
      <c r="D112" s="104">
        <f>E112*$D$6</f>
        <v>43253.378400000001</v>
      </c>
      <c r="E112" s="364">
        <v>5798.04</v>
      </c>
      <c r="F112" s="74">
        <v>45989</v>
      </c>
      <c r="G112" s="43" t="s">
        <v>135</v>
      </c>
      <c r="H112" s="43">
        <f>IF(OR(G112="Sin pagar",G112="Pagar"),NETWORKDAYS($E$4,F112,'Festivos Guatemala'!$A$3:$A$15),0)</f>
        <v>0</v>
      </c>
      <c r="I112" s="43">
        <f>NETWORKDAYS($E$4,F112,'Festivos Guatemala'!$A$3:$A$15)</f>
        <v>20</v>
      </c>
      <c r="J112" s="75">
        <f t="shared" ref="J112:J113" si="16">H112</f>
        <v>0</v>
      </c>
      <c r="K112" s="52"/>
      <c r="L112" s="54"/>
    </row>
    <row r="113" spans="1:16" s="43" customFormat="1" ht="15.75" outlineLevel="1" thickBot="1">
      <c r="B113" s="46"/>
      <c r="C113" s="47" t="s">
        <v>1293</v>
      </c>
      <c r="D113" s="365">
        <v>25457.85</v>
      </c>
      <c r="E113" s="115">
        <f>D113/$D$6</f>
        <v>3412.5804289544235</v>
      </c>
      <c r="F113" s="74">
        <v>45988</v>
      </c>
      <c r="G113" s="43" t="s">
        <v>135</v>
      </c>
      <c r="H113" s="43">
        <f>IF(OR(G113="Sin pagar",G113="Pagar"),NETWORKDAYS($E$4,F113,'Festivos Guatemala'!$A$3:$A$15),0)</f>
        <v>0</v>
      </c>
      <c r="I113" s="43">
        <f>NETWORKDAYS($E$4,F113,'Festivos Guatemala'!$A$3:$A$15)</f>
        <v>19</v>
      </c>
      <c r="J113" s="75">
        <f t="shared" si="16"/>
        <v>0</v>
      </c>
      <c r="K113" s="52"/>
      <c r="L113" s="54"/>
    </row>
    <row r="114" spans="1:16" s="43" customFormat="1" ht="16.5" thickBot="1">
      <c r="C114" s="332" t="s">
        <v>146</v>
      </c>
      <c r="D114" s="333">
        <f>SUBTOTAL(9,D115:D117)</f>
        <v>5627.52</v>
      </c>
      <c r="E114" s="334">
        <f>SUBTOTAL(9,E115:E117)</f>
        <v>754.35924932975877</v>
      </c>
      <c r="F114" s="43" t="s">
        <v>725</v>
      </c>
      <c r="K114" s="49"/>
      <c r="L114" s="49"/>
      <c r="O114" s="49"/>
      <c r="P114" s="49"/>
    </row>
    <row r="115" spans="1:16" s="43" customFormat="1" ht="14.25" customHeight="1" outlineLevel="1">
      <c r="B115" s="186"/>
      <c r="C115" s="47" t="s">
        <v>1246</v>
      </c>
      <c r="D115" s="104">
        <v>433.25</v>
      </c>
      <c r="E115" s="115">
        <f>D115/$D$6</f>
        <v>58.076407506702417</v>
      </c>
      <c r="F115" s="74">
        <v>45987</v>
      </c>
      <c r="G115" s="43" t="s">
        <v>135</v>
      </c>
      <c r="H115" s="43">
        <f>IF(OR(G115="Sin pagar",G115="Pagar"),NETWORKDAYS($E$4,F115,'Festivos Guatemala'!$A$3:$A$15),0)</f>
        <v>0</v>
      </c>
      <c r="I115" s="43">
        <f>NETWORKDAYS($E$4,F115,'Festivos Guatemala'!$A$3:$A$15)</f>
        <v>18</v>
      </c>
      <c r="J115" s="75">
        <f t="shared" ref="J115:J116" si="17">H115</f>
        <v>0</v>
      </c>
      <c r="K115" s="49"/>
      <c r="L115" s="49"/>
      <c r="O115" s="49"/>
      <c r="P115" s="49"/>
    </row>
    <row r="116" spans="1:16" s="366" customFormat="1" ht="14.25" customHeight="1" outlineLevel="1">
      <c r="A116" s="43"/>
      <c r="B116" s="369"/>
      <c r="C116" s="47" t="s">
        <v>1244</v>
      </c>
      <c r="D116" s="269">
        <v>1151.99</v>
      </c>
      <c r="E116" s="364">
        <f>D116/$D$6</f>
        <v>154.42225201072387</v>
      </c>
      <c r="F116" s="74">
        <v>45987</v>
      </c>
      <c r="G116" s="43" t="s">
        <v>135</v>
      </c>
      <c r="H116" s="366">
        <f>IF(OR(G116="Sin pagar",G116="Pagar"),NETWORKDAYS($E$4,F116,'Festivos Guatemala'!$A$3:$A$15),0)</f>
        <v>0</v>
      </c>
      <c r="I116" s="366">
        <f>NETWORKDAYS($E$4,F116,'Festivos Guatemala'!$A$3:$A$15)</f>
        <v>18</v>
      </c>
      <c r="J116" s="367">
        <f t="shared" si="17"/>
        <v>0</v>
      </c>
      <c r="K116" s="368"/>
      <c r="L116" s="368"/>
      <c r="O116" s="368"/>
      <c r="P116" s="368"/>
    </row>
    <row r="117" spans="1:16" s="366" customFormat="1" ht="14.25" customHeight="1" outlineLevel="1" thickBot="1">
      <c r="A117" s="43"/>
      <c r="B117" s="369"/>
      <c r="C117" s="47" t="s">
        <v>1245</v>
      </c>
      <c r="D117" s="269">
        <v>4042.28</v>
      </c>
      <c r="E117" s="364">
        <f>D117/$D$6</f>
        <v>541.86058981233248</v>
      </c>
      <c r="F117" s="74">
        <v>45987</v>
      </c>
      <c r="G117" s="43" t="s">
        <v>135</v>
      </c>
      <c r="H117" s="366">
        <f>IF(OR(G117="Sin pagar",G117="Pagar"),NETWORKDAYS($E$4,F117,'Festivos Guatemala'!$A$3:$A$15),0)</f>
        <v>0</v>
      </c>
      <c r="I117" s="366">
        <f>NETWORKDAYS($E$4,F117,'Festivos Guatemala'!$A$3:$A$15)</f>
        <v>18</v>
      </c>
      <c r="J117" s="367">
        <f t="shared" ref="J117" si="18">H117</f>
        <v>0</v>
      </c>
      <c r="K117" s="368"/>
      <c r="L117" s="368"/>
      <c r="O117" s="368"/>
      <c r="P117" s="368"/>
    </row>
    <row r="118" spans="1:16" s="43" customFormat="1" ht="16.5" thickBot="1">
      <c r="B118" s="46"/>
      <c r="C118" s="332" t="s">
        <v>149</v>
      </c>
      <c r="D118" s="333">
        <f>SUBTOTAL(9,D119:D119)</f>
        <v>394</v>
      </c>
      <c r="E118" s="334">
        <f>SUBTOTAL(9,E119:E119)</f>
        <v>52.815013404825734</v>
      </c>
      <c r="J118" s="76"/>
    </row>
    <row r="119" spans="1:16" s="43" customFormat="1" ht="15.75" outlineLevel="1" thickBot="1">
      <c r="B119" s="311" t="s">
        <v>145</v>
      </c>
      <c r="C119" s="47" t="s">
        <v>1294</v>
      </c>
      <c r="D119" s="109">
        <v>394</v>
      </c>
      <c r="E119" s="115">
        <f>D119/D6</f>
        <v>52.815013404825734</v>
      </c>
      <c r="F119" s="80">
        <v>45987</v>
      </c>
      <c r="G119" s="43" t="s">
        <v>135</v>
      </c>
      <c r="H119" s="43">
        <f>IF(OR(G119="Sin pagar",G119="Pagar"),NETWORKDAYS($E$4,F119,'Festivos Guatemala'!$A$3:$A$15),0)</f>
        <v>0</v>
      </c>
      <c r="I119" s="43">
        <f>NETWORKDAYS($E$4,F119,'Festivos Guatemala'!$A$3:$A$15)</f>
        <v>18</v>
      </c>
      <c r="J119" s="75">
        <f>H119</f>
        <v>0</v>
      </c>
      <c r="K119" s="52"/>
      <c r="L119" s="54"/>
    </row>
    <row r="120" spans="1:16" s="43" customFormat="1" ht="14.25" customHeight="1">
      <c r="B120" s="46"/>
      <c r="C120" s="88" t="s">
        <v>150</v>
      </c>
      <c r="D120" s="120">
        <f>SUBTOTAL(9,D35:D119)</f>
        <v>1517705.1785999998</v>
      </c>
      <c r="E120" s="116">
        <f>SUBTOTAL(9,E35:E119)</f>
        <v>203445.73439678291</v>
      </c>
      <c r="K120" s="39"/>
      <c r="L120" s="39"/>
      <c r="N120" s="39"/>
      <c r="O120" s="39"/>
      <c r="P120" s="39"/>
    </row>
    <row r="121" spans="1:16" ht="15.75">
      <c r="A121" s="43"/>
      <c r="E121" s="117"/>
      <c r="F121" s="89"/>
      <c r="G121" s="89"/>
      <c r="H121" s="89"/>
      <c r="I121" s="89"/>
      <c r="J121" s="89"/>
    </row>
    <row r="122" spans="1:16" ht="15.75">
      <c r="A122" s="43"/>
      <c r="C122" s="90" t="s">
        <v>151</v>
      </c>
      <c r="D122" s="121">
        <f>D30-D120</f>
        <v>463125.74709999934</v>
      </c>
      <c r="E122" s="118">
        <f>E30-E120</f>
        <v>58393.647841822938</v>
      </c>
      <c r="F122" s="226"/>
      <c r="G122" s="227"/>
      <c r="J122" s="227"/>
    </row>
    <row r="123" spans="1:16" s="93" customFormat="1" ht="15.75">
      <c r="A123" s="43"/>
      <c r="B123" s="94"/>
      <c r="C123" s="90" t="s">
        <v>152</v>
      </c>
      <c r="D123" s="95">
        <f>IF($D$30=0,0,D122/$D$30)</f>
        <v>0.23380377451262627</v>
      </c>
      <c r="E123" s="95">
        <f>IF($E$30=0,0,E122/$E$30)</f>
        <v>0.22301323560491246</v>
      </c>
      <c r="F123" s="96"/>
      <c r="G123" s="92"/>
      <c r="J123" s="97"/>
      <c r="K123" s="39"/>
      <c r="L123" s="39"/>
      <c r="N123" s="39"/>
      <c r="O123" s="39"/>
      <c r="P123" s="39"/>
    </row>
    <row r="124" spans="1:16" ht="15.75" thickBot="1">
      <c r="A124" s="43"/>
      <c r="F124" s="96"/>
      <c r="G124" s="92"/>
    </row>
    <row r="125" spans="1:16" ht="15.75" thickBot="1">
      <c r="A125" s="43"/>
      <c r="C125" s="135" t="s">
        <v>184</v>
      </c>
      <c r="D125" s="136" t="s">
        <v>185</v>
      </c>
      <c r="E125" s="137" t="s">
        <v>191</v>
      </c>
      <c r="F125" s="137" t="s">
        <v>186</v>
      </c>
      <c r="G125" s="92"/>
    </row>
    <row r="126" spans="1:16">
      <c r="A126" s="43"/>
      <c r="C126" s="307">
        <v>45962</v>
      </c>
      <c r="D126" s="308">
        <v>45970</v>
      </c>
      <c r="E126" s="309">
        <f t="shared" ref="E126:E131" si="19">SUMIFS($D$35:$D$123,$F$35:$F$123,"&gt;="&amp;C126,$F$35:$F$123,"&lt;="&amp;D126,$G$35:$G$123,$D$142)</f>
        <v>0</v>
      </c>
      <c r="F126" s="310">
        <f t="shared" ref="F126:F131" si="20">SUMIFS($E$35:$E$123,$F$35:$F$123,"&gt;="&amp;C126,$F$35:$F$123,"&lt;="&amp;D126,$G$35:$G$123,$D$142)</f>
        <v>0</v>
      </c>
      <c r="G126" s="92" t="s">
        <v>1252</v>
      </c>
    </row>
    <row r="127" spans="1:16">
      <c r="A127" s="43"/>
      <c r="C127" s="191">
        <v>45971</v>
      </c>
      <c r="D127" s="260">
        <v>45977</v>
      </c>
      <c r="E127" s="193">
        <f t="shared" si="19"/>
        <v>0</v>
      </c>
      <c r="F127" s="194">
        <f t="shared" si="20"/>
        <v>0</v>
      </c>
      <c r="G127" s="92" t="s">
        <v>390</v>
      </c>
    </row>
    <row r="128" spans="1:16">
      <c r="A128" s="43"/>
      <c r="C128" s="191">
        <v>45978</v>
      </c>
      <c r="D128" s="260">
        <v>45979</v>
      </c>
      <c r="E128" s="193">
        <f t="shared" si="19"/>
        <v>0</v>
      </c>
      <c r="F128" s="194">
        <f t="shared" si="20"/>
        <v>0</v>
      </c>
      <c r="G128" s="92"/>
    </row>
    <row r="129" spans="1:10">
      <c r="A129" s="43"/>
      <c r="C129" s="191">
        <v>45980</v>
      </c>
      <c r="D129" s="260">
        <v>45980</v>
      </c>
      <c r="E129" s="193">
        <f t="shared" si="19"/>
        <v>0</v>
      </c>
      <c r="F129" s="194">
        <f t="shared" si="20"/>
        <v>0</v>
      </c>
      <c r="G129" s="92" t="s">
        <v>993</v>
      </c>
    </row>
    <row r="130" spans="1:10">
      <c r="A130" s="43"/>
      <c r="C130" s="191">
        <v>45981</v>
      </c>
      <c r="D130" s="260">
        <v>45984</v>
      </c>
      <c r="E130" s="193">
        <f t="shared" si="19"/>
        <v>0</v>
      </c>
      <c r="F130" s="194">
        <f t="shared" si="20"/>
        <v>0</v>
      </c>
      <c r="G130" s="92" t="s">
        <v>1253</v>
      </c>
    </row>
    <row r="131" spans="1:10">
      <c r="A131" s="43"/>
      <c r="C131" s="191">
        <v>45985</v>
      </c>
      <c r="D131" s="260">
        <v>45991</v>
      </c>
      <c r="E131" s="193">
        <f t="shared" si="19"/>
        <v>0</v>
      </c>
      <c r="F131" s="194">
        <f t="shared" si="20"/>
        <v>0</v>
      </c>
      <c r="G131" s="92" t="s">
        <v>1254</v>
      </c>
    </row>
    <row r="132" spans="1:10" ht="15.75">
      <c r="A132" s="43"/>
      <c r="C132" s="433" t="s">
        <v>187</v>
      </c>
      <c r="D132" s="433"/>
      <c r="E132" s="148">
        <f>SUM(E126:E131)</f>
        <v>0</v>
      </c>
      <c r="F132" s="144">
        <f>SUM(F126:F131)</f>
        <v>0</v>
      </c>
      <c r="G132" s="92"/>
    </row>
    <row r="133" spans="1:10">
      <c r="A133" s="43"/>
      <c r="F133" s="96"/>
      <c r="G133" s="92"/>
    </row>
    <row r="134" spans="1:10">
      <c r="A134" s="43"/>
      <c r="F134" s="96"/>
      <c r="G134" s="92"/>
    </row>
    <row r="135" spans="1:10">
      <c r="A135" s="43"/>
      <c r="C135" s="41"/>
      <c r="D135" s="41" t="s">
        <v>380</v>
      </c>
      <c r="E135" s="166">
        <f>'Caja QTQ'!$H$822+('Caja USD'!$H$287*$D$6)</f>
        <v>463125.75069999945</v>
      </c>
      <c r="F135" s="153">
        <f>('Caja QTQ'!H822/$D$6)+'Caja USD'!$H$287</f>
        <v>62081.199825737189</v>
      </c>
      <c r="G135" s="92"/>
    </row>
    <row r="136" spans="1:10">
      <c r="A136" s="43"/>
      <c r="C136" s="41"/>
      <c r="D136" s="200" t="s">
        <v>1299</v>
      </c>
      <c r="E136" s="166">
        <f>SUM(E126:E131)</f>
        <v>0</v>
      </c>
      <c r="F136" s="153">
        <f>SUM(F126:F131)</f>
        <v>0</v>
      </c>
      <c r="G136" s="92"/>
    </row>
    <row r="137" spans="1:10">
      <c r="A137" s="43"/>
      <c r="C137" s="41"/>
      <c r="D137" s="146" t="s">
        <v>969</v>
      </c>
      <c r="E137" s="201">
        <f>E135-E136</f>
        <v>463125.75069999945</v>
      </c>
      <c r="F137" s="173">
        <f>F135-F136</f>
        <v>62081.199825737189</v>
      </c>
      <c r="G137" s="92"/>
    </row>
    <row r="138" spans="1:10">
      <c r="A138" s="43"/>
      <c r="C138" s="41"/>
      <c r="E138" s="166"/>
      <c r="F138" s="153"/>
      <c r="G138" s="92"/>
    </row>
    <row r="139" spans="1:10">
      <c r="A139" s="43"/>
      <c r="D139" s="146"/>
      <c r="E139" s="298"/>
      <c r="F139" s="299"/>
      <c r="G139" s="92"/>
      <c r="J139" s="167"/>
    </row>
    <row r="140" spans="1:10">
      <c r="A140" s="43"/>
      <c r="D140" s="146"/>
      <c r="E140" s="298"/>
      <c r="F140" s="299"/>
      <c r="G140" s="92"/>
      <c r="J140" s="167"/>
    </row>
    <row r="141" spans="1:10">
      <c r="D141" s="43" t="s">
        <v>135</v>
      </c>
      <c r="E141" s="15">
        <f>SUMIFS($D$35:$D$134,$F$35:$F$134,"&gt;="&amp;C126,$F$35:$F$134,"&lt;="&amp;$D$131,$G$35:$G$134,$D$141)</f>
        <v>1517705.1785999998</v>
      </c>
      <c r="F141" s="153">
        <f>SUMIFS($E$35:$E$134,$F$35:$F$134,"&gt;="&amp;C126,$F$35:$F$134,"&lt;="&amp;$D$131,$G$35:$G$134,$D$141)</f>
        <v>203445.73439678291</v>
      </c>
    </row>
    <row r="142" spans="1:10">
      <c r="D142" s="43" t="s">
        <v>143</v>
      </c>
      <c r="E142" s="15">
        <f>SUMIFS($D$35:$D$134,$F$35:$F$134,"&gt;="&amp;C126,$F$35:$F$134,"&lt;="&amp;$D$131,$G$35:$G$134,$D$142)</f>
        <v>0</v>
      </c>
      <c r="F142" s="153">
        <f>SUMIFS($E$35:$E$134,$F$35:$F$134,"&gt;="&amp;C126,$F$35:$F$134,"&lt;="&amp;$D$131,$G$35:$G$134,$D$142)</f>
        <v>0</v>
      </c>
    </row>
    <row r="143" spans="1:10">
      <c r="D143" s="146" t="s">
        <v>189</v>
      </c>
      <c r="E143" s="152">
        <f>SUM(E141:E142)</f>
        <v>1517705.1785999998</v>
      </c>
      <c r="F143" s="145">
        <f>SUM(F141:F142)</f>
        <v>203445.73439678291</v>
      </c>
    </row>
    <row r="144" spans="1:10">
      <c r="D144" s="146" t="s">
        <v>190</v>
      </c>
      <c r="E144" s="152">
        <f>E143-D120</f>
        <v>0</v>
      </c>
      <c r="F144" s="145">
        <f>F143-E120</f>
        <v>0</v>
      </c>
    </row>
    <row r="147" spans="4:6">
      <c r="D147" s="41" t="s">
        <v>373</v>
      </c>
      <c r="E147" s="166">
        <f>D122</f>
        <v>463125.74709999934</v>
      </c>
      <c r="F147" s="227"/>
    </row>
    <row r="148" spans="4:6">
      <c r="D148" s="41" t="s">
        <v>339</v>
      </c>
      <c r="E148" s="166">
        <f>'Caja QTQ'!$H$822+('Caja USD'!$H$287*D6)</f>
        <v>463125.75069999945</v>
      </c>
      <c r="F148" s="227"/>
    </row>
    <row r="149" spans="4:6">
      <c r="D149" s="41" t="s">
        <v>444</v>
      </c>
      <c r="E149" s="166">
        <f>E147-E148</f>
        <v>-3.6000001127831638E-3</v>
      </c>
      <c r="F149" s="227"/>
    </row>
    <row r="150" spans="4:6">
      <c r="D150" s="41" t="s">
        <v>674</v>
      </c>
      <c r="E150" s="167">
        <f>E149/$D$6</f>
        <v>-4.8257374165994155E-4</v>
      </c>
      <c r="F150" s="227"/>
    </row>
    <row r="151" spans="4:6">
      <c r="D151" s="109"/>
      <c r="E151" s="264"/>
      <c r="F151" s="227"/>
    </row>
    <row r="152" spans="4:6">
      <c r="D152" s="109"/>
      <c r="E152" s="264"/>
      <c r="F152" s="227"/>
    </row>
    <row r="153" spans="4:6">
      <c r="D153" s="109"/>
      <c r="E153" s="264"/>
      <c r="F153" s="227"/>
    </row>
    <row r="154" spans="4:6">
      <c r="D154" s="109"/>
      <c r="E154" s="264"/>
      <c r="F154" s="227"/>
    </row>
    <row r="155" spans="4:6">
      <c r="D155" s="109"/>
      <c r="E155" s="264"/>
      <c r="F155" s="227"/>
    </row>
    <row r="156" spans="4:6">
      <c r="D156" s="109"/>
      <c r="E156" s="264"/>
      <c r="F156" s="227"/>
    </row>
    <row r="157" spans="4:6">
      <c r="D157" s="109"/>
      <c r="E157" s="264"/>
      <c r="F157" s="227"/>
    </row>
    <row r="158" spans="4:6">
      <c r="D158" s="109"/>
      <c r="E158" s="264"/>
      <c r="F158" s="227"/>
    </row>
    <row r="159" spans="4:6">
      <c r="D159" s="109"/>
      <c r="E159" s="264"/>
      <c r="F159" s="227"/>
    </row>
    <row r="160" spans="4:6">
      <c r="D160" s="109"/>
      <c r="E160" s="264"/>
      <c r="F160" s="227"/>
    </row>
    <row r="161" spans="4:6">
      <c r="D161" s="109"/>
      <c r="E161" s="264"/>
      <c r="F161" s="227"/>
    </row>
  </sheetData>
  <protectedRanges>
    <protectedRange sqref="F30:G30 D124:E124 D59:E59 F137 D133:E140 C135:C138" name="Presupuestos"/>
    <protectedRange sqref="D34:E34 D8:E8" name="Presupuestos_1"/>
    <protectedRange sqref="D42:E46" name="Presupuestos_13_1"/>
    <protectedRange sqref="D57 D48:E55 D115:D117" name="Presupuestos_14"/>
    <protectedRange sqref="D151 E64:E85 E98:E106" name="Presupuestos_2_1_1_1"/>
    <protectedRange sqref="D154 D96:E96 D94:E94 D92:E92 D119:E119 D112:E113 E115:E117 D87:E90" name="Presupuestos_6_1_1_1"/>
    <protectedRange sqref="D146 D152:D153 D155:D160 D64:D85 D98:D106" name="Presupuestos_5_2_1"/>
    <protectedRange sqref="E57" name="Presupuestos_13_1_1"/>
    <protectedRange sqref="E61:E62" name="Presupuestos_7_1_2"/>
    <protectedRange sqref="D61:D62" name="Presupuestos_7_1_1_1"/>
    <protectedRange sqref="D10:E11" name="Presupuestos_2"/>
    <protectedRange sqref="E148" name="Presupuestos_3"/>
  </protectedRanges>
  <autoFilter ref="B34:J119" xr:uid="{00000000-0009-0000-0000-000002000000}"/>
  <mergeCells count="4">
    <mergeCell ref="D7:E7"/>
    <mergeCell ref="B33:C33"/>
    <mergeCell ref="D33:E33"/>
    <mergeCell ref="C132:D132"/>
  </mergeCells>
  <conditionalFormatting sqref="J36 J38:J40 J42:J46 J48:J55 J57 J61:J62 J64:J96 J98:J106 J108 J110:J113 J115:J117">
    <cfRule type="cellIs" dxfId="344" priority="11" operator="lessThan">
      <formula>0</formula>
    </cfRule>
    <cfRule type="cellIs" dxfId="343" priority="13" operator="between">
      <formula>1</formula>
      <formula>5</formula>
    </cfRule>
    <cfRule type="cellIs" dxfId="342" priority="14" operator="between">
      <formula>16</formula>
      <formula>60</formula>
    </cfRule>
  </conditionalFormatting>
  <conditionalFormatting sqref="J59 J119">
    <cfRule type="cellIs" dxfId="341" priority="7" operator="lessThan">
      <formula>0</formula>
    </cfRule>
    <cfRule type="cellIs" dxfId="340" priority="9" operator="between">
      <formula>1</formula>
      <formula>5</formula>
    </cfRule>
    <cfRule type="cellIs" dxfId="339" priority="10" operator="between">
      <formula>16</formula>
      <formula>60</formula>
    </cfRule>
  </conditionalFormatting>
  <conditionalFormatting sqref="J64:J96 J36 J38:J40 J42:J46 J48:J55 J57 J61:J62 J98:J106 J108 J110:J113 J115:J117">
    <cfRule type="cellIs" dxfId="338" priority="12" operator="between">
      <formula>6</formula>
      <formula>15</formula>
    </cfRule>
  </conditionalFormatting>
  <conditionalFormatting sqref="J92 J94">
    <cfRule type="cellIs" dxfId="337" priority="4" operator="between">
      <formula>6</formula>
      <formula>15</formula>
    </cfRule>
    <cfRule type="cellIs" dxfId="336" priority="5" operator="between">
      <formula>1</formula>
      <formula>5</formula>
    </cfRule>
    <cfRule type="cellIs" dxfId="335" priority="6" operator="between">
      <formula>16</formula>
      <formula>60</formula>
    </cfRule>
  </conditionalFormatting>
  <conditionalFormatting sqref="J119 J59">
    <cfRule type="cellIs" dxfId="334" priority="8" operator="between">
      <formula>6</formula>
      <formula>15</formula>
    </cfRule>
  </conditionalFormatting>
  <conditionalFormatting sqref="J119">
    <cfRule type="cellIs" dxfId="333" priority="1" operator="between">
      <formula>6</formula>
      <formula>15</formula>
    </cfRule>
    <cfRule type="cellIs" dxfId="332" priority="2" operator="between">
      <formula>1</formula>
      <formula>5</formula>
    </cfRule>
    <cfRule type="cellIs" dxfId="331" priority="3" operator="between">
      <formula>16</formula>
      <formula>60</formula>
    </cfRule>
  </conditionalFormatting>
  <dataValidations disablePrompts="1" count="3">
    <dataValidation type="list" allowBlank="1" showInputMessage="1" showErrorMessage="1" sqref="D141:D142 G48:G55 G110:G113 G59 G57 G61:G62 G98:G108 G38:G40 G115:G119 G35:G36 G42:G46 G64:G96" xr:uid="{32C8AF7E-4625-4C1B-A502-21403B0107D3}">
      <formula1>"Cancelado,Pagar,Sin Pagar"</formula1>
    </dataValidation>
    <dataValidation type="list" allowBlank="1" showInputMessage="1" showErrorMessage="1" sqref="D33 D7" xr:uid="{12C40444-C5CA-4E57-8C67-3EBAD60F1C91}">
      <formula1>"ENERO,FEBRERO,MARZO,ABRIL,MAYO,JUNIO,JULIO,AGOSTO,SEPTIEMBRE,OCTUBRE,NOVIEMBRE,DICIEMBRE"</formula1>
    </dataValidation>
    <dataValidation type="list" allowBlank="1" showInputMessage="1" showErrorMessage="1" sqref="B13:B29" xr:uid="{5370D674-4B8B-4C92-BEA4-54600D332CD9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36:J60 J91:J116 J62:J87 J88 J13:J14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85CA-5CCB-4F80-AE2E-8841EAEF40D4}">
  <dimension ref="A1:S174"/>
  <sheetViews>
    <sheetView showGridLines="0" topLeftCell="A154" zoomScaleNormal="100" workbookViewId="0">
      <selection activeCell="D167" sqref="D167:D170"/>
    </sheetView>
  </sheetViews>
  <sheetFormatPr baseColWidth="10" defaultColWidth="11.42578125" defaultRowHeight="15" outlineLevelRow="1"/>
  <cols>
    <col min="1" max="1" width="2.140625" style="39" customWidth="1"/>
    <col min="2" max="2" width="14.42578125" style="40" bestFit="1" customWidth="1"/>
    <col min="3" max="3" width="56.5703125" style="39" customWidth="1"/>
    <col min="4" max="4" width="27.7109375" style="41" bestFit="1" customWidth="1"/>
    <col min="5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10" hidden="1">
      <c r="D1" s="41">
        <v>42400</v>
      </c>
    </row>
    <row r="2" spans="2:10">
      <c r="D2" s="42"/>
      <c r="E2" s="42"/>
      <c r="I2" s="43"/>
    </row>
    <row r="3" spans="2:10">
      <c r="E3" s="15"/>
      <c r="I3" s="43"/>
    </row>
    <row r="4" spans="2:10" ht="15.75">
      <c r="B4" s="134"/>
      <c r="C4" s="134"/>
      <c r="D4" s="111" t="s">
        <v>139</v>
      </c>
      <c r="E4" s="66">
        <v>45992</v>
      </c>
      <c r="I4" s="43"/>
    </row>
    <row r="5" spans="2:10">
      <c r="D5" s="42"/>
      <c r="E5" s="42"/>
      <c r="I5" s="43"/>
    </row>
    <row r="6" spans="2:10">
      <c r="C6" s="98" t="s">
        <v>181</v>
      </c>
      <c r="D6" s="125">
        <v>7.46</v>
      </c>
      <c r="E6" s="42"/>
      <c r="I6" s="43"/>
    </row>
    <row r="7" spans="2:10" ht="15.75">
      <c r="C7" s="99"/>
      <c r="D7" s="432" t="s">
        <v>604</v>
      </c>
      <c r="E7" s="432"/>
      <c r="I7" s="43"/>
    </row>
    <row r="8" spans="2:10">
      <c r="D8" s="110" t="s">
        <v>168</v>
      </c>
      <c r="E8" s="110" t="s">
        <v>169</v>
      </c>
    </row>
    <row r="9" spans="2:10" s="44" customFormat="1" ht="15.75">
      <c r="C9" s="101" t="s">
        <v>133</v>
      </c>
      <c r="D9" s="126">
        <f>SUBTOTAL(9,D10:D12)</f>
        <v>503122.91369999945</v>
      </c>
      <c r="E9" s="122">
        <f>SUBTOTAL(9,E10:E12)</f>
        <v>67442.749825737206</v>
      </c>
      <c r="F9" s="45"/>
      <c r="I9" s="43"/>
    </row>
    <row r="10" spans="2:10" s="43" customFormat="1" outlineLevel="1">
      <c r="B10" s="46"/>
      <c r="C10" s="47" t="s">
        <v>153</v>
      </c>
      <c r="D10" s="15">
        <f>'Caja QTQ'!$D$826+7012.4</f>
        <v>433717.46089999948</v>
      </c>
      <c r="E10" s="25">
        <f>D10/$D$6</f>
        <v>58139.069825737199</v>
      </c>
      <c r="F10" s="49"/>
    </row>
    <row r="11" spans="2:10" s="43" customFormat="1" outlineLevel="1">
      <c r="B11" s="46"/>
      <c r="C11" s="47" t="s">
        <v>154</v>
      </c>
      <c r="D11" s="15">
        <f>E11*D6</f>
        <v>36420.689800000007</v>
      </c>
      <c r="E11" s="25">
        <f>'Caja USD'!$D$290</f>
        <v>4882.130000000001</v>
      </c>
      <c r="F11" s="49"/>
    </row>
    <row r="12" spans="2:10" s="43" customFormat="1" ht="18" customHeight="1" outlineLevel="1">
      <c r="B12" s="46"/>
      <c r="C12" s="47" t="s">
        <v>1362</v>
      </c>
      <c r="D12" s="15">
        <f>E12*D6</f>
        <v>32984.762999999999</v>
      </c>
      <c r="E12" s="25">
        <v>4421.55</v>
      </c>
      <c r="F12" s="49"/>
    </row>
    <row r="13" spans="2:10" s="43" customFormat="1" ht="15.75">
      <c r="B13" s="46"/>
      <c r="C13" s="102" t="s">
        <v>134</v>
      </c>
      <c r="D13" s="127">
        <f>SUBTOTAL(9,D14:D31)</f>
        <v>1100545.33</v>
      </c>
      <c r="E13" s="122">
        <f>SUBTOTAL(9,E14:E31)</f>
        <v>144950.02536193028</v>
      </c>
      <c r="F13" s="128"/>
    </row>
    <row r="14" spans="2:10" s="43" customFormat="1" ht="15" customHeight="1" outlineLevel="1">
      <c r="B14" s="218" t="s">
        <v>298</v>
      </c>
      <c r="C14" s="215" t="s">
        <v>515</v>
      </c>
      <c r="D14" s="216">
        <f>'Diferencia en cambio'!I201</f>
        <v>50276.328001827205</v>
      </c>
      <c r="E14" s="225">
        <f>D14/'Diferencia en cambio'!L201</f>
        <v>6633.77</v>
      </c>
      <c r="F14" s="128"/>
      <c r="G14" s="171"/>
      <c r="J14" s="372"/>
    </row>
    <row r="15" spans="2:10" s="43" customFormat="1" ht="15" customHeight="1" outlineLevel="1">
      <c r="B15" s="218" t="s">
        <v>298</v>
      </c>
      <c r="C15" s="215" t="s">
        <v>516</v>
      </c>
      <c r="D15" s="216">
        <f>'Diferencia en cambio'!I202</f>
        <v>12562.24209102044</v>
      </c>
      <c r="E15" s="225">
        <f>D15/'Diferencia en cambio'!L202</f>
        <v>1657.54</v>
      </c>
      <c r="F15" s="202"/>
      <c r="G15" s="171"/>
      <c r="J15" s="372"/>
    </row>
    <row r="16" spans="2:10" s="43" customFormat="1" ht="15" customHeight="1" outlineLevel="1">
      <c r="B16" s="218" t="s">
        <v>298</v>
      </c>
      <c r="C16" s="215" t="s">
        <v>831</v>
      </c>
      <c r="D16" s="216">
        <f>'Diferencia en cambio'!I203</f>
        <v>28172.923819256965</v>
      </c>
      <c r="E16" s="225">
        <f>D16/'Diferencia en cambio'!L203</f>
        <v>3717.31</v>
      </c>
      <c r="F16" s="329"/>
      <c r="G16" s="208"/>
    </row>
    <row r="17" spans="1:17" s="43" customFormat="1" ht="15" customHeight="1" outlineLevel="1">
      <c r="B17" s="218" t="s">
        <v>298</v>
      </c>
      <c r="C17" s="215" t="s">
        <v>1016</v>
      </c>
      <c r="D17" s="216">
        <f>'Diferencia en cambio'!I204</f>
        <v>20194.89892576752</v>
      </c>
      <c r="E17" s="225">
        <f>D17/'Diferencia en cambio'!L204</f>
        <v>2664.64</v>
      </c>
      <c r="F17" s="329"/>
      <c r="G17" s="208"/>
    </row>
    <row r="18" spans="1:17" s="43" customFormat="1" ht="15" customHeight="1" outlineLevel="1">
      <c r="B18" s="218" t="s">
        <v>298</v>
      </c>
      <c r="C18" s="215" t="s">
        <v>514</v>
      </c>
      <c r="D18" s="216">
        <f>'Diferencia en cambio'!I205</f>
        <v>42031.830847082958</v>
      </c>
      <c r="E18" s="225">
        <f>D18/'Diferencia en cambio'!L205</f>
        <v>5545.94</v>
      </c>
      <c r="F18" s="329"/>
      <c r="G18" s="208"/>
    </row>
    <row r="19" spans="1:17" s="43" customFormat="1" ht="15" customHeight="1" outlineLevel="1">
      <c r="B19" s="218" t="s">
        <v>298</v>
      </c>
      <c r="C19" s="215" t="s">
        <v>1309</v>
      </c>
      <c r="D19" s="216">
        <f>'Diferencia en cambio'!I206</f>
        <v>95878.32631504492</v>
      </c>
      <c r="E19" s="225">
        <f>D19/'Diferencia en cambio'!L206</f>
        <v>12650.78</v>
      </c>
      <c r="F19" s="329"/>
      <c r="G19" s="208"/>
    </row>
    <row r="20" spans="1:17" s="43" customFormat="1" ht="15" customHeight="1" outlineLevel="1">
      <c r="B20" s="51" t="s">
        <v>143</v>
      </c>
      <c r="C20" s="47" t="s">
        <v>1295</v>
      </c>
      <c r="D20" s="373">
        <f>E20*$D$6</f>
        <v>0</v>
      </c>
      <c r="E20" s="208">
        <f>'Diferencia en cambio'!F207*0</f>
        <v>0</v>
      </c>
      <c r="F20" s="329"/>
      <c r="G20" s="336"/>
    </row>
    <row r="21" spans="1:17" s="43" customFormat="1" ht="15" customHeight="1" outlineLevel="1">
      <c r="A21" s="50"/>
      <c r="B21" s="218" t="s">
        <v>298</v>
      </c>
      <c r="C21" s="215" t="s">
        <v>1296</v>
      </c>
      <c r="D21" s="252">
        <f>'Diferencia en cambio'!I208</f>
        <v>11102.885994089998</v>
      </c>
      <c r="E21" s="217">
        <f>D21/'Diferencia en cambio'!L208</f>
        <v>1465.01</v>
      </c>
      <c r="F21" s="330"/>
      <c r="G21" s="354"/>
    </row>
    <row r="22" spans="1:17" s="43" customFormat="1" ht="15" customHeight="1" outlineLevel="1">
      <c r="B22" s="218" t="s">
        <v>298</v>
      </c>
      <c r="C22" s="215" t="s">
        <v>1297</v>
      </c>
      <c r="D22" s="252">
        <f>'Diferencia en cambio'!I209</f>
        <v>27323.371729048122</v>
      </c>
      <c r="E22" s="217">
        <f>D22/'Diferencia en cambio'!L209</f>
        <v>3605.28</v>
      </c>
    </row>
    <row r="23" spans="1:17" s="43" customFormat="1" ht="15" hidden="1" customHeight="1" outlineLevel="1">
      <c r="B23" s="218"/>
      <c r="C23" s="215"/>
      <c r="D23" s="252">
        <v>2059</v>
      </c>
      <c r="E23" s="217">
        <f>D23/D6</f>
        <v>276.0053619302949</v>
      </c>
    </row>
    <row r="24" spans="1:17" s="43" customFormat="1" ht="15" hidden="1" customHeight="1" outlineLevel="1">
      <c r="B24" s="218"/>
      <c r="C24" s="215"/>
      <c r="D24" s="252"/>
      <c r="E24" s="217"/>
    </row>
    <row r="25" spans="1:17" s="43" customFormat="1" ht="15" customHeight="1" outlineLevel="1">
      <c r="B25" s="218" t="s">
        <v>298</v>
      </c>
      <c r="C25" s="215" t="s">
        <v>518</v>
      </c>
      <c r="D25" s="252">
        <f>'Diferencia en cambio'!I210</f>
        <v>18300.690066435604</v>
      </c>
      <c r="E25" s="217">
        <f>D25/'Diferencia en cambio'!L210</f>
        <v>2414.75</v>
      </c>
      <c r="F25" s="128"/>
      <c r="G25" s="52"/>
    </row>
    <row r="26" spans="1:17" s="43" customFormat="1" ht="15" customHeight="1" outlineLevel="1">
      <c r="B26" s="218" t="s">
        <v>298</v>
      </c>
      <c r="C26" s="215" t="s">
        <v>819</v>
      </c>
      <c r="D26" s="252">
        <f>'Diferencia en cambio'!I211</f>
        <v>45390.561739185199</v>
      </c>
      <c r="E26" s="217">
        <f>D26/'Diferencia en cambio'!L211</f>
        <v>5989.22</v>
      </c>
      <c r="F26" s="128"/>
      <c r="G26" s="52"/>
    </row>
    <row r="27" spans="1:17" s="43" customFormat="1" ht="15" customHeight="1" outlineLevel="1">
      <c r="B27" s="218" t="s">
        <v>298</v>
      </c>
      <c r="C27" s="215" t="s">
        <v>929</v>
      </c>
      <c r="D27" s="252">
        <f>'Diferencia en cambio'!I212</f>
        <v>107775.16814699912</v>
      </c>
      <c r="E27" s="217">
        <f>D27/'Diferencia en cambio'!L212</f>
        <v>14220.78</v>
      </c>
      <c r="F27" s="128"/>
      <c r="G27" s="52"/>
    </row>
    <row r="28" spans="1:17" s="43" customFormat="1" ht="15" customHeight="1" outlineLevel="1">
      <c r="B28" s="218" t="s">
        <v>298</v>
      </c>
      <c r="C28" s="215" t="s">
        <v>832</v>
      </c>
      <c r="D28" s="252">
        <f>'Diferencia en cambio'!I213</f>
        <v>12749.512324241967</v>
      </c>
      <c r="E28" s="217">
        <f>D28/'Diferencia en cambio'!L213</f>
        <v>1682.28</v>
      </c>
      <c r="F28" s="202"/>
      <c r="G28" s="52"/>
    </row>
    <row r="29" spans="1:17" s="43" customFormat="1" ht="15" customHeight="1" outlineLevel="1">
      <c r="A29" s="50"/>
      <c r="B29" s="218" t="s">
        <v>298</v>
      </c>
      <c r="C29" s="300" t="s">
        <v>937</v>
      </c>
      <c r="D29" s="216">
        <f>'Diferencia en cambio'!I215</f>
        <v>121412.05</v>
      </c>
      <c r="E29" s="225">
        <f>$D$29/'Diferencia en cambio'!$L$215</f>
        <v>15938.34</v>
      </c>
      <c r="F29" s="128"/>
      <c r="G29" s="184"/>
    </row>
    <row r="30" spans="1:17" s="43" customFormat="1" ht="15" customHeight="1" outlineLevel="1">
      <c r="B30" s="218" t="s">
        <v>298</v>
      </c>
      <c r="C30" s="215" t="s">
        <v>1349</v>
      </c>
      <c r="D30" s="252">
        <f>'Diferencia en cambio'!I214</f>
        <v>117321.19</v>
      </c>
      <c r="E30" s="217">
        <f>$D$30/'Diferencia en cambio'!$L$214</f>
        <v>15564.84</v>
      </c>
      <c r="F30" s="128"/>
      <c r="G30" s="208"/>
    </row>
    <row r="31" spans="1:17" s="43" customFormat="1" ht="15" customHeight="1" outlineLevel="1">
      <c r="B31" s="218" t="s">
        <v>298</v>
      </c>
      <c r="C31" s="215" t="s">
        <v>1130</v>
      </c>
      <c r="D31" s="252">
        <f>'Diferencia en cambio'!I216</f>
        <v>387994.35</v>
      </c>
      <c r="E31" s="217">
        <f>$D$31/'Diferencia en cambio'!$L$216</f>
        <v>50923.54</v>
      </c>
      <c r="F31" s="128"/>
      <c r="G31" s="208"/>
    </row>
    <row r="32" spans="1:17" s="43" customFormat="1" ht="15.75">
      <c r="B32" s="46"/>
      <c r="C32" s="276" t="s">
        <v>136</v>
      </c>
      <c r="D32" s="274">
        <f>SUBTOTAL(9,D9:D31)</f>
        <v>1603668.2436999995</v>
      </c>
      <c r="E32" s="275">
        <f>SUBTOTAL(9,E9:E31)</f>
        <v>212392.77518766749</v>
      </c>
      <c r="F32" s="56"/>
      <c r="G32" s="56"/>
      <c r="J32" s="52"/>
      <c r="K32" s="57"/>
      <c r="O32" s="58"/>
      <c r="P32" s="59"/>
      <c r="Q32" s="53"/>
    </row>
    <row r="33" spans="2:19" s="43" customFormat="1" ht="15.75">
      <c r="B33" s="46"/>
      <c r="C33" s="60"/>
      <c r="D33" s="61"/>
      <c r="E33" s="61"/>
      <c r="G33" s="62"/>
      <c r="O33" s="59"/>
      <c r="P33" s="59"/>
    </row>
    <row r="34" spans="2:19" s="43" customFormat="1" ht="15.75">
      <c r="B34" s="46"/>
      <c r="N34" s="63"/>
      <c r="O34" s="64"/>
      <c r="P34" s="65"/>
    </row>
    <row r="35" spans="2:19" s="43" customFormat="1" ht="15.75">
      <c r="B35" s="432" t="s">
        <v>137</v>
      </c>
      <c r="C35" s="432"/>
      <c r="D35" s="432" t="s">
        <v>604</v>
      </c>
      <c r="E35" s="432"/>
      <c r="K35" s="65"/>
      <c r="L35" s="65"/>
      <c r="N35" s="63"/>
      <c r="R35" s="52"/>
      <c r="S35" s="52"/>
    </row>
    <row r="36" spans="2:19" s="43" customFormat="1" ht="16.5" thickBot="1">
      <c r="B36" s="67" t="s">
        <v>81</v>
      </c>
      <c r="C36" s="68" t="s">
        <v>106</v>
      </c>
      <c r="D36" s="110" t="s">
        <v>168</v>
      </c>
      <c r="E36" s="110" t="s">
        <v>169</v>
      </c>
      <c r="F36" s="69" t="s">
        <v>140</v>
      </c>
      <c r="G36" s="63" t="s">
        <v>141</v>
      </c>
      <c r="H36" s="63"/>
      <c r="I36" s="63"/>
      <c r="J36" s="70" t="s">
        <v>142</v>
      </c>
      <c r="N36" s="71"/>
      <c r="R36" s="52"/>
      <c r="S36" s="72"/>
    </row>
    <row r="37" spans="2:19" s="43" customFormat="1" ht="16.5" thickBot="1">
      <c r="B37" s="46"/>
      <c r="C37" s="73" t="s">
        <v>155</v>
      </c>
      <c r="D37" s="103">
        <f>SUBTOTAL(9,D38:D38)</f>
        <v>106546.18</v>
      </c>
      <c r="E37" s="112">
        <f>SUBTOTAL(9,E38:E38)</f>
        <v>14282.329758713136</v>
      </c>
      <c r="F37" s="74"/>
      <c r="J37" s="76"/>
    </row>
    <row r="38" spans="2:19" s="43" customFormat="1" ht="15.75" outlineLevel="1" thickBot="1">
      <c r="B38" s="374">
        <v>5794688</v>
      </c>
      <c r="C38" s="78" t="s">
        <v>605</v>
      </c>
      <c r="D38" s="104">
        <v>106546.18</v>
      </c>
      <c r="E38" s="115">
        <f>D38/$D$6</f>
        <v>14282.329758713136</v>
      </c>
      <c r="F38" s="80">
        <v>46006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11</v>
      </c>
      <c r="J38" s="75">
        <f>H38</f>
        <v>0</v>
      </c>
      <c r="K38" s="52"/>
      <c r="L38" s="52"/>
    </row>
    <row r="39" spans="2:19" s="43" customFormat="1" ht="16.5" thickBot="1">
      <c r="B39" s="46"/>
      <c r="C39" s="73" t="s">
        <v>144</v>
      </c>
      <c r="D39" s="103">
        <f>SUBTOTAL(9,D40:D42)</f>
        <v>31765.83</v>
      </c>
      <c r="E39" s="112">
        <f>SUBTOTAL(9,E40:E42)</f>
        <v>4258.1541554959786</v>
      </c>
      <c r="J39" s="76">
        <f t="shared" ref="J39:J47" si="0">H39</f>
        <v>0</v>
      </c>
    </row>
    <row r="40" spans="2:19" s="43" customFormat="1" outlineLevel="1">
      <c r="B40" s="356">
        <v>49380053011</v>
      </c>
      <c r="C40" s="47" t="s">
        <v>522</v>
      </c>
      <c r="D40" s="104">
        <v>28513.4</v>
      </c>
      <c r="E40" s="115">
        <f>D40/$D$6</f>
        <v>3822.1715817694371</v>
      </c>
      <c r="F40" s="80">
        <v>46003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10</v>
      </c>
      <c r="J40" s="75">
        <f t="shared" si="0"/>
        <v>0</v>
      </c>
      <c r="K40" s="48"/>
      <c r="L40" s="57"/>
    </row>
    <row r="41" spans="2:19" s="43" customFormat="1" ht="14.25" customHeight="1" outlineLevel="1">
      <c r="B41" s="356">
        <v>49375016788</v>
      </c>
      <c r="C41" s="47" t="s">
        <v>1319</v>
      </c>
      <c r="D41" s="109">
        <v>1703</v>
      </c>
      <c r="E41" s="115">
        <f>D41/$D$6</f>
        <v>228.28418230563003</v>
      </c>
      <c r="F41" s="80">
        <v>46003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10</v>
      </c>
      <c r="J41" s="75">
        <f t="shared" ref="J41" si="1">H41</f>
        <v>0</v>
      </c>
      <c r="K41" s="48"/>
      <c r="L41" s="57"/>
    </row>
    <row r="42" spans="2:19" s="43" customFormat="1" ht="14.25" customHeight="1" outlineLevel="1" thickBot="1">
      <c r="B42" s="356">
        <v>49375134303</v>
      </c>
      <c r="C42" s="47" t="s">
        <v>1148</v>
      </c>
      <c r="D42" s="109">
        <v>1549.43</v>
      </c>
      <c r="E42" s="115">
        <f>D42/$D$6</f>
        <v>207.69839142091155</v>
      </c>
      <c r="F42" s="80">
        <v>46003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10</v>
      </c>
      <c r="J42" s="75">
        <f t="shared" si="0"/>
        <v>0</v>
      </c>
      <c r="K42" s="48"/>
      <c r="L42" s="57"/>
    </row>
    <row r="43" spans="2:19" s="43" customFormat="1" ht="16.5" thickBot="1">
      <c r="B43" s="46"/>
      <c r="C43" s="73" t="s">
        <v>1065</v>
      </c>
      <c r="D43" s="103">
        <f>SUBTOTAL(9,D44:D48)</f>
        <v>31485.940000000002</v>
      </c>
      <c r="E43" s="112">
        <f>SUBTOTAL(9,E44:E48)</f>
        <v>3470.6353887399464</v>
      </c>
      <c r="J43" s="76">
        <f t="shared" si="0"/>
        <v>0</v>
      </c>
      <c r="K43" s="52"/>
      <c r="L43" s="52"/>
    </row>
    <row r="44" spans="2:19" s="43" customFormat="1" ht="15" customHeight="1" outlineLevel="1">
      <c r="B44" s="356" t="s">
        <v>1327</v>
      </c>
      <c r="C44" s="47" t="s">
        <v>1068</v>
      </c>
      <c r="D44" s="104">
        <f>$E$44*$D$6</f>
        <v>12309</v>
      </c>
      <c r="E44" s="115">
        <v>1650</v>
      </c>
      <c r="F44" s="80">
        <v>45995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4</v>
      </c>
      <c r="J44" s="75">
        <f>H44</f>
        <v>0</v>
      </c>
      <c r="K44" s="48"/>
      <c r="L44" s="57"/>
    </row>
    <row r="45" spans="2:19" s="43" customFormat="1" ht="15" customHeight="1" outlineLevel="1">
      <c r="B45" s="168">
        <v>12557</v>
      </c>
      <c r="C45" s="47" t="s">
        <v>1320</v>
      </c>
      <c r="D45" s="104">
        <f>4673.2-100</f>
        <v>4573.2</v>
      </c>
      <c r="E45" s="115">
        <f>D45/$D$6</f>
        <v>613.02949061662196</v>
      </c>
      <c r="F45" s="80">
        <v>46010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15</v>
      </c>
      <c r="J45" s="75">
        <f>H45</f>
        <v>0</v>
      </c>
      <c r="K45" s="48"/>
      <c r="L45" s="57"/>
    </row>
    <row r="46" spans="2:19" s="43" customFormat="1" ht="15" customHeight="1" outlineLevel="1">
      <c r="B46" s="168">
        <v>2888256700</v>
      </c>
      <c r="C46" s="47" t="s">
        <v>1321</v>
      </c>
      <c r="D46" s="104">
        <v>1368.42</v>
      </c>
      <c r="E46" s="115">
        <f>D46/$D$6</f>
        <v>183.4343163538874</v>
      </c>
      <c r="F46" s="80">
        <v>46010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15</v>
      </c>
      <c r="J46" s="75">
        <f t="shared" si="0"/>
        <v>0</v>
      </c>
      <c r="K46" s="48"/>
      <c r="L46" s="57"/>
    </row>
    <row r="47" spans="2:19" s="43" customFormat="1" ht="15" customHeight="1" outlineLevel="1">
      <c r="B47" s="168">
        <v>1774800791</v>
      </c>
      <c r="C47" s="47" t="s">
        <v>1375</v>
      </c>
      <c r="D47" s="104">
        <v>926.32</v>
      </c>
      <c r="E47" s="115">
        <f>D47/$D$6</f>
        <v>124.17158176943701</v>
      </c>
      <c r="F47" s="80">
        <v>46010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15</v>
      </c>
      <c r="J47" s="75">
        <f t="shared" si="0"/>
        <v>0</v>
      </c>
      <c r="K47" s="48"/>
      <c r="L47" s="57"/>
    </row>
    <row r="48" spans="2:19" s="43" customFormat="1" ht="15" customHeight="1" outlineLevel="1" thickBot="1">
      <c r="B48" s="356" t="s">
        <v>1394</v>
      </c>
      <c r="C48" s="47" t="s">
        <v>1395</v>
      </c>
      <c r="D48" s="104">
        <f>$E$44*$D$6</f>
        <v>12309</v>
      </c>
      <c r="E48" s="115">
        <v>900</v>
      </c>
      <c r="F48" s="80">
        <v>46028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24</v>
      </c>
      <c r="J48" s="75">
        <f>H48</f>
        <v>0</v>
      </c>
      <c r="K48" s="48"/>
      <c r="L48" s="57"/>
    </row>
    <row r="49" spans="2:16" s="43" customFormat="1" ht="16.5" thickBot="1">
      <c r="C49" s="73" t="s">
        <v>146</v>
      </c>
      <c r="D49" s="103">
        <f>SUBTOTAL(9,D50:D57)</f>
        <v>10192.010200000001</v>
      </c>
      <c r="E49" s="112">
        <f>SUBTOTAL(9,E50:E57)</f>
        <v>1366.2212064343162</v>
      </c>
      <c r="K49" s="49"/>
      <c r="L49" s="49"/>
      <c r="O49" s="49"/>
      <c r="P49" s="49"/>
    </row>
    <row r="50" spans="2:16" s="43" customFormat="1" ht="15" customHeight="1" outlineLevel="1">
      <c r="B50" s="186" t="s">
        <v>746</v>
      </c>
      <c r="C50" s="210" t="s">
        <v>272</v>
      </c>
      <c r="D50" s="104">
        <f>E50*$D$6</f>
        <v>410.82220000000001</v>
      </c>
      <c r="E50" s="359">
        <v>55.07</v>
      </c>
      <c r="F50" s="74">
        <v>46014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17</v>
      </c>
      <c r="J50" s="75">
        <f t="shared" ref="J50:J57" si="2">H50</f>
        <v>0</v>
      </c>
      <c r="K50" s="49"/>
      <c r="L50" s="49"/>
      <c r="O50" s="49"/>
      <c r="P50" s="49"/>
    </row>
    <row r="51" spans="2:16" s="43" customFormat="1" ht="15" customHeight="1" outlineLevel="1">
      <c r="B51" s="186" t="s">
        <v>745</v>
      </c>
      <c r="C51" s="210" t="s">
        <v>273</v>
      </c>
      <c r="D51" s="104">
        <f>E51*$D$6</f>
        <v>1935.6462000000001</v>
      </c>
      <c r="E51" s="359">
        <v>259.47000000000003</v>
      </c>
      <c r="F51" s="74">
        <v>46014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17</v>
      </c>
      <c r="J51" s="75">
        <f t="shared" si="2"/>
        <v>0</v>
      </c>
    </row>
    <row r="52" spans="2:16" s="43" customFormat="1" ht="15" customHeight="1" outlineLevel="1">
      <c r="B52" s="186" t="s">
        <v>745</v>
      </c>
      <c r="C52" s="210" t="s">
        <v>274</v>
      </c>
      <c r="D52" s="104">
        <f>E52*$D$6</f>
        <v>1531.7618</v>
      </c>
      <c r="E52" s="359">
        <v>205.33</v>
      </c>
      <c r="F52" s="74">
        <v>46014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17</v>
      </c>
      <c r="J52" s="75">
        <f t="shared" si="2"/>
        <v>0</v>
      </c>
    </row>
    <row r="53" spans="2:16" s="43" customFormat="1" ht="15" customHeight="1" outlineLevel="1">
      <c r="B53" s="251" t="s">
        <v>745</v>
      </c>
      <c r="C53" s="209" t="s">
        <v>827</v>
      </c>
      <c r="D53" s="268">
        <v>722.42</v>
      </c>
      <c r="E53" s="113">
        <f>D53/$D$6</f>
        <v>96.839142091152809</v>
      </c>
      <c r="F53" s="74">
        <v>46014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17</v>
      </c>
      <c r="J53" s="75">
        <f>H53</f>
        <v>0</v>
      </c>
      <c r="K53" s="49"/>
      <c r="L53" s="49"/>
      <c r="O53" s="49"/>
      <c r="P53" s="49"/>
    </row>
    <row r="54" spans="2:16" s="43" customFormat="1" ht="15" customHeight="1" outlineLevel="1">
      <c r="B54" s="251" t="s">
        <v>745</v>
      </c>
      <c r="C54" s="209" t="s">
        <v>825</v>
      </c>
      <c r="D54" s="268">
        <v>861.81</v>
      </c>
      <c r="E54" s="113">
        <f>D54/$D$6</f>
        <v>115.52412868632707</v>
      </c>
      <c r="F54" s="74">
        <v>46014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17</v>
      </c>
      <c r="J54" s="75">
        <f>H54</f>
        <v>0</v>
      </c>
      <c r="K54" s="49"/>
      <c r="L54" s="49"/>
      <c r="O54" s="49"/>
      <c r="P54" s="49"/>
    </row>
    <row r="55" spans="2:16" s="43" customFormat="1" ht="15" customHeight="1" outlineLevel="1">
      <c r="B55" s="251" t="s">
        <v>745</v>
      </c>
      <c r="C55" s="209" t="s">
        <v>822</v>
      </c>
      <c r="D55" s="268">
        <v>1704.44</v>
      </c>
      <c r="E55" s="113">
        <f>D55/$D$6</f>
        <v>228.47721179624665</v>
      </c>
      <c r="F55" s="74">
        <v>46014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17</v>
      </c>
      <c r="J55" s="75">
        <f t="shared" si="2"/>
        <v>0</v>
      </c>
      <c r="K55" s="49"/>
      <c r="L55" s="49"/>
      <c r="O55" s="49"/>
      <c r="P55" s="49"/>
    </row>
    <row r="56" spans="2:16" s="43" customFormat="1" ht="15" customHeight="1" outlineLevel="1">
      <c r="B56" s="251" t="s">
        <v>745</v>
      </c>
      <c r="C56" s="209" t="s">
        <v>823</v>
      </c>
      <c r="D56" s="268">
        <v>1023.02</v>
      </c>
      <c r="E56" s="113">
        <f>D56/$D$6</f>
        <v>137.13404825737265</v>
      </c>
      <c r="F56" s="74">
        <v>46014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17</v>
      </c>
      <c r="J56" s="75">
        <f t="shared" si="2"/>
        <v>0</v>
      </c>
    </row>
    <row r="57" spans="2:16" s="43" customFormat="1" ht="15" customHeight="1" outlineLevel="1" thickBot="1">
      <c r="B57" s="251" t="s">
        <v>745</v>
      </c>
      <c r="C57" s="209" t="s">
        <v>824</v>
      </c>
      <c r="D57" s="268">
        <v>2002.09</v>
      </c>
      <c r="E57" s="113">
        <f>D57/$D$6</f>
        <v>268.37667560321717</v>
      </c>
      <c r="F57" s="74">
        <v>46014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17</v>
      </c>
      <c r="J57" s="75">
        <f t="shared" si="2"/>
        <v>0</v>
      </c>
    </row>
    <row r="58" spans="2:16" s="43" customFormat="1" ht="16.5" thickBot="1">
      <c r="B58" s="82"/>
      <c r="C58" s="85" t="s">
        <v>162</v>
      </c>
      <c r="D58" s="119">
        <f>SUBTOTAL(9,D59:D59)</f>
        <v>0</v>
      </c>
      <c r="E58" s="114">
        <f>SUBTOTAL(9,E59:E59)</f>
        <v>0</v>
      </c>
      <c r="K58" s="52"/>
      <c r="M58" s="183"/>
      <c r="N58" s="183"/>
    </row>
    <row r="59" spans="2:16" s="43" customFormat="1" ht="15" customHeight="1" outlineLevel="1" thickBot="1">
      <c r="B59" s="46">
        <v>0</v>
      </c>
      <c r="C59" s="47"/>
      <c r="D59" s="104">
        <f>E59*7.8</f>
        <v>0</v>
      </c>
      <c r="E59" s="115">
        <v>0</v>
      </c>
      <c r="F59" s="74">
        <v>46022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20</v>
      </c>
      <c r="J59" s="75">
        <f t="shared" ref="J59" si="3">H59</f>
        <v>0</v>
      </c>
      <c r="M59" s="104"/>
      <c r="N59" s="49"/>
    </row>
    <row r="60" spans="2:16" s="43" customFormat="1" ht="16.5" thickBot="1">
      <c r="B60" s="46"/>
      <c r="C60" s="73" t="s">
        <v>147</v>
      </c>
      <c r="D60" s="103">
        <f>SUBTOTAL(9,D61:D61)</f>
        <v>0</v>
      </c>
      <c r="E60" s="112">
        <f>SUBTOTAL(9,E61:E61)</f>
        <v>0</v>
      </c>
    </row>
    <row r="61" spans="2:16" s="43" customFormat="1" ht="15.75" outlineLevel="1" thickBot="1">
      <c r="B61" s="46"/>
      <c r="C61" s="47"/>
      <c r="D61" s="104"/>
      <c r="E61" s="113"/>
      <c r="F61" s="74">
        <v>46022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20</v>
      </c>
      <c r="J61" s="75">
        <f>H61</f>
        <v>0</v>
      </c>
    </row>
    <row r="62" spans="2:16" s="43" customFormat="1" ht="15.75" customHeight="1" thickBot="1">
      <c r="C62" s="73" t="s">
        <v>148</v>
      </c>
      <c r="D62" s="119">
        <f>SUBTOTAL(9,D63:D65)</f>
        <v>596.79999999999995</v>
      </c>
      <c r="E62" s="114">
        <f>SUBTOTAL(9,E63:E65)</f>
        <v>80</v>
      </c>
    </row>
    <row r="63" spans="2:16" s="43" customFormat="1" ht="15" customHeight="1" outlineLevel="1">
      <c r="B63" s="46"/>
      <c r="C63" s="47" t="s">
        <v>1257</v>
      </c>
      <c r="D63" s="109">
        <f>E63*$D$6</f>
        <v>298.39999999999998</v>
      </c>
      <c r="E63" s="115">
        <v>40</v>
      </c>
      <c r="F63" s="74">
        <v>45995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4</v>
      </c>
      <c r="J63" s="75">
        <f t="shared" ref="J63:J64" si="4">H63</f>
        <v>0</v>
      </c>
    </row>
    <row r="64" spans="2:16" s="43" customFormat="1" ht="15" customHeight="1" outlineLevel="1">
      <c r="B64" s="46"/>
      <c r="C64" s="47" t="s">
        <v>117</v>
      </c>
      <c r="D64" s="109">
        <f>E64*D6</f>
        <v>0</v>
      </c>
      <c r="E64" s="115">
        <f>40*0</f>
        <v>0</v>
      </c>
      <c r="F64" s="74">
        <v>46022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20</v>
      </c>
      <c r="J64" s="75">
        <f t="shared" si="4"/>
        <v>0</v>
      </c>
    </row>
    <row r="65" spans="2:15" s="43" customFormat="1" ht="15" customHeight="1" outlineLevel="1" thickBot="1">
      <c r="B65" s="46"/>
      <c r="C65" s="47" t="s">
        <v>1257</v>
      </c>
      <c r="D65" s="109">
        <f>E65*$D$6</f>
        <v>298.39999999999998</v>
      </c>
      <c r="E65" s="115">
        <v>40</v>
      </c>
      <c r="F65" s="74">
        <v>46028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24</v>
      </c>
      <c r="J65" s="75">
        <f t="shared" ref="J65" si="5">H65</f>
        <v>0</v>
      </c>
    </row>
    <row r="66" spans="2:15" s="43" customFormat="1" ht="16.5" thickBot="1">
      <c r="C66" s="73" t="s">
        <v>164</v>
      </c>
      <c r="D66" s="119">
        <f>SUBTOTAL(9,D67:D88)</f>
        <v>598115.01</v>
      </c>
      <c r="E66" s="114">
        <f>SUBTOTAL(9,E67:E88)</f>
        <v>80176.27479892761</v>
      </c>
      <c r="K66" s="52"/>
      <c r="L66" s="86"/>
      <c r="M66" s="109"/>
      <c r="N66" s="109"/>
      <c r="O66" s="113"/>
    </row>
    <row r="67" spans="2:15" s="43" customFormat="1" ht="15" customHeight="1" outlineLevel="1">
      <c r="B67" s="83" t="s">
        <v>1034</v>
      </c>
      <c r="C67" s="47" t="s">
        <v>886</v>
      </c>
      <c r="D67" s="378">
        <v>49577.78</v>
      </c>
      <c r="E67" s="113">
        <f>D67/$D$6</f>
        <v>6645.8150134048255</v>
      </c>
      <c r="F67" s="74">
        <v>46008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13</v>
      </c>
      <c r="J67" s="75">
        <f>H67</f>
        <v>0</v>
      </c>
      <c r="L67" s="52"/>
    </row>
    <row r="68" spans="2:15" s="43" customFormat="1" ht="15" customHeight="1" outlineLevel="1">
      <c r="B68" s="303" t="s">
        <v>892</v>
      </c>
      <c r="C68" s="47" t="s">
        <v>901</v>
      </c>
      <c r="D68" s="378">
        <v>32589.919999999998</v>
      </c>
      <c r="E68" s="113">
        <f>D68/$D$6</f>
        <v>4368.6219839142086</v>
      </c>
      <c r="F68" s="74">
        <v>46008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13</v>
      </c>
      <c r="J68" s="75">
        <f>H68</f>
        <v>0</v>
      </c>
      <c r="L68" s="52"/>
    </row>
    <row r="69" spans="2:15" s="43" customFormat="1" ht="15" customHeight="1" outlineLevel="1">
      <c r="B69" s="83" t="s">
        <v>1034</v>
      </c>
      <c r="C69" s="47" t="s">
        <v>843</v>
      </c>
      <c r="D69" s="271">
        <v>18701.009999999998</v>
      </c>
      <c r="E69" s="113">
        <f t="shared" ref="E69:E88" si="6">D69/$D$6</f>
        <v>2506.837801608579</v>
      </c>
      <c r="F69" s="74">
        <v>46017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18</v>
      </c>
      <c r="J69" s="75">
        <f t="shared" ref="J69:J88" si="7">H69</f>
        <v>0</v>
      </c>
      <c r="L69" s="52"/>
      <c r="M69" s="381" t="s">
        <v>1384</v>
      </c>
    </row>
    <row r="70" spans="2:15" s="43" customFormat="1" ht="15" customHeight="1" outlineLevel="1">
      <c r="B70" s="83" t="s">
        <v>1034</v>
      </c>
      <c r="C70" s="47" t="s">
        <v>176</v>
      </c>
      <c r="D70" s="271">
        <v>29033.11</v>
      </c>
      <c r="E70" s="113">
        <f t="shared" si="6"/>
        <v>3891.8378016085794</v>
      </c>
      <c r="F70" s="74">
        <v>46017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18</v>
      </c>
      <c r="J70" s="75">
        <f t="shared" si="7"/>
        <v>0</v>
      </c>
      <c r="L70" s="52"/>
      <c r="M70" s="381" t="s">
        <v>1384</v>
      </c>
    </row>
    <row r="71" spans="2:15" s="43" customFormat="1" ht="15" customHeight="1" outlineLevel="1">
      <c r="B71" s="83" t="s">
        <v>1034</v>
      </c>
      <c r="C71" s="47" t="s">
        <v>1249</v>
      </c>
      <c r="D71" s="271">
        <v>25531.03</v>
      </c>
      <c r="E71" s="113">
        <f t="shared" si="6"/>
        <v>3422.3900804289542</v>
      </c>
      <c r="F71" s="74">
        <v>46017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18</v>
      </c>
      <c r="J71" s="75">
        <f>H71</f>
        <v>0</v>
      </c>
      <c r="L71" s="52"/>
      <c r="M71" s="379" t="s">
        <v>1381</v>
      </c>
    </row>
    <row r="72" spans="2:15" s="43" customFormat="1" ht="15" customHeight="1" outlineLevel="1">
      <c r="B72" s="267" t="s">
        <v>1035</v>
      </c>
      <c r="C72" s="47" t="s">
        <v>944</v>
      </c>
      <c r="D72" s="271">
        <v>13622.51</v>
      </c>
      <c r="E72" s="113">
        <f t="shared" si="6"/>
        <v>1826.0737265415551</v>
      </c>
      <c r="F72" s="74">
        <v>46017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18</v>
      </c>
      <c r="J72" s="75">
        <f t="shared" si="7"/>
        <v>0</v>
      </c>
      <c r="L72" s="52"/>
      <c r="M72" s="381" t="s">
        <v>1384</v>
      </c>
    </row>
    <row r="73" spans="2:15" s="43" customFormat="1" ht="15" customHeight="1" outlineLevel="1">
      <c r="B73" s="267" t="s">
        <v>1035</v>
      </c>
      <c r="C73" s="47" t="s">
        <v>945</v>
      </c>
      <c r="D73" s="271">
        <v>10127.07</v>
      </c>
      <c r="E73" s="113">
        <f t="shared" si="6"/>
        <v>1357.5160857908847</v>
      </c>
      <c r="F73" s="74">
        <v>46017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18</v>
      </c>
      <c r="J73" s="75">
        <f t="shared" si="7"/>
        <v>0</v>
      </c>
      <c r="L73" s="52"/>
      <c r="M73" s="381" t="s">
        <v>1384</v>
      </c>
    </row>
    <row r="74" spans="2:15" s="43" customFormat="1" ht="15" customHeight="1" outlineLevel="1">
      <c r="B74" s="267" t="s">
        <v>1035</v>
      </c>
      <c r="C74" s="47" t="s">
        <v>1300</v>
      </c>
      <c r="D74" s="271">
        <v>67218.36</v>
      </c>
      <c r="E74" s="113">
        <f>D74/$D$6</f>
        <v>9010.5040214477212</v>
      </c>
      <c r="F74" s="74">
        <v>46017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18</v>
      </c>
      <c r="J74" s="75">
        <f>H74</f>
        <v>0</v>
      </c>
      <c r="L74" s="52"/>
      <c r="M74" s="381" t="s">
        <v>1384</v>
      </c>
    </row>
    <row r="75" spans="2:15" s="43" customFormat="1" ht="15" customHeight="1" outlineLevel="1">
      <c r="B75" s="267" t="s">
        <v>1035</v>
      </c>
      <c r="C75" s="47" t="s">
        <v>829</v>
      </c>
      <c r="D75" s="271">
        <v>34601.33</v>
      </c>
      <c r="E75" s="113">
        <f t="shared" si="6"/>
        <v>4638.2479892761394</v>
      </c>
      <c r="F75" s="74">
        <v>46017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18</v>
      </c>
      <c r="J75" s="75">
        <f t="shared" si="7"/>
        <v>0</v>
      </c>
      <c r="L75" s="52"/>
      <c r="M75" s="381" t="s">
        <v>1384</v>
      </c>
    </row>
    <row r="76" spans="2:15" s="43" customFormat="1" ht="15" customHeight="1" outlineLevel="1">
      <c r="B76" s="267" t="s">
        <v>1036</v>
      </c>
      <c r="C76" s="47" t="s">
        <v>946</v>
      </c>
      <c r="D76" s="271">
        <v>9930.7099999999991</v>
      </c>
      <c r="E76" s="113">
        <f t="shared" si="6"/>
        <v>1331.1943699731903</v>
      </c>
      <c r="F76" s="74">
        <v>46017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18</v>
      </c>
      <c r="J76" s="75">
        <f t="shared" si="7"/>
        <v>0</v>
      </c>
      <c r="L76" s="52"/>
      <c r="M76" s="381" t="s">
        <v>1384</v>
      </c>
    </row>
    <row r="77" spans="2:15" s="43" customFormat="1" ht="15" customHeight="1" outlineLevel="1">
      <c r="B77" s="301" t="s">
        <v>1037</v>
      </c>
      <c r="C77" s="47" t="s">
        <v>947</v>
      </c>
      <c r="D77" s="271">
        <v>9662.36</v>
      </c>
      <c r="E77" s="113">
        <f t="shared" si="6"/>
        <v>1295.2225201072388</v>
      </c>
      <c r="F77" s="74">
        <v>46017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18</v>
      </c>
      <c r="J77" s="75">
        <f t="shared" ref="J77:J87" si="8">H77</f>
        <v>0</v>
      </c>
      <c r="L77" s="52"/>
      <c r="M77" s="381" t="s">
        <v>1384</v>
      </c>
    </row>
    <row r="78" spans="2:15" s="43" customFormat="1" ht="15" customHeight="1" outlineLevel="1">
      <c r="B78" s="303" t="s">
        <v>892</v>
      </c>
      <c r="C78" s="47" t="s">
        <v>417</v>
      </c>
      <c r="D78" s="268">
        <v>11877</v>
      </c>
      <c r="E78" s="113">
        <f t="shared" si="6"/>
        <v>1592.0911528150134</v>
      </c>
      <c r="F78" s="74">
        <v>46017</v>
      </c>
      <c r="G78" s="43" t="s">
        <v>135</v>
      </c>
      <c r="H78" s="43">
        <f>IF(OR(G78="Sin pagar",G78="Pagar"),NETWORKDAYS($E$4,F78,'Festivos Guatemala'!$A$3:$A$15),0)</f>
        <v>0</v>
      </c>
      <c r="I78" s="43">
        <f>NETWORKDAYS($E$4,F78,'Festivos Guatemala'!$A$3:$A$15)</f>
        <v>18</v>
      </c>
      <c r="J78" s="75">
        <f t="shared" si="8"/>
        <v>0</v>
      </c>
      <c r="L78" s="52"/>
      <c r="M78" s="380" t="s">
        <v>1383</v>
      </c>
    </row>
    <row r="79" spans="2:15" s="43" customFormat="1" ht="15" customHeight="1" outlineLevel="1">
      <c r="B79" s="303" t="s">
        <v>892</v>
      </c>
      <c r="C79" s="47" t="s">
        <v>409</v>
      </c>
      <c r="D79" s="268">
        <v>14151</v>
      </c>
      <c r="E79" s="113">
        <f t="shared" si="6"/>
        <v>1896.9168900804289</v>
      </c>
      <c r="F79" s="74">
        <v>46017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18</v>
      </c>
      <c r="J79" s="75">
        <f t="shared" si="8"/>
        <v>0</v>
      </c>
      <c r="L79" s="52"/>
      <c r="M79" s="380" t="s">
        <v>1383</v>
      </c>
    </row>
    <row r="80" spans="2:15" s="43" customFormat="1" ht="15" customHeight="1" outlineLevel="1">
      <c r="B80" s="303" t="s">
        <v>892</v>
      </c>
      <c r="C80" s="47" t="s">
        <v>844</v>
      </c>
      <c r="D80" s="268">
        <v>24923</v>
      </c>
      <c r="E80" s="113">
        <f t="shared" ref="E80:E87" si="9">D80/$D$6</f>
        <v>3340.8847184986594</v>
      </c>
      <c r="F80" s="74">
        <v>46017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18</v>
      </c>
      <c r="J80" s="75">
        <f t="shared" si="8"/>
        <v>0</v>
      </c>
      <c r="L80" s="52"/>
      <c r="M80" s="380" t="s">
        <v>1383</v>
      </c>
    </row>
    <row r="81" spans="2:13" s="43" customFormat="1" ht="15" customHeight="1" outlineLevel="1">
      <c r="B81" s="303" t="s">
        <v>892</v>
      </c>
      <c r="C81" s="47" t="s">
        <v>412</v>
      </c>
      <c r="D81" s="268">
        <v>8754</v>
      </c>
      <c r="E81" s="113">
        <f t="shared" si="9"/>
        <v>1173.4584450402144</v>
      </c>
      <c r="F81" s="74">
        <v>46017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18</v>
      </c>
      <c r="J81" s="75">
        <f t="shared" si="8"/>
        <v>0</v>
      </c>
      <c r="L81" s="52"/>
      <c r="M81" s="380" t="s">
        <v>1383</v>
      </c>
    </row>
    <row r="82" spans="2:13" s="43" customFormat="1" ht="15" customHeight="1" outlineLevel="1">
      <c r="B82" s="303" t="s">
        <v>892</v>
      </c>
      <c r="C82" s="47" t="s">
        <v>413</v>
      </c>
      <c r="D82" s="268">
        <v>3943</v>
      </c>
      <c r="E82" s="113">
        <f t="shared" si="9"/>
        <v>528.55227882037536</v>
      </c>
      <c r="F82" s="74">
        <v>46017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18</v>
      </c>
      <c r="J82" s="75">
        <f t="shared" si="8"/>
        <v>0</v>
      </c>
      <c r="L82" s="52"/>
      <c r="M82" s="380" t="s">
        <v>1383</v>
      </c>
    </row>
    <row r="83" spans="2:13" s="43" customFormat="1" ht="15" customHeight="1" outlineLevel="1">
      <c r="B83" s="303" t="s">
        <v>892</v>
      </c>
      <c r="C83" s="47" t="s">
        <v>415</v>
      </c>
      <c r="D83" s="268">
        <v>48622</v>
      </c>
      <c r="E83" s="113">
        <f t="shared" si="9"/>
        <v>6517.6943699731901</v>
      </c>
      <c r="F83" s="74">
        <v>46017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18</v>
      </c>
      <c r="J83" s="75">
        <f t="shared" si="8"/>
        <v>0</v>
      </c>
      <c r="L83" s="52"/>
      <c r="M83" s="380" t="s">
        <v>1383</v>
      </c>
    </row>
    <row r="84" spans="2:13" s="43" customFormat="1" ht="15" customHeight="1" outlineLevel="1">
      <c r="B84" s="303" t="s">
        <v>892</v>
      </c>
      <c r="C84" s="47" t="s">
        <v>410</v>
      </c>
      <c r="D84" s="268">
        <v>3943</v>
      </c>
      <c r="E84" s="113">
        <f t="shared" si="9"/>
        <v>528.55227882037536</v>
      </c>
      <c r="F84" s="74">
        <v>46017</v>
      </c>
      <c r="G84" s="43" t="s">
        <v>135</v>
      </c>
      <c r="H84" s="43">
        <f>IF(OR(G84="Sin pagar",G84="Pagar"),NETWORKDAYS($E$4,F84,'Festivos Guatemala'!$A$3:$A$15),0)</f>
        <v>0</v>
      </c>
      <c r="I84" s="43">
        <f>NETWORKDAYS($E$4,F84,'Festivos Guatemala'!$A$3:$A$15)</f>
        <v>18</v>
      </c>
      <c r="J84" s="75">
        <f t="shared" si="8"/>
        <v>0</v>
      </c>
      <c r="L84" s="52"/>
      <c r="M84" s="380" t="s">
        <v>1383</v>
      </c>
    </row>
    <row r="85" spans="2:13" s="43" customFormat="1" ht="15" customHeight="1" outlineLevel="1">
      <c r="B85" s="303" t="s">
        <v>892</v>
      </c>
      <c r="C85" s="47" t="s">
        <v>845</v>
      </c>
      <c r="D85" s="268">
        <v>24923.65</v>
      </c>
      <c r="E85" s="113">
        <f t="shared" si="9"/>
        <v>3340.9718498659518</v>
      </c>
      <c r="F85" s="74">
        <v>46017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18</v>
      </c>
      <c r="J85" s="75">
        <f t="shared" si="8"/>
        <v>0</v>
      </c>
      <c r="L85" s="52"/>
      <c r="M85" s="380" t="s">
        <v>1383</v>
      </c>
    </row>
    <row r="86" spans="2:13" s="43" customFormat="1" ht="15" customHeight="1" outlineLevel="1">
      <c r="B86" s="303" t="s">
        <v>892</v>
      </c>
      <c r="C86" s="47" t="s">
        <v>418</v>
      </c>
      <c r="D86" s="268">
        <v>33857.480000000003</v>
      </c>
      <c r="E86" s="113">
        <f t="shared" si="9"/>
        <v>4538.5361930294912</v>
      </c>
      <c r="F86" s="74">
        <v>46017</v>
      </c>
      <c r="G86" s="43" t="s">
        <v>135</v>
      </c>
      <c r="H86" s="43">
        <f>IF(OR(G86="Sin pagar",G86="Pagar"),NETWORKDAYS($E$4,F86,'Festivos Guatemala'!$A$3:$A$15),0)</f>
        <v>0</v>
      </c>
      <c r="I86" s="43">
        <f>NETWORKDAYS($E$4,F86,'Festivos Guatemala'!$A$3:$A$15)</f>
        <v>18</v>
      </c>
      <c r="J86" s="75">
        <f t="shared" si="8"/>
        <v>0</v>
      </c>
      <c r="L86" s="52"/>
      <c r="M86" s="380" t="s">
        <v>1383</v>
      </c>
    </row>
    <row r="87" spans="2:13" s="43" customFormat="1" ht="15" customHeight="1" outlineLevel="1">
      <c r="B87" s="303" t="s">
        <v>892</v>
      </c>
      <c r="C87" s="50" t="s">
        <v>414</v>
      </c>
      <c r="D87" s="268">
        <v>54673.09</v>
      </c>
      <c r="E87" s="113">
        <f t="shared" si="9"/>
        <v>7328.8324396782837</v>
      </c>
      <c r="F87" s="74">
        <v>46021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20</v>
      </c>
      <c r="J87" s="75">
        <f t="shared" si="8"/>
        <v>0</v>
      </c>
      <c r="L87" s="52"/>
      <c r="M87" s="379" t="s">
        <v>1382</v>
      </c>
    </row>
    <row r="88" spans="2:13" s="43" customFormat="1" ht="15" customHeight="1" outlineLevel="1" thickBot="1">
      <c r="B88" s="303" t="s">
        <v>892</v>
      </c>
      <c r="C88" s="47" t="s">
        <v>416</v>
      </c>
      <c r="D88" s="268">
        <v>67852.600000000006</v>
      </c>
      <c r="E88" s="113">
        <f t="shared" si="6"/>
        <v>9095.5227882037543</v>
      </c>
      <c r="F88" s="74">
        <v>46021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20</v>
      </c>
      <c r="J88" s="75">
        <f t="shared" si="7"/>
        <v>0</v>
      </c>
      <c r="L88" s="52"/>
      <c r="M88" s="379" t="s">
        <v>1382</v>
      </c>
    </row>
    <row r="89" spans="2:13" s="43" customFormat="1" ht="16.5" thickBot="1">
      <c r="B89" s="46"/>
      <c r="C89" s="73" t="s">
        <v>173</v>
      </c>
      <c r="D89" s="103">
        <f>SUBTOTAL(9,D90:D93)</f>
        <v>0</v>
      </c>
      <c r="E89" s="112">
        <f>SUBTOTAL(9,E90:E93)</f>
        <v>0</v>
      </c>
    </row>
    <row r="90" spans="2:13" s="43" customFormat="1" ht="15" customHeight="1" outlineLevel="1">
      <c r="B90" s="46"/>
      <c r="C90" s="210" t="s">
        <v>278</v>
      </c>
      <c r="D90" s="104">
        <v>0</v>
      </c>
      <c r="E90" s="115">
        <v>0</v>
      </c>
      <c r="F90" s="74">
        <v>46021</v>
      </c>
      <c r="G90" s="43" t="s">
        <v>135</v>
      </c>
      <c r="H90" s="43">
        <f>IF(OR(G90="Sin pagar",G90="Pagar"),NETWORKDAYS($E$4,F90,'Festivos Guatemala'!$A$3:$A$15),0)</f>
        <v>0</v>
      </c>
      <c r="I90" s="43">
        <f>NETWORKDAYS($E$4,F90,'Festivos Guatemala'!$A$3:$A$15)</f>
        <v>20</v>
      </c>
      <c r="J90" s="75">
        <f t="shared" ref="J90:J93" si="10">H90</f>
        <v>0</v>
      </c>
      <c r="K90" s="52"/>
      <c r="L90" s="54"/>
    </row>
    <row r="91" spans="2:13" s="43" customFormat="1" ht="15" customHeight="1" outlineLevel="1">
      <c r="B91" s="46"/>
      <c r="C91" s="209" t="s">
        <v>280</v>
      </c>
      <c r="D91" s="104">
        <v>0</v>
      </c>
      <c r="E91" s="115">
        <f>D91/$D$6</f>
        <v>0</v>
      </c>
      <c r="F91" s="74">
        <v>46021</v>
      </c>
      <c r="G91" s="43" t="s">
        <v>135</v>
      </c>
      <c r="H91" s="43">
        <f>IF(OR(G91="Sin pagar",G91="Pagar"),NETWORKDAYS($E$4,F91,'Festivos Guatemala'!$A$3:$A$15),0)</f>
        <v>0</v>
      </c>
      <c r="I91" s="43">
        <f>NETWORKDAYS($E$4,F91,'Festivos Guatemala'!$A$3:$A$15)</f>
        <v>20</v>
      </c>
      <c r="J91" s="75">
        <f t="shared" si="10"/>
        <v>0</v>
      </c>
      <c r="K91" s="52"/>
      <c r="L91" s="54"/>
    </row>
    <row r="92" spans="2:13" s="43" customFormat="1" ht="15" customHeight="1" outlineLevel="1">
      <c r="B92" s="46"/>
      <c r="C92" s="209" t="s">
        <v>1304</v>
      </c>
      <c r="D92" s="104">
        <v>0</v>
      </c>
      <c r="E92" s="115">
        <f t="shared" ref="E92:E93" si="11">D92/$D$6</f>
        <v>0</v>
      </c>
      <c r="F92" s="74">
        <v>46021</v>
      </c>
      <c r="G92" s="43" t="s">
        <v>135</v>
      </c>
      <c r="H92" s="43">
        <f>IF(OR(G92="Sin pagar",G92="Pagar"),NETWORKDAYS($E$4,F92,'Festivos Guatemala'!$A$3:$A$15),0)</f>
        <v>0</v>
      </c>
      <c r="I92" s="43">
        <f>NETWORKDAYS($E$4,F92,'Festivos Guatemala'!$A$3:$A$15)</f>
        <v>20</v>
      </c>
      <c r="J92" s="75">
        <f t="shared" si="10"/>
        <v>0</v>
      </c>
      <c r="K92" s="52"/>
      <c r="L92" s="54"/>
    </row>
    <row r="93" spans="2:13" s="43" customFormat="1" ht="15" customHeight="1" outlineLevel="1" thickBot="1">
      <c r="B93" s="46"/>
      <c r="C93" s="209" t="s">
        <v>1303</v>
      </c>
      <c r="D93" s="104">
        <v>0</v>
      </c>
      <c r="E93" s="115">
        <f t="shared" si="11"/>
        <v>0</v>
      </c>
      <c r="F93" s="74">
        <v>46021</v>
      </c>
      <c r="G93" s="43" t="s">
        <v>135</v>
      </c>
      <c r="H93" s="43">
        <f>IF(OR(G93="Sin pagar",G93="Pagar"),NETWORKDAYS($E$4,F93,'Festivos Guatemala'!$A$3:$A$15),0)</f>
        <v>0</v>
      </c>
      <c r="I93" s="43">
        <f>NETWORKDAYS($E$4,F93,'Festivos Guatemala'!$A$3:$A$15)</f>
        <v>20</v>
      </c>
      <c r="J93" s="75">
        <f t="shared" si="10"/>
        <v>0</v>
      </c>
      <c r="K93" s="52"/>
      <c r="L93" s="54"/>
    </row>
    <row r="94" spans="2:13" s="43" customFormat="1" ht="16.5" thickBot="1">
      <c r="B94" s="87"/>
      <c r="C94" s="73" t="s">
        <v>149</v>
      </c>
      <c r="D94" s="103">
        <f>SUBTOTAL(9,D95:D95)</f>
        <v>0</v>
      </c>
      <c r="E94" s="112">
        <f>SUBTOTAL(9,E95:E95)</f>
        <v>0</v>
      </c>
      <c r="L94" s="52"/>
    </row>
    <row r="95" spans="2:13" s="43" customFormat="1" ht="15" customHeight="1" outlineLevel="1" thickBot="1">
      <c r="B95" s="311" t="s">
        <v>145</v>
      </c>
      <c r="C95" s="47" t="s">
        <v>1085</v>
      </c>
      <c r="D95" s="109">
        <f>$E$95*$D$6</f>
        <v>0</v>
      </c>
      <c r="E95" s="115">
        <v>0</v>
      </c>
      <c r="F95" s="74">
        <v>46022</v>
      </c>
      <c r="G95" s="43" t="s">
        <v>135</v>
      </c>
      <c r="H95" s="43">
        <f>IF(OR(G95="Sin pagar",G95="Pagar"),NETWORKDAYS($E$4,F95,'Festivos Guatemala'!$A$3:$A$15),0)</f>
        <v>0</v>
      </c>
      <c r="I95" s="43">
        <f>NETWORKDAYS($E$4,F95,'Festivos Guatemala'!$A$3:$A$15)</f>
        <v>20</v>
      </c>
      <c r="J95" s="75">
        <f>H95</f>
        <v>0</v>
      </c>
      <c r="K95" s="52"/>
      <c r="L95" s="54"/>
    </row>
    <row r="96" spans="2:13" s="43" customFormat="1" ht="16.5" thickBot="1">
      <c r="B96" s="87"/>
      <c r="C96" s="73" t="s">
        <v>1144</v>
      </c>
      <c r="D96" s="103">
        <f>SUBTOTAL(9,D97:D97)</f>
        <v>0</v>
      </c>
      <c r="E96" s="112">
        <f>SUBTOTAL(9,E97:E97)</f>
        <v>0</v>
      </c>
      <c r="L96" s="52"/>
    </row>
    <row r="97" spans="2:15" s="43" customFormat="1" ht="15.75" outlineLevel="1" thickBot="1">
      <c r="B97" s="311"/>
      <c r="C97" s="47"/>
      <c r="D97" s="109">
        <v>0</v>
      </c>
      <c r="E97" s="115">
        <f>D97/$D$6</f>
        <v>0</v>
      </c>
      <c r="F97" s="74">
        <v>46022</v>
      </c>
      <c r="G97" s="43" t="s">
        <v>135</v>
      </c>
      <c r="H97" s="43">
        <f>IF(OR(G97="Sin pagar",G97="Pagar"),NETWORKDAYS($E$4,F97,'Festivos Guatemala'!$A$3:$A$15),0)</f>
        <v>0</v>
      </c>
      <c r="I97" s="43">
        <f>NETWORKDAYS($E$4,F97,'Festivos Guatemala'!$A$3:$A$15)</f>
        <v>20</v>
      </c>
      <c r="J97" s="75">
        <f>H97</f>
        <v>0</v>
      </c>
      <c r="K97" s="52"/>
      <c r="L97" s="54"/>
    </row>
    <row r="98" spans="2:15" s="43" customFormat="1" ht="16.5" thickBot="1">
      <c r="B98" s="46"/>
      <c r="C98" s="73" t="s">
        <v>638</v>
      </c>
      <c r="D98" s="103">
        <f>SUBTOTAL(9,D99:D99)</f>
        <v>1500</v>
      </c>
      <c r="E98" s="112">
        <f>SUBTOTAL(9,E99:E99)</f>
        <v>201.07238605898124</v>
      </c>
    </row>
    <row r="99" spans="2:15" s="43" customFormat="1" ht="15" customHeight="1" outlineLevel="1" thickBot="1">
      <c r="B99" s="46" t="s">
        <v>145</v>
      </c>
      <c r="C99" s="47" t="s">
        <v>1106</v>
      </c>
      <c r="D99" s="109">
        <v>1500</v>
      </c>
      <c r="E99" s="115">
        <f>D99/$D$6</f>
        <v>201.07238605898124</v>
      </c>
      <c r="F99" s="74">
        <v>46010</v>
      </c>
      <c r="G99" s="43" t="s">
        <v>135</v>
      </c>
      <c r="H99" s="43">
        <f>IF(OR(G99="Sin pagar",G99="Pagar"),NETWORKDAYS($E$4,F99,'Festivos Guatemala'!$A$3:$A$15),0)</f>
        <v>0</v>
      </c>
      <c r="I99" s="43">
        <f>NETWORKDAYS($E$4,F99,'Festivos Guatemala'!$A$3:$A$15)</f>
        <v>15</v>
      </c>
      <c r="J99" s="75">
        <f>H99</f>
        <v>0</v>
      </c>
      <c r="K99" s="52"/>
      <c r="L99" s="54"/>
    </row>
    <row r="100" spans="2:15" s="43" customFormat="1" ht="16.5" thickBot="1">
      <c r="C100" s="332" t="s">
        <v>1351</v>
      </c>
      <c r="D100" s="333">
        <f>SUBTOTAL(9,D101:D109)</f>
        <v>176893.54</v>
      </c>
      <c r="E100" s="334">
        <f>SUBTOTAL(9,E101:E109)</f>
        <v>23712.270777479895</v>
      </c>
      <c r="K100" s="52"/>
      <c r="L100" s="86"/>
      <c r="M100" s="109"/>
      <c r="N100" s="109"/>
      <c r="O100" s="113"/>
    </row>
    <row r="101" spans="2:15" s="43" customFormat="1" ht="15" customHeight="1" outlineLevel="1">
      <c r="B101" s="303" t="s">
        <v>892</v>
      </c>
      <c r="C101" s="47" t="s">
        <v>1108</v>
      </c>
      <c r="D101" s="109">
        <v>11081.8</v>
      </c>
      <c r="E101" s="115">
        <f t="shared" ref="E101:E108" si="12">D101/$D$6</f>
        <v>1485.4959785522788</v>
      </c>
      <c r="F101" s="74">
        <v>46006</v>
      </c>
      <c r="G101" s="43" t="s">
        <v>135</v>
      </c>
      <c r="H101" s="43">
        <f>IF(OR(G101="Sin pagar",G101="Pagar"),NETWORKDAYS($E$4,F101,'Festivos Guatemala'!$A$3:$A$15),0)</f>
        <v>0</v>
      </c>
      <c r="I101" s="43">
        <f>NETWORKDAYS($E$4,F101,'Festivos Guatemala'!$A$3:$A$15)</f>
        <v>11</v>
      </c>
      <c r="J101" s="75">
        <f t="shared" ref="J101" si="13">H101</f>
        <v>0</v>
      </c>
      <c r="L101" s="52"/>
    </row>
    <row r="102" spans="2:15" s="43" customFormat="1" ht="15" customHeight="1" outlineLevel="1">
      <c r="B102" s="303" t="s">
        <v>892</v>
      </c>
      <c r="C102" s="47" t="s">
        <v>1109</v>
      </c>
      <c r="D102" s="109">
        <v>34571.019999999997</v>
      </c>
      <c r="E102" s="115">
        <f t="shared" si="12"/>
        <v>4634.1849865951735</v>
      </c>
      <c r="F102" s="74">
        <v>46006</v>
      </c>
      <c r="G102" s="43" t="s">
        <v>135</v>
      </c>
      <c r="H102" s="43">
        <f>IF(OR(G102="Sin pagar",G102="Pagar"),NETWORKDAYS($E$4,F102,'Festivos Guatemala'!$A$3:$A$15),0)</f>
        <v>0</v>
      </c>
      <c r="I102" s="43">
        <f>NETWORKDAYS($E$4,F102,'Festivos Guatemala'!$A$3:$A$15)</f>
        <v>11</v>
      </c>
      <c r="J102" s="75">
        <f>H102</f>
        <v>0</v>
      </c>
      <c r="L102" s="52"/>
    </row>
    <row r="103" spans="2:15" s="43" customFormat="1" ht="15" customHeight="1" outlineLevel="1">
      <c r="B103" s="303" t="s">
        <v>892</v>
      </c>
      <c r="C103" s="47" t="s">
        <v>1110</v>
      </c>
      <c r="D103" s="109">
        <v>4269.25</v>
      </c>
      <c r="E103" s="115">
        <f t="shared" si="12"/>
        <v>572.28552278820371</v>
      </c>
      <c r="F103" s="74">
        <v>46006</v>
      </c>
      <c r="G103" s="43" t="s">
        <v>135</v>
      </c>
      <c r="H103" s="43">
        <f>IF(OR(G103="Sin pagar",G103="Pagar"),NETWORKDAYS($E$4,F103,'Festivos Guatemala'!$A$3:$A$15),0)</f>
        <v>0</v>
      </c>
      <c r="I103" s="43">
        <f>NETWORKDAYS($E$4,F103,'Festivos Guatemala'!$A$3:$A$15)</f>
        <v>11</v>
      </c>
      <c r="J103" s="75">
        <f>H103</f>
        <v>0</v>
      </c>
      <c r="L103" s="52"/>
    </row>
    <row r="104" spans="2:15" s="43" customFormat="1" ht="15" customHeight="1" outlineLevel="1">
      <c r="B104" s="303" t="s">
        <v>892</v>
      </c>
      <c r="C104" s="47" t="s">
        <v>1111</v>
      </c>
      <c r="D104" s="109">
        <v>16296.43</v>
      </c>
      <c r="E104" s="115">
        <f t="shared" si="12"/>
        <v>2184.5080428954425</v>
      </c>
      <c r="F104" s="74">
        <v>46006</v>
      </c>
      <c r="G104" s="43" t="s">
        <v>135</v>
      </c>
      <c r="H104" s="43">
        <f>IF(OR(G104="Sin pagar",G104="Pagar"),NETWORKDAYS($E$4,F104,'Festivos Guatemala'!$A$3:$A$15),0)</f>
        <v>0</v>
      </c>
      <c r="I104" s="43">
        <f>NETWORKDAYS($E$4,F104,'Festivos Guatemala'!$A$3:$A$15)</f>
        <v>11</v>
      </c>
      <c r="J104" s="75">
        <f t="shared" ref="J104:J108" si="14">H104</f>
        <v>0</v>
      </c>
      <c r="L104" s="52"/>
    </row>
    <row r="105" spans="2:15" s="43" customFormat="1" ht="15" customHeight="1" outlineLevel="1">
      <c r="B105" s="303" t="s">
        <v>892</v>
      </c>
      <c r="C105" s="47" t="s">
        <v>1193</v>
      </c>
      <c r="D105" s="109">
        <v>36025.33</v>
      </c>
      <c r="E105" s="115">
        <f t="shared" si="12"/>
        <v>4829.1327077747992</v>
      </c>
      <c r="F105" s="74">
        <v>46006</v>
      </c>
      <c r="G105" s="43" t="s">
        <v>135</v>
      </c>
      <c r="H105" s="43">
        <f>IF(OR(G105="Sin pagar",G105="Pagar"),NETWORKDAYS($E$4,F105,'Festivos Guatemala'!$A$3:$A$15),0)</f>
        <v>0</v>
      </c>
      <c r="I105" s="43">
        <f>NETWORKDAYS($E$4,F105,'Festivos Guatemala'!$A$3:$A$15)</f>
        <v>11</v>
      </c>
      <c r="J105" s="75">
        <f t="shared" si="14"/>
        <v>0</v>
      </c>
      <c r="L105" s="52"/>
    </row>
    <row r="106" spans="2:15" s="43" customFormat="1" ht="15" customHeight="1" outlineLevel="1">
      <c r="B106" s="303" t="s">
        <v>892</v>
      </c>
      <c r="C106" s="47" t="s">
        <v>1112</v>
      </c>
      <c r="D106" s="109">
        <v>17206.72</v>
      </c>
      <c r="E106" s="115">
        <f t="shared" si="12"/>
        <v>2306.5308310991959</v>
      </c>
      <c r="F106" s="74">
        <v>46006</v>
      </c>
      <c r="G106" s="43" t="s">
        <v>135</v>
      </c>
      <c r="H106" s="43">
        <f>IF(OR(G106="Sin pagar",G106="Pagar"),NETWORKDAYS($E$4,F106,'Festivos Guatemala'!$A$3:$A$15),0)</f>
        <v>0</v>
      </c>
      <c r="I106" s="43">
        <f>NETWORKDAYS($E$4,F106,'Festivos Guatemala'!$A$3:$A$15)</f>
        <v>11</v>
      </c>
      <c r="J106" s="75">
        <f t="shared" si="14"/>
        <v>0</v>
      </c>
      <c r="L106" s="52"/>
    </row>
    <row r="107" spans="2:15" s="43" customFormat="1" ht="15" customHeight="1" outlineLevel="1">
      <c r="B107" s="303" t="s">
        <v>892</v>
      </c>
      <c r="C107" s="47" t="s">
        <v>1301</v>
      </c>
      <c r="D107" s="109">
        <v>48042.879999999997</v>
      </c>
      <c r="E107" s="115">
        <f t="shared" si="12"/>
        <v>6440.064343163539</v>
      </c>
      <c r="F107" s="74">
        <v>46006</v>
      </c>
      <c r="G107" s="43" t="s">
        <v>135</v>
      </c>
      <c r="H107" s="43">
        <f>IF(OR(G107="Sin pagar",G107="Pagar"),NETWORKDAYS($E$4,F107,'Festivos Guatemala'!$A$3:$A$15),0)</f>
        <v>0</v>
      </c>
      <c r="I107" s="43">
        <f>NETWORKDAYS($E$4,F107,'Festivos Guatemala'!$A$3:$A$15)</f>
        <v>11</v>
      </c>
      <c r="J107" s="75">
        <f t="shared" si="14"/>
        <v>0</v>
      </c>
      <c r="L107" s="52"/>
    </row>
    <row r="108" spans="2:15" s="43" customFormat="1" ht="15" customHeight="1" outlineLevel="1">
      <c r="B108" s="267" t="s">
        <v>1036</v>
      </c>
      <c r="C108" s="47" t="s">
        <v>1194</v>
      </c>
      <c r="D108" s="109">
        <v>3906.98</v>
      </c>
      <c r="E108" s="115">
        <f t="shared" si="12"/>
        <v>523.72386058981238</v>
      </c>
      <c r="F108" s="74">
        <v>46006</v>
      </c>
      <c r="G108" s="43" t="s">
        <v>135</v>
      </c>
      <c r="H108" s="43">
        <f>IF(OR(G108="Sin pagar",G108="Pagar"),NETWORKDAYS($E$4,F108,'Festivos Guatemala'!$A$3:$A$15),0)</f>
        <v>0</v>
      </c>
      <c r="I108" s="43">
        <f>NETWORKDAYS($E$4,F108,'Festivos Guatemala'!$A$3:$A$15)</f>
        <v>11</v>
      </c>
      <c r="J108" s="75">
        <f t="shared" si="14"/>
        <v>0</v>
      </c>
      <c r="L108" s="52"/>
    </row>
    <row r="109" spans="2:15" s="43" customFormat="1" ht="15" customHeight="1" outlineLevel="1" thickBot="1">
      <c r="B109" s="303" t="s">
        <v>892</v>
      </c>
      <c r="C109" s="47" t="s">
        <v>1385</v>
      </c>
      <c r="D109" s="109">
        <v>5493.13</v>
      </c>
      <c r="E109" s="115">
        <f t="shared" ref="E109" si="15">D109/$D$6</f>
        <v>736.34450402144773</v>
      </c>
      <c r="F109" s="74">
        <v>46014</v>
      </c>
      <c r="G109" s="43" t="s">
        <v>135</v>
      </c>
      <c r="H109" s="43">
        <f>IF(OR(G109="Sin pagar",G109="Pagar"),NETWORKDAYS($E$4,F109,'Festivos Guatemala'!$A$3:$A$15),0)</f>
        <v>0</v>
      </c>
      <c r="I109" s="43">
        <f>NETWORKDAYS($E$4,F109,'Festivos Guatemala'!$A$3:$A$15)</f>
        <v>17</v>
      </c>
      <c r="J109" s="75">
        <f>H109</f>
        <v>0</v>
      </c>
      <c r="L109" s="52"/>
    </row>
    <row r="110" spans="2:15" s="43" customFormat="1" ht="16.5" thickBot="1">
      <c r="C110" s="332" t="s">
        <v>1107</v>
      </c>
      <c r="D110" s="333">
        <f>SUBTOTAL(9,D111:D118)</f>
        <v>185904.44</v>
      </c>
      <c r="E110" s="334">
        <f>SUBTOTAL(9,E111:E118)</f>
        <v>24920.166219839146</v>
      </c>
      <c r="K110" s="52"/>
      <c r="L110" s="86"/>
      <c r="M110" s="109"/>
      <c r="N110" s="109"/>
      <c r="O110" s="113"/>
    </row>
    <row r="111" spans="2:15" s="43" customFormat="1" ht="15" customHeight="1" outlineLevel="1">
      <c r="B111" s="303" t="s">
        <v>892</v>
      </c>
      <c r="C111" s="47" t="s">
        <v>1108</v>
      </c>
      <c r="D111" s="109">
        <v>10855.64</v>
      </c>
      <c r="E111" s="115">
        <f t="shared" ref="E111:E118" si="16">D111/$D$6</f>
        <v>1455.1796246648794</v>
      </c>
      <c r="F111" s="74">
        <v>46017</v>
      </c>
      <c r="G111" s="43" t="s">
        <v>135</v>
      </c>
      <c r="H111" s="43">
        <f>IF(OR(G111="Sin pagar",G111="Pagar"),NETWORKDAYS($E$4,F111,'Festivos Guatemala'!$A$3:$A$15),0)</f>
        <v>0</v>
      </c>
      <c r="I111" s="43">
        <f>NETWORKDAYS($E$4,F111,'Festivos Guatemala'!$A$3:$A$15)</f>
        <v>18</v>
      </c>
      <c r="J111" s="75">
        <f t="shared" ref="J111" si="17">H111</f>
        <v>0</v>
      </c>
      <c r="L111" s="52"/>
    </row>
    <row r="112" spans="2:15" s="43" customFormat="1" ht="15" customHeight="1" outlineLevel="1">
      <c r="B112" s="303" t="s">
        <v>892</v>
      </c>
      <c r="C112" s="47" t="s">
        <v>1109</v>
      </c>
      <c r="D112" s="109">
        <v>37726.22</v>
      </c>
      <c r="E112" s="115">
        <f t="shared" si="16"/>
        <v>5057.1340482573733</v>
      </c>
      <c r="F112" s="74">
        <v>46017</v>
      </c>
      <c r="G112" s="43" t="s">
        <v>135</v>
      </c>
      <c r="H112" s="43">
        <f>IF(OR(G112="Sin pagar",G112="Pagar"),NETWORKDAYS($E$4,F112,'Festivos Guatemala'!$A$3:$A$15),0)</f>
        <v>0</v>
      </c>
      <c r="I112" s="43">
        <f>NETWORKDAYS($E$4,F112,'Festivos Guatemala'!$A$3:$A$15)</f>
        <v>18</v>
      </c>
      <c r="J112" s="75">
        <f>H112</f>
        <v>0</v>
      </c>
      <c r="L112" s="52"/>
    </row>
    <row r="113" spans="2:16" s="43" customFormat="1" ht="15" customHeight="1" outlineLevel="1">
      <c r="B113" s="303" t="s">
        <v>892</v>
      </c>
      <c r="C113" s="47" t="s">
        <v>1110</v>
      </c>
      <c r="D113" s="109">
        <v>16287.9</v>
      </c>
      <c r="E113" s="115">
        <f t="shared" si="16"/>
        <v>2183.3646112600536</v>
      </c>
      <c r="F113" s="74">
        <v>46017</v>
      </c>
      <c r="G113" s="43" t="s">
        <v>135</v>
      </c>
      <c r="H113" s="43">
        <f>IF(OR(G113="Sin pagar",G113="Pagar"),NETWORKDAYS($E$4,F113,'Festivos Guatemala'!$A$3:$A$15),0)</f>
        <v>0</v>
      </c>
      <c r="I113" s="43">
        <f>NETWORKDAYS($E$4,F113,'Festivos Guatemala'!$A$3:$A$15)</f>
        <v>18</v>
      </c>
      <c r="J113" s="75">
        <f>H113</f>
        <v>0</v>
      </c>
      <c r="L113" s="52"/>
    </row>
    <row r="114" spans="2:16" s="43" customFormat="1" ht="15" customHeight="1" outlineLevel="1">
      <c r="B114" s="303" t="s">
        <v>892</v>
      </c>
      <c r="C114" s="47" t="s">
        <v>1111</v>
      </c>
      <c r="D114" s="109">
        <v>15653.9</v>
      </c>
      <c r="E114" s="115">
        <f t="shared" si="16"/>
        <v>2098.3780160857909</v>
      </c>
      <c r="F114" s="74">
        <v>46017</v>
      </c>
      <c r="G114" s="43" t="s">
        <v>135</v>
      </c>
      <c r="H114" s="43">
        <f>IF(OR(G114="Sin pagar",G114="Pagar"),NETWORKDAYS($E$4,F114,'Festivos Guatemala'!$A$3:$A$15),0)</f>
        <v>0</v>
      </c>
      <c r="I114" s="43">
        <f>NETWORKDAYS($E$4,F114,'Festivos Guatemala'!$A$3:$A$15)</f>
        <v>18</v>
      </c>
      <c r="J114" s="75">
        <f t="shared" ref="J114:J118" si="18">H114</f>
        <v>0</v>
      </c>
      <c r="L114" s="52"/>
    </row>
    <row r="115" spans="2:16" s="43" customFormat="1" ht="15" customHeight="1" outlineLevel="1">
      <c r="B115" s="303" t="s">
        <v>892</v>
      </c>
      <c r="C115" s="47" t="s">
        <v>1193</v>
      </c>
      <c r="D115" s="109">
        <v>21295.75</v>
      </c>
      <c r="E115" s="115">
        <f t="shared" si="16"/>
        <v>2854.6581769436998</v>
      </c>
      <c r="F115" s="74">
        <v>46017</v>
      </c>
      <c r="G115" s="43" t="s">
        <v>135</v>
      </c>
      <c r="H115" s="43">
        <f>IF(OR(G115="Sin pagar",G115="Pagar"),NETWORKDAYS($E$4,F115,'Festivos Guatemala'!$A$3:$A$15),0)</f>
        <v>0</v>
      </c>
      <c r="I115" s="43">
        <f>NETWORKDAYS($E$4,F115,'Festivos Guatemala'!$A$3:$A$15)</f>
        <v>18</v>
      </c>
      <c r="J115" s="75">
        <f t="shared" si="18"/>
        <v>0</v>
      </c>
      <c r="L115" s="52"/>
    </row>
    <row r="116" spans="2:16" s="43" customFormat="1" ht="15" customHeight="1" outlineLevel="1">
      <c r="B116" s="303" t="s">
        <v>892</v>
      </c>
      <c r="C116" s="47" t="s">
        <v>1112</v>
      </c>
      <c r="D116" s="109">
        <v>8705.81</v>
      </c>
      <c r="E116" s="115">
        <f t="shared" si="16"/>
        <v>1166.9986595174262</v>
      </c>
      <c r="F116" s="74">
        <v>46017</v>
      </c>
      <c r="G116" s="43" t="s">
        <v>135</v>
      </c>
      <c r="H116" s="43">
        <f>IF(OR(G116="Sin pagar",G116="Pagar"),NETWORKDAYS($E$4,F116,'Festivos Guatemala'!$A$3:$A$15),0)</f>
        <v>0</v>
      </c>
      <c r="I116" s="43">
        <f>NETWORKDAYS($E$4,F116,'Festivos Guatemala'!$A$3:$A$15)</f>
        <v>18</v>
      </c>
      <c r="J116" s="75">
        <f t="shared" si="18"/>
        <v>0</v>
      </c>
      <c r="L116" s="52"/>
    </row>
    <row r="117" spans="2:16" s="43" customFormat="1" ht="15" customHeight="1" outlineLevel="1">
      <c r="B117" s="303" t="s">
        <v>892</v>
      </c>
      <c r="C117" s="47" t="s">
        <v>1301</v>
      </c>
      <c r="D117" s="109">
        <v>47799.56</v>
      </c>
      <c r="E117" s="115">
        <f t="shared" si="16"/>
        <v>6407.4477211796248</v>
      </c>
      <c r="F117" s="74">
        <v>46017</v>
      </c>
      <c r="G117" s="43" t="s">
        <v>135</v>
      </c>
      <c r="H117" s="43">
        <f>IF(OR(G117="Sin pagar",G117="Pagar"),NETWORKDAYS($E$4,F117,'Festivos Guatemala'!$A$3:$A$15),0)</f>
        <v>0</v>
      </c>
      <c r="I117" s="43">
        <f>NETWORKDAYS($E$4,F117,'Festivos Guatemala'!$A$3:$A$15)</f>
        <v>18</v>
      </c>
      <c r="J117" s="75">
        <f t="shared" si="18"/>
        <v>0</v>
      </c>
      <c r="L117" s="52"/>
    </row>
    <row r="118" spans="2:16" s="43" customFormat="1" ht="15" customHeight="1" outlineLevel="1" thickBot="1">
      <c r="B118" s="267" t="s">
        <v>1036</v>
      </c>
      <c r="C118" s="47" t="s">
        <v>1194</v>
      </c>
      <c r="D118" s="109">
        <v>27579.66</v>
      </c>
      <c r="E118" s="115">
        <f t="shared" si="16"/>
        <v>3697.0053619302948</v>
      </c>
      <c r="F118" s="74">
        <v>46017</v>
      </c>
      <c r="G118" s="43" t="s">
        <v>135</v>
      </c>
      <c r="H118" s="43">
        <f>IF(OR(G118="Sin pagar",G118="Pagar"),NETWORKDAYS($E$4,F118,'Festivos Guatemala'!$A$3:$A$15),0)</f>
        <v>0</v>
      </c>
      <c r="I118" s="43">
        <f>NETWORKDAYS($E$4,F118,'Festivos Guatemala'!$A$3:$A$15)</f>
        <v>18</v>
      </c>
      <c r="J118" s="75">
        <f t="shared" si="18"/>
        <v>0</v>
      </c>
      <c r="L118" s="52"/>
    </row>
    <row r="119" spans="2:16" s="43" customFormat="1" ht="16.5" thickBot="1">
      <c r="B119" s="46"/>
      <c r="C119" s="332" t="s">
        <v>155</v>
      </c>
      <c r="D119" s="333">
        <f>SUBTOTAL(9,D120:D120)</f>
        <v>33158.71</v>
      </c>
      <c r="E119" s="334">
        <f>SUBTOTAL(9,E120:E120)</f>
        <v>4444.8672922252008</v>
      </c>
      <c r="F119" s="74"/>
      <c r="J119" s="76"/>
    </row>
    <row r="120" spans="2:16" s="43" customFormat="1" ht="15" customHeight="1" outlineLevel="1" thickBot="1">
      <c r="B120" s="168">
        <v>5794755</v>
      </c>
      <c r="C120" s="78" t="s">
        <v>1264</v>
      </c>
      <c r="D120" s="104">
        <v>33158.71</v>
      </c>
      <c r="E120" s="115">
        <f>D120/$D$6</f>
        <v>4444.8672922252008</v>
      </c>
      <c r="F120" s="80">
        <v>46006</v>
      </c>
      <c r="G120" s="43" t="s">
        <v>135</v>
      </c>
      <c r="H120" s="43">
        <f>IF(OR(G120="Sin pagar",G120="Pagar"),NETWORKDAYS($E$4,F120,'Festivos Guatemala'!$A$3:$A$15),0)</f>
        <v>0</v>
      </c>
      <c r="I120" s="43">
        <f>NETWORKDAYS($E$4,F120,'Festivos Guatemala'!$A$3:$A$15)</f>
        <v>11</v>
      </c>
      <c r="J120" s="75">
        <f>H120</f>
        <v>0</v>
      </c>
      <c r="K120" s="52"/>
      <c r="L120" s="52"/>
    </row>
    <row r="121" spans="2:16" s="43" customFormat="1" ht="16.5" thickBot="1">
      <c r="B121" s="46"/>
      <c r="C121" s="332" t="s">
        <v>144</v>
      </c>
      <c r="D121" s="333">
        <f>SUBTOTAL(9,D122:D122)</f>
        <v>4112.49</v>
      </c>
      <c r="E121" s="334">
        <f>SUBTOTAL(9,E122:E122)</f>
        <v>551.2721179624665</v>
      </c>
      <c r="J121" s="76">
        <f t="shared" ref="J121" si="19">H121</f>
        <v>0</v>
      </c>
    </row>
    <row r="122" spans="2:16" s="43" customFormat="1" ht="15" customHeight="1" outlineLevel="1" thickBot="1">
      <c r="B122" s="168">
        <v>49312273249</v>
      </c>
      <c r="C122" s="47" t="s">
        <v>1330</v>
      </c>
      <c r="D122" s="104">
        <v>4112.49</v>
      </c>
      <c r="E122" s="115">
        <f>D122/$D$6</f>
        <v>551.2721179624665</v>
      </c>
      <c r="F122" s="80">
        <v>46003</v>
      </c>
      <c r="G122" s="43" t="s">
        <v>135</v>
      </c>
      <c r="H122" s="43">
        <f>IF(OR(G122="Sin pagar",G122="Pagar"),NETWORKDAYS($E$4,F122,'Festivos Guatemala'!$A$3:$A$15),0)</f>
        <v>0</v>
      </c>
      <c r="I122" s="43">
        <f>NETWORKDAYS($E$4,F122,'Festivos Guatemala'!$A$3:$A$15)</f>
        <v>10</v>
      </c>
      <c r="J122" s="75">
        <f>H122</f>
        <v>0</v>
      </c>
      <c r="K122" s="48"/>
      <c r="L122" s="57"/>
    </row>
    <row r="123" spans="2:16" s="43" customFormat="1" ht="16.5" thickBot="1">
      <c r="B123" s="46"/>
      <c r="C123" s="332" t="s">
        <v>173</v>
      </c>
      <c r="D123" s="333">
        <f>SUBTOTAL(9,D124:D126)</f>
        <v>122628.8306</v>
      </c>
      <c r="E123" s="334">
        <f>SUBTOTAL(9,E124:E126)</f>
        <v>16438.181045576406</v>
      </c>
    </row>
    <row r="124" spans="2:16" s="43" customFormat="1" ht="15" customHeight="1" outlineLevel="1">
      <c r="B124" s="46"/>
      <c r="C124" s="47" t="s">
        <v>1204</v>
      </c>
      <c r="D124" s="104">
        <f>E124*$D$6</f>
        <v>77103.650600000008</v>
      </c>
      <c r="E124" s="364">
        <v>10335.61</v>
      </c>
      <c r="F124" s="74">
        <v>46020</v>
      </c>
      <c r="G124" s="43" t="s">
        <v>135</v>
      </c>
      <c r="H124" s="43">
        <f>IF(OR(G124="Sin pagar",G124="Pagar"),NETWORKDAYS($E$4,F124,'Festivos Guatemala'!$A$3:$A$15),0)</f>
        <v>0</v>
      </c>
      <c r="I124" s="43">
        <f>NETWORKDAYS($E$4,F124,'Festivos Guatemala'!$A$3:$A$15)</f>
        <v>19</v>
      </c>
      <c r="J124" s="75">
        <f t="shared" ref="J124:J125" si="20">H124</f>
        <v>0</v>
      </c>
      <c r="K124" s="52"/>
      <c r="L124" s="54"/>
    </row>
    <row r="125" spans="2:16" s="43" customFormat="1" ht="15" customHeight="1" outlineLevel="1">
      <c r="B125" s="46"/>
      <c r="C125" s="47" t="s">
        <v>1293</v>
      </c>
      <c r="D125" s="365">
        <v>28788.51</v>
      </c>
      <c r="E125" s="115">
        <f>D125/$D$6</f>
        <v>3859.0495978552276</v>
      </c>
      <c r="F125" s="74">
        <v>46020</v>
      </c>
      <c r="G125" s="43" t="s">
        <v>135</v>
      </c>
      <c r="H125" s="43">
        <f>IF(OR(G125="Sin pagar",G125="Pagar"),NETWORKDAYS($E$4,F125,'Festivos Guatemala'!$A$3:$A$15),0)</f>
        <v>0</v>
      </c>
      <c r="I125" s="43">
        <f>NETWORKDAYS($E$4,F125,'Festivos Guatemala'!$A$3:$A$15)</f>
        <v>19</v>
      </c>
      <c r="J125" s="75">
        <f t="shared" si="20"/>
        <v>0</v>
      </c>
      <c r="K125" s="52"/>
      <c r="L125" s="54"/>
    </row>
    <row r="126" spans="2:16" s="43" customFormat="1" ht="15" customHeight="1" outlineLevel="1" thickBot="1">
      <c r="B126" s="46"/>
      <c r="C126" s="47" t="s">
        <v>1391</v>
      </c>
      <c r="D126" s="365">
        <v>16736.669999999998</v>
      </c>
      <c r="E126" s="115">
        <f>D126/$D$6</f>
        <v>2243.5214477211794</v>
      </c>
      <c r="F126" s="74">
        <v>46020</v>
      </c>
      <c r="G126" s="43" t="s">
        <v>135</v>
      </c>
      <c r="H126" s="43">
        <f>IF(OR(G126="Sin pagar",G126="Pagar"),NETWORKDAYS($E$4,F126,'Festivos Guatemala'!$A$3:$A$15),0)</f>
        <v>0</v>
      </c>
      <c r="I126" s="43">
        <f>NETWORKDAYS($E$4,F126,'Festivos Guatemala'!$A$3:$A$15)</f>
        <v>19</v>
      </c>
      <c r="J126" s="75">
        <f t="shared" ref="J126" si="21">H126</f>
        <v>0</v>
      </c>
      <c r="K126" s="52"/>
      <c r="L126" s="54"/>
    </row>
    <row r="127" spans="2:16" s="43" customFormat="1" ht="16.5" thickBot="1">
      <c r="C127" s="332" t="s">
        <v>146</v>
      </c>
      <c r="D127" s="333">
        <f>SUBTOTAL(9,D128:D130)</f>
        <v>9307.48</v>
      </c>
      <c r="E127" s="334">
        <f>SUBTOTAL(9,E128:E130)</f>
        <v>1247.6514745308309</v>
      </c>
      <c r="K127" s="49"/>
      <c r="L127" s="49"/>
      <c r="O127" s="49"/>
      <c r="P127" s="49"/>
    </row>
    <row r="128" spans="2:16" s="43" customFormat="1" ht="15" customHeight="1" outlineLevel="1">
      <c r="B128" s="186"/>
      <c r="C128" s="47" t="s">
        <v>1387</v>
      </c>
      <c r="D128" s="104">
        <v>433.25</v>
      </c>
      <c r="E128" s="115">
        <f>D128/$D$6</f>
        <v>58.076407506702417</v>
      </c>
      <c r="F128" s="74">
        <v>46017</v>
      </c>
      <c r="G128" s="43" t="s">
        <v>135</v>
      </c>
      <c r="H128" s="43">
        <f>IF(OR(G128="Sin pagar",G128="Pagar"),NETWORKDAYS($E$4,F128,'Festivos Guatemala'!$A$3:$A$15),0)</f>
        <v>0</v>
      </c>
      <c r="I128" s="43">
        <f>NETWORKDAYS($E$4,F128,'Festivos Guatemala'!$A$3:$A$15)</f>
        <v>18</v>
      </c>
      <c r="J128" s="75">
        <f t="shared" ref="J128:J130" si="22">H128</f>
        <v>0</v>
      </c>
      <c r="K128" s="49"/>
      <c r="L128" s="49"/>
      <c r="O128" s="49"/>
      <c r="P128" s="49"/>
    </row>
    <row r="129" spans="1:16" s="43" customFormat="1" ht="15" customHeight="1" outlineLevel="1">
      <c r="B129" s="369"/>
      <c r="C129" s="47" t="s">
        <v>1390</v>
      </c>
      <c r="D129" s="104">
        <v>1151.99</v>
      </c>
      <c r="E129" s="115">
        <f>D129/$D$6</f>
        <v>154.42225201072387</v>
      </c>
      <c r="F129" s="74">
        <v>46017</v>
      </c>
      <c r="G129" s="43" t="s">
        <v>135</v>
      </c>
      <c r="H129" s="366">
        <f>IF(OR(G129="Sin pagar",G129="Pagar"),NETWORKDAYS($E$4,F129,'Festivos Guatemala'!$A$3:$A$15),0)</f>
        <v>0</v>
      </c>
      <c r="I129" s="366">
        <f>NETWORKDAYS($E$4,F129,'Festivos Guatemala'!$A$3:$A$15)</f>
        <v>18</v>
      </c>
      <c r="J129" s="75">
        <f t="shared" si="22"/>
        <v>0</v>
      </c>
      <c r="K129" s="49"/>
      <c r="L129" s="49"/>
      <c r="O129" s="49"/>
      <c r="P129" s="49"/>
    </row>
    <row r="130" spans="1:16" s="43" customFormat="1" ht="15" customHeight="1" outlineLevel="1" thickBot="1">
      <c r="B130" s="369"/>
      <c r="C130" s="47" t="s">
        <v>1389</v>
      </c>
      <c r="D130" s="104">
        <f>4042.28+3679.96</f>
        <v>7722.24</v>
      </c>
      <c r="E130" s="115">
        <f>D130/$D$6</f>
        <v>1035.1528150134047</v>
      </c>
      <c r="F130" s="74">
        <v>46017</v>
      </c>
      <c r="G130" s="43" t="s">
        <v>135</v>
      </c>
      <c r="H130" s="366">
        <f>IF(OR(G130="Sin pagar",G130="Pagar"),NETWORKDAYS($E$4,F130,'Festivos Guatemala'!$A$3:$A$15),0)</f>
        <v>0</v>
      </c>
      <c r="I130" s="366">
        <f>NETWORKDAYS($E$4,F130,'Festivos Guatemala'!$A$3:$A$15)</f>
        <v>18</v>
      </c>
      <c r="J130" s="75">
        <f t="shared" si="22"/>
        <v>0</v>
      </c>
      <c r="K130" s="49"/>
      <c r="L130" s="49"/>
      <c r="O130" s="49"/>
      <c r="P130" s="49"/>
    </row>
    <row r="131" spans="1:16" s="43" customFormat="1" ht="16.5" thickBot="1">
      <c r="B131" s="46"/>
      <c r="C131" s="332" t="s">
        <v>149</v>
      </c>
      <c r="D131" s="333">
        <f>SUBTOTAL(9,D132:D132)</f>
        <v>13725.45</v>
      </c>
      <c r="E131" s="334">
        <f>SUBTOTAL(9,E132:E132)</f>
        <v>1839.8726541554961</v>
      </c>
      <c r="J131" s="76"/>
    </row>
    <row r="132" spans="1:16" s="43" customFormat="1" ht="15" customHeight="1" outlineLevel="1" thickBot="1">
      <c r="B132" s="311" t="s">
        <v>145</v>
      </c>
      <c r="C132" s="47" t="s">
        <v>1329</v>
      </c>
      <c r="D132" s="109">
        <v>13725.45</v>
      </c>
      <c r="E132" s="115">
        <f>D132/D6</f>
        <v>1839.8726541554961</v>
      </c>
      <c r="F132" s="80">
        <v>45995</v>
      </c>
      <c r="G132" s="43" t="s">
        <v>135</v>
      </c>
      <c r="H132" s="43">
        <f>IF(OR(G132="Sin pagar",G132="Pagar"),NETWORKDAYS($E$4,F132,'Festivos Guatemala'!$A$3:$A$15),0)</f>
        <v>0</v>
      </c>
      <c r="I132" s="43">
        <f>NETWORKDAYS($E$4,F132,'Festivos Guatemala'!$A$3:$A$15)</f>
        <v>4</v>
      </c>
      <c r="J132" s="75">
        <f>H132</f>
        <v>0</v>
      </c>
      <c r="K132" s="52"/>
      <c r="L132" s="54"/>
    </row>
    <row r="133" spans="1:16" s="43" customFormat="1" ht="14.25" customHeight="1">
      <c r="B133" s="46"/>
      <c r="C133" s="88" t="s">
        <v>150</v>
      </c>
      <c r="D133" s="120">
        <f>SUBTOTAL(9,D37:D132)</f>
        <v>1325932.7108</v>
      </c>
      <c r="E133" s="116">
        <f>SUBTOTAL(9,E37:E132)</f>
        <v>176988.96927613943</v>
      </c>
      <c r="K133" s="39"/>
      <c r="L133" s="39"/>
      <c r="N133" s="39"/>
      <c r="O133" s="39"/>
      <c r="P133" s="39"/>
    </row>
    <row r="134" spans="1:16" ht="15.75">
      <c r="A134" s="43"/>
      <c r="E134" s="117"/>
      <c r="F134" s="89"/>
      <c r="G134" s="89"/>
      <c r="H134" s="89"/>
      <c r="I134" s="89"/>
      <c r="J134" s="89"/>
    </row>
    <row r="135" spans="1:16" ht="15.75">
      <c r="A135" s="43"/>
      <c r="C135" s="90" t="s">
        <v>151</v>
      </c>
      <c r="D135" s="121">
        <f>D32-D133</f>
        <v>277735.53289999953</v>
      </c>
      <c r="E135" s="118">
        <f>E32-E133</f>
        <v>35403.805911528063</v>
      </c>
      <c r="F135" s="226"/>
      <c r="G135" s="227"/>
      <c r="J135" s="227"/>
    </row>
    <row r="136" spans="1:16" s="93" customFormat="1" ht="15.75">
      <c r="A136" s="43"/>
      <c r="B136" s="94"/>
      <c r="C136" s="90" t="s">
        <v>152</v>
      </c>
      <c r="D136" s="95">
        <f>IF($D$32=0,0,D135/$D$32)</f>
        <v>0.17318764899852684</v>
      </c>
      <c r="E136" s="95">
        <f>IF($E$32=0,0,E135/$E$32)</f>
        <v>0.16669025526054604</v>
      </c>
      <c r="F136" s="96"/>
      <c r="G136" s="92"/>
      <c r="J136" s="97"/>
      <c r="K136" s="39"/>
      <c r="L136" s="39"/>
      <c r="N136" s="39"/>
      <c r="O136" s="39"/>
      <c r="P136" s="39"/>
    </row>
    <row r="137" spans="1:16" ht="15.75" thickBot="1">
      <c r="A137" s="43"/>
      <c r="F137" s="96"/>
      <c r="G137" s="92"/>
    </row>
    <row r="138" spans="1:16" ht="15.75" thickBot="1">
      <c r="A138" s="43"/>
      <c r="C138" s="135" t="s">
        <v>184</v>
      </c>
      <c r="D138" s="136" t="s">
        <v>185</v>
      </c>
      <c r="E138" s="137" t="s">
        <v>191</v>
      </c>
      <c r="F138" s="137" t="s">
        <v>186</v>
      </c>
      <c r="G138" s="92"/>
    </row>
    <row r="139" spans="1:16">
      <c r="A139" s="43"/>
      <c r="C139" s="393">
        <v>45992</v>
      </c>
      <c r="D139" s="394">
        <v>45998</v>
      </c>
      <c r="E139" s="395">
        <f t="shared" ref="E139:E148" si="23">SUMIFS($D$37:$D$136,$F$37:$F$136,"&gt;="&amp;C139,$F$37:$F$136,"&lt;="&amp;D139,$G$37:$G$136,$D$160)</f>
        <v>0</v>
      </c>
      <c r="F139" s="396">
        <f t="shared" ref="F139:F148" si="24">SUMIFS($E$37:$E$136,$F$37:$F$136,"&gt;="&amp;C139,$F$37:$F$136,"&lt;="&amp;D139,$G$37:$G$136,$D$160)</f>
        <v>0</v>
      </c>
      <c r="G139" s="92" t="s">
        <v>1252</v>
      </c>
    </row>
    <row r="140" spans="1:16">
      <c r="A140" s="43"/>
      <c r="C140" s="191">
        <v>45999</v>
      </c>
      <c r="D140" s="192">
        <v>46000</v>
      </c>
      <c r="E140" s="193">
        <f t="shared" si="23"/>
        <v>0</v>
      </c>
      <c r="F140" s="194">
        <f t="shared" si="24"/>
        <v>0</v>
      </c>
      <c r="G140" s="92"/>
    </row>
    <row r="141" spans="1:16">
      <c r="A141" s="43"/>
      <c r="C141" s="191">
        <v>46001</v>
      </c>
      <c r="D141" s="260">
        <v>46001</v>
      </c>
      <c r="E141" s="193">
        <f t="shared" si="23"/>
        <v>0</v>
      </c>
      <c r="F141" s="194">
        <f t="shared" si="24"/>
        <v>0</v>
      </c>
      <c r="G141" s="92" t="s">
        <v>1323</v>
      </c>
    </row>
    <row r="142" spans="1:16">
      <c r="A142" s="43"/>
      <c r="C142" s="191">
        <v>46002</v>
      </c>
      <c r="D142" s="192">
        <v>46005</v>
      </c>
      <c r="E142" s="193">
        <f t="shared" si="23"/>
        <v>0</v>
      </c>
      <c r="F142" s="194">
        <f t="shared" si="24"/>
        <v>0</v>
      </c>
      <c r="G142" s="92"/>
    </row>
    <row r="143" spans="1:16">
      <c r="A143" s="43"/>
      <c r="C143" s="191">
        <v>46006</v>
      </c>
      <c r="D143" s="192">
        <v>46006</v>
      </c>
      <c r="E143" s="193">
        <f t="shared" si="23"/>
        <v>0</v>
      </c>
      <c r="F143" s="194">
        <f t="shared" si="24"/>
        <v>0</v>
      </c>
      <c r="G143" s="92" t="s">
        <v>1324</v>
      </c>
    </row>
    <row r="144" spans="1:16">
      <c r="A144" s="43"/>
      <c r="C144" s="191">
        <v>46007</v>
      </c>
      <c r="D144" s="192">
        <v>46012</v>
      </c>
      <c r="E144" s="193">
        <f t="shared" si="23"/>
        <v>0</v>
      </c>
      <c r="F144" s="194">
        <f t="shared" si="24"/>
        <v>0</v>
      </c>
      <c r="G144" s="92" t="s">
        <v>1325</v>
      </c>
    </row>
    <row r="145" spans="1:10">
      <c r="A145" s="43"/>
      <c r="C145" s="191">
        <v>46013</v>
      </c>
      <c r="D145" s="192">
        <v>46016</v>
      </c>
      <c r="E145" s="193">
        <f t="shared" si="23"/>
        <v>0</v>
      </c>
      <c r="F145" s="194">
        <f t="shared" si="24"/>
        <v>0</v>
      </c>
      <c r="G145" s="92"/>
    </row>
    <row r="146" spans="1:10">
      <c r="A146" s="43"/>
      <c r="C146" s="191">
        <v>46017</v>
      </c>
      <c r="D146" s="192">
        <v>46017</v>
      </c>
      <c r="E146" s="193">
        <f t="shared" si="23"/>
        <v>0</v>
      </c>
      <c r="F146" s="194">
        <f t="shared" si="24"/>
        <v>0</v>
      </c>
      <c r="G146" s="92" t="s">
        <v>1326</v>
      </c>
    </row>
    <row r="147" spans="1:10">
      <c r="A147" s="43"/>
      <c r="C147" s="191">
        <v>46018</v>
      </c>
      <c r="D147" s="192">
        <v>46019</v>
      </c>
      <c r="E147" s="193">
        <f t="shared" si="23"/>
        <v>0</v>
      </c>
      <c r="F147" s="194">
        <f t="shared" si="24"/>
        <v>0</v>
      </c>
      <c r="G147" s="92"/>
    </row>
    <row r="148" spans="1:10">
      <c r="A148" s="43"/>
      <c r="C148" s="191">
        <v>46020</v>
      </c>
      <c r="D148" s="192">
        <v>46022</v>
      </c>
      <c r="E148" s="193">
        <f t="shared" si="23"/>
        <v>0</v>
      </c>
      <c r="F148" s="194">
        <f t="shared" si="24"/>
        <v>0</v>
      </c>
      <c r="G148" s="92"/>
    </row>
    <row r="149" spans="1:10" ht="15.75" thickBot="1">
      <c r="A149" s="43"/>
      <c r="C149" s="195">
        <v>46023</v>
      </c>
      <c r="D149" s="196">
        <v>46028</v>
      </c>
      <c r="E149" s="197">
        <f t="shared" ref="E149" si="25">SUMIFS($D$37:$D$136,$F$37:$F$136,"&gt;="&amp;C149,$F$37:$F$136,"&lt;="&amp;D149,$G$37:$G$136,$D$160)</f>
        <v>0</v>
      </c>
      <c r="F149" s="198">
        <f t="shared" ref="F149" si="26">SUMIFS($E$37:$E$136,$F$37:$F$136,"&gt;="&amp;C149,$F$37:$F$136,"&lt;="&amp;D149,$G$37:$G$136,$D$160)</f>
        <v>0</v>
      </c>
      <c r="G149" s="92"/>
    </row>
    <row r="150" spans="1:10" ht="15.75">
      <c r="A150" s="43"/>
      <c r="C150" s="433" t="s">
        <v>187</v>
      </c>
      <c r="D150" s="433"/>
      <c r="E150" s="148">
        <f>SUM(E139:E149)</f>
        <v>0</v>
      </c>
      <c r="F150" s="144">
        <f>SUM(F139:F149)</f>
        <v>0</v>
      </c>
      <c r="G150" s="92"/>
    </row>
    <row r="151" spans="1:10">
      <c r="A151" s="43"/>
      <c r="F151" s="96"/>
      <c r="G151" s="92"/>
    </row>
    <row r="152" spans="1:10">
      <c r="A152" s="43"/>
      <c r="F152" s="96"/>
      <c r="G152" s="92"/>
    </row>
    <row r="153" spans="1:10">
      <c r="A153" s="43"/>
      <c r="C153" s="41"/>
      <c r="D153" s="41" t="s">
        <v>380</v>
      </c>
      <c r="E153" s="166">
        <f>'Caja QTQ'!$H$884+('Caja USD'!$H$300*$D$6)</f>
        <v>277735.53289999929</v>
      </c>
      <c r="F153" s="153">
        <f>('Caja QTQ'!$H$884/$D$6+'Caja USD'!$H$300)</f>
        <v>37229.964195710359</v>
      </c>
      <c r="G153" s="92"/>
    </row>
    <row r="154" spans="1:10">
      <c r="A154" s="43"/>
      <c r="C154" s="41"/>
      <c r="D154" s="200" t="s">
        <v>1322</v>
      </c>
      <c r="E154" s="166">
        <f>SUM(E139:E148)</f>
        <v>0</v>
      </c>
      <c r="F154" s="153">
        <f>SUM(F139:F148)</f>
        <v>0</v>
      </c>
      <c r="G154" s="92"/>
    </row>
    <row r="155" spans="1:10">
      <c r="A155" s="43"/>
      <c r="C155" s="41"/>
      <c r="D155" s="146" t="s">
        <v>969</v>
      </c>
      <c r="E155" s="201">
        <f>E153-E154</f>
        <v>277735.53289999929</v>
      </c>
      <c r="F155" s="173">
        <f>F153-F154</f>
        <v>37229.964195710359</v>
      </c>
      <c r="G155" s="92"/>
    </row>
    <row r="156" spans="1:10">
      <c r="A156" s="43"/>
      <c r="C156" s="41"/>
      <c r="E156" s="166"/>
      <c r="F156" s="153"/>
      <c r="G156" s="92"/>
    </row>
    <row r="157" spans="1:10">
      <c r="A157" s="43"/>
      <c r="D157" s="146"/>
      <c r="E157" s="298"/>
      <c r="F157" s="299"/>
      <c r="G157" s="92"/>
      <c r="J157" s="167"/>
    </row>
    <row r="158" spans="1:10">
      <c r="A158" s="43"/>
      <c r="D158" s="146"/>
      <c r="E158" s="298"/>
      <c r="F158" s="299"/>
      <c r="G158" s="92"/>
      <c r="J158" s="167"/>
    </row>
    <row r="159" spans="1:10">
      <c r="D159" s="43" t="s">
        <v>135</v>
      </c>
      <c r="E159" s="15">
        <f>SUMIFS($D$37:$D$152,$F$37:$F$152,"&gt;="&amp;C139,$F$37:$F$152,"&lt;="&amp;D149,$G$37:$G$152,$D$159)</f>
        <v>1325932.7108</v>
      </c>
      <c r="F159" s="153">
        <f>SUMIFS($E$37:$E$152,$F$37:$F$152,"&gt;="&amp;C139,$F$37:$F$152,"&lt;="&amp;D149,$G$37:$G$152,$D$159)</f>
        <v>176988.96927613943</v>
      </c>
    </row>
    <row r="160" spans="1:10">
      <c r="D160" s="43" t="s">
        <v>143</v>
      </c>
      <c r="E160" s="15">
        <f>SUMIFS($D$37:$D$152,$F$37:$F$152,"&gt;="&amp;C139,$F$37:$F$152,"&lt;="&amp;D149,$G$37:$G$152,$D$160)</f>
        <v>0</v>
      </c>
      <c r="F160" s="153">
        <f>SUMIFS($E$37:$E$152,$F$37:$F$152,"&gt;="&amp;C139,$F$37:$F$152,"&lt;="&amp;D149,$G$37:$G$152,$D$160)</f>
        <v>0</v>
      </c>
    </row>
    <row r="161" spans="4:6">
      <c r="D161" s="146" t="s">
        <v>189</v>
      </c>
      <c r="E161" s="152">
        <f>SUM(E159:E160)</f>
        <v>1325932.7108</v>
      </c>
      <c r="F161" s="145">
        <f>SUM(F159:F160)</f>
        <v>176988.96927613943</v>
      </c>
    </row>
    <row r="162" spans="4:6">
      <c r="D162" s="146" t="s">
        <v>190</v>
      </c>
      <c r="E162" s="152">
        <f>E161-D133</f>
        <v>0</v>
      </c>
      <c r="F162" s="145">
        <f>F161-E133</f>
        <v>0</v>
      </c>
    </row>
    <row r="165" spans="4:6">
      <c r="D165" s="109"/>
      <c r="E165" s="264"/>
      <c r="F165" s="227"/>
    </row>
    <row r="166" spans="4:6">
      <c r="D166" s="109"/>
      <c r="E166" s="264"/>
      <c r="F166" s="227"/>
    </row>
    <row r="167" spans="4:6">
      <c r="D167" s="41" t="s">
        <v>373</v>
      </c>
      <c r="E167" s="166">
        <f>D135</f>
        <v>277735.53289999953</v>
      </c>
      <c r="F167" s="227"/>
    </row>
    <row r="168" spans="4:6">
      <c r="D168" s="41" t="s">
        <v>339</v>
      </c>
      <c r="E168" s="166">
        <f>'Caja QTQ'!$H$884+('Caja USD'!$H$300*$D$6)</f>
        <v>277735.53289999929</v>
      </c>
      <c r="F168" s="227"/>
    </row>
    <row r="169" spans="4:6">
      <c r="D169" s="41" t="s">
        <v>444</v>
      </c>
      <c r="E169" s="166">
        <f>E167-E168</f>
        <v>0</v>
      </c>
      <c r="F169" s="227"/>
    </row>
    <row r="170" spans="4:6">
      <c r="D170" s="41" t="s">
        <v>674</v>
      </c>
      <c r="E170" s="167">
        <f>E169/$D$6</f>
        <v>0</v>
      </c>
      <c r="F170" s="227"/>
    </row>
    <row r="171" spans="4:6">
      <c r="D171" s="109"/>
      <c r="E171" s="264"/>
      <c r="F171" s="227"/>
    </row>
    <row r="172" spans="4:6">
      <c r="D172" s="109"/>
      <c r="E172" s="264"/>
      <c r="F172" s="227"/>
    </row>
    <row r="173" spans="4:6">
      <c r="D173" s="109"/>
      <c r="E173" s="264"/>
      <c r="F173" s="227"/>
    </row>
    <row r="174" spans="4:6">
      <c r="D174" s="109"/>
      <c r="E174" s="264"/>
      <c r="F174" s="227"/>
    </row>
  </sheetData>
  <protectedRanges>
    <protectedRange sqref="F32:G32 D137:E137 D61:E61 F155 D151:E158 C153:C156 F153" name="Presupuestos"/>
    <protectedRange sqref="D36:E36 D8:E8" name="Presupuestos_1"/>
    <protectedRange sqref="D44:E48" name="Presupuestos_13_1"/>
    <protectedRange sqref="D59 D50:E57 D128:D130" name="Presupuestos_14"/>
    <protectedRange sqref="E111:E118 E67:E88 E101:E109" name="Presupuestos_2_1_1_1"/>
    <protectedRange sqref="D99:E99 D97:E97 D95:E95 D132:E132 E128:E130 D90:E93 D124:E126" name="Presupuestos_6_1_1_1"/>
    <protectedRange sqref="D164:D166 D171:D173 D111:D118 D67:D88 D101:D109" name="Presupuestos_5_2_1"/>
    <protectedRange sqref="E59" name="Presupuestos_13_1_1"/>
    <protectedRange sqref="E63:E65" name="Presupuestos_7_1_2"/>
    <protectedRange sqref="D63:D65" name="Presupuestos_7_1_1_1"/>
    <protectedRange sqref="D10:E12" name="Presupuestos_2"/>
    <protectedRange sqref="E168" name="Presupuestos_3"/>
  </protectedRanges>
  <autoFilter ref="B36:J132" xr:uid="{00000000-0009-0000-0000-000002000000}"/>
  <mergeCells count="4">
    <mergeCell ref="D7:E7"/>
    <mergeCell ref="B35:C35"/>
    <mergeCell ref="D35:E35"/>
    <mergeCell ref="C150:D150"/>
  </mergeCells>
  <conditionalFormatting sqref="J38 J40:J42 J44:J48 J50:J57 J59 J63:J65 J67:J99 J101:J109 J111:J118 J120 J122:J126 J128:J130">
    <cfRule type="cellIs" dxfId="330" priority="11" operator="lessThan">
      <formula>0</formula>
    </cfRule>
    <cfRule type="cellIs" dxfId="329" priority="13" operator="between">
      <formula>1</formula>
      <formula>5</formula>
    </cfRule>
    <cfRule type="cellIs" dxfId="328" priority="14" operator="between">
      <formula>16</formula>
      <formula>60</formula>
    </cfRule>
  </conditionalFormatting>
  <conditionalFormatting sqref="J61 J132">
    <cfRule type="cellIs" dxfId="327" priority="7" operator="lessThan">
      <formula>0</formula>
    </cfRule>
    <cfRule type="cellIs" dxfId="326" priority="9" operator="between">
      <formula>1</formula>
      <formula>5</formula>
    </cfRule>
    <cfRule type="cellIs" dxfId="325" priority="10" operator="between">
      <formula>16</formula>
      <formula>60</formula>
    </cfRule>
  </conditionalFormatting>
  <conditionalFormatting sqref="J67:J99 J38 J40:J42 J44:J48 J50:J57 J59 J63:J65 J101:J109 J111:J118 J120 J122:J126 J128:J130">
    <cfRule type="cellIs" dxfId="324" priority="12" operator="between">
      <formula>6</formula>
      <formula>15</formula>
    </cfRule>
  </conditionalFormatting>
  <conditionalFormatting sqref="J95 J97">
    <cfRule type="cellIs" dxfId="323" priority="4" operator="between">
      <formula>6</formula>
      <formula>15</formula>
    </cfRule>
    <cfRule type="cellIs" dxfId="322" priority="5" operator="between">
      <formula>1</formula>
      <formula>5</formula>
    </cfRule>
    <cfRule type="cellIs" dxfId="321" priority="6" operator="between">
      <formula>16</formula>
      <formula>60</formula>
    </cfRule>
  </conditionalFormatting>
  <conditionalFormatting sqref="J132 J61">
    <cfRule type="cellIs" dxfId="320" priority="8" operator="between">
      <formula>6</formula>
      <formula>15</formula>
    </cfRule>
  </conditionalFormatting>
  <conditionalFormatting sqref="J132">
    <cfRule type="cellIs" dxfId="319" priority="1" operator="between">
      <formula>6</formula>
      <formula>15</formula>
    </cfRule>
    <cfRule type="cellIs" dxfId="318" priority="2" operator="between">
      <formula>1</formula>
      <formula>5</formula>
    </cfRule>
    <cfRule type="cellIs" dxfId="317" priority="3" operator="between">
      <formula>16</formula>
      <formula>60</formula>
    </cfRule>
  </conditionalFormatting>
  <dataValidations disablePrompts="1" count="3">
    <dataValidation type="list" allowBlank="1" showInputMessage="1" showErrorMessage="1" sqref="D35 D7" xr:uid="{BCF11A32-9EB0-463E-ABCC-3884A0859B3D}">
      <formula1>"ENERO,FEBRERO,MARZO,ABRIL,MAYO,JUNIO,JULIO,AGOSTO,SEPTIEMBRE,OCTUBRE,NOVIEMBRE,DICIEMBRE"</formula1>
    </dataValidation>
    <dataValidation type="list" allowBlank="1" showInputMessage="1" showErrorMessage="1" sqref="D159:D160 G67:G99 G61 G59 G44:G48 G40:G42 G50:G57 G122:G126 G37:G38 G128:G132 G111:G120 G101:G109 G63:G65" xr:uid="{AB6D3B66-66FA-40E4-B6B5-896B32A1B992}">
      <formula1>"Cancelado,Pagar,Sin Pagar"</formula1>
    </dataValidation>
    <dataValidation type="list" allowBlank="1" showInputMessage="1" showErrorMessage="1" sqref="B14:B31" xr:uid="{25073641-CF31-4CA1-A89B-C623D53010BC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66:J73 J75:J99 J101:J108 J110:J136 J38:J47 J49:J64" unlockedFormula="1"/>
    <ignoredError sqref="E120 E97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24"/>
  <sheetViews>
    <sheetView topLeftCell="A10" workbookViewId="0">
      <selection activeCell="F24" sqref="F24"/>
    </sheetView>
  </sheetViews>
  <sheetFormatPr baseColWidth="10" defaultColWidth="11.42578125" defaultRowHeight="15"/>
  <cols>
    <col min="3" max="3" width="21.28515625" bestFit="1" customWidth="1"/>
    <col min="5" max="5" width="13.42578125" customWidth="1"/>
    <col min="6" max="6" width="13.28515625" bestFit="1" customWidth="1"/>
    <col min="7" max="8" width="12.140625" bestFit="1" customWidth="1"/>
  </cols>
  <sheetData>
    <row r="1" spans="2:6">
      <c r="B1" s="436" t="s">
        <v>92</v>
      </c>
      <c r="C1" s="437"/>
      <c r="D1" s="437"/>
      <c r="E1" s="438"/>
    </row>
    <row r="2" spans="2:6">
      <c r="B2" s="35" t="s">
        <v>93</v>
      </c>
      <c r="C2" s="35" t="s">
        <v>94</v>
      </c>
      <c r="D2" s="35" t="s">
        <v>95</v>
      </c>
      <c r="E2" s="35" t="s">
        <v>96</v>
      </c>
    </row>
    <row r="3" spans="2:6">
      <c r="B3" s="33" t="s">
        <v>97</v>
      </c>
      <c r="C3" t="s">
        <v>98</v>
      </c>
      <c r="D3">
        <v>4258350666</v>
      </c>
      <c r="E3" s="34">
        <v>1708.86</v>
      </c>
    </row>
    <row r="4" spans="2:6">
      <c r="B4" s="33" t="s">
        <v>97</v>
      </c>
      <c r="C4" t="s">
        <v>99</v>
      </c>
      <c r="D4">
        <v>1904100714</v>
      </c>
      <c r="E4" s="34">
        <v>125.43</v>
      </c>
    </row>
    <row r="5" spans="2:6">
      <c r="B5" s="33" t="s">
        <v>100</v>
      </c>
      <c r="C5" t="str">
        <f>+C4</f>
        <v>Global for children</v>
      </c>
      <c r="D5">
        <v>2820099227</v>
      </c>
      <c r="E5" s="34">
        <v>120.09</v>
      </c>
    </row>
    <row r="6" spans="2:6">
      <c r="B6" s="33" t="s">
        <v>100</v>
      </c>
      <c r="C6" t="str">
        <f>+C5</f>
        <v>Global for children</v>
      </c>
      <c r="D6">
        <v>4150543673</v>
      </c>
      <c r="E6" s="34">
        <v>155.11000000000001</v>
      </c>
    </row>
    <row r="7" spans="2:6">
      <c r="B7" s="33" t="s">
        <v>100</v>
      </c>
      <c r="C7" t="str">
        <f>+C3</f>
        <v>Energyzer</v>
      </c>
      <c r="D7">
        <v>2018594064</v>
      </c>
      <c r="E7" s="34">
        <v>1389.79</v>
      </c>
    </row>
    <row r="8" spans="2:6">
      <c r="B8" s="33" t="s">
        <v>101</v>
      </c>
      <c r="C8" t="str">
        <f>+C7</f>
        <v>Energyzer</v>
      </c>
      <c r="D8">
        <v>614157553</v>
      </c>
      <c r="E8" s="34">
        <v>1778.35</v>
      </c>
    </row>
    <row r="9" spans="2:6">
      <c r="B9" s="33" t="s">
        <v>101</v>
      </c>
      <c r="C9" t="s">
        <v>102</v>
      </c>
      <c r="D9">
        <v>1264599604</v>
      </c>
      <c r="E9" s="34">
        <v>75.06</v>
      </c>
    </row>
    <row r="10" spans="2:6">
      <c r="B10" s="33" t="s">
        <v>101</v>
      </c>
      <c r="C10" t="s">
        <v>103</v>
      </c>
      <c r="D10">
        <v>112609088</v>
      </c>
      <c r="E10" s="34">
        <v>45.18</v>
      </c>
    </row>
    <row r="11" spans="2:6">
      <c r="B11" s="442" t="s">
        <v>104</v>
      </c>
      <c r="C11" s="442"/>
      <c r="D11" s="442"/>
      <c r="E11" s="36">
        <f>SUM(E3:E10)</f>
        <v>5397.87</v>
      </c>
    </row>
    <row r="12" spans="2:6">
      <c r="B12" s="1"/>
      <c r="C12" s="1"/>
      <c r="D12" s="1"/>
      <c r="E12" s="30"/>
    </row>
    <row r="13" spans="2:6">
      <c r="B13" s="439" t="s">
        <v>105</v>
      </c>
      <c r="C13" s="440"/>
      <c r="D13" s="440"/>
      <c r="E13" s="441"/>
    </row>
    <row r="14" spans="2:6">
      <c r="B14" s="35" t="s">
        <v>93</v>
      </c>
      <c r="C14" s="35" t="s">
        <v>106</v>
      </c>
      <c r="D14" s="35" t="s">
        <v>95</v>
      </c>
      <c r="E14" s="35" t="s">
        <v>107</v>
      </c>
    </row>
    <row r="15" spans="2:6">
      <c r="B15" s="105" t="s">
        <v>97</v>
      </c>
      <c r="C15" s="100" t="s">
        <v>108</v>
      </c>
      <c r="D15" s="100">
        <v>4640</v>
      </c>
      <c r="E15" s="106">
        <v>917.15</v>
      </c>
    </row>
    <row r="16" spans="2:6">
      <c r="B16" s="105" t="s">
        <v>97</v>
      </c>
      <c r="C16" s="100" t="s">
        <v>109</v>
      </c>
      <c r="D16" s="100"/>
      <c r="E16" s="106">
        <v>256</v>
      </c>
      <c r="F16" s="31">
        <v>2000</v>
      </c>
    </row>
    <row r="17" spans="2:9">
      <c r="B17" s="105" t="s">
        <v>100</v>
      </c>
      <c r="C17" s="100" t="str">
        <f>+C15</f>
        <v>S&amp;P</v>
      </c>
      <c r="D17" s="100">
        <v>4641</v>
      </c>
      <c r="E17" s="106">
        <v>832.5</v>
      </c>
    </row>
    <row r="18" spans="2:9">
      <c r="B18" s="105" t="s">
        <v>100</v>
      </c>
      <c r="C18" s="100" t="str">
        <f>+C16</f>
        <v>JUAN Y ARNOLDO</v>
      </c>
      <c r="D18" s="100"/>
      <c r="E18" s="106">
        <f>+E16</f>
        <v>256</v>
      </c>
      <c r="F18" s="31">
        <v>2000</v>
      </c>
    </row>
    <row r="19" spans="2:9">
      <c r="B19" s="105" t="s">
        <v>101</v>
      </c>
      <c r="C19" s="100" t="str">
        <f>+C17</f>
        <v>S&amp;P</v>
      </c>
      <c r="D19" s="107" t="s">
        <v>110</v>
      </c>
      <c r="E19" s="106">
        <v>949.29499999999996</v>
      </c>
      <c r="F19" s="30"/>
      <c r="H19">
        <v>120</v>
      </c>
      <c r="I19" s="30">
        <f>E18-H19</f>
        <v>136</v>
      </c>
    </row>
    <row r="20" spans="2:9">
      <c r="B20" s="105" t="s">
        <v>101</v>
      </c>
      <c r="C20" s="100" t="str">
        <f>+C18</f>
        <v>JUAN Y ARNOLDO</v>
      </c>
      <c r="D20" s="107" t="s">
        <v>110</v>
      </c>
      <c r="E20" s="106">
        <f>+E18</f>
        <v>256</v>
      </c>
      <c r="F20" s="31">
        <f>+F18</f>
        <v>2000</v>
      </c>
    </row>
    <row r="21" spans="2:9">
      <c r="B21" s="105" t="s">
        <v>101</v>
      </c>
      <c r="C21" s="100" t="s">
        <v>111</v>
      </c>
      <c r="D21" s="107" t="s">
        <v>110</v>
      </c>
      <c r="E21" s="106">
        <v>217</v>
      </c>
      <c r="F21" s="31">
        <v>1700</v>
      </c>
      <c r="H21" s="30">
        <f>E21*7.91</f>
        <v>1716.47</v>
      </c>
    </row>
    <row r="22" spans="2:9">
      <c r="B22" s="442" t="s">
        <v>112</v>
      </c>
      <c r="C22" s="442"/>
      <c r="D22" s="442"/>
      <c r="E22" s="36">
        <f>SUM(E15:E21)</f>
        <v>3683.9450000000002</v>
      </c>
    </row>
    <row r="24" spans="2:9">
      <c r="B24" s="443" t="s">
        <v>5</v>
      </c>
      <c r="C24" s="443"/>
      <c r="D24" s="443"/>
      <c r="E24" s="32">
        <f>+E11-E22</f>
        <v>1713.9249999999997</v>
      </c>
      <c r="F24" s="31">
        <f>+E24*7.81</f>
        <v>13385.754249999996</v>
      </c>
    </row>
  </sheetData>
  <mergeCells count="5">
    <mergeCell ref="B1:E1"/>
    <mergeCell ref="B13:E13"/>
    <mergeCell ref="B11:D11"/>
    <mergeCell ref="B22:D22"/>
    <mergeCell ref="B24:D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C708F-B49E-428E-A379-6881565BFE16}">
  <dimension ref="A1:S104"/>
  <sheetViews>
    <sheetView showGridLines="0" topLeftCell="A17" zoomScale="85" zoomScaleNormal="85" workbookViewId="0">
      <selection activeCell="E28" sqref="E28"/>
    </sheetView>
  </sheetViews>
  <sheetFormatPr baseColWidth="10" defaultColWidth="11.42578125" defaultRowHeight="15" outlineLevelRow="1"/>
  <cols>
    <col min="1" max="1" width="2.140625" style="39" customWidth="1"/>
    <col min="2" max="2" width="16.425781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4.5703125" style="39" bestFit="1" customWidth="1"/>
    <col min="14" max="14" width="13.140625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45385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7.55</v>
      </c>
      <c r="E6" s="42"/>
      <c r="I6" s="43"/>
    </row>
    <row r="7" spans="1:9" ht="15.75">
      <c r="C7" s="99"/>
      <c r="D7" s="432" t="s">
        <v>138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174210.97699999993</v>
      </c>
      <c r="E9" s="122">
        <f>SUBTOTAL(9,E10:E11)</f>
        <v>23074.301589403964</v>
      </c>
      <c r="F9" s="45"/>
      <c r="I9" s="43"/>
    </row>
    <row r="10" spans="1:9" s="43" customFormat="1" outlineLevel="1">
      <c r="B10" s="46"/>
      <c r="C10" s="47" t="s">
        <v>153</v>
      </c>
      <c r="D10" s="15">
        <v>173452.73049999992</v>
      </c>
      <c r="E10" s="25">
        <f>D10/$D$6</f>
        <v>22973.871589403963</v>
      </c>
      <c r="F10" s="49"/>
    </row>
    <row r="11" spans="1:9" s="43" customFormat="1" outlineLevel="1">
      <c r="B11" s="46"/>
      <c r="C11" s="47" t="s">
        <v>154</v>
      </c>
      <c r="D11" s="15">
        <v>758.24650000000042</v>
      </c>
      <c r="E11" s="25">
        <f>D11/$D$6</f>
        <v>100.43000000000006</v>
      </c>
      <c r="F11" s="49"/>
    </row>
    <row r="12" spans="1:9" s="43" customFormat="1" ht="15.75">
      <c r="B12" s="46"/>
      <c r="C12" s="102" t="s">
        <v>134</v>
      </c>
      <c r="D12" s="127">
        <f>SUBTOTAL(9,D13:D16)</f>
        <v>429182.71400000004</v>
      </c>
      <c r="E12" s="122">
        <f>SUBTOTAL(9,E13:E16)</f>
        <v>56845.39258278146</v>
      </c>
      <c r="F12" s="128"/>
    </row>
    <row r="13" spans="1:9" s="43" customFormat="1" outlineLevel="1">
      <c r="B13" s="46"/>
      <c r="C13" s="47" t="s">
        <v>196</v>
      </c>
      <c r="D13" s="15">
        <v>46149.770000000004</v>
      </c>
      <c r="E13" s="25">
        <f>D13/$D$6</f>
        <v>6112.5523178807953</v>
      </c>
      <c r="F13" s="128"/>
      <c r="G13" s="52"/>
    </row>
    <row r="14" spans="1:9" s="43" customFormat="1" outlineLevel="1">
      <c r="A14" s="50"/>
      <c r="B14" s="51"/>
      <c r="C14" s="47" t="s">
        <v>194</v>
      </c>
      <c r="D14" s="15">
        <v>362565.52500000002</v>
      </c>
      <c r="E14" s="25">
        <f>D14/$D$6</f>
        <v>48021.923841059608</v>
      </c>
      <c r="F14" s="128"/>
      <c r="G14" s="52"/>
    </row>
    <row r="15" spans="1:9" s="43" customFormat="1" outlineLevel="1">
      <c r="A15" s="50"/>
      <c r="B15" s="51"/>
      <c r="C15" s="47" t="s">
        <v>193</v>
      </c>
      <c r="D15" s="15">
        <v>7191.5339999999997</v>
      </c>
      <c r="E15" s="25">
        <f>D15/$D$6</f>
        <v>952.52105960264896</v>
      </c>
      <c r="F15" s="128"/>
      <c r="G15" s="52"/>
    </row>
    <row r="16" spans="1:9" s="43" customFormat="1" outlineLevel="1">
      <c r="B16" s="46"/>
      <c r="C16" s="47" t="s">
        <v>195</v>
      </c>
      <c r="D16" s="15">
        <v>13275.885</v>
      </c>
      <c r="E16" s="25">
        <f>D16/$D$6</f>
        <v>1758.3953642384106</v>
      </c>
      <c r="F16" s="128"/>
      <c r="G16" s="52"/>
    </row>
    <row r="17" spans="2:19" s="43" customFormat="1" ht="15.75">
      <c r="B17" s="46"/>
      <c r="C17" s="55" t="s">
        <v>136</v>
      </c>
      <c r="D17" s="123">
        <f>SUBTOTAL(9,D9:D16)</f>
        <v>603393.69099999988</v>
      </c>
      <c r="E17" s="124">
        <f>SUBTOTAL(9,E9:E16)</f>
        <v>79919.694172185424</v>
      </c>
      <c r="F17" s="56"/>
      <c r="G17" s="56"/>
      <c r="J17" s="52"/>
      <c r="K17" s="57"/>
      <c r="O17" s="58"/>
      <c r="P17" s="59"/>
      <c r="Q17" s="53"/>
    </row>
    <row r="18" spans="2:19" s="43" customFormat="1" ht="15.75">
      <c r="B18" s="46"/>
      <c r="C18" s="60"/>
      <c r="D18" s="61"/>
      <c r="E18" s="61"/>
      <c r="G18" s="62"/>
      <c r="O18" s="59"/>
      <c r="P18" s="59"/>
    </row>
    <row r="19" spans="2:19" s="43" customFormat="1" ht="15.75">
      <c r="B19" s="46"/>
      <c r="N19" s="63"/>
      <c r="O19" s="64"/>
      <c r="P19" s="65"/>
    </row>
    <row r="20" spans="2:19" s="43" customFormat="1" ht="15.75">
      <c r="B20" s="432" t="s">
        <v>137</v>
      </c>
      <c r="C20" s="432"/>
      <c r="D20" s="432" t="s">
        <v>138</v>
      </c>
      <c r="E20" s="432"/>
      <c r="K20" s="65"/>
      <c r="L20" s="65"/>
      <c r="N20" s="63"/>
      <c r="R20" s="52"/>
      <c r="S20" s="52"/>
    </row>
    <row r="21" spans="2:19" s="43" customFormat="1" ht="16.5" thickBot="1">
      <c r="B21" s="67" t="s">
        <v>81</v>
      </c>
      <c r="C21" s="68" t="s">
        <v>106</v>
      </c>
      <c r="D21" s="110" t="s">
        <v>168</v>
      </c>
      <c r="E21" s="110" t="s">
        <v>169</v>
      </c>
      <c r="F21" s="69" t="s">
        <v>140</v>
      </c>
      <c r="G21" s="63" t="s">
        <v>141</v>
      </c>
      <c r="H21" s="63"/>
      <c r="I21" s="63"/>
      <c r="J21" s="70" t="s">
        <v>142</v>
      </c>
      <c r="N21" s="71"/>
      <c r="R21" s="52"/>
      <c r="S21" s="72"/>
    </row>
    <row r="22" spans="2:19" s="43" customFormat="1" ht="16.5" thickBot="1">
      <c r="B22" s="46"/>
      <c r="C22" s="73" t="s">
        <v>155</v>
      </c>
      <c r="D22" s="103">
        <f>SUBTOTAL(9,D23:D24)</f>
        <v>77479.56</v>
      </c>
      <c r="E22" s="112">
        <f>SUBTOTAL(9,E23:E24)</f>
        <v>8065.8066225165558</v>
      </c>
      <c r="F22" s="74"/>
      <c r="J22" s="76"/>
    </row>
    <row r="23" spans="2:19" s="43" customFormat="1" outlineLevel="1">
      <c r="B23" s="77">
        <v>176206200</v>
      </c>
      <c r="C23" s="78" t="s">
        <v>200</v>
      </c>
      <c r="D23" s="109">
        <f>'Caja QTQ'!H60+'Caja QTQ'!H61</f>
        <v>32463.39</v>
      </c>
      <c r="E23" s="115">
        <f>30448.42/$D$6</f>
        <v>4032.9033112582779</v>
      </c>
      <c r="F23" s="74">
        <v>45392</v>
      </c>
      <c r="G23" s="43" t="s">
        <v>135</v>
      </c>
      <c r="H23" s="43">
        <f>IF(OR(G23="Sin pagar",G23="Pagar"),NETWORKDAYS($E$4,F23,'Festivos Guatemala'!$A$3:$A$15),0)</f>
        <v>0</v>
      </c>
      <c r="I23" s="43">
        <f>NETWORKDAYS($E$4,F23,'Festivos Guatemala'!$A$3:$A$15)</f>
        <v>6</v>
      </c>
      <c r="J23" s="75">
        <f>H23</f>
        <v>0</v>
      </c>
      <c r="K23" s="52"/>
      <c r="L23" s="52"/>
    </row>
    <row r="24" spans="2:19" s="43" customFormat="1" ht="15.75" outlineLevel="1" thickBot="1">
      <c r="B24" s="77">
        <v>176206200</v>
      </c>
      <c r="C24" s="78" t="s">
        <v>222</v>
      </c>
      <c r="D24" s="109">
        <v>45016.17</v>
      </c>
      <c r="E24" s="115">
        <f>30448.42/$D$6</f>
        <v>4032.9033112582779</v>
      </c>
      <c r="F24" s="74">
        <v>45397</v>
      </c>
      <c r="G24" s="43" t="s">
        <v>135</v>
      </c>
      <c r="H24" s="43">
        <f>IF(OR(G24="Sin pagar",G24="Pagar"),NETWORKDAYS($E$4,F24,'Festivos Guatemala'!$A$3:$A$15),0)</f>
        <v>0</v>
      </c>
      <c r="I24" s="43">
        <f>NETWORKDAYS($E$4,F24,'Festivos Guatemala'!$A$3:$A$15)</f>
        <v>9</v>
      </c>
      <c r="J24" s="75">
        <f>H24</f>
        <v>0</v>
      </c>
      <c r="K24" s="52"/>
      <c r="L24" s="52"/>
    </row>
    <row r="25" spans="2:19" s="43" customFormat="1" ht="16.5" thickBot="1">
      <c r="B25" s="46"/>
      <c r="C25" s="73" t="s">
        <v>144</v>
      </c>
      <c r="D25" s="103">
        <f>SUBTOTAL(9,D26:D28)</f>
        <v>18928.22</v>
      </c>
      <c r="E25" s="112">
        <f>SUBTOTAL(9,E26:E28)</f>
        <v>2507.049006622517</v>
      </c>
      <c r="J25" s="76">
        <f t="shared" ref="J25:J35" si="0">H25</f>
        <v>0</v>
      </c>
    </row>
    <row r="26" spans="2:19" s="43" customFormat="1" outlineLevel="1">
      <c r="B26" s="79"/>
      <c r="C26" s="47" t="s">
        <v>206</v>
      </c>
      <c r="D26" s="109">
        <v>17191.61</v>
      </c>
      <c r="E26" s="115">
        <f>D26/$D$6</f>
        <v>2277.034437086093</v>
      </c>
      <c r="F26" s="80">
        <v>45394</v>
      </c>
      <c r="G26" s="43" t="s">
        <v>135</v>
      </c>
      <c r="H26" s="43">
        <f>IF(OR(G26="Sin pagar",G26="Pagar"),NETWORKDAYS($E$4,F26,'Festivos Guatemala'!$A$3:$A$15),0)</f>
        <v>0</v>
      </c>
      <c r="I26" s="43">
        <f>NETWORKDAYS($E$4,F26,'Festivos Guatemala'!$A$3:$A$15)</f>
        <v>8</v>
      </c>
      <c r="J26" s="75">
        <f>H26</f>
        <v>0</v>
      </c>
      <c r="K26" s="48"/>
      <c r="L26" s="57"/>
    </row>
    <row r="27" spans="2:19" s="43" customFormat="1" outlineLevel="1">
      <c r="B27" s="79"/>
      <c r="C27" s="47" t="s">
        <v>207</v>
      </c>
      <c r="D27" s="109">
        <v>1178.23</v>
      </c>
      <c r="E27" s="115">
        <f>D27/$D$6</f>
        <v>156.05695364238412</v>
      </c>
      <c r="F27" s="80">
        <v>45394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8</v>
      </c>
      <c r="J27" s="75">
        <f>H27</f>
        <v>0</v>
      </c>
      <c r="K27" s="48"/>
      <c r="L27" s="57"/>
    </row>
    <row r="28" spans="2:19" s="43" customFormat="1" ht="15.75" outlineLevel="1" thickBot="1">
      <c r="B28" s="79"/>
      <c r="C28" s="47" t="s">
        <v>211</v>
      </c>
      <c r="D28" s="109">
        <v>558.38</v>
      </c>
      <c r="E28" s="115">
        <f>D28/$D$6</f>
        <v>73.957615894039733</v>
      </c>
      <c r="F28" s="80">
        <v>45406</v>
      </c>
      <c r="G28" s="43" t="s">
        <v>135</v>
      </c>
      <c r="H28" s="43">
        <f>IF(OR(G28="Sin pagar",G28="Pagar"),NETWORKDAYS($E$4,F28,'Festivos Guatemala'!$A$3:$A$15),0)</f>
        <v>0</v>
      </c>
      <c r="I28" s="43">
        <f>NETWORKDAYS($E$4,F28,'Festivos Guatemala'!$A$3:$A$15)</f>
        <v>16</v>
      </c>
      <c r="J28" s="75">
        <f>H28</f>
        <v>0</v>
      </c>
      <c r="K28" s="48"/>
      <c r="L28" s="57"/>
    </row>
    <row r="29" spans="2:19" s="43" customFormat="1" ht="16.5" thickBot="1">
      <c r="B29" s="46"/>
      <c r="C29" s="73" t="s">
        <v>163</v>
      </c>
      <c r="D29" s="103">
        <f>SUBTOTAL(9,D30:D36)</f>
        <v>3380</v>
      </c>
      <c r="E29" s="112">
        <f>SUBTOTAL(9,E30:E36)</f>
        <v>447.68211920529802</v>
      </c>
      <c r="J29" s="76">
        <f t="shared" si="0"/>
        <v>0</v>
      </c>
      <c r="K29" s="52"/>
      <c r="L29" s="52"/>
    </row>
    <row r="30" spans="2:19" s="43" customFormat="1" outlineLevel="1">
      <c r="B30" s="82"/>
      <c r="C30" s="47" t="s">
        <v>172</v>
      </c>
      <c r="D30" s="104">
        <v>840</v>
      </c>
      <c r="E30" s="113">
        <f t="shared" ref="E30:E35" si="1">D30/$D$6</f>
        <v>111.25827814569537</v>
      </c>
      <c r="F30" s="74">
        <v>45393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7</v>
      </c>
      <c r="J30" s="75">
        <f t="shared" si="0"/>
        <v>0</v>
      </c>
      <c r="N30" s="49"/>
    </row>
    <row r="31" spans="2:19" s="43" customFormat="1" outlineLevel="1">
      <c r="B31" s="82"/>
      <c r="C31" s="47" t="s">
        <v>171</v>
      </c>
      <c r="D31" s="104">
        <v>840</v>
      </c>
      <c r="E31" s="113">
        <f t="shared" si="1"/>
        <v>111.25827814569537</v>
      </c>
      <c r="F31" s="74">
        <v>45393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7</v>
      </c>
      <c r="J31" s="75">
        <f t="shared" si="0"/>
        <v>0</v>
      </c>
      <c r="N31" s="49"/>
    </row>
    <row r="32" spans="2:19" s="43" customFormat="1" outlineLevel="1">
      <c r="B32" s="82" t="s">
        <v>145</v>
      </c>
      <c r="C32" s="47" t="s">
        <v>202</v>
      </c>
      <c r="D32" s="104">
        <v>1700</v>
      </c>
      <c r="E32" s="113">
        <f t="shared" si="1"/>
        <v>225.16556291390728</v>
      </c>
      <c r="F32" s="74">
        <v>45393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7</v>
      </c>
      <c r="J32" s="75">
        <f t="shared" si="0"/>
        <v>0</v>
      </c>
      <c r="N32" s="49"/>
    </row>
    <row r="33" spans="2:16" s="43" customFormat="1" outlineLevel="1">
      <c r="B33" s="82" t="s">
        <v>145</v>
      </c>
      <c r="C33" s="47" t="s">
        <v>159</v>
      </c>
      <c r="D33" s="104">
        <f>1200*0</f>
        <v>0</v>
      </c>
      <c r="E33" s="113">
        <f t="shared" si="1"/>
        <v>0</v>
      </c>
      <c r="F33" s="74">
        <v>45412</v>
      </c>
      <c r="G33" s="43" t="s">
        <v>143</v>
      </c>
      <c r="H33" s="43">
        <f>IF(OR(G33="Sin pagar",G33="Pagar"),NETWORKDAYS($E$4,F33,'Festivos Guatemala'!$A$3:$A$15),0)</f>
        <v>20</v>
      </c>
      <c r="I33" s="43">
        <f>NETWORKDAYS($E$4,F33,'Festivos Guatemala'!$A$3:$A$15)</f>
        <v>20</v>
      </c>
      <c r="J33" s="75">
        <f t="shared" si="0"/>
        <v>20</v>
      </c>
      <c r="N33" s="49"/>
    </row>
    <row r="34" spans="2:16" s="43" customFormat="1" outlineLevel="1">
      <c r="B34" s="82" t="s">
        <v>145</v>
      </c>
      <c r="C34" s="47" t="s">
        <v>160</v>
      </c>
      <c r="D34" s="104">
        <f>1200*0</f>
        <v>0</v>
      </c>
      <c r="E34" s="113">
        <f t="shared" si="1"/>
        <v>0</v>
      </c>
      <c r="F34" s="74">
        <v>45412</v>
      </c>
      <c r="G34" s="43" t="s">
        <v>143</v>
      </c>
      <c r="H34" s="43">
        <f>IF(OR(G34="Sin pagar",G34="Pagar"),NETWORKDAYS($E$4,F34,'Festivos Guatemala'!$A$3:$A$15),0)</f>
        <v>20</v>
      </c>
      <c r="I34" s="43">
        <f>NETWORKDAYS($E$4,F34,'Festivos Guatemala'!$A$3:$A$15)</f>
        <v>20</v>
      </c>
      <c r="J34" s="75">
        <f t="shared" si="0"/>
        <v>20</v>
      </c>
      <c r="N34" s="49"/>
    </row>
    <row r="35" spans="2:16" s="43" customFormat="1" outlineLevel="1">
      <c r="B35" s="82" t="s">
        <v>145</v>
      </c>
      <c r="C35" s="47" t="s">
        <v>161</v>
      </c>
      <c r="D35" s="104">
        <f>1200*0</f>
        <v>0</v>
      </c>
      <c r="E35" s="113">
        <f t="shared" si="1"/>
        <v>0</v>
      </c>
      <c r="F35" s="74">
        <v>45412</v>
      </c>
      <c r="G35" s="43" t="s">
        <v>143</v>
      </c>
      <c r="H35" s="43">
        <f>IF(OR(G35="Sin pagar",G35="Pagar"),NETWORKDAYS($E$4,F35,'Festivos Guatemala'!$A$3:$A$15),0)</f>
        <v>20</v>
      </c>
      <c r="I35" s="43">
        <f>NETWORKDAYS($E$4,F35,'Festivos Guatemala'!$A$3:$A$15)</f>
        <v>20</v>
      </c>
      <c r="J35" s="75">
        <f t="shared" si="0"/>
        <v>20</v>
      </c>
      <c r="N35" s="49"/>
    </row>
    <row r="36" spans="2:16" s="43" customFormat="1" ht="15.75" outlineLevel="1" thickBot="1">
      <c r="B36" s="82" t="s">
        <v>145</v>
      </c>
      <c r="C36" s="47" t="s">
        <v>183</v>
      </c>
      <c r="D36" s="104">
        <f>11200*0</f>
        <v>0</v>
      </c>
      <c r="E36" s="113">
        <f t="shared" ref="E36" si="2">D36/$D$6</f>
        <v>0</v>
      </c>
      <c r="F36" s="74">
        <v>45416</v>
      </c>
      <c r="G36" s="43" t="s">
        <v>143</v>
      </c>
      <c r="H36" s="43">
        <f>IF(OR(G36="Sin pagar",G36="Pagar"),NETWORKDAYS($E$4,F36,'Festivos Guatemala'!$A$3:$A$15),0)</f>
        <v>23</v>
      </c>
      <c r="I36" s="43">
        <f>NETWORKDAYS($E$4,F36,'Festivos Guatemala'!$A$3:$A$15)</f>
        <v>23</v>
      </c>
      <c r="J36" s="75">
        <f t="shared" ref="J36" si="3">H36</f>
        <v>23</v>
      </c>
      <c r="N36" s="49"/>
    </row>
    <row r="37" spans="2:16" s="43" customFormat="1" ht="16.5" thickBot="1">
      <c r="C37" s="73" t="s">
        <v>146</v>
      </c>
      <c r="D37" s="103">
        <f>SUBTOTAL(9,D38:D43)</f>
        <v>6631.1885000000002</v>
      </c>
      <c r="E37" s="112">
        <f>SUBTOTAL(9,E38:E43)</f>
        <v>878.30311258278152</v>
      </c>
      <c r="K37" s="49"/>
      <c r="L37" s="49"/>
      <c r="O37" s="49"/>
      <c r="P37" s="49"/>
    </row>
    <row r="38" spans="2:16" s="43" customFormat="1" ht="14.25" customHeight="1" outlineLevel="1">
      <c r="B38" s="108"/>
      <c r="C38" s="47" t="s">
        <v>214</v>
      </c>
      <c r="D38" s="104">
        <f>E38*$D$6</f>
        <v>1958.9985000000001</v>
      </c>
      <c r="E38" s="113">
        <v>259.47000000000003</v>
      </c>
      <c r="F38" s="74">
        <v>45405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15</v>
      </c>
      <c r="J38" s="75">
        <f t="shared" ref="J38:J43" si="4">H38</f>
        <v>0</v>
      </c>
      <c r="K38" s="49"/>
      <c r="L38" s="49"/>
      <c r="O38" s="49"/>
      <c r="P38" s="49"/>
    </row>
    <row r="39" spans="2:16" s="43" customFormat="1" outlineLevel="1">
      <c r="B39" s="108"/>
      <c r="C39" s="47" t="s">
        <v>212</v>
      </c>
      <c r="D39" s="104">
        <f>E39*$D$6</f>
        <v>415.77850000000001</v>
      </c>
      <c r="E39" s="113">
        <v>55.07</v>
      </c>
      <c r="F39" s="74">
        <v>45405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15</v>
      </c>
      <c r="J39" s="75">
        <f t="shared" si="4"/>
        <v>0</v>
      </c>
    </row>
    <row r="40" spans="2:16" s="43" customFormat="1" outlineLevel="1">
      <c r="B40" s="108"/>
      <c r="C40" s="47" t="s">
        <v>213</v>
      </c>
      <c r="D40" s="104">
        <f>E40*$D$6</f>
        <v>1550.2415000000001</v>
      </c>
      <c r="E40" s="113">
        <v>205.33</v>
      </c>
      <c r="F40" s="74">
        <v>45405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15</v>
      </c>
      <c r="J40" s="75">
        <f t="shared" si="4"/>
        <v>0</v>
      </c>
    </row>
    <row r="41" spans="2:16" s="43" customFormat="1" ht="14.25" customHeight="1" outlineLevel="1">
      <c r="B41" s="108"/>
      <c r="C41" s="47" t="s">
        <v>257</v>
      </c>
      <c r="D41" s="104">
        <v>888.15</v>
      </c>
      <c r="E41" s="113">
        <f>D41/$D$6</f>
        <v>117.63576158940397</v>
      </c>
      <c r="F41" s="74">
        <v>45405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15</v>
      </c>
      <c r="J41" s="75">
        <f t="shared" si="4"/>
        <v>0</v>
      </c>
      <c r="K41" s="49"/>
      <c r="L41" s="49"/>
      <c r="O41" s="49"/>
      <c r="P41" s="49"/>
    </row>
    <row r="42" spans="2:16" s="43" customFormat="1" outlineLevel="1">
      <c r="B42" s="108"/>
      <c r="C42" s="47" t="s">
        <v>258</v>
      </c>
      <c r="D42" s="104">
        <v>903.72</v>
      </c>
      <c r="E42" s="113">
        <f>D42/$D$6</f>
        <v>119.69801324503312</v>
      </c>
      <c r="F42" s="74">
        <v>45405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15</v>
      </c>
      <c r="J42" s="75">
        <f t="shared" si="4"/>
        <v>0</v>
      </c>
    </row>
    <row r="43" spans="2:16" s="43" customFormat="1" ht="15.75" outlineLevel="1" thickBot="1">
      <c r="B43" s="108"/>
      <c r="C43" s="47" t="s">
        <v>259</v>
      </c>
      <c r="D43" s="104">
        <v>914.3</v>
      </c>
      <c r="E43" s="113">
        <f>D43/$D$6</f>
        <v>121.09933774834437</v>
      </c>
      <c r="F43" s="74">
        <v>45405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15</v>
      </c>
      <c r="J43" s="75">
        <f t="shared" si="4"/>
        <v>0</v>
      </c>
    </row>
    <row r="44" spans="2:16" s="43" customFormat="1" ht="16.5" thickBot="1">
      <c r="B44" s="82"/>
      <c r="C44" s="85" t="s">
        <v>162</v>
      </c>
      <c r="D44" s="119">
        <f>SUBTOTAL(9,D45:D49)</f>
        <v>0</v>
      </c>
      <c r="E44" s="114">
        <f>SUBTOTAL(9,E45:E49)</f>
        <v>0</v>
      </c>
      <c r="K44" s="52"/>
    </row>
    <row r="45" spans="2:16" s="43" customFormat="1" outlineLevel="1">
      <c r="B45" s="81">
        <v>4640</v>
      </c>
      <c r="C45" s="47" t="s">
        <v>156</v>
      </c>
      <c r="D45" s="104">
        <f>E45*$D$6</f>
        <v>0</v>
      </c>
      <c r="E45" s="113">
        <f>917.15*0</f>
        <v>0</v>
      </c>
      <c r="F45" s="74">
        <v>45411</v>
      </c>
      <c r="G45" s="43" t="s">
        <v>143</v>
      </c>
      <c r="H45" s="43">
        <f>IF(OR(G45="Sin pagar",G45="Pagar"),NETWORKDAYS($E$4,F45,'Festivos Guatemala'!$A$3:$A$15),0)</f>
        <v>19</v>
      </c>
      <c r="I45" s="43">
        <f>NETWORKDAYS($E$4,F45,'Festivos Guatemala'!$A$3:$A$15)</f>
        <v>19</v>
      </c>
      <c r="J45" s="75">
        <f>H45</f>
        <v>19</v>
      </c>
      <c r="N45" s="49"/>
    </row>
    <row r="46" spans="2:16" s="43" customFormat="1" outlineLevel="1">
      <c r="B46" s="81">
        <v>4641</v>
      </c>
      <c r="C46" s="47" t="s">
        <v>157</v>
      </c>
      <c r="D46" s="104">
        <f>E46*$D$6</f>
        <v>0</v>
      </c>
      <c r="E46" s="113">
        <f>832.5*0</f>
        <v>0</v>
      </c>
      <c r="F46" s="74">
        <v>45411</v>
      </c>
      <c r="G46" s="43" t="s">
        <v>143</v>
      </c>
      <c r="H46" s="43">
        <f>IF(OR(G46="Sin pagar",G46="Pagar"),NETWORKDAYS($E$4,F46,'Festivos Guatemala'!$A$3:$A$15),0)</f>
        <v>19</v>
      </c>
      <c r="I46" s="43">
        <f>NETWORKDAYS($E$4,F46,'Festivos Guatemala'!$A$3:$A$15)</f>
        <v>19</v>
      </c>
      <c r="J46" s="75">
        <f>H46</f>
        <v>19</v>
      </c>
      <c r="N46" s="49"/>
    </row>
    <row r="47" spans="2:16" s="43" customFormat="1" outlineLevel="1">
      <c r="B47" s="81">
        <v>4700</v>
      </c>
      <c r="C47" s="47" t="s">
        <v>158</v>
      </c>
      <c r="D47" s="104">
        <f>E47*$D$6</f>
        <v>0</v>
      </c>
      <c r="E47" s="113">
        <f>1009.3*0</f>
        <v>0</v>
      </c>
      <c r="F47" s="74">
        <v>45433</v>
      </c>
      <c r="G47" s="43" t="s">
        <v>143</v>
      </c>
      <c r="H47" s="43">
        <f>IF(OR(G47="Sin pagar",G47="Pagar"),NETWORKDAYS($E$4,F47,'Festivos Guatemala'!$A$3:$A$15),0)</f>
        <v>35</v>
      </c>
      <c r="I47" s="43">
        <f>NETWORKDAYS($E$4,F47,'Festivos Guatemala'!$A$3:$A$15)</f>
        <v>35</v>
      </c>
      <c r="J47" s="75">
        <f>H47</f>
        <v>35</v>
      </c>
      <c r="N47" s="49"/>
    </row>
    <row r="48" spans="2:16" s="43" customFormat="1" outlineLevel="1">
      <c r="B48" s="81">
        <v>4707</v>
      </c>
      <c r="C48" s="47" t="s">
        <v>158</v>
      </c>
      <c r="D48" s="104">
        <f>E48*$D$6</f>
        <v>0</v>
      </c>
      <c r="E48" s="113">
        <f>1000*0</f>
        <v>0</v>
      </c>
      <c r="F48" s="74">
        <v>45438</v>
      </c>
      <c r="G48" s="43" t="s">
        <v>143</v>
      </c>
      <c r="H48" s="43">
        <f>IF(OR(G48="Sin pagar",G48="Pagar"),NETWORKDAYS($E$4,F48,'Festivos Guatemala'!$A$3:$A$15),0)</f>
        <v>38</v>
      </c>
      <c r="I48" s="43">
        <f>NETWORKDAYS($E$4,F48,'Festivos Guatemala'!$A$3:$A$15)</f>
        <v>38</v>
      </c>
      <c r="J48" s="75">
        <f>H48</f>
        <v>38</v>
      </c>
      <c r="N48" s="49"/>
    </row>
    <row r="49" spans="2:14" s="43" customFormat="1" ht="15.75" outlineLevel="1" thickBot="1">
      <c r="B49" s="81">
        <v>4776</v>
      </c>
      <c r="C49" s="47" t="s">
        <v>215</v>
      </c>
      <c r="D49" s="104">
        <f>E49*$D$6</f>
        <v>0</v>
      </c>
      <c r="E49" s="113">
        <f>1521.5*0</f>
        <v>0</v>
      </c>
      <c r="F49" s="74">
        <v>45435</v>
      </c>
      <c r="G49" s="43" t="s">
        <v>143</v>
      </c>
      <c r="H49" s="43">
        <f>IF(OR(G49="Sin pagar",G49="Pagar"),NETWORKDAYS($E$4,F49,'Festivos Guatemala'!$A$3:$A$15),0)</f>
        <v>37</v>
      </c>
      <c r="I49" s="43">
        <f>NETWORKDAYS($E$4,F49,'Festivos Guatemala'!$A$3:$A$15)</f>
        <v>37</v>
      </c>
      <c r="J49" s="75">
        <f>H49</f>
        <v>37</v>
      </c>
      <c r="N49" s="49"/>
    </row>
    <row r="50" spans="2:14" s="43" customFormat="1" ht="16.5" thickBot="1">
      <c r="B50" s="46"/>
      <c r="C50" s="73" t="s">
        <v>147</v>
      </c>
      <c r="D50" s="103">
        <f>SUBTOTAL(9,D51:D52)</f>
        <v>0</v>
      </c>
      <c r="E50" s="112">
        <f>SUBTOTAL(9,E51:E52)</f>
        <v>0</v>
      </c>
    </row>
    <row r="51" spans="2:14" s="43" customFormat="1" outlineLevel="1">
      <c r="B51" s="46"/>
      <c r="C51" s="47" t="s">
        <v>167</v>
      </c>
      <c r="D51" s="104">
        <f>(((4000000/3901.51)*$D$6)+7000)*0</f>
        <v>0</v>
      </c>
      <c r="E51" s="113">
        <f>D51/D6</f>
        <v>0</v>
      </c>
      <c r="F51" s="74">
        <v>45412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20</v>
      </c>
      <c r="J51" s="75">
        <f>H51</f>
        <v>0</v>
      </c>
    </row>
    <row r="52" spans="2:14" s="43" customFormat="1" ht="15.75" outlineLevel="1" thickBot="1">
      <c r="B52" s="46"/>
      <c r="C52" s="47" t="s">
        <v>182</v>
      </c>
      <c r="D52" s="104">
        <f>(((4000000/3901.51)*$D$6)+7000)*0</f>
        <v>0</v>
      </c>
      <c r="E52" s="113">
        <f>D52/D6</f>
        <v>0</v>
      </c>
      <c r="F52" s="74">
        <v>45412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20</v>
      </c>
      <c r="J52" s="75">
        <f>H52</f>
        <v>0</v>
      </c>
    </row>
    <row r="53" spans="2:14" s="43" customFormat="1" ht="15.75" customHeight="1" thickBot="1">
      <c r="C53" s="73" t="s">
        <v>148</v>
      </c>
      <c r="D53" s="103">
        <f>SUBTOTAL(9,D54:D54)</f>
        <v>0</v>
      </c>
      <c r="E53" s="112">
        <f>SUBTOTAL(9,E54:E54)</f>
        <v>0</v>
      </c>
    </row>
    <row r="54" spans="2:14" s="43" customFormat="1" ht="15.75" outlineLevel="1" thickBot="1">
      <c r="B54" s="46"/>
      <c r="C54" s="47" t="s">
        <v>117</v>
      </c>
      <c r="D54" s="109">
        <f>(15*2*4)*0</f>
        <v>0</v>
      </c>
      <c r="E54" s="115">
        <f>D54/$D$6</f>
        <v>0</v>
      </c>
      <c r="F54" s="74">
        <v>45412</v>
      </c>
      <c r="G54" s="43" t="s">
        <v>143</v>
      </c>
      <c r="H54" s="43">
        <f>IF(OR(G54="Sin pagar",G54="Pagar"),NETWORKDAYS($E$4,F54,'Festivos Guatemala'!$A$3:$A$15),0)</f>
        <v>20</v>
      </c>
      <c r="I54" s="43">
        <f>NETWORKDAYS($E$4,F54,'Festivos Guatemala'!$A$3:$A$15)</f>
        <v>20</v>
      </c>
      <c r="J54" s="75">
        <f>H54</f>
        <v>20</v>
      </c>
    </row>
    <row r="55" spans="2:14" s="43" customFormat="1" ht="16.5" thickBot="1">
      <c r="C55" s="73" t="s">
        <v>164</v>
      </c>
      <c r="D55" s="103">
        <f>SUBTOTAL(9,D56:D61)</f>
        <v>253741.31000000003</v>
      </c>
      <c r="E55" s="112">
        <f>SUBTOTAL(9,E60:E61)</f>
        <v>2134.5245033112583</v>
      </c>
      <c r="K55" s="52"/>
      <c r="L55" s="86"/>
    </row>
    <row r="56" spans="2:14" s="43" customFormat="1" outlineLevel="1">
      <c r="B56" s="83"/>
      <c r="C56" s="47" t="s">
        <v>176</v>
      </c>
      <c r="D56" s="109">
        <v>28242.02</v>
      </c>
      <c r="E56" s="115">
        <f t="shared" ref="E56:E61" si="5">D56/$D$6</f>
        <v>3740.664900662252</v>
      </c>
      <c r="F56" s="74">
        <v>45411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ref="J56:J61" si="6">H56</f>
        <v>0</v>
      </c>
      <c r="L56" s="52"/>
    </row>
    <row r="57" spans="2:14" s="43" customFormat="1" outlineLevel="1">
      <c r="B57" s="46"/>
      <c r="C57" s="47" t="s">
        <v>177</v>
      </c>
      <c r="D57" s="109">
        <v>24970.21</v>
      </c>
      <c r="E57" s="115">
        <f t="shared" si="5"/>
        <v>3307.312582781457</v>
      </c>
      <c r="F57" s="74">
        <v>45411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si="6"/>
        <v>0</v>
      </c>
      <c r="K57" s="48"/>
      <c r="L57" s="48"/>
    </row>
    <row r="58" spans="2:14" s="43" customFormat="1" outlineLevel="1">
      <c r="B58" s="46"/>
      <c r="C58" s="47" t="s">
        <v>178</v>
      </c>
      <c r="D58" s="109">
        <v>79101.47</v>
      </c>
      <c r="E58" s="115">
        <f t="shared" si="5"/>
        <v>10477.015894039736</v>
      </c>
      <c r="F58" s="74">
        <v>45411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6"/>
        <v>0</v>
      </c>
      <c r="L58" s="52"/>
    </row>
    <row r="59" spans="2:14" s="43" customFormat="1" outlineLevel="1">
      <c r="B59" s="46"/>
      <c r="C59" s="47" t="s">
        <v>179</v>
      </c>
      <c r="D59" s="109">
        <v>105311.95</v>
      </c>
      <c r="E59" s="115">
        <f t="shared" si="5"/>
        <v>13948.602649006623</v>
      </c>
      <c r="F59" s="74">
        <v>45411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 t="shared" si="6"/>
        <v>0</v>
      </c>
      <c r="K59" s="52"/>
      <c r="L59" s="57"/>
    </row>
    <row r="60" spans="2:14" s="43" customFormat="1" outlineLevel="1">
      <c r="B60" s="46"/>
      <c r="C60" s="47" t="s">
        <v>165</v>
      </c>
      <c r="D60" s="109">
        <v>10382.76</v>
      </c>
      <c r="E60" s="115">
        <f t="shared" si="5"/>
        <v>1375.2</v>
      </c>
      <c r="F60" s="74">
        <v>45411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 t="shared" si="6"/>
        <v>0</v>
      </c>
      <c r="L60" s="52"/>
    </row>
    <row r="61" spans="2:14" s="43" customFormat="1" ht="15.75" outlineLevel="1" thickBot="1">
      <c r="B61" s="83"/>
      <c r="C61" s="47" t="s">
        <v>166</v>
      </c>
      <c r="D61" s="109">
        <v>5732.9</v>
      </c>
      <c r="E61" s="115">
        <f t="shared" si="5"/>
        <v>759.32450331125824</v>
      </c>
      <c r="F61" s="74">
        <v>45411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 t="shared" si="6"/>
        <v>0</v>
      </c>
      <c r="L61" s="52"/>
    </row>
    <row r="62" spans="2:14" s="43" customFormat="1" ht="16.5" thickBot="1">
      <c r="B62" s="46"/>
      <c r="C62" s="73" t="s">
        <v>173</v>
      </c>
      <c r="D62" s="103">
        <f>SUBTOTAL(9,D63:D65)</f>
        <v>72655.930000000008</v>
      </c>
      <c r="E62" s="112">
        <f>SUBTOTAL(9,E63:E65)</f>
        <v>9623.3019867549665</v>
      </c>
    </row>
    <row r="63" spans="2:14" s="43" customFormat="1" outlineLevel="1">
      <c r="B63" s="46"/>
      <c r="C63" s="47" t="s">
        <v>235</v>
      </c>
      <c r="D63" s="109">
        <v>12012.85</v>
      </c>
      <c r="E63" s="115">
        <f>D63/$D$6</f>
        <v>1591.1059602649007</v>
      </c>
      <c r="F63" s="74">
        <v>45411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19</v>
      </c>
      <c r="J63" s="75">
        <f>H63</f>
        <v>0</v>
      </c>
      <c r="K63" s="52"/>
      <c r="L63" s="54"/>
    </row>
    <row r="64" spans="2:14" s="43" customFormat="1" outlineLevel="1">
      <c r="B64" s="46"/>
      <c r="C64" s="47" t="s">
        <v>234</v>
      </c>
      <c r="D64" s="109">
        <v>3707</v>
      </c>
      <c r="E64" s="115">
        <f>D64/$D$6</f>
        <v>490.99337748344374</v>
      </c>
      <c r="F64" s="74">
        <v>45412</v>
      </c>
      <c r="G64" s="43" t="s">
        <v>135</v>
      </c>
      <c r="H64" s="74"/>
      <c r="J64" s="75">
        <f t="shared" ref="J64" si="7">H64</f>
        <v>0</v>
      </c>
      <c r="K64" s="52"/>
      <c r="L64" s="54"/>
    </row>
    <row r="65" spans="1:16" s="43" customFormat="1" ht="15.75" outlineLevel="1" thickBot="1">
      <c r="B65" s="46"/>
      <c r="C65" s="47" t="s">
        <v>178</v>
      </c>
      <c r="D65" s="109">
        <v>56936.08</v>
      </c>
      <c r="E65" s="115">
        <f>D65/$D$6</f>
        <v>7541.2026490066228</v>
      </c>
      <c r="F65" s="74">
        <v>45412</v>
      </c>
      <c r="G65" s="43" t="s">
        <v>135</v>
      </c>
      <c r="H65" s="74"/>
      <c r="J65" s="75">
        <f t="shared" ref="J65" si="8">H65</f>
        <v>0</v>
      </c>
      <c r="K65" s="52"/>
      <c r="L65" s="54"/>
    </row>
    <row r="66" spans="1:16" s="43" customFormat="1" ht="16.5" thickBot="1">
      <c r="B66" s="46"/>
      <c r="C66" s="73" t="s">
        <v>174</v>
      </c>
      <c r="D66" s="103">
        <f>SUBTOTAL(9,D67:D67)</f>
        <v>1497</v>
      </c>
      <c r="E66" s="112">
        <f>SUBTOTAL(9,E67:E67)</f>
        <v>198.27814569536423</v>
      </c>
    </row>
    <row r="67" spans="1:16" s="43" customFormat="1" ht="15.75" outlineLevel="1" thickBot="1">
      <c r="B67" s="46"/>
      <c r="C67" s="47" t="s">
        <v>175</v>
      </c>
      <c r="D67" s="109">
        <f>499*3</f>
        <v>1497</v>
      </c>
      <c r="E67" s="115">
        <f>D67/$D$6</f>
        <v>198.27814569536423</v>
      </c>
      <c r="F67" s="74">
        <v>45397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9</v>
      </c>
      <c r="J67" s="75">
        <f>H67</f>
        <v>0</v>
      </c>
      <c r="K67" s="52"/>
      <c r="L67" s="54"/>
    </row>
    <row r="68" spans="1:16" s="43" customFormat="1" ht="16.5" thickBot="1">
      <c r="B68" s="87"/>
      <c r="C68" s="73" t="s">
        <v>149</v>
      </c>
      <c r="D68" s="103">
        <f>SUBTOTAL(9,D69:D70)</f>
        <v>408</v>
      </c>
      <c r="E68" s="112">
        <f>SUBTOTAL(9,E69:E70)</f>
        <v>54.039735099337747</v>
      </c>
      <c r="L68" s="52"/>
    </row>
    <row r="69" spans="1:16" s="43" customFormat="1" outlineLevel="1">
      <c r="B69" s="84"/>
      <c r="C69" s="47" t="s">
        <v>170</v>
      </c>
      <c r="D69" s="109">
        <v>193</v>
      </c>
      <c r="E69" s="115">
        <f>D69/$D$6</f>
        <v>25.56291390728477</v>
      </c>
      <c r="F69" s="74">
        <v>45393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7</v>
      </c>
      <c r="J69" s="75">
        <f>H69</f>
        <v>0</v>
      </c>
      <c r="L69" s="52"/>
    </row>
    <row r="70" spans="1:16" s="43" customFormat="1" ht="15.75" outlineLevel="1" thickBot="1">
      <c r="B70" s="84"/>
      <c r="C70" s="47" t="s">
        <v>223</v>
      </c>
      <c r="D70" s="109">
        <v>215</v>
      </c>
      <c r="E70" s="115">
        <f>D70/$D$6</f>
        <v>28.476821192052981</v>
      </c>
      <c r="F70" s="74">
        <v>45397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9</v>
      </c>
      <c r="J70" s="75">
        <f>H70</f>
        <v>0</v>
      </c>
      <c r="L70" s="52"/>
    </row>
    <row r="71" spans="1:16" s="43" customFormat="1" ht="14.25" customHeight="1">
      <c r="B71" s="46"/>
      <c r="C71" s="88" t="s">
        <v>150</v>
      </c>
      <c r="D71" s="120">
        <f>SUBTOTAL(9,D22:D69)</f>
        <v>434506.20850000001</v>
      </c>
      <c r="E71" s="116">
        <f>SUBTOTAL(9,E22:E69)</f>
        <v>55354.104437086098</v>
      </c>
      <c r="K71" s="39"/>
      <c r="L71" s="39"/>
      <c r="N71" s="39"/>
      <c r="O71" s="39"/>
      <c r="P71" s="39"/>
    </row>
    <row r="72" spans="1:16" ht="15.75">
      <c r="A72" s="43"/>
      <c r="E72" s="117"/>
      <c r="F72" s="89"/>
      <c r="G72" s="89"/>
      <c r="H72" s="89"/>
      <c r="I72" s="89"/>
      <c r="J72" s="89"/>
    </row>
    <row r="73" spans="1:16" ht="15.75">
      <c r="A73" s="43"/>
      <c r="C73" s="90" t="s">
        <v>151</v>
      </c>
      <c r="D73" s="121">
        <f>D17-D71</f>
        <v>168887.48249999987</v>
      </c>
      <c r="E73" s="118">
        <f>E17-E71</f>
        <v>24565.589735099325</v>
      </c>
      <c r="F73" s="91"/>
      <c r="G73" s="92"/>
      <c r="J73" s="92"/>
    </row>
    <row r="74" spans="1:16" s="93" customFormat="1" ht="15.75">
      <c r="A74" s="43"/>
      <c r="B74" s="94"/>
      <c r="C74" s="90" t="s">
        <v>152</v>
      </c>
      <c r="D74" s="95">
        <f>IF($D$17=0,0,D73/$D$17)</f>
        <v>0.27989600325469743</v>
      </c>
      <c r="E74" s="95">
        <f>IF($E$17=0,0,E73/$E$17)</f>
        <v>0.30737842517481662</v>
      </c>
      <c r="F74" s="96"/>
      <c r="G74" s="92"/>
      <c r="J74" s="97"/>
      <c r="K74" s="39"/>
      <c r="L74" s="39"/>
      <c r="N74" s="39"/>
      <c r="O74" s="39"/>
      <c r="P74" s="39"/>
    </row>
    <row r="75" spans="1:16">
      <c r="A75" s="43"/>
      <c r="F75" s="96"/>
      <c r="G75" s="92"/>
    </row>
    <row r="77" spans="1:16" ht="15.75" thickBot="1"/>
    <row r="78" spans="1:16" ht="15.75" thickBot="1">
      <c r="C78" s="135" t="s">
        <v>184</v>
      </c>
      <c r="D78" s="136" t="s">
        <v>185</v>
      </c>
      <c r="E78" s="137" t="s">
        <v>191</v>
      </c>
      <c r="F78" s="137" t="s">
        <v>186</v>
      </c>
    </row>
    <row r="79" spans="1:16">
      <c r="C79" s="138">
        <v>45383</v>
      </c>
      <c r="D79" s="139">
        <v>45389</v>
      </c>
      <c r="E79" s="149">
        <f t="shared" ref="E79:E84" si="9">SUMIFS($D$21:$D$71,$F$21:$F$71,"&gt;="&amp;C79,$F$21:$F$71,"&lt;="&amp;D79,$G$21:$G$71,$D$94)</f>
        <v>0</v>
      </c>
      <c r="F79" s="154">
        <f t="shared" ref="F79:F84" si="10">SUMIFS($E$21:$E$71,$F$21:$F$71,"&gt;="&amp;C79,$F$21:$F$71,"&lt;="&amp;D79,$G$21:$G$71,$D$94)</f>
        <v>0</v>
      </c>
    </row>
    <row r="80" spans="1:16">
      <c r="C80" s="140">
        <v>45390</v>
      </c>
      <c r="D80" s="141">
        <v>45396</v>
      </c>
      <c r="E80" s="150">
        <f t="shared" si="9"/>
        <v>0</v>
      </c>
      <c r="F80" s="155">
        <f t="shared" si="10"/>
        <v>0</v>
      </c>
    </row>
    <row r="81" spans="3:11">
      <c r="C81" s="140">
        <v>45397</v>
      </c>
      <c r="D81" s="141">
        <v>45403</v>
      </c>
      <c r="E81" s="150">
        <f t="shared" si="9"/>
        <v>0</v>
      </c>
      <c r="F81" s="155">
        <f t="shared" si="10"/>
        <v>0</v>
      </c>
      <c r="J81" s="445"/>
    </row>
    <row r="82" spans="3:11">
      <c r="C82" s="140">
        <v>45404</v>
      </c>
      <c r="D82" s="141">
        <v>45410</v>
      </c>
      <c r="E82" s="150">
        <f t="shared" si="9"/>
        <v>0</v>
      </c>
      <c r="F82" s="155">
        <f t="shared" si="10"/>
        <v>0</v>
      </c>
      <c r="J82" s="445"/>
    </row>
    <row r="83" spans="3:11">
      <c r="C83" s="140">
        <v>45411</v>
      </c>
      <c r="D83" s="141">
        <v>45412</v>
      </c>
      <c r="E83" s="150">
        <f t="shared" si="9"/>
        <v>0</v>
      </c>
      <c r="F83" s="155">
        <f t="shared" si="10"/>
        <v>0</v>
      </c>
      <c r="J83" s="445"/>
    </row>
    <row r="84" spans="3:11" ht="15.75" thickBot="1">
      <c r="C84" s="142">
        <v>45413</v>
      </c>
      <c r="D84" s="143">
        <v>45443</v>
      </c>
      <c r="E84" s="151">
        <f t="shared" si="9"/>
        <v>0</v>
      </c>
      <c r="F84" s="156">
        <f t="shared" si="10"/>
        <v>0</v>
      </c>
      <c r="G84" s="99"/>
      <c r="J84" s="92"/>
      <c r="K84" s="92"/>
    </row>
    <row r="85" spans="3:11" ht="15.75">
      <c r="C85" s="433" t="s">
        <v>187</v>
      </c>
      <c r="D85" s="433"/>
      <c r="E85" s="148">
        <f>SUM(E79:E84)</f>
        <v>0</v>
      </c>
      <c r="F85" s="144">
        <f>SUM(F79:F84)</f>
        <v>0</v>
      </c>
    </row>
    <row r="88" spans="3:11">
      <c r="C88" s="446" t="s">
        <v>188</v>
      </c>
      <c r="D88" s="446"/>
      <c r="E88" s="15">
        <f>$D$9</f>
        <v>174210.97699999993</v>
      </c>
      <c r="F88" s="153">
        <f>$E$9</f>
        <v>23074.301589403964</v>
      </c>
    </row>
    <row r="89" spans="3:11">
      <c r="C89" s="446" t="s">
        <v>192</v>
      </c>
      <c r="D89" s="446"/>
      <c r="E89" s="15">
        <f>SUM(E79:E81)</f>
        <v>0</v>
      </c>
      <c r="F89" s="15">
        <f>SUM(F79:F81)</f>
        <v>0</v>
      </c>
    </row>
    <row r="90" spans="3:11">
      <c r="C90" s="444" t="s">
        <v>5</v>
      </c>
      <c r="D90" s="444"/>
      <c r="E90" s="152">
        <f>E88-E89</f>
        <v>174210.97699999993</v>
      </c>
      <c r="F90" s="145">
        <f>F88-F89</f>
        <v>23074.301589403964</v>
      </c>
    </row>
    <row r="93" spans="3:11">
      <c r="D93" s="43" t="s">
        <v>135</v>
      </c>
      <c r="E93" s="15">
        <f>SUMIFS($D$21:$D$71,$F$21:$F$71,"&gt;="&amp;C79,$F$21:$F$71,"&lt;="&amp;D84,$G$21:$G$71,$D$93)</f>
        <v>434721.20850000001</v>
      </c>
      <c r="F93" s="15">
        <f>SUMIFS($E$21:$E$71,$F$21:$F$71,"&gt;="&amp;C79,$F$21:$F$71,"&lt;="&amp;D84,$G$21:$G$71,$D$93)</f>
        <v>55382.581258278151</v>
      </c>
    </row>
    <row r="94" spans="3:11">
      <c r="D94" s="43" t="s">
        <v>143</v>
      </c>
      <c r="E94" s="15">
        <f>SUMIFS($D$21:$D$71,$F$21:$F$71,"&gt;="&amp;C79,$F$21:$F$71,"&lt;="&amp;D84,$G$21:$G$71,$D$94)</f>
        <v>0</v>
      </c>
      <c r="F94" s="15">
        <f>SUMIFS($E$21:$E$71,$F$21:$F$71,"&gt;="&amp;C79,$F$21:$F$71,"&lt;="&amp;D84,$G$21:$G$71,$D$94)</f>
        <v>0</v>
      </c>
    </row>
    <row r="95" spans="3:11">
      <c r="D95" s="146" t="s">
        <v>189</v>
      </c>
      <c r="E95" s="147">
        <f>SUM(E93:E94)</f>
        <v>434721.20850000001</v>
      </c>
      <c r="F95" s="145">
        <f>SUM(F93:F94)</f>
        <v>55382.581258278151</v>
      </c>
    </row>
    <row r="96" spans="3:11">
      <c r="D96" s="146" t="s">
        <v>190</v>
      </c>
      <c r="E96" s="147">
        <f>E95-D71</f>
        <v>215</v>
      </c>
      <c r="F96" s="145">
        <f>F95-E71</f>
        <v>28.476821192052739</v>
      </c>
    </row>
    <row r="100" spans="5:5">
      <c r="E100" s="166"/>
    </row>
    <row r="101" spans="5:5">
      <c r="E101" s="166"/>
    </row>
    <row r="104" spans="5:5">
      <c r="E104" s="166"/>
    </row>
  </sheetData>
  <protectedRanges>
    <protectedRange sqref="F17:G17 D75:E75 D10:E11 D51:E52" name="Presupuestos"/>
    <protectedRange sqref="D21:E21 D8:E8" name="Presupuestos_1"/>
    <protectedRange sqref="D30:E36" name="Presupuestos_13_1"/>
    <protectedRange sqref="D38:E43" name="Presupuestos_14"/>
    <protectedRange sqref="E61 D58:E60 E56:E57" name="Presupuestos_2_1_1_1"/>
    <protectedRange sqref="K57 D57 D67:E67 E69:E70 D63:E65" name="Presupuestos_6_1_1_1"/>
    <protectedRange sqref="D61 D56" name="Presupuestos_5_2_1"/>
    <protectedRange sqref="D54:E54" name="Presupuestos_7_1"/>
    <protectedRange sqref="D69:D70" name="Presupuestos_5_3"/>
    <protectedRange sqref="D45:E49" name="Presupuestos_13_1_1"/>
  </protectedRanges>
  <autoFilter ref="B21:J70" xr:uid="{00000000-0009-0000-0000-000002000000}"/>
  <mergeCells count="8">
    <mergeCell ref="C90:D90"/>
    <mergeCell ref="D7:E7"/>
    <mergeCell ref="B20:C20"/>
    <mergeCell ref="J81:J83"/>
    <mergeCell ref="D20:E20"/>
    <mergeCell ref="C85:D85"/>
    <mergeCell ref="C88:D88"/>
    <mergeCell ref="C89:D89"/>
  </mergeCells>
  <conditionalFormatting sqref="J23:J24 J26:J28 J38:J43 J69:J70">
    <cfRule type="cellIs" dxfId="316" priority="81" operator="lessThan">
      <formula>0</formula>
    </cfRule>
    <cfRule type="cellIs" dxfId="315" priority="82" operator="between">
      <formula>6</formula>
      <formula>15</formula>
    </cfRule>
    <cfRule type="cellIs" dxfId="314" priority="83" operator="between">
      <formula>1</formula>
      <formula>5</formula>
    </cfRule>
    <cfRule type="cellIs" dxfId="313" priority="84" operator="between">
      <formula>16</formula>
      <formula>60</formula>
    </cfRule>
  </conditionalFormatting>
  <conditionalFormatting sqref="J30:J36">
    <cfRule type="cellIs" dxfId="312" priority="45" operator="lessThan">
      <formula>0</formula>
    </cfRule>
    <cfRule type="cellIs" dxfId="311" priority="46" operator="between">
      <formula>6</formula>
      <formula>15</formula>
    </cfRule>
    <cfRule type="cellIs" dxfId="310" priority="47" operator="between">
      <formula>1</formula>
      <formula>5</formula>
    </cfRule>
    <cfRule type="cellIs" dxfId="309" priority="48" operator="between">
      <formula>16</formula>
      <formula>60</formula>
    </cfRule>
  </conditionalFormatting>
  <conditionalFormatting sqref="J45:J49">
    <cfRule type="cellIs" dxfId="308" priority="25" operator="lessThan">
      <formula>0</formula>
    </cfRule>
    <cfRule type="cellIs" dxfId="307" priority="26" operator="between">
      <formula>6</formula>
      <formula>15</formula>
    </cfRule>
    <cfRule type="cellIs" dxfId="306" priority="27" operator="between">
      <formula>1</formula>
      <formula>5</formula>
    </cfRule>
    <cfRule type="cellIs" dxfId="305" priority="28" operator="between">
      <formula>16</formula>
      <formula>60</formula>
    </cfRule>
  </conditionalFormatting>
  <conditionalFormatting sqref="J51:J52">
    <cfRule type="cellIs" dxfId="304" priority="21" operator="lessThan">
      <formula>0</formula>
    </cfRule>
    <cfRule type="cellIs" dxfId="303" priority="22" operator="between">
      <formula>6</formula>
      <formula>15</formula>
    </cfRule>
    <cfRule type="cellIs" dxfId="302" priority="23" operator="between">
      <formula>1</formula>
      <formula>5</formula>
    </cfRule>
    <cfRule type="cellIs" dxfId="301" priority="24" operator="between">
      <formula>16</formula>
      <formula>60</formula>
    </cfRule>
  </conditionalFormatting>
  <conditionalFormatting sqref="J54">
    <cfRule type="cellIs" dxfId="300" priority="17" operator="lessThan">
      <formula>0</formula>
    </cfRule>
    <cfRule type="cellIs" dxfId="299" priority="18" operator="between">
      <formula>6</formula>
      <formula>15</formula>
    </cfRule>
    <cfRule type="cellIs" dxfId="298" priority="19" operator="between">
      <formula>1</formula>
      <formula>5</formula>
    </cfRule>
    <cfRule type="cellIs" dxfId="297" priority="20" operator="between">
      <formula>16</formula>
      <formula>60</formula>
    </cfRule>
  </conditionalFormatting>
  <conditionalFormatting sqref="J56:J61">
    <cfRule type="cellIs" dxfId="296" priority="13" operator="lessThan">
      <formula>0</formula>
    </cfRule>
    <cfRule type="cellIs" dxfId="295" priority="14" operator="between">
      <formula>6</formula>
      <formula>15</formula>
    </cfRule>
    <cfRule type="cellIs" dxfId="294" priority="15" operator="between">
      <formula>1</formula>
      <formula>5</formula>
    </cfRule>
    <cfRule type="cellIs" dxfId="293" priority="16" operator="between">
      <formula>16</formula>
      <formula>60</formula>
    </cfRule>
  </conditionalFormatting>
  <conditionalFormatting sqref="J63:J65">
    <cfRule type="cellIs" dxfId="292" priority="1" operator="lessThan">
      <formula>0</formula>
    </cfRule>
    <cfRule type="cellIs" dxfId="291" priority="2" operator="between">
      <formula>6</formula>
      <formula>15</formula>
    </cfRule>
    <cfRule type="cellIs" dxfId="290" priority="3" operator="between">
      <formula>1</formula>
      <formula>5</formula>
    </cfRule>
    <cfRule type="cellIs" dxfId="289" priority="4" operator="between">
      <formula>16</formula>
      <formula>60</formula>
    </cfRule>
  </conditionalFormatting>
  <conditionalFormatting sqref="J67">
    <cfRule type="cellIs" dxfId="288" priority="5" operator="lessThan">
      <formula>0</formula>
    </cfRule>
    <cfRule type="cellIs" dxfId="287" priority="6" operator="between">
      <formula>6</formula>
      <formula>15</formula>
    </cfRule>
    <cfRule type="cellIs" dxfId="286" priority="7" operator="between">
      <formula>1</formula>
      <formula>5</formula>
    </cfRule>
    <cfRule type="cellIs" dxfId="285" priority="8" operator="between">
      <formula>16</formula>
      <formula>60</formula>
    </cfRule>
  </conditionalFormatting>
  <dataValidations disablePrompts="1" count="2">
    <dataValidation type="list" allowBlank="1" showInputMessage="1" showErrorMessage="1" sqref="D20 D7" xr:uid="{CD765FBC-0D28-4E19-B4F9-8C3462BCF955}">
      <formula1>"ENERO,FEBRERO,MARZO,ABRIL,MAYO,JUNIO,JULIO,AGOSTO,SEPTIEMBRE,OCTUBRE,NOVIEMBRE,DICIEMBRE"</formula1>
    </dataValidation>
    <dataValidation type="list" allowBlank="1" showInputMessage="1" showErrorMessage="1" sqref="G54 G56:G61 D93:D94 G51:G52 G22:G24 G69:G70 G26:G28 G45:G49 G76:G77 G67 G38:G43 G30:G36 G63:G65" xr:uid="{C1ABD8C0-3780-4DC5-B544-399DD4372F80}">
      <formula1>"Cancelado,Pagar,Sin Pagar"</formula1>
    </dataValidation>
  </dataValidations>
  <pageMargins left="0.7" right="0.7" top="0.75" bottom="0.75" header="0.3" footer="0.3"/>
  <pageSetup paperSize="9" orientation="portrait" r:id="rId1"/>
  <ignoredErrors>
    <ignoredError sqref="A25:B25 B24 B66:B69 B44:B46 H44:I47 B50:B51 H50:I51 H29:I35 B29 H66:J69 B32:B35 J22:J26 B26 H24:I26 H37:I37 B37 J29:J64 H53:I64 B53:B64 J27:J28" unlockedFormula="1"/>
    <ignoredError sqref="E24 E51 D67:E67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4CCF-89F2-41DE-9A67-3BBDCF08F951}">
  <dimension ref="A1:S101"/>
  <sheetViews>
    <sheetView showGridLines="0" topLeftCell="A86" zoomScale="90" zoomScaleNormal="90" workbookViewId="0">
      <selection activeCell="E28" sqref="E28"/>
    </sheetView>
  </sheetViews>
  <sheetFormatPr baseColWidth="10" defaultColWidth="11.42578125" defaultRowHeight="15" outlineLevelRow="1"/>
  <cols>
    <col min="1" max="1" width="2.140625" style="39" customWidth="1"/>
    <col min="2" max="2" width="17.140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4.5703125" style="39" bestFit="1" customWidth="1"/>
    <col min="14" max="14" width="13.140625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45413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7.88</v>
      </c>
      <c r="E6" s="42"/>
      <c r="I6" s="43"/>
    </row>
    <row r="7" spans="1:9" ht="15.75">
      <c r="C7" s="99"/>
      <c r="D7" s="432" t="s">
        <v>138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148167.92799999999</v>
      </c>
      <c r="E9" s="122">
        <f>SUBTOTAL(9,E10:E11)</f>
        <v>18803.036548223346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QTQ'!$H$83-20720</f>
        <v>148157.28999999998</v>
      </c>
      <c r="E10" s="25">
        <f>D10/$D$6</f>
        <v>18801.686548223348</v>
      </c>
      <c r="F10" s="49"/>
    </row>
    <row r="11" spans="1:9" s="43" customFormat="1" outlineLevel="1">
      <c r="B11" s="46"/>
      <c r="C11" s="47" t="s">
        <v>154</v>
      </c>
      <c r="D11" s="15">
        <f>'Caja USD'!$H$31*'Flujo caja Mayo'!$D$6</f>
        <v>10.637999999999284</v>
      </c>
      <c r="E11" s="25">
        <f>D11/$D$6</f>
        <v>1.3499999999999091</v>
      </c>
      <c r="F11" s="49"/>
    </row>
    <row r="12" spans="1:9" s="43" customFormat="1" ht="15.75">
      <c r="B12" s="46"/>
      <c r="C12" s="102" t="s">
        <v>134</v>
      </c>
      <c r="D12" s="127">
        <f>SUBTOTAL(9,D13:D16)</f>
        <v>330738.31</v>
      </c>
      <c r="E12" s="122">
        <f>SUBTOTAL(9,E13:E16)</f>
        <v>41971.866751269037</v>
      </c>
      <c r="F12" s="128"/>
    </row>
    <row r="13" spans="1:9" s="43" customFormat="1" outlineLevel="1">
      <c r="B13" s="447"/>
      <c r="C13" s="47" t="s">
        <v>196</v>
      </c>
      <c r="D13" s="171">
        <v>41146.97</v>
      </c>
      <c r="E13" s="25">
        <f>D13/$D$6</f>
        <v>5221.6967005076149</v>
      </c>
      <c r="F13" s="128"/>
      <c r="G13" s="52"/>
    </row>
    <row r="14" spans="1:9" s="43" customFormat="1" outlineLevel="1">
      <c r="A14" s="50"/>
      <c r="B14" s="447"/>
      <c r="C14" s="47" t="s">
        <v>194</v>
      </c>
      <c r="D14" s="171">
        <f>'Diferencia en cambio'!$I$17</f>
        <v>269107.59999999998</v>
      </c>
      <c r="E14" s="25">
        <f>D14/$D$6</f>
        <v>34150.710659898476</v>
      </c>
      <c r="F14" s="128"/>
      <c r="G14" s="52"/>
    </row>
    <row r="15" spans="1:9" s="43" customFormat="1" outlineLevel="1">
      <c r="A15" s="50"/>
      <c r="B15" s="447"/>
      <c r="C15" s="47" t="s">
        <v>193</v>
      </c>
      <c r="D15" s="171">
        <f>'Diferencia en cambio'!I18</f>
        <v>7197.2642727906114</v>
      </c>
      <c r="E15" s="25">
        <f>D15/$D$6</f>
        <v>913.35841025261561</v>
      </c>
      <c r="F15" s="128"/>
      <c r="G15" s="52"/>
    </row>
    <row r="16" spans="1:9" s="43" customFormat="1" outlineLevel="1">
      <c r="B16" s="447"/>
      <c r="C16" s="47" t="s">
        <v>195</v>
      </c>
      <c r="D16" s="171">
        <f>'Diferencia en cambio'!$I$19</f>
        <v>13286.47572720939</v>
      </c>
      <c r="E16" s="25">
        <f>D16/$D$6</f>
        <v>1686.1009806103286</v>
      </c>
      <c r="F16" s="128"/>
      <c r="G16" s="52"/>
    </row>
    <row r="17" spans="2:19" s="43" customFormat="1" ht="15.75">
      <c r="B17" s="46"/>
      <c r="C17" s="55" t="s">
        <v>136</v>
      </c>
      <c r="D17" s="123">
        <f>SUBTOTAL(9,D9:D16)</f>
        <v>478906.23800000001</v>
      </c>
      <c r="E17" s="124">
        <f>SUBTOTAL(9,E9:E16)</f>
        <v>60774.903299492384</v>
      </c>
      <c r="F17" s="56"/>
      <c r="G17" s="56"/>
      <c r="J17" s="52"/>
      <c r="K17" s="57"/>
      <c r="O17" s="58"/>
      <c r="P17" s="59"/>
      <c r="Q17" s="53"/>
    </row>
    <row r="18" spans="2:19" s="43" customFormat="1" ht="15.75">
      <c r="B18" s="46"/>
      <c r="C18" s="60"/>
      <c r="D18" s="61"/>
      <c r="E18" s="61"/>
      <c r="G18" s="62"/>
      <c r="O18" s="59"/>
      <c r="P18" s="59"/>
    </row>
    <row r="19" spans="2:19" s="43" customFormat="1" ht="15.75">
      <c r="B19" s="46"/>
      <c r="N19" s="63"/>
      <c r="O19" s="64"/>
      <c r="P19" s="65"/>
    </row>
    <row r="20" spans="2:19" s="43" customFormat="1" ht="15.75">
      <c r="B20" s="432" t="s">
        <v>137</v>
      </c>
      <c r="C20" s="432"/>
      <c r="D20" s="432" t="s">
        <v>138</v>
      </c>
      <c r="E20" s="432"/>
      <c r="K20" s="65"/>
      <c r="L20" s="65"/>
      <c r="N20" s="63"/>
      <c r="R20" s="52"/>
      <c r="S20" s="52"/>
    </row>
    <row r="21" spans="2:19" s="43" customFormat="1" ht="16.5" thickBot="1">
      <c r="B21" s="67" t="s">
        <v>81</v>
      </c>
      <c r="C21" s="68" t="s">
        <v>106</v>
      </c>
      <c r="D21" s="110" t="s">
        <v>168</v>
      </c>
      <c r="E21" s="110" t="s">
        <v>169</v>
      </c>
      <c r="F21" s="69" t="s">
        <v>140</v>
      </c>
      <c r="G21" s="63" t="s">
        <v>141</v>
      </c>
      <c r="H21" s="63"/>
      <c r="I21" s="63"/>
      <c r="J21" s="70" t="s">
        <v>142</v>
      </c>
      <c r="N21" s="71"/>
      <c r="R21" s="52"/>
      <c r="S21" s="72"/>
    </row>
    <row r="22" spans="2:19" s="43" customFormat="1" ht="16.5" thickBot="1">
      <c r="B22" s="46"/>
      <c r="C22" s="73" t="s">
        <v>155</v>
      </c>
      <c r="D22" s="103">
        <f>SUBTOTAL(9,D23:D23)</f>
        <v>48442.26</v>
      </c>
      <c r="E22" s="112">
        <f>SUBTOTAL(9,E23:E23)</f>
        <v>3864.0126903553296</v>
      </c>
      <c r="F22" s="74"/>
      <c r="J22" s="76"/>
    </row>
    <row r="23" spans="2:19" s="43" customFormat="1" ht="15.75" outlineLevel="1" thickBot="1">
      <c r="B23" s="77">
        <v>176206200</v>
      </c>
      <c r="C23" s="78" t="s">
        <v>242</v>
      </c>
      <c r="D23" s="109">
        <v>48442.26</v>
      </c>
      <c r="E23" s="115">
        <f>30448.42/$D$6</f>
        <v>3864.0126903553296</v>
      </c>
      <c r="F23" s="80">
        <v>45426</v>
      </c>
      <c r="G23" s="43" t="s">
        <v>135</v>
      </c>
      <c r="H23" s="43">
        <f>IF(OR(G23="Sin pagar",G23="Pagar"),NETWORKDAYS($E$4,F23,'Festivos Guatemala'!$A$3:$A$15),0)</f>
        <v>0</v>
      </c>
      <c r="I23" s="43">
        <f>NETWORKDAYS($E$4,F23,'Festivos Guatemala'!$A$3:$A$15)</f>
        <v>10</v>
      </c>
      <c r="J23" s="75">
        <f>H23</f>
        <v>0</v>
      </c>
      <c r="K23" s="52"/>
      <c r="L23" s="52"/>
    </row>
    <row r="24" spans="2:19" s="43" customFormat="1" ht="16.5" thickBot="1">
      <c r="B24" s="46"/>
      <c r="C24" s="73" t="s">
        <v>144</v>
      </c>
      <c r="D24" s="103">
        <f>SUBTOTAL(9,D25:D27)</f>
        <v>17579.689999999999</v>
      </c>
      <c r="E24" s="112">
        <f>SUBTOTAL(9,E25:E27)</f>
        <v>2230.9251269035535</v>
      </c>
      <c r="J24" s="76">
        <f t="shared" ref="J24:J32" si="0">H24</f>
        <v>0</v>
      </c>
    </row>
    <row r="25" spans="2:19" s="43" customFormat="1" outlineLevel="1">
      <c r="B25" s="46">
        <v>42629341546</v>
      </c>
      <c r="C25" s="47" t="s">
        <v>236</v>
      </c>
      <c r="D25" s="109">
        <v>15808</v>
      </c>
      <c r="E25" s="115">
        <f>D25/$D$6</f>
        <v>2006.0913705583757</v>
      </c>
      <c r="F25" s="80">
        <v>45426</v>
      </c>
      <c r="G25" s="43" t="s">
        <v>135</v>
      </c>
      <c r="H25" s="43">
        <f>IF(OR(G25="Sin pagar",G25="Pagar"),NETWORKDAYS($E$4,F25,'Festivos Guatemala'!$A$3:$A$15),0)</f>
        <v>0</v>
      </c>
      <c r="I25" s="43">
        <f>NETWORKDAYS($E$4,F25,'Festivos Guatemala'!$A$3:$A$15)</f>
        <v>10</v>
      </c>
      <c r="J25" s="75">
        <f>H25</f>
        <v>0</v>
      </c>
      <c r="K25" s="48"/>
      <c r="L25" s="57"/>
    </row>
    <row r="26" spans="2:19" s="43" customFormat="1" outlineLevel="1">
      <c r="B26" s="168">
        <v>426295952621</v>
      </c>
      <c r="C26" s="47" t="s">
        <v>236</v>
      </c>
      <c r="D26" s="109">
        <v>1771.69</v>
      </c>
      <c r="E26" s="115">
        <f>D26/$D$6</f>
        <v>224.83375634517768</v>
      </c>
      <c r="F26" s="80">
        <v>45426</v>
      </c>
      <c r="G26" s="43" t="s">
        <v>135</v>
      </c>
      <c r="H26" s="43">
        <f>IF(OR(G26="Sin pagar",G26="Pagar"),NETWORKDAYS($E$4,F26,'Festivos Guatemala'!$A$3:$A$15),0)</f>
        <v>0</v>
      </c>
      <c r="I26" s="43">
        <f>NETWORKDAYS($E$4,F26,'Festivos Guatemala'!$A$3:$A$15)</f>
        <v>10</v>
      </c>
      <c r="J26" s="75">
        <f>H26</f>
        <v>0</v>
      </c>
      <c r="K26" s="48"/>
      <c r="L26" s="57"/>
    </row>
    <row r="27" spans="2:19" s="43" customFormat="1" ht="15.75" outlineLevel="1" thickBot="1">
      <c r="B27" s="168">
        <v>42780261927</v>
      </c>
      <c r="C27" s="47" t="s">
        <v>271</v>
      </c>
      <c r="D27" s="109">
        <v>0</v>
      </c>
      <c r="E27" s="115">
        <f>D27/$D$6</f>
        <v>0</v>
      </c>
      <c r="F27" s="80">
        <v>45443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23</v>
      </c>
      <c r="J27" s="75">
        <f>H27</f>
        <v>0</v>
      </c>
      <c r="K27" s="48"/>
      <c r="L27" s="57"/>
    </row>
    <row r="28" spans="2:19" s="43" customFormat="1" ht="16.5" thickBot="1">
      <c r="B28" s="46"/>
      <c r="C28" s="73" t="s">
        <v>163</v>
      </c>
      <c r="D28" s="103">
        <f>SUBTOTAL(9,D29:D34)</f>
        <v>5640</v>
      </c>
      <c r="E28" s="112">
        <f>SUBTOTAL(9,E29:E34)</f>
        <v>715.73604060913704</v>
      </c>
      <c r="J28" s="76">
        <f t="shared" si="0"/>
        <v>0</v>
      </c>
      <c r="K28" s="52"/>
      <c r="L28" s="52"/>
    </row>
    <row r="29" spans="2:19" s="43" customFormat="1" outlineLevel="1">
      <c r="B29" s="46"/>
      <c r="C29" s="47" t="s">
        <v>237</v>
      </c>
      <c r="D29" s="104">
        <v>840</v>
      </c>
      <c r="E29" s="113">
        <f t="shared" ref="E29:E33" si="1">D29/$D$6</f>
        <v>106.59898477157361</v>
      </c>
      <c r="F29" s="74">
        <v>45420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6</v>
      </c>
      <c r="J29" s="75">
        <f t="shared" si="0"/>
        <v>0</v>
      </c>
      <c r="N29" s="49"/>
    </row>
    <row r="30" spans="2:19" s="43" customFormat="1" ht="15" customHeight="1" outlineLevel="1">
      <c r="B30" s="46" t="s">
        <v>243</v>
      </c>
      <c r="C30" s="47" t="s">
        <v>159</v>
      </c>
      <c r="D30" s="104">
        <f>1200</f>
        <v>1200</v>
      </c>
      <c r="E30" s="113">
        <f t="shared" si="1"/>
        <v>152.28426395939087</v>
      </c>
      <c r="F30" s="74">
        <v>45428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12</v>
      </c>
      <c r="J30" s="75">
        <f t="shared" si="0"/>
        <v>0</v>
      </c>
      <c r="N30" s="49"/>
    </row>
    <row r="31" spans="2:19" s="43" customFormat="1" outlineLevel="1">
      <c r="B31" s="46">
        <v>780</v>
      </c>
      <c r="C31" s="47" t="s">
        <v>160</v>
      </c>
      <c r="D31" s="104">
        <f>1200</f>
        <v>1200</v>
      </c>
      <c r="E31" s="113">
        <f t="shared" si="1"/>
        <v>152.28426395939087</v>
      </c>
      <c r="F31" s="74">
        <v>45428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12</v>
      </c>
      <c r="J31" s="75">
        <f t="shared" si="0"/>
        <v>0</v>
      </c>
      <c r="N31" s="49"/>
    </row>
    <row r="32" spans="2:19" s="43" customFormat="1" outlineLevel="1">
      <c r="B32" s="46">
        <v>830</v>
      </c>
      <c r="C32" s="47" t="s">
        <v>161</v>
      </c>
      <c r="D32" s="104">
        <f>1200</f>
        <v>1200</v>
      </c>
      <c r="E32" s="113">
        <f t="shared" si="1"/>
        <v>152.28426395939087</v>
      </c>
      <c r="F32" s="74">
        <v>45428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12</v>
      </c>
      <c r="J32" s="75">
        <f t="shared" si="0"/>
        <v>0</v>
      </c>
      <c r="N32" s="49"/>
    </row>
    <row r="33" spans="2:16" s="43" customFormat="1" outlineLevel="1">
      <c r="B33" s="46">
        <v>921</v>
      </c>
      <c r="C33" s="47" t="s">
        <v>238</v>
      </c>
      <c r="D33" s="104">
        <f>1200</f>
        <v>1200</v>
      </c>
      <c r="E33" s="113">
        <f t="shared" si="1"/>
        <v>152.28426395939087</v>
      </c>
      <c r="F33" s="74">
        <v>45467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39</v>
      </c>
      <c r="J33" s="75">
        <f t="shared" ref="J33" si="2">H33</f>
        <v>0</v>
      </c>
      <c r="N33" s="49"/>
    </row>
    <row r="34" spans="2:16" s="43" customFormat="1" ht="15.75" outlineLevel="1" thickBot="1">
      <c r="B34" s="46">
        <v>922</v>
      </c>
      <c r="C34" s="47" t="s">
        <v>244</v>
      </c>
      <c r="D34" s="104">
        <f>1200*0</f>
        <v>0</v>
      </c>
      <c r="E34" s="113">
        <f t="shared" ref="E34" si="3">D34/$D$6</f>
        <v>0</v>
      </c>
      <c r="F34" s="74">
        <v>45473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43</v>
      </c>
      <c r="J34" s="75">
        <f t="shared" ref="J34" si="4">H34</f>
        <v>0</v>
      </c>
      <c r="N34" s="49"/>
    </row>
    <row r="35" spans="2:16" s="43" customFormat="1" ht="16.5" thickBot="1">
      <c r="C35" s="73" t="s">
        <v>146</v>
      </c>
      <c r="D35" s="103">
        <f>SUBTOTAL(9,D36:D41)</f>
        <v>7717.0455999999995</v>
      </c>
      <c r="E35" s="112">
        <f>SUBTOTAL(9,E36:E41)</f>
        <v>979.32050761421317</v>
      </c>
      <c r="K35" s="49"/>
      <c r="L35" s="49"/>
      <c r="O35" s="49"/>
      <c r="P35" s="49"/>
    </row>
    <row r="36" spans="2:16" s="43" customFormat="1" ht="14.25" customHeight="1" outlineLevel="1">
      <c r="B36" s="448" t="s">
        <v>239</v>
      </c>
      <c r="C36" s="47" t="s">
        <v>272</v>
      </c>
      <c r="D36" s="104">
        <f>E36*$D$6</f>
        <v>2044.6236000000001</v>
      </c>
      <c r="E36" s="113">
        <v>259.47000000000003</v>
      </c>
      <c r="F36" s="74">
        <v>45440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20</v>
      </c>
      <c r="J36" s="75">
        <f t="shared" ref="J36:J41" si="5">H36</f>
        <v>0</v>
      </c>
      <c r="K36" s="49"/>
      <c r="L36" s="49"/>
      <c r="O36" s="49"/>
      <c r="P36" s="49"/>
    </row>
    <row r="37" spans="2:16" s="43" customFormat="1" outlineLevel="1">
      <c r="B37" s="448"/>
      <c r="C37" s="47" t="s">
        <v>273</v>
      </c>
      <c r="D37" s="104">
        <f>E37*$D$6</f>
        <v>433.95159999999998</v>
      </c>
      <c r="E37" s="113">
        <v>55.07</v>
      </c>
      <c r="F37" s="74">
        <v>45440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20</v>
      </c>
      <c r="J37" s="75">
        <f t="shared" si="5"/>
        <v>0</v>
      </c>
    </row>
    <row r="38" spans="2:16" s="43" customFormat="1" outlineLevel="1">
      <c r="B38" s="448"/>
      <c r="C38" s="47" t="s">
        <v>274</v>
      </c>
      <c r="D38" s="104">
        <f>E38*$D$6</f>
        <v>1618.0004000000001</v>
      </c>
      <c r="E38" s="113">
        <v>205.33</v>
      </c>
      <c r="F38" s="74">
        <v>45440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20</v>
      </c>
      <c r="J38" s="75">
        <f t="shared" si="5"/>
        <v>0</v>
      </c>
    </row>
    <row r="39" spans="2:16" s="43" customFormat="1" ht="14.25" customHeight="1" outlineLevel="1">
      <c r="B39" s="448"/>
      <c r="C39" s="47" t="s">
        <v>277</v>
      </c>
      <c r="D39" s="104">
        <v>888.15</v>
      </c>
      <c r="E39" s="113">
        <f>D39/$D$6</f>
        <v>112.70939086294416</v>
      </c>
      <c r="F39" s="74">
        <v>45440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20</v>
      </c>
      <c r="J39" s="75">
        <f t="shared" si="5"/>
        <v>0</v>
      </c>
      <c r="K39" s="49"/>
      <c r="L39" s="49"/>
      <c r="O39" s="49"/>
      <c r="P39" s="49"/>
    </row>
    <row r="40" spans="2:16" s="43" customFormat="1" outlineLevel="1">
      <c r="B40" s="448"/>
      <c r="C40" s="47" t="s">
        <v>276</v>
      </c>
      <c r="D40" s="104">
        <v>903.72</v>
      </c>
      <c r="E40" s="113">
        <f>D40/$D$6</f>
        <v>114.68527918781726</v>
      </c>
      <c r="F40" s="74">
        <v>45440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20</v>
      </c>
      <c r="J40" s="75">
        <f t="shared" si="5"/>
        <v>0</v>
      </c>
    </row>
    <row r="41" spans="2:16" s="43" customFormat="1" ht="15.75" outlineLevel="1" thickBot="1">
      <c r="B41" s="448"/>
      <c r="C41" s="47" t="s">
        <v>275</v>
      </c>
      <c r="D41" s="104">
        <v>1828.6</v>
      </c>
      <c r="E41" s="113">
        <f>D41/$D$6</f>
        <v>232.05583756345177</v>
      </c>
      <c r="F41" s="74">
        <v>45441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21</v>
      </c>
      <c r="J41" s="75">
        <f t="shared" si="5"/>
        <v>0</v>
      </c>
    </row>
    <row r="42" spans="2:16" s="43" customFormat="1" ht="16.5" thickBot="1">
      <c r="B42" s="82"/>
      <c r="C42" s="85" t="s">
        <v>162</v>
      </c>
      <c r="D42" s="119">
        <f>SUBTOTAL(9,D43:D48)</f>
        <v>0</v>
      </c>
      <c r="E42" s="114">
        <f>SUBTOTAL(9,E43:E48)</f>
        <v>0</v>
      </c>
      <c r="K42" s="52"/>
    </row>
    <row r="43" spans="2:16" s="43" customFormat="1" outlineLevel="1">
      <c r="B43" s="81">
        <v>4640</v>
      </c>
      <c r="C43" s="47" t="s">
        <v>156</v>
      </c>
      <c r="D43" s="104">
        <f t="shared" ref="D43:D48" si="6">E43*$D$6</f>
        <v>0</v>
      </c>
      <c r="E43" s="113">
        <f>917.15*0</f>
        <v>0</v>
      </c>
      <c r="F43" s="74">
        <v>45443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23</v>
      </c>
      <c r="J43" s="75">
        <f t="shared" ref="J43:J48" si="7">H43</f>
        <v>0</v>
      </c>
      <c r="N43" s="49"/>
    </row>
    <row r="44" spans="2:16" s="43" customFormat="1" outlineLevel="1">
      <c r="B44" s="81">
        <v>4641</v>
      </c>
      <c r="C44" s="47" t="s">
        <v>157</v>
      </c>
      <c r="D44" s="104">
        <f t="shared" si="6"/>
        <v>0</v>
      </c>
      <c r="E44" s="113">
        <f>832.5*0</f>
        <v>0</v>
      </c>
      <c r="F44" s="74">
        <v>45443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23</v>
      </c>
      <c r="J44" s="75">
        <f t="shared" si="7"/>
        <v>0</v>
      </c>
      <c r="N44" s="49"/>
    </row>
    <row r="45" spans="2:16" s="43" customFormat="1" outlineLevel="1">
      <c r="B45" s="81">
        <v>4700</v>
      </c>
      <c r="C45" s="47" t="s">
        <v>158</v>
      </c>
      <c r="D45" s="104">
        <f t="shared" si="6"/>
        <v>0</v>
      </c>
      <c r="E45" s="113">
        <f>1009.3*0</f>
        <v>0</v>
      </c>
      <c r="F45" s="74">
        <v>45443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23</v>
      </c>
      <c r="J45" s="75">
        <f t="shared" si="7"/>
        <v>0</v>
      </c>
      <c r="N45" s="49"/>
    </row>
    <row r="46" spans="2:16" s="43" customFormat="1" outlineLevel="1">
      <c r="B46" s="81">
        <v>4707</v>
      </c>
      <c r="C46" s="47" t="s">
        <v>158</v>
      </c>
      <c r="D46" s="104">
        <f t="shared" si="6"/>
        <v>0</v>
      </c>
      <c r="E46" s="113">
        <f>1000*0</f>
        <v>0</v>
      </c>
      <c r="F46" s="74">
        <v>45443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23</v>
      </c>
      <c r="J46" s="75">
        <f t="shared" si="7"/>
        <v>0</v>
      </c>
      <c r="N46" s="49"/>
    </row>
    <row r="47" spans="2:16" s="43" customFormat="1" outlineLevel="1">
      <c r="B47" s="81">
        <v>4776</v>
      </c>
      <c r="C47" s="47" t="s">
        <v>215</v>
      </c>
      <c r="D47" s="104">
        <f t="shared" si="6"/>
        <v>0</v>
      </c>
      <c r="E47" s="113">
        <f>1521.5*0</f>
        <v>0</v>
      </c>
      <c r="F47" s="74">
        <v>45473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43</v>
      </c>
      <c r="J47" s="75">
        <f t="shared" si="7"/>
        <v>0</v>
      </c>
      <c r="N47" s="49"/>
    </row>
    <row r="48" spans="2:16" s="43" customFormat="1" ht="15.75" outlineLevel="1" thickBot="1">
      <c r="B48" s="81">
        <v>4838</v>
      </c>
      <c r="C48" s="47" t="s">
        <v>255</v>
      </c>
      <c r="D48" s="104">
        <f t="shared" si="6"/>
        <v>0</v>
      </c>
      <c r="E48" s="113">
        <f>1153.36*0</f>
        <v>0</v>
      </c>
      <c r="F48" s="74">
        <v>45473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43</v>
      </c>
      <c r="J48" s="75">
        <f t="shared" si="7"/>
        <v>0</v>
      </c>
      <c r="N48" s="49"/>
    </row>
    <row r="49" spans="2:12" s="43" customFormat="1" ht="16.5" thickBot="1">
      <c r="B49" s="46"/>
      <c r="C49" s="73" t="s">
        <v>147</v>
      </c>
      <c r="D49" s="103">
        <f>SUBTOTAL(9,D50:D51)</f>
        <v>0</v>
      </c>
      <c r="E49" s="112">
        <f>SUBTOTAL(9,E50:E51)</f>
        <v>0</v>
      </c>
    </row>
    <row r="50" spans="2:12" s="43" customFormat="1" outlineLevel="1">
      <c r="B50" s="46"/>
      <c r="C50" s="47" t="s">
        <v>167</v>
      </c>
      <c r="D50" s="104">
        <f>(((4000000/3901.51)*$D$6))*0</f>
        <v>0</v>
      </c>
      <c r="E50" s="113">
        <f>D50/D6</f>
        <v>0</v>
      </c>
      <c r="F50" s="74">
        <v>45473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43</v>
      </c>
      <c r="J50" s="75">
        <f>H50</f>
        <v>0</v>
      </c>
    </row>
    <row r="51" spans="2:12" s="43" customFormat="1" ht="15.75" outlineLevel="1" thickBot="1">
      <c r="B51" s="46"/>
      <c r="C51" s="47" t="s">
        <v>182</v>
      </c>
      <c r="D51" s="104">
        <f>(((4000000/3901.51)*$D$6))*0</f>
        <v>0</v>
      </c>
      <c r="E51" s="113">
        <f>D51/D6</f>
        <v>0</v>
      </c>
      <c r="F51" s="74">
        <v>45473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43</v>
      </c>
      <c r="J51" s="75">
        <f>H51</f>
        <v>0</v>
      </c>
    </row>
    <row r="52" spans="2:12" s="43" customFormat="1" ht="15.75" customHeight="1" thickBot="1">
      <c r="C52" s="73" t="s">
        <v>148</v>
      </c>
      <c r="D52" s="103">
        <f>SUBTOTAL(9,D53:D53)</f>
        <v>0</v>
      </c>
      <c r="E52" s="112">
        <f>SUBTOTAL(9,E53:E53)</f>
        <v>0</v>
      </c>
    </row>
    <row r="53" spans="2:12" s="43" customFormat="1" ht="15.75" outlineLevel="1" thickBot="1">
      <c r="B53" s="46"/>
      <c r="C53" s="47" t="s">
        <v>117</v>
      </c>
      <c r="D53" s="109">
        <f>(15*2*4)*0</f>
        <v>0</v>
      </c>
      <c r="E53" s="115">
        <f>D53/$D$6</f>
        <v>0</v>
      </c>
      <c r="F53" s="74">
        <v>45442</v>
      </c>
      <c r="G53" s="43" t="s">
        <v>143</v>
      </c>
      <c r="H53" s="43">
        <f>IF(OR(G53="Sin pagar",G53="Pagar"),NETWORKDAYS($E$4,F53,'Festivos Guatemala'!$A$3:$A$15),0)</f>
        <v>22</v>
      </c>
      <c r="I53" s="43">
        <f>NETWORKDAYS($E$4,F53,'Festivos Guatemala'!$A$3:$A$15)</f>
        <v>22</v>
      </c>
      <c r="J53" s="75">
        <f>H53</f>
        <v>22</v>
      </c>
    </row>
    <row r="54" spans="2:12" s="43" customFormat="1" ht="16.5" thickBot="1">
      <c r="C54" s="73" t="s">
        <v>164</v>
      </c>
      <c r="D54" s="103">
        <f>SUBTOTAL(9,D55:D60)</f>
        <v>208042.44999999998</v>
      </c>
      <c r="E54" s="112">
        <f>SUBTOTAL(9,E55:E60)</f>
        <v>26401.32614213198</v>
      </c>
      <c r="K54" s="52"/>
      <c r="L54" s="86"/>
    </row>
    <row r="55" spans="2:12" s="43" customFormat="1" outlineLevel="1">
      <c r="B55" s="83"/>
      <c r="C55" s="47" t="s">
        <v>176</v>
      </c>
      <c r="D55" s="109">
        <v>28242.02</v>
      </c>
      <c r="E55" s="115">
        <f t="shared" ref="E55:E60" si="8">D55/$D$6</f>
        <v>3584.0126903553301</v>
      </c>
      <c r="F55" s="74">
        <v>45440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20</v>
      </c>
      <c r="J55" s="75">
        <f t="shared" ref="J55:J60" si="9">H55</f>
        <v>0</v>
      </c>
      <c r="L55" s="52"/>
    </row>
    <row r="56" spans="2:12" s="43" customFormat="1" outlineLevel="1">
      <c r="B56" s="46"/>
      <c r="C56" s="47" t="s">
        <v>177</v>
      </c>
      <c r="D56" s="109">
        <v>24970.21</v>
      </c>
      <c r="E56" s="115">
        <f t="shared" si="8"/>
        <v>3168.8083756345177</v>
      </c>
      <c r="F56" s="74">
        <v>45440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20</v>
      </c>
      <c r="J56" s="75">
        <f t="shared" si="9"/>
        <v>0</v>
      </c>
      <c r="K56" s="48"/>
      <c r="L56" s="48"/>
    </row>
    <row r="57" spans="2:12" s="43" customFormat="1" outlineLevel="1">
      <c r="B57" s="46"/>
      <c r="C57" s="47" t="s">
        <v>178</v>
      </c>
      <c r="D57" s="109">
        <v>54108.45</v>
      </c>
      <c r="E57" s="115">
        <f t="shared" si="8"/>
        <v>6866.5545685279185</v>
      </c>
      <c r="F57" s="74">
        <v>45440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20</v>
      </c>
      <c r="J57" s="75">
        <f t="shared" si="9"/>
        <v>0</v>
      </c>
      <c r="L57" s="52"/>
    </row>
    <row r="58" spans="2:12" s="43" customFormat="1" outlineLevel="1">
      <c r="B58" s="46"/>
      <c r="C58" s="47" t="s">
        <v>179</v>
      </c>
      <c r="D58" s="109">
        <v>84606.11</v>
      </c>
      <c r="E58" s="115">
        <f t="shared" si="8"/>
        <v>10736.815989847715</v>
      </c>
      <c r="F58" s="74">
        <v>45440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20</v>
      </c>
      <c r="J58" s="75">
        <f t="shared" si="9"/>
        <v>0</v>
      </c>
      <c r="K58" s="52"/>
      <c r="L58" s="57"/>
    </row>
    <row r="59" spans="2:12" s="43" customFormat="1" outlineLevel="1">
      <c r="B59" s="46"/>
      <c r="C59" s="47" t="s">
        <v>165</v>
      </c>
      <c r="D59" s="109">
        <v>10382.76</v>
      </c>
      <c r="E59" s="115">
        <f t="shared" si="8"/>
        <v>1317.6091370558377</v>
      </c>
      <c r="F59" s="74">
        <v>45440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20</v>
      </c>
      <c r="J59" s="75">
        <f t="shared" si="9"/>
        <v>0</v>
      </c>
      <c r="L59" s="52"/>
    </row>
    <row r="60" spans="2:12" s="43" customFormat="1" ht="15.75" outlineLevel="1" thickBot="1">
      <c r="B60" s="83"/>
      <c r="C60" s="47" t="s">
        <v>166</v>
      </c>
      <c r="D60" s="109">
        <v>5732.9</v>
      </c>
      <c r="E60" s="115">
        <f t="shared" si="8"/>
        <v>727.52538071065987</v>
      </c>
      <c r="F60" s="74">
        <v>45440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20</v>
      </c>
      <c r="J60" s="75">
        <f t="shared" si="9"/>
        <v>0</v>
      </c>
      <c r="L60" s="52"/>
    </row>
    <row r="61" spans="2:12" s="43" customFormat="1" ht="16.5" thickBot="1">
      <c r="B61" s="46"/>
      <c r="C61" s="73" t="s">
        <v>173</v>
      </c>
      <c r="D61" s="103">
        <f>SUBTOTAL(9,D62:D66)</f>
        <v>14301.086345177664</v>
      </c>
      <c r="E61" s="112">
        <f>SUBTOTAL(9,E62:E66)</f>
        <v>3225.9714213197967</v>
      </c>
    </row>
    <row r="62" spans="2:12" s="43" customFormat="1" outlineLevel="1">
      <c r="B62" s="46"/>
      <c r="C62" s="47" t="s">
        <v>278</v>
      </c>
      <c r="D62" s="109">
        <f>E62/$D$6</f>
        <v>182.00634517766497</v>
      </c>
      <c r="E62" s="115">
        <f>1434.21</f>
        <v>1434.21</v>
      </c>
      <c r="F62" s="74">
        <v>45441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21</v>
      </c>
      <c r="J62" s="75">
        <f>H62</f>
        <v>0</v>
      </c>
      <c r="K62" s="52"/>
      <c r="L62" s="54"/>
    </row>
    <row r="63" spans="2:12" s="43" customFormat="1" ht="14.25" customHeight="1" outlineLevel="1">
      <c r="B63" s="46"/>
      <c r="C63" s="47" t="s">
        <v>279</v>
      </c>
      <c r="D63" s="109">
        <f>E63/$D$6</f>
        <v>0</v>
      </c>
      <c r="E63" s="115">
        <f>1088.35*0</f>
        <v>0</v>
      </c>
      <c r="F63" s="74">
        <v>45448</v>
      </c>
      <c r="G63" s="43" t="s">
        <v>143</v>
      </c>
      <c r="H63" s="43">
        <f>IF(OR(G63="Sin pagar",G63="Pagar"),NETWORKDAYS($E$4,F63,'Festivos Guatemala'!$A$3:$A$15),0)</f>
        <v>26</v>
      </c>
      <c r="I63" s="43">
        <f>NETWORKDAYS($E$4,F63,'Festivos Guatemala'!$A$3:$A$15)</f>
        <v>26</v>
      </c>
      <c r="J63" s="75">
        <f>H63</f>
        <v>26</v>
      </c>
      <c r="K63" s="52"/>
      <c r="L63" s="54"/>
    </row>
    <row r="64" spans="2:12" s="43" customFormat="1" outlineLevel="1">
      <c r="B64" s="46"/>
      <c r="C64" s="47" t="s">
        <v>280</v>
      </c>
      <c r="D64" s="109">
        <v>2376.61</v>
      </c>
      <c r="E64" s="115">
        <f>D64/$D$6</f>
        <v>301.60025380710664</v>
      </c>
      <c r="F64" s="74">
        <v>45441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21</v>
      </c>
      <c r="J64" s="75">
        <f>H64</f>
        <v>0</v>
      </c>
      <c r="K64" s="52"/>
      <c r="L64" s="54"/>
    </row>
    <row r="65" spans="1:16" s="43" customFormat="1" ht="14.25" customHeight="1" outlineLevel="1">
      <c r="B65" s="46"/>
      <c r="C65" s="47" t="s">
        <v>281</v>
      </c>
      <c r="D65" s="109">
        <v>3960.32</v>
      </c>
      <c r="E65" s="115">
        <f>D65/$D$6</f>
        <v>502.57868020304574</v>
      </c>
      <c r="F65" s="74">
        <v>45441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21</v>
      </c>
      <c r="J65" s="75">
        <f>H65</f>
        <v>0</v>
      </c>
      <c r="K65" s="52"/>
      <c r="L65" s="54"/>
    </row>
    <row r="66" spans="1:16" s="43" customFormat="1" ht="15.75" outlineLevel="1" thickBot="1">
      <c r="B66" s="46"/>
      <c r="C66" s="47" t="s">
        <v>282</v>
      </c>
      <c r="D66" s="109">
        <v>7782.15</v>
      </c>
      <c r="E66" s="115">
        <f t="shared" ref="E66" si="10">D66/$D$6</f>
        <v>987.58248730964465</v>
      </c>
      <c r="F66" s="74">
        <v>45441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21</v>
      </c>
      <c r="J66" s="75">
        <f>H66</f>
        <v>0</v>
      </c>
      <c r="K66" s="52"/>
      <c r="L66" s="54"/>
    </row>
    <row r="67" spans="1:16" s="43" customFormat="1" ht="16.5" thickBot="1">
      <c r="B67" s="46"/>
      <c r="C67" s="73" t="s">
        <v>174</v>
      </c>
      <c r="D67" s="103">
        <f>SUBTOTAL(9,D68:D68)</f>
        <v>0</v>
      </c>
      <c r="E67" s="112">
        <f>SUBTOTAL(9,E68:E68)</f>
        <v>0</v>
      </c>
    </row>
    <row r="68" spans="1:16" s="43" customFormat="1" ht="15.75" outlineLevel="1" thickBot="1">
      <c r="B68" s="46"/>
      <c r="C68" s="47" t="s">
        <v>175</v>
      </c>
      <c r="D68" s="109">
        <f>499*3*0</f>
        <v>0</v>
      </c>
      <c r="E68" s="115">
        <f>D68/$D$6</f>
        <v>0</v>
      </c>
      <c r="F68" s="74">
        <v>45473</v>
      </c>
      <c r="G68" s="43" t="s">
        <v>143</v>
      </c>
      <c r="H68" s="43">
        <f>IF(OR(G68="Sin pagar",G68="Pagar"),NETWORKDAYS($E$4,F68,'Festivos Guatemala'!$A$3:$A$15),0)</f>
        <v>43</v>
      </c>
      <c r="I68" s="43">
        <f>NETWORKDAYS($E$4,F68,'Festivos Guatemala'!$A$3:$A$15)</f>
        <v>43</v>
      </c>
      <c r="J68" s="75">
        <f>H68</f>
        <v>43</v>
      </c>
      <c r="K68" s="52"/>
      <c r="L68" s="54"/>
    </row>
    <row r="69" spans="1:16" s="43" customFormat="1" ht="16.5" thickBot="1">
      <c r="B69" s="87"/>
      <c r="C69" s="73" t="s">
        <v>149</v>
      </c>
      <c r="D69" s="103">
        <f>SUBTOTAL(9,D70:D71)</f>
        <v>0</v>
      </c>
      <c r="E69" s="112">
        <f>SUBTOTAL(9,E70:E71)</f>
        <v>0</v>
      </c>
      <c r="L69" s="52"/>
    </row>
    <row r="70" spans="1:16" s="43" customFormat="1" outlineLevel="1">
      <c r="B70" s="84"/>
      <c r="C70" s="47" t="s">
        <v>270</v>
      </c>
      <c r="D70" s="109">
        <v>0</v>
      </c>
      <c r="E70" s="115">
        <f>D70/$D$6</f>
        <v>0</v>
      </c>
      <c r="F70" s="74">
        <v>45443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23</v>
      </c>
      <c r="J70" s="75">
        <f>H70</f>
        <v>0</v>
      </c>
      <c r="L70" s="52"/>
    </row>
    <row r="71" spans="1:16" s="43" customFormat="1" ht="15.75" outlineLevel="1" thickBot="1">
      <c r="B71" s="84"/>
      <c r="C71" s="47" t="s">
        <v>223</v>
      </c>
      <c r="D71" s="109">
        <v>0</v>
      </c>
      <c r="E71" s="115">
        <f>D71/$D$6</f>
        <v>0</v>
      </c>
      <c r="F71" s="74">
        <v>45443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23</v>
      </c>
      <c r="J71" s="75">
        <f>H71</f>
        <v>0</v>
      </c>
      <c r="L71" s="52"/>
    </row>
    <row r="72" spans="1:16" s="43" customFormat="1" ht="14.25" customHeight="1">
      <c r="B72" s="46"/>
      <c r="C72" s="88" t="s">
        <v>150</v>
      </c>
      <c r="D72" s="120">
        <f>SUBTOTAL(9,D22:D71)</f>
        <v>301722.5319451777</v>
      </c>
      <c r="E72" s="116">
        <f>SUBTOTAL(9,E22:E71)</f>
        <v>37417.291928933999</v>
      </c>
      <c r="K72" s="39"/>
      <c r="L72" s="39"/>
      <c r="N72" s="39"/>
      <c r="O72" s="39"/>
      <c r="P72" s="39"/>
    </row>
    <row r="73" spans="1:16" ht="15.75">
      <c r="A73" s="43"/>
      <c r="E73" s="117"/>
      <c r="F73" s="89"/>
      <c r="G73" s="89"/>
      <c r="H73" s="89"/>
      <c r="I73" s="89"/>
      <c r="J73" s="89"/>
    </row>
    <row r="74" spans="1:16" ht="15.75">
      <c r="A74" s="43"/>
      <c r="C74" s="90" t="s">
        <v>151</v>
      </c>
      <c r="D74" s="121">
        <f>D17-D72</f>
        <v>177183.70605482231</v>
      </c>
      <c r="E74" s="118">
        <f>E17-E72</f>
        <v>23357.611370558385</v>
      </c>
      <c r="F74" s="91"/>
      <c r="G74" s="92"/>
      <c r="J74" s="92"/>
    </row>
    <row r="75" spans="1:16" s="93" customFormat="1" ht="15.75">
      <c r="A75" s="43"/>
      <c r="B75" s="94"/>
      <c r="C75" s="90" t="s">
        <v>152</v>
      </c>
      <c r="D75" s="95">
        <f>IF($D$17=0,0,D74/$D$17)</f>
        <v>0.36997577395269238</v>
      </c>
      <c r="E75" s="95">
        <f>IF($E$17=0,0,E74/$E$17)</f>
        <v>0.38432988129087614</v>
      </c>
      <c r="F75" s="96"/>
      <c r="G75" s="92"/>
      <c r="J75" s="97"/>
      <c r="K75" s="39"/>
      <c r="L75" s="39"/>
      <c r="N75" s="39"/>
      <c r="O75" s="39"/>
      <c r="P75" s="39"/>
    </row>
    <row r="76" spans="1:16">
      <c r="A76" s="43"/>
      <c r="F76" s="96"/>
      <c r="G76" s="92"/>
    </row>
    <row r="78" spans="1:16" ht="15.75" thickBot="1"/>
    <row r="79" spans="1:16" ht="15.75" thickBot="1">
      <c r="C79" s="135" t="s">
        <v>184</v>
      </c>
      <c r="D79" s="136" t="s">
        <v>185</v>
      </c>
      <c r="E79" s="137" t="s">
        <v>191</v>
      </c>
      <c r="F79" s="137" t="s">
        <v>186</v>
      </c>
    </row>
    <row r="80" spans="1:16">
      <c r="C80" s="138">
        <v>45413</v>
      </c>
      <c r="D80" s="139">
        <v>45417</v>
      </c>
      <c r="E80" s="149">
        <f>SUMIFS($D$21:$D$72,$F$21:$F$72,"&gt;="&amp;C80,$F$21:$F$72,"&lt;="&amp;D80,$G$21:$G$72,$D$91)</f>
        <v>0</v>
      </c>
      <c r="F80" s="154">
        <f>SUMIFS($E$21:$E$72,$F$21:$F$72,"&gt;="&amp;C80,$F$21:$F$72,"&lt;="&amp;D80,$G$21:$G$72,$D$91)</f>
        <v>0</v>
      </c>
    </row>
    <row r="81" spans="3:10">
      <c r="C81" s="140">
        <v>45418</v>
      </c>
      <c r="D81" s="141">
        <v>45425</v>
      </c>
      <c r="E81" s="150">
        <f>SUMIFS($D$21:$D$72,$F$21:$F$72,"&gt;="&amp;C81,$F$21:$F$72,"&lt;="&amp;D81,$G$21:$G$72,$D$91)</f>
        <v>0</v>
      </c>
      <c r="F81" s="155">
        <f>SUMIFS($E$21:$E$72,$F$21:$F$72,"&gt;="&amp;C81,$F$21:$F$72,"&lt;="&amp;D81,$G$21:$G$72,$D$91)</f>
        <v>0</v>
      </c>
    </row>
    <row r="82" spans="3:10">
      <c r="C82" s="140">
        <v>45426</v>
      </c>
      <c r="D82" s="141">
        <v>45431</v>
      </c>
      <c r="E82" s="150">
        <f>SUMIFS($D$21:$D$72,$F$21:$F$72,"&gt;="&amp;C82,$F$21:$F$72,"&lt;="&amp;D82,$G$21:$G$72,$D$91)</f>
        <v>0</v>
      </c>
      <c r="F82" s="155">
        <f>SUMIFS($E$21:$E$72,$F$21:$F$72,"&gt;="&amp;C82,$F$21:$F$72,"&lt;="&amp;D82,$G$21:$G$72,$D$91)</f>
        <v>0</v>
      </c>
      <c r="J82" s="445"/>
    </row>
    <row r="83" spans="3:10">
      <c r="C83" s="140">
        <v>45432</v>
      </c>
      <c r="D83" s="141">
        <v>45438</v>
      </c>
      <c r="E83" s="150">
        <f>SUMIFS($D$21:$D$72,$F$21:$F$72,"&gt;="&amp;C83,$F$21:$F$72,"&lt;="&amp;D83,$G$21:$G$72,$D$91)</f>
        <v>0</v>
      </c>
      <c r="F83" s="155">
        <f>SUMIFS($E$21:$E$72,$F$21:$F$72,"&gt;="&amp;C83,$F$21:$F$72,"&lt;="&amp;D83,$G$21:$G$72,$D$91)</f>
        <v>0</v>
      </c>
      <c r="J83" s="445"/>
    </row>
    <row r="84" spans="3:10">
      <c r="C84" s="140">
        <v>45439</v>
      </c>
      <c r="D84" s="141">
        <v>45443</v>
      </c>
      <c r="E84" s="150">
        <f>SUMIFS($D$21:$D$72,$F$21:$F$72,"&gt;="&amp;C84,$F$21:$F$72,"&lt;="&amp;D84,$G$21:$G$72,$D$91)</f>
        <v>0</v>
      </c>
      <c r="F84" s="155">
        <f>SUMIFS($E$21:$E$72,$F$21:$F$72,"&gt;="&amp;C84,$F$21:$F$72,"&lt;="&amp;D84,$G$21:$G$72,$D$91)</f>
        <v>0</v>
      </c>
      <c r="J84" s="445"/>
    </row>
    <row r="85" spans="3:10" ht="15.75">
      <c r="C85" s="433" t="s">
        <v>187</v>
      </c>
      <c r="D85" s="433"/>
      <c r="E85" s="148">
        <f>SUM(E80:E84)</f>
        <v>0</v>
      </c>
      <c r="F85" s="144">
        <f>SUM(F80:F84)</f>
        <v>0</v>
      </c>
    </row>
    <row r="86" spans="3:10">
      <c r="F86" s="167"/>
    </row>
    <row r="90" spans="3:10">
      <c r="D90" s="174" t="s">
        <v>135</v>
      </c>
      <c r="E90" s="15">
        <f>SUMIFS($D$21:$D$76,$F$21:$F$76,"&gt;="&amp;C80,$F$21:$F$76,"&lt;="&amp;D84,$G$21:$G$76,$D$90)+1200</f>
        <v>301722.5319451777</v>
      </c>
      <c r="F90" s="153">
        <f>SUMIFS($E$21:$E$76,$F$21:$F$76,"&gt;="&amp;C80,$F$21:$F$76,"&lt;="&amp;D84,$G$21:$G$76,$D$90)</f>
        <v>37265.007664974612</v>
      </c>
    </row>
    <row r="91" spans="3:10">
      <c r="D91" s="174" t="s">
        <v>143</v>
      </c>
      <c r="E91" s="15">
        <f>SUMIFS($D$21:$D$76,$F$21:$F$76,"&gt;="&amp;C80,$F$21:$F$76,"&lt;="&amp;D84,$G$21:$G$76,$D$91)</f>
        <v>0</v>
      </c>
      <c r="F91" s="153">
        <f>SUMIFS($E$21:$E$76,$F$21:$F$76,"&gt;="&amp;C80,$F$21:$F$76,"&lt;="&amp;D84,$G$21:$G$76,$D$91)</f>
        <v>0</v>
      </c>
    </row>
    <row r="92" spans="3:10">
      <c r="D92" s="175" t="s">
        <v>189</v>
      </c>
      <c r="E92" s="172">
        <f>SUM(E90:E91)</f>
        <v>301722.5319451777</v>
      </c>
      <c r="F92" s="173">
        <f>SUM(F90:F91)</f>
        <v>37265.007664974612</v>
      </c>
    </row>
    <row r="93" spans="3:10">
      <c r="D93" s="175" t="s">
        <v>190</v>
      </c>
      <c r="E93" s="172">
        <f>E92-D72</f>
        <v>0</v>
      </c>
      <c r="F93" s="173">
        <f>F92-E72</f>
        <v>-152.28426395938732</v>
      </c>
    </row>
    <row r="97" spans="5:6">
      <c r="E97" s="166"/>
    </row>
    <row r="98" spans="5:6">
      <c r="E98" s="176">
        <v>177183.35</v>
      </c>
      <c r="F98" s="177"/>
    </row>
    <row r="99" spans="5:6">
      <c r="E99" s="178">
        <f>D74-E98</f>
        <v>0.35605482230312191</v>
      </c>
      <c r="F99" s="179">
        <f>E99/D6</f>
        <v>4.5184622119685519E-2</v>
      </c>
    </row>
    <row r="101" spans="5:6">
      <c r="E101" s="166"/>
    </row>
  </sheetData>
  <protectedRanges>
    <protectedRange sqref="F17:G17 D76:E76 D10:E11 D50:E51" name="Presupuestos"/>
    <protectedRange sqref="D21:E21 D8:E8" name="Presupuestos_1"/>
    <protectedRange sqref="D29:E34" name="Presupuestos_13_1"/>
    <protectedRange sqref="D36:E41" name="Presupuestos_14"/>
    <protectedRange sqref="E60 D57:E59 E55:E56" name="Presupuestos_2_1_1_1"/>
    <protectedRange sqref="K56 D56 D68:E68 E70:E71 D62:E66" name="Presupuestos_6_1_1_1"/>
    <protectedRange sqref="D60 D55" name="Presupuestos_5_2_1"/>
    <protectedRange sqref="D53:E53" name="Presupuestos_7_1"/>
    <protectedRange sqref="D70:D71" name="Presupuestos_5_3"/>
    <protectedRange sqref="D43:E48" name="Presupuestos_13_1_1"/>
  </protectedRanges>
  <autoFilter ref="B21:J71" xr:uid="{00000000-0009-0000-0000-000002000000}"/>
  <mergeCells count="7">
    <mergeCell ref="D7:E7"/>
    <mergeCell ref="B20:C20"/>
    <mergeCell ref="D20:E20"/>
    <mergeCell ref="J82:J84"/>
    <mergeCell ref="C85:D85"/>
    <mergeCell ref="B13:B16"/>
    <mergeCell ref="B36:B41"/>
  </mergeCells>
  <conditionalFormatting sqref="J23 J25:J27 J29:J34 J36:J41 J62:J66 J70:J71">
    <cfRule type="cellIs" dxfId="284" priority="29" operator="lessThan">
      <formula>0</formula>
    </cfRule>
    <cfRule type="cellIs" dxfId="283" priority="30" operator="between">
      <formula>6</formula>
      <formula>15</formula>
    </cfRule>
    <cfRule type="cellIs" dxfId="282" priority="31" operator="between">
      <formula>1</formula>
      <formula>5</formula>
    </cfRule>
    <cfRule type="cellIs" dxfId="281" priority="32" operator="between">
      <formula>16</formula>
      <formula>60</formula>
    </cfRule>
  </conditionalFormatting>
  <conditionalFormatting sqref="J43:J48">
    <cfRule type="cellIs" dxfId="280" priority="21" operator="lessThan">
      <formula>0</formula>
    </cfRule>
    <cfRule type="cellIs" dxfId="279" priority="22" operator="between">
      <formula>6</formula>
      <formula>15</formula>
    </cfRule>
    <cfRule type="cellIs" dxfId="278" priority="23" operator="between">
      <formula>1</formula>
      <formula>5</formula>
    </cfRule>
    <cfRule type="cellIs" dxfId="277" priority="24" operator="between">
      <formula>16</formula>
      <formula>60</formula>
    </cfRule>
  </conditionalFormatting>
  <conditionalFormatting sqref="J50:J51">
    <cfRule type="cellIs" dxfId="276" priority="17" operator="lessThan">
      <formula>0</formula>
    </cfRule>
    <cfRule type="cellIs" dxfId="275" priority="18" operator="between">
      <formula>6</formula>
      <formula>15</formula>
    </cfRule>
    <cfRule type="cellIs" dxfId="274" priority="19" operator="between">
      <formula>1</formula>
      <formula>5</formula>
    </cfRule>
    <cfRule type="cellIs" dxfId="273" priority="20" operator="between">
      <formula>16</formula>
      <formula>60</formula>
    </cfRule>
  </conditionalFormatting>
  <conditionalFormatting sqref="J53">
    <cfRule type="cellIs" dxfId="272" priority="13" operator="lessThan">
      <formula>0</formula>
    </cfRule>
    <cfRule type="cellIs" dxfId="271" priority="14" operator="between">
      <formula>6</formula>
      <formula>15</formula>
    </cfRule>
    <cfRule type="cellIs" dxfId="270" priority="15" operator="between">
      <formula>1</formula>
      <formula>5</formula>
    </cfRule>
    <cfRule type="cellIs" dxfId="269" priority="16" operator="between">
      <formula>16</formula>
      <formula>60</formula>
    </cfRule>
  </conditionalFormatting>
  <conditionalFormatting sqref="J55:J60">
    <cfRule type="cellIs" dxfId="268" priority="9" operator="lessThan">
      <formula>0</formula>
    </cfRule>
    <cfRule type="cellIs" dxfId="267" priority="10" operator="between">
      <formula>6</formula>
      <formula>15</formula>
    </cfRule>
    <cfRule type="cellIs" dxfId="266" priority="11" operator="between">
      <formula>1</formula>
      <formula>5</formula>
    </cfRule>
    <cfRule type="cellIs" dxfId="265" priority="12" operator="between">
      <formula>16</formula>
      <formula>60</formula>
    </cfRule>
  </conditionalFormatting>
  <conditionalFormatting sqref="J68">
    <cfRule type="cellIs" dxfId="264" priority="5" operator="lessThan">
      <formula>0</formula>
    </cfRule>
    <cfRule type="cellIs" dxfId="263" priority="6" operator="between">
      <formula>6</formula>
      <formula>15</formula>
    </cfRule>
    <cfRule type="cellIs" dxfId="262" priority="7" operator="between">
      <formula>1</formula>
      <formula>5</formula>
    </cfRule>
    <cfRule type="cellIs" dxfId="261" priority="8" operator="between">
      <formula>16</formula>
      <formula>60</formula>
    </cfRule>
  </conditionalFormatting>
  <dataValidations count="2">
    <dataValidation type="list" allowBlank="1" showInputMessage="1" showErrorMessage="1" sqref="G53 G62:G66 D90:D91 G55:G60 G29:G34 G77:G78 G68 G50:G51 G36:G41 G70:G71 G22:G23 G25:G27 G43:G48" xr:uid="{927FDF68-4CC8-4BFB-B19C-ED3046EA5E3A}">
      <formula1>"Cancelado,Pagar,Sin Pagar"</formula1>
    </dataValidation>
    <dataValidation type="list" allowBlank="1" showInputMessage="1" showErrorMessage="1" sqref="D20 D7" xr:uid="{9445BFE4-4077-4A4E-83D3-8DDE4FB23F86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ignoredErrors>
    <ignoredError sqref="E23" formula="1"/>
    <ignoredError sqref="H23:J25 H28:J33 H35:J47 J26 J50:J62 H49:I62 H67:J71 J63:J66" unlocked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C1BA-6797-4172-B91B-008A51706106}">
  <dimension ref="A1:S105"/>
  <sheetViews>
    <sheetView showGridLines="0" topLeftCell="B53" zoomScale="90" zoomScaleNormal="90" workbookViewId="0">
      <selection activeCell="E28" sqref="E28"/>
    </sheetView>
  </sheetViews>
  <sheetFormatPr baseColWidth="10" defaultColWidth="11.42578125" defaultRowHeight="15" outlineLevelRow="1"/>
  <cols>
    <col min="1" max="1" width="2.140625" style="39" customWidth="1"/>
    <col min="2" max="2" width="17.140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45447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7.55</v>
      </c>
      <c r="E6" s="42"/>
      <c r="I6" s="43"/>
    </row>
    <row r="7" spans="1:9" ht="15.75">
      <c r="C7" s="99"/>
      <c r="D7" s="432" t="s">
        <v>138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SUBTOTAL(9,D10:D12)</f>
        <v>229471.40604999987</v>
      </c>
      <c r="E9" s="122">
        <f>SUBTOTAL(9,E10:E12)</f>
        <v>30393.563715231772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QTQ'!$H$111+43089.5890499999</f>
        <v>220272.93904999987</v>
      </c>
      <c r="E10" s="25">
        <f>D10/$D$6</f>
        <v>29175.223715231772</v>
      </c>
      <c r="F10" s="49"/>
    </row>
    <row r="11" spans="1:9" s="43" customFormat="1" outlineLevel="1">
      <c r="B11" s="46"/>
      <c r="C11" s="47" t="s">
        <v>154</v>
      </c>
      <c r="D11" s="15">
        <f>'Caja USD'!H40*$D$6</f>
        <v>981.42450000000179</v>
      </c>
      <c r="E11" s="25">
        <f>D11/$D$6</f>
        <v>129.99000000000024</v>
      </c>
      <c r="F11" s="49"/>
    </row>
    <row r="12" spans="1:9" s="43" customFormat="1" outlineLevel="1">
      <c r="B12" s="46"/>
      <c r="C12" s="47" t="s">
        <v>291</v>
      </c>
      <c r="D12" s="15">
        <f>'Caja USD'!$D$47*D6</f>
        <v>8217.0424999999996</v>
      </c>
      <c r="E12" s="25">
        <f>D12/$D$6</f>
        <v>1088.3499999999999</v>
      </c>
      <c r="F12" s="49"/>
    </row>
    <row r="13" spans="1:9" s="43" customFormat="1" ht="15.75">
      <c r="B13" s="46"/>
      <c r="C13" s="102" t="s">
        <v>134</v>
      </c>
      <c r="D13" s="127">
        <f>SUBTOTAL(9,D14:D18)</f>
        <v>450741.78519999998</v>
      </c>
      <c r="E13" s="122">
        <f>SUBTOTAL(9,E14:E18)</f>
        <v>59675.833205298019</v>
      </c>
      <c r="F13" s="128"/>
    </row>
    <row r="14" spans="1:9" s="43" customFormat="1" outlineLevel="1">
      <c r="B14" s="447"/>
      <c r="C14" s="47" t="s">
        <v>196</v>
      </c>
      <c r="D14" s="171">
        <v>41200.42</v>
      </c>
      <c r="E14" s="25">
        <f>D14/7.55</f>
        <v>5457.0092715231785</v>
      </c>
      <c r="F14" s="128"/>
      <c r="G14" s="52"/>
    </row>
    <row r="15" spans="1:9" s="43" customFormat="1" outlineLevel="1">
      <c r="A15" s="50"/>
      <c r="B15" s="447"/>
      <c r="C15" s="47" t="s">
        <v>194</v>
      </c>
      <c r="D15" s="171">
        <v>341220.02480000001</v>
      </c>
      <c r="E15" s="25">
        <f>D15/7.55</f>
        <v>45194.705271523184</v>
      </c>
      <c r="F15" s="128"/>
      <c r="G15" s="184"/>
    </row>
    <row r="16" spans="1:9" s="43" customFormat="1" outlineLevel="1">
      <c r="A16" s="50"/>
      <c r="B16" s="447"/>
      <c r="C16" s="47" t="s">
        <v>193</v>
      </c>
      <c r="D16" s="171">
        <v>9387.8071999999993</v>
      </c>
      <c r="E16" s="25">
        <f>D16/7.55</f>
        <v>1243.4181721854304</v>
      </c>
      <c r="F16" s="128"/>
      <c r="G16" s="184"/>
    </row>
    <row r="17" spans="2:19" s="43" customFormat="1" outlineLevel="1">
      <c r="B17" s="447"/>
      <c r="C17" s="47" t="s">
        <v>195</v>
      </c>
      <c r="D17" s="171">
        <v>15861.7232</v>
      </c>
      <c r="E17" s="25">
        <f>D17/7.55</f>
        <v>2100.8904900662251</v>
      </c>
      <c r="F17" s="128"/>
      <c r="G17" s="52"/>
    </row>
    <row r="18" spans="2:19" s="43" customFormat="1" outlineLevel="1">
      <c r="B18" s="46"/>
      <c r="C18" s="47" t="s">
        <v>299</v>
      </c>
      <c r="D18" s="171">
        <v>43071.81</v>
      </c>
      <c r="E18" s="25">
        <v>5679.81</v>
      </c>
      <c r="F18" s="128"/>
      <c r="G18" s="52"/>
    </row>
    <row r="19" spans="2:19" s="43" customFormat="1" ht="15.75">
      <c r="B19" s="46"/>
      <c r="C19" s="55" t="s">
        <v>136</v>
      </c>
      <c r="D19" s="123">
        <f>SUBTOTAL(9,D9:D18)</f>
        <v>680213.19124999992</v>
      </c>
      <c r="E19" s="124">
        <f>SUBTOTAL(9,E9:E18)</f>
        <v>90069.396920529791</v>
      </c>
      <c r="F19" s="56"/>
      <c r="G19" s="56"/>
      <c r="J19" s="52"/>
      <c r="K19" s="57"/>
      <c r="O19" s="58"/>
      <c r="P19" s="59"/>
      <c r="Q19" s="53"/>
    </row>
    <row r="20" spans="2:19" s="43" customFormat="1" ht="15.75">
      <c r="B20" s="46"/>
      <c r="C20" s="60"/>
      <c r="D20" s="61"/>
      <c r="E20" s="61"/>
      <c r="G20" s="62"/>
      <c r="O20" s="59"/>
      <c r="P20" s="59"/>
    </row>
    <row r="21" spans="2:19" s="43" customFormat="1" ht="15.75">
      <c r="B21" s="46"/>
      <c r="N21" s="63"/>
      <c r="O21" s="64"/>
      <c r="P21" s="65"/>
    </row>
    <row r="22" spans="2:19" s="43" customFormat="1" ht="15.75">
      <c r="B22" s="432" t="s">
        <v>137</v>
      </c>
      <c r="C22" s="432"/>
      <c r="D22" s="432" t="s">
        <v>138</v>
      </c>
      <c r="E22" s="432"/>
      <c r="K22" s="65"/>
      <c r="L22" s="65"/>
      <c r="N22" s="63"/>
      <c r="R22" s="52"/>
      <c r="S22" s="52"/>
    </row>
    <row r="23" spans="2:19" s="43" customFormat="1" ht="16.5" thickBot="1">
      <c r="B23" s="67" t="s">
        <v>81</v>
      </c>
      <c r="C23" s="68" t="s">
        <v>106</v>
      </c>
      <c r="D23" s="110" t="s">
        <v>168</v>
      </c>
      <c r="E23" s="110" t="s">
        <v>169</v>
      </c>
      <c r="F23" s="69" t="s">
        <v>140</v>
      </c>
      <c r="G23" s="63" t="s">
        <v>141</v>
      </c>
      <c r="H23" s="63"/>
      <c r="I23" s="63"/>
      <c r="J23" s="70" t="s">
        <v>142</v>
      </c>
      <c r="N23" s="71"/>
      <c r="R23" s="52"/>
      <c r="S23" s="72"/>
    </row>
    <row r="24" spans="2:19" s="43" customFormat="1" ht="16.5" thickBot="1">
      <c r="B24" s="46"/>
      <c r="C24" s="73" t="s">
        <v>155</v>
      </c>
      <c r="D24" s="103">
        <f>SUBTOTAL(9,D25:D25)</f>
        <v>39252.51</v>
      </c>
      <c r="E24" s="112">
        <f>SUBTOTAL(9,E25:E25)</f>
        <v>4032.9033112582779</v>
      </c>
      <c r="F24" s="74"/>
      <c r="J24" s="76"/>
    </row>
    <row r="25" spans="2:19" s="43" customFormat="1" ht="15.75" outlineLevel="1" thickBot="1">
      <c r="B25" s="77">
        <v>176206200</v>
      </c>
      <c r="C25" s="78" t="s">
        <v>312</v>
      </c>
      <c r="D25" s="104">
        <v>39252.51</v>
      </c>
      <c r="E25" s="115">
        <f>30448.42/$D$6</f>
        <v>4032.9033112582779</v>
      </c>
      <c r="F25" s="80">
        <v>45456</v>
      </c>
      <c r="G25" s="43" t="s">
        <v>135</v>
      </c>
      <c r="H25" s="43">
        <f>IF(OR(G25="Sin pagar",G25="Pagar"),NETWORKDAYS($E$4,F25,'Festivos Guatemala'!$A$3:$A$15),0)</f>
        <v>0</v>
      </c>
      <c r="I25" s="43">
        <f>NETWORKDAYS($E$4,F25,'Festivos Guatemala'!$A$3:$A$15)</f>
        <v>8</v>
      </c>
      <c r="J25" s="75">
        <f>H25</f>
        <v>0</v>
      </c>
      <c r="K25" s="52"/>
      <c r="L25" s="52"/>
    </row>
    <row r="26" spans="2:19" s="43" customFormat="1" ht="16.5" thickBot="1">
      <c r="B26" s="46"/>
      <c r="C26" s="73" t="s">
        <v>144</v>
      </c>
      <c r="D26" s="103">
        <f>SUBTOTAL(9,D27:D29)</f>
        <v>13238.19</v>
      </c>
      <c r="E26" s="112">
        <f>SUBTOTAL(9,E27:E29)</f>
        <v>1753.4026490066226</v>
      </c>
      <c r="J26" s="76">
        <f t="shared" ref="J26:J32" si="0">H26</f>
        <v>0</v>
      </c>
    </row>
    <row r="27" spans="2:19" s="43" customFormat="1" outlineLevel="1">
      <c r="B27" s="46">
        <v>42629341546</v>
      </c>
      <c r="C27" s="47" t="s">
        <v>313</v>
      </c>
      <c r="D27" s="109">
        <v>11895.04</v>
      </c>
      <c r="E27" s="115">
        <f>D27/$D$6</f>
        <v>1575.501986754967</v>
      </c>
      <c r="F27" s="80">
        <v>45457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9</v>
      </c>
      <c r="J27" s="75">
        <f>H27</f>
        <v>0</v>
      </c>
      <c r="K27" s="48"/>
      <c r="L27" s="57"/>
    </row>
    <row r="28" spans="2:19" s="43" customFormat="1" outlineLevel="1">
      <c r="B28" s="168">
        <v>426295952621</v>
      </c>
      <c r="C28" s="47" t="s">
        <v>287</v>
      </c>
      <c r="D28" s="109">
        <v>1343.15</v>
      </c>
      <c r="E28" s="115">
        <f>D28/$D$6</f>
        <v>177.90066225165563</v>
      </c>
      <c r="F28" s="80">
        <v>45457</v>
      </c>
      <c r="G28" s="43" t="s">
        <v>135</v>
      </c>
      <c r="H28" s="43">
        <f>IF(OR(G28="Sin pagar",G28="Pagar"),NETWORKDAYS($E$4,F28,'Festivos Guatemala'!$A$3:$A$15),0)</f>
        <v>0</v>
      </c>
      <c r="I28" s="43">
        <f>NETWORKDAYS($E$4,F28,'Festivos Guatemala'!$A$3:$A$15)</f>
        <v>9</v>
      </c>
      <c r="J28" s="75">
        <f>H28</f>
        <v>0</v>
      </c>
      <c r="K28" s="48"/>
      <c r="L28" s="57"/>
    </row>
    <row r="29" spans="2:19" s="43" customFormat="1" ht="15.75" outlineLevel="1" thickBot="1">
      <c r="B29" s="168">
        <v>42780261927</v>
      </c>
      <c r="C29" s="47" t="s">
        <v>271</v>
      </c>
      <c r="D29" s="109">
        <v>0</v>
      </c>
      <c r="E29" s="115">
        <f>D29/$D$6</f>
        <v>0</v>
      </c>
      <c r="F29" s="80">
        <v>45473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19</v>
      </c>
      <c r="J29" s="75">
        <f>H29</f>
        <v>0</v>
      </c>
      <c r="K29" s="48"/>
      <c r="L29" s="57"/>
    </row>
    <row r="30" spans="2:19" s="43" customFormat="1" ht="16.5" thickBot="1">
      <c r="B30" s="46"/>
      <c r="C30" s="73" t="s">
        <v>163</v>
      </c>
      <c r="D30" s="103">
        <f>SUBTOTAL(9,D31:D32)</f>
        <v>840</v>
      </c>
      <c r="E30" s="112">
        <f>SUBTOTAL(9,E31:E32)</f>
        <v>111.25827814569537</v>
      </c>
      <c r="J30" s="76">
        <f t="shared" si="0"/>
        <v>0</v>
      </c>
      <c r="K30" s="52"/>
      <c r="L30" s="52"/>
    </row>
    <row r="31" spans="2:19" s="43" customFormat="1" outlineLevel="1">
      <c r="B31" s="46"/>
      <c r="C31" s="47" t="s">
        <v>288</v>
      </c>
      <c r="D31" s="104">
        <v>840</v>
      </c>
      <c r="E31" s="113">
        <f t="shared" ref="E31:E32" si="1">D31/$D$6</f>
        <v>111.25827814569537</v>
      </c>
      <c r="F31" s="74">
        <v>45450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4</v>
      </c>
      <c r="J31" s="75">
        <f t="shared" si="0"/>
        <v>0</v>
      </c>
      <c r="N31" s="49"/>
    </row>
    <row r="32" spans="2:19" s="43" customFormat="1" ht="15.75" outlineLevel="1" thickBot="1">
      <c r="B32" s="46">
        <v>922</v>
      </c>
      <c r="C32" s="47" t="s">
        <v>244</v>
      </c>
      <c r="D32" s="104">
        <f>1200*0</f>
        <v>0</v>
      </c>
      <c r="E32" s="113">
        <f t="shared" si="1"/>
        <v>0</v>
      </c>
      <c r="F32" s="74">
        <v>45464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14</v>
      </c>
      <c r="J32" s="75">
        <f t="shared" si="0"/>
        <v>0</v>
      </c>
      <c r="N32" s="49"/>
    </row>
    <row r="33" spans="2:16" s="43" customFormat="1" ht="16.5" thickBot="1">
      <c r="C33" s="73" t="s">
        <v>146</v>
      </c>
      <c r="D33" s="103">
        <f>SUBTOTAL(9,D34:D39)</f>
        <v>7545.4884999999995</v>
      </c>
      <c r="E33" s="112">
        <f>SUBTOTAL(9,E34:E39)</f>
        <v>999.40245033112592</v>
      </c>
      <c r="K33" s="49"/>
      <c r="L33" s="49"/>
      <c r="O33" s="49"/>
      <c r="P33" s="49"/>
    </row>
    <row r="34" spans="2:16" s="43" customFormat="1" ht="14.25" customHeight="1" outlineLevel="1">
      <c r="B34" s="448"/>
      <c r="C34" s="47" t="s">
        <v>272</v>
      </c>
      <c r="D34" s="104">
        <f>E34*$D$6</f>
        <v>415.77850000000001</v>
      </c>
      <c r="E34" s="113">
        <f>55.07</f>
        <v>55.07</v>
      </c>
      <c r="F34" s="74">
        <v>45471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19</v>
      </c>
      <c r="J34" s="75">
        <f t="shared" ref="J34:J39" si="2">H34</f>
        <v>0</v>
      </c>
      <c r="K34" s="49"/>
      <c r="L34" s="49"/>
      <c r="O34" s="49"/>
      <c r="P34" s="49"/>
    </row>
    <row r="35" spans="2:16" s="43" customFormat="1" outlineLevel="1">
      <c r="B35" s="448"/>
      <c r="C35" s="47" t="s">
        <v>273</v>
      </c>
      <c r="D35" s="104">
        <f>E35*$D$6</f>
        <v>1958.9985000000001</v>
      </c>
      <c r="E35" s="113">
        <f>259.47</f>
        <v>259.47000000000003</v>
      </c>
      <c r="F35" s="74">
        <v>45471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19</v>
      </c>
      <c r="J35" s="75">
        <f t="shared" si="2"/>
        <v>0</v>
      </c>
    </row>
    <row r="36" spans="2:16" s="43" customFormat="1" outlineLevel="1">
      <c r="B36" s="448"/>
      <c r="C36" s="47" t="s">
        <v>274</v>
      </c>
      <c r="D36" s="104">
        <f>E36*$D$6</f>
        <v>1550.2415000000001</v>
      </c>
      <c r="E36" s="113">
        <f>205.33</f>
        <v>205.33</v>
      </c>
      <c r="F36" s="74">
        <v>45471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19</v>
      </c>
      <c r="J36" s="75">
        <f t="shared" si="2"/>
        <v>0</v>
      </c>
    </row>
    <row r="37" spans="2:16" s="43" customFormat="1" ht="14.25" customHeight="1" outlineLevel="1">
      <c r="B37" s="448"/>
      <c r="C37" s="47" t="s">
        <v>277</v>
      </c>
      <c r="D37" s="104">
        <f>888.15</f>
        <v>888.15</v>
      </c>
      <c r="E37" s="113">
        <f>D37/$D$6</f>
        <v>117.63576158940397</v>
      </c>
      <c r="F37" s="74">
        <v>45471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19</v>
      </c>
      <c r="J37" s="75">
        <f t="shared" si="2"/>
        <v>0</v>
      </c>
      <c r="K37" s="49"/>
      <c r="L37" s="49"/>
      <c r="O37" s="49"/>
      <c r="P37" s="49"/>
    </row>
    <row r="38" spans="2:16" s="43" customFormat="1" outlineLevel="1">
      <c r="B38" s="448"/>
      <c r="C38" s="47" t="s">
        <v>276</v>
      </c>
      <c r="D38" s="104">
        <f>903.72</f>
        <v>903.72</v>
      </c>
      <c r="E38" s="113">
        <f>D38/$D$6</f>
        <v>119.69801324503312</v>
      </c>
      <c r="F38" s="74">
        <v>45471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19</v>
      </c>
      <c r="J38" s="75">
        <f t="shared" si="2"/>
        <v>0</v>
      </c>
    </row>
    <row r="39" spans="2:16" s="43" customFormat="1" ht="15.75" outlineLevel="1" thickBot="1">
      <c r="B39" s="448"/>
      <c r="C39" s="47" t="s">
        <v>275</v>
      </c>
      <c r="D39" s="104">
        <f>1828.6</f>
        <v>1828.6</v>
      </c>
      <c r="E39" s="113">
        <f>D39/$D$6</f>
        <v>242.19867549668874</v>
      </c>
      <c r="F39" s="74">
        <v>45471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19</v>
      </c>
      <c r="J39" s="75">
        <f t="shared" si="2"/>
        <v>0</v>
      </c>
    </row>
    <row r="40" spans="2:16" s="43" customFormat="1" ht="16.5" thickBot="1">
      <c r="B40" s="82"/>
      <c r="C40" s="85" t="s">
        <v>162</v>
      </c>
      <c r="D40" s="119">
        <f>SUBTOTAL(9,D41:D47)</f>
        <v>48575.265499999994</v>
      </c>
      <c r="E40" s="114">
        <f>SUBTOTAL(9,E41:E47)</f>
        <v>6433.8099999999995</v>
      </c>
      <c r="K40" s="52"/>
      <c r="M40" s="183">
        <f>SUM(M41:M47)</f>
        <v>42965402.886500001</v>
      </c>
      <c r="N40" s="183">
        <f>11000*4145.1</f>
        <v>45596100.000000007</v>
      </c>
    </row>
    <row r="41" spans="2:16" s="43" customFormat="1" outlineLevel="1">
      <c r="B41" s="81">
        <v>4640</v>
      </c>
      <c r="C41" s="47" t="s">
        <v>156</v>
      </c>
      <c r="D41" s="104">
        <f>E41*$D$6</f>
        <v>6924.4825000000001</v>
      </c>
      <c r="E41" s="113">
        <f>917.15</f>
        <v>917.15</v>
      </c>
      <c r="F41" s="74">
        <v>45449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3</v>
      </c>
      <c r="J41" s="75">
        <f t="shared" ref="J41:J46" si="3">H41</f>
        <v>0</v>
      </c>
      <c r="M41" s="104">
        <f>E41*3933.56</f>
        <v>3607664.554</v>
      </c>
      <c r="N41" s="49"/>
    </row>
    <row r="42" spans="2:16" s="43" customFormat="1" outlineLevel="1">
      <c r="B42" s="81">
        <v>4641</v>
      </c>
      <c r="C42" s="47" t="s">
        <v>157</v>
      </c>
      <c r="D42" s="104">
        <f>E42*$D$6</f>
        <v>6285.375</v>
      </c>
      <c r="E42" s="113">
        <f>832.5</f>
        <v>832.5</v>
      </c>
      <c r="F42" s="74">
        <v>45449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3</v>
      </c>
      <c r="J42" s="75">
        <f t="shared" si="3"/>
        <v>0</v>
      </c>
      <c r="M42" s="104">
        <f>E42*3933.56</f>
        <v>3274688.7</v>
      </c>
      <c r="N42" s="49"/>
    </row>
    <row r="43" spans="2:16" s="43" customFormat="1" outlineLevel="1">
      <c r="B43" s="81">
        <v>4700</v>
      </c>
      <c r="C43" s="47" t="s">
        <v>158</v>
      </c>
      <c r="D43" s="104">
        <f t="shared" ref="D43:D46" si="4">E43*$D$6</f>
        <v>7620.2149999999992</v>
      </c>
      <c r="E43" s="113">
        <f>1009.3</f>
        <v>1009.3</v>
      </c>
      <c r="F43" s="74">
        <v>45449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3</v>
      </c>
      <c r="J43" s="75">
        <f t="shared" si="3"/>
        <v>0</v>
      </c>
      <c r="M43" s="104">
        <f>E43*3888.02</f>
        <v>3924178.5859999997</v>
      </c>
      <c r="N43" s="49"/>
    </row>
    <row r="44" spans="2:16" s="43" customFormat="1" outlineLevel="1">
      <c r="B44" s="81">
        <v>4707</v>
      </c>
      <c r="C44" s="47" t="s">
        <v>158</v>
      </c>
      <c r="D44" s="104">
        <f t="shared" si="4"/>
        <v>7550</v>
      </c>
      <c r="E44" s="113">
        <f>1000</f>
        <v>1000</v>
      </c>
      <c r="F44" s="74">
        <v>45449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3</v>
      </c>
      <c r="J44" s="75">
        <f t="shared" si="3"/>
        <v>0</v>
      </c>
      <c r="M44" s="104">
        <f>E44*3865.97</f>
        <v>3865970</v>
      </c>
      <c r="N44" s="49"/>
    </row>
    <row r="45" spans="2:16" s="43" customFormat="1" outlineLevel="1">
      <c r="B45" s="81">
        <v>4776</v>
      </c>
      <c r="C45" s="47" t="s">
        <v>215</v>
      </c>
      <c r="D45" s="104">
        <f t="shared" si="4"/>
        <v>11487.324999999999</v>
      </c>
      <c r="E45" s="113">
        <f>1521.5</f>
        <v>1521.5</v>
      </c>
      <c r="F45" s="74">
        <v>45449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3</v>
      </c>
      <c r="J45" s="75">
        <f t="shared" si="3"/>
        <v>0</v>
      </c>
      <c r="M45" s="104">
        <f>E45*3924.82</f>
        <v>5971613.6299999999</v>
      </c>
      <c r="N45" s="49"/>
    </row>
    <row r="46" spans="2:16" s="43" customFormat="1" outlineLevel="1">
      <c r="B46" s="81">
        <v>4838</v>
      </c>
      <c r="C46" s="47" t="s">
        <v>255</v>
      </c>
      <c r="D46" s="104">
        <f t="shared" si="4"/>
        <v>8707.8679999999986</v>
      </c>
      <c r="E46" s="113">
        <f>1153.36</f>
        <v>1153.3599999999999</v>
      </c>
      <c r="F46" s="74">
        <v>45456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8</v>
      </c>
      <c r="J46" s="75">
        <f t="shared" si="3"/>
        <v>0</v>
      </c>
      <c r="M46" s="104">
        <f>E46*3902.63</f>
        <v>4501137.3367999997</v>
      </c>
      <c r="N46" s="49"/>
    </row>
    <row r="47" spans="2:16" s="43" customFormat="1" ht="15.75" outlineLevel="1" thickBot="1">
      <c r="B47" s="81">
        <v>4944</v>
      </c>
      <c r="C47" s="47" t="s">
        <v>289</v>
      </c>
      <c r="D47" s="104">
        <f t="shared" ref="D47" si="5">E47*$D$6</f>
        <v>0</v>
      </c>
      <c r="E47" s="113">
        <f>1507.5*0</f>
        <v>0</v>
      </c>
      <c r="F47" s="74">
        <v>45503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41</v>
      </c>
      <c r="J47" s="75">
        <f t="shared" ref="J47" si="6">H47</f>
        <v>0</v>
      </c>
      <c r="M47" s="104">
        <f>(11000-6433.81)*3902.63</f>
        <v>17820150.079700001</v>
      </c>
      <c r="N47" s="49"/>
    </row>
    <row r="48" spans="2:16" s="43" customFormat="1" ht="16.5" thickBot="1">
      <c r="B48" s="46"/>
      <c r="C48" s="73" t="s">
        <v>147</v>
      </c>
      <c r="D48" s="103">
        <f>SUBTOTAL(9,D49:D50)</f>
        <v>0</v>
      </c>
      <c r="E48" s="112">
        <f>SUBTOTAL(9,E49:E50)</f>
        <v>0</v>
      </c>
    </row>
    <row r="49" spans="2:12" s="43" customFormat="1" outlineLevel="1">
      <c r="B49" s="46"/>
      <c r="C49" s="47" t="s">
        <v>167</v>
      </c>
      <c r="D49" s="104">
        <f>(((4000000/3901.51)*$D$6))*0</f>
        <v>0</v>
      </c>
      <c r="E49" s="113">
        <f>D49/D6</f>
        <v>0</v>
      </c>
      <c r="F49" s="74">
        <v>45473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19</v>
      </c>
      <c r="J49" s="75">
        <f>H49</f>
        <v>0</v>
      </c>
    </row>
    <row r="50" spans="2:12" s="43" customFormat="1" ht="15.75" outlineLevel="1" thickBot="1">
      <c r="B50" s="46"/>
      <c r="C50" s="47" t="s">
        <v>182</v>
      </c>
      <c r="D50" s="104">
        <f>(((4000000/3901.51)*$D$6))*0</f>
        <v>0</v>
      </c>
      <c r="E50" s="113">
        <f>D50/D6</f>
        <v>0</v>
      </c>
      <c r="F50" s="74">
        <v>45473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19</v>
      </c>
      <c r="J50" s="75">
        <f>H50</f>
        <v>0</v>
      </c>
    </row>
    <row r="51" spans="2:12" s="43" customFormat="1" ht="15.75" customHeight="1" thickBot="1">
      <c r="C51" s="73" t="s">
        <v>148</v>
      </c>
      <c r="D51" s="103">
        <f>SUBTOTAL(9,D52:D54)</f>
        <v>604</v>
      </c>
      <c r="E51" s="112">
        <f>SUBTOTAL(9,E52:E54)</f>
        <v>80</v>
      </c>
    </row>
    <row r="52" spans="2:12" s="43" customFormat="1" outlineLevel="1">
      <c r="B52" s="46"/>
      <c r="C52" s="47" t="s">
        <v>307</v>
      </c>
      <c r="D52" s="109">
        <f>E52*$D$6</f>
        <v>302</v>
      </c>
      <c r="E52" s="115">
        <v>40</v>
      </c>
      <c r="F52" s="74">
        <v>45449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3</v>
      </c>
      <c r="J52" s="75">
        <f>H52</f>
        <v>0</v>
      </c>
    </row>
    <row r="53" spans="2:12" s="43" customFormat="1" outlineLevel="1">
      <c r="B53" s="46"/>
      <c r="C53" s="47" t="s">
        <v>308</v>
      </c>
      <c r="D53" s="109">
        <f>E53*$D$6</f>
        <v>302</v>
      </c>
      <c r="E53" s="115">
        <v>40</v>
      </c>
      <c r="F53" s="74">
        <v>45456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8</v>
      </c>
      <c r="J53" s="75">
        <f>H53</f>
        <v>0</v>
      </c>
    </row>
    <row r="54" spans="2:12" s="43" customFormat="1" ht="15.75" outlineLevel="1" thickBot="1">
      <c r="B54" s="46"/>
      <c r="C54" s="47" t="s">
        <v>117</v>
      </c>
      <c r="D54" s="109">
        <f>(15*2*4)*0</f>
        <v>0</v>
      </c>
      <c r="E54" s="115">
        <f>D54/$D$6</f>
        <v>0</v>
      </c>
      <c r="F54" s="74">
        <v>45473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19</v>
      </c>
      <c r="J54" s="75">
        <f>H54</f>
        <v>0</v>
      </c>
    </row>
    <row r="55" spans="2:12" s="43" customFormat="1" ht="16.5" thickBot="1">
      <c r="C55" s="73" t="s">
        <v>164</v>
      </c>
      <c r="D55" s="103">
        <f>SUBTOTAL(9,D56:D62)</f>
        <v>340958.92</v>
      </c>
      <c r="E55" s="112">
        <f>SUBTOTAL(9,E56:E62)</f>
        <v>45160.121854304634</v>
      </c>
      <c r="K55" s="52"/>
      <c r="L55" s="86"/>
    </row>
    <row r="56" spans="2:12" s="43" customFormat="1" outlineLevel="1">
      <c r="B56" s="83"/>
      <c r="C56" s="47" t="s">
        <v>176</v>
      </c>
      <c r="D56" s="109">
        <f>38497.02</f>
        <v>38497.019999999997</v>
      </c>
      <c r="E56" s="115">
        <f t="shared" ref="E56:E62" si="7">D56/$D$6</f>
        <v>5098.9430463576155</v>
      </c>
      <c r="F56" s="74">
        <v>45471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ref="J56:J62" si="8">H56</f>
        <v>0</v>
      </c>
      <c r="L56" s="52"/>
    </row>
    <row r="57" spans="2:12" s="43" customFormat="1" outlineLevel="1">
      <c r="B57" s="83"/>
      <c r="C57" s="47" t="s">
        <v>315</v>
      </c>
      <c r="D57" s="109">
        <v>32199.32</v>
      </c>
      <c r="E57" s="115">
        <f t="shared" ref="E57" si="9">D57/$D$6</f>
        <v>4264.8105960264902</v>
      </c>
      <c r="F57" s="74">
        <v>45471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ref="J57" si="10">H57</f>
        <v>0</v>
      </c>
      <c r="L57" s="52"/>
    </row>
    <row r="58" spans="2:12" s="43" customFormat="1" outlineLevel="1">
      <c r="B58" s="46"/>
      <c r="C58" s="47" t="s">
        <v>177</v>
      </c>
      <c r="D58" s="109">
        <v>38748.71</v>
      </c>
      <c r="E58" s="115">
        <f t="shared" si="7"/>
        <v>5132.2794701986759</v>
      </c>
      <c r="F58" s="74">
        <v>45471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8"/>
        <v>0</v>
      </c>
      <c r="K58" s="48"/>
      <c r="L58" s="48"/>
    </row>
    <row r="59" spans="2:12" s="43" customFormat="1" outlineLevel="1">
      <c r="B59" s="46"/>
      <c r="C59" s="47" t="s">
        <v>178</v>
      </c>
      <c r="D59" s="109">
        <v>96255.75</v>
      </c>
      <c r="E59" s="115">
        <f t="shared" si="7"/>
        <v>12749.1059602649</v>
      </c>
      <c r="F59" s="74">
        <v>45471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 t="shared" si="8"/>
        <v>0</v>
      </c>
      <c r="L59" s="52"/>
    </row>
    <row r="60" spans="2:12" s="43" customFormat="1" outlineLevel="1">
      <c r="B60" s="46"/>
      <c r="C60" s="47" t="s">
        <v>179</v>
      </c>
      <c r="D60" s="109">
        <v>114725.07</v>
      </c>
      <c r="E60" s="115">
        <f t="shared" si="7"/>
        <v>15195.373509933775</v>
      </c>
      <c r="F60" s="74">
        <v>45471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 t="shared" si="8"/>
        <v>0</v>
      </c>
      <c r="K60" s="52"/>
      <c r="L60" s="57"/>
    </row>
    <row r="61" spans="2:12" s="43" customFormat="1" outlineLevel="1">
      <c r="B61" s="46"/>
      <c r="C61" s="47" t="s">
        <v>165</v>
      </c>
      <c r="D61" s="109">
        <v>12847.82</v>
      </c>
      <c r="E61" s="115">
        <f t="shared" si="7"/>
        <v>1701.6980132450331</v>
      </c>
      <c r="F61" s="74">
        <v>45471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 t="shared" si="8"/>
        <v>0</v>
      </c>
      <c r="L61" s="52"/>
    </row>
    <row r="62" spans="2:12" s="43" customFormat="1" ht="15.75" outlineLevel="1" thickBot="1">
      <c r="B62" s="83"/>
      <c r="C62" s="47" t="s">
        <v>166</v>
      </c>
      <c r="D62" s="109">
        <v>7685.23</v>
      </c>
      <c r="E62" s="115">
        <f t="shared" si="7"/>
        <v>1017.9112582781456</v>
      </c>
      <c r="F62" s="74">
        <v>45471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19</v>
      </c>
      <c r="J62" s="75">
        <f t="shared" si="8"/>
        <v>0</v>
      </c>
      <c r="L62" s="52"/>
    </row>
    <row r="63" spans="2:12" s="43" customFormat="1" ht="16.5" thickBot="1">
      <c r="B63" s="46"/>
      <c r="C63" s="73" t="s">
        <v>173</v>
      </c>
      <c r="D63" s="103">
        <f>SUBTOTAL(9,D64:D67)</f>
        <v>29930.244350000001</v>
      </c>
      <c r="E63" s="112">
        <f>SUBTOTAL(9,E64:E67)</f>
        <v>3948.7416887417221</v>
      </c>
    </row>
    <row r="64" spans="2:12" s="43" customFormat="1" ht="14.25" customHeight="1" outlineLevel="1">
      <c r="B64" s="46"/>
      <c r="C64" s="47" t="s">
        <v>279</v>
      </c>
      <c r="D64" s="109">
        <f>E64*$D$6</f>
        <v>9038.7467500000002</v>
      </c>
      <c r="E64" s="115">
        <f>1088.35*1.1</f>
        <v>1197.1849999999999</v>
      </c>
      <c r="F64" s="74">
        <v>45450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4</v>
      </c>
      <c r="J64" s="75">
        <f t="shared" ref="J64:J67" si="11">H64</f>
        <v>0</v>
      </c>
      <c r="K64" s="52"/>
      <c r="L64" s="54"/>
    </row>
    <row r="65" spans="1:16" s="43" customFormat="1" outlineLevel="1">
      <c r="B65" s="46"/>
      <c r="C65" s="47" t="s">
        <v>278</v>
      </c>
      <c r="D65" s="109">
        <f>E65*7.66</f>
        <v>8164.4875999999995</v>
      </c>
      <c r="E65" s="115">
        <v>1065.8599999999999</v>
      </c>
      <c r="F65" s="80">
        <v>45457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9</v>
      </c>
      <c r="J65" s="75">
        <f t="shared" ref="J65" si="12">H65</f>
        <v>0</v>
      </c>
      <c r="K65" s="52"/>
      <c r="L65" s="54"/>
    </row>
    <row r="66" spans="1:16" s="43" customFormat="1" outlineLevel="1">
      <c r="B66" s="46"/>
      <c r="C66" s="47" t="s">
        <v>280</v>
      </c>
      <c r="D66" s="109">
        <v>1740.27</v>
      </c>
      <c r="E66" s="115">
        <f>D66/$D$6</f>
        <v>230.49933774834437</v>
      </c>
      <c r="F66" s="80">
        <v>45457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9</v>
      </c>
      <c r="J66" s="75">
        <f t="shared" si="11"/>
        <v>0</v>
      </c>
      <c r="K66" s="52"/>
      <c r="L66" s="54"/>
    </row>
    <row r="67" spans="1:16" s="43" customFormat="1" ht="14.25" customHeight="1" outlineLevel="1" thickBot="1">
      <c r="B67" s="46"/>
      <c r="C67" s="47" t="s">
        <v>281</v>
      </c>
      <c r="D67" s="109">
        <v>10986.74</v>
      </c>
      <c r="E67" s="115">
        <f>D67/$D$6</f>
        <v>1455.1973509933775</v>
      </c>
      <c r="F67" s="80">
        <v>45457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9</v>
      </c>
      <c r="J67" s="75">
        <f t="shared" si="11"/>
        <v>0</v>
      </c>
      <c r="K67" s="52"/>
      <c r="L67" s="54"/>
    </row>
    <row r="68" spans="1:16" s="43" customFormat="1" ht="16.5" thickBot="1">
      <c r="B68" s="46"/>
      <c r="C68" s="73" t="s">
        <v>174</v>
      </c>
      <c r="D68" s="103">
        <f>SUBTOTAL(9,D69:D69)</f>
        <v>0</v>
      </c>
      <c r="E68" s="112">
        <f>SUBTOTAL(9,E69:E69)</f>
        <v>0</v>
      </c>
    </row>
    <row r="69" spans="1:16" s="43" customFormat="1" ht="15.75" outlineLevel="1" thickBot="1">
      <c r="B69" s="46"/>
      <c r="C69" s="47" t="s">
        <v>175</v>
      </c>
      <c r="D69" s="109">
        <f>499*3*2*0</f>
        <v>0</v>
      </c>
      <c r="E69" s="115">
        <f>D69/$D$6</f>
        <v>0</v>
      </c>
      <c r="F69" s="74">
        <v>45473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19</v>
      </c>
      <c r="J69" s="75">
        <f>H69</f>
        <v>0</v>
      </c>
      <c r="K69" s="52"/>
      <c r="L69" s="54"/>
    </row>
    <row r="70" spans="1:16" s="43" customFormat="1" ht="16.5" thickBot="1">
      <c r="B70" s="87"/>
      <c r="C70" s="73" t="s">
        <v>149</v>
      </c>
      <c r="D70" s="103">
        <f>SUBTOTAL(9,D71:D72)</f>
        <v>0</v>
      </c>
      <c r="E70" s="112">
        <f>SUBTOTAL(9,E71:E72)</f>
        <v>0</v>
      </c>
      <c r="L70" s="52"/>
    </row>
    <row r="71" spans="1:16" s="43" customFormat="1" outlineLevel="1">
      <c r="B71" s="84"/>
      <c r="C71" s="47" t="s">
        <v>270</v>
      </c>
      <c r="D71" s="109">
        <v>0</v>
      </c>
      <c r="E71" s="115">
        <f>D71/$D$6</f>
        <v>0</v>
      </c>
      <c r="F71" s="74">
        <v>45473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19</v>
      </c>
      <c r="J71" s="75">
        <f>H71</f>
        <v>0</v>
      </c>
      <c r="L71" s="52"/>
    </row>
    <row r="72" spans="1:16" s="43" customFormat="1" ht="15.75" outlineLevel="1" thickBot="1">
      <c r="B72" s="84"/>
      <c r="C72" s="47" t="s">
        <v>223</v>
      </c>
      <c r="D72" s="109">
        <v>0</v>
      </c>
      <c r="E72" s="115">
        <f>D72/$D$6</f>
        <v>0</v>
      </c>
      <c r="F72" s="74">
        <v>45473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19</v>
      </c>
      <c r="J72" s="75">
        <f>H72</f>
        <v>0</v>
      </c>
      <c r="L72" s="52"/>
    </row>
    <row r="73" spans="1:16" s="43" customFormat="1" ht="14.25" customHeight="1">
      <c r="B73" s="46"/>
      <c r="C73" s="88" t="s">
        <v>150</v>
      </c>
      <c r="D73" s="120">
        <f>SUBTOTAL(9,D24:D72)</f>
        <v>480944.61834999995</v>
      </c>
      <c r="E73" s="116">
        <f>SUBTOTAL(9,E24:E72)</f>
        <v>62519.640231788086</v>
      </c>
      <c r="K73" s="39"/>
      <c r="L73" s="39"/>
      <c r="N73" s="39"/>
      <c r="O73" s="39"/>
      <c r="P73" s="39"/>
    </row>
    <row r="74" spans="1:16" ht="15.75">
      <c r="A74" s="43"/>
      <c r="E74" s="117"/>
      <c r="F74" s="89"/>
      <c r="G74" s="89"/>
      <c r="H74" s="89"/>
      <c r="I74" s="89"/>
      <c r="J74" s="89"/>
    </row>
    <row r="75" spans="1:16" ht="15.75">
      <c r="A75" s="43"/>
      <c r="C75" s="90" t="s">
        <v>151</v>
      </c>
      <c r="D75" s="121">
        <f>D19-D73</f>
        <v>199268.57289999997</v>
      </c>
      <c r="E75" s="118">
        <f>E19-E73</f>
        <v>27549.756688741705</v>
      </c>
      <c r="F75" s="91"/>
      <c r="G75" s="92"/>
      <c r="J75" s="92"/>
    </row>
    <row r="76" spans="1:16" s="93" customFormat="1" ht="15.75">
      <c r="A76" s="43"/>
      <c r="B76" s="94"/>
      <c r="C76" s="90" t="s">
        <v>152</v>
      </c>
      <c r="D76" s="95">
        <f>IF($D$19=0,0,D75/$D$19)</f>
        <v>0.29295017424436048</v>
      </c>
      <c r="E76" s="95">
        <f>IF($E$19=0,0,E75/$E$19)</f>
        <v>0.30587255639170607</v>
      </c>
      <c r="F76" s="96"/>
      <c r="G76" s="92"/>
      <c r="J76" s="97"/>
      <c r="K76" s="39"/>
      <c r="L76" s="39"/>
      <c r="N76" s="39"/>
      <c r="O76" s="39"/>
      <c r="P76" s="39"/>
    </row>
    <row r="77" spans="1:16">
      <c r="A77" s="43"/>
      <c r="F77" s="96"/>
      <c r="G77" s="92"/>
    </row>
    <row r="79" spans="1:16" ht="15.75" thickBot="1"/>
    <row r="80" spans="1:16" ht="15.75" thickBot="1">
      <c r="C80" s="135" t="s">
        <v>184</v>
      </c>
      <c r="D80" s="136" t="s">
        <v>185</v>
      </c>
      <c r="E80" s="137" t="s">
        <v>191</v>
      </c>
      <c r="F80" s="137" t="s">
        <v>186</v>
      </c>
    </row>
    <row r="81" spans="3:10">
      <c r="C81" s="138">
        <v>45446</v>
      </c>
      <c r="D81" s="139">
        <v>45452</v>
      </c>
      <c r="E81" s="149">
        <f>SUMIFS($D$23:$D$73,$F$23:$F$73,"&gt;="&amp;C81,$F$23:$F$73,"&lt;="&amp;D81,$G$23:$G$73,$D$94)</f>
        <v>0</v>
      </c>
      <c r="F81" s="154">
        <f>SUMIFS($E$23:$E$73,$F$23:$F$73,"&gt;="&amp;C81,$F$23:$F$73,"&lt;="&amp;D81,$G$23:$G$73,$D$94)</f>
        <v>0</v>
      </c>
    </row>
    <row r="82" spans="3:10">
      <c r="C82" s="140">
        <v>45453</v>
      </c>
      <c r="D82" s="141">
        <v>45459</v>
      </c>
      <c r="E82" s="150">
        <f>SUMIFS($D$23:$D$73,$F$23:$F$73,"&gt;="&amp;C82,$F$23:$F$73,"&lt;="&amp;D82,$G$23:$G$73,$D$94)</f>
        <v>0</v>
      </c>
      <c r="F82" s="155">
        <f>SUMIFS($E$23:$E$73,$F$23:$F$73,"&gt;="&amp;C82,$F$23:$F$73,"&lt;="&amp;D82,$G$23:$G$73,$D$94)</f>
        <v>0</v>
      </c>
    </row>
    <row r="83" spans="3:10">
      <c r="C83" s="140">
        <v>45460</v>
      </c>
      <c r="D83" s="141">
        <v>45466</v>
      </c>
      <c r="E83" s="150">
        <f>SUMIFS($D$23:$D$73,$F$23:$F$73,"&gt;="&amp;C83,$F$23:$F$73,"&lt;="&amp;D83,$G$23:$G$73,$D$94)</f>
        <v>0</v>
      </c>
      <c r="F83" s="155">
        <f>SUMIFS($E$23:$E$73,$F$23:$F$73,"&gt;="&amp;C83,$F$23:$F$73,"&lt;="&amp;D83,$G$23:$G$73,$D$94)</f>
        <v>0</v>
      </c>
      <c r="J83" s="445"/>
    </row>
    <row r="84" spans="3:10">
      <c r="C84" s="140">
        <v>45467</v>
      </c>
      <c r="D84" s="141">
        <v>45473</v>
      </c>
      <c r="E84" s="150">
        <f>SUMIFS($D$23:$D$73,$F$23:$F$73,"&gt;="&amp;C84,$F$23:$F$73,"&lt;="&amp;D84,$G$23:$G$73,$D$94)</f>
        <v>0</v>
      </c>
      <c r="F84" s="155">
        <f>SUMIFS($E$23:$E$73,$F$23:$F$73,"&gt;="&amp;C84,$F$23:$F$73,"&lt;="&amp;D84,$G$23:$G$73,$D$94)</f>
        <v>0</v>
      </c>
      <c r="J84" s="445"/>
    </row>
    <row r="85" spans="3:10" ht="15.75">
      <c r="C85" s="433" t="s">
        <v>187</v>
      </c>
      <c r="D85" s="433"/>
      <c r="E85" s="148">
        <f>SUM(E81:E84)</f>
        <v>0</v>
      </c>
      <c r="F85" s="144">
        <f>SUM(F81:F84)</f>
        <v>0</v>
      </c>
    </row>
    <row r="86" spans="3:10">
      <c r="D86" s="181" t="s">
        <v>298</v>
      </c>
      <c r="E86" s="181">
        <f>D73-E85</f>
        <v>480944.61834999995</v>
      </c>
      <c r="F86" s="167"/>
    </row>
    <row r="88" spans="3:10">
      <c r="C88" s="446" t="s">
        <v>317</v>
      </c>
      <c r="D88" s="446"/>
      <c r="E88" s="109">
        <f>384656.62+(4344.58*7.55)</f>
        <v>417458.19900000002</v>
      </c>
      <c r="F88" s="153">
        <f>E88/7.55</f>
        <v>55292.476688741728</v>
      </c>
    </row>
    <row r="89" spans="3:10">
      <c r="C89" s="446" t="s">
        <v>316</v>
      </c>
      <c r="D89" s="446"/>
      <c r="E89" s="109">
        <f>E84</f>
        <v>0</v>
      </c>
      <c r="F89" s="109">
        <f>F84</f>
        <v>0</v>
      </c>
    </row>
    <row r="90" spans="3:10">
      <c r="C90" s="444" t="s">
        <v>5</v>
      </c>
      <c r="D90" s="444"/>
      <c r="E90" s="152">
        <f>E88-E89</f>
        <v>417458.19900000002</v>
      </c>
      <c r="F90" s="145">
        <f>F88-F89</f>
        <v>55292.476688741728</v>
      </c>
    </row>
    <row r="93" spans="3:10">
      <c r="D93" s="43" t="s">
        <v>135</v>
      </c>
      <c r="E93" s="15">
        <f>SUMIFS($D$23:$D$77,$F$23:$F$77,"&gt;="&amp;C81,$F$23:$F$77,"&lt;="&amp;D84,$G$23:$G$77,$D$93)</f>
        <v>480944.61834999995</v>
      </c>
      <c r="F93" s="153">
        <f>SUMIFS($E$23:$E$77,$F$23:$F$77,"&gt;="&amp;C81,$F$23:$F$77,"&lt;="&amp;D84,$G$23:$G$77,$D$93)</f>
        <v>62519.640231788086</v>
      </c>
    </row>
    <row r="94" spans="3:10">
      <c r="D94" s="43" t="s">
        <v>143</v>
      </c>
      <c r="E94" s="15">
        <f>SUMIFS($D$23:$D$77,$F$23:$F$77,"&gt;="&amp;C81,$F$23:$F$77,"&lt;="&amp;D84,$G$23:$G$77,$D$94)</f>
        <v>0</v>
      </c>
      <c r="F94" s="153">
        <f>SUMIFS($E$23:$E$77,$F$23:$F$77,"&gt;="&amp;C81,$F$23:$F$77,"&lt;="&amp;D84,$G$23:$G$77,$D$94)</f>
        <v>0</v>
      </c>
    </row>
    <row r="95" spans="3:10">
      <c r="D95" s="146" t="s">
        <v>189</v>
      </c>
      <c r="E95" s="152">
        <f>SUM(E93:E94)</f>
        <v>480944.61834999995</v>
      </c>
      <c r="F95" s="145">
        <f>SUM(F93:F94)</f>
        <v>62519.640231788086</v>
      </c>
    </row>
    <row r="96" spans="3:10">
      <c r="D96" s="146" t="s">
        <v>190</v>
      </c>
      <c r="E96" s="152">
        <f>E95-D73</f>
        <v>0</v>
      </c>
      <c r="F96" s="145">
        <f>F95-E73</f>
        <v>0</v>
      </c>
    </row>
    <row r="98" spans="4:6">
      <c r="D98" s="41" t="s">
        <v>338</v>
      </c>
      <c r="E98" s="166">
        <f>$D$75</f>
        <v>199268.57289999997</v>
      </c>
    </row>
    <row r="99" spans="4:6">
      <c r="D99" s="41" t="s">
        <v>339</v>
      </c>
      <c r="E99" s="166">
        <f>('Caja QTQ'!$D$142+'Caja USD'!H53*'Flujo caja Junio '!$D$6)</f>
        <v>199268.57140000002</v>
      </c>
    </row>
    <row r="100" spans="4:6">
      <c r="D100" s="41" t="s">
        <v>85</v>
      </c>
      <c r="E100" s="166">
        <f>E98-E99</f>
        <v>1.4999999548308551E-3</v>
      </c>
      <c r="F100" s="185">
        <f>E100/7.88</f>
        <v>1.9035532421711359E-4</v>
      </c>
    </row>
    <row r="101" spans="4:6">
      <c r="E101" s="166"/>
    </row>
    <row r="104" spans="4:6">
      <c r="E104" s="166"/>
    </row>
    <row r="105" spans="4:6">
      <c r="F105" s="185"/>
    </row>
  </sheetData>
  <protectedRanges>
    <protectedRange sqref="F19:G19 D77:E77 D49:E50 D10:E12" name="Presupuestos"/>
    <protectedRange sqref="D23:E23 D8:E8" name="Presupuestos_1"/>
    <protectedRange sqref="D31:E32" name="Presupuestos_13_1"/>
    <protectedRange sqref="D34:E39" name="Presupuestos_14"/>
    <protectedRange sqref="E62 D59:E61 E56:E58" name="Presupuestos_2_1_1_1"/>
    <protectedRange sqref="K58 D58 D69:E69 E71:E72 D64:E67" name="Presupuestos_6_1_1_1"/>
    <protectedRange sqref="D62 D56:D57" name="Presupuestos_5_2_1"/>
    <protectedRange sqref="D52:E54" name="Presupuestos_7_1"/>
    <protectedRange sqref="D71:D72" name="Presupuestos_5_3"/>
    <protectedRange sqref="D41:E47" name="Presupuestos_13_1_1"/>
  </protectedRanges>
  <autoFilter ref="B23:J72" xr:uid="{00000000-0009-0000-0000-000002000000}"/>
  <mergeCells count="10">
    <mergeCell ref="C85:D85"/>
    <mergeCell ref="C88:D88"/>
    <mergeCell ref="C89:D89"/>
    <mergeCell ref="C90:D90"/>
    <mergeCell ref="D7:E7"/>
    <mergeCell ref="B14:B17"/>
    <mergeCell ref="B22:C22"/>
    <mergeCell ref="D22:E22"/>
    <mergeCell ref="B34:B39"/>
    <mergeCell ref="J83:J84"/>
  </mergeCells>
  <conditionalFormatting sqref="J25 J27:J29 J31:J32 J34:J39 J64:J67 J71:J72">
    <cfRule type="cellIs" dxfId="260" priority="21" operator="lessThan">
      <formula>0</formula>
    </cfRule>
    <cfRule type="cellIs" dxfId="259" priority="22" operator="between">
      <formula>6</formula>
      <formula>15</formula>
    </cfRule>
    <cfRule type="cellIs" dxfId="258" priority="23" operator="between">
      <formula>1</formula>
      <formula>5</formula>
    </cfRule>
    <cfRule type="cellIs" dxfId="257" priority="24" operator="between">
      <formula>16</formula>
      <formula>60</formula>
    </cfRule>
  </conditionalFormatting>
  <conditionalFormatting sqref="J41:J47">
    <cfRule type="cellIs" dxfId="256" priority="17" operator="lessThan">
      <formula>0</formula>
    </cfRule>
    <cfRule type="cellIs" dxfId="255" priority="18" operator="between">
      <formula>6</formula>
      <formula>15</formula>
    </cfRule>
    <cfRule type="cellIs" dxfId="254" priority="19" operator="between">
      <formula>1</formula>
      <formula>5</formula>
    </cfRule>
    <cfRule type="cellIs" dxfId="253" priority="20" operator="between">
      <formula>16</formula>
      <formula>60</formula>
    </cfRule>
  </conditionalFormatting>
  <conditionalFormatting sqref="J49:J50">
    <cfRule type="cellIs" dxfId="252" priority="13" operator="lessThan">
      <formula>0</formula>
    </cfRule>
    <cfRule type="cellIs" dxfId="251" priority="14" operator="between">
      <formula>6</formula>
      <formula>15</formula>
    </cfRule>
    <cfRule type="cellIs" dxfId="250" priority="15" operator="between">
      <formula>1</formula>
      <formula>5</formula>
    </cfRule>
    <cfRule type="cellIs" dxfId="249" priority="16" operator="between">
      <formula>16</formula>
      <formula>60</formula>
    </cfRule>
  </conditionalFormatting>
  <conditionalFormatting sqref="J52:J54">
    <cfRule type="cellIs" dxfId="248" priority="9" operator="lessThan">
      <formula>0</formula>
    </cfRule>
    <cfRule type="cellIs" dxfId="247" priority="10" operator="between">
      <formula>6</formula>
      <formula>15</formula>
    </cfRule>
    <cfRule type="cellIs" dxfId="246" priority="11" operator="between">
      <formula>1</formula>
      <formula>5</formula>
    </cfRule>
    <cfRule type="cellIs" dxfId="245" priority="12" operator="between">
      <formula>16</formula>
      <formula>60</formula>
    </cfRule>
  </conditionalFormatting>
  <conditionalFormatting sqref="J56:J62">
    <cfRule type="cellIs" dxfId="244" priority="5" operator="lessThan">
      <formula>0</formula>
    </cfRule>
    <cfRule type="cellIs" dxfId="243" priority="6" operator="between">
      <formula>6</formula>
      <formula>15</formula>
    </cfRule>
    <cfRule type="cellIs" dxfId="242" priority="7" operator="between">
      <formula>1</formula>
      <formula>5</formula>
    </cfRule>
    <cfRule type="cellIs" dxfId="241" priority="8" operator="between">
      <formula>16</formula>
      <formula>60</formula>
    </cfRule>
  </conditionalFormatting>
  <conditionalFormatting sqref="J69">
    <cfRule type="cellIs" dxfId="240" priority="1" operator="lessThan">
      <formula>0</formula>
    </cfRule>
    <cfRule type="cellIs" dxfId="239" priority="2" operator="between">
      <formula>6</formula>
      <formula>15</formula>
    </cfRule>
    <cfRule type="cellIs" dxfId="238" priority="3" operator="between">
      <formula>1</formula>
      <formula>5</formula>
    </cfRule>
    <cfRule type="cellIs" dxfId="237" priority="4" operator="between">
      <formula>16</formula>
      <formula>60</formula>
    </cfRule>
  </conditionalFormatting>
  <dataValidations count="2">
    <dataValidation type="list" allowBlank="1" showInputMessage="1" showErrorMessage="1" sqref="D22 D7" xr:uid="{7656322A-4CE9-42B3-BFAE-1B2CDC20D2ED}">
      <formula1>"ENERO,FEBRERO,MARZO,ABRIL,MAYO,JUNIO,JULIO,AGOSTO,SEPTIEMBRE,OCTUBRE,NOVIEMBRE,DICIEMBRE"</formula1>
    </dataValidation>
    <dataValidation type="list" allowBlank="1" showInputMessage="1" showErrorMessage="1" sqref="G41:G47 G27:G29 D93:D94 G52:G54 G78:G79 G69 G49:G50 G31:G32 G71:G72 G24:G25 G56:G62 G64:G67 G34:G39" xr:uid="{90642E62-8ADB-4903-8AEA-07A8039E1935}">
      <formula1>"Cancelado,Pagar,Sin Pagar"</formula1>
    </dataValidation>
  </dataValidations>
  <pageMargins left="0.7" right="0.7" top="0.75" bottom="0.75" header="0.3" footer="0.3"/>
  <pageSetup paperSize="9" orientation="portrait" r:id="rId1"/>
  <ignoredErrors>
    <ignoredError sqref="J25:J39 J68:J72 J41:J51 M41:M46 M40:N40 J58:J65 J54:J56 J66:J67" unlocked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3B57-72C6-4F1E-B773-5A4478468554}">
  <dimension ref="A1:S90"/>
  <sheetViews>
    <sheetView showGridLines="0" topLeftCell="A46" zoomScale="90" zoomScaleNormal="90" workbookViewId="0">
      <selection activeCell="E28" sqref="E28"/>
    </sheetView>
  </sheetViews>
  <sheetFormatPr baseColWidth="10" defaultColWidth="11.42578125" defaultRowHeight="15" outlineLevelRow="1"/>
  <cols>
    <col min="1" max="1" width="2.140625" style="39" customWidth="1"/>
    <col min="2" max="2" width="17.140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45475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7.55</v>
      </c>
      <c r="E6" s="42"/>
      <c r="I6" s="43"/>
    </row>
    <row r="7" spans="1:9" ht="15.75">
      <c r="C7" s="99"/>
      <c r="D7" s="432" t="s">
        <v>372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170811.5724</v>
      </c>
      <c r="E9" s="122">
        <f>SUBTOTAL(9,E10:E11)</f>
        <v>26393.188264900666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QTQ'!$D$142</f>
        <v>166466.99240000002</v>
      </c>
      <c r="E10" s="25">
        <f>D10/$D$6</f>
        <v>22048.608264900664</v>
      </c>
      <c r="F10" s="49"/>
    </row>
    <row r="11" spans="1:9" s="43" customFormat="1" outlineLevel="1">
      <c r="B11" s="46"/>
      <c r="C11" s="47" t="s">
        <v>154</v>
      </c>
      <c r="D11" s="15">
        <f>'Caja USD'!$H$53</f>
        <v>4344.58</v>
      </c>
      <c r="E11" s="25">
        <f>'Caja USD'!D58</f>
        <v>4344.58</v>
      </c>
      <c r="F11" s="49"/>
    </row>
    <row r="12" spans="1:9" s="43" customFormat="1" ht="15.75">
      <c r="B12" s="46"/>
      <c r="C12" s="102" t="s">
        <v>134</v>
      </c>
      <c r="D12" s="127">
        <f>SUBTOTAL(9,D13:D17)</f>
        <v>389916.26000000007</v>
      </c>
      <c r="E12" s="122">
        <f>SUBTOTAL(9,E13:E17)</f>
        <v>51644.537748344366</v>
      </c>
      <c r="F12" s="128"/>
    </row>
    <row r="13" spans="1:9" s="43" customFormat="1" outlineLevel="1">
      <c r="B13" s="447"/>
      <c r="C13" s="47" t="s">
        <v>196</v>
      </c>
      <c r="D13" s="171">
        <f>'Diferencia en cambio'!$I$25</f>
        <v>41329.252369087997</v>
      </c>
      <c r="E13" s="25">
        <f>D13/$D$6</f>
        <v>5474.0731614686092</v>
      </c>
      <c r="F13" s="128"/>
      <c r="G13" s="52"/>
    </row>
    <row r="14" spans="1:9" s="43" customFormat="1" outlineLevel="1">
      <c r="A14" s="50"/>
      <c r="B14" s="447"/>
      <c r="C14" s="47" t="s">
        <v>194</v>
      </c>
      <c r="D14" s="171">
        <f>'Diferencia en cambio'!$I$26</f>
        <v>284899.12</v>
      </c>
      <c r="E14" s="25">
        <f>D14/$D$6</f>
        <v>37734.982781456951</v>
      </c>
      <c r="F14" s="128"/>
      <c r="G14" s="184"/>
    </row>
    <row r="15" spans="1:9" s="43" customFormat="1" outlineLevel="1">
      <c r="A15" s="50"/>
      <c r="B15" s="447"/>
      <c r="C15" s="47" t="s">
        <v>193</v>
      </c>
      <c r="D15" s="171">
        <f>'Diferencia en cambio'!$I$27</f>
        <v>7197.2642727906114</v>
      </c>
      <c r="E15" s="25">
        <f>D15/$D$6</f>
        <v>953.28003613120677</v>
      </c>
      <c r="F15" s="128"/>
      <c r="G15" s="184"/>
    </row>
    <row r="16" spans="1:9" s="43" customFormat="1" outlineLevel="1">
      <c r="B16" s="447"/>
      <c r="C16" s="47" t="s">
        <v>195</v>
      </c>
      <c r="D16" s="171">
        <f>'Diferencia en cambio'!$I$28</f>
        <v>13286.47572720939</v>
      </c>
      <c r="E16" s="25">
        <f>D16/$D$6</f>
        <v>1759.7981095641576</v>
      </c>
      <c r="F16" s="128"/>
      <c r="G16" s="52"/>
    </row>
    <row r="17" spans="2:19" s="43" customFormat="1" outlineLevel="1">
      <c r="B17" s="46"/>
      <c r="C17" s="47" t="s">
        <v>299</v>
      </c>
      <c r="D17" s="171">
        <f>'Diferencia en cambio'!$I$29</f>
        <v>43204.147630911997</v>
      </c>
      <c r="E17" s="25">
        <f>D17/$D$6</f>
        <v>5722.4036597234435</v>
      </c>
      <c r="F17" s="128"/>
      <c r="G17" s="52"/>
    </row>
    <row r="18" spans="2:19" s="43" customFormat="1" ht="15.75">
      <c r="B18" s="46"/>
      <c r="C18" s="55" t="s">
        <v>136</v>
      </c>
      <c r="D18" s="123">
        <f>SUBTOTAL(9,D9:D17)</f>
        <v>560727.83240000007</v>
      </c>
      <c r="E18" s="124">
        <f>SUBTOTAL(9,E9:E17)</f>
        <v>78037.726013245032</v>
      </c>
      <c r="F18" s="56"/>
      <c r="G18" s="56"/>
      <c r="J18" s="52"/>
      <c r="K18" s="57"/>
      <c r="O18" s="58"/>
      <c r="P18" s="59"/>
      <c r="Q18" s="53"/>
    </row>
    <row r="19" spans="2:19" s="43" customFormat="1" ht="15.75">
      <c r="B19" s="46"/>
      <c r="C19" s="60"/>
      <c r="D19" s="61"/>
      <c r="E19" s="61"/>
      <c r="G19" s="62"/>
      <c r="O19" s="59"/>
      <c r="P19" s="59"/>
    </row>
    <row r="20" spans="2:19" s="43" customFormat="1" ht="15.75">
      <c r="B20" s="46"/>
      <c r="N20" s="63"/>
      <c r="O20" s="64"/>
      <c r="P20" s="65"/>
    </row>
    <row r="21" spans="2:19" s="43" customFormat="1" ht="15.75">
      <c r="B21" s="432" t="s">
        <v>137</v>
      </c>
      <c r="C21" s="432"/>
      <c r="D21" s="432" t="s">
        <v>138</v>
      </c>
      <c r="E21" s="432"/>
      <c r="K21" s="65"/>
      <c r="L21" s="65"/>
      <c r="N21" s="63"/>
      <c r="R21" s="52"/>
      <c r="S21" s="52"/>
    </row>
    <row r="22" spans="2:19" s="43" customFormat="1" ht="16.5" thickBot="1">
      <c r="B22" s="67" t="s">
        <v>81</v>
      </c>
      <c r="C22" s="68" t="s">
        <v>106</v>
      </c>
      <c r="D22" s="110" t="s">
        <v>168</v>
      </c>
      <c r="E22" s="110" t="s">
        <v>169</v>
      </c>
      <c r="F22" s="69" t="s">
        <v>140</v>
      </c>
      <c r="G22" s="63" t="s">
        <v>141</v>
      </c>
      <c r="H22" s="63"/>
      <c r="I22" s="63"/>
      <c r="J22" s="70" t="s">
        <v>142</v>
      </c>
      <c r="N22" s="71"/>
      <c r="R22" s="52"/>
      <c r="S22" s="72"/>
    </row>
    <row r="23" spans="2:19" s="43" customFormat="1" ht="16.5" thickBot="1">
      <c r="B23" s="46"/>
      <c r="C23" s="73" t="s">
        <v>155</v>
      </c>
      <c r="D23" s="103">
        <f>SUBTOTAL(9,D24:D24)</f>
        <v>43669.120000000003</v>
      </c>
      <c r="E23" s="112">
        <f>SUBTOTAL(9,E24:E24)</f>
        <v>4032.9033112582779</v>
      </c>
      <c r="F23" s="74"/>
      <c r="J23" s="76"/>
    </row>
    <row r="24" spans="2:19" s="43" customFormat="1" ht="15.75" outlineLevel="1" thickBot="1">
      <c r="B24" s="77">
        <v>176206200</v>
      </c>
      <c r="C24" s="78" t="s">
        <v>333</v>
      </c>
      <c r="D24" s="109">
        <f>43669.12</f>
        <v>43669.120000000003</v>
      </c>
      <c r="E24" s="115">
        <f>30448.42/$D$6</f>
        <v>4032.9033112582779</v>
      </c>
      <c r="F24" s="80">
        <v>45483</v>
      </c>
      <c r="G24" s="43" t="s">
        <v>135</v>
      </c>
      <c r="H24" s="43">
        <f>IF(OR(G24="Sin pagar",G24="Pagar"),NETWORKDAYS($E$4,F24,'Festivos Guatemala'!$A$3:$A$15),0)</f>
        <v>0</v>
      </c>
      <c r="I24" s="43">
        <f>NETWORKDAYS($E$4,F24,'Festivos Guatemala'!$A$3:$A$15)</f>
        <v>7</v>
      </c>
      <c r="J24" s="75">
        <f>H24</f>
        <v>0</v>
      </c>
      <c r="K24" s="52"/>
      <c r="L24" s="52"/>
    </row>
    <row r="25" spans="2:19" s="43" customFormat="1" ht="16.5" thickBot="1">
      <c r="B25" s="46"/>
      <c r="C25" s="73" t="s">
        <v>144</v>
      </c>
      <c r="D25" s="103">
        <f>SUBTOTAL(9,D26:D30)</f>
        <v>15152.009999999998</v>
      </c>
      <c r="E25" s="112">
        <f>SUBTOTAL(9,E26:E30)</f>
        <v>2006.8887417218543</v>
      </c>
      <c r="J25" s="76">
        <f t="shared" ref="J25:J33" si="0">H25</f>
        <v>0</v>
      </c>
    </row>
    <row r="26" spans="2:19" s="43" customFormat="1" outlineLevel="1">
      <c r="B26" s="46">
        <v>42629341546</v>
      </c>
      <c r="C26" s="47" t="s">
        <v>334</v>
      </c>
      <c r="D26" s="109">
        <v>12837.81</v>
      </c>
      <c r="E26" s="115">
        <f>D26/$D$6</f>
        <v>1700.3721854304636</v>
      </c>
      <c r="F26" s="80">
        <v>45488</v>
      </c>
      <c r="G26" s="43" t="s">
        <v>135</v>
      </c>
      <c r="H26" s="43">
        <f>IF(OR(G26="Sin pagar",G26="Pagar"),NETWORKDAYS($E$4,F26,'Festivos Guatemala'!$A$3:$A$15),0)</f>
        <v>0</v>
      </c>
      <c r="I26" s="43">
        <f>NETWORKDAYS($E$4,F26,'Festivos Guatemala'!$A$3:$A$15)</f>
        <v>10</v>
      </c>
      <c r="J26" s="75">
        <f>H26</f>
        <v>0</v>
      </c>
      <c r="K26" s="48"/>
      <c r="L26" s="57"/>
    </row>
    <row r="27" spans="2:19" s="43" customFormat="1" outlineLevel="1">
      <c r="B27" s="168">
        <v>426295952621</v>
      </c>
      <c r="C27" s="47" t="s">
        <v>335</v>
      </c>
      <c r="D27" s="109">
        <v>1755.82</v>
      </c>
      <c r="E27" s="115">
        <f>D27/$D$6</f>
        <v>232.55894039735099</v>
      </c>
      <c r="F27" s="80">
        <v>45488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10</v>
      </c>
      <c r="J27" s="75">
        <f>H27</f>
        <v>0</v>
      </c>
      <c r="K27" s="48"/>
      <c r="L27" s="57"/>
    </row>
    <row r="28" spans="2:19" s="43" customFormat="1" outlineLevel="1">
      <c r="B28" s="168">
        <v>43589111783</v>
      </c>
      <c r="C28" s="47" t="s">
        <v>371</v>
      </c>
      <c r="D28" s="109">
        <v>0</v>
      </c>
      <c r="E28" s="115">
        <f>D28/$D$6</f>
        <v>0</v>
      </c>
      <c r="F28" s="80">
        <v>45504</v>
      </c>
      <c r="G28" s="43" t="s">
        <v>135</v>
      </c>
      <c r="H28" s="43">
        <f>IF(OR(G28="Sin pagar",G28="Pagar"),NETWORKDAYS($E$4,F28,'Festivos Guatemala'!$A$3:$A$15),0)</f>
        <v>0</v>
      </c>
      <c r="I28" s="43">
        <f>NETWORKDAYS($E$4,F28,'Festivos Guatemala'!$A$3:$A$15)</f>
        <v>22</v>
      </c>
      <c r="J28" s="75">
        <f>H28</f>
        <v>0</v>
      </c>
      <c r="K28" s="48"/>
      <c r="L28" s="57"/>
    </row>
    <row r="29" spans="2:19" s="43" customFormat="1" outlineLevel="1">
      <c r="B29" s="168">
        <v>43631922735</v>
      </c>
      <c r="C29" s="47" t="s">
        <v>369</v>
      </c>
      <c r="D29" s="109">
        <v>558.38</v>
      </c>
      <c r="E29" s="115">
        <f>D29/$D$6</f>
        <v>73.957615894039733</v>
      </c>
      <c r="F29" s="80">
        <v>45504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22</v>
      </c>
      <c r="J29" s="75">
        <f>H29</f>
        <v>0</v>
      </c>
      <c r="K29" s="48"/>
      <c r="L29" s="57"/>
    </row>
    <row r="30" spans="2:19" s="43" customFormat="1" ht="15.75" outlineLevel="1" thickBot="1">
      <c r="B30" s="168">
        <v>43640140958</v>
      </c>
      <c r="C30" s="47" t="s">
        <v>368</v>
      </c>
      <c r="D30" s="109">
        <v>0</v>
      </c>
      <c r="E30" s="115">
        <f>D30/$D$6</f>
        <v>0</v>
      </c>
      <c r="F30" s="80">
        <v>45504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22</v>
      </c>
      <c r="J30" s="75">
        <f>H30</f>
        <v>0</v>
      </c>
      <c r="K30" s="48"/>
      <c r="L30" s="57"/>
    </row>
    <row r="31" spans="2:19" s="43" customFormat="1" ht="16.5" thickBot="1">
      <c r="B31" s="46"/>
      <c r="C31" s="73" t="s">
        <v>163</v>
      </c>
      <c r="D31" s="103">
        <f>SUBTOTAL(9,D32:D33)</f>
        <v>2040</v>
      </c>
      <c r="E31" s="112">
        <f>SUBTOTAL(9,E32:E33)</f>
        <v>270.19867549668874</v>
      </c>
      <c r="J31" s="76">
        <f t="shared" si="0"/>
        <v>0</v>
      </c>
      <c r="K31" s="52"/>
      <c r="L31" s="52"/>
    </row>
    <row r="32" spans="2:19" s="43" customFormat="1" outlineLevel="1">
      <c r="B32" s="46"/>
      <c r="C32" s="47" t="s">
        <v>336</v>
      </c>
      <c r="D32" s="104">
        <v>840</v>
      </c>
      <c r="E32" s="113">
        <f t="shared" ref="E32:E33" si="1">D32/$D$6</f>
        <v>111.25827814569537</v>
      </c>
      <c r="F32" s="80">
        <v>45483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7</v>
      </c>
      <c r="J32" s="75">
        <f t="shared" si="0"/>
        <v>0</v>
      </c>
      <c r="N32" s="49"/>
    </row>
    <row r="33" spans="2:16" s="43" customFormat="1" ht="15.75" outlineLevel="1" thickBot="1">
      <c r="B33" s="46">
        <v>922</v>
      </c>
      <c r="C33" s="47" t="s">
        <v>244</v>
      </c>
      <c r="D33" s="104">
        <f>1200</f>
        <v>1200</v>
      </c>
      <c r="E33" s="113">
        <f t="shared" si="1"/>
        <v>158.94039735099338</v>
      </c>
      <c r="F33" s="74">
        <v>45485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9</v>
      </c>
      <c r="J33" s="75">
        <f t="shared" si="0"/>
        <v>0</v>
      </c>
      <c r="N33" s="49"/>
    </row>
    <row r="34" spans="2:16" s="43" customFormat="1" ht="16.5" thickBot="1">
      <c r="C34" s="73" t="s">
        <v>146</v>
      </c>
      <c r="D34" s="103">
        <f>SUBTOTAL(9,D35:D43)</f>
        <v>11165.958500000001</v>
      </c>
      <c r="E34" s="112">
        <f>SUBTOTAL(9,E35:E43)</f>
        <v>1478.9349006622517</v>
      </c>
      <c r="K34" s="49"/>
      <c r="L34" s="49"/>
      <c r="O34" s="49"/>
      <c r="P34" s="49"/>
    </row>
    <row r="35" spans="2:16" s="43" customFormat="1" outlineLevel="1">
      <c r="C35" s="47" t="s">
        <v>275</v>
      </c>
      <c r="D35" s="104">
        <v>1828.6</v>
      </c>
      <c r="E35" s="113">
        <f>D35/$D$6</f>
        <v>242.19867549668874</v>
      </c>
      <c r="F35" s="74">
        <v>45475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1</v>
      </c>
      <c r="J35" s="75">
        <f t="shared" ref="J35:J37" si="2">H35</f>
        <v>0</v>
      </c>
    </row>
    <row r="36" spans="2:16" s="43" customFormat="1" ht="14.25" customHeight="1" outlineLevel="1">
      <c r="C36" s="47" t="s">
        <v>277</v>
      </c>
      <c r="D36" s="104">
        <v>888.15</v>
      </c>
      <c r="E36" s="113">
        <f>D36/$D$6</f>
        <v>117.63576158940397</v>
      </c>
      <c r="F36" s="74">
        <v>45475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1</v>
      </c>
      <c r="J36" s="75">
        <f t="shared" si="2"/>
        <v>0</v>
      </c>
      <c r="K36" s="49"/>
      <c r="L36" s="49"/>
      <c r="O36" s="49"/>
      <c r="P36" s="49"/>
    </row>
    <row r="37" spans="2:16" s="43" customFormat="1" outlineLevel="1">
      <c r="C37" s="47" t="s">
        <v>276</v>
      </c>
      <c r="D37" s="104">
        <v>903.72</v>
      </c>
      <c r="E37" s="113">
        <f>D37/$D$6</f>
        <v>119.69801324503312</v>
      </c>
      <c r="F37" s="74">
        <v>45475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1</v>
      </c>
      <c r="J37" s="75">
        <f t="shared" si="2"/>
        <v>0</v>
      </c>
    </row>
    <row r="38" spans="2:16" s="43" customFormat="1" ht="14.25" customHeight="1" outlineLevel="1">
      <c r="B38" s="186"/>
      <c r="C38" s="47" t="s">
        <v>272</v>
      </c>
      <c r="D38" s="104">
        <f>E38*$D$6</f>
        <v>415.77850000000001</v>
      </c>
      <c r="E38" s="113">
        <v>55.07</v>
      </c>
      <c r="F38" s="74">
        <v>45496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16</v>
      </c>
      <c r="J38" s="75">
        <f t="shared" ref="J38:J43" si="3">H38</f>
        <v>0</v>
      </c>
      <c r="K38" s="49"/>
      <c r="L38" s="49"/>
      <c r="O38" s="49"/>
      <c r="P38" s="49"/>
    </row>
    <row r="39" spans="2:16" s="43" customFormat="1" outlineLevel="1">
      <c r="B39" s="186"/>
      <c r="C39" s="47" t="s">
        <v>273</v>
      </c>
      <c r="D39" s="104">
        <f>E39*$D$6</f>
        <v>1958.9985000000001</v>
      </c>
      <c r="E39" s="113">
        <v>259.47000000000003</v>
      </c>
      <c r="F39" s="74">
        <v>45496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16</v>
      </c>
      <c r="J39" s="75">
        <f t="shared" si="3"/>
        <v>0</v>
      </c>
    </row>
    <row r="40" spans="2:16" s="43" customFormat="1" outlineLevel="1">
      <c r="B40" s="186"/>
      <c r="C40" s="47" t="s">
        <v>274</v>
      </c>
      <c r="D40" s="104">
        <f>E40*$D$6</f>
        <v>1550.2415000000001</v>
      </c>
      <c r="E40" s="113">
        <v>205.33</v>
      </c>
      <c r="F40" s="74">
        <v>45496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16</v>
      </c>
      <c r="J40" s="75">
        <f t="shared" si="3"/>
        <v>0</v>
      </c>
    </row>
    <row r="41" spans="2:16" s="43" customFormat="1" ht="14.25" customHeight="1" outlineLevel="1">
      <c r="B41" s="186"/>
      <c r="C41" s="47" t="s">
        <v>277</v>
      </c>
      <c r="D41" s="104">
        <v>888.15</v>
      </c>
      <c r="E41" s="113">
        <f>D41/$D$6</f>
        <v>117.63576158940397</v>
      </c>
      <c r="F41" s="74">
        <v>45496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16</v>
      </c>
      <c r="J41" s="75">
        <f t="shared" si="3"/>
        <v>0</v>
      </c>
      <c r="K41" s="49"/>
      <c r="L41" s="49"/>
      <c r="O41" s="49"/>
      <c r="P41" s="49"/>
    </row>
    <row r="42" spans="2:16" s="43" customFormat="1" outlineLevel="1">
      <c r="B42" s="186"/>
      <c r="C42" s="47" t="s">
        <v>276</v>
      </c>
      <c r="D42" s="104">
        <v>903.72</v>
      </c>
      <c r="E42" s="113">
        <f>D42/$D$6</f>
        <v>119.69801324503312</v>
      </c>
      <c r="F42" s="74">
        <v>45496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16</v>
      </c>
      <c r="J42" s="75">
        <f t="shared" si="3"/>
        <v>0</v>
      </c>
    </row>
    <row r="43" spans="2:16" s="43" customFormat="1" ht="15.75" outlineLevel="1" thickBot="1">
      <c r="B43" s="186"/>
      <c r="C43" s="47" t="s">
        <v>275</v>
      </c>
      <c r="D43" s="104">
        <v>1828.6</v>
      </c>
      <c r="E43" s="113">
        <f>D43/$D$6</f>
        <v>242.19867549668874</v>
      </c>
      <c r="F43" s="74">
        <v>45496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16</v>
      </c>
      <c r="J43" s="75">
        <f t="shared" si="3"/>
        <v>0</v>
      </c>
    </row>
    <row r="44" spans="2:16" s="43" customFormat="1" ht="16.5" thickBot="1">
      <c r="B44" s="82"/>
      <c r="C44" s="85" t="s">
        <v>162</v>
      </c>
      <c r="D44" s="119">
        <f>SUBTOTAL(9,D45:D46)</f>
        <v>0</v>
      </c>
      <c r="E44" s="114">
        <f>SUBTOTAL(9,E45:E46)</f>
        <v>0</v>
      </c>
      <c r="K44" s="52"/>
      <c r="M44" s="183">
        <f>SUM(M45:M45)</f>
        <v>17820150.079700001</v>
      </c>
      <c r="N44" s="183">
        <f>11000*4145.1</f>
        <v>45596100.000000007</v>
      </c>
    </row>
    <row r="45" spans="2:16" s="43" customFormat="1" outlineLevel="1">
      <c r="B45" s="81">
        <v>4944</v>
      </c>
      <c r="C45" s="47" t="s">
        <v>337</v>
      </c>
      <c r="D45" s="104">
        <f t="shared" ref="D45" si="4">E45*$D$6</f>
        <v>0</v>
      </c>
      <c r="E45" s="113">
        <f>((1507.5)*0)</f>
        <v>0</v>
      </c>
      <c r="F45" s="74">
        <v>45499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19</v>
      </c>
      <c r="J45" s="75">
        <f t="shared" ref="J45" si="5">H45</f>
        <v>0</v>
      </c>
      <c r="M45" s="104">
        <f>(11000-6433.81)*3902.63</f>
        <v>17820150.079700001</v>
      </c>
      <c r="N45" s="49"/>
    </row>
    <row r="46" spans="2:16" s="43" customFormat="1" ht="15.75" outlineLevel="1" thickBot="1">
      <c r="B46" s="81">
        <v>5027</v>
      </c>
      <c r="C46" s="47" t="s">
        <v>341</v>
      </c>
      <c r="D46" s="104">
        <f t="shared" ref="D46" si="6">E46*$D$6</f>
        <v>0</v>
      </c>
      <c r="E46" s="113">
        <f>1281.5*0</f>
        <v>0</v>
      </c>
      <c r="F46" s="74">
        <v>45499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19</v>
      </c>
      <c r="J46" s="75">
        <f t="shared" ref="J46" si="7">H46</f>
        <v>0</v>
      </c>
      <c r="M46" s="104">
        <f>(11000-6433.81)*3902.63</f>
        <v>17820150.079700001</v>
      </c>
      <c r="N46" s="49"/>
    </row>
    <row r="47" spans="2:16" s="43" customFormat="1" ht="16.5" thickBot="1">
      <c r="B47" s="46"/>
      <c r="C47" s="73" t="s">
        <v>147</v>
      </c>
      <c r="D47" s="103">
        <f>SUBTOTAL(9,D48:D49)</f>
        <v>0</v>
      </c>
      <c r="E47" s="112">
        <f>SUBTOTAL(9,E48:E49)</f>
        <v>0</v>
      </c>
    </row>
    <row r="48" spans="2:16" s="43" customFormat="1" outlineLevel="1">
      <c r="B48" s="46"/>
      <c r="C48" s="47" t="s">
        <v>167</v>
      </c>
      <c r="D48" s="104">
        <f>(((4000000/4150)*$D$6))*0</f>
        <v>0</v>
      </c>
      <c r="E48" s="113">
        <f>D48/D6</f>
        <v>0</v>
      </c>
      <c r="F48" s="74">
        <v>45499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19</v>
      </c>
      <c r="J48" s="75">
        <f>H48</f>
        <v>0</v>
      </c>
    </row>
    <row r="49" spans="2:12" s="43" customFormat="1" ht="15.75" outlineLevel="1" thickBot="1">
      <c r="B49" s="46"/>
      <c r="C49" s="47" t="s">
        <v>182</v>
      </c>
      <c r="D49" s="104">
        <f>(((4000000/4150)*$D$6))*0</f>
        <v>0</v>
      </c>
      <c r="E49" s="113">
        <f>D49/D6</f>
        <v>0</v>
      </c>
      <c r="F49" s="74">
        <v>45499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19</v>
      </c>
      <c r="J49" s="75">
        <f>H49</f>
        <v>0</v>
      </c>
    </row>
    <row r="50" spans="2:12" s="43" customFormat="1" ht="15.75" customHeight="1" thickBot="1">
      <c r="C50" s="73" t="s">
        <v>148</v>
      </c>
      <c r="D50" s="103">
        <f>SUBTOTAL(9,D51:D51)</f>
        <v>0</v>
      </c>
      <c r="E50" s="112">
        <f>SUBTOTAL(9,E51:E51)</f>
        <v>0</v>
      </c>
    </row>
    <row r="51" spans="2:12" s="43" customFormat="1" ht="15.75" outlineLevel="1" thickBot="1">
      <c r="B51" s="46"/>
      <c r="C51" s="47" t="s">
        <v>117</v>
      </c>
      <c r="D51" s="109">
        <v>0</v>
      </c>
      <c r="E51" s="115">
        <f>D51/$D$6</f>
        <v>0</v>
      </c>
      <c r="F51" s="74">
        <v>45503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21</v>
      </c>
      <c r="J51" s="75">
        <f>H51</f>
        <v>0</v>
      </c>
    </row>
    <row r="52" spans="2:12" s="43" customFormat="1" ht="16.5" thickBot="1">
      <c r="C52" s="73" t="s">
        <v>164</v>
      </c>
      <c r="D52" s="103">
        <f>SUBTOTAL(9,D53:D60)</f>
        <v>270409.53000000003</v>
      </c>
      <c r="E52" s="112">
        <f>SUBTOTAL(9,E53:E60)</f>
        <v>35815.831788079478</v>
      </c>
      <c r="K52" s="52"/>
      <c r="L52" s="86"/>
    </row>
    <row r="53" spans="2:12" s="43" customFormat="1" outlineLevel="1">
      <c r="B53" s="83"/>
      <c r="C53" s="47" t="s">
        <v>176</v>
      </c>
      <c r="D53" s="109">
        <v>13922</v>
      </c>
      <c r="E53" s="115">
        <f t="shared" ref="E53:E59" si="8">D53/$D$6</f>
        <v>1843.9735099337749</v>
      </c>
      <c r="F53" s="74">
        <v>45475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</v>
      </c>
      <c r="J53" s="75">
        <f t="shared" ref="J53:J59" si="9">H53</f>
        <v>0</v>
      </c>
      <c r="L53" s="52"/>
    </row>
    <row r="54" spans="2:12" s="43" customFormat="1" outlineLevel="1">
      <c r="B54" s="83"/>
      <c r="C54" s="47" t="s">
        <v>315</v>
      </c>
      <c r="D54" s="104">
        <v>29515.65</v>
      </c>
      <c r="E54" s="115">
        <f t="shared" si="8"/>
        <v>3909.35761589404</v>
      </c>
      <c r="F54" s="74">
        <v>45499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19</v>
      </c>
      <c r="J54" s="75">
        <f t="shared" si="9"/>
        <v>0</v>
      </c>
      <c r="L54" s="52"/>
    </row>
    <row r="55" spans="2:12" s="43" customFormat="1" outlineLevel="1">
      <c r="B55" s="46"/>
      <c r="C55" s="47" t="s">
        <v>177</v>
      </c>
      <c r="D55" s="104">
        <v>24970.21</v>
      </c>
      <c r="E55" s="115">
        <f t="shared" si="8"/>
        <v>3307.312582781457</v>
      </c>
      <c r="F55" s="74">
        <v>45499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19</v>
      </c>
      <c r="J55" s="75">
        <f t="shared" si="9"/>
        <v>0</v>
      </c>
      <c r="K55" s="48"/>
      <c r="L55" s="48"/>
    </row>
    <row r="56" spans="2:12" s="43" customFormat="1" outlineLevel="1">
      <c r="B56" s="46"/>
      <c r="C56" s="47" t="s">
        <v>178</v>
      </c>
      <c r="D56" s="104">
        <v>84891.41</v>
      </c>
      <c r="E56" s="115">
        <f t="shared" si="8"/>
        <v>11243.895364238411</v>
      </c>
      <c r="F56" s="74">
        <v>45499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si="9"/>
        <v>0</v>
      </c>
      <c r="L56" s="52"/>
    </row>
    <row r="57" spans="2:12" s="43" customFormat="1" outlineLevel="1">
      <c r="B57" s="46"/>
      <c r="C57" s="47" t="s">
        <v>179</v>
      </c>
      <c r="D57" s="104">
        <v>72752.58</v>
      </c>
      <c r="E57" s="115">
        <f t="shared" si="8"/>
        <v>9636.1033112582791</v>
      </c>
      <c r="F57" s="74">
        <v>45499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si="9"/>
        <v>0</v>
      </c>
      <c r="K57" s="52"/>
      <c r="L57" s="57"/>
    </row>
    <row r="58" spans="2:12" s="43" customFormat="1" outlineLevel="1">
      <c r="B58" s="46"/>
      <c r="C58" s="47" t="s">
        <v>165</v>
      </c>
      <c r="D58" s="104">
        <v>10382.76</v>
      </c>
      <c r="E58" s="115">
        <f t="shared" si="8"/>
        <v>1375.2</v>
      </c>
      <c r="F58" s="74">
        <v>45499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9"/>
        <v>0</v>
      </c>
      <c r="L58" s="52"/>
    </row>
    <row r="59" spans="2:12" s="43" customFormat="1" ht="14.25" customHeight="1" outlineLevel="1">
      <c r="B59" s="83"/>
      <c r="C59" s="47" t="s">
        <v>166</v>
      </c>
      <c r="D59" s="104">
        <v>5732.9</v>
      </c>
      <c r="E59" s="115">
        <f t="shared" si="8"/>
        <v>759.32450331125824</v>
      </c>
      <c r="F59" s="74">
        <v>45499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 t="shared" si="9"/>
        <v>0</v>
      </c>
      <c r="L59" s="52"/>
    </row>
    <row r="60" spans="2:12" s="43" customFormat="1" ht="15.75" outlineLevel="1" thickBot="1">
      <c r="B60" s="83"/>
      <c r="C60" s="47" t="s">
        <v>176</v>
      </c>
      <c r="D60" s="104">
        <v>28242.02</v>
      </c>
      <c r="E60" s="115">
        <f t="shared" ref="E60" si="10">D60/$D$6</f>
        <v>3740.664900662252</v>
      </c>
      <c r="F60" s="74">
        <v>45499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 t="shared" ref="J60" si="11">H60</f>
        <v>0</v>
      </c>
      <c r="L60" s="52"/>
    </row>
    <row r="61" spans="2:12" s="43" customFormat="1" ht="16.5" thickBot="1">
      <c r="B61" s="46"/>
      <c r="C61" s="73" t="s">
        <v>173</v>
      </c>
      <c r="D61" s="103">
        <f>SUBTOTAL(9,D62:D66)</f>
        <v>27968.851499999997</v>
      </c>
      <c r="E61" s="112">
        <f>SUBTOTAL(9,E62:E66)</f>
        <v>3704.4836423841061</v>
      </c>
    </row>
    <row r="62" spans="2:12" s="43" customFormat="1" ht="14.25" customHeight="1" outlineLevel="1">
      <c r="B62" s="46"/>
      <c r="C62" s="47" t="s">
        <v>279</v>
      </c>
      <c r="D62" s="109">
        <f>E62*$D$6</f>
        <v>11661.654499999999</v>
      </c>
      <c r="E62" s="115">
        <v>1544.59</v>
      </c>
      <c r="F62" s="74">
        <v>45503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21</v>
      </c>
      <c r="J62" s="75">
        <f t="shared" ref="J62:J65" si="12">H62</f>
        <v>0</v>
      </c>
      <c r="K62" s="52"/>
      <c r="L62" s="54"/>
    </row>
    <row r="63" spans="2:12" s="43" customFormat="1" outlineLevel="1">
      <c r="B63" s="46"/>
      <c r="C63" s="47" t="s">
        <v>278</v>
      </c>
      <c r="D63" s="109">
        <f>E63*$D$6</f>
        <v>6888.1670000000004</v>
      </c>
      <c r="E63" s="115">
        <v>912.34</v>
      </c>
      <c r="F63" s="74">
        <v>45499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19</v>
      </c>
      <c r="J63" s="75">
        <f t="shared" si="12"/>
        <v>0</v>
      </c>
      <c r="K63" s="52"/>
      <c r="L63" s="54"/>
    </row>
    <row r="64" spans="2:12" s="43" customFormat="1" outlineLevel="1">
      <c r="B64" s="46"/>
      <c r="C64" s="47" t="s">
        <v>280</v>
      </c>
      <c r="D64" s="109">
        <v>4796.53</v>
      </c>
      <c r="E64" s="115">
        <f>D64/$D$6</f>
        <v>635.30198675496683</v>
      </c>
      <c r="F64" s="74">
        <v>45503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21</v>
      </c>
      <c r="J64" s="75">
        <f t="shared" si="12"/>
        <v>0</v>
      </c>
      <c r="K64" s="52"/>
      <c r="L64" s="54"/>
    </row>
    <row r="65" spans="1:16" s="43" customFormat="1" ht="14.25" customHeight="1" outlineLevel="1">
      <c r="B65" s="46"/>
      <c r="C65" s="47" t="s">
        <v>281</v>
      </c>
      <c r="D65" s="109">
        <v>4622.5</v>
      </c>
      <c r="E65" s="115">
        <f>D65/$D$6</f>
        <v>612.25165562913912</v>
      </c>
      <c r="F65" s="74">
        <v>45503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21</v>
      </c>
      <c r="J65" s="75">
        <f t="shared" si="12"/>
        <v>0</v>
      </c>
      <c r="K65" s="52"/>
      <c r="L65" s="54"/>
    </row>
    <row r="66" spans="1:16" s="43" customFormat="1" ht="15.75" outlineLevel="1" thickBot="1">
      <c r="B66" s="46"/>
      <c r="C66" s="47" t="s">
        <v>175</v>
      </c>
      <c r="D66" s="109">
        <f>499*3*3*0</f>
        <v>0</v>
      </c>
      <c r="E66" s="115">
        <f>D66/$D$6</f>
        <v>0</v>
      </c>
      <c r="F66" s="74">
        <v>45503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21</v>
      </c>
      <c r="J66" s="75">
        <f>H66</f>
        <v>0</v>
      </c>
      <c r="K66" s="52"/>
      <c r="L66" s="54"/>
    </row>
    <row r="67" spans="1:16" s="43" customFormat="1" ht="16.5" thickBot="1">
      <c r="B67" s="87"/>
      <c r="C67" s="73" t="s">
        <v>149</v>
      </c>
      <c r="D67" s="103">
        <f>SUBTOTAL(9,D68:D69)</f>
        <v>223.15</v>
      </c>
      <c r="E67" s="112">
        <f>SUBTOTAL(9,E68:E69)</f>
        <v>29.556291390728479</v>
      </c>
      <c r="L67" s="52"/>
    </row>
    <row r="68" spans="1:16" s="43" customFormat="1" outlineLevel="1">
      <c r="B68" s="84"/>
      <c r="C68" s="47" t="s">
        <v>349</v>
      </c>
      <c r="D68" s="109">
        <v>223.15</v>
      </c>
      <c r="E68" s="115">
        <f>D68/$D$6</f>
        <v>29.556291390728479</v>
      </c>
      <c r="F68" s="74">
        <v>45488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10</v>
      </c>
      <c r="J68" s="75">
        <f>H68</f>
        <v>0</v>
      </c>
      <c r="L68" s="52"/>
    </row>
    <row r="69" spans="1:16" s="43" customFormat="1" ht="15.75" outlineLevel="1" thickBot="1">
      <c r="B69" s="84"/>
      <c r="C69" s="47" t="s">
        <v>223</v>
      </c>
      <c r="D69" s="109">
        <v>0</v>
      </c>
      <c r="E69" s="115">
        <f>D69/$D$6</f>
        <v>0</v>
      </c>
      <c r="F69" s="74">
        <v>45503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21</v>
      </c>
      <c r="J69" s="75">
        <f>H69</f>
        <v>0</v>
      </c>
      <c r="L69" s="52"/>
    </row>
    <row r="70" spans="1:16" s="43" customFormat="1" ht="14.25" customHeight="1">
      <c r="B70" s="46"/>
      <c r="C70" s="88" t="s">
        <v>150</v>
      </c>
      <c r="D70" s="120">
        <f>SUBTOTAL(9,D23:D69)</f>
        <v>370628.62000000011</v>
      </c>
      <c r="E70" s="116">
        <f>SUBTOTAL(9,E23:E69)</f>
        <v>47338.797350993373</v>
      </c>
      <c r="K70" s="39"/>
      <c r="L70" s="39"/>
      <c r="N70" s="39"/>
      <c r="O70" s="39"/>
      <c r="P70" s="39"/>
    </row>
    <row r="71" spans="1:16" ht="15.75">
      <c r="A71" s="43"/>
      <c r="E71" s="117"/>
      <c r="F71" s="89"/>
      <c r="G71" s="89"/>
      <c r="H71" s="89"/>
      <c r="I71" s="89"/>
      <c r="J71" s="89"/>
    </row>
    <row r="72" spans="1:16" ht="15.75">
      <c r="A72" s="43"/>
      <c r="C72" s="90" t="s">
        <v>151</v>
      </c>
      <c r="D72" s="121">
        <f>D18-D70</f>
        <v>190099.21239999996</v>
      </c>
      <c r="E72" s="118">
        <f>E18-E70</f>
        <v>30698.928662251659</v>
      </c>
      <c r="F72" s="91"/>
      <c r="G72" s="92"/>
      <c r="J72" s="92"/>
    </row>
    <row r="73" spans="1:16" s="93" customFormat="1" ht="15.75">
      <c r="A73" s="43"/>
      <c r="B73" s="94"/>
      <c r="C73" s="90" t="s">
        <v>152</v>
      </c>
      <c r="D73" s="95">
        <f>IF($D$18=0,0,D72/$D$18)</f>
        <v>0.33902225182286122</v>
      </c>
      <c r="E73" s="95">
        <f>IF($E$18=0,0,E72/$E$18)</f>
        <v>0.39338574085361294</v>
      </c>
      <c r="F73" s="96"/>
      <c r="G73" s="92"/>
      <c r="J73" s="97"/>
      <c r="K73" s="39"/>
      <c r="L73" s="39"/>
      <c r="N73" s="39"/>
      <c r="O73" s="39"/>
      <c r="P73" s="39"/>
    </row>
    <row r="74" spans="1:16" ht="15.75" thickBot="1">
      <c r="A74" s="43"/>
      <c r="F74" s="96"/>
      <c r="G74" s="92"/>
    </row>
    <row r="75" spans="1:16" ht="15.75" thickBot="1">
      <c r="A75" s="43"/>
      <c r="C75" s="135" t="s">
        <v>184</v>
      </c>
      <c r="D75" s="136" t="s">
        <v>185</v>
      </c>
      <c r="E75" s="137" t="s">
        <v>191</v>
      </c>
      <c r="F75" s="137" t="s">
        <v>186</v>
      </c>
      <c r="G75" s="92"/>
    </row>
    <row r="76" spans="1:16">
      <c r="A76" s="43"/>
      <c r="C76" s="187">
        <v>45474</v>
      </c>
      <c r="D76" s="188">
        <v>45480</v>
      </c>
      <c r="E76" s="189">
        <f>SUMIFS($D$23:$D$73,$F$23:$F$73,"&gt;="&amp;C76,$F$23:$F$73,"&lt;="&amp;D76,$G$23:$G$73,$D$84)</f>
        <v>0</v>
      </c>
      <c r="F76" s="190">
        <f>SUMIFS($E$23:$E$73,$F$23:$F$73,"&gt;="&amp;C76,$F$23:$F$73,"&lt;="&amp;D76,$G$23:$G$73,$D$84)</f>
        <v>0</v>
      </c>
      <c r="G76" s="92"/>
    </row>
    <row r="77" spans="1:16">
      <c r="A77" s="43"/>
      <c r="C77" s="191">
        <v>45481</v>
      </c>
      <c r="D77" s="192">
        <v>45487</v>
      </c>
      <c r="E77" s="193">
        <f>SUMIFS($D$23:$D$73,$F$23:$F$73,"&gt;="&amp;C77,$F$23:$F$73,"&lt;="&amp;D77,$G$23:$G$73,$D$84)</f>
        <v>0</v>
      </c>
      <c r="F77" s="194">
        <f>SUMIFS($E$23:$E$73,$F$23:$F$73,"&gt;="&amp;C77,$F$23:$F$73,"&lt;="&amp;D77,$G$23:$G$73,$D$84)</f>
        <v>0</v>
      </c>
      <c r="G77" s="92"/>
    </row>
    <row r="78" spans="1:16">
      <c r="A78" s="43"/>
      <c r="C78" s="191">
        <v>45488</v>
      </c>
      <c r="D78" s="192">
        <v>45494</v>
      </c>
      <c r="E78" s="193">
        <f>SUMIFS($D$23:$D$73,$F$23:$F$73,"&gt;="&amp;C78,$F$23:$F$73,"&lt;="&amp;D78,$G$23:$G$73,$D$84)</f>
        <v>0</v>
      </c>
      <c r="F78" s="194">
        <f>SUMIFS($E$23:$E$73,$F$23:$F$73,"&gt;="&amp;C78,$F$23:$F$73,"&lt;="&amp;D78,$G$23:$G$73,$D$84)</f>
        <v>0</v>
      </c>
      <c r="G78" s="92"/>
    </row>
    <row r="79" spans="1:16">
      <c r="A79" s="43"/>
      <c r="C79" s="191">
        <v>45495</v>
      </c>
      <c r="D79" s="192">
        <v>45501</v>
      </c>
      <c r="E79" s="193">
        <f>SUMIFS($D$23:$D$73,$F$23:$F$73,"&gt;="&amp;C79,$F$23:$F$73,"&lt;="&amp;D79,$G$23:$G$73,$D$84)</f>
        <v>0</v>
      </c>
      <c r="F79" s="194">
        <f>SUMIFS($E$23:$E$73,$F$23:$F$73,"&gt;="&amp;C79,$F$23:$F$73,"&lt;="&amp;D79,$G$23:$G$73,$D$84)</f>
        <v>0</v>
      </c>
      <c r="G79" s="92"/>
    </row>
    <row r="80" spans="1:16" ht="15.75" thickBot="1">
      <c r="A80" s="43"/>
      <c r="C80" s="195">
        <v>45502</v>
      </c>
      <c r="D80" s="196">
        <v>45504</v>
      </c>
      <c r="E80" s="197">
        <f>SUMIFS($D$23:$D$73,$F$23:$F$73,"&gt;="&amp;C80,$F$23:$F$73,"&lt;="&amp;D80,$G$23:$G$73,$D$84)</f>
        <v>0</v>
      </c>
      <c r="F80" s="198">
        <f>SUMIFS($E$23:$E$73,$F$23:$F$73,"&gt;="&amp;C80,$F$23:$F$73,"&lt;="&amp;D80,$G$23:$G$73,$D$84)</f>
        <v>0</v>
      </c>
      <c r="G80" s="92"/>
    </row>
    <row r="81" spans="1:7" ht="15.75">
      <c r="A81" s="43"/>
      <c r="C81" s="433" t="s">
        <v>187</v>
      </c>
      <c r="D81" s="433"/>
      <c r="E81" s="148">
        <f>SUM(E76:E80)</f>
        <v>0</v>
      </c>
      <c r="F81" s="144">
        <f>SUM(F76:F80)</f>
        <v>0</v>
      </c>
      <c r="G81" s="92"/>
    </row>
    <row r="82" spans="1:7">
      <c r="A82" s="43"/>
      <c r="F82" s="96"/>
      <c r="G82" s="92"/>
    </row>
    <row r="83" spans="1:7">
      <c r="D83" s="43" t="s">
        <v>135</v>
      </c>
      <c r="E83" s="15">
        <f>SUMIFS($D$23:$D$77,$F$23:$F$77,"&gt;="&amp;C76,$F$23:$F$77,"&lt;="&amp;D80,$G$23:$G$77,$D$83)</f>
        <v>370628.62000000011</v>
      </c>
      <c r="F83" s="153">
        <f>SUMIFS($E$23:$E$77,$F$23:$F$77,"&gt;="&amp;C76,$F$23:$F$77,"&lt;="&amp;D80,$G$23:$G$77,$D$83)</f>
        <v>47338.797350993373</v>
      </c>
    </row>
    <row r="84" spans="1:7">
      <c r="D84" s="43" t="s">
        <v>143</v>
      </c>
      <c r="E84" s="15">
        <f>SUMIFS($D$23:$D$77,$F$23:$F$77,"&gt;="&amp;C77,$F$23:$F$77,"&lt;="&amp;D80,$G$23:$G$77,$D$84)</f>
        <v>0</v>
      </c>
      <c r="F84" s="153">
        <f>SUMIFS($E$23:$E$77,$F$23:$F$77,"&gt;="&amp;C77,$F$23:$F$77,"&lt;="&amp;D80,$G$23:$G$77,$D$84)</f>
        <v>0</v>
      </c>
    </row>
    <row r="85" spans="1:7">
      <c r="D85" s="146" t="s">
        <v>189</v>
      </c>
      <c r="E85" s="152">
        <f>SUM(E83:E84)</f>
        <v>370628.62000000011</v>
      </c>
      <c r="F85" s="145">
        <f>SUM(F83:F84)</f>
        <v>47338.797350993373</v>
      </c>
    </row>
    <row r="86" spans="1:7">
      <c r="D86" s="146" t="s">
        <v>190</v>
      </c>
      <c r="E86" s="152">
        <f>E85-D70</f>
        <v>0</v>
      </c>
      <c r="F86" s="145">
        <f>F85-E70</f>
        <v>0</v>
      </c>
    </row>
    <row r="88" spans="1:7">
      <c r="D88" s="41" t="s">
        <v>373</v>
      </c>
      <c r="E88" s="166">
        <f>D72</f>
        <v>190099.21239999996</v>
      </c>
    </row>
    <row r="89" spans="1:7">
      <c r="D89" s="41" t="s">
        <v>339</v>
      </c>
      <c r="E89" s="166">
        <f>'Caja QTQ'!H167+('Caja USD'!H70*7.6)</f>
        <v>190098.56839999984</v>
      </c>
    </row>
    <row r="90" spans="1:7">
      <c r="D90" s="41" t="s">
        <v>85</v>
      </c>
      <c r="E90" s="166">
        <f>E88-E89</f>
        <v>0.64400000011664815</v>
      </c>
      <c r="F90" s="185">
        <f>E90/7.88</f>
        <v>8.1725888339676159E-2</v>
      </c>
    </row>
  </sheetData>
  <protectedRanges>
    <protectedRange sqref="F18:G18 D74:E74 D10:E11 D48:E49 D82:E82" name="Presupuestos"/>
    <protectedRange sqref="D22:E22 D8:E8" name="Presupuestos_1"/>
    <protectedRange sqref="D32:E33" name="Presupuestos_13_1"/>
    <protectedRange sqref="D35:E43" name="Presupuestos_14"/>
    <protectedRange sqref="D56:E58 E53:E55 E59:E60" name="Presupuestos_2_1_1_1"/>
    <protectedRange sqref="K55 D55 E68:E69 D62:E66" name="Presupuestos_6_1_1_1"/>
    <protectedRange sqref="D53:D54 D59:D60" name="Presupuestos_5_2_1"/>
    <protectedRange sqref="D51:E51" name="Presupuestos_7_1"/>
    <protectedRange sqref="D68:D69" name="Presupuestos_5_3"/>
    <protectedRange sqref="D45:E46" name="Presupuestos_13_1_1"/>
  </protectedRanges>
  <autoFilter ref="B22:J69" xr:uid="{00000000-0009-0000-0000-000002000000}"/>
  <mergeCells count="5">
    <mergeCell ref="C81:D81"/>
    <mergeCell ref="D7:E7"/>
    <mergeCell ref="B13:B16"/>
    <mergeCell ref="B21:C21"/>
    <mergeCell ref="D21:E21"/>
  </mergeCells>
  <conditionalFormatting sqref="J24 J26:J30 J32:J33 J35:J43 J45:J46 J51 J62:J66 J68:J69">
    <cfRule type="cellIs" dxfId="236" priority="21" operator="lessThan">
      <formula>0</formula>
    </cfRule>
    <cfRule type="cellIs" dxfId="235" priority="22" operator="between">
      <formula>6</formula>
      <formula>15</formula>
    </cfRule>
    <cfRule type="cellIs" dxfId="234" priority="23" operator="between">
      <formula>1</formula>
      <formula>5</formula>
    </cfRule>
    <cfRule type="cellIs" dxfId="233" priority="24" operator="between">
      <formula>16</formula>
      <formula>60</formula>
    </cfRule>
  </conditionalFormatting>
  <conditionalFormatting sqref="J48:J49">
    <cfRule type="cellIs" dxfId="232" priority="13" operator="lessThan">
      <formula>0</formula>
    </cfRule>
    <cfRule type="cellIs" dxfId="231" priority="14" operator="between">
      <formula>6</formula>
      <formula>15</formula>
    </cfRule>
    <cfRule type="cellIs" dxfId="230" priority="15" operator="between">
      <formula>1</formula>
      <formula>5</formula>
    </cfRule>
    <cfRule type="cellIs" dxfId="229" priority="16" operator="between">
      <formula>16</formula>
      <formula>60</formula>
    </cfRule>
  </conditionalFormatting>
  <conditionalFormatting sqref="J53:J60">
    <cfRule type="cellIs" dxfId="228" priority="5" operator="lessThan">
      <formula>0</formula>
    </cfRule>
    <cfRule type="cellIs" dxfId="227" priority="6" operator="between">
      <formula>6</formula>
      <formula>15</formula>
    </cfRule>
    <cfRule type="cellIs" dxfId="226" priority="7" operator="between">
      <formula>1</formula>
      <formula>5</formula>
    </cfRule>
    <cfRule type="cellIs" dxfId="225" priority="8" operator="between">
      <formula>16</formula>
      <formula>60</formula>
    </cfRule>
  </conditionalFormatting>
  <dataValidations disablePrompts="1" count="2">
    <dataValidation type="list" allowBlank="1" showInputMessage="1" showErrorMessage="1" sqref="G45:G46 G32:G33 G68:G69 G23:G24 G51 G26:G30 G48:G49 G35:G43 G53:G60 G62:G66 D83:D84" xr:uid="{24B41A30-0693-40F8-9692-65F2C3A1A58D}">
      <formula1>"Cancelado,Pagar,Sin Pagar"</formula1>
    </dataValidation>
    <dataValidation type="list" allowBlank="1" showInputMessage="1" showErrorMessage="1" sqref="D21 D7" xr:uid="{DB0B8082-9246-4CE6-A6F6-76BD50B1A599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ignoredErrors>
    <ignoredError sqref="J62:J69 J24:J34 J38:J59 J61 J60 J35:J37" unlockedFormula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F157-7F13-4082-A9E9-4C8730EE6958}">
  <dimension ref="A1:S107"/>
  <sheetViews>
    <sheetView showGridLines="0" topLeftCell="B36" zoomScale="90" zoomScaleNormal="90" workbookViewId="0">
      <selection activeCell="E28" sqref="E28"/>
    </sheetView>
  </sheetViews>
  <sheetFormatPr baseColWidth="10" defaultColWidth="11.42578125" defaultRowHeight="15" outlineLevelRow="1"/>
  <cols>
    <col min="1" max="1" width="2.140625" style="39" customWidth="1"/>
    <col min="2" max="2" width="17.140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45506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7.58</v>
      </c>
      <c r="E6" s="42"/>
      <c r="I6" s="43"/>
    </row>
    <row r="7" spans="1:9" ht="15.75">
      <c r="C7" s="99"/>
      <c r="D7" s="432" t="s">
        <v>374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SUBTOTAL(9,D10:D12)</f>
        <v>215137.73019999982</v>
      </c>
      <c r="E9" s="122">
        <f>SUBTOTAL(9,E10:E12)</f>
        <v>28382.286306068578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QTQ'!$H$167</f>
        <v>183654.45239999983</v>
      </c>
      <c r="E10" s="25">
        <f>D10/$D$6</f>
        <v>24228.819577836388</v>
      </c>
      <c r="F10" s="49"/>
    </row>
    <row r="11" spans="1:9" s="43" customFormat="1" outlineLevel="1">
      <c r="B11" s="46"/>
      <c r="C11" s="47" t="s">
        <v>154</v>
      </c>
      <c r="D11" s="15">
        <f>E11*D6</f>
        <v>6427.1578</v>
      </c>
      <c r="E11" s="25">
        <v>847.91</v>
      </c>
      <c r="F11" s="49"/>
    </row>
    <row r="12" spans="1:9" s="43" customFormat="1" outlineLevel="1">
      <c r="B12" s="46"/>
      <c r="C12" s="47" t="s">
        <v>452</v>
      </c>
      <c r="D12" s="15">
        <v>25056.12</v>
      </c>
      <c r="E12" s="25">
        <f>D12/D6</f>
        <v>3305.5567282321899</v>
      </c>
      <c r="F12" s="49"/>
    </row>
    <row r="13" spans="1:9" s="43" customFormat="1" ht="15.75">
      <c r="B13" s="46"/>
      <c r="C13" s="102" t="s">
        <v>134</v>
      </c>
      <c r="D13" s="127">
        <f>SUBTOTAL(9,D14:D20)</f>
        <v>350253.08000000007</v>
      </c>
      <c r="E13" s="122">
        <f>SUBTOTAL(9,E14:E20)</f>
        <v>45885.614050131917</v>
      </c>
      <c r="F13" s="128"/>
    </row>
    <row r="14" spans="1:9" s="43" customFormat="1" outlineLevel="1">
      <c r="B14" s="447"/>
      <c r="C14" s="47" t="s">
        <v>445</v>
      </c>
      <c r="D14" s="171">
        <f>'Diferencia en cambio'!$I$30</f>
        <v>41118.30054545556</v>
      </c>
      <c r="E14" s="202">
        <f>D14/'Diferencia en cambio'!$L$30</f>
        <v>5412.3007915567277</v>
      </c>
      <c r="F14" s="128"/>
      <c r="G14" s="52"/>
    </row>
    <row r="15" spans="1:9" s="43" customFormat="1" outlineLevel="1">
      <c r="A15" s="50"/>
      <c r="B15" s="447"/>
      <c r="C15" s="47" t="s">
        <v>446</v>
      </c>
      <c r="D15" s="171">
        <f>'Diferencia en cambio'!$I$31</f>
        <v>220045.98351379536</v>
      </c>
      <c r="E15" s="202">
        <f>D15/'Diferencia en cambio'!$L$31</f>
        <v>28731.467018469655</v>
      </c>
      <c r="F15" s="128"/>
      <c r="G15" s="184"/>
    </row>
    <row r="16" spans="1:9" s="43" customFormat="1" outlineLevel="1">
      <c r="A16" s="50"/>
      <c r="B16" s="447"/>
      <c r="C16" s="47" t="s">
        <v>447</v>
      </c>
      <c r="D16" s="171">
        <f>'Diferencia en cambio'!$I$32</f>
        <v>7266.2064862046427</v>
      </c>
      <c r="E16" s="202">
        <f>D16/'Diferencia en cambio'!$L$32</f>
        <v>948.75065963060683</v>
      </c>
      <c r="F16" s="128"/>
      <c r="G16" s="184"/>
    </row>
    <row r="17" spans="2:19" s="43" customFormat="1" outlineLevel="1">
      <c r="B17" s="447"/>
      <c r="C17" s="47" t="s">
        <v>448</v>
      </c>
      <c r="D17" s="171">
        <f>'Caja QTQ'!$D$172</f>
        <v>13203.01</v>
      </c>
      <c r="E17" s="202">
        <f>D17/'Diferencia en cambio'!$L$33</f>
        <v>1751.4366754617413</v>
      </c>
      <c r="F17" s="128"/>
      <c r="G17" s="52"/>
    </row>
    <row r="18" spans="2:19" s="43" customFormat="1" outlineLevel="1">
      <c r="B18" s="46"/>
      <c r="C18" s="47" t="s">
        <v>449</v>
      </c>
      <c r="D18" s="171">
        <f>'Diferencia en cambio'!$I$34</f>
        <v>42983.471874131894</v>
      </c>
      <c r="E18" s="202">
        <f>D18/'Diferencia en cambio'!$L$34</f>
        <v>5657.8087071240107</v>
      </c>
      <c r="F18" s="128"/>
      <c r="G18" s="52"/>
    </row>
    <row r="19" spans="2:19" s="43" customFormat="1" outlineLevel="1">
      <c r="B19" s="46"/>
      <c r="C19" s="47" t="s">
        <v>450</v>
      </c>
      <c r="D19" s="171">
        <f>'Diferencia en cambio'!$I$35</f>
        <v>6832.27</v>
      </c>
      <c r="E19" s="202">
        <f>D19/'Diferencia en cambio'!$L$35</f>
        <v>908.74729551451185</v>
      </c>
      <c r="F19" s="128"/>
      <c r="G19" s="52"/>
    </row>
    <row r="20" spans="2:19" s="43" customFormat="1" outlineLevel="1">
      <c r="B20" s="46"/>
      <c r="C20" s="47" t="s">
        <v>451</v>
      </c>
      <c r="D20" s="171">
        <f>'Diferencia en cambio'!$I$36</f>
        <v>18803.837580412554</v>
      </c>
      <c r="E20" s="202">
        <f>D20/'Diferencia en cambio'!$L$36</f>
        <v>2475.1029023746701</v>
      </c>
      <c r="F20" s="128"/>
      <c r="G20" s="52"/>
    </row>
    <row r="21" spans="2:19" s="43" customFormat="1" ht="15.75">
      <c r="B21" s="46"/>
      <c r="C21" s="55" t="s">
        <v>136</v>
      </c>
      <c r="D21" s="123">
        <f>SUBTOTAL(9,D9:D18)</f>
        <v>539754.7026195873</v>
      </c>
      <c r="E21" s="124">
        <f>SUBTOTAL(9,E9:E18)</f>
        <v>70884.050158311322</v>
      </c>
      <c r="F21" s="56"/>
      <c r="G21" s="56"/>
      <c r="J21" s="52"/>
      <c r="K21" s="57"/>
      <c r="O21" s="58"/>
      <c r="P21" s="59"/>
      <c r="Q21" s="53"/>
    </row>
    <row r="22" spans="2:19" s="43" customFormat="1" ht="15.75">
      <c r="B22" s="46"/>
      <c r="C22" s="60"/>
      <c r="D22" s="61"/>
      <c r="E22" s="61"/>
      <c r="G22" s="62"/>
      <c r="O22" s="59"/>
      <c r="P22" s="59"/>
    </row>
    <row r="23" spans="2:19" s="43" customFormat="1" ht="15.75">
      <c r="B23" s="46"/>
      <c r="N23" s="63"/>
      <c r="O23" s="64"/>
      <c r="P23" s="65"/>
    </row>
    <row r="24" spans="2:19" s="43" customFormat="1" ht="15.75">
      <c r="B24" s="432" t="s">
        <v>137</v>
      </c>
      <c r="C24" s="432"/>
      <c r="D24" s="432" t="s">
        <v>374</v>
      </c>
      <c r="E24" s="432"/>
      <c r="K24" s="65"/>
      <c r="L24" s="65"/>
      <c r="N24" s="63"/>
      <c r="R24" s="52"/>
      <c r="S24" s="52"/>
    </row>
    <row r="25" spans="2:19" s="43" customFormat="1" ht="16.5" thickBot="1">
      <c r="B25" s="67" t="s">
        <v>81</v>
      </c>
      <c r="C25" s="68" t="s">
        <v>106</v>
      </c>
      <c r="D25" s="110" t="s">
        <v>168</v>
      </c>
      <c r="E25" s="110" t="s">
        <v>169</v>
      </c>
      <c r="F25" s="69" t="s">
        <v>140</v>
      </c>
      <c r="G25" s="63" t="s">
        <v>141</v>
      </c>
      <c r="H25" s="63"/>
      <c r="I25" s="63"/>
      <c r="J25" s="70" t="s">
        <v>142</v>
      </c>
      <c r="N25" s="71"/>
      <c r="R25" s="52"/>
      <c r="S25" s="72"/>
    </row>
    <row r="26" spans="2:19" s="43" customFormat="1" ht="16.5" thickBot="1">
      <c r="B26" s="46"/>
      <c r="C26" s="73" t="s">
        <v>155</v>
      </c>
      <c r="D26" s="103">
        <f>SUBTOTAL(9,D27:D27)</f>
        <v>48735.99</v>
      </c>
      <c r="E26" s="112">
        <f>SUBTOTAL(9,E27:E27)</f>
        <v>4016.941952506596</v>
      </c>
      <c r="F26" s="74"/>
      <c r="J26" s="76"/>
    </row>
    <row r="27" spans="2:19" s="43" customFormat="1" ht="15.75" outlineLevel="1" thickBot="1">
      <c r="B27" s="77">
        <v>176206200</v>
      </c>
      <c r="C27" s="78" t="s">
        <v>375</v>
      </c>
      <c r="D27" s="109">
        <v>48735.99</v>
      </c>
      <c r="E27" s="115">
        <f>30448.42/$D$6</f>
        <v>4016.941952506596</v>
      </c>
      <c r="F27" s="80">
        <v>45513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6</v>
      </c>
      <c r="J27" s="75">
        <f>H27</f>
        <v>0</v>
      </c>
      <c r="K27" s="52"/>
      <c r="L27" s="52"/>
    </row>
    <row r="28" spans="2:19" s="43" customFormat="1" ht="16.5" thickBot="1">
      <c r="B28" s="46"/>
      <c r="C28" s="73" t="s">
        <v>144</v>
      </c>
      <c r="D28" s="103">
        <f>SUBTOTAL(9,D29:D31)</f>
        <v>16396.43</v>
      </c>
      <c r="E28" s="112">
        <f>SUBTOTAL(9,E29:E31)</f>
        <v>2163.1174142480209</v>
      </c>
      <c r="J28" s="76">
        <f t="shared" ref="J28:J35" si="0">H28</f>
        <v>0</v>
      </c>
    </row>
    <row r="29" spans="2:19" s="43" customFormat="1" outlineLevel="1">
      <c r="B29" s="168">
        <v>43809986140</v>
      </c>
      <c r="C29" s="47" t="s">
        <v>376</v>
      </c>
      <c r="D29" s="109">
        <v>14909.47</v>
      </c>
      <c r="E29" s="115">
        <f>D29/$D$6</f>
        <v>1966.9485488126647</v>
      </c>
      <c r="F29" s="80">
        <v>45518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9</v>
      </c>
      <c r="J29" s="75">
        <f>H29</f>
        <v>0</v>
      </c>
      <c r="K29" s="48"/>
      <c r="L29" s="57"/>
    </row>
    <row r="30" spans="2:19" s="43" customFormat="1" outlineLevel="1">
      <c r="B30" s="168">
        <v>43802212905</v>
      </c>
      <c r="C30" s="47" t="s">
        <v>392</v>
      </c>
      <c r="D30" s="109">
        <v>1486.96</v>
      </c>
      <c r="E30" s="115">
        <f>D30/$D$6</f>
        <v>196.1688654353562</v>
      </c>
      <c r="F30" s="80">
        <v>45517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8</v>
      </c>
      <c r="J30" s="75">
        <f>H30</f>
        <v>0</v>
      </c>
      <c r="K30" s="48"/>
      <c r="L30" s="57"/>
    </row>
    <row r="31" spans="2:19" s="43" customFormat="1" ht="15.75" outlineLevel="1" thickBot="1">
      <c r="B31" s="168">
        <v>43589111783</v>
      </c>
      <c r="C31" s="47" t="s">
        <v>377</v>
      </c>
      <c r="D31" s="109">
        <v>0</v>
      </c>
      <c r="E31" s="115">
        <f>D31/$D$6</f>
        <v>0</v>
      </c>
      <c r="F31" s="80">
        <v>45535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21</v>
      </c>
      <c r="J31" s="75">
        <f>H31</f>
        <v>0</v>
      </c>
      <c r="K31" s="48"/>
      <c r="L31" s="57"/>
    </row>
    <row r="32" spans="2:19" s="43" customFormat="1" ht="16.5" thickBot="1">
      <c r="B32" s="46"/>
      <c r="C32" s="73" t="s">
        <v>163</v>
      </c>
      <c r="D32" s="103">
        <f>SUBTOTAL(9,D33:D37)</f>
        <v>1682.1100000000001</v>
      </c>
      <c r="E32" s="112">
        <f>SUBTOTAL(9,E33:E37)</f>
        <v>221.91424802110816</v>
      </c>
      <c r="J32" s="76">
        <f t="shared" si="0"/>
        <v>0</v>
      </c>
      <c r="K32" s="52"/>
      <c r="L32" s="52"/>
    </row>
    <row r="33" spans="2:16" s="43" customFormat="1" outlineLevel="1">
      <c r="B33" s="46"/>
      <c r="C33" s="47" t="s">
        <v>383</v>
      </c>
      <c r="D33" s="104">
        <v>840</v>
      </c>
      <c r="E33" s="113">
        <f t="shared" ref="E33:E35" si="1">D33/$D$6</f>
        <v>110.8179419525066</v>
      </c>
      <c r="F33" s="80">
        <v>45513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6</v>
      </c>
      <c r="J33" s="75">
        <f t="shared" si="0"/>
        <v>0</v>
      </c>
      <c r="N33" s="49"/>
    </row>
    <row r="34" spans="2:16" s="43" customFormat="1" outlineLevel="1">
      <c r="B34" s="46"/>
      <c r="C34" s="47" t="s">
        <v>384</v>
      </c>
      <c r="D34" s="104">
        <v>842.11</v>
      </c>
      <c r="E34" s="113">
        <f t="shared" ref="E34" si="2">D34/$D$6</f>
        <v>111.09630606860158</v>
      </c>
      <c r="F34" s="80">
        <v>45513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6</v>
      </c>
      <c r="J34" s="75">
        <f t="shared" ref="J34" si="3">H34</f>
        <v>0</v>
      </c>
      <c r="N34" s="49"/>
    </row>
    <row r="35" spans="2:16" s="43" customFormat="1" outlineLevel="1">
      <c r="B35" s="46">
        <v>954</v>
      </c>
      <c r="C35" s="47" t="s">
        <v>378</v>
      </c>
      <c r="D35" s="104">
        <f>1250*0</f>
        <v>0</v>
      </c>
      <c r="E35" s="113">
        <f t="shared" si="1"/>
        <v>0</v>
      </c>
      <c r="F35" s="74">
        <v>45534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21</v>
      </c>
      <c r="J35" s="75">
        <f t="shared" si="0"/>
        <v>0</v>
      </c>
      <c r="M35" s="199" t="s">
        <v>379</v>
      </c>
      <c r="N35" s="49"/>
    </row>
    <row r="36" spans="2:16" s="43" customFormat="1" outlineLevel="1">
      <c r="B36" s="46">
        <v>1083</v>
      </c>
      <c r="C36" s="47" t="s">
        <v>393</v>
      </c>
      <c r="D36" s="104">
        <f>1200*0</f>
        <v>0</v>
      </c>
      <c r="E36" s="113">
        <f t="shared" ref="E36" si="4">D36/$D$6</f>
        <v>0</v>
      </c>
      <c r="F36" s="74">
        <v>45534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21</v>
      </c>
      <c r="J36" s="75">
        <f t="shared" ref="J36" si="5">H36</f>
        <v>0</v>
      </c>
      <c r="M36" s="199" t="s">
        <v>379</v>
      </c>
      <c r="N36" s="49"/>
    </row>
    <row r="37" spans="2:16" s="43" customFormat="1" ht="15.75" outlineLevel="1" thickBot="1">
      <c r="B37" s="46">
        <v>1086</v>
      </c>
      <c r="C37" s="47" t="s">
        <v>394</v>
      </c>
      <c r="D37" s="104">
        <f>1200*0</f>
        <v>0</v>
      </c>
      <c r="E37" s="113">
        <f t="shared" ref="E37" si="6">D37/$D$6</f>
        <v>0</v>
      </c>
      <c r="F37" s="74">
        <v>45534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21</v>
      </c>
      <c r="J37" s="75">
        <f t="shared" ref="J37" si="7">H37</f>
        <v>0</v>
      </c>
      <c r="M37" s="199" t="s">
        <v>379</v>
      </c>
      <c r="N37" s="49"/>
    </row>
    <row r="38" spans="2:16" s="43" customFormat="1" ht="16.5" thickBot="1">
      <c r="C38" s="73" t="s">
        <v>146</v>
      </c>
      <c r="D38" s="103">
        <f>SUBTOTAL(9,D39:D44)</f>
        <v>7561.0846000000001</v>
      </c>
      <c r="E38" s="112">
        <f>SUBTOTAL(9,E39:E44)</f>
        <v>997.50456464379943</v>
      </c>
      <c r="K38" s="49"/>
      <c r="L38" s="49"/>
      <c r="O38" s="49"/>
      <c r="P38" s="49"/>
    </row>
    <row r="39" spans="2:16" s="43" customFormat="1" ht="14.25" customHeight="1" outlineLevel="1">
      <c r="B39" s="186"/>
      <c r="C39" s="47" t="s">
        <v>272</v>
      </c>
      <c r="D39" s="104">
        <f>E39*$D$6</f>
        <v>417.43060000000003</v>
      </c>
      <c r="E39" s="113">
        <v>55.07</v>
      </c>
      <c r="F39" s="74">
        <v>45527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16</v>
      </c>
      <c r="J39" s="75">
        <f t="shared" ref="J39:J44" si="8">H39</f>
        <v>0</v>
      </c>
      <c r="K39" s="49"/>
      <c r="L39" s="49"/>
      <c r="O39" s="49"/>
      <c r="P39" s="49"/>
    </row>
    <row r="40" spans="2:16" s="43" customFormat="1" outlineLevel="1">
      <c r="B40" s="186"/>
      <c r="C40" s="47" t="s">
        <v>273</v>
      </c>
      <c r="D40" s="104">
        <f>E40*$D$6</f>
        <v>1966.7826000000002</v>
      </c>
      <c r="E40" s="113">
        <v>259.47000000000003</v>
      </c>
      <c r="F40" s="74">
        <v>45527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16</v>
      </c>
      <c r="J40" s="75">
        <f t="shared" si="8"/>
        <v>0</v>
      </c>
    </row>
    <row r="41" spans="2:16" s="43" customFormat="1" outlineLevel="1">
      <c r="B41" s="186"/>
      <c r="C41" s="47" t="s">
        <v>274</v>
      </c>
      <c r="D41" s="104">
        <f>E41*$D$6</f>
        <v>1556.4014000000002</v>
      </c>
      <c r="E41" s="113">
        <v>205.33</v>
      </c>
      <c r="F41" s="74">
        <v>45527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16</v>
      </c>
      <c r="J41" s="75">
        <f t="shared" si="8"/>
        <v>0</v>
      </c>
    </row>
    <row r="42" spans="2:16" s="43" customFormat="1" ht="14.25" customHeight="1" outlineLevel="1">
      <c r="B42" s="186"/>
      <c r="C42" s="47" t="s">
        <v>277</v>
      </c>
      <c r="D42" s="104">
        <v>888.15</v>
      </c>
      <c r="E42" s="113">
        <f>D42/$D$6</f>
        <v>117.17018469656992</v>
      </c>
      <c r="F42" s="74">
        <v>45527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16</v>
      </c>
      <c r="J42" s="75">
        <f t="shared" si="8"/>
        <v>0</v>
      </c>
      <c r="K42" s="49"/>
      <c r="L42" s="49"/>
      <c r="O42" s="49"/>
      <c r="P42" s="49"/>
    </row>
    <row r="43" spans="2:16" s="43" customFormat="1" outlineLevel="1">
      <c r="B43" s="186"/>
      <c r="C43" s="47" t="s">
        <v>276</v>
      </c>
      <c r="D43" s="104">
        <v>903.72</v>
      </c>
      <c r="E43" s="113">
        <f>D43/$D$6</f>
        <v>119.22427440633246</v>
      </c>
      <c r="F43" s="74">
        <v>45527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16</v>
      </c>
      <c r="J43" s="75">
        <f t="shared" si="8"/>
        <v>0</v>
      </c>
    </row>
    <row r="44" spans="2:16" s="43" customFormat="1" ht="15.75" outlineLevel="1" thickBot="1">
      <c r="B44" s="186"/>
      <c r="C44" s="47" t="s">
        <v>275</v>
      </c>
      <c r="D44" s="104">
        <v>1828.6</v>
      </c>
      <c r="E44" s="113">
        <f>D44/$D$6</f>
        <v>241.24010554089708</v>
      </c>
      <c r="F44" s="74">
        <v>45527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16</v>
      </c>
      <c r="J44" s="75">
        <f t="shared" si="8"/>
        <v>0</v>
      </c>
    </row>
    <row r="45" spans="2:16" s="43" customFormat="1" ht="16.5" thickBot="1">
      <c r="B45" s="82"/>
      <c r="C45" s="85" t="s">
        <v>162</v>
      </c>
      <c r="D45" s="119">
        <f>SUBTOTAL(9,D46:D48)</f>
        <v>32054.510000000002</v>
      </c>
      <c r="E45" s="114">
        <f>SUBTOTAL(9,E46:E48)</f>
        <v>4073</v>
      </c>
      <c r="K45" s="52"/>
      <c r="M45" s="183">
        <f>SUM(M46:M46)</f>
        <v>17820150.079700001</v>
      </c>
      <c r="N45" s="183">
        <f>11000*4145.1</f>
        <v>45596100.000000007</v>
      </c>
    </row>
    <row r="46" spans="2:16" s="43" customFormat="1" outlineLevel="1">
      <c r="B46" s="81">
        <v>4944</v>
      </c>
      <c r="C46" s="47" t="s">
        <v>337</v>
      </c>
      <c r="D46" s="104">
        <f>E46*7.87</f>
        <v>11864.025</v>
      </c>
      <c r="E46" s="113">
        <f>((1507.5))</f>
        <v>1507.5</v>
      </c>
      <c r="F46" s="74">
        <v>45533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20</v>
      </c>
      <c r="J46" s="75">
        <f t="shared" ref="J46:J47" si="9">H46</f>
        <v>0</v>
      </c>
      <c r="M46" s="104">
        <f>(11000-6433.81)*3902.63</f>
        <v>17820150.079700001</v>
      </c>
      <c r="N46" s="49"/>
    </row>
    <row r="47" spans="2:16" s="43" customFormat="1" outlineLevel="1">
      <c r="B47" s="81">
        <v>5027</v>
      </c>
      <c r="C47" s="47" t="s">
        <v>341</v>
      </c>
      <c r="D47" s="104">
        <f>E47*7.87</f>
        <v>10085.405000000001</v>
      </c>
      <c r="E47" s="113">
        <f>1281.5</f>
        <v>1281.5</v>
      </c>
      <c r="F47" s="74">
        <v>45533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20</v>
      </c>
      <c r="J47" s="75">
        <f t="shared" si="9"/>
        <v>0</v>
      </c>
      <c r="M47" s="104">
        <f>(11000-6433.81)*3902.63</f>
        <v>17820150.079700001</v>
      </c>
      <c r="N47" s="49"/>
    </row>
    <row r="48" spans="2:16" s="43" customFormat="1" ht="15.75" outlineLevel="1" thickBot="1">
      <c r="B48" s="81">
        <v>5125</v>
      </c>
      <c r="C48" s="47" t="s">
        <v>434</v>
      </c>
      <c r="D48" s="104">
        <f>E48*7.87</f>
        <v>10105.08</v>
      </c>
      <c r="E48" s="115">
        <v>1284</v>
      </c>
      <c r="F48" s="74">
        <v>45533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20</v>
      </c>
      <c r="J48" s="75">
        <f t="shared" ref="J48" si="10">H48</f>
        <v>0</v>
      </c>
      <c r="M48" s="104">
        <f>(11000-6433.81)*3902.63</f>
        <v>17820150.079700001</v>
      </c>
      <c r="N48" s="49"/>
    </row>
    <row r="49" spans="2:12" s="43" customFormat="1" ht="16.5" thickBot="1">
      <c r="B49" s="46"/>
      <c r="C49" s="73" t="s">
        <v>147</v>
      </c>
      <c r="D49" s="103">
        <f>SUBTOTAL(9,D50:D51)</f>
        <v>0</v>
      </c>
      <c r="E49" s="112">
        <f>SUBTOTAL(9,E50:E51)</f>
        <v>0</v>
      </c>
    </row>
    <row r="50" spans="2:12" s="43" customFormat="1" outlineLevel="1">
      <c r="B50" s="46"/>
      <c r="C50" s="47" t="s">
        <v>167</v>
      </c>
      <c r="D50" s="104">
        <f>(((4000000/4150)*$D$6))*0</f>
        <v>0</v>
      </c>
      <c r="E50" s="113">
        <f>D50/D6</f>
        <v>0</v>
      </c>
      <c r="F50" s="74">
        <v>45534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21</v>
      </c>
      <c r="J50" s="75">
        <f>H50</f>
        <v>0</v>
      </c>
    </row>
    <row r="51" spans="2:12" s="43" customFormat="1" ht="15.75" outlineLevel="1" thickBot="1">
      <c r="B51" s="46"/>
      <c r="C51" s="47" t="s">
        <v>182</v>
      </c>
      <c r="D51" s="104">
        <f>(((4000000/4150)*$D$6))*0</f>
        <v>0</v>
      </c>
      <c r="E51" s="113">
        <f>D51/D6</f>
        <v>0</v>
      </c>
      <c r="F51" s="74">
        <v>45534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21</v>
      </c>
      <c r="J51" s="75">
        <f>H51</f>
        <v>0</v>
      </c>
    </row>
    <row r="52" spans="2:12" s="43" customFormat="1" ht="15.75" customHeight="1" thickBot="1">
      <c r="C52" s="73" t="s">
        <v>148</v>
      </c>
      <c r="D52" s="103">
        <f>SUBTOTAL(9,D53:D54)</f>
        <v>359.8</v>
      </c>
      <c r="E52" s="112">
        <f>SUBTOTAL(9,E53:E54)</f>
        <v>45.936675461741423</v>
      </c>
    </row>
    <row r="53" spans="2:12" s="43" customFormat="1" outlineLevel="1">
      <c r="B53" s="46"/>
      <c r="C53" s="47" t="s">
        <v>436</v>
      </c>
      <c r="D53" s="109">
        <v>314.8</v>
      </c>
      <c r="E53" s="115">
        <f>D53/7.87</f>
        <v>40</v>
      </c>
      <c r="F53" s="74">
        <v>45533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20</v>
      </c>
      <c r="J53" s="75">
        <f>H53</f>
        <v>0</v>
      </c>
    </row>
    <row r="54" spans="2:12" s="43" customFormat="1" ht="15.75" outlineLevel="1" thickBot="1">
      <c r="B54" s="46"/>
      <c r="C54" s="47" t="s">
        <v>117</v>
      </c>
      <c r="D54" s="109">
        <f>15*3</f>
        <v>45</v>
      </c>
      <c r="E54" s="115">
        <f>D54/$D$6</f>
        <v>5.9366754617414248</v>
      </c>
      <c r="F54" s="74">
        <v>45527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16</v>
      </c>
      <c r="J54" s="75">
        <f>H54</f>
        <v>0</v>
      </c>
    </row>
    <row r="55" spans="2:12" s="43" customFormat="1" ht="16.5" thickBot="1">
      <c r="C55" s="73" t="s">
        <v>164</v>
      </c>
      <c r="D55" s="103">
        <f>SUBTOTAL(9,D56:D66)</f>
        <v>236248.56999999995</v>
      </c>
      <c r="E55" s="112">
        <f>SUBTOTAL(9,E56:E66)</f>
        <v>31167.357519788922</v>
      </c>
      <c r="K55" s="52"/>
      <c r="L55" s="86"/>
    </row>
    <row r="56" spans="2:12" s="43" customFormat="1" outlineLevel="1">
      <c r="B56" s="83"/>
      <c r="C56" s="47" t="s">
        <v>176</v>
      </c>
      <c r="D56" s="104">
        <v>28242.02</v>
      </c>
      <c r="E56" s="115">
        <f>D56/$D$6</f>
        <v>3725.8601583113455</v>
      </c>
      <c r="F56" s="74">
        <v>45532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>H56</f>
        <v>0</v>
      </c>
      <c r="L56" s="52"/>
    </row>
    <row r="57" spans="2:12" s="43" customFormat="1" outlineLevel="1">
      <c r="B57" s="46"/>
      <c r="C57" s="47" t="s">
        <v>415</v>
      </c>
      <c r="D57" s="104">
        <v>24970.21</v>
      </c>
      <c r="E57" s="115">
        <f t="shared" ref="E57:E60" si="11">D57/$D$6</f>
        <v>3294.2229551451187</v>
      </c>
      <c r="F57" s="74">
        <v>45532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ref="J57:J60" si="12">H57</f>
        <v>0</v>
      </c>
      <c r="K57" s="48"/>
      <c r="L57" s="48"/>
    </row>
    <row r="58" spans="2:12" s="43" customFormat="1" outlineLevel="1">
      <c r="B58" s="46"/>
      <c r="C58" s="47" t="s">
        <v>414</v>
      </c>
      <c r="D58" s="104">
        <v>53704.34</v>
      </c>
      <c r="E58" s="115">
        <f t="shared" si="11"/>
        <v>7085.0052770448547</v>
      </c>
      <c r="F58" s="74">
        <v>45532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12"/>
        <v>0</v>
      </c>
      <c r="L58" s="52"/>
    </row>
    <row r="59" spans="2:12" s="43" customFormat="1" outlineLevel="1">
      <c r="B59" s="46"/>
      <c r="C59" s="47" t="s">
        <v>416</v>
      </c>
      <c r="D59" s="104">
        <v>66369.899999999994</v>
      </c>
      <c r="E59" s="115">
        <f t="shared" si="11"/>
        <v>8755.9234828496028</v>
      </c>
      <c r="F59" s="74">
        <v>45532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 t="shared" si="12"/>
        <v>0</v>
      </c>
      <c r="K59" s="52"/>
      <c r="L59" s="57"/>
    </row>
    <row r="60" spans="2:12" s="43" customFormat="1" ht="14.25" customHeight="1" outlineLevel="1">
      <c r="B60" s="83"/>
      <c r="C60" s="47" t="s">
        <v>412</v>
      </c>
      <c r="D60" s="104">
        <v>5732.9</v>
      </c>
      <c r="E60" s="115">
        <f t="shared" si="11"/>
        <v>756.31926121372021</v>
      </c>
      <c r="F60" s="74">
        <v>45532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 t="shared" si="12"/>
        <v>0</v>
      </c>
      <c r="L60" s="52"/>
    </row>
    <row r="61" spans="2:12" s="43" customFormat="1" ht="13.5" customHeight="1" outlineLevel="1">
      <c r="B61" s="46"/>
      <c r="C61" s="47" t="s">
        <v>417</v>
      </c>
      <c r="D61" s="104">
        <v>10382.76</v>
      </c>
      <c r="E61" s="115">
        <f>D61/$D$6</f>
        <v>1369.7572559366754</v>
      </c>
      <c r="F61" s="74">
        <v>45532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>H61</f>
        <v>0</v>
      </c>
      <c r="L61" s="52"/>
    </row>
    <row r="62" spans="2:12" s="43" customFormat="1" outlineLevel="1">
      <c r="B62" s="83"/>
      <c r="C62" s="47" t="s">
        <v>418</v>
      </c>
      <c r="D62" s="104">
        <v>29515.65</v>
      </c>
      <c r="E62" s="115">
        <f t="shared" ref="E62" si="13">D62/$D$6</f>
        <v>3893.8852242744065</v>
      </c>
      <c r="F62" s="74">
        <v>45532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19</v>
      </c>
      <c r="J62" s="75">
        <f t="shared" ref="J62" si="14">H62</f>
        <v>0</v>
      </c>
      <c r="L62" s="52"/>
    </row>
    <row r="63" spans="2:12" s="43" customFormat="1" outlineLevel="1">
      <c r="B63" s="83"/>
      <c r="C63" s="47" t="s">
        <v>409</v>
      </c>
      <c r="D63" s="104">
        <v>5501.16</v>
      </c>
      <c r="E63" s="115">
        <f t="shared" ref="E63" si="15">D63/$D$6</f>
        <v>725.74670184696572</v>
      </c>
      <c r="F63" s="74">
        <v>45532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19</v>
      </c>
      <c r="J63" s="75">
        <f t="shared" ref="J63" si="16">H63</f>
        <v>0</v>
      </c>
      <c r="L63" s="52"/>
    </row>
    <row r="64" spans="2:12" s="43" customFormat="1" outlineLevel="1">
      <c r="B64" s="83"/>
      <c r="C64" s="47" t="s">
        <v>413</v>
      </c>
      <c r="D64" s="104">
        <v>3943.21</v>
      </c>
      <c r="E64" s="115">
        <f t="shared" ref="E64" si="17">D64/$D$6</f>
        <v>520.21240105540892</v>
      </c>
      <c r="F64" s="74">
        <v>45532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19</v>
      </c>
      <c r="J64" s="75">
        <f t="shared" ref="J64" si="18">H64</f>
        <v>0</v>
      </c>
      <c r="L64" s="52"/>
    </row>
    <row r="65" spans="1:16" s="43" customFormat="1" outlineLevel="1">
      <c r="B65" s="83"/>
      <c r="C65" s="47" t="s">
        <v>410</v>
      </c>
      <c r="D65" s="104">
        <v>3943.21</v>
      </c>
      <c r="E65" s="115">
        <f t="shared" ref="E65" si="19">D65/$D$6</f>
        <v>520.21240105540892</v>
      </c>
      <c r="F65" s="74">
        <v>45532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19</v>
      </c>
      <c r="J65" s="75">
        <f t="shared" ref="J65" si="20">H65</f>
        <v>0</v>
      </c>
      <c r="L65" s="52"/>
    </row>
    <row r="66" spans="1:16" s="43" customFormat="1" ht="15.75" outlineLevel="1" thickBot="1">
      <c r="B66" s="83"/>
      <c r="C66" s="47" t="s">
        <v>411</v>
      </c>
      <c r="D66" s="104">
        <v>3943.21</v>
      </c>
      <c r="E66" s="115">
        <f t="shared" ref="E66" si="21">D66/$D$6</f>
        <v>520.21240105540892</v>
      </c>
      <c r="F66" s="74">
        <v>45532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19</v>
      </c>
      <c r="J66" s="75">
        <f t="shared" ref="J66" si="22">H66</f>
        <v>0</v>
      </c>
      <c r="L66" s="52"/>
    </row>
    <row r="67" spans="1:16" s="43" customFormat="1" ht="16.5" thickBot="1">
      <c r="B67" s="46"/>
      <c r="C67" s="73" t="s">
        <v>173</v>
      </c>
      <c r="D67" s="103">
        <f>SUBTOTAL(9,D68:D72)</f>
        <v>18655.380799999999</v>
      </c>
      <c r="E67" s="112">
        <f>SUBTOTAL(9,E68:E72)</f>
        <v>2461.1320316622691</v>
      </c>
    </row>
    <row r="68" spans="1:16" s="43" customFormat="1" ht="14.25" customHeight="1" outlineLevel="1">
      <c r="B68" s="46"/>
      <c r="C68" s="47" t="s">
        <v>279</v>
      </c>
      <c r="D68" s="109">
        <f>E68*$D$6</f>
        <v>0</v>
      </c>
      <c r="E68" s="115">
        <v>0</v>
      </c>
      <c r="F68" s="74">
        <v>45532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19</v>
      </c>
      <c r="J68" s="75">
        <f t="shared" ref="J68:J71" si="23">H68</f>
        <v>0</v>
      </c>
      <c r="K68" s="52"/>
      <c r="L68" s="54"/>
    </row>
    <row r="69" spans="1:16" s="43" customFormat="1" outlineLevel="1">
      <c r="B69" s="46"/>
      <c r="C69" s="47" t="s">
        <v>278</v>
      </c>
      <c r="D69" s="109">
        <f>E69*$D$6</f>
        <v>6907.3508000000002</v>
      </c>
      <c r="E69" s="115">
        <v>911.26</v>
      </c>
      <c r="F69" s="74">
        <v>45532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19</v>
      </c>
      <c r="J69" s="75">
        <f t="shared" si="23"/>
        <v>0</v>
      </c>
      <c r="K69" s="52"/>
      <c r="L69" s="54"/>
    </row>
    <row r="70" spans="1:16" s="43" customFormat="1" outlineLevel="1">
      <c r="B70" s="46"/>
      <c r="C70" s="47" t="s">
        <v>280</v>
      </c>
      <c r="D70" s="109">
        <v>6724.03</v>
      </c>
      <c r="E70" s="115">
        <f>D70/$D$6</f>
        <v>887.07519788918205</v>
      </c>
      <c r="F70" s="74">
        <v>45532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19</v>
      </c>
      <c r="J70" s="75">
        <f t="shared" si="23"/>
        <v>0</v>
      </c>
      <c r="K70" s="52"/>
      <c r="L70" s="54"/>
    </row>
    <row r="71" spans="1:16" s="43" customFormat="1" ht="14.25" customHeight="1" outlineLevel="1">
      <c r="B71" s="46"/>
      <c r="C71" s="47" t="s">
        <v>281</v>
      </c>
      <c r="D71" s="109">
        <v>5024</v>
      </c>
      <c r="E71" s="115">
        <f>D71/$D$6</f>
        <v>662.79683377308709</v>
      </c>
      <c r="F71" s="74">
        <v>45532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19</v>
      </c>
      <c r="J71" s="75">
        <f t="shared" si="23"/>
        <v>0</v>
      </c>
      <c r="K71" s="52"/>
      <c r="L71" s="54"/>
    </row>
    <row r="72" spans="1:16" s="43" customFormat="1" ht="15.75" outlineLevel="1" thickBot="1">
      <c r="B72" s="46"/>
      <c r="C72" s="47" t="s">
        <v>175</v>
      </c>
      <c r="D72" s="109">
        <f>(499*3*8)*0</f>
        <v>0</v>
      </c>
      <c r="E72" s="115">
        <f>D72/$D$6</f>
        <v>0</v>
      </c>
      <c r="F72" s="74">
        <v>45534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21</v>
      </c>
      <c r="J72" s="75">
        <f>H72</f>
        <v>0</v>
      </c>
      <c r="K72" s="52"/>
      <c r="L72" s="54"/>
    </row>
    <row r="73" spans="1:16" s="43" customFormat="1" ht="16.5" thickBot="1">
      <c r="B73" s="87"/>
      <c r="C73" s="73" t="s">
        <v>149</v>
      </c>
      <c r="D73" s="103">
        <f>SUBTOTAL(9,D74:D75)</f>
        <v>0</v>
      </c>
      <c r="E73" s="112">
        <f>SUBTOTAL(9,E74:E75)</f>
        <v>0</v>
      </c>
      <c r="L73" s="52"/>
    </row>
    <row r="74" spans="1:16" s="43" customFormat="1" outlineLevel="1">
      <c r="B74" s="84"/>
      <c r="C74" s="47" t="s">
        <v>349</v>
      </c>
      <c r="D74" s="109">
        <v>0</v>
      </c>
      <c r="E74" s="115">
        <f>D74/$D$6</f>
        <v>0</v>
      </c>
      <c r="F74" s="74">
        <v>45535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21</v>
      </c>
      <c r="J74" s="75">
        <f>H74</f>
        <v>0</v>
      </c>
      <c r="L74" s="52"/>
    </row>
    <row r="75" spans="1:16" s="43" customFormat="1" ht="15.75" outlineLevel="1" thickBot="1">
      <c r="B75" s="84"/>
      <c r="C75" s="47" t="s">
        <v>223</v>
      </c>
      <c r="D75" s="109">
        <v>0</v>
      </c>
      <c r="E75" s="115">
        <f>D75/$D$6</f>
        <v>0</v>
      </c>
      <c r="F75" s="74">
        <v>45535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21</v>
      </c>
      <c r="J75" s="75">
        <f>H75</f>
        <v>0</v>
      </c>
      <c r="L75" s="52"/>
    </row>
    <row r="76" spans="1:16" s="43" customFormat="1" ht="14.25" customHeight="1">
      <c r="B76" s="46"/>
      <c r="C76" s="88" t="s">
        <v>150</v>
      </c>
      <c r="D76" s="120">
        <f>SUBTOTAL(9,D26:D75)</f>
        <v>361693.87540000014</v>
      </c>
      <c r="E76" s="116">
        <f>SUBTOTAL(9,E26:E75)</f>
        <v>45146.904406332455</v>
      </c>
      <c r="K76" s="39"/>
      <c r="L76" s="39"/>
      <c r="N76" s="39"/>
      <c r="O76" s="39"/>
      <c r="P76" s="39"/>
    </row>
    <row r="77" spans="1:16" ht="15.75">
      <c r="A77" s="43"/>
      <c r="E77" s="117"/>
      <c r="F77" s="89"/>
      <c r="G77" s="89"/>
      <c r="H77" s="89"/>
      <c r="I77" s="89"/>
      <c r="J77" s="89"/>
    </row>
    <row r="78" spans="1:16" ht="15.75">
      <c r="A78" s="43"/>
      <c r="C78" s="90" t="s">
        <v>151</v>
      </c>
      <c r="D78" s="121">
        <f>D21-D76</f>
        <v>178060.82721958717</v>
      </c>
      <c r="E78" s="118">
        <f>E21-E76</f>
        <v>25737.145751978867</v>
      </c>
      <c r="F78" s="91"/>
      <c r="G78" s="92"/>
      <c r="J78" s="92"/>
    </row>
    <row r="79" spans="1:16" s="93" customFormat="1" ht="15.75">
      <c r="A79" s="43"/>
      <c r="B79" s="94"/>
      <c r="C79" s="90" t="s">
        <v>152</v>
      </c>
      <c r="D79" s="95">
        <f>IF($D$21=0,0,D78/$D$21)</f>
        <v>0.3298921275820404</v>
      </c>
      <c r="E79" s="95">
        <f>IF($E$21=0,0,E78/$E$21)</f>
        <v>0.36308796823118783</v>
      </c>
      <c r="F79" s="96"/>
      <c r="G79" s="92"/>
      <c r="J79" s="97"/>
      <c r="K79" s="39"/>
      <c r="L79" s="39"/>
      <c r="N79" s="39"/>
      <c r="O79" s="39"/>
      <c r="P79" s="39"/>
    </row>
    <row r="80" spans="1:16" ht="15.75" thickBot="1">
      <c r="A80" s="43"/>
      <c r="F80" s="96"/>
      <c r="G80" s="92"/>
    </row>
    <row r="81" spans="1:7" ht="15.75" thickBot="1">
      <c r="A81" s="43"/>
      <c r="C81" s="135" t="s">
        <v>184</v>
      </c>
      <c r="D81" s="136" t="s">
        <v>185</v>
      </c>
      <c r="E81" s="137" t="s">
        <v>191</v>
      </c>
      <c r="F81" s="137" t="s">
        <v>186</v>
      </c>
      <c r="G81" s="92"/>
    </row>
    <row r="82" spans="1:7">
      <c r="A82" s="43"/>
      <c r="C82" s="187">
        <v>45505</v>
      </c>
      <c r="D82" s="188">
        <v>45508</v>
      </c>
      <c r="E82" s="189">
        <f>SUMIFS($D$26:$D$79,$F$26:$F$79,"&gt;="&amp;C82,$F$26:$F$79,"&lt;="&amp;D82,$G$26:$G$79,$D$95)</f>
        <v>0</v>
      </c>
      <c r="F82" s="190">
        <f>SUMIFS($E$26:$E$79,$F$26:$F$79,"&gt;="&amp;C82,$F$26:$F$79,"&lt;="&amp;D82,$G$26:$G$79,$D$95)</f>
        <v>0</v>
      </c>
      <c r="G82" s="92"/>
    </row>
    <row r="83" spans="1:7">
      <c r="A83" s="43"/>
      <c r="C83" s="191">
        <v>45509</v>
      </c>
      <c r="D83" s="192">
        <v>45515</v>
      </c>
      <c r="E83" s="193">
        <f>SUMIFS($D$26:$D$79,$F$26:$F$79,"&gt;="&amp;C83,$F$26:$F$79,"&lt;="&amp;D83,$G$26:$G$79,$D$95)</f>
        <v>0</v>
      </c>
      <c r="F83" s="194">
        <f>SUMIFS($E$26:$E$79,$F$26:$F$79,"&gt;="&amp;C83,$F$26:$F$79,"&lt;="&amp;D83,$G$26:$G$79,$D$95)</f>
        <v>0</v>
      </c>
      <c r="G83" s="92"/>
    </row>
    <row r="84" spans="1:7">
      <c r="A84" s="43"/>
      <c r="C84" s="191">
        <v>45516</v>
      </c>
      <c r="D84" s="192">
        <v>45522</v>
      </c>
      <c r="E84" s="193">
        <f>SUMIFS($D$26:$D$79,$F$26:$F$79,"&gt;="&amp;C84,$F$26:$F$79,"&lt;="&amp;D84,$G$26:$G$79,$D$95)</f>
        <v>0</v>
      </c>
      <c r="F84" s="194">
        <f>SUMIFS($E$26:$E$79,$F$26:$F$79,"&gt;="&amp;C84,$F$26:$F$79,"&lt;="&amp;D84,$G$26:$G$79,$D$95)</f>
        <v>0</v>
      </c>
      <c r="G84" s="92" t="s">
        <v>390</v>
      </c>
    </row>
    <row r="85" spans="1:7">
      <c r="A85" s="43"/>
      <c r="C85" s="191">
        <v>45523</v>
      </c>
      <c r="D85" s="192">
        <v>45529</v>
      </c>
      <c r="E85" s="193">
        <f>SUMIFS($D$26:$D$79,$F$26:$F$79,"&gt;="&amp;C85,$F$26:$F$79,"&lt;="&amp;D85,$G$26:$G$79,$D$95)</f>
        <v>0</v>
      </c>
      <c r="F85" s="194">
        <f>SUMIFS($E$26:$E$79,$F$26:$F$79,"&gt;="&amp;C85,$F$26:$F$79,"&lt;="&amp;D85,$G$26:$G$79,$D$95)</f>
        <v>0</v>
      </c>
      <c r="G85" s="92" t="s">
        <v>395</v>
      </c>
    </row>
    <row r="86" spans="1:7" ht="15.75" thickBot="1">
      <c r="A86" s="43"/>
      <c r="C86" s="195">
        <v>45530</v>
      </c>
      <c r="D86" s="196">
        <v>45535</v>
      </c>
      <c r="E86" s="197">
        <f>SUMIFS($D$26:$D$79,$F$26:$F$79,"&gt;="&amp;C86,$F$26:$F$79,"&lt;="&amp;D86,$G$26:$G$79,$D$95)</f>
        <v>0</v>
      </c>
      <c r="F86" s="198">
        <f>SUMIFS($E$26:$E$79,$F$26:$F$79,"&gt;="&amp;C86,$F$26:$F$79,"&lt;="&amp;D86,$G$26:$G$79,$D$95)</f>
        <v>0</v>
      </c>
      <c r="G86" s="92" t="s">
        <v>382</v>
      </c>
    </row>
    <row r="87" spans="1:7" ht="15.75">
      <c r="A87" s="43"/>
      <c r="C87" s="433" t="s">
        <v>187</v>
      </c>
      <c r="D87" s="433"/>
      <c r="E87" s="148">
        <f>SUM(E82:E86)</f>
        <v>0</v>
      </c>
      <c r="F87" s="144">
        <f>SUM(F82:F86)</f>
        <v>0</v>
      </c>
      <c r="G87" s="92"/>
    </row>
    <row r="88" spans="1:7">
      <c r="A88" s="43"/>
      <c r="F88" s="96"/>
      <c r="G88" s="92"/>
    </row>
    <row r="89" spans="1:7">
      <c r="A89" s="43"/>
      <c r="F89" s="96"/>
      <c r="G89" s="92"/>
    </row>
    <row r="90" spans="1:7">
      <c r="A90" s="43"/>
      <c r="C90" s="41" t="s">
        <v>380</v>
      </c>
      <c r="D90" s="41" t="s">
        <v>380</v>
      </c>
      <c r="E90" s="166">
        <f>'Caja QTQ'!$H$202+('Caja USD'!$H$85*$D$6)</f>
        <v>178060.82479999971</v>
      </c>
      <c r="F90" s="153">
        <f>'Caja USD'!H85+('Caja QTQ'!H202/'Flujo caja Agosto'!$D$6)</f>
        <v>23490.873984168826</v>
      </c>
      <c r="G90" s="92"/>
    </row>
    <row r="91" spans="1:7">
      <c r="A91" s="43"/>
      <c r="D91" s="200" t="s">
        <v>402</v>
      </c>
      <c r="E91" s="166">
        <f>SUM(E85:E86)</f>
        <v>0</v>
      </c>
      <c r="F91" s="153">
        <f>SUM(F82:F86)</f>
        <v>0</v>
      </c>
      <c r="G91" s="92"/>
    </row>
    <row r="92" spans="1:7">
      <c r="A92" s="43"/>
      <c r="D92" s="146" t="s">
        <v>381</v>
      </c>
      <c r="E92" s="201">
        <f>E90-E91</f>
        <v>178060.82479999971</v>
      </c>
      <c r="F92" s="145">
        <f>F90-F91</f>
        <v>23490.873984168826</v>
      </c>
      <c r="G92" s="92"/>
    </row>
    <row r="93" spans="1:7">
      <c r="A93" s="43"/>
      <c r="F93" s="96"/>
      <c r="G93" s="92"/>
    </row>
    <row r="94" spans="1:7">
      <c r="D94" s="43" t="s">
        <v>135</v>
      </c>
      <c r="E94" s="15">
        <f>SUMIFS($D$26:$D$83,$F$26:$F$83,"&gt;="&amp;C82,$F$26:$F$83,"&lt;="&amp;D86,$G$26:$G$83,$D$94)</f>
        <v>361693.87540000014</v>
      </c>
      <c r="F94" s="153">
        <f>SUMIFS($E$26:$E$83,$F$26:$F$83,"&gt;="&amp;C82,$F$26:$F$83,"&lt;="&amp;D86,$G$26:$G$83,$D$94)</f>
        <v>45146.904406332455</v>
      </c>
    </row>
    <row r="95" spans="1:7">
      <c r="D95" s="43" t="s">
        <v>143</v>
      </c>
      <c r="E95" s="15">
        <f>SUMIFS($D$26:$D$83,$F$26:$F$83,"&gt;="&amp;C82,$F$26:$F$83,"&lt;="&amp;D86,$G$26:$G$83,$D$95)</f>
        <v>0</v>
      </c>
      <c r="F95" s="153">
        <f>SUMIFS($E$26:$E$83,$F$26:$F$83,"&gt;="&amp;C82,$F$26:$F$83,"&lt;="&amp;D86,$G$26:$G$83,$D$95)</f>
        <v>0</v>
      </c>
    </row>
    <row r="96" spans="1:7">
      <c r="D96" s="146" t="s">
        <v>189</v>
      </c>
      <c r="E96" s="152">
        <f>SUM(E94:E95)</f>
        <v>361693.87540000014</v>
      </c>
      <c r="F96" s="145">
        <f>SUM(F94:F95)</f>
        <v>45146.904406332455</v>
      </c>
    </row>
    <row r="97" spans="4:6">
      <c r="D97" s="146" t="s">
        <v>190</v>
      </c>
      <c r="E97" s="152">
        <f>E96-D76</f>
        <v>0</v>
      </c>
      <c r="F97" s="145">
        <f>F96-E76</f>
        <v>0</v>
      </c>
    </row>
    <row r="99" spans="4:6" hidden="1">
      <c r="D99" s="41" t="s">
        <v>373</v>
      </c>
      <c r="E99" s="166">
        <f>D78</f>
        <v>178060.82721958717</v>
      </c>
    </row>
    <row r="100" spans="4:6" hidden="1">
      <c r="D100" s="41" t="s">
        <v>339</v>
      </c>
      <c r="E100" s="166">
        <f>'Caja QTQ'!H167+('Caja USD'!H70*7.6)</f>
        <v>190098.56839999984</v>
      </c>
    </row>
    <row r="101" spans="4:6" hidden="1">
      <c r="D101" s="41" t="s">
        <v>85</v>
      </c>
      <c r="E101" s="166">
        <f>E99-E100</f>
        <v>-12037.741180412675</v>
      </c>
      <c r="F101" s="185">
        <f>E101/7.88</f>
        <v>-1527.6321294939944</v>
      </c>
    </row>
    <row r="104" spans="4:6">
      <c r="D104" s="41" t="s">
        <v>373</v>
      </c>
      <c r="E104" s="166">
        <f>D78</f>
        <v>178060.82721958717</v>
      </c>
    </row>
    <row r="105" spans="4:6">
      <c r="D105" s="41" t="s">
        <v>339</v>
      </c>
      <c r="E105" s="166">
        <f>'Caja QTQ'!$H$202+('Caja USD'!H85*$D$6)</f>
        <v>178060.82479999971</v>
      </c>
    </row>
    <row r="106" spans="4:6">
      <c r="D106" s="41" t="s">
        <v>444</v>
      </c>
      <c r="E106" s="166">
        <f>E105-E104</f>
        <v>-2.4195874575525522E-3</v>
      </c>
    </row>
    <row r="107" spans="4:6">
      <c r="D107" s="41" t="s">
        <v>444</v>
      </c>
      <c r="E107" s="153">
        <f>E106/D6</f>
        <v>-3.1920678859532353E-4</v>
      </c>
    </row>
  </sheetData>
  <protectedRanges>
    <protectedRange sqref="F21:G21 D80:E80 D50:E51 D88:E93 C90 D10:E12" name="Presupuestos"/>
    <protectedRange sqref="D25:E25 D8:E8" name="Presupuestos_1"/>
    <protectedRange sqref="D33:E37" name="Presupuestos_13_1"/>
    <protectedRange sqref="D39:E44" name="Presupuestos_14"/>
    <protectedRange sqref="D61:E61 E56:E57 E60 D58:E59 E62:E66" name="Presupuestos_2_1_1_1"/>
    <protectedRange sqref="K57 D57 E74:E75 D68:E72" name="Presupuestos_6_1_1_1"/>
    <protectedRange sqref="D56 D60 D62:D66" name="Presupuestos_5_2_1"/>
    <protectedRange sqref="D53:E54" name="Presupuestos_7_1"/>
    <protectedRange sqref="D74:D75" name="Presupuestos_5_3"/>
    <protectedRange sqref="D46:E48" name="Presupuestos_13_1_1"/>
  </protectedRanges>
  <autoFilter ref="B25:J75" xr:uid="{00000000-0009-0000-0000-000002000000}"/>
  <mergeCells count="5">
    <mergeCell ref="D7:E7"/>
    <mergeCell ref="B14:B17"/>
    <mergeCell ref="B24:C24"/>
    <mergeCell ref="D24:E24"/>
    <mergeCell ref="C87:D87"/>
  </mergeCells>
  <conditionalFormatting sqref="J27 J29:J31 J33:J37 J39:J44 J46:J48 J53:J54 J56:J66 J68:J72 J74:J75">
    <cfRule type="cellIs" dxfId="224" priority="9" operator="lessThan">
      <formula>0</formula>
    </cfRule>
    <cfRule type="cellIs" dxfId="223" priority="10" operator="between">
      <formula>6</formula>
      <formula>15</formula>
    </cfRule>
    <cfRule type="cellIs" dxfId="222" priority="11" operator="between">
      <formula>1</formula>
      <formula>5</formula>
    </cfRule>
    <cfRule type="cellIs" dxfId="221" priority="12" operator="between">
      <formula>16</formula>
      <formula>60</formula>
    </cfRule>
  </conditionalFormatting>
  <conditionalFormatting sqref="J50:J51">
    <cfRule type="cellIs" dxfId="220" priority="5" operator="lessThan">
      <formula>0</formula>
    </cfRule>
    <cfRule type="cellIs" dxfId="219" priority="6" operator="between">
      <formula>6</formula>
      <formula>15</formula>
    </cfRule>
    <cfRule type="cellIs" dxfId="218" priority="7" operator="between">
      <formula>1</formula>
      <formula>5</formula>
    </cfRule>
    <cfRule type="cellIs" dxfId="217" priority="8" operator="between">
      <formula>16</formula>
      <formula>60</formula>
    </cfRule>
  </conditionalFormatting>
  <dataValidations disablePrompts="1" count="2">
    <dataValidation type="list" allowBlank="1" showInputMessage="1" showErrorMessage="1" sqref="D24 D7" xr:uid="{06F8C564-10AF-4DF7-9785-45BE5321C40E}">
      <formula1>"ENERO,FEBRERO,MARZO,ABRIL,MAYO,JUNIO,JULIO,AGOSTO,SEPTIEMBRE,OCTUBRE,NOVIEMBRE,DICIEMBRE"</formula1>
    </dataValidation>
    <dataValidation type="list" allowBlank="1" showInputMessage="1" showErrorMessage="1" sqref="G29:G31 G56:G66 G74:G75 G26:G27 G53:G54 G50:G51 G39:G44 D94:D95 G68:G72 G33:G37 G46:G48" xr:uid="{E8084CE6-5286-47C0-88E8-B33F377DC854}">
      <formula1>"Cancelado,Pagar,Sin Pagar"</formula1>
    </dataValidation>
  </dataValidations>
  <pageMargins left="0.7" right="0.7" top="0.75" bottom="0.75" header="0.3" footer="0.3"/>
  <pageSetup paperSize="9" orientation="portrait" r:id="rId1"/>
  <ignoredErrors>
    <ignoredError sqref="J54:J76 J27:J52" unlockedFormula="1"/>
    <ignoredError sqref="E19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BAC1-D405-4580-BE08-1100785C0ACB}">
  <dimension ref="A1:S106"/>
  <sheetViews>
    <sheetView showGridLines="0" topLeftCell="B32" zoomScale="90" zoomScaleNormal="90" workbookViewId="0">
      <selection activeCell="D103" sqref="D103:E105"/>
    </sheetView>
  </sheetViews>
  <sheetFormatPr baseColWidth="10" defaultColWidth="11.42578125" defaultRowHeight="15" outlineLevelRow="1"/>
  <cols>
    <col min="1" max="1" width="2.140625" style="39" customWidth="1"/>
    <col min="2" max="2" width="17.140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45537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7.55</v>
      </c>
      <c r="E6" s="42"/>
      <c r="I6" s="43"/>
    </row>
    <row r="7" spans="1:9" ht="15.75">
      <c r="C7" s="99"/>
      <c r="D7" s="432" t="s">
        <v>494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SUBTOTAL(9,D10:D12)</f>
        <v>203374.26459326182</v>
      </c>
      <c r="E9" s="122">
        <f>SUBTOTAL(9,E10:E12)</f>
        <v>26936.988687849243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QTQ'!$H$202</f>
        <v>167321.63239999971</v>
      </c>
      <c r="E10" s="25">
        <f>D10/$D$6</f>
        <v>22161.805615894002</v>
      </c>
      <c r="F10" s="49"/>
    </row>
    <row r="11" spans="1:9" s="43" customFormat="1" outlineLevel="1">
      <c r="B11" s="46"/>
      <c r="C11" s="47" t="s">
        <v>154</v>
      </c>
      <c r="D11" s="15">
        <f>E11*D6</f>
        <v>10696.688999999998</v>
      </c>
      <c r="E11" s="25">
        <f>'Caja USD'!$H$85</f>
        <v>1416.7799999999997</v>
      </c>
      <c r="F11" s="49"/>
    </row>
    <row r="12" spans="1:9" s="43" customFormat="1" outlineLevel="1">
      <c r="B12" s="46"/>
      <c r="C12" s="47" t="s">
        <v>493</v>
      </c>
      <c r="D12" s="15">
        <v>25355.943193262094</v>
      </c>
      <c r="E12" s="25">
        <f>D12/D6</f>
        <v>3358.4030719552443</v>
      </c>
      <c r="F12" s="49"/>
    </row>
    <row r="13" spans="1:9" s="43" customFormat="1" ht="15.75">
      <c r="B13" s="46"/>
      <c r="C13" s="102" t="s">
        <v>134</v>
      </c>
      <c r="D13" s="127">
        <f>SUBTOTAL(9,D14:D20)</f>
        <v>357885.05999999994</v>
      </c>
      <c r="E13" s="122">
        <f>SUBTOTAL(9,E14:E20)</f>
        <v>47024.5</v>
      </c>
      <c r="F13" s="128"/>
    </row>
    <row r="14" spans="1:9" s="43" customFormat="1" outlineLevel="1">
      <c r="B14" s="447"/>
      <c r="C14" s="47" t="s">
        <v>445</v>
      </c>
      <c r="D14" s="207">
        <f>'Diferencia en cambio'!$I$37</f>
        <v>41117.35701250258</v>
      </c>
      <c r="E14" s="208">
        <f>$D$14/'Diferencia en cambio'!$L$37</f>
        <v>5412.16</v>
      </c>
      <c r="F14" s="128"/>
      <c r="G14" s="52"/>
    </row>
    <row r="15" spans="1:9" s="43" customFormat="1" outlineLevel="1">
      <c r="A15" s="50"/>
      <c r="B15" s="447"/>
      <c r="C15" s="47" t="s">
        <v>446</v>
      </c>
      <c r="D15" s="207">
        <f>'Diferencia en cambio'!$I$38</f>
        <v>226530.02737696387</v>
      </c>
      <c r="E15" s="208">
        <f>D15/'Diferencia en cambio'!$L$38</f>
        <v>29732.93</v>
      </c>
      <c r="F15" s="128"/>
      <c r="G15" s="184"/>
    </row>
    <row r="16" spans="1:9" s="43" customFormat="1" outlineLevel="1">
      <c r="A16" s="50"/>
      <c r="B16" s="447"/>
      <c r="C16" s="47" t="s">
        <v>447</v>
      </c>
      <c r="D16" s="207">
        <f>'Diferencia en cambio'!$I$39</f>
        <v>7228.3613984190069</v>
      </c>
      <c r="E16" s="208">
        <f>D16/'Diferencia en cambio'!$L$39</f>
        <v>948.74999999999989</v>
      </c>
      <c r="F16" s="128"/>
      <c r="G16" s="184"/>
    </row>
    <row r="17" spans="2:19" s="43" customFormat="1" outlineLevel="1">
      <c r="B17" s="447"/>
      <c r="C17" s="47" t="s">
        <v>448</v>
      </c>
      <c r="D17" s="207">
        <f>'Diferencia en cambio'!$I$40</f>
        <v>13543.911224617113</v>
      </c>
      <c r="E17" s="208">
        <f>D17/'Diferencia en cambio'!$L$40</f>
        <v>1777.69</v>
      </c>
      <c r="F17" s="128"/>
      <c r="G17" s="52"/>
    </row>
    <row r="18" spans="2:19" s="43" customFormat="1" outlineLevel="1">
      <c r="B18" s="46"/>
      <c r="C18" s="47" t="s">
        <v>449</v>
      </c>
      <c r="D18" s="207">
        <f>'Diferencia en cambio'!$I$41</f>
        <v>43829.259794235368</v>
      </c>
      <c r="E18" s="208">
        <f>$D$18/'Diferencia en cambio'!$L$41</f>
        <v>5769.1200000000008</v>
      </c>
      <c r="F18" s="128"/>
      <c r="G18" s="52"/>
    </row>
    <row r="19" spans="2:19" s="43" customFormat="1" outlineLevel="1">
      <c r="B19" s="46"/>
      <c r="C19" s="47" t="s">
        <v>450</v>
      </c>
      <c r="D19" s="207">
        <f>'Caja QTQ'!$D$209</f>
        <v>6832.27</v>
      </c>
      <c r="E19" s="208">
        <f>D19/'Diferencia en cambio'!L42</f>
        <v>908.75</v>
      </c>
      <c r="F19" s="128"/>
      <c r="G19" s="52"/>
    </row>
    <row r="20" spans="2:19" s="43" customFormat="1" outlineLevel="1">
      <c r="B20" s="46"/>
      <c r="C20" s="47" t="s">
        <v>451</v>
      </c>
      <c r="D20" s="207">
        <f>'Diferencia en cambio'!$I$43</f>
        <v>18803.873193262047</v>
      </c>
      <c r="E20" s="208">
        <f>$D$20/'Diferencia en cambio'!$L$43</f>
        <v>2475.1</v>
      </c>
      <c r="F20" s="128"/>
      <c r="G20" s="52"/>
    </row>
    <row r="21" spans="2:19" s="43" customFormat="1" ht="15.75">
      <c r="B21" s="46"/>
      <c r="C21" s="55" t="s">
        <v>136</v>
      </c>
      <c r="D21" s="123">
        <f>SUBTOTAL(9,D9:D18)</f>
        <v>535623.18139999977</v>
      </c>
      <c r="E21" s="124">
        <f>SUBTOTAL(9,E9:E18)</f>
        <v>70577.638687849249</v>
      </c>
      <c r="F21" s="56"/>
      <c r="G21" s="56"/>
      <c r="J21" s="52"/>
      <c r="K21" s="57"/>
      <c r="O21" s="58"/>
      <c r="P21" s="59"/>
      <c r="Q21" s="53"/>
    </row>
    <row r="22" spans="2:19" s="43" customFormat="1" ht="15.75">
      <c r="B22" s="46"/>
      <c r="C22" s="60"/>
      <c r="D22" s="61"/>
      <c r="E22" s="61"/>
      <c r="G22" s="62"/>
      <c r="O22" s="59"/>
      <c r="P22" s="59"/>
    </row>
    <row r="23" spans="2:19" s="43" customFormat="1" ht="15.75">
      <c r="B23" s="46"/>
      <c r="N23" s="63"/>
      <c r="O23" s="64"/>
      <c r="P23" s="65"/>
    </row>
    <row r="24" spans="2:19" s="43" customFormat="1" ht="15.75">
      <c r="B24" s="432" t="s">
        <v>137</v>
      </c>
      <c r="C24" s="432"/>
      <c r="D24" s="432" t="s">
        <v>374</v>
      </c>
      <c r="E24" s="432"/>
      <c r="K24" s="65"/>
      <c r="L24" s="65"/>
      <c r="N24" s="63"/>
      <c r="R24" s="52"/>
      <c r="S24" s="52"/>
    </row>
    <row r="25" spans="2:19" s="43" customFormat="1" ht="16.5" thickBot="1">
      <c r="B25" s="67" t="s">
        <v>81</v>
      </c>
      <c r="C25" s="68" t="s">
        <v>106</v>
      </c>
      <c r="D25" s="110" t="s">
        <v>168</v>
      </c>
      <c r="E25" s="110" t="s">
        <v>169</v>
      </c>
      <c r="F25" s="69" t="s">
        <v>140</v>
      </c>
      <c r="G25" s="63" t="s">
        <v>141</v>
      </c>
      <c r="H25" s="63"/>
      <c r="I25" s="63"/>
      <c r="J25" s="70" t="s">
        <v>142</v>
      </c>
      <c r="N25" s="71"/>
      <c r="R25" s="52"/>
      <c r="S25" s="72"/>
    </row>
    <row r="26" spans="2:19" s="43" customFormat="1" ht="16.5" thickBot="1">
      <c r="B26" s="46"/>
      <c r="C26" s="73" t="s">
        <v>155</v>
      </c>
      <c r="D26" s="103">
        <f>SUBTOTAL(9,D27:D27)</f>
        <v>44275.81</v>
      </c>
      <c r="E26" s="112">
        <f>SUBTOTAL(9,E27:E27)</f>
        <v>5864.3456953642381</v>
      </c>
      <c r="F26" s="74"/>
      <c r="J26" s="76"/>
    </row>
    <row r="27" spans="2:19" s="43" customFormat="1" ht="15.75" outlineLevel="1" thickBot="1">
      <c r="B27" s="77">
        <v>176206200</v>
      </c>
      <c r="C27" s="78" t="s">
        <v>472</v>
      </c>
      <c r="D27" s="109">
        <v>44275.81</v>
      </c>
      <c r="E27" s="115">
        <f>D27/D6</f>
        <v>5864.3456953642381</v>
      </c>
      <c r="F27" s="80">
        <v>45548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10</v>
      </c>
      <c r="J27" s="75">
        <f>H27</f>
        <v>0</v>
      </c>
      <c r="K27" s="52"/>
      <c r="L27" s="52"/>
    </row>
    <row r="28" spans="2:19" s="43" customFormat="1" ht="16.5" thickBot="1">
      <c r="B28" s="46"/>
      <c r="C28" s="73" t="s">
        <v>144</v>
      </c>
      <c r="D28" s="103">
        <f>SUBTOTAL(9,D29:D31)</f>
        <v>13381.64</v>
      </c>
      <c r="E28" s="112">
        <f>SUBTOTAL(9,E29:E31)</f>
        <v>1772.4026490066224</v>
      </c>
      <c r="J28" s="76">
        <f t="shared" ref="J28:J36" si="0">H28</f>
        <v>0</v>
      </c>
    </row>
    <row r="29" spans="2:19" s="43" customFormat="1" outlineLevel="1">
      <c r="B29" s="168">
        <v>44130358346</v>
      </c>
      <c r="C29" s="47" t="s">
        <v>471</v>
      </c>
      <c r="D29" s="109">
        <v>11892.63</v>
      </c>
      <c r="E29" s="115">
        <f>D29/$D$6</f>
        <v>1575.1827814569535</v>
      </c>
      <c r="F29" s="80">
        <v>45548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10</v>
      </c>
      <c r="J29" s="75">
        <f>H29</f>
        <v>0</v>
      </c>
      <c r="K29" s="48"/>
      <c r="L29" s="57"/>
    </row>
    <row r="30" spans="2:19" s="43" customFormat="1" outlineLevel="1">
      <c r="B30" s="168">
        <v>44127378325</v>
      </c>
      <c r="C30" s="47" t="s">
        <v>470</v>
      </c>
      <c r="D30" s="109">
        <v>1489.01</v>
      </c>
      <c r="E30" s="115">
        <f>D30/$D$6</f>
        <v>197.21986754966889</v>
      </c>
      <c r="F30" s="80">
        <v>45548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10</v>
      </c>
      <c r="J30" s="75">
        <f>H30</f>
        <v>0</v>
      </c>
      <c r="K30" s="48"/>
      <c r="L30" s="57"/>
    </row>
    <row r="31" spans="2:19" s="43" customFormat="1" ht="15.75" outlineLevel="1" thickBot="1">
      <c r="B31" s="168">
        <v>43589111783</v>
      </c>
      <c r="C31" s="47" t="s">
        <v>437</v>
      </c>
      <c r="D31" s="109">
        <v>0</v>
      </c>
      <c r="E31" s="115">
        <f>D31/$D$6</f>
        <v>0</v>
      </c>
      <c r="F31" s="80">
        <v>45565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21</v>
      </c>
      <c r="J31" s="75">
        <f>H31</f>
        <v>0</v>
      </c>
      <c r="K31" s="48"/>
      <c r="L31" s="57"/>
    </row>
    <row r="32" spans="2:19" s="43" customFormat="1" ht="16.5" thickBot="1">
      <c r="B32" s="46"/>
      <c r="C32" s="73" t="s">
        <v>163</v>
      </c>
      <c r="D32" s="103">
        <f>SUBTOTAL(9,D33:D37)</f>
        <v>840</v>
      </c>
      <c r="E32" s="112">
        <f>SUBTOTAL(9,E33:E37)</f>
        <v>111.25827814569537</v>
      </c>
      <c r="J32" s="76">
        <f t="shared" si="0"/>
        <v>0</v>
      </c>
      <c r="K32" s="52"/>
      <c r="L32" s="52"/>
    </row>
    <row r="33" spans="2:16" s="43" customFormat="1" outlineLevel="1">
      <c r="B33" s="46"/>
      <c r="C33" s="47" t="s">
        <v>438</v>
      </c>
      <c r="D33" s="104">
        <v>840</v>
      </c>
      <c r="E33" s="113">
        <f t="shared" ref="E33:E36" si="1">D33/$D$6</f>
        <v>111.25827814569537</v>
      </c>
      <c r="F33" s="80">
        <v>45541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5</v>
      </c>
      <c r="J33" s="75">
        <f t="shared" si="0"/>
        <v>0</v>
      </c>
      <c r="N33" s="49"/>
    </row>
    <row r="34" spans="2:16" s="43" customFormat="1" outlineLevel="1">
      <c r="B34" s="46">
        <v>954</v>
      </c>
      <c r="C34" s="47" t="s">
        <v>378</v>
      </c>
      <c r="D34" s="104">
        <f>1250*0</f>
        <v>0</v>
      </c>
      <c r="E34" s="113">
        <f t="shared" si="1"/>
        <v>0</v>
      </c>
      <c r="F34" s="74">
        <v>45565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21</v>
      </c>
      <c r="J34" s="75">
        <f t="shared" si="0"/>
        <v>0</v>
      </c>
      <c r="M34" s="199" t="s">
        <v>379</v>
      </c>
      <c r="N34" s="49"/>
    </row>
    <row r="35" spans="2:16" s="43" customFormat="1" outlineLevel="1">
      <c r="B35" s="46">
        <v>1083</v>
      </c>
      <c r="C35" s="47" t="s">
        <v>393</v>
      </c>
      <c r="D35" s="104">
        <f>1200*0</f>
        <v>0</v>
      </c>
      <c r="E35" s="113">
        <f t="shared" si="1"/>
        <v>0</v>
      </c>
      <c r="F35" s="74">
        <v>45565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21</v>
      </c>
      <c r="J35" s="75">
        <f t="shared" si="0"/>
        <v>0</v>
      </c>
      <c r="M35" s="199" t="s">
        <v>379</v>
      </c>
      <c r="N35" s="49"/>
    </row>
    <row r="36" spans="2:16" s="43" customFormat="1" outlineLevel="1">
      <c r="B36" s="46">
        <v>1086</v>
      </c>
      <c r="C36" s="47" t="s">
        <v>394</v>
      </c>
      <c r="D36" s="104">
        <f>1200*0</f>
        <v>0</v>
      </c>
      <c r="E36" s="113">
        <f t="shared" si="1"/>
        <v>0</v>
      </c>
      <c r="F36" s="74">
        <v>45565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21</v>
      </c>
      <c r="J36" s="75">
        <f t="shared" si="0"/>
        <v>0</v>
      </c>
      <c r="M36" s="199" t="s">
        <v>379</v>
      </c>
      <c r="N36" s="49"/>
    </row>
    <row r="37" spans="2:16" s="43" customFormat="1" ht="15.75" outlineLevel="1" thickBot="1">
      <c r="B37" s="46">
        <v>1091</v>
      </c>
      <c r="C37" s="47" t="s">
        <v>473</v>
      </c>
      <c r="D37" s="104">
        <f>1200*0</f>
        <v>0</v>
      </c>
      <c r="E37" s="113">
        <f t="shared" ref="E37" si="2">D37/$D$6</f>
        <v>0</v>
      </c>
      <c r="F37" s="74">
        <v>45565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21</v>
      </c>
      <c r="J37" s="75">
        <f t="shared" ref="J37" si="3">H37</f>
        <v>0</v>
      </c>
      <c r="M37" s="199" t="s">
        <v>379</v>
      </c>
      <c r="N37" s="49"/>
    </row>
    <row r="38" spans="2:16" s="43" customFormat="1" ht="16.5" thickBot="1">
      <c r="C38" s="73" t="s">
        <v>146</v>
      </c>
      <c r="D38" s="103">
        <f>SUBTOTAL(9,D39:D45)</f>
        <v>8389.048499999999</v>
      </c>
      <c r="E38" s="112">
        <f>SUBTOTAL(9,E39:E45)</f>
        <v>1111.1322516556293</v>
      </c>
      <c r="K38" s="49"/>
      <c r="L38" s="49"/>
      <c r="O38" s="49"/>
      <c r="P38" s="49"/>
    </row>
    <row r="39" spans="2:16" s="43" customFormat="1" ht="14.25" customHeight="1" outlineLevel="1">
      <c r="B39" s="186"/>
      <c r="C39" s="47" t="s">
        <v>272</v>
      </c>
      <c r="D39" s="104">
        <f>E39*$D$6</f>
        <v>415.77850000000001</v>
      </c>
      <c r="E39" s="113">
        <v>55.07</v>
      </c>
      <c r="F39" s="74">
        <v>45558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16</v>
      </c>
      <c r="J39" s="75">
        <f t="shared" ref="J39:J45" si="4">H39</f>
        <v>0</v>
      </c>
      <c r="K39" s="49"/>
      <c r="L39" s="49"/>
      <c r="O39" s="49"/>
      <c r="P39" s="49"/>
    </row>
    <row r="40" spans="2:16" s="43" customFormat="1" outlineLevel="1">
      <c r="B40" s="186"/>
      <c r="C40" s="47" t="s">
        <v>273</v>
      </c>
      <c r="D40" s="104">
        <f>E40*$D$6</f>
        <v>1958.9985000000001</v>
      </c>
      <c r="E40" s="113">
        <v>259.47000000000003</v>
      </c>
      <c r="F40" s="74">
        <v>45558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16</v>
      </c>
      <c r="J40" s="75">
        <f t="shared" si="4"/>
        <v>0</v>
      </c>
    </row>
    <row r="41" spans="2:16" s="43" customFormat="1" outlineLevel="1">
      <c r="B41" s="186"/>
      <c r="C41" s="47" t="s">
        <v>274</v>
      </c>
      <c r="D41" s="104">
        <f>E41*$D$6</f>
        <v>1550.2415000000001</v>
      </c>
      <c r="E41" s="113">
        <v>205.33</v>
      </c>
      <c r="F41" s="74">
        <v>45558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16</v>
      </c>
      <c r="J41" s="75">
        <f t="shared" si="4"/>
        <v>0</v>
      </c>
    </row>
    <row r="42" spans="2:16" s="43" customFormat="1" ht="14.25" customHeight="1" outlineLevel="1">
      <c r="B42" s="186"/>
      <c r="C42" s="47" t="s">
        <v>468</v>
      </c>
      <c r="D42" s="104">
        <v>843.56</v>
      </c>
      <c r="E42" s="113">
        <f>D42/$D$6</f>
        <v>111.72980132450331</v>
      </c>
      <c r="F42" s="74">
        <v>45545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7</v>
      </c>
      <c r="J42" s="75">
        <f>H42</f>
        <v>0</v>
      </c>
      <c r="K42" s="49"/>
      <c r="L42" s="49"/>
      <c r="O42" s="49"/>
      <c r="P42" s="49"/>
    </row>
    <row r="43" spans="2:16" s="43" customFormat="1" ht="14.25" customHeight="1" outlineLevel="1">
      <c r="B43" s="186"/>
      <c r="C43" s="47" t="s">
        <v>277</v>
      </c>
      <c r="D43" s="104">
        <v>888.15</v>
      </c>
      <c r="E43" s="113">
        <f>D43/$D$6</f>
        <v>117.63576158940397</v>
      </c>
      <c r="F43" s="74">
        <v>45558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16</v>
      </c>
      <c r="J43" s="75">
        <f t="shared" si="4"/>
        <v>0</v>
      </c>
      <c r="K43" s="49"/>
      <c r="L43" s="49"/>
      <c r="O43" s="49"/>
      <c r="P43" s="49"/>
    </row>
    <row r="44" spans="2:16" s="43" customFormat="1" outlineLevel="1">
      <c r="B44" s="186"/>
      <c r="C44" s="47" t="s">
        <v>276</v>
      </c>
      <c r="D44" s="104">
        <v>903.72</v>
      </c>
      <c r="E44" s="113">
        <f>D44/$D$6</f>
        <v>119.69801324503312</v>
      </c>
      <c r="F44" s="74">
        <v>45558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16</v>
      </c>
      <c r="J44" s="75">
        <f t="shared" si="4"/>
        <v>0</v>
      </c>
    </row>
    <row r="45" spans="2:16" s="43" customFormat="1" ht="15.75" outlineLevel="1" thickBot="1">
      <c r="B45" s="186"/>
      <c r="C45" s="47" t="s">
        <v>275</v>
      </c>
      <c r="D45" s="104">
        <v>1828.6</v>
      </c>
      <c r="E45" s="113">
        <f>D45/$D$6</f>
        <v>242.19867549668874</v>
      </c>
      <c r="F45" s="74">
        <v>45558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16</v>
      </c>
      <c r="J45" s="75">
        <f t="shared" si="4"/>
        <v>0</v>
      </c>
    </row>
    <row r="46" spans="2:16" s="43" customFormat="1" ht="16.5" thickBot="1">
      <c r="B46" s="82"/>
      <c r="C46" s="85" t="s">
        <v>162</v>
      </c>
      <c r="D46" s="119">
        <f>SUBTOTAL(9,D47:D47)</f>
        <v>0</v>
      </c>
      <c r="E46" s="114">
        <f>SUBTOTAL(9,E47:E47)</f>
        <v>0</v>
      </c>
      <c r="K46" s="52"/>
      <c r="M46" s="183" t="e">
        <f>SUM(#REF!)</f>
        <v>#REF!</v>
      </c>
      <c r="N46" s="183">
        <f>11000*4145.1</f>
        <v>45596100.000000007</v>
      </c>
    </row>
    <row r="47" spans="2:16" s="43" customFormat="1" ht="15.75" outlineLevel="1" thickBot="1">
      <c r="B47" s="81">
        <v>5229</v>
      </c>
      <c r="C47" s="47" t="s">
        <v>469</v>
      </c>
      <c r="D47" s="109">
        <f>E47*D6</f>
        <v>0</v>
      </c>
      <c r="E47" s="115">
        <f>1313.37*0</f>
        <v>0</v>
      </c>
      <c r="F47" s="74">
        <v>45565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21</v>
      </c>
      <c r="J47" s="75">
        <f t="shared" ref="J47" si="5">H47</f>
        <v>0</v>
      </c>
      <c r="M47" s="104">
        <f>(11000-6433.81)*3902.63</f>
        <v>17820150.079700001</v>
      </c>
      <c r="N47" s="49"/>
    </row>
    <row r="48" spans="2:16" s="43" customFormat="1" ht="16.5" thickBot="1">
      <c r="B48" s="46"/>
      <c r="C48" s="73" t="s">
        <v>147</v>
      </c>
      <c r="D48" s="103">
        <f>SUBTOTAL(9,D49:D50)</f>
        <v>0</v>
      </c>
      <c r="E48" s="112">
        <f>SUBTOTAL(9,E49:E50)</f>
        <v>0</v>
      </c>
    </row>
    <row r="49" spans="2:12" s="43" customFormat="1" outlineLevel="1">
      <c r="B49" s="46"/>
      <c r="C49" s="47" t="s">
        <v>167</v>
      </c>
      <c r="D49" s="104">
        <f>(((4000000/4150)*$D$6))*0</f>
        <v>0</v>
      </c>
      <c r="E49" s="113">
        <f>D49/D6</f>
        <v>0</v>
      </c>
      <c r="F49" s="74">
        <v>45551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11</v>
      </c>
      <c r="J49" s="75">
        <f>H49</f>
        <v>0</v>
      </c>
    </row>
    <row r="50" spans="2:12" s="43" customFormat="1" ht="15.75" outlineLevel="1" thickBot="1">
      <c r="B50" s="46"/>
      <c r="C50" s="47" t="s">
        <v>182</v>
      </c>
      <c r="D50" s="104">
        <f>(((4000000/4150)*$D$6))*0</f>
        <v>0</v>
      </c>
      <c r="E50" s="113">
        <f>D50/D6</f>
        <v>0</v>
      </c>
      <c r="F50" s="74">
        <v>45551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11</v>
      </c>
      <c r="J50" s="75">
        <f>H50</f>
        <v>0</v>
      </c>
    </row>
    <row r="51" spans="2:12" s="43" customFormat="1" ht="15.75" customHeight="1" thickBot="1">
      <c r="C51" s="73" t="s">
        <v>148</v>
      </c>
      <c r="D51" s="103">
        <f>SUBTOTAL(9,D52:D54)</f>
        <v>477.85</v>
      </c>
      <c r="E51" s="112">
        <f>SUBTOTAL(9,E52:E54)</f>
        <v>60.960264900662253</v>
      </c>
    </row>
    <row r="52" spans="2:12" s="43" customFormat="1" outlineLevel="1">
      <c r="B52" s="46"/>
      <c r="C52" s="47" t="s">
        <v>459</v>
      </c>
      <c r="D52" s="109">
        <f>E52*7.87</f>
        <v>118.05</v>
      </c>
      <c r="E52" s="115">
        <v>15</v>
      </c>
      <c r="F52" s="74">
        <v>45541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5</v>
      </c>
      <c r="J52" s="75">
        <f>H52</f>
        <v>0</v>
      </c>
    </row>
    <row r="53" spans="2:12" s="43" customFormat="1" outlineLevel="1">
      <c r="B53" s="46"/>
      <c r="C53" s="47" t="s">
        <v>436</v>
      </c>
      <c r="D53" s="109">
        <v>314.8</v>
      </c>
      <c r="E53" s="115">
        <f>D53/7.87</f>
        <v>40</v>
      </c>
      <c r="F53" s="74">
        <v>45565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21</v>
      </c>
      <c r="J53" s="75">
        <f>H53</f>
        <v>0</v>
      </c>
    </row>
    <row r="54" spans="2:12" s="43" customFormat="1" ht="15.75" outlineLevel="1" thickBot="1">
      <c r="B54" s="46"/>
      <c r="C54" s="47" t="s">
        <v>117</v>
      </c>
      <c r="D54" s="109">
        <f>15*3</f>
        <v>45</v>
      </c>
      <c r="E54" s="115">
        <f>D54/$D$6</f>
        <v>5.9602649006622519</v>
      </c>
      <c r="F54" s="74">
        <v>45565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21</v>
      </c>
      <c r="J54" s="75">
        <f>H54</f>
        <v>0</v>
      </c>
    </row>
    <row r="55" spans="2:12" s="43" customFormat="1" ht="16.5" thickBot="1">
      <c r="C55" s="73" t="s">
        <v>164</v>
      </c>
      <c r="D55" s="103">
        <f>SUBTOTAL(9,D56:D66)</f>
        <v>236428.60999999993</v>
      </c>
      <c r="E55" s="112">
        <f>SUBTOTAL(9,E56:E66)</f>
        <v>31315.047682119206</v>
      </c>
      <c r="K55" s="52"/>
      <c r="L55" s="86"/>
    </row>
    <row r="56" spans="2:12" s="43" customFormat="1" outlineLevel="1">
      <c r="B56" s="83"/>
      <c r="C56" s="47" t="s">
        <v>176</v>
      </c>
      <c r="D56" s="109">
        <v>28242.02</v>
      </c>
      <c r="E56" s="115">
        <f>D56/$D$6</f>
        <v>3740.664900662252</v>
      </c>
      <c r="F56" s="74">
        <v>45562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20</v>
      </c>
      <c r="J56" s="75">
        <f>H56</f>
        <v>0</v>
      </c>
      <c r="L56" s="52"/>
    </row>
    <row r="57" spans="2:12" s="43" customFormat="1" outlineLevel="1">
      <c r="B57" s="46"/>
      <c r="C57" s="47" t="s">
        <v>415</v>
      </c>
      <c r="D57" s="109">
        <v>24970.21</v>
      </c>
      <c r="E57" s="115">
        <f t="shared" ref="E57:E60" si="6">D57/$D$6</f>
        <v>3307.312582781457</v>
      </c>
      <c r="F57" s="74">
        <v>45562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20</v>
      </c>
      <c r="J57" s="75">
        <f t="shared" ref="J57:J60" si="7">H57</f>
        <v>0</v>
      </c>
      <c r="K57" s="48"/>
      <c r="L57" s="48"/>
    </row>
    <row r="58" spans="2:12" s="43" customFormat="1" outlineLevel="1">
      <c r="B58" s="46"/>
      <c r="C58" s="47" t="s">
        <v>414</v>
      </c>
      <c r="D58" s="109">
        <v>53704.34</v>
      </c>
      <c r="E58" s="115">
        <f t="shared" si="6"/>
        <v>7113.1576158940397</v>
      </c>
      <c r="F58" s="74">
        <v>45562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20</v>
      </c>
      <c r="J58" s="75">
        <f t="shared" si="7"/>
        <v>0</v>
      </c>
      <c r="L58" s="52"/>
    </row>
    <row r="59" spans="2:12" s="43" customFormat="1" outlineLevel="1">
      <c r="B59" s="46"/>
      <c r="C59" s="47" t="s">
        <v>416</v>
      </c>
      <c r="D59" s="109">
        <v>66369.899999999994</v>
      </c>
      <c r="E59" s="115">
        <f t="shared" si="6"/>
        <v>8790.7152317880791</v>
      </c>
      <c r="F59" s="74">
        <v>45562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20</v>
      </c>
      <c r="J59" s="75">
        <f t="shared" si="7"/>
        <v>0</v>
      </c>
      <c r="K59" s="52"/>
      <c r="L59" s="57"/>
    </row>
    <row r="60" spans="2:12" s="43" customFormat="1" ht="14.25" customHeight="1" outlineLevel="1">
      <c r="B60" s="83"/>
      <c r="C60" s="47" t="s">
        <v>412</v>
      </c>
      <c r="D60" s="109">
        <v>5732.9</v>
      </c>
      <c r="E60" s="115">
        <f t="shared" si="6"/>
        <v>759.32450331125824</v>
      </c>
      <c r="F60" s="74">
        <v>45562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20</v>
      </c>
      <c r="J60" s="75">
        <f t="shared" si="7"/>
        <v>0</v>
      </c>
      <c r="L60" s="52"/>
    </row>
    <row r="61" spans="2:12" s="43" customFormat="1" ht="13.5" customHeight="1" outlineLevel="1">
      <c r="B61" s="46"/>
      <c r="C61" s="47" t="s">
        <v>417</v>
      </c>
      <c r="D61" s="109">
        <v>10562.8</v>
      </c>
      <c r="E61" s="115">
        <f>D61/$D$6</f>
        <v>1399.0463576158941</v>
      </c>
      <c r="F61" s="74">
        <v>45562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20</v>
      </c>
      <c r="J61" s="75">
        <f>H61</f>
        <v>0</v>
      </c>
      <c r="L61" s="52"/>
    </row>
    <row r="62" spans="2:12" s="43" customFormat="1" outlineLevel="1">
      <c r="B62" s="83"/>
      <c r="C62" s="47" t="s">
        <v>418</v>
      </c>
      <c r="D62" s="109">
        <v>29515.65</v>
      </c>
      <c r="E62" s="115">
        <f t="shared" ref="E62:E66" si="8">D62/$D$6</f>
        <v>3909.35761589404</v>
      </c>
      <c r="F62" s="74">
        <v>45562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20</v>
      </c>
      <c r="J62" s="75">
        <f t="shared" ref="J62:J66" si="9">H62</f>
        <v>0</v>
      </c>
      <c r="L62" s="52"/>
    </row>
    <row r="63" spans="2:12" s="43" customFormat="1" outlineLevel="1">
      <c r="B63" s="83"/>
      <c r="C63" s="47" t="s">
        <v>409</v>
      </c>
      <c r="D63" s="109">
        <v>5501.16</v>
      </c>
      <c r="E63" s="115">
        <f t="shared" si="8"/>
        <v>728.63046357615895</v>
      </c>
      <c r="F63" s="74">
        <v>45562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20</v>
      </c>
      <c r="J63" s="75">
        <f t="shared" si="9"/>
        <v>0</v>
      </c>
      <c r="L63" s="52"/>
    </row>
    <row r="64" spans="2:12" s="43" customFormat="1" outlineLevel="1">
      <c r="B64" s="83"/>
      <c r="C64" s="47" t="s">
        <v>413</v>
      </c>
      <c r="D64" s="109">
        <v>3943.21</v>
      </c>
      <c r="E64" s="115">
        <f t="shared" si="8"/>
        <v>522.27947019867554</v>
      </c>
      <c r="F64" s="74">
        <v>45562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20</v>
      </c>
      <c r="J64" s="75">
        <f t="shared" si="9"/>
        <v>0</v>
      </c>
      <c r="L64" s="52"/>
    </row>
    <row r="65" spans="1:16" s="43" customFormat="1" outlineLevel="1">
      <c r="B65" s="83"/>
      <c r="C65" s="47" t="s">
        <v>410</v>
      </c>
      <c r="D65" s="109">
        <v>3943.21</v>
      </c>
      <c r="E65" s="115">
        <f t="shared" si="8"/>
        <v>522.27947019867554</v>
      </c>
      <c r="F65" s="74">
        <v>45562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20</v>
      </c>
      <c r="J65" s="75">
        <f t="shared" si="9"/>
        <v>0</v>
      </c>
      <c r="L65" s="52"/>
    </row>
    <row r="66" spans="1:16" s="43" customFormat="1" ht="15.75" outlineLevel="1" thickBot="1">
      <c r="B66" s="83"/>
      <c r="C66" s="47" t="s">
        <v>411</v>
      </c>
      <c r="D66" s="109">
        <v>3943.21</v>
      </c>
      <c r="E66" s="115">
        <f t="shared" si="8"/>
        <v>522.27947019867554</v>
      </c>
      <c r="F66" s="74">
        <v>45562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20</v>
      </c>
      <c r="J66" s="75">
        <f t="shared" si="9"/>
        <v>0</v>
      </c>
      <c r="L66" s="52"/>
    </row>
    <row r="67" spans="1:16" s="43" customFormat="1" ht="16.5" thickBot="1">
      <c r="B67" s="46"/>
      <c r="C67" s="73" t="s">
        <v>173</v>
      </c>
      <c r="D67" s="103">
        <f>SUBTOTAL(9,D68:D72)</f>
        <v>25527.727500000001</v>
      </c>
      <c r="E67" s="112">
        <f>SUBTOTAL(9,E68:E72)</f>
        <v>3381.1559602649008</v>
      </c>
    </row>
    <row r="68" spans="1:16" s="43" customFormat="1" outlineLevel="1">
      <c r="B68" s="46"/>
      <c r="C68" s="47" t="s">
        <v>278</v>
      </c>
      <c r="D68" s="109">
        <f>E68*$D$6</f>
        <v>6433.0529999999999</v>
      </c>
      <c r="E68" s="115">
        <v>852.06</v>
      </c>
      <c r="F68" s="74">
        <v>45561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19</v>
      </c>
      <c r="J68" s="75">
        <f t="shared" ref="J68:J71" si="10">H68</f>
        <v>0</v>
      </c>
      <c r="K68" s="52"/>
      <c r="L68" s="54"/>
    </row>
    <row r="69" spans="1:16" s="43" customFormat="1" ht="14.25" customHeight="1" outlineLevel="1">
      <c r="B69" s="46"/>
      <c r="C69" s="47" t="s">
        <v>279</v>
      </c>
      <c r="D69" s="109">
        <f>E69*D6</f>
        <v>12934.584500000001</v>
      </c>
      <c r="E69" s="115">
        <v>1713.19</v>
      </c>
      <c r="F69" s="74">
        <v>45561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19</v>
      </c>
      <c r="J69" s="75">
        <f t="shared" ref="J69" si="11">H69</f>
        <v>0</v>
      </c>
      <c r="K69" s="52"/>
      <c r="L69" s="54"/>
    </row>
    <row r="70" spans="1:16" s="43" customFormat="1" outlineLevel="1">
      <c r="B70" s="46"/>
      <c r="C70" s="47" t="s">
        <v>280</v>
      </c>
      <c r="D70" s="109">
        <v>6160.09</v>
      </c>
      <c r="E70" s="115">
        <f>D70/$D$6</f>
        <v>815.90596026490073</v>
      </c>
      <c r="F70" s="74">
        <v>45561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19</v>
      </c>
      <c r="J70" s="75">
        <f t="shared" si="10"/>
        <v>0</v>
      </c>
      <c r="K70" s="52"/>
      <c r="L70" s="54"/>
    </row>
    <row r="71" spans="1:16" s="43" customFormat="1" ht="14.25" customHeight="1" outlineLevel="1">
      <c r="B71" s="46"/>
      <c r="C71" s="47" t="s">
        <v>281</v>
      </c>
      <c r="D71" s="109">
        <v>0</v>
      </c>
      <c r="E71" s="115">
        <f>D71/$D$6</f>
        <v>0</v>
      </c>
      <c r="F71" s="74">
        <v>45565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21</v>
      </c>
      <c r="J71" s="75">
        <f t="shared" si="10"/>
        <v>0</v>
      </c>
      <c r="K71" s="52"/>
      <c r="L71" s="54"/>
    </row>
    <row r="72" spans="1:16" s="43" customFormat="1" ht="15.75" outlineLevel="1" thickBot="1">
      <c r="B72" s="46"/>
      <c r="C72" s="47" t="s">
        <v>175</v>
      </c>
      <c r="D72" s="109">
        <f>(499*3*8)*0</f>
        <v>0</v>
      </c>
      <c r="E72" s="115">
        <f>D72/$D$6</f>
        <v>0</v>
      </c>
      <c r="F72" s="74">
        <v>45534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-2</v>
      </c>
      <c r="J72" s="75">
        <f>H72</f>
        <v>0</v>
      </c>
      <c r="K72" s="52"/>
      <c r="L72" s="54"/>
    </row>
    <row r="73" spans="1:16" s="43" customFormat="1" ht="16.5" thickBot="1">
      <c r="B73" s="87"/>
      <c r="C73" s="73" t="s">
        <v>149</v>
      </c>
      <c r="D73" s="103">
        <f>SUBTOTAL(9,D74:D75)</f>
        <v>1888.8</v>
      </c>
      <c r="E73" s="112">
        <f>SUBTOTAL(9,E74:E75)</f>
        <v>240</v>
      </c>
      <c r="L73" s="52"/>
    </row>
    <row r="74" spans="1:16" s="43" customFormat="1" outlineLevel="1">
      <c r="B74" s="84"/>
      <c r="C74" s="47" t="s">
        <v>453</v>
      </c>
      <c r="D74" s="109">
        <v>0</v>
      </c>
      <c r="E74" s="115">
        <f>D74/$D$6</f>
        <v>0</v>
      </c>
      <c r="F74" s="74">
        <v>45565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21</v>
      </c>
      <c r="J74" s="75">
        <f>H74</f>
        <v>0</v>
      </c>
      <c r="L74" s="52"/>
    </row>
    <row r="75" spans="1:16" s="43" customFormat="1" ht="15.75" outlineLevel="1" thickBot="1">
      <c r="B75" s="84"/>
      <c r="C75" s="47" t="s">
        <v>458</v>
      </c>
      <c r="D75" s="109">
        <f>E75*7.87</f>
        <v>1888.8</v>
      </c>
      <c r="E75" s="115">
        <v>240</v>
      </c>
      <c r="F75" s="74">
        <v>45541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5</v>
      </c>
      <c r="J75" s="75">
        <f>H75</f>
        <v>0</v>
      </c>
      <c r="L75" s="52"/>
    </row>
    <row r="76" spans="1:16" s="43" customFormat="1" ht="14.25" customHeight="1">
      <c r="B76" s="46"/>
      <c r="C76" s="88" t="s">
        <v>150</v>
      </c>
      <c r="D76" s="120">
        <f>SUBTOTAL(9,D26:D75)</f>
        <v>331209.48600000003</v>
      </c>
      <c r="E76" s="116">
        <f>SUBTOTAL(9,E26:E75)</f>
        <v>43856.302781456965</v>
      </c>
      <c r="K76" s="39"/>
      <c r="L76" s="39"/>
      <c r="N76" s="39"/>
      <c r="O76" s="39"/>
      <c r="P76" s="39"/>
    </row>
    <row r="77" spans="1:16" ht="15.75">
      <c r="A77" s="43"/>
      <c r="E77" s="117"/>
      <c r="F77" s="89"/>
      <c r="G77" s="89"/>
      <c r="H77" s="89"/>
      <c r="I77" s="89"/>
      <c r="J77" s="89"/>
    </row>
    <row r="78" spans="1:16" ht="15.75">
      <c r="A78" s="43"/>
      <c r="C78" s="90" t="s">
        <v>151</v>
      </c>
      <c r="D78" s="121">
        <f>D21-D76</f>
        <v>204413.69539999973</v>
      </c>
      <c r="E78" s="118">
        <f>E21-E76</f>
        <v>26721.335906392284</v>
      </c>
      <c r="F78" s="91"/>
      <c r="G78" s="92"/>
      <c r="J78" s="92"/>
    </row>
    <row r="79" spans="1:16" s="93" customFormat="1" ht="15.75">
      <c r="A79" s="43"/>
      <c r="B79" s="94"/>
      <c r="C79" s="90" t="s">
        <v>152</v>
      </c>
      <c r="D79" s="95">
        <f>IF($D$21=0,0,D78/$D$21)</f>
        <v>0.38163713315340059</v>
      </c>
      <c r="E79" s="95">
        <f>IF($E$21=0,0,E78/$E$21)</f>
        <v>0.37860909493693035</v>
      </c>
      <c r="F79" s="96"/>
      <c r="G79" s="92"/>
      <c r="J79" s="97"/>
      <c r="K79" s="39"/>
      <c r="L79" s="39"/>
      <c r="N79" s="39"/>
      <c r="O79" s="39"/>
      <c r="P79" s="39"/>
    </row>
    <row r="80" spans="1:16" ht="15.75" thickBot="1">
      <c r="A80" s="43"/>
      <c r="F80" s="96"/>
      <c r="G80" s="92"/>
    </row>
    <row r="81" spans="1:7" ht="15.75" thickBot="1">
      <c r="A81" s="43"/>
      <c r="C81" s="135" t="s">
        <v>184</v>
      </c>
      <c r="D81" s="136" t="s">
        <v>185</v>
      </c>
      <c r="E81" s="137" t="s">
        <v>191</v>
      </c>
      <c r="F81" s="137" t="s">
        <v>186</v>
      </c>
      <c r="G81" s="92"/>
    </row>
    <row r="82" spans="1:7">
      <c r="A82" s="43"/>
      <c r="C82" s="138">
        <v>45537</v>
      </c>
      <c r="D82" s="139">
        <v>45543</v>
      </c>
      <c r="E82" s="189">
        <f>SUMIFS($D$26:$D$79,$F$26:$F$79,"&gt;="&amp;C82,$F$26:$F$79,"&lt;="&amp;D82,$G$26:$G$79,$D$94)</f>
        <v>0</v>
      </c>
      <c r="F82" s="190">
        <f>SUMIFS($E$26:$E$79,$F$26:$F$79,"&gt;="&amp;C82,$F$26:$F$79,"&lt;="&amp;D82,$G$26:$G$79,$D$94)</f>
        <v>0</v>
      </c>
      <c r="G82" s="92" t="s">
        <v>442</v>
      </c>
    </row>
    <row r="83" spans="1:7">
      <c r="A83" s="43"/>
      <c r="C83" s="140">
        <v>45544</v>
      </c>
      <c r="D83" s="141">
        <v>45550</v>
      </c>
      <c r="E83" s="193">
        <f>SUMIFS($D$26:$D$79,$F$26:$F$79,"&gt;="&amp;C83,$F$26:$F$79,"&lt;="&amp;D83,$G$26:$G$79,$D$94)</f>
        <v>0</v>
      </c>
      <c r="F83" s="194">
        <f>SUMIFS($E$26:$E$79,$F$26:$F$79,"&gt;="&amp;C83,$F$26:$F$79,"&lt;="&amp;D83,$G$26:$G$79,$D$94)</f>
        <v>0</v>
      </c>
      <c r="G83" s="92" t="s">
        <v>390</v>
      </c>
    </row>
    <row r="84" spans="1:7">
      <c r="A84" s="43"/>
      <c r="C84" s="140">
        <v>45551</v>
      </c>
      <c r="D84" s="141">
        <v>45557</v>
      </c>
      <c r="E84" s="193">
        <f>SUMIFS($D$26:$D$79,$F$26:$F$79,"&gt;="&amp;C84,$F$26:$F$79,"&lt;="&amp;D84,$G$26:$G$79,$D$94)</f>
        <v>0</v>
      </c>
      <c r="F84" s="194">
        <f>SUMIFS($E$26:$E$79,$F$26:$F$79,"&gt;="&amp;C84,$F$26:$F$79,"&lt;="&amp;D84,$G$26:$G$79,$D$94)</f>
        <v>0</v>
      </c>
      <c r="G84" s="92" t="s">
        <v>395</v>
      </c>
    </row>
    <row r="85" spans="1:7">
      <c r="A85" s="43"/>
      <c r="C85" s="140">
        <v>45558</v>
      </c>
      <c r="D85" s="141">
        <v>45565</v>
      </c>
      <c r="E85" s="193">
        <f>SUMIFS($D$26:$D$79,$F$26:$F$79,"&gt;="&amp;C85,$F$26:$F$79,"&lt;="&amp;D85,$G$26:$G$79,$D$94)</f>
        <v>0</v>
      </c>
      <c r="F85" s="194">
        <f>SUMIFS($E$26:$E$79,$F$26:$F$79,"&gt;="&amp;C85,$F$26:$F$79,"&lt;="&amp;D85,$G$26:$G$79,$D$94)</f>
        <v>0</v>
      </c>
      <c r="G85" s="92" t="s">
        <v>439</v>
      </c>
    </row>
    <row r="86" spans="1:7" ht="15.75">
      <c r="A86" s="43"/>
      <c r="C86" s="433" t="s">
        <v>187</v>
      </c>
      <c r="D86" s="433"/>
      <c r="E86" s="148">
        <f>SUM(E82:E85)</f>
        <v>0</v>
      </c>
      <c r="F86" s="144">
        <f>SUM(F82:F85)</f>
        <v>0</v>
      </c>
      <c r="G86" s="92"/>
    </row>
    <row r="87" spans="1:7">
      <c r="A87" s="43"/>
      <c r="F87" s="96"/>
      <c r="G87" s="92"/>
    </row>
    <row r="88" spans="1:7">
      <c r="A88" s="43"/>
      <c r="F88" s="96"/>
      <c r="G88" s="92"/>
    </row>
    <row r="89" spans="1:7">
      <c r="A89" s="43"/>
      <c r="C89" s="41"/>
      <c r="D89" s="41" t="s">
        <v>380</v>
      </c>
      <c r="E89" s="166">
        <f>'Caja QTQ'!$H$229+('Caja USD'!$H$102*$D$6)</f>
        <v>204413.69539999968</v>
      </c>
      <c r="F89" s="153">
        <f>'Caja USD'!H102+('Caja QTQ'!H229/'Flujo caja Septiembre'!$D$6)</f>
        <v>27074.661642384064</v>
      </c>
      <c r="G89" s="92"/>
    </row>
    <row r="90" spans="1:7">
      <c r="A90" s="43"/>
      <c r="D90" s="200" t="s">
        <v>440</v>
      </c>
      <c r="E90" s="166">
        <f>SUM(E82:E84)</f>
        <v>0</v>
      </c>
      <c r="F90" s="153">
        <f>SUM(F82:F84)</f>
        <v>0</v>
      </c>
      <c r="G90" s="92"/>
    </row>
    <row r="91" spans="1:7">
      <c r="A91" s="43"/>
      <c r="D91" s="146" t="s">
        <v>381</v>
      </c>
      <c r="E91" s="201">
        <f>E89-E90</f>
        <v>204413.69539999968</v>
      </c>
      <c r="F91" s="145">
        <f>F89-F90</f>
        <v>27074.661642384064</v>
      </c>
      <c r="G91" s="92"/>
    </row>
    <row r="92" spans="1:7">
      <c r="A92" s="43"/>
      <c r="F92" s="96"/>
      <c r="G92" s="92"/>
    </row>
    <row r="93" spans="1:7">
      <c r="D93" s="43" t="s">
        <v>135</v>
      </c>
      <c r="E93" s="15">
        <f>SUMIFS($D$26:$D$88,$F$26:$F$88,"&gt;="&amp;C82,$F$26:$F$88,"&lt;="&amp;D85,$G$26:$G$88,$D$93)</f>
        <v>331209.48600000003</v>
      </c>
      <c r="F93" s="153">
        <f>SUMIFS($E$26:$E$88,$F$26:$F$88,"&gt;="&amp;C82,$F$26:$F$88,"&lt;="&amp;D85,$G$26:$G$88,$D$93)</f>
        <v>43856.302781456965</v>
      </c>
    </row>
    <row r="94" spans="1:7">
      <c r="D94" s="43" t="s">
        <v>143</v>
      </c>
      <c r="E94" s="15">
        <f>SUMIFS($D$26:$D$88,$F$26:$F$88,"&gt;="&amp;C82,$F$26:$F$88,"&lt;="&amp;D85,$G$26:$G$88,$D$94)</f>
        <v>0</v>
      </c>
      <c r="F94" s="153">
        <f>SUMIFS($E$26:$E$88,$F$26:$F$88,"&gt;="&amp;C82,$F$26:$F$88,"&lt;="&amp;D85,$G$26:$G$88,$D$94)</f>
        <v>0</v>
      </c>
    </row>
    <row r="95" spans="1:7">
      <c r="D95" s="146" t="s">
        <v>189</v>
      </c>
      <c r="E95" s="152">
        <f>SUM(E93:E94)</f>
        <v>331209.48600000003</v>
      </c>
      <c r="F95" s="145">
        <f>SUM(F93:F94)</f>
        <v>43856.302781456965</v>
      </c>
    </row>
    <row r="96" spans="1:7">
      <c r="D96" s="146" t="s">
        <v>190</v>
      </c>
      <c r="E96" s="152">
        <f>E95-D76</f>
        <v>0</v>
      </c>
      <c r="F96" s="145">
        <f>F95-E76</f>
        <v>0</v>
      </c>
    </row>
    <row r="98" spans="4:6" hidden="1">
      <c r="D98" s="41" t="s">
        <v>373</v>
      </c>
      <c r="E98" s="166">
        <f>D78</f>
        <v>204413.69539999973</v>
      </c>
    </row>
    <row r="99" spans="4:6" hidden="1">
      <c r="D99" s="41" t="s">
        <v>339</v>
      </c>
      <c r="E99" s="166">
        <f>'Caja QTQ'!H167+('Caja USD'!H70*7.6)</f>
        <v>190098.56839999984</v>
      </c>
    </row>
    <row r="100" spans="4:6" hidden="1">
      <c r="D100" s="41" t="s">
        <v>85</v>
      </c>
      <c r="E100" s="166">
        <f>E98-E99</f>
        <v>14315.126999999891</v>
      </c>
      <c r="F100" s="185">
        <f>E100/7.88</f>
        <v>1816.6404822334887</v>
      </c>
    </row>
    <row r="103" spans="4:6">
      <c r="D103" s="41" t="s">
        <v>373</v>
      </c>
      <c r="E103" s="166">
        <f>$D$78</f>
        <v>204413.69539999973</v>
      </c>
    </row>
    <row r="104" spans="4:6">
      <c r="D104" s="41" t="s">
        <v>339</v>
      </c>
      <c r="E104" s="166">
        <f>'Caja QTQ'!$H$229+('Caja USD'!$H$102*$D$6)</f>
        <v>204413.69539999968</v>
      </c>
    </row>
    <row r="105" spans="4:6">
      <c r="D105" s="41" t="s">
        <v>444</v>
      </c>
      <c r="E105" s="166">
        <f>E104-E103</f>
        <v>0</v>
      </c>
    </row>
    <row r="106" spans="4:6">
      <c r="E106" s="41">
        <f>E105/$D$6</f>
        <v>0</v>
      </c>
    </row>
  </sheetData>
  <protectedRanges>
    <protectedRange sqref="F21:G21 D80:E80 D10:E12 D49:E50 D87:E92 C89" name="Presupuestos"/>
    <protectedRange sqref="D25:E25 D8:E8" name="Presupuestos_1"/>
    <protectedRange sqref="D33:E37" name="Presupuestos_13_1"/>
    <protectedRange sqref="D39:E45" name="Presupuestos_14"/>
    <protectedRange sqref="D61:E61 E56:E57 E60 D58:E59 E62:E66" name="Presupuestos_2_1_1_1"/>
    <protectedRange sqref="K57 D57 E74:E75 D68:E72" name="Presupuestos_6_1_1_1"/>
    <protectedRange sqref="D56 D60 D62:D66" name="Presupuestos_5_2_1"/>
    <protectedRange sqref="D52:E54" name="Presupuestos_7_1"/>
    <protectedRange sqref="D74:D75" name="Presupuestos_5_3"/>
    <protectedRange sqref="D47:E47" name="Presupuestos_13_1_1"/>
  </protectedRanges>
  <autoFilter ref="B25:J75" xr:uid="{00000000-0009-0000-0000-000002000000}"/>
  <mergeCells count="5">
    <mergeCell ref="D7:E7"/>
    <mergeCell ref="B14:B17"/>
    <mergeCell ref="B24:C24"/>
    <mergeCell ref="D24:E24"/>
    <mergeCell ref="C86:D86"/>
  </mergeCells>
  <conditionalFormatting sqref="J27 J29:J31 J33:J37 J39:J45 J47 J52:J54 J56:J66 J68:J72 J74:J75">
    <cfRule type="cellIs" dxfId="216" priority="5" operator="lessThan">
      <formula>0</formula>
    </cfRule>
    <cfRule type="cellIs" dxfId="215" priority="6" operator="between">
      <formula>6</formula>
      <formula>15</formula>
    </cfRule>
    <cfRule type="cellIs" dxfId="214" priority="7" operator="between">
      <formula>1</formula>
      <formula>5</formula>
    </cfRule>
    <cfRule type="cellIs" dxfId="213" priority="8" operator="between">
      <formula>16</formula>
      <formula>60</formula>
    </cfRule>
  </conditionalFormatting>
  <conditionalFormatting sqref="J49:J50">
    <cfRule type="cellIs" dxfId="212" priority="1" operator="lessThan">
      <formula>0</formula>
    </cfRule>
    <cfRule type="cellIs" dxfId="211" priority="2" operator="between">
      <formula>6</formula>
      <formula>15</formula>
    </cfRule>
    <cfRule type="cellIs" dxfId="210" priority="3" operator="between">
      <formula>1</formula>
      <formula>5</formula>
    </cfRule>
    <cfRule type="cellIs" dxfId="209" priority="4" operator="between">
      <formula>16</formula>
      <formula>60</formula>
    </cfRule>
  </conditionalFormatting>
  <dataValidations count="2">
    <dataValidation type="list" allowBlank="1" showInputMessage="1" showErrorMessage="1" sqref="G49:G50 G39:G45 G26:G27 G52:G54 G47 G68:G72 D93:D94 G56:G66 G29:G31 G74:G75 G33:G37" xr:uid="{43105D5B-8128-43CE-9D17-09D04912ED63}">
      <formula1>"Cancelado,Pagar,Sin Pagar"</formula1>
    </dataValidation>
    <dataValidation type="list" allowBlank="1" showInputMessage="1" showErrorMessage="1" sqref="D24 D7" xr:uid="{12EC3B24-66BF-441E-A765-3B274E8A5915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ignoredErrors>
    <ignoredError sqref="J70:J75 J27:J36 J38:J41 J43:J68" unlocked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1CB5-A58E-45BA-9F02-4637F6856AAE}">
  <dimension ref="A1:S105"/>
  <sheetViews>
    <sheetView showGridLines="0" topLeftCell="B78" zoomScale="90" zoomScaleNormal="90" workbookViewId="0">
      <selection activeCell="D103" sqref="D103:E105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45566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7.58</v>
      </c>
      <c r="E6" s="42"/>
      <c r="I6" s="43"/>
    </row>
    <row r="7" spans="1:9" ht="15.75">
      <c r="C7" s="99"/>
      <c r="D7" s="432" t="s">
        <v>374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SUBTOTAL(9,D10:D12)</f>
        <v>229653.33519999968</v>
      </c>
      <c r="E9" s="122">
        <f>SUBTOTAL(9,E10:E12)</f>
        <v>30297.273773087029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QTQ'!$H$229</f>
        <v>201909.66239999968</v>
      </c>
      <c r="E10" s="25">
        <f>D10/$D$6</f>
        <v>26637.158627968296</v>
      </c>
      <c r="F10" s="49"/>
    </row>
    <row r="11" spans="1:9" s="43" customFormat="1" outlineLevel="1">
      <c r="B11" s="46"/>
      <c r="C11" s="47" t="s">
        <v>154</v>
      </c>
      <c r="D11" s="15">
        <f>E11*D6</f>
        <v>2513.9827999999989</v>
      </c>
      <c r="E11" s="25">
        <f>'Caja USD'!$H$102</f>
        <v>331.65999999999985</v>
      </c>
      <c r="F11" s="49"/>
    </row>
    <row r="12" spans="1:9" s="43" customFormat="1" outlineLevel="1">
      <c r="B12" s="46"/>
      <c r="C12" s="47" t="s">
        <v>4</v>
      </c>
      <c r="D12" s="15">
        <v>25229.69</v>
      </c>
      <c r="E12" s="25">
        <f>D12/$D$6</f>
        <v>3328.4551451187335</v>
      </c>
      <c r="F12" s="49"/>
    </row>
    <row r="13" spans="1:9" s="43" customFormat="1" ht="15.75">
      <c r="B13" s="46"/>
      <c r="C13" s="102" t="s">
        <v>134</v>
      </c>
      <c r="D13" s="127">
        <f>SUBTOTAL(9,D14:D20)</f>
        <v>386111.86000000004</v>
      </c>
      <c r="E13" s="122">
        <f>SUBTOTAL(9,E14:E20)</f>
        <v>50575.576319261221</v>
      </c>
      <c r="F13" s="128"/>
    </row>
    <row r="14" spans="1:9" s="43" customFormat="1" outlineLevel="1">
      <c r="B14" s="447"/>
      <c r="C14" s="47" t="s">
        <v>514</v>
      </c>
      <c r="D14" s="211">
        <f>'Diferencia en cambio'!$I$44</f>
        <v>41118.425976283725</v>
      </c>
      <c r="E14" s="202">
        <f>$D$14/'Diferencia en cambio'!$L$44</f>
        <v>5412.3007915567277</v>
      </c>
      <c r="F14" s="128"/>
      <c r="G14" s="52"/>
    </row>
    <row r="15" spans="1:9" s="43" customFormat="1" outlineLevel="1">
      <c r="A15" s="50"/>
      <c r="B15" s="447"/>
      <c r="C15" s="47" t="s">
        <v>517</v>
      </c>
      <c r="D15" s="207">
        <f>'Diferencia en cambio'!$I$45</f>
        <v>254916.3</v>
      </c>
      <c r="E15" s="202">
        <f>$D$15/'Diferencia en cambio'!$L$45</f>
        <v>33283.886279683378</v>
      </c>
      <c r="F15" s="128"/>
      <c r="G15" s="184"/>
    </row>
    <row r="16" spans="1:9" s="43" customFormat="1" outlineLevel="1">
      <c r="A16" s="50"/>
      <c r="B16" s="447"/>
      <c r="C16" s="47" t="s">
        <v>520</v>
      </c>
      <c r="D16" s="207">
        <f>'Diferencia en cambio'!$I$46</f>
        <v>7162.6735059050907</v>
      </c>
      <c r="E16" s="202">
        <f>$D$16/'Diferencia en cambio'!$L$46</f>
        <v>948.75118733509225</v>
      </c>
      <c r="F16" s="128"/>
      <c r="G16" s="184"/>
    </row>
    <row r="17" spans="2:19" s="43" customFormat="1" outlineLevel="1">
      <c r="B17" s="447"/>
      <c r="C17" s="47" t="s">
        <v>519</v>
      </c>
      <c r="D17" s="207">
        <f>'Diferencia en cambio'!$I$47</f>
        <v>13420.825591600838</v>
      </c>
      <c r="E17" s="202">
        <f>$D$17/'Diferencia en cambio'!$L$47</f>
        <v>1777.6915567282324</v>
      </c>
      <c r="F17" s="128"/>
      <c r="G17" s="52"/>
    </row>
    <row r="18" spans="2:19" s="43" customFormat="1" outlineLevel="1">
      <c r="B18" s="46"/>
      <c r="C18" s="47" t="s">
        <v>515</v>
      </c>
      <c r="D18" s="211">
        <f>'Diferencia en cambio'!$I$48</f>
        <v>43829.079082447621</v>
      </c>
      <c r="E18" s="202">
        <f>$D$18/'Diferencia en cambio'!$L$48</f>
        <v>5769.0963060686017</v>
      </c>
      <c r="F18" s="128"/>
      <c r="G18" s="52"/>
    </row>
    <row r="19" spans="2:19" s="43" customFormat="1" outlineLevel="1">
      <c r="B19" s="46"/>
      <c r="C19" s="47" t="s">
        <v>518</v>
      </c>
      <c r="D19" s="207">
        <f>'Diferencia en cambio'!$I$49</f>
        <v>6860.6609024940735</v>
      </c>
      <c r="E19" s="202">
        <f>$D$19/'Diferencia en cambio'!$L$49</f>
        <v>908.74729551451185</v>
      </c>
      <c r="F19" s="128"/>
      <c r="G19" s="52"/>
    </row>
    <row r="20" spans="2:19" s="43" customFormat="1" outlineLevel="1">
      <c r="B20" s="46"/>
      <c r="C20" s="47" t="s">
        <v>516</v>
      </c>
      <c r="D20" s="211">
        <f>'Diferencia en cambio'!$I$50</f>
        <v>18803.894941268652</v>
      </c>
      <c r="E20" s="202">
        <f>$D$20/'Diferencia en cambio'!$L$50</f>
        <v>2475.1029023746701</v>
      </c>
      <c r="F20" s="128"/>
      <c r="G20" s="52"/>
    </row>
    <row r="21" spans="2:19" s="43" customFormat="1" ht="15.75">
      <c r="B21" s="46"/>
      <c r="C21" s="55" t="s">
        <v>136</v>
      </c>
      <c r="D21" s="123">
        <f>SUBTOTAL(9,D9:D18)</f>
        <v>590100.6393562369</v>
      </c>
      <c r="E21" s="124">
        <f>SUBTOTAL(9,E9:E18)</f>
        <v>77488.999894459062</v>
      </c>
      <c r="F21" s="56"/>
      <c r="G21" s="56"/>
      <c r="J21" s="52"/>
      <c r="K21" s="57"/>
      <c r="O21" s="58"/>
      <c r="P21" s="59"/>
      <c r="Q21" s="53"/>
    </row>
    <row r="22" spans="2:19" s="43" customFormat="1" ht="15.75">
      <c r="B22" s="46"/>
      <c r="C22" s="60"/>
      <c r="D22" s="61"/>
      <c r="E22" s="61"/>
      <c r="G22" s="62"/>
      <c r="O22" s="59"/>
      <c r="P22" s="59"/>
    </row>
    <row r="23" spans="2:19" s="43" customFormat="1" ht="15.75">
      <c r="B23" s="46"/>
      <c r="N23" s="63"/>
      <c r="O23" s="64"/>
      <c r="P23" s="65"/>
    </row>
    <row r="24" spans="2:19" s="43" customFormat="1" ht="15.75">
      <c r="B24" s="432" t="s">
        <v>137</v>
      </c>
      <c r="C24" s="432"/>
      <c r="D24" s="432" t="s">
        <v>374</v>
      </c>
      <c r="E24" s="432"/>
      <c r="K24" s="65"/>
      <c r="L24" s="65"/>
      <c r="N24" s="63"/>
      <c r="R24" s="52"/>
      <c r="S24" s="52"/>
    </row>
    <row r="25" spans="2:19" s="43" customFormat="1" ht="16.5" thickBot="1">
      <c r="B25" s="67" t="s">
        <v>81</v>
      </c>
      <c r="C25" s="68" t="s">
        <v>106</v>
      </c>
      <c r="D25" s="110" t="s">
        <v>168</v>
      </c>
      <c r="E25" s="110" t="s">
        <v>169</v>
      </c>
      <c r="F25" s="69" t="s">
        <v>140</v>
      </c>
      <c r="G25" s="63" t="s">
        <v>141</v>
      </c>
      <c r="H25" s="63"/>
      <c r="I25" s="63"/>
      <c r="J25" s="70" t="s">
        <v>142</v>
      </c>
      <c r="N25" s="71"/>
      <c r="R25" s="52"/>
      <c r="S25" s="72"/>
    </row>
    <row r="26" spans="2:19" s="43" customFormat="1" ht="16.5" thickBot="1">
      <c r="B26" s="46"/>
      <c r="C26" s="73" t="s">
        <v>155</v>
      </c>
      <c r="D26" s="103">
        <f>SUBTOTAL(9,D27:D27)</f>
        <v>44275.81</v>
      </c>
      <c r="E26" s="112">
        <f>SUBTOTAL(9,E27:E27)</f>
        <v>5841.1358839050126</v>
      </c>
      <c r="F26" s="74"/>
      <c r="J26" s="76"/>
    </row>
    <row r="27" spans="2:19" s="43" customFormat="1" ht="15.75" outlineLevel="1" thickBot="1">
      <c r="B27" s="77">
        <v>176206200</v>
      </c>
      <c r="C27" s="78" t="s">
        <v>523</v>
      </c>
      <c r="D27" s="109">
        <v>44275.81</v>
      </c>
      <c r="E27" s="115">
        <f>D27/D6</f>
        <v>5841.1358839050126</v>
      </c>
      <c r="F27" s="80">
        <v>45568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3</v>
      </c>
      <c r="J27" s="75">
        <f>H27</f>
        <v>0</v>
      </c>
      <c r="K27" s="52"/>
      <c r="L27" s="52"/>
    </row>
    <row r="28" spans="2:19" s="43" customFormat="1" ht="16.5" thickBot="1">
      <c r="B28" s="46"/>
      <c r="C28" s="73" t="s">
        <v>144</v>
      </c>
      <c r="D28" s="103">
        <f>SUBTOTAL(9,D29:D32)</f>
        <v>17360.189999999999</v>
      </c>
      <c r="E28" s="112">
        <f>SUBTOTAL(9,E29:E32)</f>
        <v>2290.2625329815305</v>
      </c>
      <c r="J28" s="76">
        <f t="shared" ref="J28:J38" si="0">H28</f>
        <v>0</v>
      </c>
    </row>
    <row r="29" spans="2:19" s="43" customFormat="1" outlineLevel="1">
      <c r="B29" s="168">
        <v>44466513563</v>
      </c>
      <c r="C29" s="47" t="s">
        <v>522</v>
      </c>
      <c r="D29" s="109">
        <v>11902.13</v>
      </c>
      <c r="E29" s="115">
        <f>D29/$D$6</f>
        <v>1570.2018469656991</v>
      </c>
      <c r="F29" s="80">
        <v>45577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9</v>
      </c>
      <c r="J29" s="75">
        <f>H29</f>
        <v>0</v>
      </c>
      <c r="K29" s="48"/>
      <c r="L29" s="57"/>
    </row>
    <row r="30" spans="2:19" s="43" customFormat="1" outlineLevel="1">
      <c r="B30" s="168">
        <v>44466657649</v>
      </c>
      <c r="C30" s="47" t="s">
        <v>495</v>
      </c>
      <c r="D30" s="109">
        <v>1522.3</v>
      </c>
      <c r="E30" s="115">
        <f>D30/$D$6</f>
        <v>200.8311345646438</v>
      </c>
      <c r="F30" s="80">
        <v>45579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10</v>
      </c>
      <c r="J30" s="75">
        <f>H30</f>
        <v>0</v>
      </c>
      <c r="K30" s="48"/>
      <c r="L30" s="57"/>
    </row>
    <row r="31" spans="2:19" s="43" customFormat="1" outlineLevel="1">
      <c r="B31" s="168">
        <v>44417935357</v>
      </c>
      <c r="C31" s="47" t="s">
        <v>521</v>
      </c>
      <c r="D31" s="109">
        <v>558.38</v>
      </c>
      <c r="E31" s="115">
        <f>D31/$D$6</f>
        <v>73.664907651715041</v>
      </c>
      <c r="F31" s="80">
        <v>45579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10</v>
      </c>
      <c r="J31" s="75">
        <f>H31</f>
        <v>0</v>
      </c>
      <c r="K31" s="48"/>
      <c r="L31" s="57"/>
    </row>
    <row r="32" spans="2:19" s="43" customFormat="1" ht="15.75" outlineLevel="1" thickBot="1">
      <c r="B32" s="168">
        <v>44656748347</v>
      </c>
      <c r="C32" s="47" t="s">
        <v>552</v>
      </c>
      <c r="D32" s="109">
        <v>3377.38</v>
      </c>
      <c r="E32" s="115">
        <f>D32/$D$6</f>
        <v>445.56464379947232</v>
      </c>
      <c r="F32" s="80">
        <v>45595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22</v>
      </c>
      <c r="J32" s="75">
        <f>H32</f>
        <v>0</v>
      </c>
      <c r="K32" s="48"/>
      <c r="L32" s="57"/>
    </row>
    <row r="33" spans="2:16" s="43" customFormat="1" ht="16.5" thickBot="1">
      <c r="B33" s="46"/>
      <c r="C33" s="73" t="s">
        <v>163</v>
      </c>
      <c r="D33" s="103">
        <f>SUBTOTAL(9,D34:D38)</f>
        <v>3418.5</v>
      </c>
      <c r="E33" s="112">
        <f>SUBTOTAL(9,E34:E38)</f>
        <v>450.98944591029021</v>
      </c>
      <c r="J33" s="76">
        <f t="shared" si="0"/>
        <v>0</v>
      </c>
      <c r="K33" s="52"/>
      <c r="L33" s="52"/>
    </row>
    <row r="34" spans="2:16" s="43" customFormat="1" ht="30" outlineLevel="1">
      <c r="B34" s="46"/>
      <c r="C34" s="47" t="s">
        <v>505</v>
      </c>
      <c r="D34" s="104">
        <f>880+88.5</f>
        <v>968.5</v>
      </c>
      <c r="E34" s="113">
        <f t="shared" ref="E34:E38" si="1">D34/$D$6</f>
        <v>127.77044854881267</v>
      </c>
      <c r="F34" s="80">
        <v>45569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4</v>
      </c>
      <c r="J34" s="75">
        <f t="shared" si="0"/>
        <v>0</v>
      </c>
      <c r="N34" s="49"/>
    </row>
    <row r="35" spans="2:16" s="43" customFormat="1" outlineLevel="1">
      <c r="B35" s="46">
        <v>954</v>
      </c>
      <c r="C35" s="47" t="s">
        <v>378</v>
      </c>
      <c r="D35" s="104">
        <f>1250</f>
        <v>1250</v>
      </c>
      <c r="E35" s="115">
        <f t="shared" si="1"/>
        <v>164.90765171503958</v>
      </c>
      <c r="F35" s="74">
        <v>45569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4</v>
      </c>
      <c r="J35" s="75">
        <f t="shared" si="0"/>
        <v>0</v>
      </c>
      <c r="M35" s="199"/>
      <c r="N35" s="49"/>
    </row>
    <row r="36" spans="2:16" s="43" customFormat="1" outlineLevel="1">
      <c r="B36" s="46">
        <v>1083</v>
      </c>
      <c r="C36" s="47" t="s">
        <v>393</v>
      </c>
      <c r="D36" s="104">
        <f>1200</f>
        <v>1200</v>
      </c>
      <c r="E36" s="115">
        <f t="shared" si="1"/>
        <v>158.31134564643799</v>
      </c>
      <c r="F36" s="74">
        <v>45569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4</v>
      </c>
      <c r="J36" s="75">
        <f t="shared" si="0"/>
        <v>0</v>
      </c>
      <c r="M36" s="199"/>
      <c r="N36" s="49"/>
    </row>
    <row r="37" spans="2:16" s="43" customFormat="1" outlineLevel="1">
      <c r="B37" s="46">
        <v>1086</v>
      </c>
      <c r="C37" s="47" t="s">
        <v>394</v>
      </c>
      <c r="D37" s="104">
        <f>1200*0</f>
        <v>0</v>
      </c>
      <c r="E37" s="113">
        <f>D37/$D$6*0</f>
        <v>0</v>
      </c>
      <c r="F37" s="74">
        <v>45616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37</v>
      </c>
      <c r="J37" s="75">
        <f t="shared" si="0"/>
        <v>0</v>
      </c>
      <c r="M37" s="199"/>
      <c r="N37" s="49"/>
    </row>
    <row r="38" spans="2:16" s="43" customFormat="1" ht="15.75" outlineLevel="1" thickBot="1">
      <c r="B38" s="46">
        <v>1091</v>
      </c>
      <c r="C38" s="47" t="s">
        <v>473</v>
      </c>
      <c r="D38" s="104">
        <f>1200*0</f>
        <v>0</v>
      </c>
      <c r="E38" s="113">
        <f t="shared" si="1"/>
        <v>0</v>
      </c>
      <c r="F38" s="74">
        <v>45595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22</v>
      </c>
      <c r="J38" s="75">
        <f t="shared" si="0"/>
        <v>0</v>
      </c>
      <c r="M38" s="199"/>
      <c r="N38" s="49"/>
    </row>
    <row r="39" spans="2:16" s="43" customFormat="1" ht="16.5" thickBot="1">
      <c r="C39" s="73" t="s">
        <v>146</v>
      </c>
      <c r="D39" s="103">
        <f>SUBTOTAL(9,D40:D46)</f>
        <v>8404.6445999999996</v>
      </c>
      <c r="E39" s="112">
        <f>SUBTOTAL(9,E40:E46)</f>
        <v>1108.7921635883904</v>
      </c>
      <c r="K39" s="49"/>
      <c r="L39" s="49"/>
      <c r="O39" s="49"/>
      <c r="P39" s="49"/>
    </row>
    <row r="40" spans="2:16" s="43" customFormat="1" ht="14.25" customHeight="1" outlineLevel="1">
      <c r="B40" s="186"/>
      <c r="C40" s="210" t="s">
        <v>272</v>
      </c>
      <c r="D40" s="104">
        <f>E40*$D$6</f>
        <v>417.43060000000003</v>
      </c>
      <c r="E40" s="113">
        <v>55.07</v>
      </c>
      <c r="F40" s="74">
        <v>45582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13</v>
      </c>
      <c r="J40" s="75">
        <f t="shared" ref="J40:J46" si="2">H40</f>
        <v>0</v>
      </c>
      <c r="K40" s="49"/>
      <c r="L40" s="49"/>
      <c r="O40" s="49"/>
      <c r="P40" s="49"/>
    </row>
    <row r="41" spans="2:16" s="43" customFormat="1" outlineLevel="1">
      <c r="B41" s="186"/>
      <c r="C41" s="210" t="s">
        <v>273</v>
      </c>
      <c r="D41" s="104">
        <f>E41*$D$6</f>
        <v>1966.7826000000002</v>
      </c>
      <c r="E41" s="113">
        <v>259.47000000000003</v>
      </c>
      <c r="F41" s="74">
        <v>45582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13</v>
      </c>
      <c r="J41" s="75">
        <f t="shared" si="2"/>
        <v>0</v>
      </c>
    </row>
    <row r="42" spans="2:16" s="43" customFormat="1" outlineLevel="1">
      <c r="B42" s="186"/>
      <c r="C42" s="210" t="s">
        <v>274</v>
      </c>
      <c r="D42" s="104">
        <f>E42*$D$6</f>
        <v>1556.4014000000002</v>
      </c>
      <c r="E42" s="113">
        <v>205.33</v>
      </c>
      <c r="F42" s="74">
        <v>45582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13</v>
      </c>
      <c r="J42" s="75">
        <f t="shared" si="2"/>
        <v>0</v>
      </c>
    </row>
    <row r="43" spans="2:16" s="43" customFormat="1" ht="14.25" customHeight="1" outlineLevel="1">
      <c r="B43" s="186"/>
      <c r="C43" s="209" t="s">
        <v>496</v>
      </c>
      <c r="D43" s="104">
        <v>843.56</v>
      </c>
      <c r="E43" s="113">
        <f>D43/$D$6</f>
        <v>111.28759894459102</v>
      </c>
      <c r="F43" s="74">
        <v>45582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13</v>
      </c>
      <c r="J43" s="75">
        <f>H43</f>
        <v>0</v>
      </c>
      <c r="K43" s="49"/>
      <c r="L43" s="49"/>
      <c r="O43" s="49"/>
      <c r="P43" s="49"/>
    </row>
    <row r="44" spans="2:16" s="43" customFormat="1" ht="14.25" customHeight="1" outlineLevel="1">
      <c r="B44" s="186"/>
      <c r="C44" s="209" t="s">
        <v>277</v>
      </c>
      <c r="D44" s="104">
        <v>888.15</v>
      </c>
      <c r="E44" s="113">
        <f>D44/$D$6</f>
        <v>117.17018469656992</v>
      </c>
      <c r="F44" s="74">
        <v>45582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13</v>
      </c>
      <c r="J44" s="75">
        <f t="shared" si="2"/>
        <v>0</v>
      </c>
      <c r="K44" s="49"/>
      <c r="L44" s="49"/>
      <c r="O44" s="49"/>
      <c r="P44" s="49"/>
    </row>
    <row r="45" spans="2:16" s="43" customFormat="1" outlineLevel="1">
      <c r="B45" s="186"/>
      <c r="C45" s="209" t="s">
        <v>276</v>
      </c>
      <c r="D45" s="104">
        <v>903.72</v>
      </c>
      <c r="E45" s="113">
        <f>D45/$D$6</f>
        <v>119.22427440633246</v>
      </c>
      <c r="F45" s="74">
        <v>45582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13</v>
      </c>
      <c r="J45" s="75">
        <f t="shared" si="2"/>
        <v>0</v>
      </c>
    </row>
    <row r="46" spans="2:16" s="43" customFormat="1" ht="15.75" outlineLevel="1" thickBot="1">
      <c r="B46" s="186"/>
      <c r="C46" s="209" t="s">
        <v>275</v>
      </c>
      <c r="D46" s="104">
        <v>1828.6</v>
      </c>
      <c r="E46" s="113">
        <f>D46/$D$6</f>
        <v>241.24010554089708</v>
      </c>
      <c r="F46" s="74">
        <v>45582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13</v>
      </c>
      <c r="J46" s="75">
        <f t="shared" si="2"/>
        <v>0</v>
      </c>
    </row>
    <row r="47" spans="2:16" s="43" customFormat="1" ht="16.5" thickBot="1">
      <c r="B47" s="82"/>
      <c r="C47" s="85" t="s">
        <v>162</v>
      </c>
      <c r="D47" s="119">
        <f>SUBTOTAL(9,D48:D49)</f>
        <v>37210.934000000001</v>
      </c>
      <c r="E47" s="114">
        <f>SUBTOTAL(9,E48:E49)</f>
        <v>4728.2</v>
      </c>
      <c r="K47" s="52"/>
      <c r="M47" s="183"/>
      <c r="N47" s="183"/>
    </row>
    <row r="48" spans="2:16" s="43" customFormat="1" outlineLevel="1">
      <c r="B48" s="81">
        <v>5229</v>
      </c>
      <c r="C48" s="47" t="s">
        <v>554</v>
      </c>
      <c r="D48" s="109">
        <f>E48*7.87</f>
        <v>10336.221899999999</v>
      </c>
      <c r="E48" s="115">
        <f>1313.37</f>
        <v>1313.37</v>
      </c>
      <c r="F48" s="74">
        <v>45595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22</v>
      </c>
      <c r="J48" s="75">
        <f t="shared" ref="J48" si="3">H48</f>
        <v>0</v>
      </c>
      <c r="M48" s="104"/>
      <c r="N48" s="49"/>
    </row>
    <row r="49" spans="2:14" s="43" customFormat="1" ht="15.75" outlineLevel="1" thickBot="1">
      <c r="B49" s="46">
        <v>5333</v>
      </c>
      <c r="C49" s="47" t="s">
        <v>553</v>
      </c>
      <c r="D49" s="109">
        <f>E49*7.87</f>
        <v>26874.712100000001</v>
      </c>
      <c r="E49" s="115">
        <v>3414.83</v>
      </c>
      <c r="F49" s="74">
        <v>45595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22</v>
      </c>
      <c r="J49" s="75">
        <f t="shared" ref="J49" si="4">H49</f>
        <v>0</v>
      </c>
      <c r="M49" s="104"/>
      <c r="N49" s="49"/>
    </row>
    <row r="50" spans="2:14" s="43" customFormat="1" ht="16.5" thickBot="1">
      <c r="B50" s="46"/>
      <c r="C50" s="73" t="s">
        <v>147</v>
      </c>
      <c r="D50" s="103">
        <f>SUBTOTAL(9,D51:D52)</f>
        <v>0</v>
      </c>
      <c r="E50" s="112">
        <f>SUBTOTAL(9,E51:E52)</f>
        <v>0</v>
      </c>
    </row>
    <row r="51" spans="2:14" s="43" customFormat="1" outlineLevel="1">
      <c r="B51" s="46"/>
      <c r="C51" s="47" t="s">
        <v>167</v>
      </c>
      <c r="D51" s="104">
        <f>(((4000000/4150)*$D$6))*0</f>
        <v>0</v>
      </c>
      <c r="E51" s="113">
        <f>D51/D6</f>
        <v>0</v>
      </c>
      <c r="F51" s="74">
        <v>45596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23</v>
      </c>
      <c r="J51" s="75">
        <f>H51</f>
        <v>0</v>
      </c>
    </row>
    <row r="52" spans="2:14" s="43" customFormat="1" ht="15.75" outlineLevel="1" thickBot="1">
      <c r="B52" s="46"/>
      <c r="C52" s="47" t="s">
        <v>182</v>
      </c>
      <c r="D52" s="104">
        <f>(((4000000/4150)*$D$6))*0</f>
        <v>0</v>
      </c>
      <c r="E52" s="113">
        <f>D52/D6</f>
        <v>0</v>
      </c>
      <c r="F52" s="74">
        <v>45596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23</v>
      </c>
      <c r="J52" s="75">
        <f>H52</f>
        <v>0</v>
      </c>
    </row>
    <row r="53" spans="2:14" s="43" customFormat="1" ht="15.75" customHeight="1" thickBot="1">
      <c r="C53" s="73" t="s">
        <v>148</v>
      </c>
      <c r="D53" s="103">
        <f>SUBTOTAL(9,D54:D55)</f>
        <v>359.8</v>
      </c>
      <c r="E53" s="112">
        <f>SUBTOTAL(9,E54:E55)</f>
        <v>45.936675461741423</v>
      </c>
    </row>
    <row r="54" spans="2:14" s="43" customFormat="1" outlineLevel="1">
      <c r="B54" s="46"/>
      <c r="C54" s="47" t="s">
        <v>551</v>
      </c>
      <c r="D54" s="109">
        <v>314.8</v>
      </c>
      <c r="E54" s="115">
        <f>D54/7.87</f>
        <v>40</v>
      </c>
      <c r="F54" s="74">
        <v>45595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22</v>
      </c>
      <c r="J54" s="75">
        <f>H54</f>
        <v>0</v>
      </c>
    </row>
    <row r="55" spans="2:14" s="43" customFormat="1" ht="15.75" outlineLevel="1" thickBot="1">
      <c r="B55" s="46"/>
      <c r="C55" s="47" t="s">
        <v>117</v>
      </c>
      <c r="D55" s="109">
        <f>15*3</f>
        <v>45</v>
      </c>
      <c r="E55" s="115">
        <f>D55/$D$6</f>
        <v>5.9366754617414248</v>
      </c>
      <c r="F55" s="74">
        <v>45595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22</v>
      </c>
      <c r="J55" s="75">
        <f>H55</f>
        <v>0</v>
      </c>
    </row>
    <row r="56" spans="2:14" s="43" customFormat="1" ht="16.5" thickBot="1">
      <c r="C56" s="73" t="s">
        <v>164</v>
      </c>
      <c r="D56" s="103">
        <f>SUBTOTAL(9,D57:D67)</f>
        <v>259716.76999999996</v>
      </c>
      <c r="E56" s="112">
        <f>SUBTOTAL(9,E57:E67)</f>
        <v>34263.426121372031</v>
      </c>
      <c r="K56" s="52"/>
      <c r="L56" s="86"/>
    </row>
    <row r="57" spans="2:14" s="43" customFormat="1" outlineLevel="1">
      <c r="B57" s="83"/>
      <c r="C57" s="47" t="s">
        <v>176</v>
      </c>
      <c r="D57" s="109">
        <v>28242.02</v>
      </c>
      <c r="E57" s="115">
        <f>D57/$D$6</f>
        <v>3725.8601583113455</v>
      </c>
      <c r="F57" s="74">
        <v>45593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20</v>
      </c>
      <c r="J57" s="75">
        <f>H57</f>
        <v>0</v>
      </c>
      <c r="L57" s="52"/>
    </row>
    <row r="58" spans="2:14" s="43" customFormat="1" outlineLevel="1">
      <c r="B58" s="46"/>
      <c r="C58" s="47" t="s">
        <v>415</v>
      </c>
      <c r="D58" s="109">
        <v>24970.21</v>
      </c>
      <c r="E58" s="115">
        <f t="shared" ref="E58:E61" si="5">D58/$D$6</f>
        <v>3294.2229551451187</v>
      </c>
      <c r="F58" s="74">
        <v>45593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20</v>
      </c>
      <c r="J58" s="75">
        <f t="shared" ref="J58:J61" si="6">H58</f>
        <v>0</v>
      </c>
      <c r="K58" s="48"/>
      <c r="L58" s="48"/>
    </row>
    <row r="59" spans="2:14" s="43" customFormat="1" outlineLevel="1">
      <c r="B59" s="46"/>
      <c r="C59" s="47" t="s">
        <v>414</v>
      </c>
      <c r="D59" s="109">
        <v>69782.539999999994</v>
      </c>
      <c r="E59" s="115">
        <f t="shared" si="5"/>
        <v>9206.1398416886532</v>
      </c>
      <c r="F59" s="74">
        <v>45593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20</v>
      </c>
      <c r="J59" s="75">
        <f t="shared" si="6"/>
        <v>0</v>
      </c>
      <c r="L59" s="52"/>
    </row>
    <row r="60" spans="2:14" s="43" customFormat="1" outlineLevel="1">
      <c r="B60" s="46"/>
      <c r="C60" s="47" t="s">
        <v>416</v>
      </c>
      <c r="D60" s="109">
        <v>73579.86</v>
      </c>
      <c r="E60" s="115">
        <f t="shared" si="5"/>
        <v>9707.1055408970969</v>
      </c>
      <c r="F60" s="74">
        <v>45593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20</v>
      </c>
      <c r="J60" s="75">
        <f t="shared" si="6"/>
        <v>0</v>
      </c>
      <c r="K60" s="52"/>
      <c r="L60" s="57"/>
    </row>
    <row r="61" spans="2:14" s="43" customFormat="1" ht="14.25" customHeight="1" outlineLevel="1">
      <c r="B61" s="83"/>
      <c r="C61" s="47" t="s">
        <v>412</v>
      </c>
      <c r="D61" s="109">
        <v>5732.9</v>
      </c>
      <c r="E61" s="115">
        <f t="shared" si="5"/>
        <v>756.31926121372021</v>
      </c>
      <c r="F61" s="74">
        <v>45593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20</v>
      </c>
      <c r="J61" s="75">
        <f t="shared" si="6"/>
        <v>0</v>
      </c>
      <c r="L61" s="52"/>
    </row>
    <row r="62" spans="2:14" s="43" customFormat="1" ht="13.5" customHeight="1" outlineLevel="1">
      <c r="B62" s="46"/>
      <c r="C62" s="47" t="s">
        <v>417</v>
      </c>
      <c r="D62" s="109">
        <v>10562.8</v>
      </c>
      <c r="E62" s="115">
        <f>D62/$D$6</f>
        <v>1393.5092348284959</v>
      </c>
      <c r="F62" s="74">
        <v>45593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20</v>
      </c>
      <c r="J62" s="75">
        <f>H62</f>
        <v>0</v>
      </c>
      <c r="L62" s="52"/>
    </row>
    <row r="63" spans="2:14" s="43" customFormat="1" outlineLevel="1">
      <c r="B63" s="83"/>
      <c r="C63" s="47" t="s">
        <v>418</v>
      </c>
      <c r="D63" s="109">
        <v>29515.65</v>
      </c>
      <c r="E63" s="115">
        <f t="shared" ref="E63:E67" si="7">D63/$D$6</f>
        <v>3893.8852242744065</v>
      </c>
      <c r="F63" s="74">
        <v>45593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20</v>
      </c>
      <c r="J63" s="75">
        <f t="shared" ref="J63:J67" si="8">H63</f>
        <v>0</v>
      </c>
      <c r="L63" s="52"/>
    </row>
    <row r="64" spans="2:14" s="43" customFormat="1" outlineLevel="1">
      <c r="B64" s="83"/>
      <c r="C64" s="47" t="s">
        <v>409</v>
      </c>
      <c r="D64" s="109">
        <v>5501.16</v>
      </c>
      <c r="E64" s="115">
        <f t="shared" si="7"/>
        <v>725.74670184696572</v>
      </c>
      <c r="F64" s="74">
        <v>45593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20</v>
      </c>
      <c r="J64" s="75">
        <f t="shared" si="8"/>
        <v>0</v>
      </c>
      <c r="L64" s="52"/>
    </row>
    <row r="65" spans="1:16" s="43" customFormat="1" outlineLevel="1">
      <c r="B65" s="83"/>
      <c r="C65" s="47" t="s">
        <v>413</v>
      </c>
      <c r="D65" s="109">
        <v>3943.21</v>
      </c>
      <c r="E65" s="115">
        <f t="shared" si="7"/>
        <v>520.21240105540892</v>
      </c>
      <c r="F65" s="74">
        <v>45593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20</v>
      </c>
      <c r="J65" s="75">
        <f t="shared" si="8"/>
        <v>0</v>
      </c>
      <c r="L65" s="52"/>
    </row>
    <row r="66" spans="1:16" s="43" customFormat="1" outlineLevel="1">
      <c r="B66" s="83"/>
      <c r="C66" s="47" t="s">
        <v>410</v>
      </c>
      <c r="D66" s="109">
        <v>3943.21</v>
      </c>
      <c r="E66" s="115">
        <f t="shared" si="7"/>
        <v>520.21240105540892</v>
      </c>
      <c r="F66" s="74">
        <v>45593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20</v>
      </c>
      <c r="J66" s="75">
        <f t="shared" si="8"/>
        <v>0</v>
      </c>
      <c r="L66" s="52"/>
    </row>
    <row r="67" spans="1:16" s="43" customFormat="1" ht="15.75" outlineLevel="1" thickBot="1">
      <c r="B67" s="83"/>
      <c r="C67" s="47" t="s">
        <v>411</v>
      </c>
      <c r="D67" s="109">
        <v>3943.21</v>
      </c>
      <c r="E67" s="115">
        <f t="shared" si="7"/>
        <v>520.21240105540892</v>
      </c>
      <c r="F67" s="74">
        <v>45593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20</v>
      </c>
      <c r="J67" s="75">
        <f t="shared" si="8"/>
        <v>0</v>
      </c>
      <c r="L67" s="52"/>
    </row>
    <row r="68" spans="1:16" s="43" customFormat="1" ht="16.5" thickBot="1">
      <c r="B68" s="46"/>
      <c r="C68" s="73" t="s">
        <v>173</v>
      </c>
      <c r="D68" s="103">
        <f>SUBTOTAL(9,D69:D73)</f>
        <v>21596.113399999998</v>
      </c>
      <c r="E68" s="112">
        <f>SUBTOTAL(9,E69:E73)</f>
        <v>2849.0914775725591</v>
      </c>
    </row>
    <row r="69" spans="1:16" s="43" customFormat="1" outlineLevel="1">
      <c r="B69" s="46"/>
      <c r="C69" s="47" t="s">
        <v>278</v>
      </c>
      <c r="D69" s="109">
        <f>E69*$D$6</f>
        <v>5273.5576000000001</v>
      </c>
      <c r="E69" s="115">
        <v>695.72</v>
      </c>
      <c r="F69" s="74">
        <v>45593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20</v>
      </c>
      <c r="J69" s="75">
        <f t="shared" ref="J69:J72" si="9">H69</f>
        <v>0</v>
      </c>
      <c r="K69" s="52"/>
      <c r="L69" s="54"/>
    </row>
    <row r="70" spans="1:16" s="43" customFormat="1" ht="14.25" customHeight="1" outlineLevel="1">
      <c r="B70" s="46"/>
      <c r="C70" s="47" t="s">
        <v>279</v>
      </c>
      <c r="D70" s="109">
        <f>E70*D6</f>
        <v>5829.0958000000001</v>
      </c>
      <c r="E70" s="115">
        <v>769.01</v>
      </c>
      <c r="F70" s="74">
        <v>45593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20</v>
      </c>
      <c r="J70" s="75">
        <f t="shared" si="9"/>
        <v>0</v>
      </c>
      <c r="K70" s="52"/>
      <c r="L70" s="54"/>
    </row>
    <row r="71" spans="1:16" s="43" customFormat="1" outlineLevel="1">
      <c r="B71" s="46"/>
      <c r="C71" s="47" t="s">
        <v>280</v>
      </c>
      <c r="D71" s="109">
        <v>4194.6400000000003</v>
      </c>
      <c r="E71" s="115">
        <f>D71/$D$6</f>
        <v>553.38258575197892</v>
      </c>
      <c r="F71" s="74">
        <v>45593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20</v>
      </c>
      <c r="J71" s="75">
        <f t="shared" si="9"/>
        <v>0</v>
      </c>
      <c r="K71" s="52"/>
      <c r="L71" s="54"/>
    </row>
    <row r="72" spans="1:16" s="43" customFormat="1" ht="14.25" customHeight="1" outlineLevel="1">
      <c r="B72" s="46"/>
      <c r="C72" s="47" t="s">
        <v>281</v>
      </c>
      <c r="D72" s="109">
        <v>4448</v>
      </c>
      <c r="E72" s="115">
        <f>D72/$D$6</f>
        <v>586.80738786279687</v>
      </c>
      <c r="F72" s="74">
        <v>45593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20</v>
      </c>
      <c r="J72" s="75">
        <f t="shared" si="9"/>
        <v>0</v>
      </c>
      <c r="K72" s="52"/>
      <c r="L72" s="54"/>
    </row>
    <row r="73" spans="1:16" s="43" customFormat="1" ht="15.75" outlineLevel="1" thickBot="1">
      <c r="B73" s="46">
        <v>1093748010</v>
      </c>
      <c r="C73" s="47" t="s">
        <v>506</v>
      </c>
      <c r="D73" s="109">
        <v>1850.82</v>
      </c>
      <c r="E73" s="115">
        <f>D73/$D$6</f>
        <v>244.17150395778364</v>
      </c>
      <c r="F73" s="74">
        <v>45569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4</v>
      </c>
      <c r="J73" s="75">
        <f>H73</f>
        <v>0</v>
      </c>
      <c r="K73" s="52"/>
      <c r="L73" s="54"/>
    </row>
    <row r="74" spans="1:16" s="43" customFormat="1" ht="16.5" thickBot="1">
      <c r="B74" s="87"/>
      <c r="C74" s="73" t="s">
        <v>149</v>
      </c>
      <c r="D74" s="103">
        <f>SUBTOTAL(9,D75:D75)</f>
        <v>0</v>
      </c>
      <c r="E74" s="112">
        <f>SUBTOTAL(9,E75:E75)</f>
        <v>0</v>
      </c>
      <c r="L74" s="52"/>
    </row>
    <row r="75" spans="1:16" s="43" customFormat="1" ht="15.75" outlineLevel="1" thickBot="1">
      <c r="B75" s="84"/>
      <c r="C75" s="47"/>
      <c r="D75" s="109"/>
      <c r="E75" s="115"/>
      <c r="F75" s="74">
        <v>45595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22</v>
      </c>
      <c r="J75" s="75">
        <f>H75</f>
        <v>0</v>
      </c>
      <c r="L75" s="52"/>
    </row>
    <row r="76" spans="1:16" s="43" customFormat="1" ht="14.25" customHeight="1">
      <c r="B76" s="46"/>
      <c r="C76" s="88" t="s">
        <v>150</v>
      </c>
      <c r="D76" s="120">
        <f>SUBTOTAL(9,D26:D75)</f>
        <v>392342.7620000001</v>
      </c>
      <c r="E76" s="116">
        <f>SUBTOTAL(9,E26:E75)</f>
        <v>51577.834300791568</v>
      </c>
      <c r="K76" s="39"/>
      <c r="L76" s="39"/>
      <c r="N76" s="39"/>
      <c r="O76" s="39"/>
      <c r="P76" s="39"/>
    </row>
    <row r="77" spans="1:16" ht="15.75">
      <c r="A77" s="43"/>
      <c r="E77" s="117"/>
      <c r="F77" s="89"/>
      <c r="G77" s="89"/>
      <c r="H77" s="89"/>
      <c r="I77" s="89"/>
      <c r="J77" s="89"/>
    </row>
    <row r="78" spans="1:16" ht="15.75">
      <c r="A78" s="43"/>
      <c r="C78" s="90" t="s">
        <v>151</v>
      </c>
      <c r="D78" s="121">
        <f>D21-D76</f>
        <v>197757.8773562368</v>
      </c>
      <c r="E78" s="118">
        <f>E21-E76</f>
        <v>25911.165593667494</v>
      </c>
      <c r="F78" s="91"/>
      <c r="G78" s="92"/>
      <c r="J78" s="92"/>
    </row>
    <row r="79" spans="1:16" s="93" customFormat="1" ht="15.75">
      <c r="A79" s="43"/>
      <c r="B79" s="94"/>
      <c r="C79" s="90" t="s">
        <v>152</v>
      </c>
      <c r="D79" s="95">
        <f>IF($D$21=0,0,D78/$D$21)</f>
        <v>0.33512567885365852</v>
      </c>
      <c r="E79" s="95">
        <f>IF($E$21=0,0,E78/$E$21)</f>
        <v>0.33438508212725432</v>
      </c>
      <c r="F79" s="96"/>
      <c r="G79" s="92"/>
      <c r="J79" s="97"/>
      <c r="K79" s="39"/>
      <c r="L79" s="39"/>
      <c r="N79" s="39"/>
      <c r="O79" s="39"/>
      <c r="P79" s="39"/>
    </row>
    <row r="80" spans="1:16" ht="15.75" thickBot="1">
      <c r="A80" s="43"/>
      <c r="F80" s="96"/>
      <c r="G80" s="92"/>
    </row>
    <row r="81" spans="1:7" ht="15.75" thickBot="1">
      <c r="A81" s="43"/>
      <c r="C81" s="135" t="s">
        <v>184</v>
      </c>
      <c r="D81" s="136" t="s">
        <v>185</v>
      </c>
      <c r="E81" s="137" t="s">
        <v>191</v>
      </c>
      <c r="F81" s="137" t="s">
        <v>186</v>
      </c>
      <c r="G81" s="92"/>
    </row>
    <row r="82" spans="1:7">
      <c r="A82" s="43"/>
      <c r="C82" s="138">
        <v>45566</v>
      </c>
      <c r="D82" s="139">
        <v>45571</v>
      </c>
      <c r="E82" s="189">
        <f>SUMIFS($D$26:$D$79,$F$26:$F$79,"&gt;="&amp;C82,$F$26:$F$79,"&lt;="&amp;D82,$G$26:$G$79,$D$95)</f>
        <v>0</v>
      </c>
      <c r="F82" s="190">
        <f>SUMIFS($E$26:$E$79,$F$26:$F$79,"&gt;="&amp;C82,$F$26:$F$79,"&lt;="&amp;D82,$G$26:$G$79,$D$95)</f>
        <v>0</v>
      </c>
      <c r="G82" s="92" t="s">
        <v>511</v>
      </c>
    </row>
    <row r="83" spans="1:7">
      <c r="A83" s="43"/>
      <c r="C83" s="140">
        <v>45572</v>
      </c>
      <c r="D83" s="141">
        <v>45578</v>
      </c>
      <c r="E83" s="193">
        <f>SUMIFS($D$26:$D$79,$F$26:$F$79,"&gt;="&amp;C83,$F$26:$F$79,"&lt;="&amp;D83,$G$26:$G$79,$D$95)</f>
        <v>0</v>
      </c>
      <c r="F83" s="194">
        <f>SUMIFS($E$26:$E$79,$F$26:$F$79,"&gt;="&amp;C83,$F$26:$F$79,"&lt;="&amp;D83,$G$26:$G$79,$D$95)</f>
        <v>0</v>
      </c>
      <c r="G83" s="92" t="s">
        <v>390</v>
      </c>
    </row>
    <row r="84" spans="1:7">
      <c r="A84" s="43"/>
      <c r="C84" s="140">
        <v>45579</v>
      </c>
      <c r="D84" s="141">
        <v>45585</v>
      </c>
      <c r="E84" s="193">
        <f>SUMIFS($D$26:$D$79,$F$26:$F$79,"&gt;="&amp;C84,$F$26:$F$79,"&lt;="&amp;D84,$G$26:$G$79,$D$95)</f>
        <v>0</v>
      </c>
      <c r="F84" s="194">
        <f>SUMIFS($E$26:$E$79,$F$26:$F$79,"&gt;="&amp;C84,$F$26:$F$79,"&lt;="&amp;D84,$G$26:$G$79,$D$95)</f>
        <v>0</v>
      </c>
      <c r="G84" s="92" t="s">
        <v>512</v>
      </c>
    </row>
    <row r="85" spans="1:7">
      <c r="A85" s="43"/>
      <c r="C85" s="140">
        <v>45586</v>
      </c>
      <c r="D85" s="141">
        <v>45592</v>
      </c>
      <c r="E85" s="193">
        <f>SUMIFS($D$26:$D$79,$F$26:$F$79,"&gt;="&amp;C85,$F$26:$F$79,"&lt;="&amp;D85,$G$26:$G$79,$D$95)</f>
        <v>0</v>
      </c>
      <c r="F85" s="194">
        <f>SUMIFS($E$26:$E$79,$F$26:$F$79,"&gt;="&amp;C85,$F$26:$F$79,"&lt;="&amp;D85,$G$26:$G$79,$D$95)</f>
        <v>0</v>
      </c>
      <c r="G85" s="92" t="s">
        <v>513</v>
      </c>
    </row>
    <row r="86" spans="1:7">
      <c r="A86" s="43"/>
      <c r="C86" s="140">
        <v>45593</v>
      </c>
      <c r="D86" s="141">
        <v>45596</v>
      </c>
      <c r="E86" s="193">
        <f>SUMIFS($D$26:$D$79,$F$26:$F$79,"&gt;="&amp;C86,$F$26:$F$79,"&lt;="&amp;D86,$G$26:$G$79,$D$95)</f>
        <v>0</v>
      </c>
      <c r="F86" s="194">
        <f>SUMIFS($E$26:$E$79,$F$26:$F$79,"&gt;="&amp;C86,$F$26:$F$79,"&lt;="&amp;D86,$G$26:$G$79,$D$95)</f>
        <v>0</v>
      </c>
      <c r="G86" s="92" t="s">
        <v>497</v>
      </c>
    </row>
    <row r="87" spans="1:7" ht="15.75">
      <c r="A87" s="43"/>
      <c r="C87" s="433" t="s">
        <v>187</v>
      </c>
      <c r="D87" s="433"/>
      <c r="E87" s="148">
        <f>SUM(E82:E86)</f>
        <v>0</v>
      </c>
      <c r="F87" s="144">
        <f>SUM(F82:F86)</f>
        <v>0</v>
      </c>
      <c r="G87" s="92"/>
    </row>
    <row r="88" spans="1:7">
      <c r="A88" s="43"/>
      <c r="F88" s="96"/>
      <c r="G88" s="92"/>
    </row>
    <row r="89" spans="1:7">
      <c r="A89" s="43"/>
      <c r="F89" s="96"/>
      <c r="G89" s="92"/>
    </row>
    <row r="90" spans="1:7">
      <c r="A90" s="43"/>
      <c r="C90" s="41"/>
      <c r="D90" s="41" t="s">
        <v>380</v>
      </c>
      <c r="E90" s="166">
        <f>'Caja QTQ'!$H$266+('Caja USD'!$H$117*$D$6)</f>
        <v>197657.23319999946</v>
      </c>
      <c r="F90" s="153">
        <f>('Caja QTQ'!$H$266/$D$6)+'Caja USD'!$H$117</f>
        <v>26076.152137203098</v>
      </c>
      <c r="G90" s="92"/>
    </row>
    <row r="91" spans="1:7">
      <c r="A91" s="43"/>
      <c r="D91" s="200" t="s">
        <v>498</v>
      </c>
      <c r="E91" s="166">
        <f>SUM(E82:E85)</f>
        <v>0</v>
      </c>
      <c r="F91" s="153">
        <f>SUM(F82:F85)</f>
        <v>0</v>
      </c>
      <c r="G91" s="92"/>
    </row>
    <row r="92" spans="1:7">
      <c r="A92" s="43"/>
      <c r="D92" s="146" t="s">
        <v>381</v>
      </c>
      <c r="E92" s="201">
        <f>E90-E91</f>
        <v>197657.23319999946</v>
      </c>
      <c r="F92" s="145">
        <f>F90-F91</f>
        <v>26076.152137203098</v>
      </c>
      <c r="G92" s="92"/>
    </row>
    <row r="93" spans="1:7">
      <c r="A93" s="43"/>
      <c r="F93" s="96"/>
      <c r="G93" s="92"/>
    </row>
    <row r="94" spans="1:7">
      <c r="D94" s="43" t="s">
        <v>135</v>
      </c>
      <c r="E94" s="15">
        <f>SUMIFS($D$26:$D$89,$F$26:$F$89,"&gt;="&amp;C82,$F$26:$F$89,"&lt;="&amp;D86,$G$26:$G$89,$D$94)</f>
        <v>392342.7620000001</v>
      </c>
      <c r="F94" s="153">
        <f>SUMIFS($E$26:$E$89,$F$26:$F$89,"&gt;="&amp;C82,$F$26:$F$89,"&lt;="&amp;D86,$G$26:$G$89,$D$94)</f>
        <v>51577.834300791568</v>
      </c>
    </row>
    <row r="95" spans="1:7">
      <c r="D95" s="43" t="s">
        <v>143</v>
      </c>
      <c r="E95" s="15">
        <f>SUMIFS($D$26:$D$89,$F$26:$F$89,"&gt;="&amp;C82,$F$26:$F$89,"&lt;="&amp;D86,$G$26:$G$89,$D$95)</f>
        <v>0</v>
      </c>
      <c r="F95" s="153">
        <f>SUMIFS($E$26:$E$89,$F$26:$F$89,"&gt;="&amp;C82,$F$26:$F$89,"&lt;="&amp;D86,$G$26:$G$89,$D$95)</f>
        <v>0</v>
      </c>
    </row>
    <row r="96" spans="1:7">
      <c r="D96" s="146" t="s">
        <v>189</v>
      </c>
      <c r="E96" s="152">
        <f>SUM(E94:E95)</f>
        <v>392342.7620000001</v>
      </c>
      <c r="F96" s="145">
        <f>SUM(F94:F95)</f>
        <v>51577.834300791568</v>
      </c>
    </row>
    <row r="97" spans="4:6">
      <c r="D97" s="146" t="s">
        <v>190</v>
      </c>
      <c r="E97" s="152">
        <f>E96-D76</f>
        <v>0</v>
      </c>
      <c r="F97" s="145">
        <f>F96-E76</f>
        <v>0</v>
      </c>
    </row>
    <row r="99" spans="4:6" hidden="1">
      <c r="D99" s="41" t="s">
        <v>373</v>
      </c>
      <c r="E99" s="166">
        <f>D78</f>
        <v>197757.8773562368</v>
      </c>
    </row>
    <row r="100" spans="4:6" hidden="1">
      <c r="D100" s="41" t="s">
        <v>339</v>
      </c>
      <c r="E100" s="166">
        <f>'Caja QTQ'!H167+('Caja USD'!H70*7.6)</f>
        <v>190098.56839999984</v>
      </c>
    </row>
    <row r="101" spans="4:6" hidden="1">
      <c r="D101" s="41" t="s">
        <v>85</v>
      </c>
      <c r="E101" s="166">
        <f>E99-E100</f>
        <v>7659.3089562369569</v>
      </c>
      <c r="F101" s="185">
        <f>E101/7.88</f>
        <v>971.99352236509606</v>
      </c>
    </row>
    <row r="103" spans="4:6">
      <c r="D103" s="41" t="s">
        <v>373</v>
      </c>
      <c r="E103" s="166">
        <f>D78</f>
        <v>197757.8773562368</v>
      </c>
    </row>
    <row r="104" spans="4:6">
      <c r="D104" s="41" t="s">
        <v>339</v>
      </c>
      <c r="E104" s="166">
        <f>'Caja QTQ'!$H$266+('Caja USD'!$H$117*7.87)</f>
        <v>197757.88059999948</v>
      </c>
    </row>
    <row r="105" spans="4:6">
      <c r="D105" s="41" t="s">
        <v>444</v>
      </c>
      <c r="E105" s="166">
        <f>E104-E103</f>
        <v>3.2437626796308905E-3</v>
      </c>
    </row>
  </sheetData>
  <protectedRanges>
    <protectedRange sqref="F21:G21 D80:E80 C90 D51:E52 D88:E93 D10:E12" name="Presupuestos"/>
    <protectedRange sqref="D25:E25 D8:E8" name="Presupuestos_1"/>
    <protectedRange sqref="D34:E38" name="Presupuestos_13_1"/>
    <protectedRange sqref="D40:E46" name="Presupuestos_14"/>
    <protectedRange sqref="D62:E62 E57:E58 E61 D59:E60 E63:E67" name="Presupuestos_2_1_1_1"/>
    <protectedRange sqref="K58 D58 E75 D69:E73" name="Presupuestos_6_1_1_1"/>
    <protectedRange sqref="D57 D61 D63:D67" name="Presupuestos_5_2_1"/>
    <protectedRange sqref="D54:E55" name="Presupuestos_7_1"/>
    <protectedRange sqref="D75" name="Presupuestos_5_3"/>
    <protectedRange sqref="D48:E49" name="Presupuestos_13_1_1"/>
  </protectedRanges>
  <autoFilter ref="B25:J75" xr:uid="{00000000-0009-0000-0000-000002000000}"/>
  <mergeCells count="5">
    <mergeCell ref="D7:E7"/>
    <mergeCell ref="B14:B17"/>
    <mergeCell ref="B24:C24"/>
    <mergeCell ref="D24:E24"/>
    <mergeCell ref="C87:D87"/>
  </mergeCells>
  <conditionalFormatting sqref="J27 J29:J32 J34:J38 J40:J46 J48:J49 J54:J55 J57:J67 J69:J73 J75">
    <cfRule type="cellIs" dxfId="208" priority="5" operator="lessThan">
      <formula>0</formula>
    </cfRule>
    <cfRule type="cellIs" dxfId="207" priority="6" operator="between">
      <formula>6</formula>
      <formula>15</formula>
    </cfRule>
    <cfRule type="cellIs" dxfId="206" priority="7" operator="between">
      <formula>1</formula>
      <formula>5</formula>
    </cfRule>
    <cfRule type="cellIs" dxfId="205" priority="8" operator="between">
      <formula>16</formula>
      <formula>60</formula>
    </cfRule>
  </conditionalFormatting>
  <conditionalFormatting sqref="J51:J52">
    <cfRule type="cellIs" dxfId="204" priority="1" operator="lessThan">
      <formula>0</formula>
    </cfRule>
    <cfRule type="cellIs" dxfId="203" priority="2" operator="between">
      <formula>6</formula>
      <formula>15</formula>
    </cfRule>
    <cfRule type="cellIs" dxfId="202" priority="3" operator="between">
      <formula>1</formula>
      <formula>5</formula>
    </cfRule>
    <cfRule type="cellIs" dxfId="201" priority="4" operator="between">
      <formula>16</formula>
      <formula>60</formula>
    </cfRule>
  </conditionalFormatting>
  <dataValidations count="2">
    <dataValidation type="list" allowBlank="1" showInputMessage="1" showErrorMessage="1" sqref="D24 D7" xr:uid="{0DA87B2F-FC48-4F31-A793-96C67AC1D967}">
      <formula1>"ENERO,FEBRERO,MARZO,ABRIL,MAYO,JUNIO,JULIO,AGOSTO,SEPTIEMBRE,OCTUBRE,NOVIEMBRE,DICIEMBRE"</formula1>
    </dataValidation>
    <dataValidation type="list" allowBlank="1" showInputMessage="1" showErrorMessage="1" sqref="G69:G73 G75 G26:G27 G48:G49 G40:G46 D94:D95 G54:G55 G57:G67 G51:G52 G34:G38 G29:G32" xr:uid="{AE3B6B20-0480-4FF6-A008-89EEE368324D}">
      <formula1>"Cancelado,Pagar,Sin Pagar"</formula1>
    </dataValidation>
  </dataValidations>
  <pageMargins left="0.7" right="0.7" top="0.75" bottom="0.75" header="0.3" footer="0.3"/>
  <pageSetup paperSize="9" orientation="portrait" r:id="rId1"/>
  <ignoredErrors>
    <ignoredError sqref="J33:J48 J74:J75 J50:J72 J27:J31" unlockedFormula="1"/>
    <ignoredError sqref="E37:E38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660A-4F9D-4ED0-A3B2-4C16A66E8443}">
  <dimension ref="A1:S99"/>
  <sheetViews>
    <sheetView showGridLines="0" topLeftCell="B38" zoomScale="90" zoomScaleNormal="90" workbookViewId="0">
      <selection activeCell="D103" sqref="D103:E105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45597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7.6</v>
      </c>
      <c r="E6" s="42"/>
      <c r="I6" s="43"/>
    </row>
    <row r="7" spans="1:9" ht="15.75">
      <c r="C7" s="99"/>
      <c r="D7" s="432" t="s">
        <v>555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224503.05439999947</v>
      </c>
      <c r="E9" s="122">
        <f>SUBTOTAL(9,E10:E11)</f>
        <v>29539.875578947303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QTQ'!$H$266+26838.88</f>
        <v>221865.39839999948</v>
      </c>
      <c r="E10" s="25">
        <f>D10/$D$6</f>
        <v>29192.815578947302</v>
      </c>
      <c r="F10" s="49"/>
    </row>
    <row r="11" spans="1:9" s="43" customFormat="1" outlineLevel="1">
      <c r="B11" s="46"/>
      <c r="C11" s="47" t="s">
        <v>154</v>
      </c>
      <c r="D11" s="15">
        <f>E11*D6</f>
        <v>2637.6559999999977</v>
      </c>
      <c r="E11" s="25">
        <f>'Caja USD'!$H$117</f>
        <v>347.05999999999972</v>
      </c>
      <c r="F11" s="49"/>
    </row>
    <row r="12" spans="1:9" s="43" customFormat="1" ht="15.75">
      <c r="B12" s="46"/>
      <c r="C12" s="102" t="s">
        <v>134</v>
      </c>
      <c r="D12" s="127">
        <f>SUBTOTAL(9,D13:D19)</f>
        <v>555107.61</v>
      </c>
      <c r="E12" s="122">
        <f>SUBTOTAL(9,E13:E19)</f>
        <v>72430.990000000005</v>
      </c>
      <c r="F12" s="128"/>
    </row>
    <row r="13" spans="1:9" s="43" customFormat="1" outlineLevel="1">
      <c r="B13" s="218" t="s">
        <v>298</v>
      </c>
      <c r="C13" s="215" t="s">
        <v>514</v>
      </c>
      <c r="D13" s="216">
        <f>'Diferencia en cambio'!$I$51</f>
        <v>41067.208471898179</v>
      </c>
      <c r="E13" s="217">
        <f>D13/'Diferencia en cambio'!L51</f>
        <v>5405.3</v>
      </c>
      <c r="F13" s="128"/>
      <c r="G13" s="52"/>
    </row>
    <row r="14" spans="1:9" s="43" customFormat="1" outlineLevel="1">
      <c r="A14" s="50"/>
      <c r="B14" s="218" t="s">
        <v>298</v>
      </c>
      <c r="C14" s="215" t="s">
        <v>517</v>
      </c>
      <c r="D14" s="216">
        <f>'Diferencia en cambio'!$I$52</f>
        <v>408290.82323863456</v>
      </c>
      <c r="E14" s="217">
        <f>D14/'Diferencia en cambio'!L52</f>
        <v>53167.38</v>
      </c>
      <c r="F14" s="128"/>
      <c r="G14" s="184"/>
    </row>
    <row r="15" spans="1:9" s="43" customFormat="1" outlineLevel="1">
      <c r="A15" s="50"/>
      <c r="B15" s="218" t="s">
        <v>298</v>
      </c>
      <c r="C15" s="215" t="s">
        <v>520</v>
      </c>
      <c r="D15" s="216">
        <f>'Diferencia en cambio'!$I$53</f>
        <v>11942.845507762318</v>
      </c>
      <c r="E15" s="217">
        <f>D15/'Diferencia en cambio'!L53</f>
        <v>1555.19</v>
      </c>
      <c r="F15" s="128"/>
      <c r="G15" s="184"/>
    </row>
    <row r="16" spans="1:9" s="43" customFormat="1" outlineLevel="1">
      <c r="B16" s="218" t="s">
        <v>298</v>
      </c>
      <c r="C16" s="215" t="s">
        <v>519</v>
      </c>
      <c r="D16" s="216">
        <f>'Diferencia en cambio'!$I$54</f>
        <v>22300.596756136893</v>
      </c>
      <c r="E16" s="217">
        <f>D16/'Diferencia en cambio'!L54</f>
        <v>2903.97</v>
      </c>
      <c r="F16" s="128"/>
      <c r="G16" s="52"/>
    </row>
    <row r="17" spans="2:19" s="43" customFormat="1" outlineLevel="1">
      <c r="B17" s="218" t="s">
        <v>298</v>
      </c>
      <c r="C17" s="215" t="s">
        <v>515</v>
      </c>
      <c r="D17" s="216">
        <f>'Diferencia en cambio'!$I$55</f>
        <v>43769.668289753645</v>
      </c>
      <c r="E17" s="217">
        <f>D17/'Diferencia en cambio'!L55</f>
        <v>5761</v>
      </c>
      <c r="F17" s="128"/>
      <c r="G17" s="52"/>
    </row>
    <row r="18" spans="2:19" s="43" customFormat="1" outlineLevel="1">
      <c r="B18" s="218" t="s">
        <v>298</v>
      </c>
      <c r="C18" s="215" t="s">
        <v>518</v>
      </c>
      <c r="D18" s="216">
        <f>'Diferencia en cambio'!$I$56</f>
        <v>8952.8144974662537</v>
      </c>
      <c r="E18" s="217">
        <f>D18/'Diferencia en cambio'!L56</f>
        <v>1165.83</v>
      </c>
      <c r="F18" s="128"/>
      <c r="G18" s="52"/>
    </row>
    <row r="19" spans="2:19" s="43" customFormat="1" outlineLevel="1">
      <c r="B19" s="218" t="s">
        <v>298</v>
      </c>
      <c r="C19" s="215" t="s">
        <v>516</v>
      </c>
      <c r="D19" s="216">
        <f>'Diferencia en cambio'!$I$57</f>
        <v>18783.653238348161</v>
      </c>
      <c r="E19" s="217">
        <f>D19/'Diferencia en cambio'!L57</f>
        <v>2472.3200000000002</v>
      </c>
      <c r="F19" s="128"/>
      <c r="G19" s="52"/>
    </row>
    <row r="20" spans="2:19" s="43" customFormat="1" ht="15.75">
      <c r="B20" s="46"/>
      <c r="C20" s="55" t="s">
        <v>136</v>
      </c>
      <c r="D20" s="123">
        <f>SUBTOTAL(9,D9:D17)</f>
        <v>751874.19666418503</v>
      </c>
      <c r="E20" s="124">
        <f>SUBTOTAL(9,E9:E17)</f>
        <v>98332.715578947304</v>
      </c>
      <c r="F20" s="56"/>
      <c r="G20" s="56"/>
      <c r="J20" s="52"/>
      <c r="K20" s="57"/>
      <c r="O20" s="58"/>
      <c r="P20" s="59"/>
      <c r="Q20" s="53"/>
    </row>
    <row r="21" spans="2:19" s="43" customFormat="1" ht="15.75">
      <c r="B21" s="46"/>
      <c r="C21" s="60"/>
      <c r="D21" s="61"/>
      <c r="E21" s="61"/>
      <c r="G21" s="62"/>
      <c r="O21" s="59"/>
      <c r="P21" s="59"/>
    </row>
    <row r="22" spans="2:19" s="43" customFormat="1" ht="15.75">
      <c r="B22" s="46"/>
      <c r="N22" s="63"/>
      <c r="O22" s="64"/>
      <c r="P22" s="65"/>
    </row>
    <row r="23" spans="2:19" s="43" customFormat="1" ht="15.75">
      <c r="B23" s="432" t="s">
        <v>137</v>
      </c>
      <c r="C23" s="432"/>
      <c r="D23" s="432" t="s">
        <v>604</v>
      </c>
      <c r="E23" s="432"/>
      <c r="K23" s="65"/>
      <c r="L23" s="65"/>
      <c r="N23" s="63"/>
      <c r="R23" s="52"/>
      <c r="S23" s="52"/>
    </row>
    <row r="24" spans="2:19" s="43" customFormat="1" ht="16.5" thickBot="1">
      <c r="B24" s="67" t="s">
        <v>81</v>
      </c>
      <c r="C24" s="68" t="s">
        <v>106</v>
      </c>
      <c r="D24" s="110" t="s">
        <v>168</v>
      </c>
      <c r="E24" s="110" t="s">
        <v>169</v>
      </c>
      <c r="F24" s="69" t="s">
        <v>140</v>
      </c>
      <c r="G24" s="63" t="s">
        <v>141</v>
      </c>
      <c r="H24" s="63"/>
      <c r="I24" s="63"/>
      <c r="J24" s="70" t="s">
        <v>142</v>
      </c>
      <c r="N24" s="71"/>
      <c r="R24" s="52"/>
      <c r="S24" s="72"/>
    </row>
    <row r="25" spans="2:19" s="43" customFormat="1" ht="16.5" thickBot="1">
      <c r="B25" s="46"/>
      <c r="C25" s="73" t="s">
        <v>155</v>
      </c>
      <c r="D25" s="103">
        <f>SUBTOTAL(9,D26:D26)</f>
        <v>48910.95</v>
      </c>
      <c r="E25" s="112">
        <f>SUBTOTAL(9,E26:E26)</f>
        <v>6435.6513157894733</v>
      </c>
      <c r="F25" s="74"/>
      <c r="J25" s="76"/>
    </row>
    <row r="26" spans="2:19" s="43" customFormat="1" ht="15.75" outlineLevel="1" thickBot="1">
      <c r="B26" s="77">
        <v>176206200</v>
      </c>
      <c r="C26" s="78" t="s">
        <v>556</v>
      </c>
      <c r="D26" s="109">
        <v>48910.95</v>
      </c>
      <c r="E26" s="115">
        <f>D26/D6</f>
        <v>6435.6513157894733</v>
      </c>
      <c r="F26" s="80">
        <v>45608</v>
      </c>
      <c r="G26" s="43" t="s">
        <v>135</v>
      </c>
      <c r="H26" s="43">
        <f>IF(OR(G26="Sin pagar",G26="Pagar"),NETWORKDAYS($E$4,F26,'Festivos Guatemala'!$A$3:$A$15),0)</f>
        <v>0</v>
      </c>
      <c r="I26" s="43">
        <f>NETWORKDAYS($E$4,F26,'Festivos Guatemala'!$A$3:$A$15)</f>
        <v>8</v>
      </c>
      <c r="J26" s="75">
        <f>H26</f>
        <v>0</v>
      </c>
      <c r="K26" s="52"/>
      <c r="L26" s="52"/>
    </row>
    <row r="27" spans="2:19" s="43" customFormat="1" ht="16.5" thickBot="1">
      <c r="B27" s="46"/>
      <c r="C27" s="73" t="s">
        <v>144</v>
      </c>
      <c r="D27" s="103">
        <f>SUBTOTAL(9,D28:D29)</f>
        <v>17774.439999999999</v>
      </c>
      <c r="E27" s="112">
        <f>SUBTOTAL(9,E28:E29)</f>
        <v>2338.742105263158</v>
      </c>
      <c r="J27" s="76">
        <f t="shared" ref="J27:J36" si="0">H27</f>
        <v>0</v>
      </c>
    </row>
    <row r="28" spans="2:19" s="43" customFormat="1" outlineLevel="1">
      <c r="B28" s="168">
        <v>44806420761</v>
      </c>
      <c r="C28" s="47" t="s">
        <v>572</v>
      </c>
      <c r="D28" s="109">
        <v>13821.14</v>
      </c>
      <c r="E28" s="115">
        <f>D28/$D$6</f>
        <v>1818.5710526315791</v>
      </c>
      <c r="F28" s="80">
        <v>45609</v>
      </c>
      <c r="G28" s="43" t="s">
        <v>135</v>
      </c>
      <c r="H28" s="43">
        <f>IF(OR(G28="Sin pagar",G28="Pagar"),NETWORKDAYS($E$4,F28,'Festivos Guatemala'!$A$3:$A$15),0)</f>
        <v>0</v>
      </c>
      <c r="I28" s="43">
        <f>NETWORKDAYS($E$4,F28,'Festivos Guatemala'!$A$3:$A$15)</f>
        <v>9</v>
      </c>
      <c r="J28" s="75">
        <f>H28</f>
        <v>0</v>
      </c>
      <c r="K28" s="48"/>
      <c r="L28" s="57"/>
    </row>
    <row r="29" spans="2:19" s="43" customFormat="1" ht="15.75" outlineLevel="1" thickBot="1">
      <c r="B29" s="168">
        <v>44807605272</v>
      </c>
      <c r="C29" s="47" t="s">
        <v>574</v>
      </c>
      <c r="D29" s="109">
        <v>3953.3</v>
      </c>
      <c r="E29" s="115">
        <f>D29/$D$6</f>
        <v>520.17105263157896</v>
      </c>
      <c r="F29" s="80">
        <v>45609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9</v>
      </c>
      <c r="J29" s="75">
        <f>H29</f>
        <v>0</v>
      </c>
      <c r="K29" s="48"/>
      <c r="L29" s="57"/>
    </row>
    <row r="30" spans="2:19" s="43" customFormat="1" ht="16.5" thickBot="1">
      <c r="B30" s="46"/>
      <c r="C30" s="73" t="s">
        <v>163</v>
      </c>
      <c r="D30" s="103">
        <f>SUBTOTAL(9,D31:D36)</f>
        <v>5829</v>
      </c>
      <c r="E30" s="112">
        <f>SUBTOTAL(9,E31:E36)</f>
        <v>766.97368421052624</v>
      </c>
      <c r="J30" s="76">
        <f t="shared" si="0"/>
        <v>0</v>
      </c>
      <c r="K30" s="52"/>
      <c r="L30" s="52"/>
    </row>
    <row r="31" spans="2:19" s="43" customFormat="1" outlineLevel="1">
      <c r="B31" s="46"/>
      <c r="C31" s="47" t="s">
        <v>575</v>
      </c>
      <c r="D31" s="104">
        <f>880+100</f>
        <v>980</v>
      </c>
      <c r="E31" s="113">
        <f t="shared" ref="E31:E36" si="1">D31/$D$6</f>
        <v>128.94736842105263</v>
      </c>
      <c r="F31" s="80">
        <v>45610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10</v>
      </c>
      <c r="J31" s="75">
        <f t="shared" si="0"/>
        <v>0</v>
      </c>
      <c r="N31" s="49"/>
    </row>
    <row r="32" spans="2:19" s="43" customFormat="1" outlineLevel="1">
      <c r="B32" s="46"/>
      <c r="C32" s="47" t="s">
        <v>576</v>
      </c>
      <c r="D32" s="104">
        <v>50</v>
      </c>
      <c r="E32" s="113">
        <f t="shared" ref="E32:E33" si="2">D32/$D$6</f>
        <v>6.5789473684210531</v>
      </c>
      <c r="F32" s="80">
        <v>45610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10</v>
      </c>
      <c r="J32" s="75">
        <f t="shared" ref="J32" si="3">H32</f>
        <v>0</v>
      </c>
      <c r="N32" s="49"/>
    </row>
    <row r="33" spans="2:16" s="43" customFormat="1" ht="30" outlineLevel="1">
      <c r="B33" s="46" t="s">
        <v>582</v>
      </c>
      <c r="C33" s="47" t="s">
        <v>583</v>
      </c>
      <c r="D33" s="104">
        <v>2299</v>
      </c>
      <c r="E33" s="113">
        <f t="shared" si="2"/>
        <v>302.5</v>
      </c>
      <c r="F33" s="80">
        <v>45611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11</v>
      </c>
      <c r="J33" s="75">
        <f t="shared" ref="J33" si="4">H33</f>
        <v>0</v>
      </c>
      <c r="N33" s="49"/>
    </row>
    <row r="34" spans="2:16" s="43" customFormat="1" outlineLevel="1">
      <c r="B34" s="46" t="s">
        <v>145</v>
      </c>
      <c r="C34" s="47" t="s">
        <v>588</v>
      </c>
      <c r="D34" s="104">
        <f>2500</f>
        <v>2500</v>
      </c>
      <c r="E34" s="113">
        <f t="shared" ref="E34" si="5">D34/$D$6</f>
        <v>328.94736842105266</v>
      </c>
      <c r="F34" s="80">
        <v>45614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12</v>
      </c>
      <c r="J34" s="75">
        <f t="shared" ref="J34" si="6">H34</f>
        <v>0</v>
      </c>
      <c r="N34" s="49"/>
    </row>
    <row r="35" spans="2:16" s="43" customFormat="1" outlineLevel="1">
      <c r="B35" s="46">
        <v>1086</v>
      </c>
      <c r="C35" s="47" t="s">
        <v>394</v>
      </c>
      <c r="D35" s="104">
        <f>1200*0</f>
        <v>0</v>
      </c>
      <c r="E35" s="113">
        <f>D35/$D$6</f>
        <v>0</v>
      </c>
      <c r="F35" s="74">
        <v>45641</v>
      </c>
      <c r="G35" s="43" t="s">
        <v>143</v>
      </c>
      <c r="H35" s="43">
        <f>IF(OR(G35="Sin pagar",G35="Pagar"),NETWORKDAYS($E$4,F35,'Festivos Guatemala'!$A$3:$A$15),0)</f>
        <v>31</v>
      </c>
      <c r="I35" s="43">
        <f>NETWORKDAYS($E$4,F35,'Festivos Guatemala'!$A$3:$A$15)</f>
        <v>31</v>
      </c>
      <c r="J35" s="75">
        <f t="shared" si="0"/>
        <v>31</v>
      </c>
      <c r="M35" s="199"/>
      <c r="N35" s="49"/>
    </row>
    <row r="36" spans="2:16" s="43" customFormat="1" ht="15.75" outlineLevel="1" thickBot="1">
      <c r="B36" s="46">
        <v>1091</v>
      </c>
      <c r="C36" s="47" t="s">
        <v>473</v>
      </c>
      <c r="D36" s="104">
        <f>1200*0</f>
        <v>0</v>
      </c>
      <c r="E36" s="113">
        <f t="shared" si="1"/>
        <v>0</v>
      </c>
      <c r="F36" s="74">
        <v>45641</v>
      </c>
      <c r="G36" s="43" t="s">
        <v>143</v>
      </c>
      <c r="H36" s="43">
        <f>IF(OR(G36="Sin pagar",G36="Pagar"),NETWORKDAYS($E$4,F36,'Festivos Guatemala'!$A$3:$A$15),0)</f>
        <v>31</v>
      </c>
      <c r="I36" s="43">
        <f>NETWORKDAYS($E$4,F36,'Festivos Guatemala'!$A$3:$A$15)</f>
        <v>31</v>
      </c>
      <c r="J36" s="75">
        <f t="shared" si="0"/>
        <v>31</v>
      </c>
      <c r="M36" s="199"/>
      <c r="N36" s="49"/>
    </row>
    <row r="37" spans="2:16" s="43" customFormat="1" ht="16.5" thickBot="1">
      <c r="C37" s="73" t="s">
        <v>146</v>
      </c>
      <c r="D37" s="103">
        <f>SUBTOTAL(9,D38:D44)</f>
        <v>8415.0419999999995</v>
      </c>
      <c r="E37" s="112">
        <f>SUBTOTAL(9,E38:E44)</f>
        <v>1107.2423684210526</v>
      </c>
      <c r="K37" s="49"/>
      <c r="L37" s="49"/>
      <c r="O37" s="49"/>
      <c r="P37" s="49"/>
    </row>
    <row r="38" spans="2:16" s="43" customFormat="1" ht="14.25" customHeight="1" outlineLevel="1">
      <c r="B38" s="186"/>
      <c r="C38" s="210" t="s">
        <v>272</v>
      </c>
      <c r="D38" s="104">
        <f>E38*$D$6</f>
        <v>418.53199999999998</v>
      </c>
      <c r="E38" s="113">
        <v>55.07</v>
      </c>
      <c r="F38" s="74">
        <v>45617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15</v>
      </c>
      <c r="J38" s="75">
        <f t="shared" ref="J38:J44" si="7">H38</f>
        <v>0</v>
      </c>
      <c r="K38" s="49"/>
      <c r="L38" s="49"/>
      <c r="O38" s="49"/>
      <c r="P38" s="49"/>
    </row>
    <row r="39" spans="2:16" s="43" customFormat="1" outlineLevel="1">
      <c r="B39" s="186"/>
      <c r="C39" s="210" t="s">
        <v>273</v>
      </c>
      <c r="D39" s="104">
        <f>E39*$D$6</f>
        <v>1971.9720000000002</v>
      </c>
      <c r="E39" s="113">
        <v>259.47000000000003</v>
      </c>
      <c r="F39" s="74">
        <v>45617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15</v>
      </c>
      <c r="J39" s="75">
        <f t="shared" si="7"/>
        <v>0</v>
      </c>
    </row>
    <row r="40" spans="2:16" s="43" customFormat="1" outlineLevel="1">
      <c r="B40" s="186"/>
      <c r="C40" s="210" t="s">
        <v>274</v>
      </c>
      <c r="D40" s="104">
        <f>E40*$D$6</f>
        <v>1560.508</v>
      </c>
      <c r="E40" s="113">
        <v>205.33</v>
      </c>
      <c r="F40" s="74">
        <v>45617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15</v>
      </c>
      <c r="J40" s="75">
        <f t="shared" si="7"/>
        <v>0</v>
      </c>
    </row>
    <row r="41" spans="2:16" s="43" customFormat="1" ht="14.25" customHeight="1" outlineLevel="1">
      <c r="B41" s="186"/>
      <c r="C41" s="209" t="s">
        <v>496</v>
      </c>
      <c r="D41" s="104">
        <v>843.56</v>
      </c>
      <c r="E41" s="113">
        <f>D41/$D$6</f>
        <v>110.99473684210525</v>
      </c>
      <c r="F41" s="74">
        <v>45617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15</v>
      </c>
      <c r="J41" s="75">
        <f>H41</f>
        <v>0</v>
      </c>
      <c r="K41" s="49"/>
      <c r="L41" s="49"/>
      <c r="O41" s="49"/>
      <c r="P41" s="49"/>
    </row>
    <row r="42" spans="2:16" s="43" customFormat="1" ht="14.25" customHeight="1" outlineLevel="1">
      <c r="B42" s="186"/>
      <c r="C42" s="209" t="s">
        <v>277</v>
      </c>
      <c r="D42" s="104">
        <v>888.15</v>
      </c>
      <c r="E42" s="113">
        <f>D42/$D$6</f>
        <v>116.86184210526316</v>
      </c>
      <c r="F42" s="74">
        <v>45617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15</v>
      </c>
      <c r="J42" s="75">
        <f t="shared" si="7"/>
        <v>0</v>
      </c>
      <c r="K42" s="49"/>
      <c r="L42" s="49"/>
      <c r="O42" s="49"/>
      <c r="P42" s="49"/>
    </row>
    <row r="43" spans="2:16" s="43" customFormat="1" outlineLevel="1">
      <c r="B43" s="186"/>
      <c r="C43" s="209" t="s">
        <v>276</v>
      </c>
      <c r="D43" s="104">
        <v>903.72</v>
      </c>
      <c r="E43" s="113">
        <f>D43/$D$6</f>
        <v>118.91052631578948</v>
      </c>
      <c r="F43" s="74">
        <v>45617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15</v>
      </c>
      <c r="J43" s="75">
        <f t="shared" si="7"/>
        <v>0</v>
      </c>
    </row>
    <row r="44" spans="2:16" s="43" customFormat="1" ht="15.75" outlineLevel="1" thickBot="1">
      <c r="B44" s="186"/>
      <c r="C44" s="209" t="s">
        <v>275</v>
      </c>
      <c r="D44" s="104">
        <v>1828.6</v>
      </c>
      <c r="E44" s="113">
        <f>D44/$D$6</f>
        <v>240.60526315789474</v>
      </c>
      <c r="F44" s="74">
        <v>45617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15</v>
      </c>
      <c r="J44" s="75">
        <f t="shared" si="7"/>
        <v>0</v>
      </c>
    </row>
    <row r="45" spans="2:16" s="43" customFormat="1" ht="16.5" thickBot="1">
      <c r="B45" s="82"/>
      <c r="C45" s="85" t="s">
        <v>162</v>
      </c>
      <c r="D45" s="119">
        <f>SUBTOTAL(9,D46:D46)</f>
        <v>0</v>
      </c>
      <c r="E45" s="114">
        <f>SUBTOTAL(9,E46:E46)</f>
        <v>0</v>
      </c>
      <c r="K45" s="52"/>
      <c r="M45" s="183"/>
      <c r="N45" s="183"/>
    </row>
    <row r="46" spans="2:16" s="43" customFormat="1" ht="15.75" outlineLevel="1" thickBot="1">
      <c r="B46" s="46">
        <v>5445</v>
      </c>
      <c r="C46" s="47" t="s">
        <v>562</v>
      </c>
      <c r="D46" s="109">
        <f>E46*7.87</f>
        <v>0</v>
      </c>
      <c r="E46" s="115">
        <f>2039.79*0</f>
        <v>0</v>
      </c>
      <c r="F46" s="74">
        <v>45641</v>
      </c>
      <c r="G46" s="43" t="s">
        <v>143</v>
      </c>
      <c r="H46" s="43">
        <f>IF(OR(G46="Sin pagar",G46="Pagar"),NETWORKDAYS($E$4,F46,'Festivos Guatemala'!$A$3:$A$15),0)</f>
        <v>31</v>
      </c>
      <c r="I46" s="43">
        <f>NETWORKDAYS($E$4,F46,'Festivos Guatemala'!$A$3:$A$15)</f>
        <v>31</v>
      </c>
      <c r="J46" s="75">
        <f t="shared" ref="J46" si="8">H46</f>
        <v>31</v>
      </c>
      <c r="M46" s="104"/>
      <c r="N46" s="49"/>
    </row>
    <row r="47" spans="2:16" s="43" customFormat="1" ht="16.5" thickBot="1">
      <c r="B47" s="46"/>
      <c r="C47" s="73" t="s">
        <v>147</v>
      </c>
      <c r="D47" s="103">
        <f>SUBTOTAL(9,D48:D49)</f>
        <v>0</v>
      </c>
      <c r="E47" s="112">
        <f>SUBTOTAL(9,E48:E49)</f>
        <v>0</v>
      </c>
    </row>
    <row r="48" spans="2:16" s="43" customFormat="1" outlineLevel="1">
      <c r="B48" s="46"/>
      <c r="C48" s="47" t="s">
        <v>167</v>
      </c>
      <c r="D48" s="104">
        <f>(((4000000/4150)*$D$6))*0</f>
        <v>0</v>
      </c>
      <c r="E48" s="113">
        <f>D48/D6</f>
        <v>0</v>
      </c>
      <c r="F48" s="74">
        <v>45626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21</v>
      </c>
      <c r="J48" s="75">
        <f>H48</f>
        <v>0</v>
      </c>
    </row>
    <row r="49" spans="2:12" s="43" customFormat="1" ht="15.75" outlineLevel="1" thickBot="1">
      <c r="B49" s="46"/>
      <c r="C49" s="47" t="s">
        <v>182</v>
      </c>
      <c r="D49" s="104">
        <f>(((4000000/4150)*$D$6))*0</f>
        <v>0</v>
      </c>
      <c r="E49" s="113">
        <f>D49/D6</f>
        <v>0</v>
      </c>
      <c r="F49" s="74">
        <v>45626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21</v>
      </c>
      <c r="J49" s="75">
        <f>H49</f>
        <v>0</v>
      </c>
    </row>
    <row r="50" spans="2:12" s="43" customFormat="1" ht="15.75" customHeight="1" thickBot="1">
      <c r="C50" s="73" t="s">
        <v>148</v>
      </c>
      <c r="D50" s="103">
        <f>SUBTOTAL(9,D51:D51)</f>
        <v>0</v>
      </c>
      <c r="E50" s="112">
        <f>SUBTOTAL(9,E51:E51)</f>
        <v>0</v>
      </c>
    </row>
    <row r="51" spans="2:12" s="43" customFormat="1" ht="15.75" outlineLevel="1" thickBot="1">
      <c r="B51" s="46"/>
      <c r="C51" s="47" t="s">
        <v>117</v>
      </c>
      <c r="D51" s="109">
        <v>0</v>
      </c>
      <c r="E51" s="115">
        <f>D51/$D$6</f>
        <v>0</v>
      </c>
      <c r="F51" s="74">
        <v>45626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21</v>
      </c>
      <c r="J51" s="75">
        <f>H51</f>
        <v>0</v>
      </c>
    </row>
    <row r="52" spans="2:12" s="43" customFormat="1" ht="16.5" thickBot="1">
      <c r="C52" s="73" t="s">
        <v>164</v>
      </c>
      <c r="D52" s="103">
        <f>SUBTOTAL(9,D53:D63)</f>
        <v>472221.87000000005</v>
      </c>
      <c r="E52" s="112">
        <f>SUBTOTAL(9,E53:E63)</f>
        <v>62134.456578947371</v>
      </c>
      <c r="K52" s="52"/>
      <c r="L52" s="86"/>
    </row>
    <row r="53" spans="2:12" s="43" customFormat="1" outlineLevel="1">
      <c r="B53" s="83"/>
      <c r="C53" s="47" t="s">
        <v>176</v>
      </c>
      <c r="D53" s="109">
        <v>51315.77</v>
      </c>
      <c r="E53" s="115">
        <f>D53/$D$6</f>
        <v>6752.0749999999998</v>
      </c>
      <c r="F53" s="74">
        <v>45624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20</v>
      </c>
      <c r="J53" s="75">
        <f>H53</f>
        <v>0</v>
      </c>
      <c r="L53" s="52"/>
    </row>
    <row r="54" spans="2:12" s="43" customFormat="1" outlineLevel="1">
      <c r="B54" s="46"/>
      <c r="C54" s="47" t="s">
        <v>415</v>
      </c>
      <c r="D54" s="109">
        <v>50230.79</v>
      </c>
      <c r="E54" s="115">
        <f t="shared" ref="E54:E57" si="9">D54/$D$6</f>
        <v>6609.3144736842105</v>
      </c>
      <c r="F54" s="74">
        <v>45624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20</v>
      </c>
      <c r="J54" s="75">
        <f t="shared" ref="J54:J57" si="10">H54</f>
        <v>0</v>
      </c>
      <c r="K54" s="48"/>
      <c r="L54" s="48"/>
    </row>
    <row r="55" spans="2:12" s="43" customFormat="1" outlineLevel="1">
      <c r="B55" s="46"/>
      <c r="C55" s="47" t="s">
        <v>414</v>
      </c>
      <c r="D55" s="109">
        <v>114927.49</v>
      </c>
      <c r="E55" s="115">
        <f t="shared" si="9"/>
        <v>15122.038157894738</v>
      </c>
      <c r="F55" s="74">
        <v>45624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20</v>
      </c>
      <c r="J55" s="75">
        <f t="shared" si="10"/>
        <v>0</v>
      </c>
      <c r="L55" s="52"/>
    </row>
    <row r="56" spans="2:12" s="43" customFormat="1" outlineLevel="1">
      <c r="B56" s="46"/>
      <c r="C56" s="47" t="s">
        <v>416</v>
      </c>
      <c r="D56" s="109">
        <v>158204.59</v>
      </c>
      <c r="E56" s="115">
        <f t="shared" si="9"/>
        <v>20816.393421052631</v>
      </c>
      <c r="F56" s="74">
        <v>45624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20</v>
      </c>
      <c r="J56" s="75">
        <f t="shared" si="10"/>
        <v>0</v>
      </c>
      <c r="K56" s="52"/>
      <c r="L56" s="57"/>
    </row>
    <row r="57" spans="2:12" s="43" customFormat="1" ht="14.25" customHeight="1" outlineLevel="1">
      <c r="B57" s="83"/>
      <c r="C57" s="47" t="s">
        <v>412</v>
      </c>
      <c r="D57" s="109">
        <v>10125.65</v>
      </c>
      <c r="E57" s="115">
        <f t="shared" si="9"/>
        <v>1332.3223684210527</v>
      </c>
      <c r="F57" s="74">
        <v>45624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20</v>
      </c>
      <c r="J57" s="75">
        <f t="shared" si="10"/>
        <v>0</v>
      </c>
      <c r="L57" s="52"/>
    </row>
    <row r="58" spans="2:12" s="43" customFormat="1" ht="13.5" customHeight="1" outlineLevel="1">
      <c r="B58" s="46"/>
      <c r="C58" s="47" t="s">
        <v>417</v>
      </c>
      <c r="D58" s="109">
        <v>18721.13</v>
      </c>
      <c r="E58" s="115">
        <f>D58/$D$6</f>
        <v>2463.3065789473685</v>
      </c>
      <c r="F58" s="74">
        <v>45624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20</v>
      </c>
      <c r="J58" s="75">
        <f>H58</f>
        <v>0</v>
      </c>
      <c r="L58" s="52"/>
    </row>
    <row r="59" spans="2:12" s="43" customFormat="1" outlineLevel="1">
      <c r="B59" s="83"/>
      <c r="C59" s="47" t="s">
        <v>418</v>
      </c>
      <c r="D59" s="109">
        <v>45617.65</v>
      </c>
      <c r="E59" s="115">
        <f t="shared" ref="E59:E63" si="11">D59/$D$6</f>
        <v>6002.3223684210534</v>
      </c>
      <c r="F59" s="74">
        <v>45624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20</v>
      </c>
      <c r="J59" s="75">
        <f t="shared" ref="J59:J63" si="12">H59</f>
        <v>0</v>
      </c>
      <c r="L59" s="52"/>
    </row>
    <row r="60" spans="2:12" s="43" customFormat="1" outlineLevel="1">
      <c r="B60" s="83"/>
      <c r="C60" s="47" t="s">
        <v>409</v>
      </c>
      <c r="D60" s="109">
        <v>7368.16</v>
      </c>
      <c r="E60" s="115">
        <f t="shared" si="11"/>
        <v>969.49473684210534</v>
      </c>
      <c r="F60" s="74">
        <v>45624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20</v>
      </c>
      <c r="J60" s="75">
        <f t="shared" si="12"/>
        <v>0</v>
      </c>
      <c r="L60" s="52"/>
    </row>
    <row r="61" spans="2:12" s="43" customFormat="1" outlineLevel="1">
      <c r="B61" s="83"/>
      <c r="C61" s="47" t="s">
        <v>413</v>
      </c>
      <c r="D61" s="109">
        <v>5236.88</v>
      </c>
      <c r="E61" s="115">
        <f t="shared" si="11"/>
        <v>689.06315789473683</v>
      </c>
      <c r="F61" s="74">
        <v>45624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20</v>
      </c>
      <c r="J61" s="75">
        <f t="shared" si="12"/>
        <v>0</v>
      </c>
      <c r="L61" s="52"/>
    </row>
    <row r="62" spans="2:12" s="43" customFormat="1" outlineLevel="1">
      <c r="B62" s="83"/>
      <c r="C62" s="47" t="s">
        <v>410</v>
      </c>
      <c r="D62" s="109">
        <v>5236.88</v>
      </c>
      <c r="E62" s="115">
        <f t="shared" si="11"/>
        <v>689.06315789473683</v>
      </c>
      <c r="F62" s="74">
        <v>45624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20</v>
      </c>
      <c r="J62" s="75">
        <f t="shared" si="12"/>
        <v>0</v>
      </c>
      <c r="L62" s="52"/>
    </row>
    <row r="63" spans="2:12" s="43" customFormat="1" ht="15.75" outlineLevel="1" thickBot="1">
      <c r="B63" s="83"/>
      <c r="C63" s="47" t="s">
        <v>411</v>
      </c>
      <c r="D63" s="109">
        <v>5236.88</v>
      </c>
      <c r="E63" s="115">
        <f t="shared" si="11"/>
        <v>689.06315789473683</v>
      </c>
      <c r="F63" s="74">
        <v>45624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20</v>
      </c>
      <c r="J63" s="75">
        <f t="shared" si="12"/>
        <v>0</v>
      </c>
      <c r="L63" s="52"/>
    </row>
    <row r="64" spans="2:12" s="43" customFormat="1" ht="16.5" thickBot="1">
      <c r="B64" s="46"/>
      <c r="C64" s="73" t="s">
        <v>173</v>
      </c>
      <c r="D64" s="103">
        <f>SUBTOTAL(9,D65:D67)</f>
        <v>13162.894</v>
      </c>
      <c r="E64" s="112">
        <f>SUBTOTAL(9,E65:E67)</f>
        <v>1731.9597368421055</v>
      </c>
    </row>
    <row r="65" spans="1:16" s="43" customFormat="1" outlineLevel="1">
      <c r="B65" s="46"/>
      <c r="C65" s="47" t="s">
        <v>278</v>
      </c>
      <c r="D65" s="109">
        <f>E65*$D$6</f>
        <v>7756.8639999999996</v>
      </c>
      <c r="E65" s="115">
        <v>1020.64</v>
      </c>
      <c r="F65" s="74">
        <v>45624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20</v>
      </c>
      <c r="J65" s="75">
        <f t="shared" ref="J65:J66" si="13">H65</f>
        <v>0</v>
      </c>
      <c r="K65" s="52"/>
      <c r="L65" s="54"/>
    </row>
    <row r="66" spans="1:16" s="43" customFormat="1" outlineLevel="1">
      <c r="B66" s="46"/>
      <c r="C66" s="47" t="s">
        <v>280</v>
      </c>
      <c r="D66" s="109">
        <v>3906.03</v>
      </c>
      <c r="E66" s="115">
        <f>D66/$D$6</f>
        <v>513.95131578947371</v>
      </c>
      <c r="F66" s="74">
        <v>45624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20</v>
      </c>
      <c r="J66" s="75">
        <f t="shared" si="13"/>
        <v>0</v>
      </c>
      <c r="K66" s="52"/>
      <c r="L66" s="54"/>
    </row>
    <row r="67" spans="1:16" s="43" customFormat="1" ht="15.75" outlineLevel="1" thickBot="1">
      <c r="B67" s="46" t="s">
        <v>559</v>
      </c>
      <c r="C67" s="47" t="s">
        <v>506</v>
      </c>
      <c r="D67" s="109">
        <v>1500</v>
      </c>
      <c r="E67" s="115">
        <f>D67/$D$6</f>
        <v>197.36842105263159</v>
      </c>
      <c r="F67" s="74">
        <v>45608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8</v>
      </c>
      <c r="J67" s="75">
        <f>H67</f>
        <v>0</v>
      </c>
      <c r="K67" s="52"/>
      <c r="L67" s="54"/>
    </row>
    <row r="68" spans="1:16" s="43" customFormat="1" ht="16.5" thickBot="1">
      <c r="B68" s="87"/>
      <c r="C68" s="73" t="s">
        <v>149</v>
      </c>
      <c r="D68" s="103">
        <f>SUBTOTAL(9,D69:D69)</f>
        <v>0</v>
      </c>
      <c r="E68" s="112">
        <f>SUBTOTAL(9,E69:E69)</f>
        <v>0</v>
      </c>
      <c r="L68" s="52"/>
    </row>
    <row r="69" spans="1:16" s="43" customFormat="1" ht="15.75" outlineLevel="1" thickBot="1">
      <c r="B69" s="84"/>
      <c r="C69" s="47"/>
      <c r="D69" s="109"/>
      <c r="E69" s="115"/>
      <c r="F69" s="74">
        <v>45595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-3</v>
      </c>
      <c r="J69" s="75">
        <f>H69</f>
        <v>0</v>
      </c>
      <c r="L69" s="52"/>
    </row>
    <row r="70" spans="1:16" s="43" customFormat="1" ht="14.25" customHeight="1">
      <c r="B70" s="46"/>
      <c r="C70" s="88" t="s">
        <v>150</v>
      </c>
      <c r="D70" s="120">
        <f>SUBTOTAL(9,D25:D69)</f>
        <v>566314.19600000011</v>
      </c>
      <c r="E70" s="116">
        <f>SUBTOTAL(9,E25:E69)</f>
        <v>74515.025789473686</v>
      </c>
      <c r="K70" s="39"/>
      <c r="L70" s="39"/>
      <c r="N70" s="39"/>
      <c r="O70" s="39"/>
      <c r="P70" s="39"/>
    </row>
    <row r="71" spans="1:16" ht="15.75">
      <c r="A71" s="43"/>
      <c r="E71" s="117"/>
      <c r="F71" s="89"/>
      <c r="G71" s="89"/>
      <c r="H71" s="89"/>
      <c r="I71" s="89"/>
      <c r="J71" s="89"/>
    </row>
    <row r="72" spans="1:16" ht="15.75">
      <c r="A72" s="43"/>
      <c r="C72" s="90" t="s">
        <v>151</v>
      </c>
      <c r="D72" s="121">
        <f>D20-D70</f>
        <v>185560.00066418492</v>
      </c>
      <c r="E72" s="118">
        <f>E20-E70</f>
        <v>23817.689789473618</v>
      </c>
      <c r="F72" s="91"/>
      <c r="G72" s="92"/>
      <c r="J72" s="92"/>
    </row>
    <row r="73" spans="1:16" s="93" customFormat="1" ht="15.75">
      <c r="A73" s="43"/>
      <c r="B73" s="94"/>
      <c r="C73" s="90" t="s">
        <v>152</v>
      </c>
      <c r="D73" s="95">
        <f>IF($D$20=0,0,D72/$D$20)</f>
        <v>0.2467966070486961</v>
      </c>
      <c r="E73" s="95">
        <f>IF($E$20=0,0,E72/$E$20)</f>
        <v>0.24221531612590697</v>
      </c>
      <c r="F73" s="96"/>
      <c r="G73" s="92"/>
      <c r="J73" s="97"/>
      <c r="K73" s="39"/>
      <c r="L73" s="39"/>
      <c r="N73" s="39"/>
      <c r="O73" s="39"/>
      <c r="P73" s="39"/>
    </row>
    <row r="74" spans="1:16" ht="15.75" thickBot="1">
      <c r="A74" s="43"/>
      <c r="F74" s="96"/>
      <c r="G74" s="92"/>
    </row>
    <row r="75" spans="1:16" ht="15.75" thickBot="1">
      <c r="A75" s="43"/>
      <c r="C75" s="135" t="s">
        <v>184</v>
      </c>
      <c r="D75" s="136" t="s">
        <v>185</v>
      </c>
      <c r="E75" s="137" t="s">
        <v>191</v>
      </c>
      <c r="F75" s="137" t="s">
        <v>186</v>
      </c>
      <c r="G75" s="92"/>
    </row>
    <row r="76" spans="1:16">
      <c r="A76" s="43"/>
      <c r="C76" s="138">
        <v>45597</v>
      </c>
      <c r="D76" s="139">
        <v>45606</v>
      </c>
      <c r="E76" s="189">
        <f>SUMIFS($D$25:$D$73,$F$25:$F$73,"&gt;="&amp;C76,$F$25:$F$73,"&lt;="&amp;D76,$G$25:$G$73,$D$88)</f>
        <v>0</v>
      </c>
      <c r="F76" s="190">
        <f>SUMIFS($E$25:$E$73,$F$25:$F$73,"&gt;="&amp;C76,$F$25:$F$73,"&lt;="&amp;D76,$G$25:$G$73,$D$88)</f>
        <v>0</v>
      </c>
      <c r="G76" s="92" t="s">
        <v>558</v>
      </c>
    </row>
    <row r="77" spans="1:16">
      <c r="A77" s="43"/>
      <c r="C77" s="140">
        <v>45607</v>
      </c>
      <c r="D77" s="141">
        <v>45613</v>
      </c>
      <c r="E77" s="193">
        <f>SUMIFS($D$25:$D$73,$F$25:$F$73,"&gt;="&amp;C77,$F$25:$F$73,"&lt;="&amp;D77,$G$25:$G$73,$D$88)</f>
        <v>0</v>
      </c>
      <c r="F77" s="194">
        <f>SUMIFS($E$25:$E$73,$F$25:$F$73,"&gt;="&amp;C77,$F$25:$F$73,"&lt;="&amp;D77,$G$25:$G$73,$D$88)</f>
        <v>0</v>
      </c>
      <c r="G77" s="92" t="s">
        <v>578</v>
      </c>
    </row>
    <row r="78" spans="1:16">
      <c r="A78" s="43"/>
      <c r="C78" s="140">
        <v>45614</v>
      </c>
      <c r="D78" s="141">
        <v>45620</v>
      </c>
      <c r="E78" s="193">
        <f>SUMIFS($D$25:$D$73,$F$25:$F$73,"&gt;="&amp;C78,$F$25:$F$73,"&lt;="&amp;D78,$G$25:$G$73,$D$88)</f>
        <v>0</v>
      </c>
      <c r="F78" s="194">
        <f>SUMIFS($E$25:$E$73,$F$25:$F$73,"&gt;="&amp;C78,$F$25:$F$73,"&lt;="&amp;D78,$G$25:$G$73,$D$88)</f>
        <v>0</v>
      </c>
      <c r="G78" s="92" t="s">
        <v>579</v>
      </c>
    </row>
    <row r="79" spans="1:16">
      <c r="A79" s="43"/>
      <c r="C79" s="140">
        <v>45621</v>
      </c>
      <c r="D79" s="141">
        <v>45626</v>
      </c>
      <c r="E79" s="193">
        <f>SUMIFS($D$25:$D$73,$F$25:$F$73,"&gt;="&amp;C79,$F$25:$F$73,"&lt;="&amp;D79,$G$25:$G$73,$D$88)</f>
        <v>0</v>
      </c>
      <c r="F79" s="194">
        <f>SUMIFS($E$25:$E$73,$F$25:$F$73,"&gt;="&amp;C79,$F$25:$F$73,"&lt;="&amp;D79,$G$25:$G$73,$D$88)</f>
        <v>0</v>
      </c>
      <c r="G79" s="92" t="s">
        <v>557</v>
      </c>
    </row>
    <row r="80" spans="1:16" ht="15.75">
      <c r="A80" s="43"/>
      <c r="C80" s="433" t="s">
        <v>187</v>
      </c>
      <c r="D80" s="433"/>
      <c r="E80" s="148">
        <f>SUM(E76:E79)</f>
        <v>0</v>
      </c>
      <c r="F80" s="144">
        <f>SUM(F76:F79)</f>
        <v>0</v>
      </c>
      <c r="G80" s="92"/>
    </row>
    <row r="81" spans="1:7">
      <c r="A81" s="43"/>
      <c r="F81" s="96"/>
      <c r="G81" s="92"/>
    </row>
    <row r="82" spans="1:7">
      <c r="A82" s="43"/>
      <c r="F82" s="96"/>
      <c r="G82" s="92"/>
    </row>
    <row r="83" spans="1:7">
      <c r="A83" s="43"/>
      <c r="C83" s="41"/>
      <c r="D83" s="41" t="s">
        <v>380</v>
      </c>
      <c r="E83" s="166">
        <f>'Caja QTQ'!$H$305+('Caja USD'!$H$133*'Flujo caja Noviembre '!$D$6)</f>
        <v>185559.9983999992</v>
      </c>
      <c r="F83" s="153">
        <f>('Caja QTQ'!$H$305/$D$6)+'Caja USD'!$H$133</f>
        <v>24415.789263157789</v>
      </c>
      <c r="G83" s="92"/>
    </row>
    <row r="84" spans="1:7">
      <c r="A84" s="43"/>
      <c r="D84" s="200" t="s">
        <v>599</v>
      </c>
      <c r="E84" s="166">
        <f>SUM(E76:E79)</f>
        <v>0</v>
      </c>
      <c r="F84" s="153">
        <f>SUM(F76:F79)</f>
        <v>0</v>
      </c>
      <c r="G84" s="92"/>
    </row>
    <row r="85" spans="1:7">
      <c r="A85" s="43"/>
      <c r="D85" s="146" t="s">
        <v>381</v>
      </c>
      <c r="E85" s="201">
        <f>E83-E84</f>
        <v>185559.9983999992</v>
      </c>
      <c r="F85" s="145">
        <f>F83-F84</f>
        <v>24415.789263157789</v>
      </c>
      <c r="G85" s="92"/>
    </row>
    <row r="86" spans="1:7">
      <c r="A86" s="43"/>
      <c r="F86" s="96"/>
      <c r="G86" s="92"/>
    </row>
    <row r="87" spans="1:7">
      <c r="D87" s="43" t="s">
        <v>135</v>
      </c>
      <c r="E87" s="15">
        <f>SUMIFS($D$25:$D$82,$F$25:$F$82,"&gt;="&amp;C76,$F$25:$F$82,"&lt;="&amp;D79,$G$25:$G$82,$D$87)</f>
        <v>566314.19600000011</v>
      </c>
      <c r="F87" s="153">
        <f>SUMIFS($E$25:$E$82,$F$25:$F$82,"&gt;="&amp;C76,$F$25:$F$82,"&lt;="&amp;D79,$G$25:$G$82,$D$87)</f>
        <v>74515.025789473686</v>
      </c>
    </row>
    <row r="88" spans="1:7">
      <c r="D88" s="43" t="s">
        <v>143</v>
      </c>
      <c r="E88" s="15">
        <f>SUMIFS($D$25:$D$82,$F$25:$F$82,"&gt;="&amp;C76,$F$25:$F$82,"&lt;="&amp;D79,$G$25:$G$82,$D$88)</f>
        <v>0</v>
      </c>
      <c r="F88" s="153">
        <f>SUMIFS($E$25:$E$82,$F$25:$F$82,"&gt;="&amp;C76,$F$25:$F$82,"&lt;="&amp;D79,$G$25:$G$82,$D$88)</f>
        <v>0</v>
      </c>
    </row>
    <row r="89" spans="1:7">
      <c r="D89" s="146" t="s">
        <v>189</v>
      </c>
      <c r="E89" s="152">
        <f>SUM(E87:E88)</f>
        <v>566314.19600000011</v>
      </c>
      <c r="F89" s="145">
        <f>SUM(F87:F88)</f>
        <v>74515.025789473686</v>
      </c>
    </row>
    <row r="90" spans="1:7">
      <c r="D90" s="146" t="s">
        <v>190</v>
      </c>
      <c r="E90" s="152">
        <f>E89-D70</f>
        <v>0</v>
      </c>
      <c r="F90" s="145">
        <f>F89-E70</f>
        <v>0</v>
      </c>
    </row>
    <row r="92" spans="1:7" hidden="1">
      <c r="D92" s="41" t="s">
        <v>373</v>
      </c>
      <c r="E92" s="166">
        <f>D72</f>
        <v>185560.00066418492</v>
      </c>
    </row>
    <row r="93" spans="1:7" hidden="1">
      <c r="D93" s="41" t="s">
        <v>339</v>
      </c>
      <c r="E93" s="166">
        <f>'Caja QTQ'!H167+('Caja USD'!H70*7.6)</f>
        <v>190098.56839999984</v>
      </c>
    </row>
    <row r="94" spans="1:7" hidden="1">
      <c r="D94" s="41" t="s">
        <v>85</v>
      </c>
      <c r="E94" s="166">
        <f>E92-E93</f>
        <v>-4538.567735814926</v>
      </c>
      <c r="F94" s="185">
        <f>E94/7.88</f>
        <v>-575.96037256534589</v>
      </c>
    </row>
    <row r="97" spans="4:5">
      <c r="D97" s="41" t="s">
        <v>373</v>
      </c>
      <c r="E97" s="166">
        <f>D72</f>
        <v>185560.00066418492</v>
      </c>
    </row>
    <row r="98" spans="4:5">
      <c r="D98" s="41" t="s">
        <v>339</v>
      </c>
      <c r="E98" s="166">
        <f>'Caja QTQ'!$H$305+('Caja USD'!$H$148*$D$6)</f>
        <v>181608.98639999918</v>
      </c>
    </row>
    <row r="99" spans="4:5">
      <c r="D99" s="41" t="s">
        <v>444</v>
      </c>
      <c r="E99" s="166">
        <f>E98-E97</f>
        <v>-3951.0142641857383</v>
      </c>
    </row>
  </sheetData>
  <protectedRanges>
    <protectedRange sqref="F20:G20 D74:E74 C83 D48:E49 D81:E86 D10:E11" name="Presupuestos"/>
    <protectedRange sqref="D24:E24 D8:E8" name="Presupuestos_1"/>
    <protectedRange sqref="D31:E36" name="Presupuestos_13_1"/>
    <protectedRange sqref="D38:E44" name="Presupuestos_14"/>
    <protectedRange sqref="D58:E58 E53:E54 E57 D55:E56 E59:E63" name="Presupuestos_2_1_1_1"/>
    <protectedRange sqref="K54 D54 E69 D65:E67" name="Presupuestos_6_1_1_1"/>
    <protectedRange sqref="D53 D57 D59:D63" name="Presupuestos_5_2_1"/>
    <protectedRange sqref="D51:E51" name="Presupuestos_7_1"/>
    <protectedRange sqref="D69" name="Presupuestos_5_3"/>
    <protectedRange sqref="D46:E46" name="Presupuestos_13_1_1"/>
  </protectedRanges>
  <autoFilter ref="B24:J69" xr:uid="{00000000-0009-0000-0000-000002000000}"/>
  <mergeCells count="4">
    <mergeCell ref="D7:E7"/>
    <mergeCell ref="B23:C23"/>
    <mergeCell ref="D23:E23"/>
    <mergeCell ref="C80:D80"/>
  </mergeCells>
  <conditionalFormatting sqref="J26 J28:J29 J31:J36 J38:J44 J46 J51 J53:J63 J65:J67 J69">
    <cfRule type="cellIs" dxfId="200" priority="5" operator="lessThan">
      <formula>0</formula>
    </cfRule>
    <cfRule type="cellIs" dxfId="199" priority="6" operator="between">
      <formula>6</formula>
      <formula>15</formula>
    </cfRule>
    <cfRule type="cellIs" dxfId="198" priority="7" operator="between">
      <formula>1</formula>
      <formula>5</formula>
    </cfRule>
    <cfRule type="cellIs" dxfId="197" priority="8" operator="between">
      <formula>16</formula>
      <formula>60</formula>
    </cfRule>
  </conditionalFormatting>
  <conditionalFormatting sqref="J48:J49">
    <cfRule type="cellIs" dxfId="196" priority="1" operator="lessThan">
      <formula>0</formula>
    </cfRule>
    <cfRule type="cellIs" dxfId="195" priority="2" operator="between">
      <formula>6</formula>
      <formula>15</formula>
    </cfRule>
    <cfRule type="cellIs" dxfId="194" priority="3" operator="between">
      <formula>1</formula>
      <formula>5</formula>
    </cfRule>
    <cfRule type="cellIs" dxfId="193" priority="4" operator="between">
      <formula>16</formula>
      <formula>60</formula>
    </cfRule>
  </conditionalFormatting>
  <dataValidations disablePrompts="1" count="3">
    <dataValidation type="list" allowBlank="1" showInputMessage="1" showErrorMessage="1" sqref="G65:G67 G69 G25:G26 D87:D88 G51 G46 G28:G29 G38:G44 G48:G49 G31:G36 G53:G63" xr:uid="{9371605E-AE58-487D-B032-0BD0532E32A3}">
      <formula1>"Cancelado,Pagar,Sin Pagar"</formula1>
    </dataValidation>
    <dataValidation type="list" allowBlank="1" showInputMessage="1" showErrorMessage="1" sqref="D23 D7" xr:uid="{4B4DDC34-AD94-4848-BB3A-04CB7E9CB8C8}">
      <formula1>"ENERO,FEBRERO,MARZO,ABRIL,MAYO,JUNIO,JULIO,AGOSTO,SEPTIEMBRE,OCTUBRE,NOVIEMBRE,DICIEMBRE"</formula1>
    </dataValidation>
    <dataValidation type="list" allowBlank="1" showInputMessage="1" showErrorMessage="1" sqref="B13:B19" xr:uid="{D74378B4-7D3C-44C8-AFE8-E950C5F0884F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26:J29 J30:J31 J37:J45 J46:J50 J51:J65 J35:J36 J32:J34 J66 J67:J69" unlocked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0DCF-6260-48EC-BBD8-1DDEF2E8D0AB}">
  <dimension ref="A1:S104"/>
  <sheetViews>
    <sheetView showGridLines="0" topLeftCell="A60" zoomScale="90" zoomScaleNormal="90" workbookViewId="0">
      <selection activeCell="D103" sqref="D103:E105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45628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7.52</v>
      </c>
      <c r="E6" s="42"/>
      <c r="I6" s="43"/>
    </row>
    <row r="7" spans="1:9" ht="15.75">
      <c r="C7" s="99"/>
      <c r="D7" s="432" t="s">
        <v>604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209929.06439999919</v>
      </c>
      <c r="E9" s="122">
        <f>SUBTOTAL(9,E10:E11)</f>
        <v>27916.098989361595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QTQ'!H305+24525.84+67.75</f>
        <v>188823.80839999919</v>
      </c>
      <c r="E10" s="25">
        <f>D10/$D$6</f>
        <v>25109.548989361596</v>
      </c>
      <c r="F10" s="49"/>
    </row>
    <row r="11" spans="1:9" s="43" customFormat="1" outlineLevel="1">
      <c r="B11" s="46"/>
      <c r="C11" s="47" t="s">
        <v>154</v>
      </c>
      <c r="D11" s="15">
        <f>E11*D6</f>
        <v>21105.255999999994</v>
      </c>
      <c r="E11" s="25">
        <f>'Caja USD'!$H$133</f>
        <v>2806.5499999999993</v>
      </c>
      <c r="F11" s="49"/>
    </row>
    <row r="12" spans="1:9" s="43" customFormat="1" ht="15.75">
      <c r="B12" s="46"/>
      <c r="C12" s="102" t="s">
        <v>134</v>
      </c>
      <c r="D12" s="127">
        <f>SUBTOTAL(9,D13:D19)</f>
        <v>346718.73000000004</v>
      </c>
      <c r="E12" s="122">
        <f>SUBTOTAL(9,E13:E19)</f>
        <v>45567.415428194996</v>
      </c>
      <c r="F12" s="128"/>
    </row>
    <row r="13" spans="1:9" s="43" customFormat="1" outlineLevel="1">
      <c r="B13" s="218" t="s">
        <v>298</v>
      </c>
      <c r="C13" s="215" t="s">
        <v>514</v>
      </c>
      <c r="D13" s="216">
        <f>'Diferencia en cambio'!I58</f>
        <v>40957.379952033611</v>
      </c>
      <c r="E13" s="225">
        <f>$D$13/'Diferencia en cambio'!$L$58</f>
        <v>5405.328063241107</v>
      </c>
      <c r="F13" s="128"/>
      <c r="G13" s="52"/>
    </row>
    <row r="14" spans="1:9" s="43" customFormat="1" outlineLevel="1">
      <c r="A14" s="50"/>
      <c r="B14" s="218" t="s">
        <v>298</v>
      </c>
      <c r="C14" s="215" t="s">
        <v>517</v>
      </c>
      <c r="D14" s="216">
        <f>'Diferencia en cambio'!I59</f>
        <v>215164.75338521143</v>
      </c>
      <c r="E14" s="225">
        <f>D14/'Diferencia en cambio'!L59</f>
        <v>28207.32</v>
      </c>
      <c r="F14" s="128"/>
      <c r="G14" s="184"/>
    </row>
    <row r="15" spans="1:9" s="43" customFormat="1" outlineLevel="1">
      <c r="A15" s="50"/>
      <c r="B15" s="218" t="s">
        <v>298</v>
      </c>
      <c r="C15" s="215" t="s">
        <v>520</v>
      </c>
      <c r="D15" s="216">
        <f>'Diferencia en cambio'!I60</f>
        <v>7916.8472083100896</v>
      </c>
      <c r="E15" s="225">
        <f>D15/'Diferencia en cambio'!L60</f>
        <v>1037.8699999999999</v>
      </c>
      <c r="F15" s="128"/>
      <c r="G15" s="184"/>
    </row>
    <row r="16" spans="1:9" s="43" customFormat="1" outlineLevel="1">
      <c r="B16" s="218" t="s">
        <v>298</v>
      </c>
      <c r="C16" s="215" t="s">
        <v>519</v>
      </c>
      <c r="D16" s="216">
        <f>'Diferencia en cambio'!I61</f>
        <v>13366.14</v>
      </c>
      <c r="E16" s="225">
        <f>D16/'Diferencia en cambio'!L61</f>
        <v>1775.35</v>
      </c>
      <c r="F16" s="128"/>
      <c r="G16" s="52"/>
    </row>
    <row r="17" spans="2:19" s="43" customFormat="1" outlineLevel="1">
      <c r="B17" s="218" t="s">
        <v>298</v>
      </c>
      <c r="C17" s="215" t="s">
        <v>515</v>
      </c>
      <c r="D17" s="216">
        <f>'Diferencia en cambio'!I62</f>
        <v>43657.547080935467</v>
      </c>
      <c r="E17" s="225">
        <f>$D$17/'Diferencia en cambio'!$L$62</f>
        <v>5761.68115942029</v>
      </c>
      <c r="F17" s="128"/>
      <c r="G17" s="52"/>
    </row>
    <row r="18" spans="2:19" s="43" customFormat="1" outlineLevel="1">
      <c r="B18" s="218" t="s">
        <v>298</v>
      </c>
      <c r="C18" s="215" t="s">
        <v>518</v>
      </c>
      <c r="D18" s="216">
        <f>'Diferencia en cambio'!I63</f>
        <v>6922.7694064784828</v>
      </c>
      <c r="E18" s="225">
        <f>D18/'Diferencia en cambio'!L63</f>
        <v>907.55000000000007</v>
      </c>
      <c r="F18" s="128"/>
      <c r="G18" s="52"/>
    </row>
    <row r="19" spans="2:19" s="43" customFormat="1" outlineLevel="1">
      <c r="B19" s="218" t="s">
        <v>298</v>
      </c>
      <c r="C19" s="215" t="s">
        <v>516</v>
      </c>
      <c r="D19" s="216">
        <f>'Diferencia en cambio'!I64</f>
        <v>18733.292967030928</v>
      </c>
      <c r="E19" s="225">
        <f>D19/'Diferencia en cambio'!L64</f>
        <v>2472.316205533597</v>
      </c>
      <c r="F19" s="128"/>
      <c r="G19" s="52"/>
    </row>
    <row r="20" spans="2:19" s="43" customFormat="1" ht="15.75">
      <c r="B20" s="46"/>
      <c r="C20" s="55" t="s">
        <v>136</v>
      </c>
      <c r="D20" s="123">
        <f>SUBTOTAL(9,D9:D17)</f>
        <v>530991.7320264898</v>
      </c>
      <c r="E20" s="124">
        <f>SUBTOTAL(9,E9:E17)</f>
        <v>70103.648212022992</v>
      </c>
      <c r="F20" s="56"/>
      <c r="G20" s="56"/>
      <c r="J20" s="52"/>
      <c r="K20" s="57"/>
      <c r="O20" s="58"/>
      <c r="P20" s="59"/>
      <c r="Q20" s="53"/>
    </row>
    <row r="21" spans="2:19" s="43" customFormat="1" ht="15.75">
      <c r="B21" s="46"/>
      <c r="C21" s="60"/>
      <c r="D21" s="61"/>
      <c r="E21" s="61"/>
      <c r="G21" s="62"/>
      <c r="O21" s="59"/>
      <c r="P21" s="59"/>
    </row>
    <row r="22" spans="2:19" s="43" customFormat="1" ht="15.75">
      <c r="B22" s="46"/>
      <c r="N22" s="63"/>
      <c r="O22" s="64"/>
      <c r="P22" s="65"/>
    </row>
    <row r="23" spans="2:19" s="43" customFormat="1" ht="15.75">
      <c r="B23" s="432" t="s">
        <v>137</v>
      </c>
      <c r="C23" s="432"/>
      <c r="D23" s="432" t="s">
        <v>604</v>
      </c>
      <c r="E23" s="432"/>
      <c r="K23" s="65"/>
      <c r="L23" s="65"/>
      <c r="N23" s="63"/>
      <c r="R23" s="52"/>
      <c r="S23" s="52"/>
    </row>
    <row r="24" spans="2:19" s="43" customFormat="1" ht="16.5" thickBot="1">
      <c r="B24" s="67" t="s">
        <v>81</v>
      </c>
      <c r="C24" s="68" t="s">
        <v>106</v>
      </c>
      <c r="D24" s="110" t="s">
        <v>168</v>
      </c>
      <c r="E24" s="110" t="s">
        <v>169</v>
      </c>
      <c r="F24" s="69" t="s">
        <v>140</v>
      </c>
      <c r="G24" s="63" t="s">
        <v>141</v>
      </c>
      <c r="H24" s="63"/>
      <c r="I24" s="63"/>
      <c r="J24" s="70" t="s">
        <v>142</v>
      </c>
      <c r="N24" s="71"/>
      <c r="R24" s="52"/>
      <c r="S24" s="72"/>
    </row>
    <row r="25" spans="2:19" s="43" customFormat="1" ht="16.5" thickBot="1">
      <c r="B25" s="46"/>
      <c r="C25" s="73" t="s">
        <v>155</v>
      </c>
      <c r="D25" s="103">
        <f>SUBTOTAL(9,D26:D26)</f>
        <v>47179.5</v>
      </c>
      <c r="E25" s="112">
        <f>SUBTOTAL(9,E26:E26)</f>
        <v>6273.869680851064</v>
      </c>
      <c r="F25" s="74"/>
      <c r="J25" s="76"/>
    </row>
    <row r="26" spans="2:19" s="43" customFormat="1" ht="15.75" outlineLevel="1" thickBot="1">
      <c r="B26" s="77">
        <v>176206200</v>
      </c>
      <c r="C26" s="78" t="s">
        <v>605</v>
      </c>
      <c r="D26" s="109">
        <v>47179.5</v>
      </c>
      <c r="E26" s="115">
        <f>D26/D6</f>
        <v>6273.869680851064</v>
      </c>
      <c r="F26" s="80">
        <v>45638</v>
      </c>
      <c r="G26" s="43" t="s">
        <v>135</v>
      </c>
      <c r="H26" s="43">
        <f>IF(OR(G26="Sin pagar",G26="Pagar"),NETWORKDAYS($E$4,F26,'Festivos Guatemala'!$A$3:$A$15),0)</f>
        <v>0</v>
      </c>
      <c r="I26" s="43">
        <f>NETWORKDAYS($E$4,F26,'Festivos Guatemala'!$A$3:$A$15)</f>
        <v>9</v>
      </c>
      <c r="J26" s="75">
        <f>H26</f>
        <v>0</v>
      </c>
      <c r="K26" s="52"/>
      <c r="L26" s="52"/>
    </row>
    <row r="27" spans="2:19" s="43" customFormat="1" ht="16.5" thickBot="1">
      <c r="B27" s="46"/>
      <c r="C27" s="73" t="s">
        <v>144</v>
      </c>
      <c r="D27" s="103">
        <f>SUBTOTAL(9,D28:D29)</f>
        <v>15460.24</v>
      </c>
      <c r="E27" s="112">
        <f>SUBTOTAL(9,E28:E29)</f>
        <v>2055.8829787234044</v>
      </c>
      <c r="J27" s="76">
        <f t="shared" ref="J27:J36" si="0">H27</f>
        <v>0</v>
      </c>
    </row>
    <row r="28" spans="2:19" s="43" customFormat="1" outlineLevel="1">
      <c r="B28" s="168">
        <v>45073517739</v>
      </c>
      <c r="C28" s="47" t="s">
        <v>606</v>
      </c>
      <c r="D28" s="109">
        <v>13104.31</v>
      </c>
      <c r="E28" s="115">
        <f>D28/$D$6</f>
        <v>1742.5944148936171</v>
      </c>
      <c r="F28" s="80">
        <v>45638</v>
      </c>
      <c r="G28" s="43" t="s">
        <v>135</v>
      </c>
      <c r="H28" s="43">
        <f>IF(OR(G28="Sin pagar",G28="Pagar"),NETWORKDAYS($E$4,F28,'Festivos Guatemala'!$A$3:$A$15),0)</f>
        <v>0</v>
      </c>
      <c r="I28" s="43">
        <f>NETWORKDAYS($E$4,F28,'Festivos Guatemala'!$A$3:$A$15)</f>
        <v>9</v>
      </c>
      <c r="J28" s="75">
        <f>H28</f>
        <v>0</v>
      </c>
      <c r="K28" s="48"/>
      <c r="L28" s="57"/>
    </row>
    <row r="29" spans="2:19" s="43" customFormat="1" ht="15.75" outlineLevel="1" thickBot="1">
      <c r="B29" s="168">
        <v>45099700160</v>
      </c>
      <c r="C29" s="47" t="s">
        <v>607</v>
      </c>
      <c r="D29" s="109">
        <v>2355.9299999999998</v>
      </c>
      <c r="E29" s="115">
        <f>D29/$D$6</f>
        <v>313.28856382978722</v>
      </c>
      <c r="F29" s="80">
        <v>45638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9</v>
      </c>
      <c r="J29" s="75">
        <f>H29</f>
        <v>0</v>
      </c>
      <c r="K29" s="48"/>
      <c r="L29" s="57"/>
    </row>
    <row r="30" spans="2:19" s="43" customFormat="1" ht="16.5" thickBot="1">
      <c r="B30" s="46"/>
      <c r="C30" s="73" t="s">
        <v>163</v>
      </c>
      <c r="D30" s="103">
        <f>SUBTOTAL(9,D31:D36)</f>
        <v>6539</v>
      </c>
      <c r="E30" s="112">
        <f>SUBTOTAL(9,E31:E36)</f>
        <v>869.54787234042556</v>
      </c>
      <c r="J30" s="76">
        <f t="shared" si="0"/>
        <v>0</v>
      </c>
      <c r="K30" s="52"/>
      <c r="L30" s="52"/>
    </row>
    <row r="31" spans="2:19" s="43" customFormat="1" outlineLevel="1">
      <c r="B31" s="46"/>
      <c r="C31" s="47" t="s">
        <v>608</v>
      </c>
      <c r="D31" s="104">
        <v>840</v>
      </c>
      <c r="E31" s="113">
        <f t="shared" ref="E31:E36" si="1">D31/$D$6</f>
        <v>111.70212765957447</v>
      </c>
      <c r="F31" s="80">
        <v>45638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9</v>
      </c>
      <c r="J31" s="75">
        <f t="shared" si="0"/>
        <v>0</v>
      </c>
      <c r="N31" s="49"/>
    </row>
    <row r="32" spans="2:19" s="43" customFormat="1" outlineLevel="1">
      <c r="B32" s="46"/>
      <c r="C32" s="47" t="s">
        <v>619</v>
      </c>
      <c r="D32" s="104">
        <v>50</v>
      </c>
      <c r="E32" s="113">
        <f t="shared" ref="E32" si="2">D32/$D$6</f>
        <v>6.6489361702127665</v>
      </c>
      <c r="F32" s="80">
        <v>45638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9</v>
      </c>
      <c r="J32" s="75">
        <f t="shared" ref="J32" si="3">H32</f>
        <v>0</v>
      </c>
      <c r="N32" s="49"/>
    </row>
    <row r="33" spans="2:16" s="43" customFormat="1" ht="30" outlineLevel="1">
      <c r="B33" s="46">
        <v>525746761</v>
      </c>
      <c r="C33" s="47" t="s">
        <v>625</v>
      </c>
      <c r="D33" s="104">
        <f>2500+850</f>
        <v>3350</v>
      </c>
      <c r="E33" s="113">
        <f>D33/$D$6</f>
        <v>445.47872340425533</v>
      </c>
      <c r="F33" s="80">
        <v>45644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13</v>
      </c>
      <c r="J33" s="75">
        <f>H33</f>
        <v>0</v>
      </c>
      <c r="N33" s="49"/>
    </row>
    <row r="34" spans="2:16" s="43" customFormat="1" ht="30" outlineLevel="1">
      <c r="B34" s="46" t="s">
        <v>624</v>
      </c>
      <c r="C34" s="47" t="s">
        <v>583</v>
      </c>
      <c r="D34" s="104">
        <v>2299</v>
      </c>
      <c r="E34" s="113">
        <f t="shared" si="1"/>
        <v>305.718085106383</v>
      </c>
      <c r="F34" s="74">
        <v>45646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15</v>
      </c>
      <c r="J34" s="75">
        <f t="shared" si="0"/>
        <v>0</v>
      </c>
      <c r="N34" s="49"/>
    </row>
    <row r="35" spans="2:16" s="43" customFormat="1" outlineLevel="1">
      <c r="B35" s="46">
        <v>1086</v>
      </c>
      <c r="C35" s="224" t="s">
        <v>394</v>
      </c>
      <c r="D35" s="104">
        <f>1200*0</f>
        <v>0</v>
      </c>
      <c r="E35" s="113">
        <f>D35/$D$6</f>
        <v>0</v>
      </c>
      <c r="F35" s="74">
        <v>45653</v>
      </c>
      <c r="G35" s="43" t="s">
        <v>143</v>
      </c>
      <c r="H35" s="43">
        <f>IF(OR(G35="Sin pagar",G35="Pagar"),NETWORKDAYS($E$4,F35,'Festivos Guatemala'!$A$3:$A$15),0)</f>
        <v>20</v>
      </c>
      <c r="I35" s="43">
        <f>NETWORKDAYS($E$4,F35,'Festivos Guatemala'!$A$3:$A$15)</f>
        <v>20</v>
      </c>
      <c r="J35" s="75">
        <f t="shared" si="0"/>
        <v>20</v>
      </c>
      <c r="M35" s="199"/>
      <c r="N35" s="49"/>
    </row>
    <row r="36" spans="2:16" s="43" customFormat="1" ht="15.75" outlineLevel="1" thickBot="1">
      <c r="B36" s="46">
        <v>1091</v>
      </c>
      <c r="C36" s="224" t="s">
        <v>473</v>
      </c>
      <c r="D36" s="104">
        <f>1200*0</f>
        <v>0</v>
      </c>
      <c r="E36" s="113">
        <f t="shared" si="1"/>
        <v>0</v>
      </c>
      <c r="F36" s="74">
        <v>45653</v>
      </c>
      <c r="G36" s="43" t="s">
        <v>143</v>
      </c>
      <c r="H36" s="43">
        <f>IF(OR(G36="Sin pagar",G36="Pagar"),NETWORKDAYS($E$4,F36,'Festivos Guatemala'!$A$3:$A$15),0)</f>
        <v>20</v>
      </c>
      <c r="I36" s="43">
        <f>NETWORKDAYS($E$4,F36,'Festivos Guatemala'!$A$3:$A$15)</f>
        <v>20</v>
      </c>
      <c r="J36" s="75">
        <f t="shared" si="0"/>
        <v>20</v>
      </c>
      <c r="M36" s="199"/>
      <c r="N36" s="49"/>
    </row>
    <row r="37" spans="2:16" s="43" customFormat="1" ht="16.5" thickBot="1">
      <c r="C37" s="73" t="s">
        <v>146</v>
      </c>
      <c r="D37" s="103">
        <f>SUBTOTAL(9,D38:D44)</f>
        <v>8373.4524000000001</v>
      </c>
      <c r="E37" s="112">
        <f>SUBTOTAL(9,E38:E44)</f>
        <v>1113.4910106382979</v>
      </c>
      <c r="K37" s="49"/>
      <c r="L37" s="49"/>
      <c r="O37" s="49"/>
      <c r="P37" s="49"/>
    </row>
    <row r="38" spans="2:16" s="43" customFormat="1" ht="14.25" customHeight="1" outlineLevel="1">
      <c r="B38" s="186"/>
      <c r="C38" s="210" t="s">
        <v>272</v>
      </c>
      <c r="D38" s="104">
        <f>E38*$D$6</f>
        <v>414.12639999999999</v>
      </c>
      <c r="E38" s="113">
        <v>55.07</v>
      </c>
      <c r="F38" s="74">
        <v>45644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13</v>
      </c>
      <c r="J38" s="75">
        <f t="shared" ref="J38:J44" si="4">H38</f>
        <v>0</v>
      </c>
      <c r="K38" s="49"/>
      <c r="L38" s="49"/>
      <c r="O38" s="49"/>
      <c r="P38" s="49"/>
    </row>
    <row r="39" spans="2:16" s="43" customFormat="1" outlineLevel="1">
      <c r="B39" s="186"/>
      <c r="C39" s="210" t="s">
        <v>273</v>
      </c>
      <c r="D39" s="104">
        <f>E39*$D$6</f>
        <v>1951.2144000000001</v>
      </c>
      <c r="E39" s="113">
        <v>259.47000000000003</v>
      </c>
      <c r="F39" s="74">
        <v>45644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13</v>
      </c>
      <c r="J39" s="75">
        <f t="shared" si="4"/>
        <v>0</v>
      </c>
    </row>
    <row r="40" spans="2:16" s="43" customFormat="1" outlineLevel="1">
      <c r="B40" s="186"/>
      <c r="C40" s="210" t="s">
        <v>274</v>
      </c>
      <c r="D40" s="104">
        <f>E40*$D$6</f>
        <v>1544.0816</v>
      </c>
      <c r="E40" s="113">
        <v>205.33</v>
      </c>
      <c r="F40" s="74">
        <v>45644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13</v>
      </c>
      <c r="J40" s="75">
        <f t="shared" si="4"/>
        <v>0</v>
      </c>
    </row>
    <row r="41" spans="2:16" s="43" customFormat="1" ht="14.25" customHeight="1" outlineLevel="1">
      <c r="B41" s="186"/>
      <c r="C41" s="209" t="s">
        <v>496</v>
      </c>
      <c r="D41" s="109">
        <v>843.56</v>
      </c>
      <c r="E41" s="113">
        <f>D41/$D$6</f>
        <v>112.17553191489361</v>
      </c>
      <c r="F41" s="74">
        <v>45644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13</v>
      </c>
      <c r="J41" s="75">
        <f>H41</f>
        <v>0</v>
      </c>
      <c r="K41" s="49"/>
      <c r="L41" s="49"/>
      <c r="O41" s="49"/>
      <c r="P41" s="49"/>
    </row>
    <row r="42" spans="2:16" s="43" customFormat="1" ht="14.25" customHeight="1" outlineLevel="1">
      <c r="B42" s="186"/>
      <c r="C42" s="209" t="s">
        <v>277</v>
      </c>
      <c r="D42" s="109">
        <v>888.15</v>
      </c>
      <c r="E42" s="113">
        <f>D42/$D$6</f>
        <v>118.10505319148936</v>
      </c>
      <c r="F42" s="74">
        <v>45644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13</v>
      </c>
      <c r="J42" s="75">
        <f t="shared" si="4"/>
        <v>0</v>
      </c>
      <c r="K42" s="49"/>
      <c r="L42" s="49"/>
      <c r="O42" s="49"/>
      <c r="P42" s="49"/>
    </row>
    <row r="43" spans="2:16" s="43" customFormat="1" outlineLevel="1">
      <c r="B43" s="186"/>
      <c r="C43" s="209" t="s">
        <v>276</v>
      </c>
      <c r="D43" s="109">
        <v>903.72</v>
      </c>
      <c r="E43" s="113">
        <f>D43/$D$6</f>
        <v>120.17553191489363</v>
      </c>
      <c r="F43" s="74">
        <v>45644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13</v>
      </c>
      <c r="J43" s="75">
        <f t="shared" si="4"/>
        <v>0</v>
      </c>
    </row>
    <row r="44" spans="2:16" s="43" customFormat="1" ht="15.75" outlineLevel="1" thickBot="1">
      <c r="B44" s="186"/>
      <c r="C44" s="209" t="s">
        <v>275</v>
      </c>
      <c r="D44" s="109">
        <v>1828.6</v>
      </c>
      <c r="E44" s="113">
        <f>D44/$D$6</f>
        <v>243.16489361702128</v>
      </c>
      <c r="F44" s="74">
        <v>45644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13</v>
      </c>
      <c r="J44" s="75">
        <f t="shared" si="4"/>
        <v>0</v>
      </c>
    </row>
    <row r="45" spans="2:16" s="43" customFormat="1" ht="16.5" thickBot="1">
      <c r="B45" s="82"/>
      <c r="C45" s="85" t="s">
        <v>162</v>
      </c>
      <c r="D45" s="119">
        <f>SUBTOTAL(9,D46:D47)</f>
        <v>24935.944</v>
      </c>
      <c r="E45" s="114">
        <f>SUBTOTAL(9,E46:E47)</f>
        <v>3315.95</v>
      </c>
      <c r="K45" s="52"/>
      <c r="M45" s="183"/>
      <c r="N45" s="183"/>
    </row>
    <row r="46" spans="2:16" s="43" customFormat="1" outlineLevel="1">
      <c r="B46" s="46">
        <v>5445</v>
      </c>
      <c r="C46" s="47" t="s">
        <v>562</v>
      </c>
      <c r="D46" s="109">
        <f>E46*D6</f>
        <v>15339.220799999999</v>
      </c>
      <c r="E46" s="115">
        <f>2039.79</f>
        <v>2039.79</v>
      </c>
      <c r="F46" s="74">
        <v>45652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19</v>
      </c>
      <c r="J46" s="75">
        <f t="shared" ref="J46" si="5">H46</f>
        <v>0</v>
      </c>
      <c r="M46" s="104"/>
      <c r="N46" s="49"/>
    </row>
    <row r="47" spans="2:16" s="43" customFormat="1" ht="15.75" outlineLevel="1" thickBot="1">
      <c r="B47" s="46">
        <v>5530</v>
      </c>
      <c r="C47" s="47" t="s">
        <v>620</v>
      </c>
      <c r="D47" s="109">
        <f>E47*D6</f>
        <v>9596.7232000000004</v>
      </c>
      <c r="E47" s="115">
        <v>1276.1600000000001</v>
      </c>
      <c r="F47" s="74">
        <v>45652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19</v>
      </c>
      <c r="J47" s="75">
        <f t="shared" ref="J47" si="6">H47</f>
        <v>0</v>
      </c>
      <c r="M47" s="104"/>
      <c r="N47" s="49"/>
    </row>
    <row r="48" spans="2:16" s="43" customFormat="1" ht="16.5" thickBot="1">
      <c r="B48" s="46"/>
      <c r="C48" s="73" t="s">
        <v>147</v>
      </c>
      <c r="D48" s="103">
        <f>SUBTOTAL(9,D49:D49)</f>
        <v>0</v>
      </c>
      <c r="E48" s="112">
        <f>SUBTOTAL(9,E49:E49)</f>
        <v>0</v>
      </c>
    </row>
    <row r="49" spans="2:12" s="43" customFormat="1" ht="15.75" outlineLevel="1" thickBot="1">
      <c r="B49" s="46"/>
      <c r="C49" s="47"/>
      <c r="D49" s="104"/>
      <c r="E49" s="113"/>
      <c r="F49" s="74">
        <v>45656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21</v>
      </c>
      <c r="J49" s="75">
        <f>H49</f>
        <v>0</v>
      </c>
    </row>
    <row r="50" spans="2:12" s="43" customFormat="1" ht="15.75" customHeight="1" thickBot="1">
      <c r="C50" s="73" t="s">
        <v>148</v>
      </c>
      <c r="D50" s="103">
        <f>SUBTOTAL(9,D51:D51)</f>
        <v>300.77999999999997</v>
      </c>
      <c r="E50" s="112">
        <f>SUBTOTAL(9,E51:E51)</f>
        <v>39.997340425531917</v>
      </c>
    </row>
    <row r="51" spans="2:12" s="43" customFormat="1" outlineLevel="1">
      <c r="B51" s="46"/>
      <c r="C51" s="47" t="s">
        <v>436</v>
      </c>
      <c r="D51" s="109">
        <v>300.77999999999997</v>
      </c>
      <c r="E51" s="115">
        <f>D51/$D$6</f>
        <v>39.997340425531917</v>
      </c>
      <c r="F51" s="74">
        <v>45652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19</v>
      </c>
      <c r="J51" s="75">
        <f>H51</f>
        <v>0</v>
      </c>
    </row>
    <row r="52" spans="2:12" s="43" customFormat="1" ht="15.75" outlineLevel="1" thickBot="1">
      <c r="B52" s="46"/>
      <c r="C52" s="47" t="s">
        <v>117</v>
      </c>
      <c r="D52" s="109">
        <f>15*3</f>
        <v>45</v>
      </c>
      <c r="E52" s="115">
        <f>D52/$D$6</f>
        <v>5.9840425531914896</v>
      </c>
      <c r="F52" s="74">
        <v>45652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19</v>
      </c>
      <c r="J52" s="75">
        <f>H52</f>
        <v>0</v>
      </c>
    </row>
    <row r="53" spans="2:12" s="43" customFormat="1" ht="16.5" thickBot="1">
      <c r="C53" s="73" t="s">
        <v>164</v>
      </c>
      <c r="D53" s="103">
        <f>SUBTOTAL(9,D54:D64)</f>
        <v>247788.01999999996</v>
      </c>
      <c r="E53" s="112">
        <f>SUBTOTAL(9,E54:E64)</f>
        <v>32950.534574468089</v>
      </c>
      <c r="K53" s="52"/>
      <c r="L53" s="86"/>
    </row>
    <row r="54" spans="2:12" s="43" customFormat="1" outlineLevel="1">
      <c r="B54" s="83"/>
      <c r="C54" s="47" t="s">
        <v>176</v>
      </c>
      <c r="D54" s="109">
        <v>28242.02</v>
      </c>
      <c r="E54" s="115">
        <f>D54/$D$6</f>
        <v>3755.5877659574471</v>
      </c>
      <c r="F54" s="74">
        <v>45653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20</v>
      </c>
      <c r="J54" s="75">
        <f>H54</f>
        <v>0</v>
      </c>
      <c r="L54" s="52"/>
    </row>
    <row r="55" spans="2:12" s="43" customFormat="1" outlineLevel="1">
      <c r="B55" s="46"/>
      <c r="C55" s="47" t="s">
        <v>415</v>
      </c>
      <c r="D55" s="109">
        <v>24970.21</v>
      </c>
      <c r="E55" s="115">
        <f t="shared" ref="E55:E58" si="7">D55/$D$6</f>
        <v>3320.5066489361702</v>
      </c>
      <c r="F55" s="74">
        <v>45653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20</v>
      </c>
      <c r="J55" s="75">
        <f t="shared" ref="J55:J58" si="8">H55</f>
        <v>0</v>
      </c>
      <c r="K55" s="48"/>
      <c r="L55" s="48"/>
    </row>
    <row r="56" spans="2:12" s="43" customFormat="1" outlineLevel="1">
      <c r="B56" s="46"/>
      <c r="C56" s="47" t="s">
        <v>414</v>
      </c>
      <c r="D56" s="109">
        <v>53704.34</v>
      </c>
      <c r="E56" s="115">
        <f t="shared" si="7"/>
        <v>7141.5345744680853</v>
      </c>
      <c r="F56" s="74">
        <v>45653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20</v>
      </c>
      <c r="J56" s="75">
        <f t="shared" si="8"/>
        <v>0</v>
      </c>
      <c r="L56" s="52"/>
    </row>
    <row r="57" spans="2:12" s="43" customFormat="1" outlineLevel="1">
      <c r="B57" s="46"/>
      <c r="C57" s="47" t="s">
        <v>416</v>
      </c>
      <c r="D57" s="109">
        <v>77129.259999999995</v>
      </c>
      <c r="E57" s="115">
        <f t="shared" si="7"/>
        <v>10256.550531914894</v>
      </c>
      <c r="F57" s="74">
        <v>45653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20</v>
      </c>
      <c r="J57" s="75">
        <f t="shared" si="8"/>
        <v>0</v>
      </c>
      <c r="K57" s="52"/>
      <c r="L57" s="57"/>
    </row>
    <row r="58" spans="2:12" s="43" customFormat="1" ht="14.25" customHeight="1" outlineLevel="1">
      <c r="B58" s="83"/>
      <c r="C58" s="47" t="s">
        <v>412</v>
      </c>
      <c r="D58" s="109">
        <v>6332.91</v>
      </c>
      <c r="E58" s="115">
        <f t="shared" si="7"/>
        <v>842.14228723404256</v>
      </c>
      <c r="F58" s="74">
        <v>45653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20</v>
      </c>
      <c r="J58" s="75">
        <f t="shared" si="8"/>
        <v>0</v>
      </c>
      <c r="L58" s="52"/>
    </row>
    <row r="59" spans="2:12" s="43" customFormat="1" ht="13.5" customHeight="1" outlineLevel="1">
      <c r="B59" s="46"/>
      <c r="C59" s="47" t="s">
        <v>417</v>
      </c>
      <c r="D59" s="109">
        <v>10562.83</v>
      </c>
      <c r="E59" s="115">
        <f>D59/$D$6</f>
        <v>1404.6316489361702</v>
      </c>
      <c r="F59" s="74">
        <v>45653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20</v>
      </c>
      <c r="J59" s="75">
        <f>H59</f>
        <v>0</v>
      </c>
      <c r="L59" s="52"/>
    </row>
    <row r="60" spans="2:12" s="43" customFormat="1" outlineLevel="1">
      <c r="B60" s="83"/>
      <c r="C60" s="47" t="s">
        <v>418</v>
      </c>
      <c r="D60" s="109">
        <v>29515.66</v>
      </c>
      <c r="E60" s="115">
        <f t="shared" ref="E60:E64" si="9">D60/$D$6</f>
        <v>3924.9547872340427</v>
      </c>
      <c r="F60" s="74">
        <v>45653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20</v>
      </c>
      <c r="J60" s="75">
        <f t="shared" ref="J60:J64" si="10">H60</f>
        <v>0</v>
      </c>
      <c r="L60" s="52"/>
    </row>
    <row r="61" spans="2:12" s="43" customFormat="1" outlineLevel="1">
      <c r="B61" s="83"/>
      <c r="C61" s="47" t="s">
        <v>409</v>
      </c>
      <c r="D61" s="109">
        <v>5501.16</v>
      </c>
      <c r="E61" s="115">
        <f t="shared" si="9"/>
        <v>731.53723404255322</v>
      </c>
      <c r="F61" s="74">
        <v>45653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20</v>
      </c>
      <c r="J61" s="75">
        <f t="shared" si="10"/>
        <v>0</v>
      </c>
      <c r="L61" s="52"/>
    </row>
    <row r="62" spans="2:12" s="43" customFormat="1" outlineLevel="1">
      <c r="B62" s="83"/>
      <c r="C62" s="47" t="s">
        <v>413</v>
      </c>
      <c r="D62" s="109">
        <v>3943.21</v>
      </c>
      <c r="E62" s="115">
        <f t="shared" si="9"/>
        <v>524.36303191489367</v>
      </c>
      <c r="F62" s="74">
        <v>45653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20</v>
      </c>
      <c r="J62" s="75">
        <f t="shared" si="10"/>
        <v>0</v>
      </c>
      <c r="L62" s="52"/>
    </row>
    <row r="63" spans="2:12" s="43" customFormat="1" outlineLevel="1">
      <c r="B63" s="83"/>
      <c r="C63" s="47" t="s">
        <v>410</v>
      </c>
      <c r="D63" s="109">
        <v>3943.21</v>
      </c>
      <c r="E63" s="115">
        <f t="shared" si="9"/>
        <v>524.36303191489367</v>
      </c>
      <c r="F63" s="74">
        <v>45653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20</v>
      </c>
      <c r="J63" s="75">
        <f t="shared" si="10"/>
        <v>0</v>
      </c>
      <c r="L63" s="52"/>
    </row>
    <row r="64" spans="2:12" s="43" customFormat="1" ht="15.75" outlineLevel="1" thickBot="1">
      <c r="B64" s="83"/>
      <c r="C64" s="47" t="s">
        <v>411</v>
      </c>
      <c r="D64" s="109">
        <v>3943.21</v>
      </c>
      <c r="E64" s="115">
        <f t="shared" si="9"/>
        <v>524.36303191489367</v>
      </c>
      <c r="F64" s="74">
        <v>45653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20</v>
      </c>
      <c r="J64" s="75">
        <f t="shared" si="10"/>
        <v>0</v>
      </c>
      <c r="L64" s="52"/>
    </row>
    <row r="65" spans="1:16" s="43" customFormat="1" ht="16.5" thickBot="1">
      <c r="B65" s="46"/>
      <c r="C65" s="73" t="s">
        <v>173</v>
      </c>
      <c r="D65" s="103">
        <f>SUBTOTAL(9,D66:D68)</f>
        <v>1500</v>
      </c>
      <c r="E65" s="112">
        <f>SUBTOTAL(9,E66:E68)</f>
        <v>199.468085106383</v>
      </c>
    </row>
    <row r="66" spans="1:16" s="43" customFormat="1" outlineLevel="1">
      <c r="B66" s="46"/>
      <c r="C66" s="47" t="s">
        <v>278</v>
      </c>
      <c r="D66" s="109">
        <f>E66*$D$6*0</f>
        <v>0</v>
      </c>
      <c r="E66" s="115">
        <f>1020.64*0</f>
        <v>0</v>
      </c>
      <c r="F66" s="74">
        <v>45656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21</v>
      </c>
      <c r="J66" s="75">
        <f t="shared" ref="J66:J67" si="11">H66</f>
        <v>0</v>
      </c>
      <c r="K66" s="52"/>
      <c r="L66" s="54"/>
    </row>
    <row r="67" spans="1:16" s="43" customFormat="1" outlineLevel="1">
      <c r="B67" s="46"/>
      <c r="C67" s="47" t="s">
        <v>280</v>
      </c>
      <c r="D67" s="109">
        <f>3906.03*0</f>
        <v>0</v>
      </c>
      <c r="E67" s="115">
        <f>D67/$D$6</f>
        <v>0</v>
      </c>
      <c r="F67" s="74">
        <v>45656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21</v>
      </c>
      <c r="J67" s="75">
        <f t="shared" si="11"/>
        <v>0</v>
      </c>
      <c r="K67" s="52"/>
      <c r="L67" s="54"/>
    </row>
    <row r="68" spans="1:16" s="43" customFormat="1" ht="15.75" outlineLevel="1" thickBot="1">
      <c r="B68" s="46">
        <v>1941783117</v>
      </c>
      <c r="C68" s="47" t="s">
        <v>621</v>
      </c>
      <c r="D68" s="109">
        <v>1500</v>
      </c>
      <c r="E68" s="115">
        <f>D68/$D$6</f>
        <v>199.468085106383</v>
      </c>
      <c r="F68" s="74">
        <v>45638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9</v>
      </c>
      <c r="J68" s="75">
        <f>H68</f>
        <v>0</v>
      </c>
      <c r="K68" s="52"/>
      <c r="L68" s="54"/>
    </row>
    <row r="69" spans="1:16" s="43" customFormat="1" ht="16.5" thickBot="1">
      <c r="B69" s="87"/>
      <c r="C69" s="73" t="s">
        <v>149</v>
      </c>
      <c r="D69" s="103">
        <f>SUBTOTAL(9,D70:D70)</f>
        <v>0</v>
      </c>
      <c r="E69" s="112">
        <f>SUBTOTAL(9,E70:E70)</f>
        <v>0</v>
      </c>
      <c r="L69" s="52"/>
    </row>
    <row r="70" spans="1:16" s="43" customFormat="1" ht="15.75" outlineLevel="1" thickBot="1">
      <c r="B70" s="84"/>
      <c r="C70" s="47"/>
      <c r="D70" s="109"/>
      <c r="E70" s="115"/>
      <c r="F70" s="74">
        <v>45657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22</v>
      </c>
      <c r="J70" s="75">
        <f>H70</f>
        <v>0</v>
      </c>
      <c r="L70" s="52"/>
    </row>
    <row r="71" spans="1:16" s="43" customFormat="1" ht="14.25" customHeight="1">
      <c r="B71" s="46"/>
      <c r="C71" s="88" t="s">
        <v>150</v>
      </c>
      <c r="D71" s="120">
        <f>SUBTOTAL(9,D25:D70)</f>
        <v>352121.93639999995</v>
      </c>
      <c r="E71" s="116">
        <f>SUBTOTAL(9,E25:E70)</f>
        <v>46824.725585106382</v>
      </c>
      <c r="K71" s="39"/>
      <c r="L71" s="39"/>
      <c r="N71" s="39"/>
      <c r="O71" s="39"/>
      <c r="P71" s="39"/>
    </row>
    <row r="72" spans="1:16" ht="15.75">
      <c r="A72" s="43"/>
      <c r="E72" s="117"/>
      <c r="F72" s="89"/>
      <c r="G72" s="89"/>
      <c r="H72" s="89"/>
      <c r="I72" s="89"/>
      <c r="J72" s="89"/>
    </row>
    <row r="73" spans="1:16" ht="15.75">
      <c r="A73" s="43"/>
      <c r="C73" s="90" t="s">
        <v>151</v>
      </c>
      <c r="D73" s="121">
        <f>D20-D71</f>
        <v>178869.79562648985</v>
      </c>
      <c r="E73" s="118">
        <f>E20-E71</f>
        <v>23278.92262691661</v>
      </c>
      <c r="F73" s="91"/>
      <c r="G73" s="92"/>
      <c r="J73" s="92"/>
    </row>
    <row r="74" spans="1:16" s="93" customFormat="1" ht="15.75">
      <c r="A74" s="43"/>
      <c r="B74" s="94"/>
      <c r="C74" s="90" t="s">
        <v>152</v>
      </c>
      <c r="D74" s="95">
        <f>IF($D$20=0,0,D73/$D$20)</f>
        <v>0.33685985080002434</v>
      </c>
      <c r="E74" s="95">
        <f>IF($E$20=0,0,E73/$E$20)</f>
        <v>0.33206435357702546</v>
      </c>
      <c r="F74" s="96"/>
      <c r="G74" s="92"/>
      <c r="J74" s="97"/>
      <c r="K74" s="39"/>
      <c r="L74" s="39"/>
      <c r="N74" s="39"/>
      <c r="O74" s="39"/>
      <c r="P74" s="39"/>
    </row>
    <row r="75" spans="1:16" ht="15.75" thickBot="1">
      <c r="A75" s="43"/>
      <c r="F75" s="96"/>
      <c r="G75" s="92"/>
    </row>
    <row r="76" spans="1:16" ht="15.75" thickBot="1">
      <c r="A76" s="43"/>
      <c r="C76" s="135" t="s">
        <v>184</v>
      </c>
      <c r="D76" s="136" t="s">
        <v>185</v>
      </c>
      <c r="E76" s="137" t="s">
        <v>191</v>
      </c>
      <c r="F76" s="137" t="s">
        <v>186</v>
      </c>
      <c r="G76" s="92"/>
    </row>
    <row r="77" spans="1:16">
      <c r="A77" s="43"/>
      <c r="C77" s="138">
        <v>45627</v>
      </c>
      <c r="D77" s="139">
        <v>45634</v>
      </c>
      <c r="E77" s="149">
        <f>SUMIFS($D$25:$D$74,$F$25:$F$74,"&gt;="&amp;C77,$F$25:$F$74,"&lt;="&amp;D77,$G$25:$G$74,$D$90)</f>
        <v>0</v>
      </c>
      <c r="F77" s="154">
        <f>SUMIFS($E$25:$E$74,$F$25:$F$74,"&gt;="&amp;C77,$F$25:$F$74,"&lt;="&amp;D77,$G$25:$G$74,$D$90)</f>
        <v>0</v>
      </c>
      <c r="G77" s="92" t="s">
        <v>558</v>
      </c>
    </row>
    <row r="78" spans="1:16">
      <c r="A78" s="43"/>
      <c r="C78" s="140">
        <v>45635</v>
      </c>
      <c r="D78" s="141">
        <v>45641</v>
      </c>
      <c r="E78" s="150">
        <f>SUMIFS($D$25:$D$74,$F$25:$F$74,"&gt;="&amp;C78,$F$25:$F$74,"&lt;="&amp;D78,$G$25:$G$74,$D$90)</f>
        <v>0</v>
      </c>
      <c r="F78" s="155">
        <f>SUMIFS($E$25:$E$74,$F$25:$F$74,"&gt;="&amp;C78,$F$25:$F$74,"&lt;="&amp;D78,$G$25:$G$74,$D$90)</f>
        <v>0</v>
      </c>
      <c r="G78" s="92" t="s">
        <v>611</v>
      </c>
    </row>
    <row r="79" spans="1:16">
      <c r="A79" s="43"/>
      <c r="C79" s="140">
        <v>45642</v>
      </c>
      <c r="D79" s="141">
        <v>45648</v>
      </c>
      <c r="E79" s="150">
        <f>SUMIFS($D$25:$D$74,$F$25:$F$74,"&gt;="&amp;C79,$F$25:$F$74,"&lt;="&amp;D79,$G$25:$G$74,$D$90)</f>
        <v>0</v>
      </c>
      <c r="F79" s="155">
        <f>SUMIFS($E$25:$E$74,$F$25:$F$74,"&gt;="&amp;C79,$F$25:$F$74,"&lt;="&amp;D79,$G$25:$G$74,$D$90)</f>
        <v>0</v>
      </c>
      <c r="G79" s="92" t="s">
        <v>609</v>
      </c>
    </row>
    <row r="80" spans="1:16">
      <c r="A80" s="43"/>
      <c r="C80" s="140">
        <v>45649</v>
      </c>
      <c r="D80" s="141">
        <v>45653</v>
      </c>
      <c r="E80" s="150">
        <f>SUMIFS($D$25:$D$74,$F$25:$F$74,"&gt;="&amp;C80,$F$25:$F$74,"&lt;="&amp;D80,$G$25:$G$74,$D$90)</f>
        <v>0</v>
      </c>
      <c r="F80" s="155">
        <f>SUMIFS($E$25:$E$74,$F$25:$F$74,"&gt;="&amp;C80,$F$25:$F$74,"&lt;="&amp;D80,$G$25:$G$74,$D$90)</f>
        <v>0</v>
      </c>
      <c r="G80" s="92" t="s">
        <v>557</v>
      </c>
    </row>
    <row r="81" spans="1:7" ht="15.75" thickBot="1">
      <c r="A81" s="43"/>
      <c r="C81" s="142">
        <v>45656</v>
      </c>
      <c r="D81" s="223">
        <v>45657</v>
      </c>
      <c r="E81" s="150">
        <f>SUMIFS($D$25:$D$74,$F$25:$F$74,"&gt;="&amp;C81,$F$25:$F$74,"&lt;="&amp;D81,$G$25:$G$74,$D$90)</f>
        <v>0</v>
      </c>
      <c r="F81" s="155">
        <f>SUMIFS($E$25:$E$74,$F$25:$F$74,"&gt;="&amp;C81,$F$25:$F$74,"&lt;="&amp;D81,$G$25:$G$74,$D$90)</f>
        <v>0</v>
      </c>
      <c r="G81" s="92" t="s">
        <v>610</v>
      </c>
    </row>
    <row r="82" spans="1:7" ht="15.75">
      <c r="A82" s="43"/>
      <c r="C82" s="433" t="s">
        <v>187</v>
      </c>
      <c r="D82" s="433"/>
      <c r="E82" s="148">
        <f>SUM(E77:E81)</f>
        <v>0</v>
      </c>
      <c r="F82" s="144">
        <f>SUM(F77:F81)</f>
        <v>0</v>
      </c>
      <c r="G82" s="92"/>
    </row>
    <row r="83" spans="1:7">
      <c r="A83" s="43"/>
      <c r="F83" s="96"/>
      <c r="G83" s="92"/>
    </row>
    <row r="84" spans="1:7">
      <c r="A84" s="43"/>
      <c r="F84" s="96"/>
      <c r="G84" s="92"/>
    </row>
    <row r="85" spans="1:7">
      <c r="A85" s="43"/>
      <c r="C85" s="41"/>
      <c r="D85" s="41" t="s">
        <v>380</v>
      </c>
      <c r="E85" s="166">
        <f>'Caja QTQ'!H345+('Caja USD'!$H$148*$D$6)</f>
        <v>178869.79449999929</v>
      </c>
      <c r="F85" s="153">
        <f>('Caja QTQ'!$H$345/$D$6)+'Caja USD'!$H$148</f>
        <v>23785.876928191399</v>
      </c>
      <c r="G85" s="92"/>
    </row>
    <row r="86" spans="1:7">
      <c r="A86" s="43"/>
      <c r="D86" s="200" t="s">
        <v>630</v>
      </c>
      <c r="E86" s="166">
        <f>SUM(E77:E81)</f>
        <v>0</v>
      </c>
      <c r="F86" s="153">
        <f>SUM(F77:F81)</f>
        <v>0</v>
      </c>
      <c r="G86" s="92"/>
    </row>
    <row r="87" spans="1:7">
      <c r="A87" s="43"/>
      <c r="D87" s="146" t="s">
        <v>381</v>
      </c>
      <c r="E87" s="201">
        <f>E85-E86</f>
        <v>178869.79449999929</v>
      </c>
      <c r="F87" s="145">
        <f>F85-F86</f>
        <v>23785.876928191399</v>
      </c>
      <c r="G87" s="92"/>
    </row>
    <row r="88" spans="1:7">
      <c r="A88" s="43"/>
      <c r="F88" s="96"/>
      <c r="G88" s="92"/>
    </row>
    <row r="89" spans="1:7">
      <c r="D89" s="43" t="s">
        <v>135</v>
      </c>
      <c r="E89" s="15">
        <f>SUMIFS($D$25:$D$84,$F$25:$F$84,"&gt;="&amp;C77,$F$25:$F$84,"&lt;="&amp;D81,$G$25:$G$84,$D$89)</f>
        <v>352121.93639999995</v>
      </c>
      <c r="F89" s="153">
        <f>SUMIFS($E$25:$E$84,$F$25:$F$84,"&gt;="&amp;C77,$F$25:$F$84,"&lt;="&amp;D81,$G$25:$G$84,$D$89)</f>
        <v>46824.725585106382</v>
      </c>
    </row>
    <row r="90" spans="1:7">
      <c r="D90" s="43" t="s">
        <v>143</v>
      </c>
      <c r="E90" s="15">
        <f>SUMIFS($D$25:$D$84,$F$25:$F$84,"&gt;="&amp;C77,$F$25:$F$84,"&lt;="&amp;D81,$G$25:$G$84,$D$90)</f>
        <v>0</v>
      </c>
      <c r="F90" s="153">
        <f>SUMIFS($E$25:$E$84,$F$25:$F$84,"&gt;="&amp;C77,$F$25:$F$84,"&lt;="&amp;D81,$G$25:$G$84,$D$90)</f>
        <v>0</v>
      </c>
    </row>
    <row r="91" spans="1:7">
      <c r="D91" s="146" t="s">
        <v>189</v>
      </c>
      <c r="E91" s="152">
        <f>SUM(E89:E90)</f>
        <v>352121.93639999995</v>
      </c>
      <c r="F91" s="145">
        <f>SUM(F89:F90)</f>
        <v>46824.725585106382</v>
      </c>
    </row>
    <row r="92" spans="1:7">
      <c r="D92" s="146" t="s">
        <v>190</v>
      </c>
      <c r="E92" s="152">
        <f>E91-D71</f>
        <v>0</v>
      </c>
      <c r="F92" s="145">
        <f>F91-E71</f>
        <v>0</v>
      </c>
    </row>
    <row r="94" spans="1:7" hidden="1">
      <c r="D94" s="41" t="s">
        <v>373</v>
      </c>
      <c r="E94" s="166">
        <f>D73</f>
        <v>178869.79562648985</v>
      </c>
    </row>
    <row r="95" spans="1:7" hidden="1">
      <c r="D95" s="41" t="s">
        <v>339</v>
      </c>
      <c r="E95" s="166">
        <f>'Caja QTQ'!H167+('Caja USD'!H70*7.6)</f>
        <v>190098.56839999984</v>
      </c>
    </row>
    <row r="96" spans="1:7" hidden="1">
      <c r="D96" s="41" t="s">
        <v>85</v>
      </c>
      <c r="E96" s="166">
        <f>E94-E95</f>
        <v>-11228.772773509991</v>
      </c>
      <c r="F96" s="185">
        <f>E96/7.88</f>
        <v>-1424.9711641510141</v>
      </c>
    </row>
    <row r="98" spans="4:6">
      <c r="D98" s="41" t="s">
        <v>373</v>
      </c>
      <c r="E98" s="166">
        <f>D73</f>
        <v>178869.79562648985</v>
      </c>
    </row>
    <row r="99" spans="4:6">
      <c r="D99" s="41" t="s">
        <v>339</v>
      </c>
      <c r="E99" s="166">
        <f>('Caja USD'!$H$148*$D$6)+'Caja QTQ'!$H$345</f>
        <v>178869.79449999929</v>
      </c>
    </row>
    <row r="100" spans="4:6">
      <c r="D100" s="41" t="s">
        <v>444</v>
      </c>
      <c r="E100" s="166"/>
      <c r="F100" s="185"/>
    </row>
    <row r="103" spans="4:6">
      <c r="F103" s="167"/>
    </row>
    <row r="104" spans="4:6">
      <c r="F104" s="167"/>
    </row>
  </sheetData>
  <protectedRanges>
    <protectedRange sqref="F20:G20 D75:E75 C85 D10:E11 D83:E88 D49:E49" name="Presupuestos"/>
    <protectedRange sqref="D24:E24 D8:E8" name="Presupuestos_1"/>
    <protectedRange sqref="D31:E36" name="Presupuestos_13_1"/>
    <protectedRange sqref="D38:E44" name="Presupuestos_14"/>
    <protectedRange sqref="D59:E59 E54:E55 E58 D56:E57 E60:E64" name="Presupuestos_2_1_1_1"/>
    <protectedRange sqref="K55 D55 E70 D66:E68" name="Presupuestos_6_1_1_1"/>
    <protectedRange sqref="D54 D58 D60:D64" name="Presupuestos_5_2_1"/>
    <protectedRange sqref="E51:E52" name="Presupuestos_7_1"/>
    <protectedRange sqref="D70" name="Presupuestos_5_3"/>
    <protectedRange sqref="D46:E47" name="Presupuestos_13_1_1"/>
    <protectedRange sqref="D51:D52" name="Presupuestos_7_1_1"/>
  </protectedRanges>
  <autoFilter ref="B24:J70" xr:uid="{00000000-0009-0000-0000-000002000000}"/>
  <mergeCells count="4">
    <mergeCell ref="D7:E7"/>
    <mergeCell ref="B23:C23"/>
    <mergeCell ref="D23:E23"/>
    <mergeCell ref="C82:D82"/>
  </mergeCells>
  <conditionalFormatting sqref="J26 J28:J29 J31:J36 J38:J44 J46:J47 J51:J52 J54:J64 J66:J68 J70">
    <cfRule type="cellIs" dxfId="192" priority="5" operator="lessThan">
      <formula>0</formula>
    </cfRule>
    <cfRule type="cellIs" dxfId="191" priority="6" operator="between">
      <formula>6</formula>
      <formula>15</formula>
    </cfRule>
    <cfRule type="cellIs" dxfId="190" priority="7" operator="between">
      <formula>1</formula>
      <formula>5</formula>
    </cfRule>
    <cfRule type="cellIs" dxfId="189" priority="8" operator="between">
      <formula>16</formula>
      <formula>60</formula>
    </cfRule>
  </conditionalFormatting>
  <conditionalFormatting sqref="J49">
    <cfRule type="cellIs" dxfId="188" priority="1" operator="lessThan">
      <formula>0</formula>
    </cfRule>
    <cfRule type="cellIs" dxfId="187" priority="2" operator="between">
      <formula>6</formula>
      <formula>15</formula>
    </cfRule>
    <cfRule type="cellIs" dxfId="186" priority="3" operator="between">
      <formula>1</formula>
      <formula>5</formula>
    </cfRule>
    <cfRule type="cellIs" dxfId="185" priority="4" operator="between">
      <formula>16</formula>
      <formula>60</formula>
    </cfRule>
  </conditionalFormatting>
  <dataValidations disablePrompts="1" count="3">
    <dataValidation type="list" allowBlank="1" showInputMessage="1" showErrorMessage="1" sqref="B13:B19" xr:uid="{975B16C9-0865-445D-BB26-AC8FCDA65F42}">
      <formula1>"Pagado, Sin Pagar"</formula1>
    </dataValidation>
    <dataValidation type="list" allowBlank="1" showInputMessage="1" showErrorMessage="1" sqref="D23 D7" xr:uid="{D8C2629F-5279-41A3-9879-4C63D092C0EE}">
      <formula1>"ENERO,FEBRERO,MARZO,ABRIL,MAYO,JUNIO,JULIO,AGOSTO,SEPTIEMBRE,OCTUBRE,NOVIEMBRE,DICIEMBRE"</formula1>
    </dataValidation>
    <dataValidation type="list" allowBlank="1" showInputMessage="1" showErrorMessage="1" sqref="G51:G52 G70 G25:G26 D89:D90 G66:G68 G46:G47 G38:G44 G49 G28:G29 G31:G36 G54:G64" xr:uid="{4819B2D8-CFDA-4E7F-ABAC-8BD436E8D200}">
      <formula1>"Cancelado,Pagar,Sin Pagar"</formula1>
    </dataValidation>
  </dataValidations>
  <pageMargins left="0.7" right="0.7" top="0.75" bottom="0.75" header="0.3" footer="0.3"/>
  <pageSetup paperSize="9" orientation="portrait" r:id="rId1"/>
  <ignoredErrors>
    <ignoredError sqref="J69:J70 J26:J31 J48:J51 J53:J68 J47 J52 J34:J46 J32:J33" unlocked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2285-FEFC-45D4-8A44-04712FBFAAB4}">
  <dimension ref="A1:S106"/>
  <sheetViews>
    <sheetView showGridLines="0" topLeftCell="A8" zoomScale="90" zoomScaleNormal="90" workbookViewId="0">
      <selection activeCell="D13" sqref="D13:D19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45658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7.51</v>
      </c>
      <c r="E6" s="42"/>
      <c r="I6" s="43"/>
    </row>
    <row r="7" spans="1:9" ht="15.75">
      <c r="C7" s="99"/>
      <c r="D7" s="432" t="s">
        <v>634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227803.4876999993</v>
      </c>
      <c r="E9" s="122">
        <f>SUBTOTAL(9,E10:E11)</f>
        <v>30333.353888149042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QTQ'!$H$345+48956.56</f>
        <v>210630.5208999993</v>
      </c>
      <c r="E10" s="25">
        <f>D10/$D$6</f>
        <v>28046.673888149042</v>
      </c>
      <c r="F10" s="49"/>
    </row>
    <row r="11" spans="1:9" s="43" customFormat="1" outlineLevel="1">
      <c r="B11" s="46"/>
      <c r="C11" s="47" t="s">
        <v>154</v>
      </c>
      <c r="D11" s="15">
        <f>E11*D6</f>
        <v>17172.966799999995</v>
      </c>
      <c r="E11" s="25">
        <f>'Caja USD'!$H$148</f>
        <v>2286.6799999999994</v>
      </c>
      <c r="F11" s="49"/>
    </row>
    <row r="12" spans="1:9" s="43" customFormat="1" ht="15.75">
      <c r="B12" s="46"/>
      <c r="C12" s="102" t="s">
        <v>134</v>
      </c>
      <c r="D12" s="127">
        <f>SUBTOTAL(9,D13:D19)</f>
        <v>422753.91000000003</v>
      </c>
      <c r="E12" s="122">
        <f>SUBTOTAL(9,E13:E19)</f>
        <v>55487.69000000001</v>
      </c>
      <c r="F12" s="128"/>
    </row>
    <row r="13" spans="1:9" s="43" customFormat="1" outlineLevel="1">
      <c r="B13" s="218" t="s">
        <v>298</v>
      </c>
      <c r="C13" s="215" t="s">
        <v>514</v>
      </c>
      <c r="D13" s="216">
        <v>40957.155418215203</v>
      </c>
      <c r="E13" s="225">
        <f>$D$13/'Diferencia en cambio'!$L$65</f>
        <v>5405.3</v>
      </c>
      <c r="F13" s="128"/>
      <c r="G13" s="52"/>
    </row>
    <row r="14" spans="1:9" s="43" customFormat="1" outlineLevel="1">
      <c r="A14" s="50"/>
      <c r="B14" s="218" t="s">
        <v>298</v>
      </c>
      <c r="C14" s="215" t="s">
        <v>517</v>
      </c>
      <c r="D14" s="216">
        <f>'Diferencia en cambio'!I68</f>
        <v>280556.65268554701</v>
      </c>
      <c r="E14" s="225">
        <f>D14/'Diferencia en cambio'!L68</f>
        <v>36726.730000000003</v>
      </c>
      <c r="F14" s="128"/>
      <c r="G14" s="184"/>
    </row>
    <row r="15" spans="1:9" s="43" customFormat="1" outlineLevel="1">
      <c r="A15" s="50"/>
      <c r="B15" s="218" t="s">
        <v>298</v>
      </c>
      <c r="C15" s="215" t="s">
        <v>520</v>
      </c>
      <c r="D15" s="216">
        <f>'Diferencia en cambio'!I69</f>
        <v>7237.9824835904501</v>
      </c>
      <c r="E15" s="225">
        <f>D15/'Diferencia en cambio'!L69</f>
        <v>947.5</v>
      </c>
      <c r="F15" s="128"/>
      <c r="G15" s="184"/>
    </row>
    <row r="16" spans="1:9" s="43" customFormat="1" outlineLevel="1">
      <c r="B16" s="218" t="s">
        <v>298</v>
      </c>
      <c r="C16" s="215" t="s">
        <v>519</v>
      </c>
      <c r="D16" s="216">
        <f>'Diferencia en cambio'!I70</f>
        <v>13561.9548308626</v>
      </c>
      <c r="E16" s="225">
        <f>D16/'Diferencia en cambio'!L70</f>
        <v>1775.35</v>
      </c>
      <c r="F16" s="128"/>
      <c r="G16" s="52"/>
    </row>
    <row r="17" spans="2:19" s="43" customFormat="1" outlineLevel="1">
      <c r="B17" s="218" t="s">
        <v>298</v>
      </c>
      <c r="C17" s="215" t="s">
        <v>515</v>
      </c>
      <c r="D17" s="216">
        <f>'Diferencia en cambio'!$I$66</f>
        <v>43657.298302658426</v>
      </c>
      <c r="E17" s="225">
        <f>$D$17/'Diferencia en cambio'!$L$66</f>
        <v>5761.65</v>
      </c>
      <c r="F17" s="128"/>
      <c r="G17" s="52"/>
    </row>
    <row r="18" spans="2:19" s="43" customFormat="1" outlineLevel="1">
      <c r="B18" s="218" t="s">
        <v>298</v>
      </c>
      <c r="C18" s="215" t="s">
        <v>518</v>
      </c>
      <c r="D18" s="216">
        <f>'Diferencia en cambio'!I71</f>
        <v>18049.55</v>
      </c>
      <c r="E18" s="225">
        <f>D18/'Diferencia en cambio'!L71</f>
        <v>2398.84</v>
      </c>
      <c r="F18" s="128"/>
      <c r="G18" s="52"/>
    </row>
    <row r="19" spans="2:19" s="43" customFormat="1" outlineLevel="1">
      <c r="B19" s="218" t="s">
        <v>298</v>
      </c>
      <c r="C19" s="215" t="s">
        <v>516</v>
      </c>
      <c r="D19" s="216">
        <f>'Diferencia en cambio'!I67</f>
        <v>18733.316279126379</v>
      </c>
      <c r="E19" s="225">
        <f>$D$19/'Diferencia en cambio'!$L$67</f>
        <v>2472.3200000000002</v>
      </c>
      <c r="F19" s="128"/>
      <c r="G19" s="52"/>
    </row>
    <row r="20" spans="2:19" s="43" customFormat="1" ht="15.75">
      <c r="B20" s="46"/>
      <c r="C20" s="55" t="s">
        <v>136</v>
      </c>
      <c r="D20" s="123">
        <f>SUBTOTAL(9,D9:D17)</f>
        <v>613774.53142087301</v>
      </c>
      <c r="E20" s="124">
        <f>SUBTOTAL(9,E9:E17)</f>
        <v>80949.883888149052</v>
      </c>
      <c r="F20" s="56"/>
      <c r="G20" s="56"/>
      <c r="J20" s="52"/>
      <c r="K20" s="57"/>
      <c r="O20" s="58"/>
      <c r="P20" s="59"/>
      <c r="Q20" s="53"/>
    </row>
    <row r="21" spans="2:19" s="43" customFormat="1" ht="15.75">
      <c r="B21" s="46"/>
      <c r="C21" s="60"/>
      <c r="D21" s="61"/>
      <c r="E21" s="61"/>
      <c r="G21" s="62"/>
      <c r="O21" s="59"/>
      <c r="P21" s="59"/>
    </row>
    <row r="22" spans="2:19" s="43" customFormat="1" ht="15.75">
      <c r="B22" s="46"/>
      <c r="N22" s="63"/>
      <c r="O22" s="64"/>
      <c r="P22" s="65"/>
    </row>
    <row r="23" spans="2:19" s="43" customFormat="1" ht="15.75">
      <c r="B23" s="432" t="s">
        <v>137</v>
      </c>
      <c r="C23" s="432"/>
      <c r="D23" s="432" t="s">
        <v>634</v>
      </c>
      <c r="E23" s="432"/>
      <c r="K23" s="65"/>
      <c r="L23" s="65"/>
      <c r="N23" s="63"/>
      <c r="R23" s="52"/>
      <c r="S23" s="52"/>
    </row>
    <row r="24" spans="2:19" s="43" customFormat="1" ht="16.5" thickBot="1">
      <c r="B24" s="67" t="s">
        <v>81</v>
      </c>
      <c r="C24" s="68" t="s">
        <v>106</v>
      </c>
      <c r="D24" s="110" t="s">
        <v>168</v>
      </c>
      <c r="E24" s="110" t="s">
        <v>169</v>
      </c>
      <c r="F24" s="69" t="s">
        <v>140</v>
      </c>
      <c r="G24" s="63" t="s">
        <v>141</v>
      </c>
      <c r="H24" s="63"/>
      <c r="I24" s="63"/>
      <c r="J24" s="70" t="s">
        <v>142</v>
      </c>
      <c r="N24" s="71"/>
      <c r="R24" s="52"/>
      <c r="S24" s="72"/>
    </row>
    <row r="25" spans="2:19" s="43" customFormat="1" ht="16.5" thickBot="1">
      <c r="B25" s="46"/>
      <c r="C25" s="73" t="s">
        <v>155</v>
      </c>
      <c r="D25" s="103">
        <f>SUBTOTAL(9,D26:D26)</f>
        <v>46417.29</v>
      </c>
      <c r="E25" s="112">
        <f>SUBTOTAL(9,E26:E26)</f>
        <v>6180.7310252996012</v>
      </c>
      <c r="F25" s="74"/>
      <c r="J25" s="76"/>
    </row>
    <row r="26" spans="2:19" s="43" customFormat="1" ht="15.75" outlineLevel="1" thickBot="1">
      <c r="B26" s="168">
        <v>5171658</v>
      </c>
      <c r="C26" s="78" t="s">
        <v>633</v>
      </c>
      <c r="D26" s="109">
        <v>46417.29</v>
      </c>
      <c r="E26" s="115">
        <f>D26/$D$6</f>
        <v>6180.7310252996012</v>
      </c>
      <c r="F26" s="80">
        <v>45671</v>
      </c>
      <c r="G26" s="43" t="s">
        <v>135</v>
      </c>
      <c r="H26" s="43">
        <f>IF(OR(G26="Sin pagar",G26="Pagar"),NETWORKDAYS($E$4,F26,'Festivos Guatemala'!$A$3:$A$15),0)</f>
        <v>0</v>
      </c>
      <c r="I26" s="43">
        <f>NETWORKDAYS($E$4,F26,'Festivos Guatemala'!$A$3:$A$15)</f>
        <v>9</v>
      </c>
      <c r="J26" s="75">
        <f>H26</f>
        <v>0</v>
      </c>
      <c r="K26" s="52"/>
      <c r="L26" s="52"/>
    </row>
    <row r="27" spans="2:19" s="43" customFormat="1" ht="16.5" thickBot="1">
      <c r="B27" s="46"/>
      <c r="C27" s="73" t="s">
        <v>144</v>
      </c>
      <c r="D27" s="103">
        <f>SUBTOTAL(9,D28:D30)</f>
        <v>14849.919999999998</v>
      </c>
      <c r="E27" s="112">
        <f>SUBTOTAL(9,E28:E30)</f>
        <v>1977.3528628495337</v>
      </c>
      <c r="J27" s="76">
        <f t="shared" ref="J27:J34" si="0">H27</f>
        <v>0</v>
      </c>
    </row>
    <row r="28" spans="2:19" s="43" customFormat="1" outlineLevel="1">
      <c r="B28" s="168">
        <v>45393440008</v>
      </c>
      <c r="C28" s="47" t="s">
        <v>648</v>
      </c>
      <c r="D28" s="109">
        <v>12820.31</v>
      </c>
      <c r="E28" s="115">
        <f>D28/$D$6</f>
        <v>1707.0985352862849</v>
      </c>
      <c r="F28" s="80">
        <v>45671</v>
      </c>
      <c r="G28" s="43" t="s">
        <v>135</v>
      </c>
      <c r="H28" s="43">
        <f>IF(OR(G28="Sin pagar",G28="Pagar"),NETWORKDAYS($E$4,F28,'Festivos Guatemala'!$A$3:$A$15),0)</f>
        <v>0</v>
      </c>
      <c r="I28" s="43">
        <f>NETWORKDAYS($E$4,F28,'Festivos Guatemala'!$A$3:$A$15)</f>
        <v>9</v>
      </c>
      <c r="J28" s="75">
        <f>H28</f>
        <v>0</v>
      </c>
      <c r="K28" s="48"/>
      <c r="L28" s="57"/>
    </row>
    <row r="29" spans="2:19" s="43" customFormat="1" outlineLevel="1">
      <c r="B29" s="168">
        <v>45356549793</v>
      </c>
      <c r="C29" s="47" t="s">
        <v>636</v>
      </c>
      <c r="D29" s="109">
        <v>1471.23</v>
      </c>
      <c r="E29" s="115">
        <f>D29/$D$6</f>
        <v>195.90279627163781</v>
      </c>
      <c r="F29" s="80">
        <v>45671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9</v>
      </c>
      <c r="J29" s="75">
        <f>H29</f>
        <v>0</v>
      </c>
      <c r="K29" s="48"/>
      <c r="L29" s="57"/>
    </row>
    <row r="30" spans="2:19" s="43" customFormat="1" ht="15.75" outlineLevel="1" thickBot="1">
      <c r="B30" s="168">
        <v>45484483400</v>
      </c>
      <c r="C30" s="47" t="s">
        <v>675</v>
      </c>
      <c r="D30" s="109">
        <v>558.38</v>
      </c>
      <c r="E30" s="115">
        <f>D30/$D$6</f>
        <v>74.351531291611181</v>
      </c>
      <c r="F30" s="80">
        <v>45688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22</v>
      </c>
      <c r="J30" s="75">
        <f>H30</f>
        <v>0</v>
      </c>
      <c r="K30" s="48"/>
      <c r="L30" s="57"/>
    </row>
    <row r="31" spans="2:19" s="43" customFormat="1" ht="16.5" thickBot="1">
      <c r="B31" s="46"/>
      <c r="C31" s="73" t="s">
        <v>163</v>
      </c>
      <c r="D31" s="103">
        <f>SUBTOTAL(9,D32:D36)</f>
        <v>3481.09</v>
      </c>
      <c r="E31" s="112">
        <f>SUBTOTAL(9,E32:E36)</f>
        <v>463.52729693741674</v>
      </c>
      <c r="J31" s="76">
        <f t="shared" si="0"/>
        <v>0</v>
      </c>
      <c r="K31" s="52"/>
      <c r="L31" s="52"/>
    </row>
    <row r="32" spans="2:19" s="43" customFormat="1" outlineLevel="1">
      <c r="B32" s="46"/>
      <c r="C32" s="47" t="s">
        <v>635</v>
      </c>
      <c r="D32" s="104">
        <v>840</v>
      </c>
      <c r="E32" s="113">
        <f t="shared" ref="E32:E36" si="1">D32/$D$6</f>
        <v>111.8508655126498</v>
      </c>
      <c r="F32" s="80">
        <v>45667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7</v>
      </c>
      <c r="J32" s="75">
        <f t="shared" si="0"/>
        <v>0</v>
      </c>
      <c r="N32" s="49"/>
    </row>
    <row r="33" spans="2:16" s="43" customFormat="1" ht="30" outlineLevel="1">
      <c r="B33" s="46"/>
      <c r="C33" s="47" t="s">
        <v>645</v>
      </c>
      <c r="D33" s="104">
        <v>342.09</v>
      </c>
      <c r="E33" s="113">
        <f t="shared" ref="E33" si="2">D33/$D$6</f>
        <v>45.55126498002663</v>
      </c>
      <c r="F33" s="80">
        <v>45667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7</v>
      </c>
      <c r="J33" s="75">
        <f t="shared" ref="J33" si="3">H33</f>
        <v>0</v>
      </c>
      <c r="N33" s="49"/>
    </row>
    <row r="34" spans="2:16" s="43" customFormat="1" ht="30" outlineLevel="1">
      <c r="B34" s="46" t="s">
        <v>663</v>
      </c>
      <c r="C34" s="47" t="s">
        <v>669</v>
      </c>
      <c r="D34" s="104">
        <v>2299</v>
      </c>
      <c r="E34" s="113">
        <f t="shared" si="1"/>
        <v>306.12516644474033</v>
      </c>
      <c r="F34" s="74">
        <v>45686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20</v>
      </c>
      <c r="J34" s="75">
        <f t="shared" si="0"/>
        <v>0</v>
      </c>
      <c r="N34" s="49"/>
    </row>
    <row r="35" spans="2:16" s="43" customFormat="1" outlineLevel="1">
      <c r="B35" s="46">
        <v>1086</v>
      </c>
      <c r="C35" s="50" t="s">
        <v>394</v>
      </c>
      <c r="D35" s="104">
        <f>1200*0</f>
        <v>0</v>
      </c>
      <c r="E35" s="113">
        <f>D35/$D$6</f>
        <v>0</v>
      </c>
      <c r="F35" s="74">
        <v>45688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22</v>
      </c>
      <c r="J35" s="75"/>
      <c r="M35" s="199"/>
      <c r="N35" s="49"/>
    </row>
    <row r="36" spans="2:16" s="43" customFormat="1" ht="15.75" outlineLevel="1" thickBot="1">
      <c r="B36" s="46">
        <v>1091</v>
      </c>
      <c r="C36" s="50" t="s">
        <v>473</v>
      </c>
      <c r="D36" s="104">
        <f>1200*0</f>
        <v>0</v>
      </c>
      <c r="E36" s="113">
        <f t="shared" si="1"/>
        <v>0</v>
      </c>
      <c r="F36" s="74">
        <v>45688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22</v>
      </c>
      <c r="J36" s="75"/>
      <c r="M36" s="199"/>
      <c r="N36" s="49"/>
    </row>
    <row r="37" spans="2:16" s="43" customFormat="1" ht="16.5" thickBot="1">
      <c r="C37" s="73" t="s">
        <v>146</v>
      </c>
      <c r="D37" s="103">
        <f>SUBTOTAL(9,D38:D44)</f>
        <v>8734.3737000000001</v>
      </c>
      <c r="E37" s="112">
        <f>SUBTOTAL(9,E38:E44)</f>
        <v>1163.0324500665779</v>
      </c>
      <c r="K37" s="49"/>
      <c r="L37" s="49"/>
      <c r="O37" s="49"/>
      <c r="P37" s="49"/>
    </row>
    <row r="38" spans="2:16" s="43" customFormat="1" ht="14.25" customHeight="1" outlineLevel="1">
      <c r="B38" s="186"/>
      <c r="C38" s="210" t="s">
        <v>272</v>
      </c>
      <c r="D38" s="104">
        <f>E38*$D$6</f>
        <v>413.57569999999998</v>
      </c>
      <c r="E38" s="115">
        <v>55.07</v>
      </c>
      <c r="F38" s="74">
        <v>45686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20</v>
      </c>
      <c r="J38" s="75">
        <f t="shared" ref="J38:J44" si="4">H38</f>
        <v>0</v>
      </c>
      <c r="K38" s="49"/>
      <c r="L38" s="49"/>
      <c r="O38" s="49"/>
      <c r="P38" s="49"/>
    </row>
    <row r="39" spans="2:16" s="43" customFormat="1" outlineLevel="1">
      <c r="B39" s="186"/>
      <c r="C39" s="210" t="s">
        <v>273</v>
      </c>
      <c r="D39" s="104">
        <f>E39*$D$6</f>
        <v>1948.6197000000002</v>
      </c>
      <c r="E39" s="115">
        <v>259.47000000000003</v>
      </c>
      <c r="F39" s="74">
        <v>45686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20</v>
      </c>
      <c r="J39" s="75">
        <f t="shared" si="4"/>
        <v>0</v>
      </c>
    </row>
    <row r="40" spans="2:16" s="43" customFormat="1" outlineLevel="1">
      <c r="B40" s="186"/>
      <c r="C40" s="210" t="s">
        <v>274</v>
      </c>
      <c r="D40" s="104">
        <f>E40*$D$6</f>
        <v>1542.0282999999999</v>
      </c>
      <c r="E40" s="115">
        <v>205.33</v>
      </c>
      <c r="F40" s="74">
        <v>45686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20</v>
      </c>
      <c r="J40" s="75">
        <f t="shared" si="4"/>
        <v>0</v>
      </c>
    </row>
    <row r="41" spans="2:16" s="43" customFormat="1" ht="14.25" customHeight="1" outlineLevel="1">
      <c r="B41" s="186"/>
      <c r="C41" s="209" t="s">
        <v>496</v>
      </c>
      <c r="D41" s="109">
        <v>861.81</v>
      </c>
      <c r="E41" s="113">
        <f>D41/$D$6</f>
        <v>114.75499334221038</v>
      </c>
      <c r="F41" s="74">
        <v>45686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20</v>
      </c>
      <c r="J41" s="75">
        <f>H41</f>
        <v>0</v>
      </c>
      <c r="K41" s="49"/>
      <c r="L41" s="49"/>
      <c r="O41" s="49"/>
      <c r="P41" s="49"/>
    </row>
    <row r="42" spans="2:16" s="43" customFormat="1" ht="14.25" customHeight="1" outlineLevel="1">
      <c r="B42" s="186"/>
      <c r="C42" s="209" t="s">
        <v>277</v>
      </c>
      <c r="D42" s="109">
        <v>943.23</v>
      </c>
      <c r="E42" s="113">
        <f>D42/$D$6</f>
        <v>125.59653794940081</v>
      </c>
      <c r="F42" s="74">
        <v>45686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20</v>
      </c>
      <c r="J42" s="75">
        <f t="shared" si="4"/>
        <v>0</v>
      </c>
      <c r="K42" s="49"/>
      <c r="L42" s="49"/>
      <c r="O42" s="49"/>
      <c r="P42" s="49"/>
    </row>
    <row r="43" spans="2:16" s="43" customFormat="1" outlineLevel="1">
      <c r="B43" s="186"/>
      <c r="C43" s="209" t="s">
        <v>276</v>
      </c>
      <c r="D43" s="109">
        <v>1023.02</v>
      </c>
      <c r="E43" s="113">
        <f>D43/$D$6</f>
        <v>136.22103861517976</v>
      </c>
      <c r="F43" s="74">
        <v>45686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20</v>
      </c>
      <c r="J43" s="75">
        <f t="shared" si="4"/>
        <v>0</v>
      </c>
    </row>
    <row r="44" spans="2:16" s="43" customFormat="1" ht="15.75" outlineLevel="1" thickBot="1">
      <c r="B44" s="186"/>
      <c r="C44" s="209" t="s">
        <v>275</v>
      </c>
      <c r="D44" s="109">
        <v>2002.09</v>
      </c>
      <c r="E44" s="113">
        <f>D44/$D$6</f>
        <v>266.58988015978696</v>
      </c>
      <c r="F44" s="74">
        <v>45686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20</v>
      </c>
      <c r="J44" s="75">
        <f t="shared" si="4"/>
        <v>0</v>
      </c>
    </row>
    <row r="45" spans="2:16" s="43" customFormat="1" ht="16.5" thickBot="1">
      <c r="B45" s="82"/>
      <c r="C45" s="85" t="s">
        <v>162</v>
      </c>
      <c r="D45" s="119">
        <f>SUBTOTAL(9,D46:D46)</f>
        <v>0</v>
      </c>
      <c r="E45" s="114">
        <f>SUBTOTAL(9,E46:E46)</f>
        <v>0</v>
      </c>
      <c r="K45" s="52"/>
      <c r="M45" s="183"/>
      <c r="N45" s="183"/>
    </row>
    <row r="46" spans="2:16" s="43" customFormat="1" ht="15.75" outlineLevel="1" thickBot="1">
      <c r="B46" s="46"/>
      <c r="C46" s="47" t="s">
        <v>637</v>
      </c>
      <c r="D46" s="109">
        <f>E46*D6</f>
        <v>0</v>
      </c>
      <c r="E46" s="115">
        <v>0</v>
      </c>
      <c r="F46" s="74">
        <v>45688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22</v>
      </c>
      <c r="J46" s="75">
        <f t="shared" ref="J46" si="5">H46</f>
        <v>0</v>
      </c>
      <c r="M46" s="104"/>
      <c r="N46" s="49"/>
    </row>
    <row r="47" spans="2:16" s="43" customFormat="1" ht="16.5" thickBot="1">
      <c r="B47" s="46"/>
      <c r="C47" s="73" t="s">
        <v>147</v>
      </c>
      <c r="D47" s="103">
        <f>SUBTOTAL(9,D48:D48)</f>
        <v>0</v>
      </c>
      <c r="E47" s="112">
        <f>SUBTOTAL(9,E48:E48)</f>
        <v>0</v>
      </c>
    </row>
    <row r="48" spans="2:16" s="43" customFormat="1" ht="15.75" outlineLevel="1" thickBot="1">
      <c r="B48" s="46"/>
      <c r="C48" s="47"/>
      <c r="D48" s="104"/>
      <c r="E48" s="113"/>
      <c r="F48" s="74">
        <v>45688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22</v>
      </c>
      <c r="J48" s="75">
        <f>H48</f>
        <v>0</v>
      </c>
    </row>
    <row r="49" spans="2:12" s="43" customFormat="1" ht="15.75" customHeight="1" thickBot="1">
      <c r="C49" s="73" t="s">
        <v>148</v>
      </c>
      <c r="D49" s="119">
        <f>SUBTOTAL(9,D50:D50)</f>
        <v>885</v>
      </c>
      <c r="E49" s="114">
        <f>SUBTOTAL(9,E50:E50)</f>
        <v>117.84287616511318</v>
      </c>
    </row>
    <row r="50" spans="2:12" s="43" customFormat="1" ht="15.75" outlineLevel="1" thickBot="1">
      <c r="B50" s="46"/>
      <c r="C50" s="47" t="s">
        <v>117</v>
      </c>
      <c r="D50" s="109">
        <v>885</v>
      </c>
      <c r="E50" s="115">
        <f>D50/$D$6</f>
        <v>117.84287616511318</v>
      </c>
      <c r="F50" s="74">
        <v>45688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22</v>
      </c>
      <c r="J50" s="75">
        <f>H50</f>
        <v>0</v>
      </c>
    </row>
    <row r="51" spans="2:12" s="43" customFormat="1" ht="16.5" thickBot="1">
      <c r="C51" s="73" t="s">
        <v>164</v>
      </c>
      <c r="D51" s="103">
        <f>SUBTOTAL(9,D52:D62)</f>
        <v>255883.91999999998</v>
      </c>
      <c r="E51" s="112">
        <f>SUBTOTAL(9,E52:E62)</f>
        <v>34072.426098535288</v>
      </c>
      <c r="K51" s="52"/>
      <c r="L51" s="86"/>
    </row>
    <row r="52" spans="2:12" s="43" customFormat="1" outlineLevel="1">
      <c r="B52" s="83"/>
      <c r="C52" s="47" t="s">
        <v>176</v>
      </c>
      <c r="D52" s="109">
        <v>28242.02</v>
      </c>
      <c r="E52" s="115">
        <f>D52/$D$6</f>
        <v>3760.5885486018642</v>
      </c>
      <c r="F52" s="74">
        <v>45685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19</v>
      </c>
      <c r="J52" s="75">
        <f>H52</f>
        <v>0</v>
      </c>
      <c r="L52" s="52"/>
    </row>
    <row r="53" spans="2:12" s="43" customFormat="1" outlineLevel="1">
      <c r="B53" s="46"/>
      <c r="C53" s="47" t="s">
        <v>415</v>
      </c>
      <c r="D53" s="109">
        <v>26912.46</v>
      </c>
      <c r="E53" s="115">
        <f t="shared" ref="E53:E56" si="6">D53/$D$6</f>
        <v>3583.549933422104</v>
      </c>
      <c r="F53" s="74">
        <v>45685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19</v>
      </c>
      <c r="J53" s="75">
        <f t="shared" ref="J53:J56" si="7">H53</f>
        <v>0</v>
      </c>
      <c r="K53" s="48"/>
      <c r="L53" s="48"/>
    </row>
    <row r="54" spans="2:12" s="43" customFormat="1" outlineLevel="1">
      <c r="B54" s="46"/>
      <c r="C54" s="47" t="s">
        <v>414</v>
      </c>
      <c r="D54" s="109">
        <v>57657.9</v>
      </c>
      <c r="E54" s="115">
        <f t="shared" si="6"/>
        <v>7677.4833555259656</v>
      </c>
      <c r="F54" s="74">
        <v>45685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19</v>
      </c>
      <c r="J54" s="75">
        <f t="shared" si="7"/>
        <v>0</v>
      </c>
      <c r="L54" s="52"/>
    </row>
    <row r="55" spans="2:12" s="43" customFormat="1" outlineLevel="1">
      <c r="B55" s="46"/>
      <c r="C55" s="47" t="s">
        <v>416</v>
      </c>
      <c r="D55" s="109">
        <v>71279.14</v>
      </c>
      <c r="E55" s="115">
        <f t="shared" si="6"/>
        <v>9491.2303595206395</v>
      </c>
      <c r="F55" s="74">
        <v>45685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19</v>
      </c>
      <c r="J55" s="75">
        <f t="shared" si="7"/>
        <v>0</v>
      </c>
      <c r="K55" s="52"/>
      <c r="L55" s="57"/>
    </row>
    <row r="56" spans="2:12" s="43" customFormat="1" ht="14.25" customHeight="1" outlineLevel="1">
      <c r="B56" s="83"/>
      <c r="C56" s="47" t="s">
        <v>412</v>
      </c>
      <c r="D56" s="109">
        <v>5732.9</v>
      </c>
      <c r="E56" s="115">
        <f t="shared" si="6"/>
        <v>763.36884154460711</v>
      </c>
      <c r="F56" s="74">
        <v>45685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si="7"/>
        <v>0</v>
      </c>
      <c r="L56" s="52"/>
    </row>
    <row r="57" spans="2:12" s="43" customFormat="1" ht="13.5" customHeight="1" outlineLevel="1">
      <c r="B57" s="46"/>
      <c r="C57" s="47" t="s">
        <v>417</v>
      </c>
      <c r="D57" s="109">
        <v>10562.8</v>
      </c>
      <c r="E57" s="115">
        <f>D57/$D$6</f>
        <v>1406.4980026631158</v>
      </c>
      <c r="F57" s="74">
        <v>45685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>H57</f>
        <v>0</v>
      </c>
      <c r="L57" s="52"/>
    </row>
    <row r="58" spans="2:12" s="43" customFormat="1" outlineLevel="1">
      <c r="B58" s="83"/>
      <c r="C58" s="47" t="s">
        <v>418</v>
      </c>
      <c r="D58" s="109">
        <v>29515.65</v>
      </c>
      <c r="E58" s="115">
        <f t="shared" ref="E58:E62" si="8">D58/$D$6</f>
        <v>3930.1797603195741</v>
      </c>
      <c r="F58" s="74">
        <v>45685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ref="J58:J62" si="9">H58</f>
        <v>0</v>
      </c>
      <c r="L58" s="52"/>
    </row>
    <row r="59" spans="2:12" s="43" customFormat="1" outlineLevel="1">
      <c r="B59" s="83"/>
      <c r="C59" s="47" t="s">
        <v>409</v>
      </c>
      <c r="D59" s="109">
        <v>14151.42</v>
      </c>
      <c r="E59" s="115">
        <f t="shared" si="8"/>
        <v>1884.3435419440746</v>
      </c>
      <c r="F59" s="74">
        <v>45685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 t="shared" si="9"/>
        <v>0</v>
      </c>
      <c r="L59" s="52"/>
    </row>
    <row r="60" spans="2:12" s="43" customFormat="1" outlineLevel="1">
      <c r="B60" s="83"/>
      <c r="C60" s="47" t="s">
        <v>413</v>
      </c>
      <c r="D60" s="109">
        <v>3943.21</v>
      </c>
      <c r="E60" s="115">
        <f t="shared" si="8"/>
        <v>525.06125166444747</v>
      </c>
      <c r="F60" s="74">
        <v>45685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 t="shared" si="9"/>
        <v>0</v>
      </c>
      <c r="L60" s="52"/>
    </row>
    <row r="61" spans="2:12" s="43" customFormat="1" outlineLevel="1">
      <c r="B61" s="83"/>
      <c r="C61" s="47" t="s">
        <v>410</v>
      </c>
      <c r="D61" s="109">
        <v>3943.21</v>
      </c>
      <c r="E61" s="115">
        <f t="shared" si="8"/>
        <v>525.06125166444747</v>
      </c>
      <c r="F61" s="74">
        <v>45685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 t="shared" si="9"/>
        <v>0</v>
      </c>
      <c r="L61" s="52"/>
    </row>
    <row r="62" spans="2:12" s="43" customFormat="1" ht="15.75" outlineLevel="1" thickBot="1">
      <c r="B62" s="83"/>
      <c r="C62" s="47" t="s">
        <v>411</v>
      </c>
      <c r="D62" s="109">
        <v>3943.21</v>
      </c>
      <c r="E62" s="115">
        <f t="shared" si="8"/>
        <v>525.06125166444747</v>
      </c>
      <c r="F62" s="74">
        <v>45685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19</v>
      </c>
      <c r="J62" s="75">
        <f t="shared" si="9"/>
        <v>0</v>
      </c>
      <c r="L62" s="52"/>
    </row>
    <row r="63" spans="2:12" s="43" customFormat="1" ht="16.5" thickBot="1">
      <c r="B63" s="46"/>
      <c r="C63" s="73" t="s">
        <v>173</v>
      </c>
      <c r="D63" s="103">
        <f>SUBTOTAL(9,D64:D67)</f>
        <v>60773.517599999999</v>
      </c>
      <c r="E63" s="112">
        <f>SUBTOTAL(9,E64:E67)</f>
        <v>8613.6911717709718</v>
      </c>
    </row>
    <row r="64" spans="2:12" s="43" customFormat="1" outlineLevel="1">
      <c r="B64" s="46"/>
      <c r="C64" s="210" t="s">
        <v>278</v>
      </c>
      <c r="D64" s="109">
        <f>E64*$D$6</f>
        <v>31474.034499999998</v>
      </c>
      <c r="E64" s="115">
        <v>4190.95</v>
      </c>
      <c r="F64" s="74">
        <v>45686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20</v>
      </c>
      <c r="J64" s="75">
        <f t="shared" ref="J64:J67" si="10">H64</f>
        <v>0</v>
      </c>
      <c r="K64" s="52"/>
      <c r="L64" s="54"/>
    </row>
    <row r="65" spans="1:16" s="43" customFormat="1" outlineLevel="1">
      <c r="B65" s="46"/>
      <c r="C65" s="210" t="s">
        <v>661</v>
      </c>
      <c r="D65" s="109">
        <f>E65*$D$6</f>
        <v>4301.8030999999992</v>
      </c>
      <c r="E65" s="115">
        <v>572.80999999999995</v>
      </c>
      <c r="F65" s="74">
        <v>45686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20</v>
      </c>
      <c r="J65" s="75">
        <f t="shared" ref="J65" si="11">H65</f>
        <v>0</v>
      </c>
      <c r="K65" s="52"/>
      <c r="L65" s="54"/>
    </row>
    <row r="66" spans="1:16" s="43" customFormat="1" outlineLevel="1">
      <c r="B66" s="46"/>
      <c r="C66" s="209" t="s">
        <v>280</v>
      </c>
      <c r="D66" s="109">
        <v>24611.18</v>
      </c>
      <c r="E66" s="115">
        <f>D66/$D$6</f>
        <v>3277.1211717709721</v>
      </c>
      <c r="F66" s="74">
        <v>45686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20</v>
      </c>
      <c r="J66" s="75">
        <f t="shared" si="10"/>
        <v>0</v>
      </c>
      <c r="K66" s="52"/>
      <c r="L66" s="54"/>
    </row>
    <row r="67" spans="1:16" s="43" customFormat="1" ht="15.75" outlineLevel="1" thickBot="1">
      <c r="B67" s="46"/>
      <c r="C67" s="209" t="s">
        <v>662</v>
      </c>
      <c r="D67" s="109">
        <v>386.5</v>
      </c>
      <c r="E67" s="115">
        <v>572.80999999999995</v>
      </c>
      <c r="F67" s="74">
        <v>45686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20</v>
      </c>
      <c r="J67" s="75">
        <f t="shared" si="10"/>
        <v>0</v>
      </c>
      <c r="K67" s="52"/>
      <c r="L67" s="54"/>
    </row>
    <row r="68" spans="1:16" s="43" customFormat="1" ht="16.5" thickBot="1">
      <c r="B68" s="87"/>
      <c r="C68" s="73" t="s">
        <v>149</v>
      </c>
      <c r="D68" s="103">
        <f>SUBTOTAL(9,D69)</f>
        <v>0</v>
      </c>
      <c r="E68" s="112">
        <f>SUBTOTAL(9,E69)</f>
        <v>0</v>
      </c>
      <c r="L68" s="52"/>
    </row>
    <row r="69" spans="1:16" s="43" customFormat="1" ht="15.75" outlineLevel="1" thickBot="1">
      <c r="B69" s="46"/>
      <c r="C69" s="47"/>
      <c r="D69" s="109"/>
      <c r="E69" s="115">
        <f>D69/$D$6</f>
        <v>0</v>
      </c>
      <c r="F69" s="74">
        <v>45688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22</v>
      </c>
      <c r="J69" s="75">
        <f>H69</f>
        <v>0</v>
      </c>
      <c r="K69" s="52"/>
      <c r="L69" s="54"/>
    </row>
    <row r="70" spans="1:16" s="43" customFormat="1" ht="16.5" thickBot="1">
      <c r="B70" s="46"/>
      <c r="C70" s="73" t="s">
        <v>638</v>
      </c>
      <c r="D70" s="103">
        <f>SUBTOTAL(9,D71:D72)</f>
        <v>4504</v>
      </c>
      <c r="E70" s="112">
        <f>SUBTOTAL(9,E71:E72)</f>
        <v>599.73368841544607</v>
      </c>
    </row>
    <row r="71" spans="1:16" s="43" customFormat="1" outlineLevel="1">
      <c r="B71" s="46">
        <v>2010138010</v>
      </c>
      <c r="C71" s="47" t="s">
        <v>640</v>
      </c>
      <c r="D71" s="109">
        <v>1500</v>
      </c>
      <c r="E71" s="115">
        <f>D71/$D$6</f>
        <v>199.73368841544607</v>
      </c>
      <c r="F71" s="74">
        <v>45686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20</v>
      </c>
      <c r="J71" s="75">
        <f>H71</f>
        <v>0</v>
      </c>
      <c r="K71" s="52"/>
      <c r="L71" s="54"/>
    </row>
    <row r="72" spans="1:16" s="43" customFormat="1" ht="15.75" outlineLevel="1" thickBot="1">
      <c r="B72" s="46"/>
      <c r="C72" s="47" t="s">
        <v>639</v>
      </c>
      <c r="D72" s="109">
        <f>E72*$D$6</f>
        <v>3004</v>
      </c>
      <c r="E72" s="115">
        <v>400</v>
      </c>
      <c r="F72" s="74">
        <v>45688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22</v>
      </c>
      <c r="J72" s="75">
        <f t="shared" ref="J72" si="12">H72</f>
        <v>0</v>
      </c>
      <c r="K72" s="52"/>
      <c r="L72" s="54"/>
    </row>
    <row r="73" spans="1:16" s="43" customFormat="1" ht="14.25" customHeight="1">
      <c r="B73" s="46"/>
      <c r="C73" s="88" t="s">
        <v>150</v>
      </c>
      <c r="D73" s="120">
        <f>SUBTOTAL(9,D25:D72)</f>
        <v>395529.11130000011</v>
      </c>
      <c r="E73" s="116">
        <f>SUBTOTAL(9,E25:E72)</f>
        <v>53188.337470039944</v>
      </c>
      <c r="K73" s="39"/>
      <c r="L73" s="39"/>
      <c r="N73" s="39"/>
      <c r="O73" s="39"/>
      <c r="P73" s="39"/>
    </row>
    <row r="74" spans="1:16" ht="15.75">
      <c r="A74" s="43"/>
      <c r="E74" s="117"/>
      <c r="F74" s="89"/>
      <c r="G74" s="89"/>
      <c r="H74" s="89"/>
      <c r="I74" s="89"/>
      <c r="J74" s="89"/>
    </row>
    <row r="75" spans="1:16" ht="15.75">
      <c r="A75" s="43"/>
      <c r="C75" s="90" t="s">
        <v>151</v>
      </c>
      <c r="D75" s="121">
        <f>D20-D73</f>
        <v>218245.42012087291</v>
      </c>
      <c r="E75" s="118">
        <f>E20-E73</f>
        <v>27761.546418109108</v>
      </c>
      <c r="F75" s="226"/>
      <c r="G75" s="227"/>
      <c r="J75" s="227"/>
    </row>
    <row r="76" spans="1:16" s="93" customFormat="1" ht="15.75">
      <c r="A76" s="43"/>
      <c r="B76" s="94"/>
      <c r="C76" s="90" t="s">
        <v>152</v>
      </c>
      <c r="D76" s="95">
        <f>IF($D$20=0,0,D75/$D$20)</f>
        <v>0.35557914013740533</v>
      </c>
      <c r="E76" s="95">
        <f>IF($E$20=0,0,E75/$E$20)</f>
        <v>0.34294732845408515</v>
      </c>
      <c r="F76" s="96"/>
      <c r="G76" s="92"/>
      <c r="J76" s="97"/>
      <c r="K76" s="39"/>
      <c r="L76" s="39"/>
      <c r="N76" s="39"/>
      <c r="O76" s="39"/>
      <c r="P76" s="39"/>
    </row>
    <row r="77" spans="1:16" ht="15.75" thickBot="1">
      <c r="A77" s="43"/>
      <c r="F77" s="96"/>
      <c r="G77" s="92"/>
    </row>
    <row r="78" spans="1:16" ht="15.75" thickBot="1">
      <c r="A78" s="43"/>
      <c r="C78" s="135" t="s">
        <v>184</v>
      </c>
      <c r="D78" s="136" t="s">
        <v>185</v>
      </c>
      <c r="E78" s="137" t="s">
        <v>191</v>
      </c>
      <c r="F78" s="137" t="s">
        <v>186</v>
      </c>
      <c r="G78" s="92"/>
    </row>
    <row r="79" spans="1:16">
      <c r="A79" s="43"/>
      <c r="C79" s="138">
        <v>45658</v>
      </c>
      <c r="D79" s="139">
        <v>45662</v>
      </c>
      <c r="E79" s="149">
        <f>SUMIFS($D$25:$D$76,$F$25:$F$76,"&gt;="&amp;C79,$F$25:$F$76,"&lt;="&amp;D79,$G$25:$G$76,$D$92)</f>
        <v>0</v>
      </c>
      <c r="F79" s="154">
        <f>SUMIFS($E$25:$E$76,$F$25:$F$76,"&gt;="&amp;C79,$F$25:$F$76,"&lt;="&amp;D79,$G$25:$G$76,$D$92)</f>
        <v>0</v>
      </c>
      <c r="G79" s="92"/>
    </row>
    <row r="80" spans="1:16">
      <c r="A80" s="43"/>
      <c r="C80" s="140">
        <v>45663</v>
      </c>
      <c r="D80" s="141">
        <v>45669</v>
      </c>
      <c r="E80" s="150">
        <f>SUMIFS($D$25:$D$76,$F$25:$F$76,"&gt;="&amp;C80,$F$25:$F$76,"&lt;="&amp;D80,$G$25:$G$76,$D$92)</f>
        <v>0</v>
      </c>
      <c r="F80" s="155">
        <f>SUMIFS($E$25:$E$76,$F$25:$F$76,"&gt;="&amp;C80,$F$25:$F$76,"&lt;="&amp;D80,$G$25:$G$76,$D$92)</f>
        <v>0</v>
      </c>
      <c r="G80" s="92"/>
    </row>
    <row r="81" spans="1:10">
      <c r="A81" s="43"/>
      <c r="C81" s="140">
        <v>45670</v>
      </c>
      <c r="D81" s="141">
        <v>45676</v>
      </c>
      <c r="E81" s="150">
        <f>SUMIFS($D$25:$D$76,$F$25:$F$76,"&gt;="&amp;C81,$F$25:$F$76,"&lt;="&amp;D81,$G$25:$G$76,$D$92)</f>
        <v>0</v>
      </c>
      <c r="F81" s="155">
        <f>SUMIFS($E$25:$E$76,$F$25:$F$76,"&gt;="&amp;C81,$F$25:$F$76,"&lt;="&amp;D81,$G$25:$G$76,$D$92)</f>
        <v>0</v>
      </c>
      <c r="G81" s="92" t="s">
        <v>643</v>
      </c>
    </row>
    <row r="82" spans="1:10">
      <c r="A82" s="43"/>
      <c r="C82" s="140">
        <v>45677</v>
      </c>
      <c r="D82" s="141">
        <v>45683</v>
      </c>
      <c r="E82" s="150">
        <f>SUMIFS($D$25:$D$76,$F$25:$F$76,"&gt;="&amp;C82,$F$25:$F$76,"&lt;="&amp;D82,$G$25:$G$76,$D$92)</f>
        <v>0</v>
      </c>
      <c r="F82" s="155">
        <f>SUMIFS($E$25:$E$76,$F$25:$F$76,"&gt;="&amp;C82,$F$25:$F$76,"&lt;="&amp;D82,$G$25:$G$76,$D$92)</f>
        <v>0</v>
      </c>
      <c r="G82" s="92" t="s">
        <v>642</v>
      </c>
    </row>
    <row r="83" spans="1:10" ht="15.75" thickBot="1">
      <c r="A83" s="43"/>
      <c r="C83" s="142">
        <v>45684</v>
      </c>
      <c r="D83" s="223">
        <v>45688</v>
      </c>
      <c r="E83" s="150">
        <f>SUMIFS($D$25:$D$76,$F$25:$F$76,"&gt;="&amp;C83,$F$25:$F$76,"&lt;="&amp;D83,$G$25:$G$76,$D$92)</f>
        <v>0</v>
      </c>
      <c r="F83" s="155">
        <f>SUMIFS($E$25:$E$76,$F$25:$F$76,"&gt;="&amp;C83,$F$25:$F$76,"&lt;="&amp;D83,$G$25:$G$76,$D$92)</f>
        <v>0</v>
      </c>
      <c r="G83" s="92" t="s">
        <v>641</v>
      </c>
    </row>
    <row r="84" spans="1:10" ht="15.75">
      <c r="A84" s="43"/>
      <c r="C84" s="433" t="s">
        <v>187</v>
      </c>
      <c r="D84" s="433"/>
      <c r="E84" s="148">
        <f>SUM(E79:E83)</f>
        <v>0</v>
      </c>
      <c r="F84" s="144">
        <f>SUM(F79:F83)</f>
        <v>0</v>
      </c>
      <c r="G84" s="92"/>
    </row>
    <row r="85" spans="1:10">
      <c r="A85" s="43"/>
      <c r="F85" s="96"/>
      <c r="G85" s="92"/>
    </row>
    <row r="86" spans="1:10">
      <c r="A86" s="43"/>
      <c r="F86" s="96"/>
      <c r="G86" s="92"/>
    </row>
    <row r="87" spans="1:10">
      <c r="A87" s="43"/>
      <c r="C87" s="41"/>
      <c r="D87" s="41" t="s">
        <v>380</v>
      </c>
      <c r="E87" s="166">
        <f>'Caja QTQ'!$H$384+('Caja USD'!$H$160*'Flujo caja Enero 25'!$D$6)</f>
        <v>208600.71639999916</v>
      </c>
      <c r="F87" s="153">
        <f>('Caja QTQ'!$H$384/$D$6)+'Caja USD'!$H$160</f>
        <v>27776.393661784175</v>
      </c>
      <c r="G87" s="92"/>
    </row>
    <row r="88" spans="1:10">
      <c r="A88" s="43"/>
      <c r="D88" s="200" t="s">
        <v>644</v>
      </c>
      <c r="E88" s="166">
        <f>SUM(E79:E82)</f>
        <v>0</v>
      </c>
      <c r="F88" s="153">
        <f>SUM(F79:F82)</f>
        <v>0</v>
      </c>
      <c r="G88" s="92"/>
    </row>
    <row r="89" spans="1:10">
      <c r="A89" s="43"/>
      <c r="D89" s="146" t="s">
        <v>381</v>
      </c>
      <c r="E89" s="201">
        <f>E87-E88</f>
        <v>208600.71639999916</v>
      </c>
      <c r="F89" s="145">
        <f>F87-F88</f>
        <v>27776.393661784175</v>
      </c>
      <c r="G89" s="92"/>
      <c r="J89" s="167"/>
    </row>
    <row r="90" spans="1:10">
      <c r="A90" s="43"/>
      <c r="F90" s="96"/>
      <c r="G90" s="92"/>
    </row>
    <row r="91" spans="1:10">
      <c r="D91" s="43" t="s">
        <v>135</v>
      </c>
      <c r="E91" s="15">
        <f>SUMIFS($D$25:$D$86,$F$25:$F$86,"&gt;="&amp;C79,$F$25:$F$86,"&lt;="&amp;D83,$G$25:$G$86,$D$91)</f>
        <v>395529.11130000011</v>
      </c>
      <c r="F91" s="153">
        <f>SUMIFS($E$25:$E$86,$F$25:$F$86,"&gt;="&amp;C79,$F$25:$F$86,"&lt;="&amp;D83,$G$25:$G$86,$D$91)</f>
        <v>53188.337470039944</v>
      </c>
    </row>
    <row r="92" spans="1:10">
      <c r="D92" s="43" t="s">
        <v>143</v>
      </c>
      <c r="E92" s="15">
        <f>SUMIFS($D$25:$D$86,$F$25:$F$86,"&gt;="&amp;C79,$F$25:$F$86,"&lt;="&amp;D83,$G$25:$G$86,$D$92)</f>
        <v>0</v>
      </c>
      <c r="F92" s="153">
        <f>SUMIFS($E$25:$E$86,$F$25:$F$86,"&gt;="&amp;C79,$F$25:$F$86,"&lt;="&amp;D83,$G$25:$G$86,$D$92)</f>
        <v>0</v>
      </c>
    </row>
    <row r="93" spans="1:10">
      <c r="D93" s="146" t="s">
        <v>189</v>
      </c>
      <c r="E93" s="152">
        <f>SUM(E91:E92)</f>
        <v>395529.11130000011</v>
      </c>
      <c r="F93" s="145">
        <f>SUM(F91:F92)</f>
        <v>53188.337470039944</v>
      </c>
    </row>
    <row r="94" spans="1:10">
      <c r="D94" s="146" t="s">
        <v>190</v>
      </c>
      <c r="E94" s="152">
        <f>E93-D73</f>
        <v>0</v>
      </c>
      <c r="F94" s="145">
        <f>F93-E73</f>
        <v>0</v>
      </c>
    </row>
    <row r="96" spans="1:10" hidden="1">
      <c r="D96" s="41" t="s">
        <v>373</v>
      </c>
      <c r="E96" s="166">
        <f>D75</f>
        <v>218245.42012087291</v>
      </c>
    </row>
    <row r="97" spans="4:6" hidden="1">
      <c r="D97" s="41" t="s">
        <v>339</v>
      </c>
      <c r="E97" s="166">
        <f>'Caja QTQ'!H167+('Caja USD'!H70*7.6)</f>
        <v>190098.56839999984</v>
      </c>
    </row>
    <row r="98" spans="4:6" hidden="1">
      <c r="D98" s="41" t="s">
        <v>85</v>
      </c>
      <c r="E98" s="166">
        <f>E96-E97</f>
        <v>28146.851720873063</v>
      </c>
      <c r="F98" s="185">
        <f>E98/7.88</f>
        <v>3571.9354975727238</v>
      </c>
    </row>
    <row r="99" spans="4:6">
      <c r="E99" s="41" t="s">
        <v>671</v>
      </c>
      <c r="F99" s="167">
        <f>$E$26+$E$28+$E$29+$E$32+$E$33+16000</f>
        <v>24241.134487350202</v>
      </c>
    </row>
    <row r="100" spans="4:6">
      <c r="E100" s="166" t="s">
        <v>381</v>
      </c>
      <c r="F100" s="167">
        <f>F89-F99</f>
        <v>3535.2591744339734</v>
      </c>
    </row>
    <row r="101" spans="4:6">
      <c r="E101" s="166"/>
    </row>
    <row r="102" spans="4:6">
      <c r="E102" s="166"/>
      <c r="F102" s="185"/>
    </row>
    <row r="103" spans="4:6">
      <c r="D103" s="41" t="s">
        <v>373</v>
      </c>
      <c r="E103" s="166">
        <f>D75</f>
        <v>218245.42012087291</v>
      </c>
    </row>
    <row r="104" spans="4:6">
      <c r="D104" s="41" t="s">
        <v>339</v>
      </c>
      <c r="E104" s="166">
        <f>'Caja QTQ'!$H$384+('Caja USD'!H148*$D$6)</f>
        <v>218240.77769999916</v>
      </c>
    </row>
    <row r="105" spans="4:6">
      <c r="D105" s="41" t="s">
        <v>444</v>
      </c>
      <c r="E105" s="166">
        <f>E103-E104</f>
        <v>4.6424208737444133</v>
      </c>
      <c r="F105" s="167"/>
    </row>
    <row r="106" spans="4:6">
      <c r="D106" s="41" t="s">
        <v>674</v>
      </c>
      <c r="E106" s="167">
        <f>E105/$D$6</f>
        <v>0.61816522952655306</v>
      </c>
      <c r="F106" s="167"/>
    </row>
  </sheetData>
  <protectedRanges>
    <protectedRange sqref="F20:G20 D77:E77 C87 D10:E11 D85:E90 D48:E48" name="Presupuestos"/>
    <protectedRange sqref="D24:E24 D8:E8" name="Presupuestos_1"/>
    <protectedRange sqref="D32:E36" name="Presupuestos_13_1"/>
    <protectedRange sqref="D38:E44" name="Presupuestos_14"/>
    <protectedRange sqref="D57:E57 E52:E53 E56 D54:E55 E58:E62" name="Presupuestos_2_1_1_1"/>
    <protectedRange sqref="K53 D53 D71:E72 D69:E69 D64:E67" name="Presupuestos_6_1_1_1"/>
    <protectedRange sqref="D52 D56 D58:D62" name="Presupuestos_5_2_1"/>
    <protectedRange sqref="E50" name="Presupuestos_7_1"/>
    <protectedRange sqref="D46:E46" name="Presupuestos_13_1_1"/>
    <protectedRange sqref="D50" name="Presupuestos_7_1_1"/>
  </protectedRanges>
  <autoFilter ref="B24:J72" xr:uid="{00000000-0009-0000-0000-000002000000}"/>
  <mergeCells count="4">
    <mergeCell ref="D7:E7"/>
    <mergeCell ref="B23:C23"/>
    <mergeCell ref="D23:E23"/>
    <mergeCell ref="C84:D84"/>
  </mergeCells>
  <conditionalFormatting sqref="J26 J28:J30 J32:J36 J38:J44 J46 J50 J52:J62 J64:J67 J71:J72">
    <cfRule type="cellIs" dxfId="184" priority="9" operator="lessThan">
      <formula>0</formula>
    </cfRule>
    <cfRule type="cellIs" dxfId="183" priority="10" operator="between">
      <formula>6</formula>
      <formula>15</formula>
    </cfRule>
    <cfRule type="cellIs" dxfId="182" priority="11" operator="between">
      <formula>1</formula>
      <formula>5</formula>
    </cfRule>
    <cfRule type="cellIs" dxfId="181" priority="12" operator="between">
      <formula>16</formula>
      <formula>60</formula>
    </cfRule>
  </conditionalFormatting>
  <conditionalFormatting sqref="J48">
    <cfRule type="cellIs" dxfId="180" priority="5" operator="lessThan">
      <formula>0</formula>
    </cfRule>
    <cfRule type="cellIs" dxfId="179" priority="6" operator="between">
      <formula>6</formula>
      <formula>15</formula>
    </cfRule>
    <cfRule type="cellIs" dxfId="178" priority="7" operator="between">
      <formula>1</formula>
      <formula>5</formula>
    </cfRule>
    <cfRule type="cellIs" dxfId="177" priority="8" operator="between">
      <formula>16</formula>
      <formula>60</formula>
    </cfRule>
  </conditionalFormatting>
  <conditionalFormatting sqref="J69">
    <cfRule type="cellIs" dxfId="176" priority="1" operator="lessThan">
      <formula>0</formula>
    </cfRule>
    <cfRule type="cellIs" dxfId="175" priority="2" operator="between">
      <formula>6</formula>
      <formula>15</formula>
    </cfRule>
    <cfRule type="cellIs" dxfId="174" priority="3" operator="between">
      <formula>1</formula>
      <formula>5</formula>
    </cfRule>
    <cfRule type="cellIs" dxfId="173" priority="4" operator="between">
      <formula>16</formula>
      <formula>60</formula>
    </cfRule>
  </conditionalFormatting>
  <dataValidations count="3">
    <dataValidation type="list" allowBlank="1" showInputMessage="1" showErrorMessage="1" sqref="G71:G72 G25:G26 D91:D92 G69 G46 G32:G36 G48 G38:G44 G64:G67 G52:G62 G50 G28:G30" xr:uid="{A2B1D12D-3388-4419-B06A-5D2007D018DD}">
      <formula1>"Cancelado,Pagar,Sin Pagar"</formula1>
    </dataValidation>
    <dataValidation type="list" allowBlank="1" showInputMessage="1" showErrorMessage="1" sqref="D23 D7" xr:uid="{F3DCCF2A-95BB-4CD1-9A81-9975A8D6A357}">
      <formula1>"ENERO,FEBRERO,MARZO,ABRIL,MAYO,JUNIO,JULIO,AGOSTO,SEPTIEMBRE,OCTUBRE,NOVIEMBRE,DICIEMBRE"</formula1>
    </dataValidation>
    <dataValidation type="list" allowBlank="1" showInputMessage="1" showErrorMessage="1" sqref="B13:B19" xr:uid="{44C2D9BE-59B3-40CC-8012-18B5D43543EF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31:J34 J38:J44 J52:J62 J26:J29 J46:J50 J64:J72" unlockedFormula="1"/>
  </ignoredError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D043-9366-4BCC-8503-2016468733AD}">
  <dimension ref="A1:S106"/>
  <sheetViews>
    <sheetView showGridLines="0" topLeftCell="A84" zoomScale="90" zoomScaleNormal="90" workbookViewId="0">
      <selection activeCell="D103" sqref="D103:E106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45692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7.59</v>
      </c>
      <c r="E6" s="42"/>
      <c r="I6" s="43"/>
    </row>
    <row r="7" spans="1:9" ht="15.75">
      <c r="C7" s="99"/>
      <c r="D7" s="432" t="s">
        <v>677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SUBTOTAL(9,D10:D12)</f>
        <v>244283.33039999916</v>
      </c>
      <c r="E9" s="122">
        <f>SUBTOTAL(9,E10:E12)</f>
        <v>32184.892015810165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QTQ'!$D$387</f>
        <v>201067.81089999917</v>
      </c>
      <c r="E10" s="25">
        <f>D10/$D$6</f>
        <v>26491.147681159309</v>
      </c>
      <c r="F10" s="49"/>
    </row>
    <row r="11" spans="1:9" s="43" customFormat="1" hidden="1" outlineLevel="1">
      <c r="B11" s="46"/>
      <c r="C11" s="47"/>
      <c r="D11" s="15">
        <f>35202.37+400</f>
        <v>35602.370000000003</v>
      </c>
      <c r="E11" s="25">
        <f>D11/$D$6</f>
        <v>4690.6943346508569</v>
      </c>
      <c r="F11" s="49"/>
    </row>
    <row r="12" spans="1:9" s="43" customFormat="1" outlineLevel="1">
      <c r="B12" s="46"/>
      <c r="C12" s="47" t="s">
        <v>154</v>
      </c>
      <c r="D12" s="15">
        <f>E12*D6</f>
        <v>7613.1495000000014</v>
      </c>
      <c r="E12" s="25">
        <f>'Caja USD'!$D$165</f>
        <v>1003.0500000000002</v>
      </c>
      <c r="F12" s="49"/>
    </row>
    <row r="13" spans="1:9" s="43" customFormat="1" ht="15.75">
      <c r="B13" s="46"/>
      <c r="C13" s="102" t="s">
        <v>134</v>
      </c>
      <c r="D13" s="127">
        <f>SUBTOTAL(9,D14:D20)</f>
        <v>540760.59000000008</v>
      </c>
      <c r="E13" s="122">
        <f>SUBTOTAL(9,E14:E20)</f>
        <v>70817.007694334665</v>
      </c>
      <c r="F13" s="128"/>
    </row>
    <row r="14" spans="1:9" s="43" customFormat="1" outlineLevel="1">
      <c r="B14" s="242" t="s">
        <v>298</v>
      </c>
      <c r="C14" s="243" t="s">
        <v>514</v>
      </c>
      <c r="D14" s="244">
        <f>'Diferencia en cambio'!$I$72</f>
        <v>42561.727374701208</v>
      </c>
      <c r="E14" s="245">
        <f>$D$14/'Diferencia en cambio'!$L$72</f>
        <v>5615.0843214756269</v>
      </c>
      <c r="F14" s="128"/>
      <c r="G14" s="52"/>
    </row>
    <row r="15" spans="1:9" s="43" customFormat="1" outlineLevel="1">
      <c r="A15" s="50"/>
      <c r="B15" s="242" t="s">
        <v>298</v>
      </c>
      <c r="C15" s="243" t="s">
        <v>517</v>
      </c>
      <c r="D15" s="244">
        <f>'Diferencia en cambio'!I75</f>
        <v>397103.67</v>
      </c>
      <c r="E15" s="245">
        <f>$D$15/'Diferencia en cambio'!$L$75</f>
        <v>51846.21</v>
      </c>
      <c r="F15" s="128"/>
      <c r="G15" s="184"/>
    </row>
    <row r="16" spans="1:9" s="43" customFormat="1" outlineLevel="1">
      <c r="A16" s="50"/>
      <c r="B16" s="242" t="s">
        <v>298</v>
      </c>
      <c r="C16" s="243" t="s">
        <v>520</v>
      </c>
      <c r="D16" s="244">
        <f>'Diferencia en cambio'!$I$76</f>
        <v>7156.1190345219893</v>
      </c>
      <c r="E16" s="245">
        <f>$D$16/'Diferencia en cambio'!$L$76</f>
        <v>947.50118577075091</v>
      </c>
      <c r="F16" s="128"/>
      <c r="G16" s="184"/>
    </row>
    <row r="17" spans="2:19" s="43" customFormat="1" outlineLevel="1">
      <c r="B17" s="242" t="s">
        <v>298</v>
      </c>
      <c r="C17" s="243" t="s">
        <v>519</v>
      </c>
      <c r="D17" s="244">
        <f>'Diferencia en cambio'!$I$77</f>
        <v>13408.544364876596</v>
      </c>
      <c r="E17" s="245">
        <f>$D$17/'Diferencia en cambio'!$L$77</f>
        <v>1775.3494071146247</v>
      </c>
      <c r="F17" s="128"/>
      <c r="G17" s="52"/>
    </row>
    <row r="18" spans="2:19" s="43" customFormat="1" outlineLevel="1">
      <c r="B18" s="242" t="s">
        <v>298</v>
      </c>
      <c r="C18" s="243" t="s">
        <v>515</v>
      </c>
      <c r="D18" s="244">
        <f>'Diferencia en cambio'!I73</f>
        <v>43673.155114458728</v>
      </c>
      <c r="E18" s="245">
        <f>$D$18/'Diferencia en cambio'!$L$73</f>
        <v>5761.71277997365</v>
      </c>
      <c r="F18" s="128"/>
      <c r="G18" s="52"/>
    </row>
    <row r="19" spans="2:19" s="43" customFormat="1" outlineLevel="1">
      <c r="B19" s="242" t="s">
        <v>298</v>
      </c>
      <c r="C19" s="243" t="s">
        <v>518</v>
      </c>
      <c r="D19" s="244">
        <f>'Diferencia en cambio'!$I$78</f>
        <v>18117.516600601419</v>
      </c>
      <c r="E19" s="245">
        <f>$D$19/'Diferencia en cambio'!$L$78</f>
        <v>2398.8377470355731</v>
      </c>
      <c r="F19" s="128"/>
      <c r="G19" s="52"/>
    </row>
    <row r="20" spans="2:19" s="43" customFormat="1" outlineLevel="1">
      <c r="B20" s="242" t="s">
        <v>298</v>
      </c>
      <c r="C20" s="243" t="s">
        <v>516</v>
      </c>
      <c r="D20" s="244">
        <f>'Diferencia en cambio'!I74</f>
        <v>18739.857510840055</v>
      </c>
      <c r="E20" s="245">
        <f>$D$20/'Diferencia en cambio'!$L$74</f>
        <v>2472.3122529644265</v>
      </c>
      <c r="F20" s="128"/>
      <c r="G20" s="52"/>
    </row>
    <row r="21" spans="2:19" s="43" customFormat="1" ht="15.75">
      <c r="B21" s="46"/>
      <c r="C21" s="55" t="s">
        <v>136</v>
      </c>
      <c r="D21" s="123">
        <f>SUBTOTAL(9,D9:D18)</f>
        <v>748186.5462885577</v>
      </c>
      <c r="E21" s="124">
        <f>SUBTOTAL(9,E9:E18)</f>
        <v>98130.749710144824</v>
      </c>
      <c r="F21" s="56"/>
      <c r="G21" s="56"/>
      <c r="J21" s="52"/>
      <c r="K21" s="57"/>
      <c r="O21" s="58"/>
      <c r="P21" s="59"/>
      <c r="Q21" s="53"/>
    </row>
    <row r="22" spans="2:19" s="43" customFormat="1" ht="15.75">
      <c r="B22" s="46"/>
      <c r="C22" s="60"/>
      <c r="D22" s="61"/>
      <c r="E22" s="61"/>
      <c r="G22" s="62"/>
      <c r="O22" s="59"/>
      <c r="P22" s="59"/>
    </row>
    <row r="23" spans="2:19" s="43" customFormat="1" ht="15.75">
      <c r="B23" s="46"/>
      <c r="N23" s="63"/>
      <c r="O23" s="64"/>
      <c r="P23" s="65"/>
    </row>
    <row r="24" spans="2:19" s="43" customFormat="1" ht="15.75">
      <c r="B24" s="432" t="s">
        <v>137</v>
      </c>
      <c r="C24" s="432"/>
      <c r="D24" s="432" t="s">
        <v>677</v>
      </c>
      <c r="E24" s="432"/>
      <c r="K24" s="65"/>
      <c r="L24" s="65"/>
      <c r="N24" s="63"/>
      <c r="R24" s="52"/>
      <c r="S24" s="52"/>
    </row>
    <row r="25" spans="2:19" s="43" customFormat="1" ht="16.5" thickBot="1">
      <c r="B25" s="67" t="s">
        <v>81</v>
      </c>
      <c r="C25" s="68" t="s">
        <v>106</v>
      </c>
      <c r="D25" s="110" t="s">
        <v>168</v>
      </c>
      <c r="E25" s="110" t="s">
        <v>169</v>
      </c>
      <c r="F25" s="69" t="s">
        <v>140</v>
      </c>
      <c r="G25" s="63" t="s">
        <v>141</v>
      </c>
      <c r="H25" s="63"/>
      <c r="I25" s="63"/>
      <c r="J25" s="70" t="s">
        <v>142</v>
      </c>
      <c r="N25" s="71"/>
      <c r="R25" s="52"/>
      <c r="S25" s="72"/>
    </row>
    <row r="26" spans="2:19" s="43" customFormat="1" ht="16.5" thickBot="1">
      <c r="B26" s="46"/>
      <c r="C26" s="73" t="s">
        <v>155</v>
      </c>
      <c r="D26" s="103">
        <f>SUBTOTAL(9,D27:D27)</f>
        <v>61173.11</v>
      </c>
      <c r="E26" s="112">
        <f>SUBTOTAL(9,E27:E27)</f>
        <v>8059.6982872200269</v>
      </c>
      <c r="F26" s="74"/>
      <c r="J26" s="76"/>
    </row>
    <row r="27" spans="2:19" s="43" customFormat="1" ht="15.75" outlineLevel="1" thickBot="1">
      <c r="B27" s="168">
        <v>5228255</v>
      </c>
      <c r="C27" s="78" t="s">
        <v>676</v>
      </c>
      <c r="D27" s="109">
        <v>61173.11</v>
      </c>
      <c r="E27" s="115">
        <f>D27/$D$6</f>
        <v>8059.6982872200269</v>
      </c>
      <c r="F27" s="80">
        <v>45701</v>
      </c>
      <c r="G27" s="43" t="s">
        <v>135</v>
      </c>
      <c r="H27" s="43">
        <f>IF(OR(G27="Sin pagar",G27="Pagar"),NETWORKDAYS($E$4,F27,'Festivos Guatemala'!$A$3:$A$15),0)</f>
        <v>0</v>
      </c>
      <c r="I27" s="43">
        <f>NETWORKDAYS($E$4,F27,'Festivos Guatemala'!$A$3:$A$15)</f>
        <v>8</v>
      </c>
      <c r="J27" s="75">
        <f>H27</f>
        <v>0</v>
      </c>
      <c r="K27" s="52"/>
      <c r="L27" s="52"/>
    </row>
    <row r="28" spans="2:19" s="43" customFormat="1" ht="16.5" thickBot="1">
      <c r="B28" s="46"/>
      <c r="C28" s="73" t="s">
        <v>144</v>
      </c>
      <c r="D28" s="103">
        <f>SUBTOTAL(9,D29:D30)</f>
        <v>22716.449999999997</v>
      </c>
      <c r="E28" s="112">
        <f>SUBTOTAL(9,E29:E30)</f>
        <v>2992.9446640316205</v>
      </c>
      <c r="J28" s="76">
        <f t="shared" ref="J28:J34" si="0">H28</f>
        <v>0</v>
      </c>
    </row>
    <row r="29" spans="2:19" s="43" customFormat="1" outlineLevel="1">
      <c r="B29" s="168">
        <v>45733188568</v>
      </c>
      <c r="C29" s="47" t="s">
        <v>678</v>
      </c>
      <c r="D29" s="109">
        <v>20915.87</v>
      </c>
      <c r="E29" s="115">
        <f>D29/$D$6</f>
        <v>2755.714097496706</v>
      </c>
      <c r="F29" s="80">
        <v>45701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8</v>
      </c>
      <c r="J29" s="75">
        <f>H29</f>
        <v>0</v>
      </c>
      <c r="K29" s="48"/>
      <c r="L29" s="57"/>
    </row>
    <row r="30" spans="2:19" s="43" customFormat="1" ht="15.75" outlineLevel="1" thickBot="1">
      <c r="B30" s="168">
        <v>45710170266</v>
      </c>
      <c r="C30" s="47" t="s">
        <v>696</v>
      </c>
      <c r="D30" s="109">
        <v>1800.58</v>
      </c>
      <c r="E30" s="115">
        <f>D30/$D$6</f>
        <v>237.23056653491435</v>
      </c>
      <c r="F30" s="80">
        <v>45701</v>
      </c>
      <c r="G30" s="43" t="s">
        <v>135</v>
      </c>
      <c r="H30" s="43">
        <f>IF(OR(G30="Sin pagar",G30="Pagar"),NETWORKDAYS($E$4,F30,'Festivos Guatemala'!$A$3:$A$15),0)</f>
        <v>0</v>
      </c>
      <c r="I30" s="43">
        <f>NETWORKDAYS($E$4,F30,'Festivos Guatemala'!$A$3:$A$15)</f>
        <v>8</v>
      </c>
      <c r="J30" s="75">
        <f>H30</f>
        <v>0</v>
      </c>
      <c r="K30" s="48"/>
      <c r="L30" s="57"/>
    </row>
    <row r="31" spans="2:19" s="43" customFormat="1" ht="16.5" thickBot="1">
      <c r="B31" s="46"/>
      <c r="C31" s="73" t="s">
        <v>163</v>
      </c>
      <c r="D31" s="103">
        <f>SUBTOTAL(9,D32:D35)</f>
        <v>3141.11</v>
      </c>
      <c r="E31" s="112">
        <f>SUBTOTAL(9,E32:E35)</f>
        <v>413.84848484848487</v>
      </c>
      <c r="J31" s="76">
        <f t="shared" si="0"/>
        <v>0</v>
      </c>
      <c r="K31" s="52"/>
      <c r="L31" s="52"/>
    </row>
    <row r="32" spans="2:19" s="43" customFormat="1" outlineLevel="1">
      <c r="B32" s="46"/>
      <c r="C32" s="47" t="s">
        <v>679</v>
      </c>
      <c r="D32" s="104">
        <v>842.11</v>
      </c>
      <c r="E32" s="113">
        <f t="shared" ref="E32:E34" si="1">D32/$D$6</f>
        <v>110.94993412384717</v>
      </c>
      <c r="F32" s="80">
        <v>45701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8</v>
      </c>
      <c r="J32" s="75">
        <f t="shared" si="0"/>
        <v>0</v>
      </c>
      <c r="N32" s="49"/>
    </row>
    <row r="33" spans="2:16" s="43" customFormat="1" outlineLevel="1">
      <c r="B33" s="46"/>
      <c r="C33" s="47" t="s">
        <v>680</v>
      </c>
      <c r="D33" s="104">
        <f>500*0</f>
        <v>0</v>
      </c>
      <c r="E33" s="113">
        <f t="shared" si="1"/>
        <v>0</v>
      </c>
      <c r="F33" s="80">
        <v>45716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19</v>
      </c>
      <c r="J33" s="75">
        <f t="shared" si="0"/>
        <v>0</v>
      </c>
      <c r="N33" s="49"/>
    </row>
    <row r="34" spans="2:16" s="43" customFormat="1" ht="30" outlineLevel="1">
      <c r="B34" s="84">
        <v>4461</v>
      </c>
      <c r="C34" s="47" t="s">
        <v>681</v>
      </c>
      <c r="D34" s="104">
        <v>2299</v>
      </c>
      <c r="E34" s="113">
        <f t="shared" si="1"/>
        <v>302.89855072463769</v>
      </c>
      <c r="F34" s="74">
        <v>45713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16</v>
      </c>
      <c r="J34" s="75">
        <f t="shared" si="0"/>
        <v>0</v>
      </c>
      <c r="N34" s="49"/>
    </row>
    <row r="35" spans="2:16" s="43" customFormat="1" ht="15.75" outlineLevel="1" thickBot="1">
      <c r="B35" s="46" t="s">
        <v>145</v>
      </c>
      <c r="C35" s="50" t="s">
        <v>687</v>
      </c>
      <c r="D35" s="104">
        <f>5000*0</f>
        <v>0</v>
      </c>
      <c r="E35" s="113">
        <f>D35/$D$6</f>
        <v>0</v>
      </c>
      <c r="F35" s="74">
        <v>45716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19</v>
      </c>
      <c r="J35" s="75">
        <f t="shared" ref="J35" si="2">H35</f>
        <v>0</v>
      </c>
      <c r="M35" s="199"/>
      <c r="N35" s="49"/>
    </row>
    <row r="36" spans="2:16" s="43" customFormat="1" ht="16.5" thickBot="1">
      <c r="C36" s="73" t="s">
        <v>146</v>
      </c>
      <c r="D36" s="103">
        <f>SUBTOTAL(9,D37:D43)</f>
        <v>8775.9632999999994</v>
      </c>
      <c r="E36" s="112">
        <f>SUBTOTAL(9,E37:E43)</f>
        <v>1156.2533992094861</v>
      </c>
      <c r="K36" s="49"/>
      <c r="L36" s="49"/>
      <c r="O36" s="49"/>
      <c r="P36" s="49"/>
    </row>
    <row r="37" spans="2:16" s="43" customFormat="1" ht="14.25" customHeight="1" outlineLevel="1">
      <c r="B37" s="186"/>
      <c r="C37" s="210" t="s">
        <v>272</v>
      </c>
      <c r="D37" s="104">
        <f>E37*$D$6</f>
        <v>417.98129999999998</v>
      </c>
      <c r="E37" s="247">
        <v>55.07</v>
      </c>
      <c r="F37" s="74">
        <v>45714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17</v>
      </c>
      <c r="J37" s="75">
        <f t="shared" ref="J37:J43" si="3">H37</f>
        <v>0</v>
      </c>
      <c r="K37" s="49"/>
      <c r="L37" s="49"/>
      <c r="O37" s="49"/>
      <c r="P37" s="49"/>
    </row>
    <row r="38" spans="2:16" s="43" customFormat="1" outlineLevel="1">
      <c r="B38" s="186"/>
      <c r="C38" s="210" t="s">
        <v>273</v>
      </c>
      <c r="D38" s="104">
        <f>E38*$D$6</f>
        <v>1969.3773000000001</v>
      </c>
      <c r="E38" s="247">
        <v>259.47000000000003</v>
      </c>
      <c r="F38" s="74">
        <v>45714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17</v>
      </c>
      <c r="J38" s="75">
        <f t="shared" si="3"/>
        <v>0</v>
      </c>
    </row>
    <row r="39" spans="2:16" s="43" customFormat="1" outlineLevel="1">
      <c r="B39" s="186"/>
      <c r="C39" s="210" t="s">
        <v>274</v>
      </c>
      <c r="D39" s="104">
        <f>E39*$D$6</f>
        <v>1558.4547</v>
      </c>
      <c r="E39" s="247">
        <v>205.33</v>
      </c>
      <c r="F39" s="74">
        <v>45714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17</v>
      </c>
      <c r="J39" s="75">
        <f t="shared" si="3"/>
        <v>0</v>
      </c>
    </row>
    <row r="40" spans="2:16" s="43" customFormat="1" ht="14.25" customHeight="1" outlineLevel="1">
      <c r="B40" s="186"/>
      <c r="C40" s="209" t="s">
        <v>496</v>
      </c>
      <c r="D40" s="246">
        <v>861.81</v>
      </c>
      <c r="E40" s="113">
        <f>D40/$D$6</f>
        <v>113.54545454545455</v>
      </c>
      <c r="F40" s="74">
        <v>45714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17</v>
      </c>
      <c r="J40" s="75">
        <f>H40</f>
        <v>0</v>
      </c>
      <c r="K40" s="49"/>
      <c r="L40" s="49"/>
      <c r="O40" s="49"/>
      <c r="P40" s="49"/>
    </row>
    <row r="41" spans="2:16" s="43" customFormat="1" ht="14.25" customHeight="1" outlineLevel="1">
      <c r="B41" s="186"/>
      <c r="C41" s="209" t="s">
        <v>277</v>
      </c>
      <c r="D41" s="246">
        <v>943.23</v>
      </c>
      <c r="E41" s="113">
        <f>D41/$D$6</f>
        <v>124.27272727272728</v>
      </c>
      <c r="F41" s="74">
        <v>45714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17</v>
      </c>
      <c r="J41" s="75">
        <f t="shared" si="3"/>
        <v>0</v>
      </c>
      <c r="K41" s="49"/>
      <c r="L41" s="49"/>
      <c r="O41" s="49"/>
      <c r="P41" s="49"/>
    </row>
    <row r="42" spans="2:16" s="43" customFormat="1" outlineLevel="1">
      <c r="B42" s="186"/>
      <c r="C42" s="209" t="s">
        <v>276</v>
      </c>
      <c r="D42" s="246">
        <v>1023.02</v>
      </c>
      <c r="E42" s="113">
        <f>D42/$D$6</f>
        <v>134.78524374176547</v>
      </c>
      <c r="F42" s="74">
        <v>45714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17</v>
      </c>
      <c r="J42" s="75">
        <f t="shared" si="3"/>
        <v>0</v>
      </c>
    </row>
    <row r="43" spans="2:16" s="43" customFormat="1" ht="15.75" outlineLevel="1" thickBot="1">
      <c r="B43" s="186"/>
      <c r="C43" s="209" t="s">
        <v>275</v>
      </c>
      <c r="D43" s="246">
        <v>2002.09</v>
      </c>
      <c r="E43" s="113">
        <f>D43/$D$6</f>
        <v>263.77997364953887</v>
      </c>
      <c r="F43" s="74">
        <v>45714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17</v>
      </c>
      <c r="J43" s="75">
        <f t="shared" si="3"/>
        <v>0</v>
      </c>
    </row>
    <row r="44" spans="2:16" s="43" customFormat="1" ht="16.5" thickBot="1">
      <c r="B44" s="82"/>
      <c r="C44" s="85" t="s">
        <v>162</v>
      </c>
      <c r="D44" s="119">
        <f>SUBTOTAL(9,D45:D46)</f>
        <v>27815.140500000001</v>
      </c>
      <c r="E44" s="114">
        <f>SUBTOTAL(9,E45:E46)</f>
        <v>3543.33</v>
      </c>
      <c r="K44" s="52"/>
      <c r="M44" s="183"/>
      <c r="N44" s="183"/>
    </row>
    <row r="45" spans="2:16" s="43" customFormat="1" outlineLevel="1">
      <c r="B45" s="46"/>
      <c r="C45" s="47" t="s">
        <v>686</v>
      </c>
      <c r="D45" s="104">
        <f>E45*7.85</f>
        <v>12212.0095</v>
      </c>
      <c r="E45" s="115">
        <v>1555.67</v>
      </c>
      <c r="F45" s="74">
        <v>45715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18</v>
      </c>
      <c r="J45" s="75">
        <f t="shared" ref="J45" si="4">H45</f>
        <v>0</v>
      </c>
      <c r="M45" s="104"/>
      <c r="N45" s="49"/>
    </row>
    <row r="46" spans="2:16" s="43" customFormat="1" ht="15.75" outlineLevel="1" thickBot="1">
      <c r="B46" s="46"/>
      <c r="C46" s="47" t="s">
        <v>711</v>
      </c>
      <c r="D46" s="104">
        <f>E46*7.85</f>
        <v>15603.130999999999</v>
      </c>
      <c r="E46" s="115">
        <v>1987.66</v>
      </c>
      <c r="F46" s="74">
        <v>45715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18</v>
      </c>
      <c r="J46" s="75">
        <f t="shared" ref="J46" si="5">H46</f>
        <v>0</v>
      </c>
      <c r="M46" s="104"/>
      <c r="N46" s="49"/>
    </row>
    <row r="47" spans="2:16" s="43" customFormat="1" ht="16.5" thickBot="1">
      <c r="B47" s="46"/>
      <c r="C47" s="73" t="s">
        <v>147</v>
      </c>
      <c r="D47" s="103">
        <f>SUBTOTAL(9,D48:D48)</f>
        <v>0</v>
      </c>
      <c r="E47" s="112">
        <f>SUBTOTAL(9,E48:E48)</f>
        <v>0</v>
      </c>
    </row>
    <row r="48" spans="2:16" s="43" customFormat="1" ht="15.75" outlineLevel="1" thickBot="1">
      <c r="B48" s="46"/>
      <c r="C48" s="47"/>
      <c r="D48" s="104"/>
      <c r="E48" s="113"/>
      <c r="F48" s="74">
        <v>45688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-3</v>
      </c>
      <c r="J48" s="75">
        <f>H48</f>
        <v>0</v>
      </c>
    </row>
    <row r="49" spans="2:12" s="43" customFormat="1" ht="15.75" customHeight="1" thickBot="1">
      <c r="C49" s="73" t="s">
        <v>148</v>
      </c>
      <c r="D49" s="119">
        <f>SUBTOTAL(9,D50:D51)</f>
        <v>359</v>
      </c>
      <c r="E49" s="114">
        <f>SUBTOTAL(9,E50:E51)</f>
        <v>45.928853754940711</v>
      </c>
    </row>
    <row r="50" spans="2:12" s="43" customFormat="1" outlineLevel="1">
      <c r="B50" s="46"/>
      <c r="C50" s="47" t="s">
        <v>436</v>
      </c>
      <c r="D50" s="109">
        <f>E50*7.85</f>
        <v>314</v>
      </c>
      <c r="E50" s="115">
        <v>40</v>
      </c>
      <c r="F50" s="74">
        <v>45715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18</v>
      </c>
      <c r="J50" s="75">
        <f>H50</f>
        <v>0</v>
      </c>
    </row>
    <row r="51" spans="2:12" s="43" customFormat="1" ht="15.75" outlineLevel="1" thickBot="1">
      <c r="B51" s="46"/>
      <c r="C51" s="47" t="s">
        <v>117</v>
      </c>
      <c r="D51" s="109">
        <f>15*3</f>
        <v>45</v>
      </c>
      <c r="E51" s="115">
        <f>D51/$D$6</f>
        <v>5.9288537549407119</v>
      </c>
      <c r="F51" s="74">
        <v>45714</v>
      </c>
      <c r="G51" s="43" t="s">
        <v>135</v>
      </c>
      <c r="J51" s="75"/>
    </row>
    <row r="52" spans="2:12" s="43" customFormat="1" ht="16.5" thickBot="1">
      <c r="C52" s="73" t="s">
        <v>164</v>
      </c>
      <c r="D52" s="103">
        <f>SUBTOTAL(9,D53:D66)</f>
        <v>383867.38000000006</v>
      </c>
      <c r="E52" s="112">
        <f>SUBTOTAL(9,E53:E66)</f>
        <v>50575.412384716743</v>
      </c>
      <c r="K52" s="52"/>
      <c r="L52" s="86"/>
    </row>
    <row r="53" spans="2:12" s="43" customFormat="1" outlineLevel="1">
      <c r="B53" s="83"/>
      <c r="C53" s="47" t="s">
        <v>682</v>
      </c>
      <c r="D53" s="109">
        <v>13332.16</v>
      </c>
      <c r="E53" s="115">
        <f t="shared" ref="E53:E55" si="6">D53/$D$6</f>
        <v>1756.5428194993412</v>
      </c>
      <c r="F53" s="74">
        <v>45692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</v>
      </c>
      <c r="J53" s="75">
        <f t="shared" ref="J53:J55" si="7">H53</f>
        <v>0</v>
      </c>
      <c r="L53" s="52"/>
    </row>
    <row r="54" spans="2:12" s="43" customFormat="1" outlineLevel="1">
      <c r="B54" s="83"/>
      <c r="C54" s="47" t="s">
        <v>683</v>
      </c>
      <c r="D54" s="109">
        <v>52457.77</v>
      </c>
      <c r="E54" s="115">
        <f t="shared" si="6"/>
        <v>6911.432147562582</v>
      </c>
      <c r="F54" s="74">
        <v>45692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</v>
      </c>
      <c r="J54" s="75">
        <f t="shared" si="7"/>
        <v>0</v>
      </c>
      <c r="L54" s="52"/>
    </row>
    <row r="55" spans="2:12" s="43" customFormat="1" outlineLevel="1">
      <c r="B55" s="83"/>
      <c r="C55" s="47" t="s">
        <v>684</v>
      </c>
      <c r="D55" s="109">
        <v>31443.52</v>
      </c>
      <c r="E55" s="115">
        <f t="shared" si="6"/>
        <v>4142.756258234519</v>
      </c>
      <c r="F55" s="74">
        <v>45692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</v>
      </c>
      <c r="J55" s="75">
        <f t="shared" si="7"/>
        <v>0</v>
      </c>
      <c r="L55" s="52"/>
    </row>
    <row r="56" spans="2:12" s="43" customFormat="1" outlineLevel="1">
      <c r="B56" s="83"/>
      <c r="C56" s="47" t="s">
        <v>176</v>
      </c>
      <c r="D56" s="248">
        <v>30698.47</v>
      </c>
      <c r="E56" s="115">
        <f t="shared" ref="E56:E62" si="8">D56/$D$6</f>
        <v>4044.594202898551</v>
      </c>
      <c r="F56" s="74">
        <v>45716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ref="J56:J62" si="9">H56</f>
        <v>0</v>
      </c>
      <c r="L56" s="52"/>
    </row>
    <row r="57" spans="2:12" s="43" customFormat="1" outlineLevel="1">
      <c r="B57" s="46"/>
      <c r="C57" s="47" t="s">
        <v>414</v>
      </c>
      <c r="D57" s="248">
        <v>60481.97</v>
      </c>
      <c r="E57" s="115">
        <f t="shared" si="8"/>
        <v>7968.638998682477</v>
      </c>
      <c r="F57" s="74">
        <v>45716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si="9"/>
        <v>0</v>
      </c>
      <c r="L57" s="52"/>
    </row>
    <row r="58" spans="2:12" s="43" customFormat="1" ht="13.5" customHeight="1" outlineLevel="1">
      <c r="B58" s="46"/>
      <c r="C58" s="47" t="s">
        <v>417</v>
      </c>
      <c r="D58" s="248">
        <v>10852.93</v>
      </c>
      <c r="E58" s="115">
        <f t="shared" si="8"/>
        <v>1429.8985507246377</v>
      </c>
      <c r="F58" s="74">
        <v>45716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9"/>
        <v>0</v>
      </c>
      <c r="L58" s="52"/>
    </row>
    <row r="59" spans="2:12" s="43" customFormat="1" outlineLevel="1">
      <c r="B59" s="83"/>
      <c r="C59" s="47" t="s">
        <v>409</v>
      </c>
      <c r="D59" s="248">
        <v>14546.47</v>
      </c>
      <c r="E59" s="115">
        <f t="shared" si="8"/>
        <v>1916.5309617918313</v>
      </c>
      <c r="F59" s="74">
        <v>45716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 t="shared" si="9"/>
        <v>0</v>
      </c>
      <c r="L59" s="52"/>
    </row>
    <row r="60" spans="2:12" s="43" customFormat="1" outlineLevel="1">
      <c r="B60" s="46"/>
      <c r="C60" s="47" t="s">
        <v>416</v>
      </c>
      <c r="D60" s="248">
        <v>94809.72</v>
      </c>
      <c r="E60" s="115">
        <f t="shared" si="8"/>
        <v>12491.399209486166</v>
      </c>
      <c r="F60" s="74">
        <v>45716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 t="shared" si="9"/>
        <v>0</v>
      </c>
      <c r="K60" s="52"/>
      <c r="L60" s="57"/>
    </row>
    <row r="61" spans="2:12" s="43" customFormat="1" ht="14.25" customHeight="1" outlineLevel="1">
      <c r="B61" s="83"/>
      <c r="C61" s="47" t="s">
        <v>412</v>
      </c>
      <c r="D61" s="248">
        <v>6164.51</v>
      </c>
      <c r="E61" s="115">
        <f t="shared" si="8"/>
        <v>812.1884057971015</v>
      </c>
      <c r="F61" s="74">
        <v>45716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 t="shared" si="9"/>
        <v>0</v>
      </c>
      <c r="L61" s="52"/>
    </row>
    <row r="62" spans="2:12" s="43" customFormat="1" outlineLevel="1">
      <c r="B62" s="83"/>
      <c r="C62" s="47" t="s">
        <v>413</v>
      </c>
      <c r="D62" s="248">
        <v>3943.21</v>
      </c>
      <c r="E62" s="115">
        <f t="shared" si="8"/>
        <v>519.52700922266138</v>
      </c>
      <c r="F62" s="74">
        <v>45716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19</v>
      </c>
      <c r="J62" s="75">
        <f t="shared" si="9"/>
        <v>0</v>
      </c>
      <c r="L62" s="52"/>
    </row>
    <row r="63" spans="2:12" s="43" customFormat="1" outlineLevel="1">
      <c r="B63" s="46"/>
      <c r="C63" s="47" t="s">
        <v>415</v>
      </c>
      <c r="D63" s="248">
        <v>26468.78</v>
      </c>
      <c r="E63" s="115">
        <f t="shared" ref="E63" si="10">D63/$D$6</f>
        <v>3487.32279314888</v>
      </c>
      <c r="F63" s="74">
        <v>45716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19</v>
      </c>
      <c r="J63" s="75">
        <f t="shared" ref="J63" si="11">H63</f>
        <v>0</v>
      </c>
      <c r="K63" s="48"/>
      <c r="L63" s="48"/>
    </row>
    <row r="64" spans="2:12" s="43" customFormat="1" outlineLevel="1">
      <c r="B64" s="83"/>
      <c r="C64" s="47" t="s">
        <v>410</v>
      </c>
      <c r="D64" s="248">
        <v>3943.21</v>
      </c>
      <c r="E64" s="115">
        <f>D64/$D$6</f>
        <v>519.52700922266138</v>
      </c>
      <c r="F64" s="74">
        <v>45716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19</v>
      </c>
      <c r="J64" s="75">
        <f>H64</f>
        <v>0</v>
      </c>
      <c r="L64" s="52"/>
    </row>
    <row r="65" spans="1:16" s="43" customFormat="1" outlineLevel="1">
      <c r="B65" s="83"/>
      <c r="C65" s="47" t="s">
        <v>418</v>
      </c>
      <c r="D65" s="248">
        <v>30781.45</v>
      </c>
      <c r="E65" s="115">
        <f>D65/$D$6</f>
        <v>4055.5270092226615</v>
      </c>
      <c r="F65" s="74">
        <v>45716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19</v>
      </c>
      <c r="J65" s="75">
        <f>H65</f>
        <v>0</v>
      </c>
      <c r="L65" s="52"/>
    </row>
    <row r="66" spans="1:16" s="43" customFormat="1" ht="15.75" outlineLevel="1" thickBot="1">
      <c r="B66" s="83"/>
      <c r="C66" s="47" t="s">
        <v>411</v>
      </c>
      <c r="D66" s="248">
        <v>3943.21</v>
      </c>
      <c r="E66" s="115">
        <f t="shared" ref="E66" si="12">D66/$D$6</f>
        <v>519.52700922266138</v>
      </c>
      <c r="F66" s="74">
        <v>45716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19</v>
      </c>
      <c r="J66" s="75">
        <f t="shared" ref="J66" si="13">H66</f>
        <v>0</v>
      </c>
      <c r="L66" s="52"/>
    </row>
    <row r="67" spans="1:16" s="43" customFormat="1" ht="16.5" thickBot="1">
      <c r="B67" s="46"/>
      <c r="C67" s="73" t="s">
        <v>173</v>
      </c>
      <c r="D67" s="103">
        <f>SUBTOTAL(9,D68:D71)</f>
        <v>33559.5645</v>
      </c>
      <c r="E67" s="112">
        <f>SUBTOTAL(9,E68:E71)</f>
        <v>4994.3600000000006</v>
      </c>
    </row>
    <row r="68" spans="1:16" s="43" customFormat="1" outlineLevel="1">
      <c r="B68" s="46"/>
      <c r="C68" s="210" t="s">
        <v>278</v>
      </c>
      <c r="D68" s="109">
        <f>E68*$D$6</f>
        <v>0</v>
      </c>
      <c r="E68" s="115">
        <v>0</v>
      </c>
      <c r="F68" s="74">
        <v>45716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19</v>
      </c>
      <c r="J68" s="75">
        <f t="shared" ref="J68:J71" si="14">H68</f>
        <v>0</v>
      </c>
      <c r="K68" s="52"/>
      <c r="L68" s="54"/>
    </row>
    <row r="69" spans="1:16" s="43" customFormat="1" outlineLevel="1">
      <c r="B69" s="46"/>
      <c r="C69" s="210" t="s">
        <v>661</v>
      </c>
      <c r="D69" s="109">
        <f>E69*$D$6</f>
        <v>33559.5645</v>
      </c>
      <c r="E69" s="115">
        <v>4421.55</v>
      </c>
      <c r="F69" s="74">
        <v>45716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19</v>
      </c>
      <c r="J69" s="75">
        <f t="shared" si="14"/>
        <v>0</v>
      </c>
      <c r="K69" s="52"/>
      <c r="L69" s="54"/>
    </row>
    <row r="70" spans="1:16" s="43" customFormat="1" outlineLevel="1">
      <c r="B70" s="46"/>
      <c r="C70" s="209" t="s">
        <v>280</v>
      </c>
      <c r="D70" s="109">
        <v>0</v>
      </c>
      <c r="E70" s="115">
        <f>D70/$D$6</f>
        <v>0</v>
      </c>
      <c r="F70" s="74">
        <v>45716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19</v>
      </c>
      <c r="J70" s="75">
        <f t="shared" si="14"/>
        <v>0</v>
      </c>
      <c r="K70" s="52"/>
      <c r="L70" s="54"/>
    </row>
    <row r="71" spans="1:16" s="43" customFormat="1" ht="15.75" outlineLevel="1" thickBot="1">
      <c r="B71" s="46"/>
      <c r="C71" s="209" t="s">
        <v>662</v>
      </c>
      <c r="D71" s="109">
        <v>0</v>
      </c>
      <c r="E71" s="115">
        <v>572.80999999999995</v>
      </c>
      <c r="F71" s="74">
        <v>45716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19</v>
      </c>
      <c r="J71" s="75">
        <f t="shared" si="14"/>
        <v>0</v>
      </c>
      <c r="K71" s="52"/>
      <c r="L71" s="54"/>
    </row>
    <row r="72" spans="1:16" s="43" customFormat="1" ht="16.5" thickBot="1">
      <c r="B72" s="87"/>
      <c r="C72" s="73" t="s">
        <v>149</v>
      </c>
      <c r="D72" s="103">
        <f>SUBTOTAL(9,D73)</f>
        <v>0</v>
      </c>
      <c r="E72" s="112">
        <f>SUBTOTAL(9,E73)</f>
        <v>0</v>
      </c>
      <c r="L72" s="52"/>
    </row>
    <row r="73" spans="1:16" s="43" customFormat="1" ht="15.75" outlineLevel="1" thickBot="1">
      <c r="B73" s="46"/>
      <c r="C73" s="47"/>
      <c r="D73" s="109"/>
      <c r="E73" s="115">
        <f>D73/$D$6</f>
        <v>0</v>
      </c>
      <c r="F73" s="74">
        <v>45716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19</v>
      </c>
      <c r="J73" s="75">
        <f>H73</f>
        <v>0</v>
      </c>
      <c r="K73" s="52"/>
      <c r="L73" s="54"/>
    </row>
    <row r="74" spans="1:16" s="43" customFormat="1" ht="16.5" thickBot="1">
      <c r="B74" s="46"/>
      <c r="C74" s="73" t="s">
        <v>638</v>
      </c>
      <c r="D74" s="103">
        <f>SUBTOTAL(9,D75:D76)</f>
        <v>1500</v>
      </c>
      <c r="E74" s="112">
        <f>SUBTOTAL(9,E75:E76)</f>
        <v>197.62845849802372</v>
      </c>
    </row>
    <row r="75" spans="1:16" s="43" customFormat="1" outlineLevel="1">
      <c r="B75" s="46" t="s">
        <v>710</v>
      </c>
      <c r="C75" s="47" t="s">
        <v>640</v>
      </c>
      <c r="D75" s="109">
        <v>1500</v>
      </c>
      <c r="E75" s="115">
        <f>D75/$D$6</f>
        <v>197.62845849802372</v>
      </c>
      <c r="F75" s="74">
        <v>45713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16</v>
      </c>
      <c r="J75" s="75">
        <f>H75</f>
        <v>0</v>
      </c>
      <c r="K75" s="52"/>
      <c r="L75" s="54"/>
    </row>
    <row r="76" spans="1:16" s="43" customFormat="1" ht="15.75" outlineLevel="1" thickBot="1">
      <c r="B76" s="46"/>
      <c r="C76" s="47" t="s">
        <v>639</v>
      </c>
      <c r="D76" s="109">
        <f>E76*$D$6*0</f>
        <v>0</v>
      </c>
      <c r="E76" s="115">
        <f>400*0</f>
        <v>0</v>
      </c>
      <c r="F76" s="74">
        <v>45716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19</v>
      </c>
      <c r="J76" s="75">
        <f t="shared" ref="J76" si="15">H76</f>
        <v>0</v>
      </c>
      <c r="K76" s="52"/>
      <c r="L76" s="54"/>
    </row>
    <row r="77" spans="1:16" s="43" customFormat="1" ht="14.25" customHeight="1">
      <c r="B77" s="46"/>
      <c r="C77" s="88" t="s">
        <v>150</v>
      </c>
      <c r="D77" s="120">
        <f>SUBTOTAL(9,D26:D76)</f>
        <v>542907.71830000007</v>
      </c>
      <c r="E77" s="116">
        <f>SUBTOTAL(9,E26:E76)</f>
        <v>71979.40453227931</v>
      </c>
      <c r="K77" s="39"/>
      <c r="L77" s="39"/>
      <c r="N77" s="39"/>
      <c r="O77" s="39"/>
      <c r="P77" s="39"/>
    </row>
    <row r="78" spans="1:16" ht="15.75">
      <c r="A78" s="43"/>
      <c r="E78" s="117"/>
      <c r="F78" s="89"/>
      <c r="G78" s="89"/>
      <c r="H78" s="89"/>
      <c r="I78" s="89"/>
      <c r="J78" s="89"/>
    </row>
    <row r="79" spans="1:16" ht="15.75">
      <c r="A79" s="43"/>
      <c r="C79" s="90" t="s">
        <v>151</v>
      </c>
      <c r="D79" s="121">
        <f>D21-D77</f>
        <v>205278.82798855763</v>
      </c>
      <c r="E79" s="118">
        <f>E21-E77</f>
        <v>26151.345177865514</v>
      </c>
      <c r="F79" s="226"/>
      <c r="G79" s="227"/>
      <c r="J79" s="227"/>
    </row>
    <row r="80" spans="1:16" s="93" customFormat="1" ht="15.75">
      <c r="A80" s="43"/>
      <c r="B80" s="94"/>
      <c r="C80" s="90" t="s">
        <v>152</v>
      </c>
      <c r="D80" s="95">
        <f>IF($D$21=0,0,D79/$D$21)</f>
        <v>0.27436851010868951</v>
      </c>
      <c r="E80" s="95">
        <f>IF($E$21=0,0,E79/$E$21)</f>
        <v>0.26649490863068348</v>
      </c>
      <c r="F80" s="96"/>
      <c r="G80" s="92"/>
      <c r="J80" s="97"/>
      <c r="K80" s="39"/>
      <c r="L80" s="39"/>
      <c r="N80" s="39"/>
      <c r="O80" s="39"/>
      <c r="P80" s="39"/>
    </row>
    <row r="81" spans="1:10" ht="15.75" thickBot="1">
      <c r="A81" s="43"/>
      <c r="F81" s="96"/>
      <c r="G81" s="92"/>
    </row>
    <row r="82" spans="1:10" ht="15.75" thickBot="1">
      <c r="A82" s="43"/>
      <c r="C82" s="135" t="s">
        <v>184</v>
      </c>
      <c r="D82" s="136" t="s">
        <v>185</v>
      </c>
      <c r="E82" s="137" t="s">
        <v>191</v>
      </c>
      <c r="F82" s="137" t="s">
        <v>186</v>
      </c>
      <c r="G82" s="92"/>
    </row>
    <row r="83" spans="1:10">
      <c r="A83" s="43"/>
      <c r="C83" s="138">
        <v>45689</v>
      </c>
      <c r="D83" s="139">
        <v>45697</v>
      </c>
      <c r="E83" s="149">
        <f>SUMIFS($D$26:$D$80,$F$26:$F$80,"&gt;="&amp;C83,$F$26:$F$80,"&lt;="&amp;D83,$G$26:$G$80,$D$95)</f>
        <v>0</v>
      </c>
      <c r="F83" s="154">
        <f>SUMIFS($E$26:$E$80,$F$26:$F$80,"&gt;="&amp;C83,$F$26:$F$80,"&lt;="&amp;D83,$G$26:$G$80,$D$95)</f>
        <v>0</v>
      </c>
      <c r="G83" s="92" t="s">
        <v>685</v>
      </c>
    </row>
    <row r="84" spans="1:10">
      <c r="A84" s="43"/>
      <c r="C84" s="140">
        <v>45698</v>
      </c>
      <c r="D84" s="232">
        <v>45704</v>
      </c>
      <c r="E84" s="150">
        <f>SUMIFS($D$26:$D$80,$F$26:$F$80,"&gt;="&amp;C84,$F$26:$F$80,"&lt;="&amp;D84,$G$26:$G$80,$D$95)</f>
        <v>0</v>
      </c>
      <c r="F84" s="155">
        <f>SUMIFS($E$26:$E$80,$F$26:$F$80,"&gt;="&amp;C84,$F$26:$F$80,"&lt;="&amp;D84,$G$26:$G$80,$D$95)</f>
        <v>0</v>
      </c>
      <c r="G84" s="92" t="s">
        <v>698</v>
      </c>
    </row>
    <row r="85" spans="1:10">
      <c r="A85" s="43"/>
      <c r="C85" s="140">
        <v>45705</v>
      </c>
      <c r="D85" s="141">
        <v>45711</v>
      </c>
      <c r="E85" s="150">
        <f>SUMIFS($D$26:$D$80,$F$26:$F$80,"&gt;="&amp;C85,$F$26:$F$80,"&lt;="&amp;D85,$G$26:$G$80,$D$95)</f>
        <v>0</v>
      </c>
      <c r="F85" s="155">
        <f>SUMIFS($E$26:$E$80,$F$26:$F$80,"&gt;="&amp;C85,$F$26:$F$80,"&lt;="&amp;D85,$G$26:$G$80,$D$95)</f>
        <v>0</v>
      </c>
      <c r="G85" s="92"/>
    </row>
    <row r="86" spans="1:10" ht="15.75" thickBot="1">
      <c r="A86" s="43"/>
      <c r="C86" s="142">
        <v>45712</v>
      </c>
      <c r="D86" s="143">
        <v>45716</v>
      </c>
      <c r="E86" s="151">
        <f>SUMIFS($D$26:$D$80,$F$26:$F$80,"&gt;="&amp;C86,$F$26:$F$80,"&lt;="&amp;D86,$G$26:$G$80,$D$95)</f>
        <v>0</v>
      </c>
      <c r="F86" s="156">
        <f>SUMIFS($E$26:$E$80,$F$26:$F$80,"&gt;="&amp;C86,$F$26:$F$80,"&lt;="&amp;D86,$G$26:$G$80,$D$95)</f>
        <v>0</v>
      </c>
      <c r="G86" s="92" t="s">
        <v>705</v>
      </c>
    </row>
    <row r="87" spans="1:10" ht="15.75">
      <c r="A87" s="43"/>
      <c r="C87" s="433" t="s">
        <v>187</v>
      </c>
      <c r="D87" s="433"/>
      <c r="E87" s="148">
        <f>SUM(E83:E86)</f>
        <v>0</v>
      </c>
      <c r="F87" s="144">
        <f>SUM(F83:F86)</f>
        <v>0</v>
      </c>
      <c r="G87" s="92"/>
    </row>
    <row r="88" spans="1:10">
      <c r="A88" s="43"/>
      <c r="F88" s="96"/>
      <c r="G88" s="92"/>
    </row>
    <row r="89" spans="1:10">
      <c r="A89" s="43"/>
      <c r="F89" s="96"/>
      <c r="G89" s="92"/>
    </row>
    <row r="90" spans="1:10">
      <c r="A90" s="43"/>
      <c r="C90" s="41"/>
      <c r="D90" s="41" t="s">
        <v>380</v>
      </c>
      <c r="E90" s="166">
        <f>'Caja QTQ'!$H$404+('Caja USD'!$H$174*$D$6)</f>
        <v>205278.83259999912</v>
      </c>
      <c r="F90" s="153">
        <f>'Caja QTQ'!$H$404/$D$6+'Caja USD'!$H$174</f>
        <v>27045.959499341123</v>
      </c>
      <c r="G90" s="92"/>
    </row>
    <row r="91" spans="1:10">
      <c r="A91" s="43"/>
      <c r="D91" s="200" t="s">
        <v>706</v>
      </c>
      <c r="E91" s="166">
        <f>SUM(E83:E85)</f>
        <v>0</v>
      </c>
      <c r="F91" s="153">
        <f>SUM(F83:F85)</f>
        <v>0</v>
      </c>
      <c r="G91" s="92"/>
    </row>
    <row r="92" spans="1:10">
      <c r="A92" s="43"/>
      <c r="D92" s="146" t="s">
        <v>381</v>
      </c>
      <c r="E92" s="201">
        <f>E90-E91</f>
        <v>205278.83259999912</v>
      </c>
      <c r="F92" s="145">
        <f>F90-F91</f>
        <v>27045.959499341123</v>
      </c>
      <c r="G92" s="92"/>
      <c r="J92" s="167"/>
    </row>
    <row r="93" spans="1:10">
      <c r="A93" s="43"/>
      <c r="F93" s="96"/>
      <c r="G93" s="92"/>
    </row>
    <row r="94" spans="1:10">
      <c r="D94" s="43" t="s">
        <v>135</v>
      </c>
      <c r="E94" s="15">
        <f>SUMIFS($D$26:$D$89,$F$26:$F$89,"&gt;="&amp;C83,$F$26:$F$89,"&lt;="&amp;D86,$G$26:$G$89,$D$94)</f>
        <v>542907.71830000007</v>
      </c>
      <c r="F94" s="153">
        <f>SUMIFS($E$26:$E$89,$F$26:$F$89,"&gt;="&amp;C83,$F$26:$F$89,"&lt;="&amp;D86,$G$26:$G$89,$D$94)</f>
        <v>71979.40453227931</v>
      </c>
    </row>
    <row r="95" spans="1:10">
      <c r="D95" s="43" t="s">
        <v>143</v>
      </c>
      <c r="E95" s="15">
        <f>SUMIFS($D$26:$D$89,$F$26:$F$89,"&gt;="&amp;C83,$F$26:$F$89,"&lt;="&amp;D86,$G$26:$G$89,$D$95)</f>
        <v>0</v>
      </c>
      <c r="F95" s="153">
        <f>SUMIFS($E$26:$E$89,$F$26:$F$89,"&gt;="&amp;C84,$F$26:$F$89,"&lt;="&amp;D86,$G$26:$G$89,$D$95)</f>
        <v>0</v>
      </c>
    </row>
    <row r="96" spans="1:10">
      <c r="D96" s="146" t="s">
        <v>189</v>
      </c>
      <c r="E96" s="152">
        <f>SUM(E94:E95)</f>
        <v>542907.71830000007</v>
      </c>
      <c r="F96" s="145">
        <f>SUM(F94:F95)</f>
        <v>71979.40453227931</v>
      </c>
    </row>
    <row r="97" spans="4:6">
      <c r="D97" s="146" t="s">
        <v>190</v>
      </c>
      <c r="E97" s="152">
        <f>E96-D77*0</f>
        <v>542907.71830000007</v>
      </c>
      <c r="F97" s="145">
        <f>F96-E77*0</f>
        <v>71979.40453227931</v>
      </c>
    </row>
    <row r="99" spans="4:6" hidden="1">
      <c r="D99" s="41" t="s">
        <v>373</v>
      </c>
      <c r="E99" s="166">
        <f>D79</f>
        <v>205278.82798855763</v>
      </c>
    </row>
    <row r="100" spans="4:6" hidden="1">
      <c r="D100" s="41" t="s">
        <v>339</v>
      </c>
      <c r="E100" s="166">
        <f>'Caja QTQ'!H167+('Caja USD'!H70*7.6)</f>
        <v>190098.56839999984</v>
      </c>
    </row>
    <row r="101" spans="4:6" hidden="1">
      <c r="D101" s="41" t="s">
        <v>85</v>
      </c>
      <c r="E101" s="166">
        <f>E99-E100</f>
        <v>15180.25958855779</v>
      </c>
      <c r="F101" s="185">
        <f>E101/7.88</f>
        <v>1926.428881796674</v>
      </c>
    </row>
    <row r="102" spans="4:6">
      <c r="F102" s="167"/>
    </row>
    <row r="103" spans="4:6">
      <c r="D103" s="41" t="s">
        <v>373</v>
      </c>
      <c r="E103" s="166">
        <f>D79</f>
        <v>205278.82798855763</v>
      </c>
      <c r="F103" s="167"/>
    </row>
    <row r="104" spans="4:6">
      <c r="D104" s="41" t="s">
        <v>339</v>
      </c>
      <c r="E104" s="166">
        <f>'Caja QTQ'!H404+('Caja USD'!H174*$D$6)</f>
        <v>205278.83259999912</v>
      </c>
    </row>
    <row r="105" spans="4:6">
      <c r="D105" s="41" t="s">
        <v>444</v>
      </c>
      <c r="E105" s="166">
        <f>E103-E104</f>
        <v>-4.6114414872135967E-3</v>
      </c>
      <c r="F105" s="185"/>
    </row>
    <row r="106" spans="4:6">
      <c r="D106" s="41" t="s">
        <v>674</v>
      </c>
      <c r="E106" s="167">
        <f>E105/$D$6</f>
        <v>-6.075680483812381E-4</v>
      </c>
    </row>
  </sheetData>
  <protectedRanges>
    <protectedRange sqref="F21:G21 D81:E81 C90 D88:E93 D48:E48 D10:E12" name="Presupuestos"/>
    <protectedRange sqref="D25:E25 D8:E8" name="Presupuestos_1"/>
    <protectedRange sqref="D32:E35" name="Presupuestos_13_1"/>
    <protectedRange sqref="D37:E43 D45:D46" name="Presupuestos_14"/>
    <protectedRange sqref="E53:E56 D57:E58 E59 D60:E60 E61:E66" name="Presupuestos_2_1_1_1"/>
    <protectedRange sqref="K63 D63 D75:E76 D73:E73 D68:E71" name="Presupuestos_6_1_1_1"/>
    <protectedRange sqref="D61:D62 D53:D56 D59 D64:D66" name="Presupuestos_5_2_1"/>
    <protectedRange sqref="E45:E46" name="Presupuestos_13_1_1"/>
    <protectedRange sqref="E50:E51" name="Presupuestos_7_1_2"/>
    <protectedRange sqref="D50:D51" name="Presupuestos_7_1_1_1"/>
  </protectedRanges>
  <autoFilter ref="B25:J76" xr:uid="{00000000-0009-0000-0000-000002000000}"/>
  <mergeCells count="4">
    <mergeCell ref="D7:E7"/>
    <mergeCell ref="B24:C24"/>
    <mergeCell ref="D24:E24"/>
    <mergeCell ref="C87:D87"/>
  </mergeCells>
  <conditionalFormatting sqref="J27 J29:J30 J32:J35 J37:J43 J45:J46 J50:J51 J53:J66 J68:J71 J75:J76">
    <cfRule type="cellIs" dxfId="172" priority="9" operator="lessThan">
      <formula>0</formula>
    </cfRule>
    <cfRule type="cellIs" dxfId="171" priority="10" operator="between">
      <formula>6</formula>
      <formula>15</formula>
    </cfRule>
    <cfRule type="cellIs" dxfId="170" priority="11" operator="between">
      <formula>1</formula>
      <formula>5</formula>
    </cfRule>
    <cfRule type="cellIs" dxfId="169" priority="12" operator="between">
      <formula>16</formula>
      <formula>60</formula>
    </cfRule>
  </conditionalFormatting>
  <conditionalFormatting sqref="J48">
    <cfRule type="cellIs" dxfId="168" priority="5" operator="lessThan">
      <formula>0</formula>
    </cfRule>
    <cfRule type="cellIs" dxfId="167" priority="6" operator="between">
      <formula>6</formula>
      <formula>15</formula>
    </cfRule>
    <cfRule type="cellIs" dxfId="166" priority="7" operator="between">
      <formula>1</formula>
      <formula>5</formula>
    </cfRule>
    <cfRule type="cellIs" dxfId="165" priority="8" operator="between">
      <formula>16</formula>
      <formula>60</formula>
    </cfRule>
  </conditionalFormatting>
  <conditionalFormatting sqref="J73">
    <cfRule type="cellIs" dxfId="164" priority="1" operator="lessThan">
      <formula>0</formula>
    </cfRule>
    <cfRule type="cellIs" dxfId="163" priority="2" operator="between">
      <formula>6</formula>
      <formula>15</formula>
    </cfRule>
    <cfRule type="cellIs" dxfId="162" priority="3" operator="between">
      <formula>1</formula>
      <formula>5</formula>
    </cfRule>
    <cfRule type="cellIs" dxfId="161" priority="4" operator="between">
      <formula>16</formula>
      <formula>60</formula>
    </cfRule>
  </conditionalFormatting>
  <dataValidations count="3">
    <dataValidation type="list" allowBlank="1" showInputMessage="1" showErrorMessage="1" sqref="B14:B20" xr:uid="{2B7BB16F-CA91-4039-B68D-D5493F2BBA63}">
      <formula1>"Pagado, Sin Pagar"</formula1>
    </dataValidation>
    <dataValidation type="list" allowBlank="1" showInputMessage="1" showErrorMessage="1" sqref="D24 D7" xr:uid="{8EF43562-FC89-43DD-8550-948437872DE5}">
      <formula1>"ENERO,FEBRERO,MARZO,ABRIL,MAYO,JUNIO,JULIO,AGOSTO,SEPTIEMBRE,OCTUBRE,NOVIEMBRE,DICIEMBRE"</formula1>
    </dataValidation>
    <dataValidation type="list" allowBlank="1" showInputMessage="1" showErrorMessage="1" sqref="G73 G26:G27 D94:D95 G45:G46 G32:G35 G48 G50:G51 G53:G66 G29:G30 G75:G76 G37:G43 G68:G71" xr:uid="{5AD9F9C9-3F76-45A3-8734-80F24356C334}">
      <formula1>"Cancelado,Pagar,Sin Pagar"</formula1>
    </dataValidation>
  </dataValidations>
  <pageMargins left="0.7" right="0.7" top="0.75" bottom="0.75" header="0.3" footer="0.3"/>
  <pageSetup paperSize="9" orientation="portrait" r:id="rId1"/>
  <ignoredErrors>
    <ignoredError sqref="H47:J50 H52:J52 J53:J55 H27:J45 H56:J56 H67:J76 J57:J66 J46" unlockedFormula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F2F7-1796-43B2-8768-E6B255482FD9}">
  <dimension ref="A1:S104"/>
  <sheetViews>
    <sheetView showGridLines="0" topLeftCell="A11" zoomScale="90" zoomScaleNormal="90" workbookViewId="0">
      <selection activeCell="D19" sqref="D19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45719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7.7116499999999997</v>
      </c>
      <c r="E6" s="42"/>
      <c r="I6" s="43"/>
    </row>
    <row r="7" spans="1:9" ht="15.75">
      <c r="C7" s="99"/>
      <c r="D7" s="432" t="s">
        <v>729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205407.97988949911</v>
      </c>
      <c r="E9" s="122">
        <f>SUBTOTAL(9,E10:E11)</f>
        <v>26636.061010224676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QTQ'!$H$404</f>
        <v>197221.06089999911</v>
      </c>
      <c r="E10" s="25">
        <f>D10/$D$6</f>
        <v>25574.431010224675</v>
      </c>
      <c r="F10" s="49"/>
    </row>
    <row r="11" spans="1:9" s="43" customFormat="1" outlineLevel="1">
      <c r="B11" s="46"/>
      <c r="C11" s="47" t="s">
        <v>154</v>
      </c>
      <c r="D11" s="15">
        <f>E11*D6</f>
        <v>8186.9189895000009</v>
      </c>
      <c r="E11" s="25">
        <f>'Caja USD'!$H$174</f>
        <v>1061.6300000000001</v>
      </c>
      <c r="F11" s="49"/>
    </row>
    <row r="12" spans="1:9" s="43" customFormat="1" ht="15.75">
      <c r="B12" s="46"/>
      <c r="C12" s="102" t="s">
        <v>134</v>
      </c>
      <c r="D12" s="127">
        <f>SUBTOTAL(9,D13:D19)</f>
        <v>444984.88999999984</v>
      </c>
      <c r="E12" s="122">
        <f>SUBTOTAL(9,E13:E19)</f>
        <v>58303.695652173919</v>
      </c>
      <c r="F12" s="128"/>
    </row>
    <row r="13" spans="1:9" s="43" customFormat="1" outlineLevel="1">
      <c r="A13" s="50"/>
      <c r="B13" s="218" t="s">
        <v>298</v>
      </c>
      <c r="C13" s="215" t="s">
        <v>517</v>
      </c>
      <c r="D13" s="256">
        <f>'Diferencia en cambio'!$I$82</f>
        <v>301647.27054760716</v>
      </c>
      <c r="E13" s="225">
        <f>$D$13/'Diferencia en cambio'!$L$82</f>
        <v>39435.436100131759</v>
      </c>
      <c r="F13" s="128"/>
      <c r="G13" s="184"/>
    </row>
    <row r="14" spans="1:9" s="43" customFormat="1" outlineLevel="1">
      <c r="A14" s="50"/>
      <c r="B14" s="218" t="s">
        <v>298</v>
      </c>
      <c r="C14" s="215" t="s">
        <v>520</v>
      </c>
      <c r="D14" s="256">
        <f>'Diferencia en cambio'!$I$83</f>
        <v>7247.5675641512644</v>
      </c>
      <c r="E14" s="225">
        <f>$D$14/'Diferencia en cambio'!$L$83</f>
        <v>947.50065876152826</v>
      </c>
      <c r="F14" s="128"/>
      <c r="G14" s="184"/>
    </row>
    <row r="15" spans="1:9" s="43" customFormat="1" outlineLevel="1">
      <c r="B15" s="218" t="s">
        <v>298</v>
      </c>
      <c r="C15" s="215" t="s">
        <v>518</v>
      </c>
      <c r="D15" s="256">
        <f>'Diferencia en cambio'!$I$85</f>
        <v>18349.053289447951</v>
      </c>
      <c r="E15" s="225">
        <f>$D$15/'Diferencia en cambio'!$L$85</f>
        <v>2398.8379446640315</v>
      </c>
      <c r="F15" s="128"/>
      <c r="G15" s="52"/>
    </row>
    <row r="16" spans="1:9" s="43" customFormat="1" outlineLevel="1">
      <c r="B16" s="218" t="s">
        <v>298</v>
      </c>
      <c r="C16" s="215" t="s">
        <v>519</v>
      </c>
      <c r="D16" s="256">
        <f>'Diferencia en cambio'!$I$84</f>
        <v>13579.898598793563</v>
      </c>
      <c r="E16" s="225">
        <f>$D$16/'Diferencia en cambio'!$L$84</f>
        <v>1775.3491436100132</v>
      </c>
      <c r="F16" s="128"/>
      <c r="G16" s="52"/>
    </row>
    <row r="17" spans="2:19" s="43" customFormat="1" outlineLevel="1">
      <c r="B17" s="218" t="s">
        <v>298</v>
      </c>
      <c r="C17" s="215" t="s">
        <v>515</v>
      </c>
      <c r="D17" s="256">
        <f>'Diferencia en cambio'!$I$80</f>
        <v>43675.661629757866</v>
      </c>
      <c r="E17" s="252">
        <f>D17/'Diferencia en cambio'!$L$80</f>
        <v>5764.0579710144921</v>
      </c>
      <c r="F17" s="128"/>
      <c r="G17" s="52"/>
    </row>
    <row r="18" spans="2:19" s="43" customFormat="1" outlineLevel="1">
      <c r="B18" s="218" t="s">
        <v>298</v>
      </c>
      <c r="C18" s="215" t="s">
        <v>514</v>
      </c>
      <c r="D18" s="256">
        <f>'Diferencia en cambio'!I79</f>
        <v>41752.070453277702</v>
      </c>
      <c r="E18" s="252">
        <f>D18/'Diferencia en cambio'!L79</f>
        <v>5510.1936758893289</v>
      </c>
      <c r="F18" s="128"/>
      <c r="G18" s="52"/>
    </row>
    <row r="19" spans="2:19" s="43" customFormat="1" outlineLevel="1">
      <c r="B19" s="218" t="s">
        <v>298</v>
      </c>
      <c r="C19" s="215" t="s">
        <v>516</v>
      </c>
      <c r="D19" s="256">
        <f>'Diferencia en cambio'!$I$81</f>
        <v>18733.36791696442</v>
      </c>
      <c r="E19" s="252">
        <f>D19/'Diferencia en cambio'!$L$81</f>
        <v>2472.320158102767</v>
      </c>
      <c r="F19" s="128"/>
      <c r="G19" s="52"/>
    </row>
    <row r="20" spans="2:19" s="43" customFormat="1" ht="15.75">
      <c r="B20" s="46"/>
      <c r="C20" s="55" t="s">
        <v>136</v>
      </c>
      <c r="D20" s="123">
        <f>SUBTOTAL(9,D9:D19)</f>
        <v>650392.86988949892</v>
      </c>
      <c r="E20" s="124">
        <f>SUBTOTAL(9,E9:E19)</f>
        <v>84939.756662398606</v>
      </c>
      <c r="F20" s="56"/>
      <c r="G20" s="56"/>
      <c r="J20" s="52"/>
      <c r="K20" s="57"/>
      <c r="O20" s="58"/>
      <c r="P20" s="59"/>
      <c r="Q20" s="53"/>
    </row>
    <row r="21" spans="2:19" s="43" customFormat="1" ht="15.75">
      <c r="B21" s="46"/>
      <c r="C21" s="60"/>
      <c r="D21" s="61"/>
      <c r="E21" s="61"/>
      <c r="G21" s="62"/>
      <c r="O21" s="59"/>
      <c r="P21" s="59"/>
    </row>
    <row r="22" spans="2:19" s="43" customFormat="1" ht="15.75">
      <c r="B22" s="46"/>
      <c r="N22" s="63"/>
      <c r="O22" s="64"/>
      <c r="P22" s="65"/>
    </row>
    <row r="23" spans="2:19" s="43" customFormat="1" ht="15.75">
      <c r="B23" s="432" t="s">
        <v>137</v>
      </c>
      <c r="C23" s="432"/>
      <c r="D23" s="432" t="s">
        <v>729</v>
      </c>
      <c r="E23" s="432"/>
      <c r="K23" s="65"/>
      <c r="L23" s="65"/>
      <c r="N23" s="63"/>
      <c r="R23" s="52"/>
      <c r="S23" s="52"/>
    </row>
    <row r="24" spans="2:19" s="43" customFormat="1" ht="16.5" thickBot="1">
      <c r="B24" s="67" t="s">
        <v>81</v>
      </c>
      <c r="C24" s="68" t="s">
        <v>106</v>
      </c>
      <c r="D24" s="110" t="s">
        <v>168</v>
      </c>
      <c r="E24" s="110" t="s">
        <v>169</v>
      </c>
      <c r="F24" s="69" t="s">
        <v>140</v>
      </c>
      <c r="G24" s="63" t="s">
        <v>141</v>
      </c>
      <c r="H24" s="63"/>
      <c r="I24" s="63"/>
      <c r="J24" s="70" t="s">
        <v>142</v>
      </c>
      <c r="N24" s="71"/>
      <c r="R24" s="52"/>
      <c r="S24" s="72"/>
    </row>
    <row r="25" spans="2:19" s="43" customFormat="1" ht="16.5" thickBot="1">
      <c r="B25" s="46"/>
      <c r="C25" s="73" t="s">
        <v>155</v>
      </c>
      <c r="D25" s="103">
        <f>SUBTOTAL(9,D26:D26)</f>
        <v>52831.62</v>
      </c>
      <c r="E25" s="112">
        <f>SUBTOTAL(9,E26:E26)</f>
        <v>6850.8840520511185</v>
      </c>
      <c r="F25" s="74"/>
      <c r="J25" s="76"/>
    </row>
    <row r="26" spans="2:19" s="43" customFormat="1" ht="15.75" outlineLevel="1" thickBot="1">
      <c r="B26" s="168">
        <v>5284429</v>
      </c>
      <c r="C26" s="78" t="s">
        <v>722</v>
      </c>
      <c r="D26" s="257">
        <v>52831.62</v>
      </c>
      <c r="E26" s="115">
        <f>D26/$D$6</f>
        <v>6850.8840520511185</v>
      </c>
      <c r="F26" s="80">
        <v>45727</v>
      </c>
      <c r="G26" s="43" t="s">
        <v>135</v>
      </c>
      <c r="H26" s="43">
        <f>IF(OR(G26="Sin pagar",G26="Pagar"),NETWORKDAYS($E$4,F26,'Festivos Guatemala'!$A$3:$A$15),0)</f>
        <v>0</v>
      </c>
      <c r="I26" s="43">
        <f>NETWORKDAYS($E$4,F26,'Festivos Guatemala'!$A$3:$A$15)</f>
        <v>7</v>
      </c>
      <c r="J26" s="75">
        <f>H26</f>
        <v>0</v>
      </c>
      <c r="K26" s="52"/>
      <c r="L26" s="52"/>
    </row>
    <row r="27" spans="2:19" s="43" customFormat="1" ht="16.5" thickBot="1">
      <c r="B27" s="46"/>
      <c r="C27" s="73" t="s">
        <v>144</v>
      </c>
      <c r="D27" s="103">
        <f>SUBTOTAL(9,D28:D29)</f>
        <v>10245.469999999999</v>
      </c>
      <c r="E27" s="112">
        <f>SUBTOTAL(9,E28:E29)</f>
        <v>1328.5704097047974</v>
      </c>
      <c r="J27" s="76">
        <f t="shared" ref="J27:J33" si="0">H27</f>
        <v>0</v>
      </c>
    </row>
    <row r="28" spans="2:19" s="43" customFormat="1" outlineLevel="1">
      <c r="B28" s="168">
        <v>46053006763</v>
      </c>
      <c r="C28" s="47" t="s">
        <v>731</v>
      </c>
      <c r="D28" s="257">
        <v>7947.69</v>
      </c>
      <c r="E28" s="115">
        <f>D28/$D$6</f>
        <v>1030.6082355916049</v>
      </c>
      <c r="F28" s="80">
        <v>45729</v>
      </c>
      <c r="G28" s="43" t="s">
        <v>135</v>
      </c>
      <c r="H28" s="43">
        <f>IF(OR(G28="Sin pagar",G28="Pagar"),NETWORKDAYS($E$4,F28,'Festivos Guatemala'!$A$3:$A$15),0)</f>
        <v>0</v>
      </c>
      <c r="I28" s="43">
        <f>NETWORKDAYS($E$4,F28,'Festivos Guatemala'!$A$3:$A$15)</f>
        <v>9</v>
      </c>
      <c r="J28" s="75">
        <f>H28</f>
        <v>0</v>
      </c>
      <c r="K28" s="48"/>
      <c r="L28" s="57"/>
    </row>
    <row r="29" spans="2:19" s="43" customFormat="1" ht="15.75" outlineLevel="1" thickBot="1">
      <c r="B29" s="168">
        <v>46024221813</v>
      </c>
      <c r="C29" s="47" t="s">
        <v>723</v>
      </c>
      <c r="D29" s="257">
        <v>2297.7800000000002</v>
      </c>
      <c r="E29" s="115">
        <f>D29/$D$6</f>
        <v>297.96217411319242</v>
      </c>
      <c r="F29" s="80">
        <v>45729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9</v>
      </c>
      <c r="J29" s="75">
        <f>H29</f>
        <v>0</v>
      </c>
      <c r="K29" s="48"/>
      <c r="L29" s="57"/>
    </row>
    <row r="30" spans="2:19" s="43" customFormat="1" ht="16.5" thickBot="1">
      <c r="B30" s="46"/>
      <c r="C30" s="73" t="s">
        <v>163</v>
      </c>
      <c r="D30" s="103">
        <f>SUBTOTAL(9,D31:D34)</f>
        <v>16024.11</v>
      </c>
      <c r="E30" s="112">
        <f>SUBTOTAL(9,E31:E34)</f>
        <v>2077.9093968216916</v>
      </c>
      <c r="J30" s="76">
        <f t="shared" si="0"/>
        <v>0</v>
      </c>
      <c r="K30" s="52"/>
      <c r="L30" s="52"/>
    </row>
    <row r="31" spans="2:19" s="43" customFormat="1" outlineLevel="1">
      <c r="B31" s="46"/>
      <c r="C31" s="47" t="s">
        <v>730</v>
      </c>
      <c r="D31" s="257">
        <v>842.11</v>
      </c>
      <c r="E31" s="113">
        <f t="shared" ref="E31:E33" si="1">D31/$D$6</f>
        <v>109.19971731082194</v>
      </c>
      <c r="F31" s="80">
        <v>45728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8</v>
      </c>
      <c r="J31" s="75">
        <f t="shared" si="0"/>
        <v>0</v>
      </c>
      <c r="N31" s="49"/>
    </row>
    <row r="32" spans="2:19" s="43" customFormat="1" ht="30" outlineLevel="1">
      <c r="B32" s="46"/>
      <c r="C32" s="47" t="s">
        <v>732</v>
      </c>
      <c r="D32" s="257">
        <v>12308</v>
      </c>
      <c r="E32" s="113">
        <f t="shared" ref="E32" si="2">D32/$D$6</f>
        <v>1596.0267906349484</v>
      </c>
      <c r="F32" s="80">
        <v>45729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9</v>
      </c>
      <c r="J32" s="75">
        <f t="shared" ref="J32" si="3">H32</f>
        <v>0</v>
      </c>
      <c r="N32" s="49"/>
    </row>
    <row r="33" spans="2:16" s="43" customFormat="1" ht="30" outlineLevel="1">
      <c r="B33" s="84">
        <v>143608159</v>
      </c>
      <c r="C33" s="47" t="s">
        <v>724</v>
      </c>
      <c r="D33" s="257">
        <f>2299+575</f>
        <v>2874</v>
      </c>
      <c r="E33" s="113">
        <f t="shared" si="1"/>
        <v>372.68288887592149</v>
      </c>
      <c r="F33" s="74">
        <v>45743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19</v>
      </c>
      <c r="J33" s="75">
        <f t="shared" si="0"/>
        <v>0</v>
      </c>
      <c r="N33" s="49"/>
    </row>
    <row r="34" spans="2:16" s="43" customFormat="1" ht="15.75" outlineLevel="1" thickBot="1">
      <c r="B34" s="46"/>
      <c r="C34" s="47" t="s">
        <v>680</v>
      </c>
      <c r="D34" s="104">
        <f>500*0</f>
        <v>0</v>
      </c>
      <c r="E34" s="113">
        <f>D34/$D$6</f>
        <v>0</v>
      </c>
      <c r="F34" s="80">
        <v>45747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20</v>
      </c>
      <c r="J34" s="75">
        <f>H34</f>
        <v>0</v>
      </c>
      <c r="N34" s="49"/>
    </row>
    <row r="35" spans="2:16" s="43" customFormat="1" ht="16.5" thickBot="1">
      <c r="C35" s="73" t="s">
        <v>146</v>
      </c>
      <c r="D35" s="103">
        <f>SUBTOTAL(9,D36:D42)</f>
        <v>8839.2054855000006</v>
      </c>
      <c r="E35" s="112">
        <f>SUBTOTAL(9,E36:E42)</f>
        <v>1146.2145566123982</v>
      </c>
      <c r="K35" s="49"/>
      <c r="L35" s="49"/>
      <c r="O35" s="49"/>
      <c r="P35" s="49"/>
    </row>
    <row r="36" spans="2:16" s="43" customFormat="1" ht="14.25" customHeight="1" outlineLevel="1">
      <c r="B36" s="186" t="s">
        <v>746</v>
      </c>
      <c r="C36" s="210" t="s">
        <v>272</v>
      </c>
      <c r="D36" s="104">
        <f>E36*$D$6</f>
        <v>424.6805655</v>
      </c>
      <c r="E36" s="247">
        <v>55.07</v>
      </c>
      <c r="F36" s="74">
        <v>45744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19</v>
      </c>
      <c r="J36" s="75">
        <f t="shared" ref="J36:J42" si="4">H36</f>
        <v>0</v>
      </c>
      <c r="K36" s="49"/>
      <c r="L36" s="49"/>
      <c r="O36" s="49"/>
      <c r="P36" s="49"/>
    </row>
    <row r="37" spans="2:16" s="43" customFormat="1" outlineLevel="1">
      <c r="B37" s="186" t="s">
        <v>745</v>
      </c>
      <c r="C37" s="210" t="s">
        <v>273</v>
      </c>
      <c r="D37" s="104">
        <f>E37*$D$6</f>
        <v>2000.9418255</v>
      </c>
      <c r="E37" s="247">
        <v>259.47000000000003</v>
      </c>
      <c r="F37" s="74">
        <v>45744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19</v>
      </c>
      <c r="J37" s="75">
        <f t="shared" si="4"/>
        <v>0</v>
      </c>
    </row>
    <row r="38" spans="2:16" s="43" customFormat="1" outlineLevel="1">
      <c r="B38" s="186" t="s">
        <v>745</v>
      </c>
      <c r="C38" s="210" t="s">
        <v>274</v>
      </c>
      <c r="D38" s="104">
        <f>E38*$D$6</f>
        <v>1583.4330944999999</v>
      </c>
      <c r="E38" s="247">
        <v>205.33</v>
      </c>
      <c r="F38" s="74">
        <v>45744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19</v>
      </c>
      <c r="J38" s="75">
        <f t="shared" si="4"/>
        <v>0</v>
      </c>
    </row>
    <row r="39" spans="2:16" s="43" customFormat="1" ht="14.25" customHeight="1" outlineLevel="1">
      <c r="B39" s="251" t="s">
        <v>745</v>
      </c>
      <c r="C39" s="209" t="s">
        <v>496</v>
      </c>
      <c r="D39" s="246">
        <v>861.81</v>
      </c>
      <c r="E39" s="113">
        <f>D39/$D$6</f>
        <v>111.75429382816907</v>
      </c>
      <c r="F39" s="74">
        <v>45744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19</v>
      </c>
      <c r="J39" s="75">
        <f>H39</f>
        <v>0</v>
      </c>
      <c r="K39" s="49"/>
      <c r="L39" s="49"/>
      <c r="O39" s="49"/>
      <c r="P39" s="49"/>
    </row>
    <row r="40" spans="2:16" s="43" customFormat="1" ht="14.25" customHeight="1" outlineLevel="1">
      <c r="B40" s="251" t="s">
        <v>745</v>
      </c>
      <c r="C40" s="209" t="s">
        <v>277</v>
      </c>
      <c r="D40" s="246">
        <v>943.23</v>
      </c>
      <c r="E40" s="113">
        <f>D40/$D$6</f>
        <v>122.31234560697128</v>
      </c>
      <c r="F40" s="74">
        <v>45744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19</v>
      </c>
      <c r="J40" s="75">
        <f t="shared" si="4"/>
        <v>0</v>
      </c>
      <c r="K40" s="49"/>
      <c r="L40" s="49"/>
      <c r="O40" s="49"/>
      <c r="P40" s="49"/>
    </row>
    <row r="41" spans="2:16" s="43" customFormat="1" outlineLevel="1">
      <c r="B41" s="251" t="s">
        <v>745</v>
      </c>
      <c r="C41" s="209" t="s">
        <v>276</v>
      </c>
      <c r="D41" s="246">
        <v>1023.02</v>
      </c>
      <c r="E41" s="113">
        <f>D41/$D$6</f>
        <v>132.6590288719016</v>
      </c>
      <c r="F41" s="74">
        <v>45744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19</v>
      </c>
      <c r="J41" s="75">
        <f t="shared" si="4"/>
        <v>0</v>
      </c>
    </row>
    <row r="42" spans="2:16" s="43" customFormat="1" ht="15.75" outlineLevel="1" thickBot="1">
      <c r="B42" s="251" t="s">
        <v>745</v>
      </c>
      <c r="C42" s="209" t="s">
        <v>275</v>
      </c>
      <c r="D42" s="246">
        <v>2002.09</v>
      </c>
      <c r="E42" s="113">
        <f>D42/$D$6</f>
        <v>259.61888830535617</v>
      </c>
      <c r="F42" s="74">
        <v>45744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19</v>
      </c>
      <c r="J42" s="75">
        <f t="shared" si="4"/>
        <v>0</v>
      </c>
    </row>
    <row r="43" spans="2:16" s="43" customFormat="1" ht="16.5" thickBot="1">
      <c r="B43" s="82"/>
      <c r="C43" s="85" t="s">
        <v>162</v>
      </c>
      <c r="D43" s="119">
        <f>SUBTOTAL(9,D44:D45)</f>
        <v>0</v>
      </c>
      <c r="E43" s="114">
        <f>SUBTOTAL(9,E44:E45)</f>
        <v>0</v>
      </c>
      <c r="K43" s="52"/>
      <c r="M43" s="183"/>
      <c r="N43" s="183"/>
    </row>
    <row r="44" spans="2:16" s="43" customFormat="1" outlineLevel="1">
      <c r="B44" s="46"/>
      <c r="C44" s="47"/>
      <c r="D44" s="104">
        <f>E44*7.85</f>
        <v>0</v>
      </c>
      <c r="E44" s="115">
        <v>0</v>
      </c>
      <c r="F44" s="74">
        <v>45747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20</v>
      </c>
      <c r="J44" s="75">
        <f t="shared" ref="J44:J45" si="5">H44</f>
        <v>0</v>
      </c>
      <c r="M44" s="104"/>
      <c r="N44" s="49"/>
    </row>
    <row r="45" spans="2:16" s="43" customFormat="1" ht="15.75" outlineLevel="1" thickBot="1">
      <c r="B45" s="46"/>
      <c r="C45" s="47"/>
      <c r="D45" s="104">
        <f>E45*7.85</f>
        <v>0</v>
      </c>
      <c r="E45" s="115">
        <v>0</v>
      </c>
      <c r="F45" s="74">
        <v>45747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20</v>
      </c>
      <c r="J45" s="75">
        <f t="shared" si="5"/>
        <v>0</v>
      </c>
      <c r="M45" s="104"/>
      <c r="N45" s="49"/>
    </row>
    <row r="46" spans="2:16" s="43" customFormat="1" ht="16.5" thickBot="1">
      <c r="B46" s="46"/>
      <c r="C46" s="73" t="s">
        <v>147</v>
      </c>
      <c r="D46" s="103">
        <f>SUBTOTAL(9,D47:D47)</f>
        <v>0</v>
      </c>
      <c r="E46" s="112">
        <f>SUBTOTAL(9,E47:E47)</f>
        <v>0</v>
      </c>
    </row>
    <row r="47" spans="2:16" s="43" customFormat="1" ht="15.75" outlineLevel="1" thickBot="1">
      <c r="B47" s="46"/>
      <c r="C47" s="47"/>
      <c r="D47" s="104"/>
      <c r="E47" s="113"/>
      <c r="F47" s="74">
        <v>45747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20</v>
      </c>
      <c r="J47" s="75">
        <f>H47</f>
        <v>0</v>
      </c>
    </row>
    <row r="48" spans="2:16" s="43" customFormat="1" ht="15.75" customHeight="1" thickBot="1">
      <c r="C48" s="73" t="s">
        <v>148</v>
      </c>
      <c r="D48" s="119">
        <f>SUBTOTAL(9,D49:D49)</f>
        <v>962.56</v>
      </c>
      <c r="E48" s="114">
        <f>SUBTOTAL(9,E49:E49)</f>
        <v>124.81894276840883</v>
      </c>
    </row>
    <row r="49" spans="2:12" s="43" customFormat="1" ht="15.75" outlineLevel="1" thickBot="1">
      <c r="B49" s="46"/>
      <c r="C49" s="47" t="s">
        <v>117</v>
      </c>
      <c r="D49" s="109">
        <v>962.56</v>
      </c>
      <c r="E49" s="115">
        <f>D49/$D$6</f>
        <v>124.81894276840883</v>
      </c>
      <c r="F49" s="74">
        <v>45747</v>
      </c>
      <c r="G49" s="43" t="s">
        <v>135</v>
      </c>
      <c r="J49" s="75"/>
    </row>
    <row r="50" spans="2:12" s="43" customFormat="1" ht="16.5" thickBot="1">
      <c r="C50" s="73" t="s">
        <v>164</v>
      </c>
      <c r="D50" s="103">
        <f>SUBTOTAL(9,D51:D62)</f>
        <v>270152.19</v>
      </c>
      <c r="E50" s="112">
        <f>SUBTOTAL(9,E51:E62)</f>
        <v>35031.697496644694</v>
      </c>
      <c r="K50" s="52"/>
      <c r="L50" s="86"/>
    </row>
    <row r="51" spans="2:12" s="43" customFormat="1" outlineLevel="1">
      <c r="B51" s="83"/>
      <c r="C51" s="47" t="s">
        <v>176</v>
      </c>
      <c r="D51" s="257">
        <v>28786.83</v>
      </c>
      <c r="E51" s="115">
        <f t="shared" ref="E51:E58" si="6">D51/$D$6</f>
        <v>3732.9015191301478</v>
      </c>
      <c r="F51" s="74">
        <v>45744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19</v>
      </c>
      <c r="J51" s="75">
        <f t="shared" ref="J51:J58" si="7">H51</f>
        <v>0</v>
      </c>
      <c r="L51" s="52"/>
    </row>
    <row r="52" spans="2:12" s="43" customFormat="1" outlineLevel="1">
      <c r="B52" s="46"/>
      <c r="C52" s="47" t="s">
        <v>414</v>
      </c>
      <c r="D52" s="257">
        <v>59159.39</v>
      </c>
      <c r="E52" s="115">
        <f t="shared" si="6"/>
        <v>7671.4308870345521</v>
      </c>
      <c r="F52" s="74">
        <v>45744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19</v>
      </c>
      <c r="J52" s="75">
        <f t="shared" si="7"/>
        <v>0</v>
      </c>
      <c r="L52" s="52"/>
    </row>
    <row r="53" spans="2:12" s="43" customFormat="1" ht="13.5" customHeight="1" outlineLevel="1">
      <c r="B53" s="46"/>
      <c r="C53" s="47" t="s">
        <v>417</v>
      </c>
      <c r="D53" s="257">
        <v>10562.83</v>
      </c>
      <c r="E53" s="115">
        <f t="shared" si="6"/>
        <v>1369.7237296817154</v>
      </c>
      <c r="F53" s="74">
        <v>45744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19</v>
      </c>
      <c r="J53" s="75">
        <f t="shared" si="7"/>
        <v>0</v>
      </c>
      <c r="L53" s="52"/>
    </row>
    <row r="54" spans="2:12" s="43" customFormat="1" outlineLevel="1">
      <c r="B54" s="83"/>
      <c r="C54" s="47" t="s">
        <v>409</v>
      </c>
      <c r="D54" s="257">
        <v>14151.42</v>
      </c>
      <c r="E54" s="115">
        <f t="shared" si="6"/>
        <v>1835.0703156911945</v>
      </c>
      <c r="F54" s="74">
        <v>45744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19</v>
      </c>
      <c r="J54" s="75">
        <f t="shared" si="7"/>
        <v>0</v>
      </c>
      <c r="L54" s="52"/>
    </row>
    <row r="55" spans="2:12" s="43" customFormat="1" outlineLevel="1">
      <c r="B55" s="46"/>
      <c r="C55" s="47" t="s">
        <v>416</v>
      </c>
      <c r="D55" s="257">
        <v>84493.61</v>
      </c>
      <c r="E55" s="115">
        <f t="shared" si="6"/>
        <v>10956.61888182166</v>
      </c>
      <c r="F55" s="74">
        <v>45744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19</v>
      </c>
      <c r="J55" s="75">
        <f t="shared" si="7"/>
        <v>0</v>
      </c>
      <c r="K55" s="52"/>
      <c r="L55" s="57"/>
    </row>
    <row r="56" spans="2:12" s="43" customFormat="1" ht="14.25" customHeight="1" outlineLevel="1">
      <c r="B56" s="83"/>
      <c r="C56" s="47" t="s">
        <v>412</v>
      </c>
      <c r="D56" s="257">
        <v>5732.9</v>
      </c>
      <c r="E56" s="115">
        <f t="shared" si="6"/>
        <v>743.40770133499313</v>
      </c>
      <c r="F56" s="74">
        <v>45744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si="7"/>
        <v>0</v>
      </c>
      <c r="L56" s="52"/>
    </row>
    <row r="57" spans="2:12" s="43" customFormat="1" outlineLevel="1">
      <c r="B57" s="83"/>
      <c r="C57" s="47" t="s">
        <v>413</v>
      </c>
      <c r="D57" s="257">
        <v>3943.21</v>
      </c>
      <c r="E57" s="115">
        <f t="shared" si="6"/>
        <v>511.33155680042535</v>
      </c>
      <c r="F57" s="74">
        <v>45744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si="7"/>
        <v>0</v>
      </c>
      <c r="L57" s="52"/>
    </row>
    <row r="58" spans="2:12" s="43" customFormat="1" outlineLevel="1">
      <c r="B58" s="46"/>
      <c r="C58" s="47" t="s">
        <v>415</v>
      </c>
      <c r="D58" s="257">
        <v>25919.93</v>
      </c>
      <c r="E58" s="115">
        <f t="shared" si="6"/>
        <v>3361.1393151919501</v>
      </c>
      <c r="F58" s="74">
        <v>45744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7"/>
        <v>0</v>
      </c>
      <c r="K58" s="48"/>
      <c r="L58" s="48"/>
    </row>
    <row r="59" spans="2:12" s="43" customFormat="1" outlineLevel="1">
      <c r="B59" s="83"/>
      <c r="C59" s="47" t="s">
        <v>410</v>
      </c>
      <c r="D59" s="257">
        <v>3943.21</v>
      </c>
      <c r="E59" s="115">
        <f>D59/$D$6</f>
        <v>511.33155680042535</v>
      </c>
      <c r="F59" s="74">
        <v>45744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>H59</f>
        <v>0</v>
      </c>
      <c r="L59" s="52"/>
    </row>
    <row r="60" spans="2:12" s="43" customFormat="1" outlineLevel="1">
      <c r="B60" s="83"/>
      <c r="C60" s="47" t="s">
        <v>418</v>
      </c>
      <c r="D60" s="257">
        <v>29515.65</v>
      </c>
      <c r="E60" s="115">
        <f>D60/$D$6</f>
        <v>3827.4104763572</v>
      </c>
      <c r="F60" s="74">
        <v>45744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>H60</f>
        <v>0</v>
      </c>
      <c r="L60" s="52"/>
    </row>
    <row r="61" spans="2:12" s="43" customFormat="1" outlineLevel="1">
      <c r="B61" s="83"/>
      <c r="C61" s="47" t="s">
        <v>411</v>
      </c>
      <c r="D61" s="257">
        <v>3943.21</v>
      </c>
      <c r="E61" s="115">
        <f t="shared" ref="E61" si="8">D61/$D$6</f>
        <v>511.33155680042535</v>
      </c>
      <c r="F61" s="74">
        <v>45744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 t="shared" ref="J61" si="9">H61</f>
        <v>0</v>
      </c>
      <c r="L61" s="52"/>
    </row>
    <row r="62" spans="2:12" s="43" customFormat="1" ht="15.75" outlineLevel="1" thickBot="1">
      <c r="B62" s="83"/>
      <c r="C62" s="47" t="s">
        <v>757</v>
      </c>
      <c r="D62" s="109">
        <f>7433.41*0</f>
        <v>0</v>
      </c>
      <c r="E62" s="115">
        <f t="shared" ref="E62" si="10">D62/$D$6</f>
        <v>0</v>
      </c>
      <c r="F62" s="74">
        <v>45749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22</v>
      </c>
      <c r="J62" s="75">
        <f t="shared" ref="J62" si="11">H62</f>
        <v>0</v>
      </c>
      <c r="L62" s="52"/>
    </row>
    <row r="63" spans="2:12" s="43" customFormat="1" ht="16.5" thickBot="1">
      <c r="B63" s="46"/>
      <c r="C63" s="73" t="s">
        <v>173</v>
      </c>
      <c r="D63" s="103">
        <f>SUBTOTAL(9,D64:D67)</f>
        <v>51013.644381000006</v>
      </c>
      <c r="E63" s="112">
        <f>SUBTOTAL(9,E64:E67)</f>
        <v>6615.14</v>
      </c>
    </row>
    <row r="64" spans="2:12" s="43" customFormat="1" outlineLevel="1">
      <c r="B64" s="46"/>
      <c r="C64" s="210" t="s">
        <v>661</v>
      </c>
      <c r="D64" s="109">
        <f>E64*$D$6</f>
        <v>41678.075124000003</v>
      </c>
      <c r="E64" s="115">
        <v>5404.56</v>
      </c>
      <c r="F64" s="74">
        <v>45744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19</v>
      </c>
      <c r="J64" s="75">
        <f>H64</f>
        <v>0</v>
      </c>
      <c r="K64" s="52"/>
      <c r="L64" s="54"/>
    </row>
    <row r="65" spans="1:16" s="43" customFormat="1" outlineLevel="1">
      <c r="B65" s="46"/>
      <c r="C65" s="210" t="s">
        <v>278</v>
      </c>
      <c r="D65" s="109">
        <f>E65*$D$6</f>
        <v>9335.5692569999992</v>
      </c>
      <c r="E65" s="115">
        <v>1210.58</v>
      </c>
      <c r="F65" s="74">
        <v>45744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19</v>
      </c>
      <c r="J65" s="75">
        <f t="shared" ref="J65:J67" si="12">H65</f>
        <v>0</v>
      </c>
      <c r="K65" s="52"/>
      <c r="L65" s="54"/>
    </row>
    <row r="66" spans="1:16" s="43" customFormat="1" outlineLevel="1">
      <c r="B66" s="46"/>
      <c r="C66" s="209" t="s">
        <v>280</v>
      </c>
      <c r="D66" s="109">
        <v>0</v>
      </c>
      <c r="E66" s="115">
        <f>D66/$D$6</f>
        <v>0</v>
      </c>
      <c r="F66" s="74">
        <v>45747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20</v>
      </c>
      <c r="J66" s="75">
        <f t="shared" si="12"/>
        <v>0</v>
      </c>
      <c r="K66" s="52"/>
      <c r="L66" s="54"/>
    </row>
    <row r="67" spans="1:16" s="43" customFormat="1" ht="15.75" outlineLevel="1" thickBot="1">
      <c r="B67" s="46"/>
      <c r="C67" s="209" t="s">
        <v>662</v>
      </c>
      <c r="D67" s="109">
        <v>0</v>
      </c>
      <c r="E67" s="115">
        <f>D67/$D$6</f>
        <v>0</v>
      </c>
      <c r="F67" s="74">
        <v>45747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20</v>
      </c>
      <c r="J67" s="75">
        <f t="shared" si="12"/>
        <v>0</v>
      </c>
      <c r="K67" s="52"/>
      <c r="L67" s="54"/>
    </row>
    <row r="68" spans="1:16" s="43" customFormat="1" ht="16.5" thickBot="1">
      <c r="B68" s="87"/>
      <c r="C68" s="73" t="s">
        <v>149</v>
      </c>
      <c r="D68" s="103">
        <f>SUBTOTAL(9,D69)</f>
        <v>0</v>
      </c>
      <c r="E68" s="112">
        <f>SUBTOTAL(9,E69)</f>
        <v>0</v>
      </c>
      <c r="L68" s="52"/>
    </row>
    <row r="69" spans="1:16" s="43" customFormat="1" ht="15.75" outlineLevel="1" thickBot="1">
      <c r="B69" s="46"/>
      <c r="C69" s="47"/>
      <c r="D69" s="109"/>
      <c r="E69" s="115">
        <f>D69/$D$6</f>
        <v>0</v>
      </c>
      <c r="F69" s="74">
        <v>45747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20</v>
      </c>
      <c r="J69" s="75">
        <f>H69</f>
        <v>0</v>
      </c>
      <c r="K69" s="52"/>
      <c r="L69" s="54"/>
    </row>
    <row r="70" spans="1:16" s="43" customFormat="1" ht="16.5" thickBot="1">
      <c r="B70" s="46"/>
      <c r="C70" s="73" t="s">
        <v>638</v>
      </c>
      <c r="D70" s="103">
        <f>SUBTOTAL(9,D71:D72)</f>
        <v>1500</v>
      </c>
      <c r="E70" s="112">
        <f>SUBTOTAL(9,E71:E72)</f>
        <v>194.51090233607596</v>
      </c>
      <c r="F70" s="43" t="s">
        <v>725</v>
      </c>
    </row>
    <row r="71" spans="1:16" s="43" customFormat="1" outlineLevel="1">
      <c r="B71" s="46">
        <v>3325052852</v>
      </c>
      <c r="C71" s="47" t="s">
        <v>640</v>
      </c>
      <c r="D71" s="257">
        <v>1500</v>
      </c>
      <c r="E71" s="115">
        <f>D71/$D$6</f>
        <v>194.51090233607596</v>
      </c>
      <c r="F71" s="74">
        <v>45743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19</v>
      </c>
      <c r="J71" s="75">
        <f>H71</f>
        <v>0</v>
      </c>
      <c r="K71" s="52"/>
      <c r="L71" s="54"/>
    </row>
    <row r="72" spans="1:16" s="43" customFormat="1" ht="15.75" outlineLevel="1" thickBot="1">
      <c r="B72" s="46"/>
      <c r="C72" s="47" t="s">
        <v>639</v>
      </c>
      <c r="D72" s="109">
        <f>E72*$D$6*0</f>
        <v>0</v>
      </c>
      <c r="E72" s="115">
        <f>400*0</f>
        <v>0</v>
      </c>
      <c r="F72" s="74">
        <v>45747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20</v>
      </c>
      <c r="J72" s="75">
        <f t="shared" ref="J72" si="13">H72</f>
        <v>0</v>
      </c>
      <c r="K72" s="52"/>
      <c r="L72" s="54"/>
    </row>
    <row r="73" spans="1:16" s="43" customFormat="1" ht="14.25" customHeight="1">
      <c r="B73" s="46"/>
      <c r="C73" s="88" t="s">
        <v>150</v>
      </c>
      <c r="D73" s="120">
        <f>SUBTOTAL(9,D25:D72)</f>
        <v>411568.79986650014</v>
      </c>
      <c r="E73" s="116">
        <f>SUBTOTAL(9,E25:E72)</f>
        <v>53369.745756939185</v>
      </c>
      <c r="K73" s="39"/>
      <c r="L73" s="39"/>
      <c r="N73" s="39"/>
      <c r="O73" s="39"/>
      <c r="P73" s="39"/>
    </row>
    <row r="74" spans="1:16" ht="15.75">
      <c r="A74" s="43"/>
      <c r="E74" s="117"/>
      <c r="F74" s="89"/>
      <c r="G74" s="89"/>
      <c r="H74" s="89"/>
      <c r="I74" s="89"/>
      <c r="J74" s="89"/>
    </row>
    <row r="75" spans="1:16" ht="15.75">
      <c r="A75" s="43"/>
      <c r="C75" s="90" t="s">
        <v>151</v>
      </c>
      <c r="D75" s="121">
        <f>D20-D73</f>
        <v>238824.07002299879</v>
      </c>
      <c r="E75" s="118">
        <f>E20-E73</f>
        <v>31570.010905459421</v>
      </c>
      <c r="F75" s="226"/>
      <c r="G75" s="227"/>
      <c r="J75" s="227"/>
    </row>
    <row r="76" spans="1:16" s="93" customFormat="1" ht="15.75">
      <c r="A76" s="43"/>
      <c r="B76" s="94"/>
      <c r="C76" s="90" t="s">
        <v>152</v>
      </c>
      <c r="D76" s="95">
        <f>IF($D$20=0,0,D75/$D$20)</f>
        <v>0.36719970510066441</v>
      </c>
      <c r="E76" s="95">
        <f>IF($E$20=0,0,E75/$E$20)</f>
        <v>0.37167531608240328</v>
      </c>
      <c r="F76" s="96"/>
      <c r="G76" s="92"/>
      <c r="J76" s="97"/>
      <c r="K76" s="39"/>
      <c r="L76" s="39"/>
      <c r="N76" s="39"/>
      <c r="O76" s="39"/>
      <c r="P76" s="39"/>
    </row>
    <row r="77" spans="1:16" ht="15.75" thickBot="1">
      <c r="A77" s="43"/>
      <c r="F77" s="96"/>
      <c r="G77" s="92"/>
    </row>
    <row r="78" spans="1:16" ht="15.75" thickBot="1">
      <c r="A78" s="43"/>
      <c r="C78" s="135" t="s">
        <v>184</v>
      </c>
      <c r="D78" s="136" t="s">
        <v>185</v>
      </c>
      <c r="E78" s="137" t="s">
        <v>191</v>
      </c>
      <c r="F78" s="137" t="s">
        <v>186</v>
      </c>
      <c r="G78" s="92"/>
    </row>
    <row r="79" spans="1:16">
      <c r="A79" s="43"/>
      <c r="C79" s="138">
        <v>45717</v>
      </c>
      <c r="D79" s="139">
        <v>45725</v>
      </c>
      <c r="E79" s="149">
        <f t="shared" ref="E79:E84" si="14">SUMIFS($D$25:$D$76,$F$25:$F$76,"&gt;="&amp;C79,$F$25:$F$76,"&lt;="&amp;D79,$G$25:$G$76,$D$93)</f>
        <v>0</v>
      </c>
      <c r="F79" s="154">
        <f t="shared" ref="F79:F84" si="15">SUMIFS($E$25:$E$76,$F$25:$F$76,"&gt;="&amp;C79,$F$25:$F$76,"&lt;="&amp;D79,$G$25:$G$76,$D$93)</f>
        <v>0</v>
      </c>
      <c r="G79" s="92"/>
    </row>
    <row r="80" spans="1:16">
      <c r="A80" s="43"/>
      <c r="C80" s="140">
        <v>45726</v>
      </c>
      <c r="D80" s="232">
        <v>45732</v>
      </c>
      <c r="E80" s="150">
        <f t="shared" si="14"/>
        <v>0</v>
      </c>
      <c r="F80" s="155">
        <f t="shared" si="15"/>
        <v>0</v>
      </c>
      <c r="G80" s="92" t="s">
        <v>698</v>
      </c>
    </row>
    <row r="81" spans="1:10">
      <c r="A81" s="43"/>
      <c r="C81" s="140">
        <v>45733</v>
      </c>
      <c r="D81" s="141">
        <v>45739</v>
      </c>
      <c r="E81" s="150">
        <f t="shared" si="14"/>
        <v>0</v>
      </c>
      <c r="F81" s="155">
        <f t="shared" si="15"/>
        <v>0</v>
      </c>
      <c r="G81" s="92"/>
    </row>
    <row r="82" spans="1:10">
      <c r="A82" s="43"/>
      <c r="C82" s="140">
        <v>45739</v>
      </c>
      <c r="D82" s="141">
        <v>45740</v>
      </c>
      <c r="E82" s="150">
        <f t="shared" si="14"/>
        <v>0</v>
      </c>
      <c r="F82" s="155">
        <f t="shared" si="15"/>
        <v>0</v>
      </c>
      <c r="G82" s="92"/>
    </row>
    <row r="83" spans="1:10">
      <c r="A83" s="43"/>
      <c r="C83" s="140">
        <v>45741</v>
      </c>
      <c r="D83" s="141">
        <v>45741</v>
      </c>
      <c r="E83" s="150">
        <f t="shared" si="14"/>
        <v>0</v>
      </c>
      <c r="F83" s="155">
        <f t="shared" si="15"/>
        <v>0</v>
      </c>
      <c r="G83" s="92" t="s">
        <v>726</v>
      </c>
    </row>
    <row r="84" spans="1:10" ht="15.75" thickBot="1">
      <c r="A84" s="43"/>
      <c r="C84" s="142">
        <v>45742</v>
      </c>
      <c r="D84" s="143">
        <v>45747</v>
      </c>
      <c r="E84" s="151">
        <f t="shared" si="14"/>
        <v>0</v>
      </c>
      <c r="F84" s="156">
        <f t="shared" si="15"/>
        <v>0</v>
      </c>
      <c r="G84" s="92" t="s">
        <v>728</v>
      </c>
    </row>
    <row r="85" spans="1:10" ht="15.75">
      <c r="A85" s="43"/>
      <c r="C85" s="433" t="s">
        <v>187</v>
      </c>
      <c r="D85" s="433"/>
      <c r="E85" s="148">
        <f>SUM(E79:E84)</f>
        <v>0</v>
      </c>
      <c r="F85" s="144">
        <f>SUM(F79:F84)</f>
        <v>0</v>
      </c>
      <c r="G85" s="92"/>
    </row>
    <row r="86" spans="1:10">
      <c r="A86" s="43"/>
      <c r="F86" s="96"/>
      <c r="G86" s="92"/>
    </row>
    <row r="87" spans="1:10">
      <c r="A87" s="43"/>
      <c r="F87" s="96"/>
      <c r="G87" s="92"/>
    </row>
    <row r="88" spans="1:10">
      <c r="A88" s="43"/>
      <c r="C88" s="41"/>
      <c r="D88" s="41" t="s">
        <v>380</v>
      </c>
      <c r="E88" s="166">
        <f>'Caja QTQ'!$H$427+('Caja USD'!H187*$D$6)</f>
        <v>238824.06751899901</v>
      </c>
      <c r="F88" s="153">
        <f>'Caja USD'!$H$187+('Caja QTQ'!H427/$D$6)</f>
        <v>30969.256581794951</v>
      </c>
      <c r="G88" s="92"/>
    </row>
    <row r="89" spans="1:10">
      <c r="A89" s="43"/>
      <c r="D89" s="200" t="s">
        <v>727</v>
      </c>
      <c r="E89" s="166">
        <f>SUM(E79:E83)</f>
        <v>0</v>
      </c>
      <c r="F89" s="153">
        <f>SUM(F79:F83)</f>
        <v>0</v>
      </c>
      <c r="G89" s="92"/>
    </row>
    <row r="90" spans="1:10">
      <c r="A90" s="43"/>
      <c r="D90" s="146" t="s">
        <v>381</v>
      </c>
      <c r="E90" s="201">
        <f>E88-E89</f>
        <v>238824.06751899901</v>
      </c>
      <c r="F90" s="145">
        <f>F88-F89</f>
        <v>30969.256581794951</v>
      </c>
      <c r="G90" s="92"/>
      <c r="J90" s="167"/>
    </row>
    <row r="91" spans="1:10">
      <c r="A91" s="43"/>
      <c r="F91" s="96"/>
      <c r="G91" s="92"/>
    </row>
    <row r="92" spans="1:10">
      <c r="D92" s="43" t="s">
        <v>135</v>
      </c>
      <c r="E92" s="15">
        <f>SUMIFS($D$25:$D$87,$F$25:$F$87,"&gt;="&amp;C79,$F$25:$F$87,"&lt;="&amp;D82,$G$25:$G$87,$D$92)</f>
        <v>76227.200000000012</v>
      </c>
      <c r="F92" s="153">
        <f>SUMIFS($E$25:$E$87,$F$25:$F$87,"&gt;="&amp;C79,$F$25:$F$87,"&lt;="&amp;D82,$G$25:$G$87,$D$92)</f>
        <v>9884.680969701687</v>
      </c>
    </row>
    <row r="93" spans="1:10">
      <c r="D93" s="43" t="s">
        <v>143</v>
      </c>
      <c r="E93" s="15">
        <f>SUMIFS($D$25:$D$87,$F$25:$F$87,"&gt;="&amp;C79,$F$25:$F$87,"&lt;="&amp;D82,$G$25:$G$87,$D$93)</f>
        <v>0</v>
      </c>
      <c r="F93" s="153">
        <f>SUMIFS($E$25:$E$87,$F$25:$F$87,"&gt;="&amp;C80,$F$25:$F$87,"&lt;="&amp;D82,$G$25:$G$87,$D$93)</f>
        <v>0</v>
      </c>
    </row>
    <row r="94" spans="1:10">
      <c r="D94" s="146" t="s">
        <v>189</v>
      </c>
      <c r="E94" s="152">
        <f>SUM(E92:E93)</f>
        <v>76227.200000000012</v>
      </c>
      <c r="F94" s="145">
        <f>SUM(F92:F93)</f>
        <v>9884.680969701687</v>
      </c>
    </row>
    <row r="95" spans="1:10">
      <c r="D95" s="146" t="s">
        <v>190</v>
      </c>
      <c r="E95" s="152">
        <f>E94-D73*0</f>
        <v>76227.200000000012</v>
      </c>
      <c r="F95" s="145">
        <f>F94-E73*0</f>
        <v>9884.680969701687</v>
      </c>
    </row>
    <row r="97" spans="4:6" hidden="1">
      <c r="D97" s="41" t="s">
        <v>373</v>
      </c>
      <c r="E97" s="166">
        <f>D75</f>
        <v>238824.07002299879</v>
      </c>
    </row>
    <row r="98" spans="4:6" hidden="1">
      <c r="D98" s="41" t="s">
        <v>339</v>
      </c>
      <c r="E98" s="166">
        <f>'Caja QTQ'!H167+('Caja USD'!H70*7.6)</f>
        <v>190098.56839999984</v>
      </c>
    </row>
    <row r="99" spans="4:6" hidden="1">
      <c r="D99" s="41" t="s">
        <v>85</v>
      </c>
      <c r="E99" s="166">
        <f>E97-E98</f>
        <v>48725.501622998941</v>
      </c>
      <c r="F99" s="185">
        <f>E99/7.88</f>
        <v>6183.4392922587494</v>
      </c>
    </row>
    <row r="100" spans="4:6">
      <c r="F100" s="167"/>
    </row>
    <row r="101" spans="4:6">
      <c r="D101" s="41" t="s">
        <v>373</v>
      </c>
      <c r="E101" s="166">
        <f>D75</f>
        <v>238824.07002299879</v>
      </c>
      <c r="F101" s="167"/>
    </row>
    <row r="102" spans="4:6">
      <c r="D102" s="41" t="s">
        <v>339</v>
      </c>
      <c r="E102" s="166">
        <f>('Caja USD'!$H$187*$D$6)+'Caja QTQ'!$H$427</f>
        <v>238824.06751899901</v>
      </c>
    </row>
    <row r="103" spans="4:6">
      <c r="D103" s="41" t="s">
        <v>444</v>
      </c>
      <c r="E103" s="166">
        <f>E101-E102</f>
        <v>2.5039997708518058E-3</v>
      </c>
      <c r="F103" s="185"/>
    </row>
    <row r="104" spans="4:6">
      <c r="D104" s="41" t="s">
        <v>674</v>
      </c>
      <c r="E104" s="167">
        <f>E103/$D$6</f>
        <v>3.2470350325180809E-4</v>
      </c>
    </row>
  </sheetData>
  <protectedRanges>
    <protectedRange sqref="F20:G20 D77:E77 C88 D86:E91 D47:E47 D10:E11" name="Presupuestos"/>
    <protectedRange sqref="D24:E24 D8:E8" name="Presupuestos_1"/>
    <protectedRange sqref="D31:E34" name="Presupuestos_13_1"/>
    <protectedRange sqref="D36:E42 D44:D45" name="Presupuestos_14"/>
    <protectedRange sqref="E51 D52:E53 E54 D55:E55 E56:E62" name="Presupuestos_2_1_1_1"/>
    <protectedRange sqref="K58 D58 D71:E72 D69:E69 D64:E67" name="Presupuestos_6_1_1_1"/>
    <protectedRange sqref="D56:D57 D51 D54 D59:D62" name="Presupuestos_5_2_1"/>
    <protectedRange sqref="E44:E45" name="Presupuestos_13_1_1"/>
    <protectedRange sqref="E49" name="Presupuestos_7_1_2"/>
    <protectedRange sqref="D49" name="Presupuestos_7_1_1_1"/>
  </protectedRanges>
  <autoFilter ref="B24:J72" xr:uid="{00000000-0009-0000-0000-000002000000}"/>
  <mergeCells count="4">
    <mergeCell ref="D7:E7"/>
    <mergeCell ref="B23:C23"/>
    <mergeCell ref="D23:E23"/>
    <mergeCell ref="C85:D85"/>
  </mergeCells>
  <conditionalFormatting sqref="J26 J28:J29 J31:J34 J36:J42 J44:J45 J49 J51:J62 J64:J67 J71:J72">
    <cfRule type="cellIs" dxfId="160" priority="9" operator="lessThan">
      <formula>0</formula>
    </cfRule>
    <cfRule type="cellIs" dxfId="159" priority="10" operator="between">
      <formula>6</formula>
      <formula>15</formula>
    </cfRule>
    <cfRule type="cellIs" dxfId="158" priority="11" operator="between">
      <formula>1</formula>
      <formula>5</formula>
    </cfRule>
    <cfRule type="cellIs" dxfId="157" priority="12" operator="between">
      <formula>16</formula>
      <formula>60</formula>
    </cfRule>
  </conditionalFormatting>
  <conditionalFormatting sqref="J47">
    <cfRule type="cellIs" dxfId="156" priority="5" operator="lessThan">
      <formula>0</formula>
    </cfRule>
    <cfRule type="cellIs" dxfId="155" priority="6" operator="between">
      <formula>6</formula>
      <formula>15</formula>
    </cfRule>
    <cfRule type="cellIs" dxfId="154" priority="7" operator="between">
      <formula>1</formula>
      <formula>5</formula>
    </cfRule>
    <cfRule type="cellIs" dxfId="153" priority="8" operator="between">
      <formula>16</formula>
      <formula>60</formula>
    </cfRule>
  </conditionalFormatting>
  <conditionalFormatting sqref="J69">
    <cfRule type="cellIs" dxfId="152" priority="1" operator="lessThan">
      <formula>0</formula>
    </cfRule>
    <cfRule type="cellIs" dxfId="151" priority="2" operator="between">
      <formula>6</formula>
      <formula>15</formula>
    </cfRule>
    <cfRule type="cellIs" dxfId="150" priority="3" operator="between">
      <formula>1</formula>
      <formula>5</formula>
    </cfRule>
    <cfRule type="cellIs" dxfId="149" priority="4" operator="between">
      <formula>16</formula>
      <formula>60</formula>
    </cfRule>
  </conditionalFormatting>
  <dataValidations count="3">
    <dataValidation type="list" allowBlank="1" showInputMessage="1" showErrorMessage="1" sqref="G71:G72 G25:G26 D92:D93 G28:G29 G47 G44:G45 G69 G49 G36:G42 G31:G34 G64:G67 G51:G62" xr:uid="{32AFFA95-26FA-4388-84EC-A4B9F52E063A}">
      <formula1>"Cancelado,Pagar,Sin Pagar"</formula1>
    </dataValidation>
    <dataValidation type="list" allowBlank="1" showInputMessage="1" showErrorMessage="1" sqref="D23 D7" xr:uid="{08F7AB0E-3D9A-44F9-9C19-ABDF957C332F}">
      <formula1>"ENERO,FEBRERO,MARZO,ABRIL,MAYO,JUNIO,JULIO,AGOSTO,SEPTIEMBRE,OCTUBRE,NOVIEMBRE,DICIEMBRE"</formula1>
    </dataValidation>
    <dataValidation type="list" allowBlank="1" showInputMessage="1" showErrorMessage="1" sqref="B13:B19" xr:uid="{F6E7E812-89AB-4839-B781-578A84E46F6C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26:J31 J33 J63 J65:J73 J35:J61" unlocked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3510-6046-4FB8-9F49-BB05A725FEC8}">
  <dimension ref="A1:S112"/>
  <sheetViews>
    <sheetView showGridLines="0" topLeftCell="A95" zoomScale="90" zoomScaleNormal="90" workbookViewId="0">
      <selection activeCell="D109" sqref="D109:E112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45750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7.7089999999999996</v>
      </c>
      <c r="E6" s="42"/>
      <c r="I6" s="43"/>
    </row>
    <row r="7" spans="1:9" ht="15.75">
      <c r="C7" s="99"/>
      <c r="D7" s="432" t="s">
        <v>138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245143.562639999</v>
      </c>
      <c r="E9" s="122">
        <f>SUBTOTAL(9,E10:E11)</f>
        <v>31799.657885588145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QTQ'!$D$430+6321.84</f>
        <v>238322.176899999</v>
      </c>
      <c r="E10" s="25">
        <f>D10/$D$6</f>
        <v>30914.797885588145</v>
      </c>
      <c r="F10" s="49"/>
    </row>
    <row r="11" spans="1:9" s="43" customFormat="1" outlineLevel="1">
      <c r="B11" s="46"/>
      <c r="C11" s="47" t="s">
        <v>154</v>
      </c>
      <c r="D11" s="15">
        <f>E11*D6</f>
        <v>6821.385739999997</v>
      </c>
      <c r="E11" s="25">
        <f>'Caja USD'!$D$191</f>
        <v>884.85999999999967</v>
      </c>
      <c r="F11" s="49"/>
    </row>
    <row r="12" spans="1:9" s="43" customFormat="1" ht="15.75">
      <c r="B12" s="46"/>
      <c r="C12" s="102" t="s">
        <v>134</v>
      </c>
      <c r="D12" s="127" t="e">
        <f>SUBTOTAL(9,D13:D22)</f>
        <v>#REF!</v>
      </c>
      <c r="E12" s="122" t="e">
        <f>SUBTOTAL(9,E13:E22)</f>
        <v>#REF!</v>
      </c>
      <c r="F12" s="128"/>
    </row>
    <row r="13" spans="1:9" s="43" customFormat="1" outlineLevel="1">
      <c r="A13" s="50"/>
      <c r="B13" s="218" t="s">
        <v>298</v>
      </c>
      <c r="C13" s="215" t="s">
        <v>517</v>
      </c>
      <c r="D13" s="216">
        <f>'Diferencia en cambio'!$I$90</f>
        <v>274828.83779682359</v>
      </c>
      <c r="E13" s="225">
        <f>D13/'Diferencia en cambio'!$L$90</f>
        <v>35930.21</v>
      </c>
      <c r="F13" s="128"/>
      <c r="G13" s="184"/>
    </row>
    <row r="14" spans="1:9" s="43" customFormat="1" outlineLevel="1">
      <c r="A14" s="50"/>
      <c r="B14" s="218" t="s">
        <v>298</v>
      </c>
      <c r="C14" s="215" t="s">
        <v>520</v>
      </c>
      <c r="D14" s="216">
        <f>'Diferencia en cambio'!$I$91</f>
        <v>7247.3922031763886</v>
      </c>
      <c r="E14" s="225">
        <f>$D$14/'Diferencia en cambio'!$L$91</f>
        <v>947.5</v>
      </c>
      <c r="F14" s="128"/>
      <c r="G14" s="184"/>
    </row>
    <row r="15" spans="1:9" s="43" customFormat="1" outlineLevel="1">
      <c r="B15" s="218" t="s">
        <v>298</v>
      </c>
      <c r="C15" s="215" t="s">
        <v>519</v>
      </c>
      <c r="D15" s="216">
        <f>'Diferencia en cambio'!$I$92</f>
        <v>13405.570584472678</v>
      </c>
      <c r="E15" s="225">
        <f>D15/'Diferencia en cambio'!$L$92</f>
        <v>1775.35</v>
      </c>
      <c r="F15" s="128"/>
      <c r="G15" s="52"/>
    </row>
    <row r="16" spans="1:9" s="43" customFormat="1" outlineLevel="1">
      <c r="B16" s="218" t="s">
        <v>298</v>
      </c>
      <c r="C16" s="215" t="s">
        <v>518</v>
      </c>
      <c r="D16" s="216">
        <f>'Diferencia en cambio'!$I$93</f>
        <v>18113.509415527325</v>
      </c>
      <c r="E16" s="225">
        <f>D16/'Diferencia en cambio'!$L$93</f>
        <v>2398.84</v>
      </c>
      <c r="F16" s="128"/>
      <c r="G16" s="52"/>
    </row>
    <row r="17" spans="2:19" s="43" customFormat="1" outlineLevel="1">
      <c r="B17" s="51" t="s">
        <v>143</v>
      </c>
      <c r="C17" s="47" t="s">
        <v>760</v>
      </c>
      <c r="D17" s="207" t="e">
        <f>'Diferencia en cambio'!#REF!*0</f>
        <v>#REF!</v>
      </c>
      <c r="E17" s="207" t="e">
        <f>D17/'Diferencia en cambio'!#REF!</f>
        <v>#REF!</v>
      </c>
      <c r="F17" s="128"/>
      <c r="G17" s="52"/>
    </row>
    <row r="18" spans="2:19" s="43" customFormat="1" outlineLevel="1">
      <c r="B18" s="218" t="s">
        <v>298</v>
      </c>
      <c r="C18" s="215" t="s">
        <v>514</v>
      </c>
      <c r="D18" s="216">
        <f>'Diferencia en cambio'!$I$86</f>
        <v>41866.21809350988</v>
      </c>
      <c r="E18" s="216">
        <f>D18/'Diferencia en cambio'!$L$86</f>
        <v>5510.1936758893289</v>
      </c>
      <c r="F18" s="128"/>
      <c r="G18" s="52"/>
    </row>
    <row r="19" spans="2:19" s="43" customFormat="1" outlineLevel="1">
      <c r="B19" s="218" t="s">
        <v>298</v>
      </c>
      <c r="C19" s="215" t="s">
        <v>775</v>
      </c>
      <c r="D19" s="216">
        <f>'Diferencia en cambio'!$I$87</f>
        <v>36956.769840343062</v>
      </c>
      <c r="E19" s="216">
        <f>D19/'Diferencia en cambio'!$L$87</f>
        <v>4864.04</v>
      </c>
      <c r="F19" s="128"/>
      <c r="G19" s="52"/>
    </row>
    <row r="20" spans="2:19" s="43" customFormat="1" outlineLevel="1">
      <c r="B20" s="218" t="s">
        <v>298</v>
      </c>
      <c r="C20" s="215" t="s">
        <v>515</v>
      </c>
      <c r="D20" s="216">
        <f>'Diferencia en cambio'!$I$88</f>
        <v>43795.068252147896</v>
      </c>
      <c r="E20" s="216">
        <f>D20/'Diferencia en cambio'!$L$88</f>
        <v>5764.0579710144921</v>
      </c>
      <c r="F20" s="128"/>
      <c r="G20" s="52"/>
    </row>
    <row r="21" spans="2:19" s="43" customFormat="1" outlineLevel="1">
      <c r="B21" s="218" t="s">
        <v>298</v>
      </c>
      <c r="C21" s="215" t="s">
        <v>516</v>
      </c>
      <c r="D21" s="216">
        <f>'Diferencia en cambio'!$I$89</f>
        <v>18784.583813999172</v>
      </c>
      <c r="E21" s="216">
        <f>D21/'Diferencia en cambio'!$L$89</f>
        <v>2472.320158102767</v>
      </c>
      <c r="F21" s="128"/>
      <c r="G21" s="52"/>
    </row>
    <row r="22" spans="2:19" s="43" customFormat="1" outlineLevel="1">
      <c r="B22" s="218" t="s">
        <v>298</v>
      </c>
      <c r="C22" s="215" t="s">
        <v>796</v>
      </c>
      <c r="D22" s="216">
        <f>'Diferencia en cambio'!$I$94</f>
        <v>8098.73</v>
      </c>
      <c r="E22" s="216">
        <f>$D$22/'Diferencia en cambio'!$L$94</f>
        <v>1076.2595520421607</v>
      </c>
      <c r="F22" s="128"/>
      <c r="G22" s="52"/>
    </row>
    <row r="23" spans="2:19" s="43" customFormat="1" ht="15.75">
      <c r="B23" s="46"/>
      <c r="C23" s="55" t="s">
        <v>136</v>
      </c>
      <c r="D23" s="123" t="e">
        <f>SUBTOTAL(9,D9:D22)</f>
        <v>#REF!</v>
      </c>
      <c r="E23" s="124" t="e">
        <f>SUBTOTAL(9,E9:E22)</f>
        <v>#REF!</v>
      </c>
      <c r="F23" s="56"/>
      <c r="G23" s="56"/>
      <c r="J23" s="52"/>
      <c r="K23" s="57"/>
      <c r="O23" s="58"/>
      <c r="P23" s="59"/>
      <c r="Q23" s="53"/>
    </row>
    <row r="24" spans="2:19" s="43" customFormat="1" ht="15.75">
      <c r="B24" s="46"/>
      <c r="C24" s="60"/>
      <c r="D24" s="61"/>
      <c r="E24" s="61"/>
      <c r="G24" s="62"/>
      <c r="O24" s="59"/>
      <c r="P24" s="59"/>
    </row>
    <row r="25" spans="2:19" s="43" customFormat="1" ht="15.75">
      <c r="B25" s="46"/>
      <c r="N25" s="63"/>
      <c r="O25" s="64"/>
      <c r="P25" s="65"/>
    </row>
    <row r="26" spans="2:19" s="43" customFormat="1" ht="15.75">
      <c r="B26" s="432" t="s">
        <v>137</v>
      </c>
      <c r="C26" s="432"/>
      <c r="D26" s="432" t="s">
        <v>138</v>
      </c>
      <c r="E26" s="432"/>
      <c r="K26" s="65"/>
      <c r="L26" s="65"/>
      <c r="N26" s="63"/>
      <c r="R26" s="52"/>
      <c r="S26" s="52"/>
    </row>
    <row r="27" spans="2:19" s="43" customFormat="1" ht="16.5" thickBot="1">
      <c r="B27" s="67" t="s">
        <v>81</v>
      </c>
      <c r="C27" s="68" t="s">
        <v>106</v>
      </c>
      <c r="D27" s="110" t="s">
        <v>168</v>
      </c>
      <c r="E27" s="110" t="s">
        <v>169</v>
      </c>
      <c r="F27" s="69" t="s">
        <v>140</v>
      </c>
      <c r="G27" s="63" t="s">
        <v>141</v>
      </c>
      <c r="H27" s="63"/>
      <c r="I27" s="63"/>
      <c r="J27" s="70" t="s">
        <v>142</v>
      </c>
      <c r="N27" s="71"/>
      <c r="R27" s="52"/>
      <c r="S27" s="72"/>
    </row>
    <row r="28" spans="2:19" s="43" customFormat="1" ht="16.5" thickBot="1">
      <c r="B28" s="46"/>
      <c r="C28" s="73" t="s">
        <v>155</v>
      </c>
      <c r="D28" s="103">
        <f>SUBTOTAL(9,D29:D29)</f>
        <v>50931.66</v>
      </c>
      <c r="E28" s="112">
        <f>SUBTOTAL(9,E29:E29)</f>
        <v>6606.7790893760548</v>
      </c>
      <c r="F28" s="74"/>
      <c r="J28" s="76"/>
    </row>
    <row r="29" spans="2:19" s="43" customFormat="1" ht="15.75" outlineLevel="1" thickBot="1">
      <c r="B29" s="168">
        <v>5284429</v>
      </c>
      <c r="C29" s="78" t="s">
        <v>767</v>
      </c>
      <c r="D29" s="104">
        <v>50931.66</v>
      </c>
      <c r="E29" s="115">
        <f>D29/$D$6</f>
        <v>6606.7790893760548</v>
      </c>
      <c r="F29" s="80">
        <v>45758</v>
      </c>
      <c r="G29" s="43" t="s">
        <v>135</v>
      </c>
      <c r="H29" s="43">
        <f>IF(OR(G29="Sin pagar",G29="Pagar"),NETWORKDAYS($E$4,F29,'Festivos Guatemala'!$A$3:$A$15),0)</f>
        <v>0</v>
      </c>
      <c r="I29" s="43">
        <f>NETWORKDAYS($E$4,F29,'Festivos Guatemala'!$A$3:$A$15)</f>
        <v>7</v>
      </c>
      <c r="J29" s="75">
        <f>H29</f>
        <v>0</v>
      </c>
      <c r="K29" s="52"/>
      <c r="L29" s="52"/>
    </row>
    <row r="30" spans="2:19" s="43" customFormat="1" ht="16.5" thickBot="1">
      <c r="B30" s="46"/>
      <c r="C30" s="73" t="s">
        <v>144</v>
      </c>
      <c r="D30" s="103">
        <f>SUBTOTAL(9,D31:D34)</f>
        <v>21415.62</v>
      </c>
      <c r="E30" s="112">
        <f>SUBTOTAL(9,E31:E34)</f>
        <v>2778.002334933195</v>
      </c>
      <c r="J30" s="76">
        <f t="shared" ref="J30:J40" si="0">H30</f>
        <v>0</v>
      </c>
    </row>
    <row r="31" spans="2:19" s="43" customFormat="1" outlineLevel="1">
      <c r="B31" s="168">
        <v>46053006763</v>
      </c>
      <c r="C31" s="47" t="s">
        <v>206</v>
      </c>
      <c r="D31" s="104">
        <v>7947.69</v>
      </c>
      <c r="E31" s="115">
        <f>D31/$D$6</f>
        <v>1030.9625113503696</v>
      </c>
      <c r="F31" s="80">
        <v>45757</v>
      </c>
      <c r="G31" s="43" t="s">
        <v>135</v>
      </c>
      <c r="H31" s="43">
        <f>IF(OR(G31="Sin pagar",G31="Pagar"),NETWORKDAYS($E$4,F31,'Festivos Guatemala'!$A$3:$A$15),0)</f>
        <v>0</v>
      </c>
      <c r="I31" s="43">
        <f>NETWORKDAYS($E$4,F31,'Festivos Guatemala'!$A$3:$A$15)</f>
        <v>6</v>
      </c>
      <c r="J31" s="75">
        <f>H31</f>
        <v>0</v>
      </c>
      <c r="K31" s="48"/>
      <c r="L31" s="57"/>
    </row>
    <row r="32" spans="2:19" s="43" customFormat="1" outlineLevel="1">
      <c r="B32" s="168">
        <v>46024221813</v>
      </c>
      <c r="C32" s="47" t="s">
        <v>765</v>
      </c>
      <c r="D32" s="104">
        <v>1889.93</v>
      </c>
      <c r="E32" s="115">
        <f>D32/$D$6</f>
        <v>245.15890517576861</v>
      </c>
      <c r="F32" s="80">
        <v>45757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6</v>
      </c>
      <c r="J32" s="75">
        <f>H32</f>
        <v>0</v>
      </c>
      <c r="K32" s="48"/>
      <c r="L32" s="57"/>
    </row>
    <row r="33" spans="2:16" s="43" customFormat="1" outlineLevel="1">
      <c r="B33" s="168">
        <v>46493150933</v>
      </c>
      <c r="C33" s="47" t="s">
        <v>776</v>
      </c>
      <c r="D33" s="104">
        <v>30</v>
      </c>
      <c r="E33" s="115">
        <f>D33/$D$6</f>
        <v>3.89155532494487</v>
      </c>
      <c r="F33" s="80">
        <v>45763</v>
      </c>
      <c r="G33" s="43" t="s">
        <v>135</v>
      </c>
      <c r="H33" s="43">
        <f>IF(OR(G33="Sin pagar",G33="Pagar"),NETWORKDAYS($E$4,F33,'Festivos Guatemala'!$A$3:$A$15),0)</f>
        <v>0</v>
      </c>
      <c r="I33" s="43">
        <f>NETWORKDAYS($E$4,F33,'Festivos Guatemala'!$A$3:$A$15)</f>
        <v>10</v>
      </c>
      <c r="J33" s="75">
        <f>H33</f>
        <v>0</v>
      </c>
      <c r="K33" s="48"/>
      <c r="L33" s="57"/>
    </row>
    <row r="34" spans="2:16" s="43" customFormat="1" ht="15.75" outlineLevel="1" thickBot="1">
      <c r="B34" s="168">
        <v>46410791465</v>
      </c>
      <c r="C34" s="47" t="s">
        <v>793</v>
      </c>
      <c r="D34" s="104">
        <v>11548</v>
      </c>
      <c r="E34" s="115">
        <f>D34/$D$6</f>
        <v>1497.9893630821118</v>
      </c>
      <c r="F34" s="80">
        <v>45775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18</v>
      </c>
      <c r="J34" s="75">
        <f>H34</f>
        <v>0</v>
      </c>
      <c r="K34" s="48"/>
      <c r="L34" s="57"/>
    </row>
    <row r="35" spans="2:16" s="43" customFormat="1" ht="16.5" thickBot="1">
      <c r="B35" s="46"/>
      <c r="C35" s="73" t="s">
        <v>163</v>
      </c>
      <c r="D35" s="103">
        <f>SUBTOTAL(9,D36:D41)</f>
        <v>10786.02</v>
      </c>
      <c r="E35" s="112">
        <f>SUBTOTAL(9,E36:E41)</f>
        <v>1399.1464521987286</v>
      </c>
      <c r="J35" s="76">
        <f t="shared" si="0"/>
        <v>0</v>
      </c>
      <c r="K35" s="52"/>
      <c r="L35" s="52"/>
    </row>
    <row r="36" spans="2:16" s="43" customFormat="1" outlineLevel="1">
      <c r="B36" s="46"/>
      <c r="C36" s="47" t="s">
        <v>768</v>
      </c>
      <c r="D36" s="109">
        <v>1094.74</v>
      </c>
      <c r="E36" s="113">
        <f t="shared" ref="E36:E40" si="1">D36/$D$6</f>
        <v>142.00804254767155</v>
      </c>
      <c r="F36" s="80">
        <v>45762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9</v>
      </c>
      <c r="J36" s="75">
        <f t="shared" si="0"/>
        <v>0</v>
      </c>
      <c r="N36" s="49"/>
    </row>
    <row r="37" spans="2:16" s="43" customFormat="1" outlineLevel="1">
      <c r="B37" s="46"/>
      <c r="C37" s="47" t="s">
        <v>769</v>
      </c>
      <c r="D37" s="109">
        <v>52.63</v>
      </c>
      <c r="E37" s="113">
        <f t="shared" ref="E37:E38" si="2">D37/$D$6</f>
        <v>6.8270852250616167</v>
      </c>
      <c r="F37" s="80">
        <v>45762</v>
      </c>
      <c r="G37" s="43" t="s">
        <v>135</v>
      </c>
      <c r="H37" s="43">
        <f>IF(OR(G37="Sin pagar",G37="Pagar"),NETWORKDAYS($E$4,F37,'Festivos Guatemala'!$A$3:$A$15),0)</f>
        <v>0</v>
      </c>
      <c r="I37" s="43">
        <f>NETWORKDAYS($E$4,F37,'Festivos Guatemala'!$A$3:$A$15)</f>
        <v>9</v>
      </c>
      <c r="J37" s="75">
        <f t="shared" ref="J37:J38" si="3">H37</f>
        <v>0</v>
      </c>
      <c r="N37" s="49"/>
    </row>
    <row r="38" spans="2:16" s="43" customFormat="1" ht="30" outlineLevel="1">
      <c r="B38" s="46"/>
      <c r="C38" s="47" t="s">
        <v>784</v>
      </c>
      <c r="D38" s="109">
        <v>2000</v>
      </c>
      <c r="E38" s="113">
        <f t="shared" si="2"/>
        <v>259.4370216629913</v>
      </c>
      <c r="F38" s="80">
        <v>45771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16</v>
      </c>
      <c r="J38" s="75">
        <f t="shared" si="3"/>
        <v>0</v>
      </c>
      <c r="N38" s="49"/>
    </row>
    <row r="39" spans="2:16" s="43" customFormat="1" ht="30" outlineLevel="1">
      <c r="B39" s="84" t="s">
        <v>785</v>
      </c>
      <c r="C39" s="47" t="s">
        <v>786</v>
      </c>
      <c r="D39" s="109">
        <v>5339.65</v>
      </c>
      <c r="E39" s="113">
        <f t="shared" ref="E39" si="4">D39/$D$6</f>
        <v>692.65144636139576</v>
      </c>
      <c r="F39" s="74">
        <v>45772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17</v>
      </c>
      <c r="J39" s="75">
        <f t="shared" ref="J39" si="5">H39</f>
        <v>0</v>
      </c>
      <c r="N39" s="49"/>
    </row>
    <row r="40" spans="2:16" s="43" customFormat="1" ht="30" outlineLevel="1">
      <c r="B40" s="84" t="s">
        <v>787</v>
      </c>
      <c r="C40" s="47" t="s">
        <v>788</v>
      </c>
      <c r="D40" s="109">
        <v>2299</v>
      </c>
      <c r="E40" s="113">
        <f t="shared" si="1"/>
        <v>298.22285640160851</v>
      </c>
      <c r="F40" s="74">
        <v>45772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17</v>
      </c>
      <c r="J40" s="75">
        <f t="shared" si="0"/>
        <v>0</v>
      </c>
      <c r="N40" s="49"/>
    </row>
    <row r="41" spans="2:16" s="43" customFormat="1" ht="15.75" outlineLevel="1" thickBot="1">
      <c r="B41" s="46"/>
      <c r="C41" s="47" t="s">
        <v>761</v>
      </c>
      <c r="D41" s="109">
        <f>12308*0</f>
        <v>0</v>
      </c>
      <c r="E41" s="113">
        <f>D41/$D$6</f>
        <v>0</v>
      </c>
      <c r="F41" s="80">
        <v>45786</v>
      </c>
      <c r="G41" s="43" t="s">
        <v>143</v>
      </c>
      <c r="H41" s="43">
        <f>IF(OR(G41="Sin pagar",G41="Pagar"),NETWORKDAYS($E$4,F41,'Festivos Guatemala'!$A$3:$A$15),0)</f>
        <v>26</v>
      </c>
      <c r="I41" s="43">
        <f>NETWORKDAYS($E$4,F41,'Festivos Guatemala'!$A$3:$A$15)</f>
        <v>26</v>
      </c>
      <c r="J41" s="75">
        <f>H41</f>
        <v>26</v>
      </c>
      <c r="N41" s="49"/>
    </row>
    <row r="42" spans="2:16" s="43" customFormat="1" ht="16.5" thickBot="1">
      <c r="C42" s="73" t="s">
        <v>146</v>
      </c>
      <c r="D42" s="103">
        <f>SUBTOTAL(9,D43:D49)</f>
        <v>8837.8278300000002</v>
      </c>
      <c r="E42" s="112">
        <f>SUBTOTAL(9,E43:E49)</f>
        <v>1146.4298650927487</v>
      </c>
      <c r="K42" s="49"/>
      <c r="L42" s="49"/>
      <c r="O42" s="49"/>
      <c r="P42" s="49"/>
    </row>
    <row r="43" spans="2:16" s="43" customFormat="1" ht="14.25" customHeight="1" outlineLevel="1">
      <c r="B43" s="186" t="s">
        <v>746</v>
      </c>
      <c r="C43" s="210" t="s">
        <v>272</v>
      </c>
      <c r="D43" s="104">
        <f>E43*$D$6</f>
        <v>424.53462999999999</v>
      </c>
      <c r="E43" s="247">
        <v>55.07</v>
      </c>
      <c r="F43" s="74">
        <v>45776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19</v>
      </c>
      <c r="J43" s="75">
        <f t="shared" ref="J43:J49" si="6">H43</f>
        <v>0</v>
      </c>
      <c r="K43" s="49"/>
      <c r="L43" s="49"/>
      <c r="O43" s="49"/>
      <c r="P43" s="49"/>
    </row>
    <row r="44" spans="2:16" s="43" customFormat="1" outlineLevel="1">
      <c r="B44" s="186" t="s">
        <v>745</v>
      </c>
      <c r="C44" s="210" t="s">
        <v>273</v>
      </c>
      <c r="D44" s="104">
        <f>E44*$D$6</f>
        <v>2000.25423</v>
      </c>
      <c r="E44" s="247">
        <v>259.47000000000003</v>
      </c>
      <c r="F44" s="74">
        <v>45776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19</v>
      </c>
      <c r="J44" s="75">
        <f t="shared" si="6"/>
        <v>0</v>
      </c>
    </row>
    <row r="45" spans="2:16" s="43" customFormat="1" outlineLevel="1">
      <c r="B45" s="186" t="s">
        <v>745</v>
      </c>
      <c r="C45" s="210" t="s">
        <v>274</v>
      </c>
      <c r="D45" s="104">
        <f>E45*$D$6</f>
        <v>1582.88897</v>
      </c>
      <c r="E45" s="247">
        <v>205.33</v>
      </c>
      <c r="F45" s="74">
        <v>45776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19</v>
      </c>
      <c r="J45" s="75">
        <f t="shared" si="6"/>
        <v>0</v>
      </c>
    </row>
    <row r="46" spans="2:16" s="43" customFormat="1" ht="14.25" customHeight="1" outlineLevel="1">
      <c r="B46" s="251" t="s">
        <v>745</v>
      </c>
      <c r="C46" s="209" t="s">
        <v>496</v>
      </c>
      <c r="D46" s="259">
        <v>861.81</v>
      </c>
      <c r="E46" s="113">
        <f>D46/$D$6</f>
        <v>111.79270981969127</v>
      </c>
      <c r="F46" s="74">
        <v>45776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19</v>
      </c>
      <c r="J46" s="75">
        <f>H46</f>
        <v>0</v>
      </c>
      <c r="K46" s="49"/>
      <c r="L46" s="49"/>
      <c r="O46" s="49"/>
      <c r="P46" s="49"/>
    </row>
    <row r="47" spans="2:16" s="43" customFormat="1" ht="14.25" customHeight="1" outlineLevel="1">
      <c r="B47" s="251" t="s">
        <v>745</v>
      </c>
      <c r="C47" s="209" t="s">
        <v>277</v>
      </c>
      <c r="D47" s="259">
        <v>943.23</v>
      </c>
      <c r="E47" s="113">
        <f>D47/$D$6</f>
        <v>122.35439097159166</v>
      </c>
      <c r="F47" s="74">
        <v>45776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19</v>
      </c>
      <c r="J47" s="75">
        <f t="shared" si="6"/>
        <v>0</v>
      </c>
      <c r="K47" s="49"/>
      <c r="L47" s="49"/>
      <c r="O47" s="49"/>
      <c r="P47" s="49"/>
    </row>
    <row r="48" spans="2:16" s="43" customFormat="1" outlineLevel="1">
      <c r="B48" s="251" t="s">
        <v>745</v>
      </c>
      <c r="C48" s="209" t="s">
        <v>276</v>
      </c>
      <c r="D48" s="259">
        <v>1023.02</v>
      </c>
      <c r="E48" s="113">
        <f>D48/$D$6</f>
        <v>132.7046309508367</v>
      </c>
      <c r="F48" s="74">
        <v>45776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19</v>
      </c>
      <c r="J48" s="75">
        <f t="shared" si="6"/>
        <v>0</v>
      </c>
    </row>
    <row r="49" spans="2:14" s="43" customFormat="1" ht="15.75" outlineLevel="1" thickBot="1">
      <c r="B49" s="251" t="s">
        <v>745</v>
      </c>
      <c r="C49" s="209" t="s">
        <v>275</v>
      </c>
      <c r="D49" s="259">
        <v>2002.09</v>
      </c>
      <c r="E49" s="113">
        <f>D49/$D$6</f>
        <v>259.70813335062911</v>
      </c>
      <c r="F49" s="74">
        <v>45776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19</v>
      </c>
      <c r="J49" s="75">
        <f t="shared" si="6"/>
        <v>0</v>
      </c>
    </row>
    <row r="50" spans="2:14" s="43" customFormat="1" ht="16.5" thickBot="1">
      <c r="B50" s="82"/>
      <c r="C50" s="85" t="s">
        <v>162</v>
      </c>
      <c r="D50" s="119">
        <f>SUBTOTAL(9,D51:D52)</f>
        <v>24852.786</v>
      </c>
      <c r="E50" s="114">
        <f>SUBTOTAL(9,E51:E52)</f>
        <v>3165.96</v>
      </c>
      <c r="K50" s="52"/>
      <c r="M50" s="183"/>
      <c r="N50" s="183"/>
    </row>
    <row r="51" spans="2:14" s="43" customFormat="1" outlineLevel="1">
      <c r="B51" s="46"/>
      <c r="C51" s="47" t="s">
        <v>762</v>
      </c>
      <c r="D51" s="104">
        <f>E51*7.85</f>
        <v>12819.520999999999</v>
      </c>
      <c r="E51" s="115">
        <v>1633.06</v>
      </c>
      <c r="F51" s="74">
        <v>45775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18</v>
      </c>
      <c r="J51" s="75">
        <f t="shared" ref="J51:J52" si="7">H51</f>
        <v>0</v>
      </c>
      <c r="M51" s="104"/>
      <c r="N51" s="49"/>
    </row>
    <row r="52" spans="2:14" s="43" customFormat="1" ht="15.75" outlineLevel="1" thickBot="1">
      <c r="B52" s="46"/>
      <c r="C52" s="47" t="s">
        <v>781</v>
      </c>
      <c r="D52" s="104">
        <f>E52*7.85</f>
        <v>12033.264999999999</v>
      </c>
      <c r="E52" s="115">
        <v>1532.9</v>
      </c>
      <c r="F52" s="74">
        <v>45775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18</v>
      </c>
      <c r="J52" s="75">
        <f t="shared" si="7"/>
        <v>0</v>
      </c>
      <c r="M52" s="104"/>
      <c r="N52" s="49"/>
    </row>
    <row r="53" spans="2:14" s="43" customFormat="1" ht="16.5" thickBot="1">
      <c r="B53" s="46"/>
      <c r="C53" s="73" t="s">
        <v>147</v>
      </c>
      <c r="D53" s="103">
        <f>SUBTOTAL(9,D54:D54)</f>
        <v>0</v>
      </c>
      <c r="E53" s="112">
        <f>SUBTOTAL(9,E54:E54)</f>
        <v>0</v>
      </c>
    </row>
    <row r="54" spans="2:14" s="43" customFormat="1" ht="15.75" outlineLevel="1" thickBot="1">
      <c r="B54" s="46"/>
      <c r="C54" s="47"/>
      <c r="D54" s="104"/>
      <c r="E54" s="113"/>
      <c r="F54" s="74">
        <v>45747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-4</v>
      </c>
      <c r="J54" s="75">
        <f>H54</f>
        <v>0</v>
      </c>
    </row>
    <row r="55" spans="2:14" s="43" customFormat="1" ht="15.75" customHeight="1" thickBot="1">
      <c r="C55" s="73" t="s">
        <v>148</v>
      </c>
      <c r="D55" s="119">
        <f>SUBTOTAL(9,D56:D56)</f>
        <v>596</v>
      </c>
      <c r="E55" s="114">
        <f>SUBTOTAL(9,E56:E56)</f>
        <v>77.312232455571419</v>
      </c>
    </row>
    <row r="56" spans="2:14" s="43" customFormat="1" ht="15.75" outlineLevel="1" thickBot="1">
      <c r="B56" s="46"/>
      <c r="C56" s="47" t="s">
        <v>117</v>
      </c>
      <c r="D56" s="109">
        <v>596</v>
      </c>
      <c r="E56" s="115">
        <f>D56/$D$6</f>
        <v>77.312232455571419</v>
      </c>
      <c r="F56" s="74">
        <v>45777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20</v>
      </c>
      <c r="J56" s="75">
        <f t="shared" ref="J56" si="8">H56</f>
        <v>0</v>
      </c>
    </row>
    <row r="57" spans="2:14" s="43" customFormat="1" ht="16.5" thickBot="1">
      <c r="C57" s="73" t="s">
        <v>164</v>
      </c>
      <c r="D57" s="103">
        <f>SUBTOTAL(9,D58:D70)</f>
        <v>340959.45000000013</v>
      </c>
      <c r="E57" s="112">
        <f>SUBTOTAL(9,E58:E70)</f>
        <v>44228.752107925793</v>
      </c>
      <c r="K57" s="52"/>
      <c r="L57" s="86"/>
    </row>
    <row r="58" spans="2:14" s="43" customFormat="1" outlineLevel="1">
      <c r="B58" s="83"/>
      <c r="C58" s="47" t="s">
        <v>757</v>
      </c>
      <c r="D58" s="109">
        <f>7433.41</f>
        <v>7433.41</v>
      </c>
      <c r="E58" s="115">
        <f t="shared" ref="E58" si="9">D58/$D$6</f>
        <v>964.25087559994813</v>
      </c>
      <c r="F58" s="74">
        <v>45749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-2</v>
      </c>
      <c r="J58" s="75">
        <f t="shared" ref="J58" si="10">H58</f>
        <v>0</v>
      </c>
      <c r="L58" s="52"/>
    </row>
    <row r="59" spans="2:14" s="43" customFormat="1" outlineLevel="1">
      <c r="B59" s="83"/>
      <c r="C59" s="47" t="s">
        <v>176</v>
      </c>
      <c r="D59" s="109">
        <v>65704.83</v>
      </c>
      <c r="E59" s="115">
        <f t="shared" ref="E59:E66" si="11">D59/$D$6</f>
        <v>8523.1327020365807</v>
      </c>
      <c r="F59" s="74">
        <v>45775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18</v>
      </c>
      <c r="J59" s="75">
        <f t="shared" ref="J59:J66" si="12">H59</f>
        <v>0</v>
      </c>
      <c r="L59" s="52"/>
    </row>
    <row r="60" spans="2:14" s="43" customFormat="1" outlineLevel="1">
      <c r="B60" s="46"/>
      <c r="C60" s="47" t="s">
        <v>414</v>
      </c>
      <c r="D60" s="109">
        <v>86442.97</v>
      </c>
      <c r="E60" s="115">
        <f t="shared" si="11"/>
        <v>11213.253340251655</v>
      </c>
      <c r="F60" s="74">
        <v>45775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18</v>
      </c>
      <c r="J60" s="75">
        <f t="shared" si="12"/>
        <v>0</v>
      </c>
      <c r="L60" s="52"/>
    </row>
    <row r="61" spans="2:14" s="43" customFormat="1" ht="13.5" customHeight="1" outlineLevel="1">
      <c r="B61" s="46"/>
      <c r="C61" s="47" t="s">
        <v>417</v>
      </c>
      <c r="D61" s="109">
        <v>10562.8</v>
      </c>
      <c r="E61" s="115">
        <f t="shared" si="11"/>
        <v>1370.1906862109222</v>
      </c>
      <c r="F61" s="74">
        <v>45775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18</v>
      </c>
      <c r="J61" s="75">
        <f t="shared" si="12"/>
        <v>0</v>
      </c>
      <c r="L61" s="52"/>
    </row>
    <row r="62" spans="2:14" s="43" customFormat="1" outlineLevel="1">
      <c r="B62" s="83"/>
      <c r="C62" s="47" t="s">
        <v>409</v>
      </c>
      <c r="D62" s="109">
        <v>14151.42</v>
      </c>
      <c r="E62" s="115">
        <f t="shared" si="11"/>
        <v>1835.7011285510443</v>
      </c>
      <c r="F62" s="74">
        <v>45775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18</v>
      </c>
      <c r="J62" s="75">
        <f t="shared" si="12"/>
        <v>0</v>
      </c>
      <c r="L62" s="52"/>
    </row>
    <row r="63" spans="2:14" s="43" customFormat="1" outlineLevel="1">
      <c r="B63" s="46"/>
      <c r="C63" s="47" t="s">
        <v>416</v>
      </c>
      <c r="D63" s="109">
        <v>77584.56</v>
      </c>
      <c r="E63" s="115">
        <f t="shared" si="11"/>
        <v>10064.153586716824</v>
      </c>
      <c r="F63" s="74">
        <v>45775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18</v>
      </c>
      <c r="J63" s="75">
        <f t="shared" si="12"/>
        <v>0</v>
      </c>
      <c r="K63" s="52"/>
      <c r="L63" s="57"/>
    </row>
    <row r="64" spans="2:14" s="43" customFormat="1" ht="14.25" customHeight="1" outlineLevel="1">
      <c r="B64" s="83"/>
      <c r="C64" s="47" t="s">
        <v>412</v>
      </c>
      <c r="D64" s="109">
        <v>5732.9</v>
      </c>
      <c r="E64" s="115">
        <f t="shared" si="11"/>
        <v>743.66325074588144</v>
      </c>
      <c r="F64" s="74">
        <v>45775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18</v>
      </c>
      <c r="J64" s="75">
        <f t="shared" si="12"/>
        <v>0</v>
      </c>
      <c r="L64" s="52"/>
    </row>
    <row r="65" spans="2:12" s="43" customFormat="1" outlineLevel="1">
      <c r="B65" s="83"/>
      <c r="C65" s="47" t="s">
        <v>413</v>
      </c>
      <c r="D65" s="109">
        <v>3943.21</v>
      </c>
      <c r="E65" s="115">
        <f t="shared" si="11"/>
        <v>511.50732909586202</v>
      </c>
      <c r="F65" s="74">
        <v>45775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18</v>
      </c>
      <c r="J65" s="75">
        <f t="shared" si="12"/>
        <v>0</v>
      </c>
      <c r="L65" s="52"/>
    </row>
    <row r="66" spans="2:12" s="43" customFormat="1" outlineLevel="1">
      <c r="B66" s="46"/>
      <c r="C66" s="47" t="s">
        <v>415</v>
      </c>
      <c r="D66" s="109">
        <v>25739.759999999998</v>
      </c>
      <c r="E66" s="115">
        <f t="shared" si="11"/>
        <v>3338.9233363600983</v>
      </c>
      <c r="F66" s="74">
        <v>45775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18</v>
      </c>
      <c r="J66" s="75">
        <f t="shared" si="12"/>
        <v>0</v>
      </c>
      <c r="K66" s="48"/>
      <c r="L66" s="48"/>
    </row>
    <row r="67" spans="2:12" s="43" customFormat="1" outlineLevel="1">
      <c r="B67" s="83"/>
      <c r="C67" s="47" t="s">
        <v>410</v>
      </c>
      <c r="D67" s="109">
        <v>3943.21</v>
      </c>
      <c r="E67" s="115">
        <f>D67/$D$6</f>
        <v>511.50732909586202</v>
      </c>
      <c r="F67" s="74">
        <v>45775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18</v>
      </c>
      <c r="J67" s="75">
        <f>H67</f>
        <v>0</v>
      </c>
      <c r="L67" s="52"/>
    </row>
    <row r="68" spans="2:12" s="43" customFormat="1" outlineLevel="1">
      <c r="B68" s="83"/>
      <c r="C68" s="47" t="s">
        <v>418</v>
      </c>
      <c r="D68" s="109">
        <v>29455.33</v>
      </c>
      <c r="E68" s="115">
        <f>D68/$D$6</f>
        <v>3820.9015436502791</v>
      </c>
      <c r="F68" s="74">
        <v>45775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18</v>
      </c>
      <c r="J68" s="75">
        <f>H68</f>
        <v>0</v>
      </c>
      <c r="L68" s="52"/>
    </row>
    <row r="69" spans="2:12" s="43" customFormat="1" outlineLevel="1">
      <c r="B69" s="83"/>
      <c r="C69" s="47" t="s">
        <v>411</v>
      </c>
      <c r="D69" s="109">
        <v>3943.21</v>
      </c>
      <c r="E69" s="115">
        <f t="shared" ref="E69" si="13">D69/$D$6</f>
        <v>511.50732909586202</v>
      </c>
      <c r="F69" s="74">
        <v>45775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18</v>
      </c>
      <c r="J69" s="75">
        <f t="shared" ref="J69" si="14">H69</f>
        <v>0</v>
      </c>
      <c r="L69" s="52"/>
    </row>
    <row r="70" spans="2:12" s="43" customFormat="1" ht="15.75" outlineLevel="1" thickBot="1">
      <c r="B70" s="83"/>
      <c r="C70" s="47" t="s">
        <v>797</v>
      </c>
      <c r="D70" s="109">
        <v>6321.84</v>
      </c>
      <c r="E70" s="115">
        <f t="shared" ref="E70" si="15">D70/$D$6</f>
        <v>820.0596705149826</v>
      </c>
      <c r="F70" s="74">
        <v>45779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21</v>
      </c>
      <c r="J70" s="75">
        <f t="shared" ref="J70" si="16">H70</f>
        <v>0</v>
      </c>
      <c r="L70" s="52"/>
    </row>
    <row r="71" spans="2:12" s="43" customFormat="1" ht="16.5" thickBot="1">
      <c r="B71" s="46"/>
      <c r="C71" s="73" t="s">
        <v>173</v>
      </c>
      <c r="D71" s="103">
        <f>SUBTOTAL(9,D72:D75)</f>
        <v>12234.53428</v>
      </c>
      <c r="E71" s="112">
        <f>SUBTOTAL(9,E72:E75)</f>
        <v>1587.0455675184849</v>
      </c>
    </row>
    <row r="72" spans="2:12" s="43" customFormat="1" outlineLevel="1">
      <c r="B72" s="46"/>
      <c r="C72" s="210" t="s">
        <v>661</v>
      </c>
      <c r="D72" s="109">
        <f>E72*$D$6</f>
        <v>0</v>
      </c>
      <c r="E72" s="115">
        <v>0</v>
      </c>
      <c r="F72" s="74">
        <v>45775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18</v>
      </c>
      <c r="J72" s="75">
        <f>H72</f>
        <v>0</v>
      </c>
      <c r="K72" s="52"/>
      <c r="L72" s="54"/>
    </row>
    <row r="73" spans="2:12" s="43" customFormat="1" outlineLevel="1">
      <c r="B73" s="46"/>
      <c r="C73" s="210" t="s">
        <v>278</v>
      </c>
      <c r="D73" s="109">
        <f>E73*$D$6</f>
        <v>8317.3942800000004</v>
      </c>
      <c r="E73" s="115">
        <v>1078.92</v>
      </c>
      <c r="F73" s="74">
        <v>45775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18</v>
      </c>
      <c r="J73" s="75">
        <f t="shared" ref="J73:J75" si="17">H73</f>
        <v>0</v>
      </c>
      <c r="K73" s="52"/>
      <c r="L73" s="54"/>
    </row>
    <row r="74" spans="2:12" s="43" customFormat="1" outlineLevel="1">
      <c r="B74" s="46"/>
      <c r="C74" s="209" t="s">
        <v>280</v>
      </c>
      <c r="D74" s="109">
        <v>3917.14</v>
      </c>
      <c r="E74" s="115">
        <f>D74/$D$6</f>
        <v>508.1255675184849</v>
      </c>
      <c r="F74" s="74">
        <v>45775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18</v>
      </c>
      <c r="J74" s="75">
        <f t="shared" si="17"/>
        <v>0</v>
      </c>
      <c r="K74" s="52"/>
      <c r="L74" s="54"/>
    </row>
    <row r="75" spans="2:12" s="43" customFormat="1" ht="15.75" outlineLevel="1" thickBot="1">
      <c r="B75" s="46"/>
      <c r="C75" s="209" t="s">
        <v>662</v>
      </c>
      <c r="D75" s="109">
        <v>0</v>
      </c>
      <c r="E75" s="115">
        <f>D75/$D$6</f>
        <v>0</v>
      </c>
      <c r="F75" s="74">
        <v>45777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20</v>
      </c>
      <c r="J75" s="75">
        <f t="shared" si="17"/>
        <v>0</v>
      </c>
      <c r="K75" s="52"/>
      <c r="L75" s="54"/>
    </row>
    <row r="76" spans="2:12" s="43" customFormat="1" ht="16.5" thickBot="1">
      <c r="B76" s="87"/>
      <c r="C76" s="73" t="s">
        <v>149</v>
      </c>
      <c r="D76" s="103">
        <f>SUBTOTAL(9,D77)</f>
        <v>0</v>
      </c>
      <c r="E76" s="112">
        <f>SUBTOTAL(9,E77)</f>
        <v>0</v>
      </c>
      <c r="L76" s="52"/>
    </row>
    <row r="77" spans="2:12" s="43" customFormat="1" ht="15.75" outlineLevel="1" thickBot="1">
      <c r="B77" s="46"/>
      <c r="C77" s="47"/>
      <c r="D77" s="109"/>
      <c r="E77" s="115">
        <f>D77/$D$6</f>
        <v>0</v>
      </c>
      <c r="F77" s="74">
        <v>45777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20</v>
      </c>
      <c r="J77" s="75">
        <f>H77</f>
        <v>0</v>
      </c>
      <c r="K77" s="52"/>
      <c r="L77" s="54"/>
    </row>
    <row r="78" spans="2:12" s="43" customFormat="1" ht="16.5" thickBot="1">
      <c r="B78" s="46"/>
      <c r="C78" s="73" t="s">
        <v>638</v>
      </c>
      <c r="D78" s="103">
        <f>SUBTOTAL(9,D79:D80)</f>
        <v>1500</v>
      </c>
      <c r="E78" s="112">
        <f>SUBTOTAL(9,E79:E80)</f>
        <v>194.57776624724349</v>
      </c>
    </row>
    <row r="79" spans="2:12" s="43" customFormat="1" outlineLevel="1">
      <c r="B79" s="46">
        <v>3325052852</v>
      </c>
      <c r="C79" s="47" t="s">
        <v>789</v>
      </c>
      <c r="D79" s="109">
        <v>1500</v>
      </c>
      <c r="E79" s="115">
        <f>D79/$D$6</f>
        <v>194.57776624724349</v>
      </c>
      <c r="F79" s="74">
        <v>45772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17</v>
      </c>
      <c r="J79" s="75">
        <f>H79</f>
        <v>0</v>
      </c>
      <c r="K79" s="52"/>
      <c r="L79" s="54"/>
    </row>
    <row r="80" spans="2:12" s="43" customFormat="1" ht="15.75" outlineLevel="1" thickBot="1">
      <c r="B80" s="46"/>
      <c r="C80" s="47" t="s">
        <v>639</v>
      </c>
      <c r="D80" s="109">
        <f>E80*$D$6*0</f>
        <v>0</v>
      </c>
      <c r="E80" s="115">
        <f>400*0</f>
        <v>0</v>
      </c>
      <c r="F80" s="74">
        <v>45747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-4</v>
      </c>
      <c r="J80" s="75">
        <f t="shared" ref="J80" si="18">H80</f>
        <v>0</v>
      </c>
      <c r="K80" s="52"/>
      <c r="L80" s="54"/>
    </row>
    <row r="81" spans="1:16" s="43" customFormat="1" ht="14.25" customHeight="1">
      <c r="B81" s="46"/>
      <c r="C81" s="88" t="s">
        <v>150</v>
      </c>
      <c r="D81" s="120">
        <f>SUBTOTAL(9,D28:D80)</f>
        <v>472113.89811000013</v>
      </c>
      <c r="E81" s="116">
        <f>SUBTOTAL(9,E28:E80)</f>
        <v>61184.005415747823</v>
      </c>
      <c r="K81" s="39"/>
      <c r="L81" s="39"/>
      <c r="N81" s="39"/>
      <c r="O81" s="39"/>
      <c r="P81" s="39"/>
    </row>
    <row r="82" spans="1:16" ht="15.75">
      <c r="A82" s="43"/>
      <c r="E82" s="117"/>
      <c r="F82" s="89"/>
      <c r="G82" s="89"/>
      <c r="H82" s="89"/>
      <c r="I82" s="89"/>
      <c r="J82" s="89"/>
    </row>
    <row r="83" spans="1:16" ht="15.75">
      <c r="A83" s="43"/>
      <c r="C83" s="90" t="s">
        <v>151</v>
      </c>
      <c r="D83" s="121" t="e">
        <f>D23-D81</f>
        <v>#REF!</v>
      </c>
      <c r="E83" s="118" t="e">
        <f>E23-E81</f>
        <v>#REF!</v>
      </c>
      <c r="F83" s="226"/>
      <c r="G83" s="227"/>
      <c r="J83" s="227"/>
    </row>
    <row r="84" spans="1:16" s="93" customFormat="1" ht="15.75">
      <c r="A84" s="43"/>
      <c r="B84" s="94"/>
      <c r="C84" s="90" t="s">
        <v>152</v>
      </c>
      <c r="D84" s="95" t="e">
        <f>IF($D$23=0,0,D83/$D$23)</f>
        <v>#REF!</v>
      </c>
      <c r="E84" s="95" t="e">
        <f>IF($E$23=0,0,E83/$E$23)</f>
        <v>#REF!</v>
      </c>
      <c r="F84" s="96"/>
      <c r="G84" s="92"/>
      <c r="J84" s="97"/>
      <c r="K84" s="39"/>
      <c r="L84" s="39"/>
      <c r="N84" s="39"/>
      <c r="O84" s="39"/>
      <c r="P84" s="39"/>
    </row>
    <row r="85" spans="1:16" ht="15.75" thickBot="1">
      <c r="A85" s="43"/>
      <c r="F85" s="96"/>
      <c r="G85" s="92"/>
    </row>
    <row r="86" spans="1:16" ht="15.75" thickBot="1">
      <c r="A86" s="43"/>
      <c r="C86" s="135" t="s">
        <v>184</v>
      </c>
      <c r="D86" s="136" t="s">
        <v>185</v>
      </c>
      <c r="E86" s="137" t="s">
        <v>191</v>
      </c>
      <c r="F86" s="137" t="s">
        <v>186</v>
      </c>
      <c r="G86" s="92"/>
    </row>
    <row r="87" spans="1:16">
      <c r="A87" s="43"/>
      <c r="C87" s="187">
        <v>45748</v>
      </c>
      <c r="D87" s="188">
        <v>45753</v>
      </c>
      <c r="E87" s="189">
        <f t="shared" ref="E87:E92" si="19">SUMIFS($D$28:$D$84,$F$28:$F$84,"&gt;="&amp;C87,$F$28:$F$84,"&lt;="&amp;D87,$G$28:$G$84,$D$101)</f>
        <v>0</v>
      </c>
      <c r="F87" s="190">
        <f t="shared" ref="F87:F92" si="20">SUMIFS($E$28:$E$84,$F$28:$F$84,"&gt;="&amp;C87,$F$28:$F$84,"&lt;="&amp;D87,$G$28:$G$84,$D$101)</f>
        <v>0</v>
      </c>
      <c r="G87" s="92"/>
    </row>
    <row r="88" spans="1:16">
      <c r="A88" s="43"/>
      <c r="C88" s="191">
        <v>45753</v>
      </c>
      <c r="D88" s="260">
        <v>45759</v>
      </c>
      <c r="E88" s="193">
        <f t="shared" si="19"/>
        <v>0</v>
      </c>
      <c r="F88" s="194">
        <f t="shared" si="20"/>
        <v>0</v>
      </c>
      <c r="G88" s="92" t="s">
        <v>763</v>
      </c>
    </row>
    <row r="89" spans="1:16">
      <c r="A89" s="43"/>
      <c r="C89" s="191">
        <v>45760</v>
      </c>
      <c r="D89" s="192">
        <v>45766</v>
      </c>
      <c r="E89" s="193">
        <f t="shared" si="19"/>
        <v>0</v>
      </c>
      <c r="F89" s="194">
        <f t="shared" si="20"/>
        <v>0</v>
      </c>
      <c r="G89" s="92"/>
    </row>
    <row r="90" spans="1:16">
      <c r="A90" s="43"/>
      <c r="C90" s="191">
        <v>45767</v>
      </c>
      <c r="D90" s="192">
        <v>45773</v>
      </c>
      <c r="E90" s="193">
        <f t="shared" si="19"/>
        <v>0</v>
      </c>
      <c r="F90" s="194">
        <f t="shared" si="20"/>
        <v>0</v>
      </c>
      <c r="G90" s="92"/>
    </row>
    <row r="91" spans="1:16">
      <c r="A91" s="43"/>
      <c r="C91" s="191">
        <v>45774</v>
      </c>
      <c r="D91" s="192">
        <v>45777</v>
      </c>
      <c r="E91" s="193">
        <f t="shared" si="19"/>
        <v>0</v>
      </c>
      <c r="F91" s="194">
        <f t="shared" si="20"/>
        <v>0</v>
      </c>
      <c r="G91" s="92" t="s">
        <v>764</v>
      </c>
    </row>
    <row r="92" spans="1:16" ht="15.75" thickBot="1">
      <c r="A92" s="43"/>
      <c r="C92" s="195">
        <v>45778</v>
      </c>
      <c r="D92" s="196">
        <v>45782</v>
      </c>
      <c r="E92" s="197">
        <f t="shared" si="19"/>
        <v>0</v>
      </c>
      <c r="F92" s="198">
        <f t="shared" si="20"/>
        <v>0</v>
      </c>
      <c r="G92" s="92"/>
    </row>
    <row r="93" spans="1:16" ht="15.75">
      <c r="A93" s="43"/>
      <c r="C93" s="433" t="s">
        <v>187</v>
      </c>
      <c r="D93" s="433"/>
      <c r="E93" s="148">
        <f>SUM(E87:E92)</f>
        <v>0</v>
      </c>
      <c r="F93" s="144">
        <f>SUM(F87:F92)</f>
        <v>0</v>
      </c>
      <c r="G93" s="92"/>
    </row>
    <row r="94" spans="1:16">
      <c r="A94" s="43"/>
      <c r="F94" s="96"/>
      <c r="G94" s="92"/>
    </row>
    <row r="95" spans="1:16">
      <c r="A95" s="43"/>
      <c r="F95" s="96"/>
      <c r="G95" s="92"/>
    </row>
    <row r="96" spans="1:16">
      <c r="A96" s="43"/>
      <c r="C96" s="41"/>
      <c r="D96" s="41" t="s">
        <v>380</v>
      </c>
      <c r="E96" s="166">
        <f>'Caja QTQ'!$H$503+('Caja USD'!$H$200*$D$6)</f>
        <v>178494.18052999873</v>
      </c>
      <c r="F96" s="153">
        <f>'Caja USD'!$H$200+('Caja QTQ'!$H$503/$D$6)</f>
        <v>23153.999290439584</v>
      </c>
      <c r="G96" s="92"/>
    </row>
    <row r="97" spans="1:10">
      <c r="A97" s="43"/>
      <c r="D97" s="200" t="s">
        <v>782</v>
      </c>
      <c r="E97" s="166">
        <f>E91</f>
        <v>0</v>
      </c>
      <c r="F97" s="153">
        <f>F91</f>
        <v>0</v>
      </c>
      <c r="G97" s="92"/>
    </row>
    <row r="98" spans="1:10">
      <c r="A98" s="43"/>
      <c r="D98" s="146" t="s">
        <v>381</v>
      </c>
      <c r="E98" s="201">
        <f>E96-E97</f>
        <v>178494.18052999873</v>
      </c>
      <c r="F98" s="145">
        <f>F96-F97</f>
        <v>23153.999290439584</v>
      </c>
      <c r="G98" s="92"/>
      <c r="J98" s="167"/>
    </row>
    <row r="99" spans="1:10">
      <c r="A99" s="43"/>
      <c r="F99" s="96"/>
      <c r="G99" s="92"/>
    </row>
    <row r="100" spans="1:10">
      <c r="D100" s="43" t="s">
        <v>135</v>
      </c>
      <c r="E100" s="15">
        <f>SUMIFS($D$28:$D$95,$F$28:$F$95,"&gt;="&amp;C87,$F$28:$F$95,"&lt;="&amp;D92,$G$28:$G$95,$D$100)</f>
        <v>472113.89811000013</v>
      </c>
      <c r="F100" s="153">
        <f>SUMIFS($E$28:$E$95,$F$28:$F$95,"&gt;="&amp;C87,$F$28:$F$95,"&lt;="&amp;D92,$G$28:$G$95,$D$100)</f>
        <v>61184.005415747823</v>
      </c>
    </row>
    <row r="101" spans="1:10">
      <c r="D101" s="43" t="s">
        <v>143</v>
      </c>
      <c r="E101" s="15">
        <f>SUMIFS($D$28:$D$95,$F$28:$F$95,"&gt;="&amp;C87,$F$28:$F$95,"&lt;="&amp;D91,$G$28:$G$95,$D$101)</f>
        <v>0</v>
      </c>
      <c r="F101" s="153">
        <f>SUMIFS($E$28:$E$95,$F$28:$F$95,"&gt;="&amp;C87,$F$28:$F$95,"&lt;="&amp;D91,$G$28:$G$95,$D$101)</f>
        <v>0</v>
      </c>
    </row>
    <row r="102" spans="1:10">
      <c r="D102" s="146" t="s">
        <v>189</v>
      </c>
      <c r="E102" s="152">
        <f>SUM(E100:E101)</f>
        <v>472113.89811000013</v>
      </c>
      <c r="F102" s="145">
        <f>SUM(F100:F101)</f>
        <v>61184.005415747823</v>
      </c>
    </row>
    <row r="103" spans="1:10">
      <c r="D103" s="146" t="s">
        <v>190</v>
      </c>
      <c r="E103" s="152">
        <f>E102-D81</f>
        <v>0</v>
      </c>
      <c r="F103" s="145">
        <f>F102-E81</f>
        <v>0</v>
      </c>
    </row>
    <row r="105" spans="1:10" hidden="1">
      <c r="D105" s="41" t="s">
        <v>373</v>
      </c>
      <c r="E105" s="166" t="e">
        <f>D83</f>
        <v>#REF!</v>
      </c>
    </row>
    <row r="106" spans="1:10" hidden="1">
      <c r="D106" s="41" t="s">
        <v>339</v>
      </c>
      <c r="E106" s="166">
        <f>'Caja QTQ'!H167+('Caja USD'!H70*7.6)</f>
        <v>190098.56839999984</v>
      </c>
    </row>
    <row r="107" spans="1:10" hidden="1">
      <c r="D107" s="41" t="s">
        <v>85</v>
      </c>
      <c r="E107" s="166" t="e">
        <f>E105-E106</f>
        <v>#REF!</v>
      </c>
      <c r="F107" s="185" t="e">
        <f>E107/7.88</f>
        <v>#REF!</v>
      </c>
    </row>
    <row r="108" spans="1:10">
      <c r="F108" s="167"/>
    </row>
    <row r="109" spans="1:10">
      <c r="D109" s="41" t="s">
        <v>373</v>
      </c>
      <c r="E109" s="166" t="e">
        <f>D83</f>
        <v>#REF!</v>
      </c>
      <c r="F109" s="167"/>
    </row>
    <row r="110" spans="1:10">
      <c r="D110" s="41" t="s">
        <v>339</v>
      </c>
      <c r="E110" s="166">
        <f>('Caja USD'!H200*$D$6)+'Caja QTQ'!H460</f>
        <v>236126.34052999882</v>
      </c>
    </row>
    <row r="111" spans="1:10">
      <c r="D111" s="41" t="s">
        <v>444</v>
      </c>
      <c r="E111" s="166" t="e">
        <f>E109-E110</f>
        <v>#REF!</v>
      </c>
      <c r="F111" s="185"/>
    </row>
    <row r="112" spans="1:10">
      <c r="D112" s="41" t="s">
        <v>674</v>
      </c>
      <c r="E112" s="167" t="e">
        <f>E111/$D$6</f>
        <v>#REF!</v>
      </c>
    </row>
  </sheetData>
  <protectedRanges>
    <protectedRange sqref="F23:G23 D85:E85 C96 D94:E99 D54:E54 D10:E11" name="Presupuestos"/>
    <protectedRange sqref="D27:E27 D8:E8" name="Presupuestos_1"/>
    <protectedRange sqref="D36:E41" name="Presupuestos_13_1"/>
    <protectedRange sqref="D51:D52 D43:E49" name="Presupuestos_14"/>
    <protectedRange sqref="D60:E61 E62 D63:E63 E58:E59 E64:E70" name="Presupuestos_2_1_1_1"/>
    <protectedRange sqref="K66 D66 D79:E80 D77:E77 D72:E75" name="Presupuestos_6_1_1_1"/>
    <protectedRange sqref="D64:D65 D62 D58:D59 D67:D70" name="Presupuestos_5_2_1"/>
    <protectedRange sqref="E51:E52" name="Presupuestos_13_1_1"/>
    <protectedRange sqref="E56" name="Presupuestos_7_1_2"/>
    <protectedRange sqref="D56" name="Presupuestos_7_1_1_1"/>
  </protectedRanges>
  <autoFilter ref="B27:J80" xr:uid="{00000000-0009-0000-0000-000002000000}"/>
  <mergeCells count="4">
    <mergeCell ref="D7:E7"/>
    <mergeCell ref="B26:C26"/>
    <mergeCell ref="D26:E26"/>
    <mergeCell ref="C93:D93"/>
  </mergeCells>
  <conditionalFormatting sqref="J29 J31:J34 J36:J41 J43:J49 J51:J52 J56 J58:J70 J72:J75 J79:J80">
    <cfRule type="cellIs" dxfId="148" priority="9" operator="lessThan">
      <formula>0</formula>
    </cfRule>
    <cfRule type="cellIs" dxfId="147" priority="10" operator="between">
      <formula>6</formula>
      <formula>15</formula>
    </cfRule>
    <cfRule type="cellIs" dxfId="146" priority="11" operator="between">
      <formula>1</formula>
      <formula>5</formula>
    </cfRule>
    <cfRule type="cellIs" dxfId="145" priority="12" operator="between">
      <formula>16</formula>
      <formula>60</formula>
    </cfRule>
  </conditionalFormatting>
  <conditionalFormatting sqref="J54">
    <cfRule type="cellIs" dxfId="144" priority="5" operator="lessThan">
      <formula>0</formula>
    </cfRule>
    <cfRule type="cellIs" dxfId="143" priority="6" operator="between">
      <formula>6</formula>
      <formula>15</formula>
    </cfRule>
    <cfRule type="cellIs" dxfId="142" priority="7" operator="between">
      <formula>1</formula>
      <formula>5</formula>
    </cfRule>
    <cfRule type="cellIs" dxfId="141" priority="8" operator="between">
      <formula>16</formula>
      <formula>60</formula>
    </cfRule>
  </conditionalFormatting>
  <conditionalFormatting sqref="J77">
    <cfRule type="cellIs" dxfId="140" priority="1" operator="lessThan">
      <formula>0</formula>
    </cfRule>
    <cfRule type="cellIs" dxfId="139" priority="2" operator="between">
      <formula>6</formula>
      <formula>15</formula>
    </cfRule>
    <cfRule type="cellIs" dxfId="138" priority="3" operator="between">
      <formula>1</formula>
      <formula>5</formula>
    </cfRule>
    <cfRule type="cellIs" dxfId="137" priority="4" operator="between">
      <formula>16</formula>
      <formula>60</formula>
    </cfRule>
  </conditionalFormatting>
  <dataValidations count="3">
    <dataValidation type="list" allowBlank="1" showInputMessage="1" showErrorMessage="1" sqref="D26 D7" xr:uid="{1372F427-DB07-41B1-B009-056A81C4D029}">
      <formula1>"ENERO,FEBRERO,MARZO,ABRIL,MAYO,JUNIO,JULIO,AGOSTO,SEPTIEMBRE,OCTUBRE,NOVIEMBRE,DICIEMBRE"</formula1>
    </dataValidation>
    <dataValidation type="list" allowBlank="1" showInputMessage="1" showErrorMessage="1" sqref="G79:G80 G28:G29 D100:D101 G72:G75 G54 G31:G34 G56 G77 G51:G52 G36:G41 G58:G70 G43:G49" xr:uid="{72D02733-2F5E-4187-908C-2C475205FC93}">
      <formula1>"Cancelado,Pagar,Sin Pagar"</formula1>
    </dataValidation>
    <dataValidation type="list" allowBlank="1" showInputMessage="1" showErrorMessage="1" sqref="B13:B22" xr:uid="{11363B77-525D-40D3-9CCA-8F0897713A3B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44:J55 J57:J69 H44:I69 H35:I36 H29:J32 J71:J80 H71:I80 H40:I40 J40 J39 J38 J35:J36 J33 J37 J41 H42:I43 J42:J43" unlockedFormula="1"/>
  </ignoredError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5098-5952-4A4C-8CDA-AD9549FE8FFE}">
  <dimension ref="A1:S120"/>
  <sheetViews>
    <sheetView showGridLines="0" topLeftCell="A96" zoomScale="90" zoomScaleNormal="90" workbookViewId="0">
      <selection activeCell="E119" sqref="E119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45778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7.62</v>
      </c>
      <c r="E6" s="42"/>
      <c r="I6" s="43"/>
    </row>
    <row r="7" spans="1:9" ht="15.75">
      <c r="C7" s="99"/>
      <c r="D7" s="432" t="s">
        <v>798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SUBTOTAL(9,D10:D11)</f>
        <v>228716.24029999881</v>
      </c>
      <c r="E9" s="122">
        <f>SUBTOTAL(9,E10:E11)</f>
        <v>30015.254632545777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QTQ'!$D$465-7295.64</f>
        <v>218916.38689999882</v>
      </c>
      <c r="E10" s="25">
        <f>D10/$D$6</f>
        <v>28729.184632545777</v>
      </c>
      <c r="F10" s="49"/>
    </row>
    <row r="11" spans="1:9" s="43" customFormat="1" outlineLevel="1">
      <c r="B11" s="46"/>
      <c r="C11" s="47" t="s">
        <v>154</v>
      </c>
      <c r="D11" s="15">
        <f>E11*D6</f>
        <v>9799.8533999999981</v>
      </c>
      <c r="E11" s="25">
        <f>'Caja USD'!D205</f>
        <v>1286.0699999999997</v>
      </c>
      <c r="F11" s="49"/>
    </row>
    <row r="12" spans="1:9" s="43" customFormat="1" ht="15.75">
      <c r="B12" s="46"/>
      <c r="C12" s="102" t="s">
        <v>134</v>
      </c>
      <c r="D12" s="127" t="e">
        <f>SUBTOTAL(9,D13:D25)</f>
        <v>#REF!</v>
      </c>
      <c r="E12" s="122" t="e">
        <f>SUBTOTAL(9,E13:E25)</f>
        <v>#REF!</v>
      </c>
      <c r="F12" s="128"/>
    </row>
    <row r="13" spans="1:9" s="43" customFormat="1" outlineLevel="1">
      <c r="B13" s="51" t="s">
        <v>143</v>
      </c>
      <c r="C13" s="47" t="s">
        <v>821</v>
      </c>
      <c r="D13" s="261" t="e">
        <f>'Diferencia en cambio'!#REF!*0</f>
        <v>#REF!</v>
      </c>
      <c r="E13" s="261" t="e">
        <f>D13/'Diferencia en cambio'!#REF!</f>
        <v>#REF!</v>
      </c>
      <c r="F13" s="128"/>
      <c r="G13" s="52"/>
    </row>
    <row r="14" spans="1:9" s="43" customFormat="1" outlineLevel="1">
      <c r="A14" s="50"/>
      <c r="B14" s="51" t="s">
        <v>143</v>
      </c>
      <c r="C14" s="47" t="s">
        <v>517</v>
      </c>
      <c r="D14" s="207">
        <f>'Diferencia en cambio'!$I$99</f>
        <v>259973.61140949561</v>
      </c>
      <c r="E14" s="208">
        <f>$D$14/'Diferencia en cambio'!$L$99</f>
        <v>34127.836411609496</v>
      </c>
      <c r="F14" s="128"/>
      <c r="G14" s="184"/>
    </row>
    <row r="15" spans="1:9" s="43" customFormat="1" outlineLevel="1">
      <c r="A15" s="50"/>
      <c r="B15" s="51" t="s">
        <v>143</v>
      </c>
      <c r="C15" s="47" t="s">
        <v>520</v>
      </c>
      <c r="D15" s="207">
        <f>'Diferencia en cambio'!$I$100</f>
        <v>10190.012055651405</v>
      </c>
      <c r="E15" s="208">
        <f>$D$15/'Diferencia en cambio'!$L$100</f>
        <v>1337.6860158311345</v>
      </c>
      <c r="F15" s="128"/>
      <c r="G15" s="184"/>
    </row>
    <row r="16" spans="1:9" s="43" customFormat="1" outlineLevel="1">
      <c r="B16" s="51" t="s">
        <v>143</v>
      </c>
      <c r="C16" s="47" t="s">
        <v>519</v>
      </c>
      <c r="D16" s="207">
        <f>'Diferencia en cambio'!$E$101*0</f>
        <v>0</v>
      </c>
      <c r="E16" s="208">
        <f>$D$16/'Diferencia en cambio'!$D$101</f>
        <v>0</v>
      </c>
      <c r="F16" s="128"/>
      <c r="G16" s="52"/>
    </row>
    <row r="17" spans="2:19" s="43" customFormat="1" outlineLevel="1">
      <c r="B17" s="51" t="s">
        <v>143</v>
      </c>
      <c r="C17" s="47" t="s">
        <v>518</v>
      </c>
      <c r="D17" s="207">
        <f>'Diferencia en cambio'!$I$102</f>
        <v>18297.592662317773</v>
      </c>
      <c r="E17" s="208">
        <f>$D$17/'Diferencia en cambio'!$L$102</f>
        <v>2402.002440633245</v>
      </c>
      <c r="F17" s="128"/>
      <c r="G17" s="52"/>
    </row>
    <row r="18" spans="2:19" s="43" customFormat="1" outlineLevel="1">
      <c r="B18" s="51" t="s">
        <v>143</v>
      </c>
      <c r="C18" s="47" t="s">
        <v>818</v>
      </c>
      <c r="D18" s="207">
        <f>'Diferencia en cambio'!$I$103</f>
        <v>24628.128330832926</v>
      </c>
      <c r="E18" s="208">
        <f>D18/'Diferencia en cambio'!$L$103</f>
        <v>3233.0386543535615</v>
      </c>
      <c r="F18" s="128"/>
      <c r="G18" s="52"/>
    </row>
    <row r="19" spans="2:19" s="43" customFormat="1" outlineLevel="1">
      <c r="B19" s="51" t="s">
        <v>143</v>
      </c>
      <c r="C19" s="47" t="s">
        <v>820</v>
      </c>
      <c r="D19" s="207">
        <f>'Diferencia en cambio'!$E$98*0</f>
        <v>0</v>
      </c>
      <c r="E19" s="208">
        <f>$D$19/'Diferencia en cambio'!$D$98</f>
        <v>0</v>
      </c>
      <c r="F19" s="128"/>
      <c r="G19" s="52"/>
    </row>
    <row r="20" spans="2:19" s="43" customFormat="1" outlineLevel="1">
      <c r="B20" s="51" t="s">
        <v>143</v>
      </c>
      <c r="C20" s="47" t="s">
        <v>819</v>
      </c>
      <c r="D20" s="207">
        <f>'Diferencia en cambio'!$I$104</f>
        <v>46265.125541702255</v>
      </c>
      <c r="E20" s="208">
        <f>D20/'Diferencia en cambio'!L104</f>
        <v>6073.4188654353557</v>
      </c>
      <c r="F20" s="128"/>
      <c r="G20" s="52"/>
    </row>
    <row r="21" spans="2:19" s="43" customFormat="1" outlineLevel="1">
      <c r="B21" s="51" t="s">
        <v>143</v>
      </c>
      <c r="C21" s="47" t="s">
        <v>832</v>
      </c>
      <c r="D21" s="207">
        <f>'Diferencia en cambio'!$E$106*0</f>
        <v>0</v>
      </c>
      <c r="E21" s="208">
        <f>$D$21/'Diferencia en cambio'!$D$106</f>
        <v>0</v>
      </c>
      <c r="F21" s="128"/>
      <c r="G21" s="52"/>
    </row>
    <row r="22" spans="2:19" s="43" customFormat="1" outlineLevel="1">
      <c r="B22" s="51" t="s">
        <v>143</v>
      </c>
      <c r="C22" s="47" t="s">
        <v>831</v>
      </c>
      <c r="D22" s="207"/>
      <c r="E22" s="208">
        <f>D22/'Diferencia en cambio'!D105</f>
        <v>0</v>
      </c>
      <c r="F22" s="128"/>
      <c r="G22" s="52"/>
    </row>
    <row r="23" spans="2:19" s="43" customFormat="1" outlineLevel="1">
      <c r="B23" s="51" t="s">
        <v>143</v>
      </c>
      <c r="C23" s="47" t="s">
        <v>514</v>
      </c>
      <c r="D23" s="207">
        <f>'Diferencia en cambio'!I95</f>
        <v>41696.514763957872</v>
      </c>
      <c r="E23" s="208">
        <f>$D$23/'Diferencia en cambio'!$L$95</f>
        <v>5517.3047493403692</v>
      </c>
      <c r="F23" s="128"/>
      <c r="G23" s="52"/>
    </row>
    <row r="24" spans="2:19" s="43" customFormat="1" outlineLevel="1">
      <c r="B24" s="51" t="s">
        <v>143</v>
      </c>
      <c r="C24" s="47" t="s">
        <v>515</v>
      </c>
      <c r="D24" s="207">
        <f>'Diferencia en cambio'!I96</f>
        <v>49874.306567906111</v>
      </c>
      <c r="E24" s="208">
        <f>$D$24/'Diferencia en cambio'!$L$96</f>
        <v>6599.3944591029021</v>
      </c>
      <c r="F24" s="128"/>
      <c r="G24" s="52"/>
    </row>
    <row r="25" spans="2:19" s="43" customFormat="1" outlineLevel="1">
      <c r="B25" s="51" t="s">
        <v>143</v>
      </c>
      <c r="C25" s="47" t="s">
        <v>516</v>
      </c>
      <c r="D25" s="207">
        <f>'Diferencia en cambio'!I97</f>
        <v>18705.388668136035</v>
      </c>
      <c r="E25" s="208">
        <f>$D$25/'Diferencia en cambio'!$L$97</f>
        <v>2475.1068601583115</v>
      </c>
      <c r="F25" s="128"/>
      <c r="G25" s="52"/>
    </row>
    <row r="26" spans="2:19" s="43" customFormat="1" ht="15.75">
      <c r="B26" s="46"/>
      <c r="C26" s="55" t="s">
        <v>136</v>
      </c>
      <c r="D26" s="123" t="e">
        <f>SUBTOTAL(9,D9:D25)</f>
        <v>#REF!</v>
      </c>
      <c r="E26" s="124" t="e">
        <f>SUBTOTAL(9,E9:E25)</f>
        <v>#REF!</v>
      </c>
      <c r="F26" s="56"/>
      <c r="G26" s="56"/>
      <c r="J26" s="52"/>
      <c r="K26" s="57"/>
      <c r="O26" s="58"/>
      <c r="P26" s="59"/>
      <c r="Q26" s="53"/>
    </row>
    <row r="27" spans="2:19" s="43" customFormat="1" ht="15.75">
      <c r="B27" s="46"/>
      <c r="C27" s="60"/>
      <c r="D27" s="61"/>
      <c r="E27" s="61"/>
      <c r="G27" s="62"/>
      <c r="O27" s="59"/>
      <c r="P27" s="59"/>
    </row>
    <row r="28" spans="2:19" s="43" customFormat="1" ht="15.75">
      <c r="B28" s="46"/>
      <c r="N28" s="63"/>
      <c r="O28" s="64"/>
      <c r="P28" s="65"/>
    </row>
    <row r="29" spans="2:19" s="43" customFormat="1" ht="15.75">
      <c r="B29" s="432" t="s">
        <v>137</v>
      </c>
      <c r="C29" s="432"/>
      <c r="D29" s="432" t="s">
        <v>798</v>
      </c>
      <c r="E29" s="432"/>
      <c r="K29" s="65"/>
      <c r="L29" s="65"/>
      <c r="N29" s="63"/>
      <c r="R29" s="52"/>
      <c r="S29" s="52"/>
    </row>
    <row r="30" spans="2:19" s="43" customFormat="1" ht="16.5" thickBot="1">
      <c r="B30" s="67" t="s">
        <v>81</v>
      </c>
      <c r="C30" s="68" t="s">
        <v>106</v>
      </c>
      <c r="D30" s="110" t="s">
        <v>168</v>
      </c>
      <c r="E30" s="110" t="s">
        <v>169</v>
      </c>
      <c r="F30" s="69" t="s">
        <v>140</v>
      </c>
      <c r="G30" s="63" t="s">
        <v>141</v>
      </c>
      <c r="H30" s="63"/>
      <c r="I30" s="63"/>
      <c r="J30" s="70" t="s">
        <v>142</v>
      </c>
      <c r="N30" s="71"/>
      <c r="R30" s="52"/>
      <c r="S30" s="72"/>
    </row>
    <row r="31" spans="2:19" s="43" customFormat="1" ht="16.5" thickBot="1">
      <c r="B31" s="46"/>
      <c r="C31" s="73" t="s">
        <v>155</v>
      </c>
      <c r="D31" s="103">
        <f>SUBTOTAL(9,D32:D32)</f>
        <v>56797.96</v>
      </c>
      <c r="E31" s="112">
        <f>SUBTOTAL(9,E32:E32)</f>
        <v>7453.8005249343832</v>
      </c>
      <c r="F31" s="74"/>
      <c r="J31" s="76"/>
    </row>
    <row r="32" spans="2:19" s="43" customFormat="1" ht="15.75" outlineLevel="1" thickBot="1">
      <c r="B32" s="168">
        <v>5411766</v>
      </c>
      <c r="C32" s="78" t="s">
        <v>799</v>
      </c>
      <c r="D32" s="104">
        <v>56797.96</v>
      </c>
      <c r="E32" s="115">
        <f>D32/$D$6</f>
        <v>7453.8005249343832</v>
      </c>
      <c r="F32" s="80">
        <v>45791</v>
      </c>
      <c r="G32" s="43" t="s">
        <v>135</v>
      </c>
      <c r="H32" s="43">
        <f>IF(OR(G32="Sin pagar",G32="Pagar"),NETWORKDAYS($E$4,F32,'Festivos Guatemala'!$A$3:$A$15),0)</f>
        <v>0</v>
      </c>
      <c r="I32" s="43">
        <f>NETWORKDAYS($E$4,F32,'Festivos Guatemala'!$A$3:$A$15)</f>
        <v>9</v>
      </c>
      <c r="J32" s="75">
        <f>H32</f>
        <v>0</v>
      </c>
      <c r="K32" s="52"/>
      <c r="L32" s="52"/>
    </row>
    <row r="33" spans="2:16" s="43" customFormat="1" ht="16.5" thickBot="1">
      <c r="B33" s="46"/>
      <c r="C33" s="73" t="s">
        <v>144</v>
      </c>
      <c r="D33" s="103">
        <f>SUBTOTAL(9,D34:D36)</f>
        <v>18127.75</v>
      </c>
      <c r="E33" s="112">
        <f>SUBTOTAL(9,E34:E36)</f>
        <v>2377.0268635170605</v>
      </c>
      <c r="J33" s="76">
        <f t="shared" ref="J33:J43" si="0">H33</f>
        <v>0</v>
      </c>
    </row>
    <row r="34" spans="2:16" s="43" customFormat="1" outlineLevel="1">
      <c r="B34" s="168">
        <v>46741155883</v>
      </c>
      <c r="C34" s="47" t="s">
        <v>806</v>
      </c>
      <c r="D34" s="104">
        <v>30</v>
      </c>
      <c r="E34" s="115">
        <f>D34/$D$6</f>
        <v>3.9370078740157481</v>
      </c>
      <c r="F34" s="80">
        <v>45785</v>
      </c>
      <c r="G34" s="43" t="s">
        <v>135</v>
      </c>
      <c r="H34" s="43">
        <f>IF(OR(G34="Sin pagar",G34="Pagar"),NETWORKDAYS($E$4,F34,'Festivos Guatemala'!$A$3:$A$15),0)</f>
        <v>0</v>
      </c>
      <c r="I34" s="43">
        <f>NETWORKDAYS($E$4,F34,'Festivos Guatemala'!$A$3:$A$15)</f>
        <v>5</v>
      </c>
      <c r="J34" s="75">
        <f>H34</f>
        <v>0</v>
      </c>
      <c r="K34" s="48"/>
      <c r="L34" s="57"/>
    </row>
    <row r="35" spans="2:16" s="43" customFormat="1" outlineLevel="1">
      <c r="B35" s="168">
        <v>46770245678</v>
      </c>
      <c r="C35" s="47" t="s">
        <v>236</v>
      </c>
      <c r="D35" s="104">
        <v>16330.84</v>
      </c>
      <c r="E35" s="115">
        <f>D35/$D$6</f>
        <v>2143.1548556430448</v>
      </c>
      <c r="F35" s="80">
        <v>45791</v>
      </c>
      <c r="G35" s="43" t="s">
        <v>135</v>
      </c>
      <c r="H35" s="43">
        <f>IF(OR(G35="Sin pagar",G35="Pagar"),NETWORKDAYS($E$4,F35,'Festivos Guatemala'!$A$3:$A$15),0)</f>
        <v>0</v>
      </c>
      <c r="I35" s="43">
        <f>NETWORKDAYS($E$4,F35,'Festivos Guatemala'!$A$3:$A$15)</f>
        <v>9</v>
      </c>
      <c r="J35" s="75">
        <f>H35</f>
        <v>0</v>
      </c>
      <c r="K35" s="48"/>
      <c r="L35" s="57"/>
    </row>
    <row r="36" spans="2:16" s="43" customFormat="1" ht="15.75" outlineLevel="1" thickBot="1">
      <c r="B36" s="168">
        <v>46745881201</v>
      </c>
      <c r="C36" s="47" t="s">
        <v>809</v>
      </c>
      <c r="D36" s="104">
        <v>1766.91</v>
      </c>
      <c r="E36" s="115">
        <f>1532.9*15%</f>
        <v>229.935</v>
      </c>
      <c r="F36" s="80">
        <v>45791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9</v>
      </c>
      <c r="J36" s="75">
        <f>H36</f>
        <v>0</v>
      </c>
      <c r="K36" s="48"/>
      <c r="L36" s="57"/>
    </row>
    <row r="37" spans="2:16" s="43" customFormat="1" ht="16.5" thickBot="1">
      <c r="B37" s="46"/>
      <c r="C37" s="73" t="s">
        <v>163</v>
      </c>
      <c r="D37" s="103">
        <f>SUBTOTAL(9,D38:D43)</f>
        <v>15912.77</v>
      </c>
      <c r="E37" s="112">
        <f>SUBTOTAL(9,E38:E43)</f>
        <v>2087.6666666666665</v>
      </c>
      <c r="J37" s="76">
        <f t="shared" si="0"/>
        <v>0</v>
      </c>
      <c r="K37" s="52"/>
      <c r="L37" s="52"/>
    </row>
    <row r="38" spans="2:16" s="43" customFormat="1" outlineLevel="1">
      <c r="B38" s="46"/>
      <c r="C38" s="47" t="s">
        <v>805</v>
      </c>
      <c r="D38" s="109">
        <f>E38*7.81</f>
        <v>195.25</v>
      </c>
      <c r="E38" s="113">
        <v>25</v>
      </c>
      <c r="F38" s="80">
        <v>45783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3</v>
      </c>
      <c r="J38" s="75">
        <f t="shared" ref="J38" si="1">H38</f>
        <v>0</v>
      </c>
      <c r="N38" s="49"/>
    </row>
    <row r="39" spans="2:16" s="43" customFormat="1" outlineLevel="1">
      <c r="B39" s="46"/>
      <c r="C39" s="47" t="s">
        <v>800</v>
      </c>
      <c r="D39" s="109">
        <v>926.32</v>
      </c>
      <c r="E39" s="113">
        <f t="shared" ref="E39:E43" si="2">D39/$D$6</f>
        <v>121.56430446194226</v>
      </c>
      <c r="F39" s="74">
        <v>45798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14</v>
      </c>
      <c r="J39" s="75">
        <f t="shared" si="0"/>
        <v>0</v>
      </c>
      <c r="N39" s="49"/>
    </row>
    <row r="40" spans="2:16" s="43" customFormat="1" outlineLevel="1">
      <c r="B40" s="46"/>
      <c r="C40" s="47" t="s">
        <v>828</v>
      </c>
      <c r="D40" s="109">
        <v>184.2</v>
      </c>
      <c r="E40" s="113">
        <f t="shared" ref="E40" si="3">D40/$D$6</f>
        <v>24.173228346456693</v>
      </c>
      <c r="F40" s="74">
        <v>45798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14</v>
      </c>
      <c r="J40" s="75">
        <f t="shared" ref="J40" si="4">H40</f>
        <v>0</v>
      </c>
      <c r="N40" s="49"/>
    </row>
    <row r="41" spans="2:16" s="43" customFormat="1" ht="30" outlineLevel="1">
      <c r="B41" s="84" t="s">
        <v>802</v>
      </c>
      <c r="C41" s="47" t="s">
        <v>788</v>
      </c>
      <c r="D41" s="109">
        <v>2299</v>
      </c>
      <c r="E41" s="113">
        <f t="shared" ref="E41" si="5">D41/$D$6</f>
        <v>301.70603674540683</v>
      </c>
      <c r="F41" s="74">
        <v>45805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19</v>
      </c>
      <c r="J41" s="75">
        <f t="shared" ref="J41" si="6">H41</f>
        <v>0</v>
      </c>
      <c r="N41" s="49"/>
    </row>
    <row r="42" spans="2:16" s="43" customFormat="1" outlineLevel="1">
      <c r="B42" s="46"/>
      <c r="C42" s="47" t="s">
        <v>761</v>
      </c>
      <c r="D42" s="109">
        <f>12308</f>
        <v>12308</v>
      </c>
      <c r="E42" s="113">
        <f>D42/$D$6</f>
        <v>1615.2230971128608</v>
      </c>
      <c r="F42" s="74">
        <v>45805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19</v>
      </c>
      <c r="J42" s="75">
        <f>H42</f>
        <v>0</v>
      </c>
      <c r="N42" s="49"/>
    </row>
    <row r="43" spans="2:16" s="43" customFormat="1" ht="30.75" outlineLevel="1" thickBot="1">
      <c r="B43" s="46"/>
      <c r="C43" s="47" t="s">
        <v>801</v>
      </c>
      <c r="D43" s="109">
        <f>2000*0</f>
        <v>0</v>
      </c>
      <c r="E43" s="113">
        <f t="shared" si="2"/>
        <v>0</v>
      </c>
      <c r="F43" s="80">
        <v>45807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21</v>
      </c>
      <c r="J43" s="75">
        <f t="shared" si="0"/>
        <v>0</v>
      </c>
      <c r="N43" s="49"/>
    </row>
    <row r="44" spans="2:16" s="43" customFormat="1" ht="16.5" thickBot="1">
      <c r="C44" s="73" t="s">
        <v>146</v>
      </c>
      <c r="D44" s="103">
        <f>SUBTOTAL(9,D45:D53)</f>
        <v>9369.3894</v>
      </c>
      <c r="E44" s="112">
        <f>SUBTOTAL(9,E45:E53)</f>
        <v>1229.5786614173228</v>
      </c>
      <c r="K44" s="49"/>
      <c r="L44" s="49"/>
      <c r="O44" s="49"/>
      <c r="P44" s="49"/>
    </row>
    <row r="45" spans="2:16" s="43" customFormat="1" ht="14.25" customHeight="1" outlineLevel="1">
      <c r="B45" s="186" t="s">
        <v>746</v>
      </c>
      <c r="C45" s="210" t="s">
        <v>272</v>
      </c>
      <c r="D45" s="104">
        <f>E45*$D$6</f>
        <v>419.63339999999999</v>
      </c>
      <c r="E45" s="115">
        <v>55.07</v>
      </c>
      <c r="F45" s="74">
        <v>45805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19</v>
      </c>
      <c r="J45" s="75">
        <f t="shared" ref="J45:J53" si="7">H45</f>
        <v>0</v>
      </c>
      <c r="K45" s="49"/>
      <c r="L45" s="49"/>
      <c r="O45" s="49"/>
      <c r="P45" s="49"/>
    </row>
    <row r="46" spans="2:16" s="43" customFormat="1" outlineLevel="1">
      <c r="B46" s="186" t="s">
        <v>745</v>
      </c>
      <c r="C46" s="210" t="s">
        <v>273</v>
      </c>
      <c r="D46" s="104">
        <f>E46*$D$6</f>
        <v>1977.1614000000002</v>
      </c>
      <c r="E46" s="115">
        <v>259.47000000000003</v>
      </c>
      <c r="F46" s="74">
        <v>45805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19</v>
      </c>
      <c r="J46" s="75">
        <f t="shared" si="7"/>
        <v>0</v>
      </c>
    </row>
    <row r="47" spans="2:16" s="43" customFormat="1" outlineLevel="1">
      <c r="B47" s="186" t="s">
        <v>745</v>
      </c>
      <c r="C47" s="210" t="s">
        <v>274</v>
      </c>
      <c r="D47" s="104">
        <f>E47*$D$6</f>
        <v>1564.6146000000001</v>
      </c>
      <c r="E47" s="115">
        <v>205.33</v>
      </c>
      <c r="F47" s="74">
        <v>45805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19</v>
      </c>
      <c r="J47" s="75">
        <f t="shared" si="7"/>
        <v>0</v>
      </c>
    </row>
    <row r="48" spans="2:16" s="43" customFormat="1" ht="14.25" customHeight="1" outlineLevel="1">
      <c r="B48" s="251" t="s">
        <v>745</v>
      </c>
      <c r="C48" s="209" t="s">
        <v>826</v>
      </c>
      <c r="D48" s="109">
        <v>216.63</v>
      </c>
      <c r="E48" s="113">
        <f t="shared" ref="E48:E53" si="8">D48/$D$6</f>
        <v>28.429133858267715</v>
      </c>
      <c r="F48" s="74">
        <v>45798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14</v>
      </c>
      <c r="J48" s="75">
        <f>H48</f>
        <v>0</v>
      </c>
      <c r="K48" s="49"/>
      <c r="L48" s="49"/>
      <c r="O48" s="49"/>
      <c r="P48" s="49"/>
    </row>
    <row r="49" spans="2:16" s="43" customFormat="1" ht="14.25" customHeight="1" outlineLevel="1">
      <c r="B49" s="251" t="s">
        <v>745</v>
      </c>
      <c r="C49" s="209" t="s">
        <v>827</v>
      </c>
      <c r="D49" s="109">
        <v>361.2</v>
      </c>
      <c r="E49" s="113">
        <f t="shared" si="8"/>
        <v>47.401574803149607</v>
      </c>
      <c r="F49" s="74">
        <v>45798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14</v>
      </c>
      <c r="J49" s="75">
        <f>H49</f>
        <v>0</v>
      </c>
      <c r="K49" s="49"/>
      <c r="L49" s="49"/>
      <c r="O49" s="49"/>
      <c r="P49" s="49"/>
    </row>
    <row r="50" spans="2:16" s="43" customFormat="1" ht="14.25" customHeight="1" outlineLevel="1">
      <c r="B50" s="251" t="s">
        <v>745</v>
      </c>
      <c r="C50" s="209" t="s">
        <v>825</v>
      </c>
      <c r="D50" s="109">
        <v>861.81</v>
      </c>
      <c r="E50" s="113">
        <f t="shared" si="8"/>
        <v>113.09842519685039</v>
      </c>
      <c r="F50" s="74">
        <v>45805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19</v>
      </c>
      <c r="J50" s="75">
        <f>H50</f>
        <v>0</v>
      </c>
      <c r="K50" s="49"/>
      <c r="L50" s="49"/>
      <c r="O50" s="49"/>
      <c r="P50" s="49"/>
    </row>
    <row r="51" spans="2:16" s="43" customFormat="1" ht="14.25" customHeight="1" outlineLevel="1">
      <c r="B51" s="251" t="s">
        <v>745</v>
      </c>
      <c r="C51" s="209" t="s">
        <v>822</v>
      </c>
      <c r="D51" s="109">
        <v>943.23</v>
      </c>
      <c r="E51" s="113">
        <f t="shared" si="8"/>
        <v>123.78346456692914</v>
      </c>
      <c r="F51" s="74">
        <v>45805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19</v>
      </c>
      <c r="J51" s="75">
        <f t="shared" si="7"/>
        <v>0</v>
      </c>
      <c r="K51" s="49"/>
      <c r="L51" s="49"/>
      <c r="O51" s="49"/>
      <c r="P51" s="49"/>
    </row>
    <row r="52" spans="2:16" s="43" customFormat="1" outlineLevel="1">
      <c r="B52" s="251" t="s">
        <v>745</v>
      </c>
      <c r="C52" s="209" t="s">
        <v>823</v>
      </c>
      <c r="D52" s="109">
        <v>1023.02</v>
      </c>
      <c r="E52" s="113">
        <f t="shared" si="8"/>
        <v>134.25459317585302</v>
      </c>
      <c r="F52" s="74">
        <v>45805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19</v>
      </c>
      <c r="J52" s="75">
        <f t="shared" si="7"/>
        <v>0</v>
      </c>
    </row>
    <row r="53" spans="2:16" s="43" customFormat="1" ht="15.75" outlineLevel="1" thickBot="1">
      <c r="B53" s="251" t="s">
        <v>745</v>
      </c>
      <c r="C53" s="209" t="s">
        <v>824</v>
      </c>
      <c r="D53" s="109">
        <v>2002.09</v>
      </c>
      <c r="E53" s="113">
        <f t="shared" si="8"/>
        <v>262.74146981627297</v>
      </c>
      <c r="F53" s="74">
        <v>45805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19</v>
      </c>
      <c r="J53" s="75">
        <f t="shared" si="7"/>
        <v>0</v>
      </c>
    </row>
    <row r="54" spans="2:16" s="43" customFormat="1" ht="16.5" thickBot="1">
      <c r="B54" s="82"/>
      <c r="C54" s="85" t="s">
        <v>162</v>
      </c>
      <c r="D54" s="119">
        <f>SUBTOTAL(9,D55:D55)</f>
        <v>0</v>
      </c>
      <c r="E54" s="114">
        <f>SUBTOTAL(9,E55:E55)</f>
        <v>0</v>
      </c>
      <c r="K54" s="52"/>
      <c r="M54" s="183"/>
      <c r="N54" s="183"/>
    </row>
    <row r="55" spans="2:16" s="43" customFormat="1" ht="15.75" outlineLevel="1" thickBot="1">
      <c r="B55" s="46"/>
      <c r="C55" s="47" t="s">
        <v>835</v>
      </c>
      <c r="D55" s="104">
        <f>E55*7.85</f>
        <v>0</v>
      </c>
      <c r="E55" s="115">
        <f>1806.37*0</f>
        <v>0</v>
      </c>
      <c r="F55" s="74">
        <v>45808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21</v>
      </c>
      <c r="J55" s="75">
        <f t="shared" ref="J55" si="9">H55</f>
        <v>0</v>
      </c>
      <c r="M55" s="104"/>
      <c r="N55" s="49"/>
    </row>
    <row r="56" spans="2:16" s="43" customFormat="1" ht="16.5" thickBot="1">
      <c r="B56" s="46"/>
      <c r="C56" s="73" t="s">
        <v>147</v>
      </c>
      <c r="D56" s="103">
        <f>SUBTOTAL(9,D57:D57)</f>
        <v>0</v>
      </c>
      <c r="E56" s="112">
        <f>SUBTOTAL(9,E57:E57)</f>
        <v>0</v>
      </c>
    </row>
    <row r="57" spans="2:16" s="43" customFormat="1" ht="15.75" outlineLevel="1" thickBot="1">
      <c r="B57" s="46"/>
      <c r="C57" s="47"/>
      <c r="D57" s="104"/>
      <c r="E57" s="113"/>
      <c r="F57" s="74">
        <v>45808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21</v>
      </c>
      <c r="J57" s="75">
        <f>H57</f>
        <v>0</v>
      </c>
    </row>
    <row r="58" spans="2:16" s="43" customFormat="1" ht="15.75" customHeight="1" thickBot="1">
      <c r="C58" s="73" t="s">
        <v>148</v>
      </c>
      <c r="D58" s="119">
        <f>SUBTOTAL(9,D59:D59)</f>
        <v>76.2</v>
      </c>
      <c r="E58" s="114">
        <f>SUBTOTAL(9,E59:E59)</f>
        <v>10</v>
      </c>
    </row>
    <row r="59" spans="2:16" s="43" customFormat="1" ht="15.75" outlineLevel="1" thickBot="1">
      <c r="B59" s="46"/>
      <c r="C59" s="47" t="s">
        <v>117</v>
      </c>
      <c r="D59" s="109">
        <f>E59*D6</f>
        <v>76.2</v>
      </c>
      <c r="E59" s="115">
        <v>10</v>
      </c>
      <c r="F59" s="74">
        <v>45808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21</v>
      </c>
      <c r="J59" s="75">
        <f t="shared" ref="J59" si="10">H59</f>
        <v>0</v>
      </c>
    </row>
    <row r="60" spans="2:16" s="43" customFormat="1" ht="16.5" thickBot="1">
      <c r="C60" s="73" t="s">
        <v>164</v>
      </c>
      <c r="D60" s="119">
        <f>SUBTOTAL(9,D61:D76)</f>
        <v>380868.75</v>
      </c>
      <c r="E60" s="114">
        <f>SUBTOTAL(9,E61:E76)</f>
        <v>49982.775590551188</v>
      </c>
      <c r="K60" s="52"/>
      <c r="L60" s="86"/>
    </row>
    <row r="61" spans="2:16" s="43" customFormat="1" outlineLevel="1">
      <c r="B61" s="83"/>
      <c r="C61" s="47" t="s">
        <v>176</v>
      </c>
      <c r="D61" s="109">
        <v>28786.83</v>
      </c>
      <c r="E61" s="115">
        <f>D61/$D$6</f>
        <v>3777.7992125984256</v>
      </c>
      <c r="F61" s="74">
        <v>45805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>H61</f>
        <v>0</v>
      </c>
      <c r="L61" s="52"/>
    </row>
    <row r="62" spans="2:16" s="43" customFormat="1" outlineLevel="1">
      <c r="B62" s="83"/>
      <c r="C62" s="47" t="s">
        <v>829</v>
      </c>
      <c r="D62" s="109">
        <v>38061.46</v>
      </c>
      <c r="E62" s="115">
        <f t="shared" ref="E62" si="11">D62/$D$6</f>
        <v>4994.9422572178473</v>
      </c>
      <c r="F62" s="74">
        <v>45805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19</v>
      </c>
      <c r="J62" s="75">
        <f t="shared" ref="J62" si="12">H62</f>
        <v>0</v>
      </c>
      <c r="L62" s="52"/>
    </row>
    <row r="63" spans="2:16" s="43" customFormat="1" outlineLevel="1">
      <c r="B63" s="46"/>
      <c r="C63" s="47" t="s">
        <v>414</v>
      </c>
      <c r="D63" s="109">
        <v>71056.990000000005</v>
      </c>
      <c r="E63" s="115">
        <f t="shared" ref="E63:E72" si="13">D63/$D$6</f>
        <v>9325.0643044619428</v>
      </c>
      <c r="F63" s="74">
        <v>45805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19</v>
      </c>
      <c r="J63" s="75">
        <f t="shared" ref="J63:J72" si="14">H63</f>
        <v>0</v>
      </c>
      <c r="L63" s="52"/>
    </row>
    <row r="64" spans="2:16" s="43" customFormat="1" outlineLevel="1">
      <c r="B64" s="83"/>
      <c r="C64" s="47" t="s">
        <v>797</v>
      </c>
      <c r="D64" s="109">
        <v>18965.53</v>
      </c>
      <c r="E64" s="115">
        <f t="shared" si="13"/>
        <v>2488.9146981627296</v>
      </c>
      <c r="F64" s="74">
        <v>45805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19</v>
      </c>
      <c r="J64" s="75">
        <f t="shared" si="14"/>
        <v>0</v>
      </c>
      <c r="L64" s="52"/>
    </row>
    <row r="65" spans="2:12" s="43" customFormat="1" ht="13.5" customHeight="1" outlineLevel="1">
      <c r="B65" s="46"/>
      <c r="C65" s="47" t="s">
        <v>417</v>
      </c>
      <c r="D65" s="109">
        <v>10562.83</v>
      </c>
      <c r="E65" s="115">
        <f t="shared" si="13"/>
        <v>1386.1981627296589</v>
      </c>
      <c r="F65" s="74">
        <v>45805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19</v>
      </c>
      <c r="J65" s="75">
        <f t="shared" si="14"/>
        <v>0</v>
      </c>
      <c r="L65" s="52"/>
    </row>
    <row r="66" spans="2:12" s="43" customFormat="1" outlineLevel="1">
      <c r="B66" s="83"/>
      <c r="C66" s="47" t="s">
        <v>409</v>
      </c>
      <c r="D66" s="109">
        <v>14151.42</v>
      </c>
      <c r="E66" s="115">
        <f t="shared" si="13"/>
        <v>1857.1417322834645</v>
      </c>
      <c r="F66" s="74">
        <v>45805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19</v>
      </c>
      <c r="J66" s="75">
        <f t="shared" si="14"/>
        <v>0</v>
      </c>
      <c r="L66" s="52"/>
    </row>
    <row r="67" spans="2:12" s="43" customFormat="1" outlineLevel="1">
      <c r="B67" s="46"/>
      <c r="C67" s="47" t="s">
        <v>416</v>
      </c>
      <c r="D67" s="109">
        <v>66458.559999999998</v>
      </c>
      <c r="E67" s="115">
        <f t="shared" si="13"/>
        <v>8721.595800524934</v>
      </c>
      <c r="F67" s="74">
        <v>45805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19</v>
      </c>
      <c r="J67" s="75">
        <f t="shared" si="14"/>
        <v>0</v>
      </c>
      <c r="K67" s="52"/>
      <c r="L67" s="57"/>
    </row>
    <row r="68" spans="2:12" s="43" customFormat="1" ht="14.25" customHeight="1" outlineLevel="1">
      <c r="B68" s="83"/>
      <c r="C68" s="47" t="s">
        <v>412</v>
      </c>
      <c r="D68" s="109">
        <v>8104.53</v>
      </c>
      <c r="E68" s="115">
        <f t="shared" si="13"/>
        <v>1063.5866141732283</v>
      </c>
      <c r="F68" s="74">
        <v>45805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19</v>
      </c>
      <c r="J68" s="75">
        <f t="shared" si="14"/>
        <v>0</v>
      </c>
      <c r="L68" s="52"/>
    </row>
    <row r="69" spans="2:12" s="43" customFormat="1" outlineLevel="1">
      <c r="B69" s="83"/>
      <c r="C69" s="47" t="s">
        <v>413</v>
      </c>
      <c r="D69" s="109">
        <v>3943.21</v>
      </c>
      <c r="E69" s="115">
        <f t="shared" si="13"/>
        <v>517.48162729658793</v>
      </c>
      <c r="F69" s="74">
        <v>45805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19</v>
      </c>
      <c r="J69" s="75">
        <f t="shared" si="14"/>
        <v>0</v>
      </c>
      <c r="L69" s="52"/>
    </row>
    <row r="70" spans="2:12" s="43" customFormat="1" outlineLevel="1">
      <c r="B70" s="46"/>
      <c r="C70" s="47" t="s">
        <v>415</v>
      </c>
      <c r="D70" s="109">
        <v>25739.759999999998</v>
      </c>
      <c r="E70" s="115">
        <f t="shared" si="13"/>
        <v>3377.9212598425192</v>
      </c>
      <c r="F70" s="74">
        <v>45805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19</v>
      </c>
      <c r="J70" s="75">
        <f t="shared" si="14"/>
        <v>0</v>
      </c>
      <c r="K70" s="48"/>
      <c r="L70" s="48"/>
    </row>
    <row r="71" spans="2:12" s="43" customFormat="1" outlineLevel="1">
      <c r="B71" s="83"/>
      <c r="C71" s="47" t="s">
        <v>410</v>
      </c>
      <c r="D71" s="109">
        <v>3943.21</v>
      </c>
      <c r="E71" s="115">
        <f t="shared" si="13"/>
        <v>517.48162729658793</v>
      </c>
      <c r="F71" s="74">
        <v>45805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19</v>
      </c>
      <c r="J71" s="75">
        <f t="shared" si="14"/>
        <v>0</v>
      </c>
      <c r="L71" s="52"/>
    </row>
    <row r="72" spans="2:12" s="43" customFormat="1" outlineLevel="1">
      <c r="B72" s="83"/>
      <c r="C72" s="47" t="s">
        <v>418</v>
      </c>
      <c r="D72" s="109">
        <v>34072.980000000003</v>
      </c>
      <c r="E72" s="115">
        <f t="shared" si="13"/>
        <v>4471.5196850393704</v>
      </c>
      <c r="F72" s="74">
        <v>45805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19</v>
      </c>
      <c r="J72" s="75">
        <f t="shared" si="14"/>
        <v>0</v>
      </c>
      <c r="L72" s="52"/>
    </row>
    <row r="73" spans="2:12" s="43" customFormat="1" outlineLevel="1">
      <c r="B73" s="83"/>
      <c r="C73" s="47" t="s">
        <v>411</v>
      </c>
      <c r="D73" s="109">
        <v>3943.21</v>
      </c>
      <c r="E73" s="115">
        <f t="shared" ref="E73" si="15">D73/$D$6</f>
        <v>517.48162729658793</v>
      </c>
      <c r="F73" s="74">
        <v>45805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19</v>
      </c>
      <c r="J73" s="75">
        <f t="shared" ref="J73" si="16">H73</f>
        <v>0</v>
      </c>
      <c r="L73" s="52"/>
    </row>
    <row r="74" spans="2:12" s="43" customFormat="1" outlineLevel="1">
      <c r="B74" s="83"/>
      <c r="C74" s="47" t="s">
        <v>843</v>
      </c>
      <c r="D74" s="109">
        <v>9877.23</v>
      </c>
      <c r="E74" s="115">
        <f t="shared" ref="E74:E76" si="17">D74/$D$6</f>
        <v>1296.2244094488187</v>
      </c>
      <c r="F74" s="74">
        <v>45807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21</v>
      </c>
      <c r="J74" s="75">
        <f t="shared" ref="J74:J76" si="18">H74</f>
        <v>0</v>
      </c>
      <c r="L74" s="52"/>
    </row>
    <row r="75" spans="2:12" s="43" customFormat="1" outlineLevel="1">
      <c r="B75" s="83"/>
      <c r="C75" s="47" t="s">
        <v>844</v>
      </c>
      <c r="D75" s="109">
        <v>21600.5</v>
      </c>
      <c r="E75" s="115">
        <f t="shared" si="17"/>
        <v>2834.7112860892389</v>
      </c>
      <c r="F75" s="74">
        <v>45805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19</v>
      </c>
      <c r="J75" s="75">
        <f t="shared" si="18"/>
        <v>0</v>
      </c>
      <c r="L75" s="52"/>
    </row>
    <row r="76" spans="2:12" s="43" customFormat="1" ht="15.75" outlineLevel="1" thickBot="1">
      <c r="B76" s="83"/>
      <c r="C76" s="47" t="s">
        <v>845</v>
      </c>
      <c r="D76" s="109">
        <v>21600.5</v>
      </c>
      <c r="E76" s="115">
        <f t="shared" si="17"/>
        <v>2834.7112860892389</v>
      </c>
      <c r="F76" s="74">
        <v>45805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19</v>
      </c>
      <c r="J76" s="75">
        <f t="shared" si="18"/>
        <v>0</v>
      </c>
      <c r="L76" s="52"/>
    </row>
    <row r="77" spans="2:12" s="43" customFormat="1" ht="16.5" thickBot="1">
      <c r="B77" s="46"/>
      <c r="C77" s="73" t="s">
        <v>173</v>
      </c>
      <c r="D77" s="103">
        <f>SUBTOTAL(9,D78:D83)</f>
        <v>30807.891199999998</v>
      </c>
      <c r="E77" s="112">
        <f>SUBTOTAL(9,E78:E83)</f>
        <v>4043.030341207349</v>
      </c>
    </row>
    <row r="78" spans="2:12" s="43" customFormat="1" outlineLevel="1">
      <c r="B78" s="46"/>
      <c r="C78" s="210" t="s">
        <v>278</v>
      </c>
      <c r="D78" s="109">
        <f>E78*$D$6</f>
        <v>5000.7012000000004</v>
      </c>
      <c r="E78" s="113">
        <v>656.26</v>
      </c>
      <c r="F78" s="74">
        <v>45806</v>
      </c>
      <c r="G78" s="43" t="s">
        <v>135</v>
      </c>
      <c r="H78" s="43">
        <f>IF(OR(G78="Sin pagar",G78="Pagar"),NETWORKDAYS($E$4,F78,'Festivos Guatemala'!$A$3:$A$15),0)</f>
        <v>0</v>
      </c>
      <c r="I78" s="43">
        <f>NETWORKDAYS($E$4,F78,'Festivos Guatemala'!$A$3:$A$15)</f>
        <v>20</v>
      </c>
      <c r="J78" s="75">
        <f t="shared" ref="J78" si="19">H78</f>
        <v>0</v>
      </c>
      <c r="K78" s="52"/>
      <c r="L78" s="54"/>
    </row>
    <row r="79" spans="2:12" s="43" customFormat="1" outlineLevel="1">
      <c r="B79" s="46"/>
      <c r="C79" s="210" t="s">
        <v>661</v>
      </c>
      <c r="D79" s="109">
        <f>E79*$D$6</f>
        <v>16666.540199999999</v>
      </c>
      <c r="E79" s="113">
        <v>2187.21</v>
      </c>
      <c r="F79" s="74">
        <v>45806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20</v>
      </c>
      <c r="J79" s="75">
        <f>H79</f>
        <v>0</v>
      </c>
      <c r="K79" s="52"/>
      <c r="L79" s="54"/>
    </row>
    <row r="80" spans="2:12" s="43" customFormat="1" outlineLevel="1">
      <c r="B80" s="46"/>
      <c r="C80" s="210" t="s">
        <v>841</v>
      </c>
      <c r="D80" s="109">
        <f>E80*$D$6</f>
        <v>5138.5470000000005</v>
      </c>
      <c r="E80" s="113">
        <v>674.35</v>
      </c>
      <c r="F80" s="74">
        <v>45806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20</v>
      </c>
      <c r="J80" s="75">
        <f t="shared" ref="J80:J83" si="20">H80</f>
        <v>0</v>
      </c>
      <c r="K80" s="52"/>
      <c r="L80" s="54"/>
    </row>
    <row r="81" spans="1:16" s="43" customFormat="1" outlineLevel="1">
      <c r="B81" s="46"/>
      <c r="C81" s="210" t="s">
        <v>846</v>
      </c>
      <c r="D81" s="109">
        <f>E81*$D$6</f>
        <v>826.31280000000004</v>
      </c>
      <c r="E81" s="113">
        <v>108.44</v>
      </c>
      <c r="F81" s="74">
        <v>45812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24</v>
      </c>
      <c r="J81" s="75">
        <f t="shared" ref="J81" si="21">H81</f>
        <v>0</v>
      </c>
      <c r="K81" s="52"/>
      <c r="L81" s="54"/>
    </row>
    <row r="82" spans="1:16" s="43" customFormat="1" outlineLevel="1">
      <c r="B82" s="46"/>
      <c r="C82" s="209" t="s">
        <v>280</v>
      </c>
      <c r="D82" s="109">
        <v>300.06</v>
      </c>
      <c r="E82" s="113">
        <f>D82/$D$6</f>
        <v>39.377952755905511</v>
      </c>
      <c r="F82" s="74">
        <v>45806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20</v>
      </c>
      <c r="J82" s="75">
        <f t="shared" si="20"/>
        <v>0</v>
      </c>
      <c r="K82" s="52"/>
      <c r="L82" s="54"/>
    </row>
    <row r="83" spans="1:16" s="43" customFormat="1" ht="15.75" outlineLevel="1" thickBot="1">
      <c r="B83" s="46"/>
      <c r="C83" s="209" t="s">
        <v>662</v>
      </c>
      <c r="D83" s="109">
        <v>2875.73</v>
      </c>
      <c r="E83" s="113">
        <f>D83/$D$6</f>
        <v>377.39238845144359</v>
      </c>
      <c r="F83" s="74">
        <v>45806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20</v>
      </c>
      <c r="J83" s="75">
        <f t="shared" si="20"/>
        <v>0</v>
      </c>
      <c r="K83" s="52"/>
      <c r="L83" s="54"/>
    </row>
    <row r="84" spans="1:16" s="43" customFormat="1" ht="16.5" thickBot="1">
      <c r="B84" s="87"/>
      <c r="C84" s="73" t="s">
        <v>149</v>
      </c>
      <c r="D84" s="103">
        <f>SUBTOTAL(9,D85)</f>
        <v>0</v>
      </c>
      <c r="E84" s="112">
        <f>SUBTOTAL(9,E85)</f>
        <v>0</v>
      </c>
      <c r="L84" s="52"/>
    </row>
    <row r="85" spans="1:16" s="43" customFormat="1" ht="15.75" outlineLevel="1" thickBot="1">
      <c r="B85" s="46"/>
      <c r="C85" s="47"/>
      <c r="D85" s="109"/>
      <c r="E85" s="115">
        <f>D85/$D$6</f>
        <v>0</v>
      </c>
      <c r="F85" s="74">
        <v>45808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21</v>
      </c>
      <c r="J85" s="75">
        <f>H85</f>
        <v>0</v>
      </c>
      <c r="K85" s="52"/>
      <c r="L85" s="54"/>
    </row>
    <row r="86" spans="1:16" s="43" customFormat="1" ht="16.5" thickBot="1">
      <c r="B86" s="46"/>
      <c r="C86" s="73" t="s">
        <v>638</v>
      </c>
      <c r="D86" s="103">
        <f>SUBTOTAL(9,D87:D88)</f>
        <v>1500</v>
      </c>
      <c r="E86" s="112">
        <f>SUBTOTAL(9,E87:E88)</f>
        <v>196.85039370078741</v>
      </c>
    </row>
    <row r="87" spans="1:16" s="43" customFormat="1" outlineLevel="1">
      <c r="B87" s="46" t="s">
        <v>834</v>
      </c>
      <c r="C87" s="47" t="s">
        <v>833</v>
      </c>
      <c r="D87" s="109">
        <v>1500</v>
      </c>
      <c r="E87" s="115">
        <f>D87/$D$6</f>
        <v>196.85039370078741</v>
      </c>
      <c r="F87" s="74">
        <v>45805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19</v>
      </c>
      <c r="J87" s="75">
        <f>H87</f>
        <v>0</v>
      </c>
      <c r="K87" s="52"/>
      <c r="L87" s="54"/>
    </row>
    <row r="88" spans="1:16" s="43" customFormat="1" ht="15.75" outlineLevel="1" thickBot="1">
      <c r="B88" s="46"/>
      <c r="C88" s="47" t="s">
        <v>639</v>
      </c>
      <c r="D88" s="109">
        <f>E88*$D$6</f>
        <v>0</v>
      </c>
      <c r="E88" s="115">
        <f>450*0</f>
        <v>0</v>
      </c>
      <c r="F88" s="74">
        <v>45807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21</v>
      </c>
      <c r="J88" s="75">
        <f t="shared" ref="J88" si="22">H88</f>
        <v>0</v>
      </c>
      <c r="K88" s="52"/>
      <c r="L88" s="54"/>
    </row>
    <row r="89" spans="1:16" s="43" customFormat="1" ht="14.25" customHeight="1">
      <c r="B89" s="46"/>
      <c r="C89" s="88" t="s">
        <v>150</v>
      </c>
      <c r="D89" s="120">
        <f>SUBTOTAL(9,D31:D88)</f>
        <v>513460.71060000005</v>
      </c>
      <c r="E89" s="116">
        <f>SUBTOTAL(9,E31:E88)</f>
        <v>67380.729041994768</v>
      </c>
      <c r="K89" s="39"/>
      <c r="L89" s="39"/>
      <c r="N89" s="39"/>
      <c r="O89" s="39"/>
      <c r="P89" s="39"/>
    </row>
    <row r="90" spans="1:16" ht="15.75">
      <c r="A90" s="43"/>
      <c r="E90" s="117"/>
      <c r="F90" s="89"/>
      <c r="G90" s="89"/>
      <c r="H90" s="89"/>
      <c r="I90" s="89"/>
      <c r="J90" s="89"/>
    </row>
    <row r="91" spans="1:16" ht="15.75">
      <c r="A91" s="43"/>
      <c r="C91" s="90" t="s">
        <v>151</v>
      </c>
      <c r="D91" s="121" t="e">
        <f>D26-D89</f>
        <v>#REF!</v>
      </c>
      <c r="E91" s="118" t="e">
        <f>E26-E89</f>
        <v>#REF!</v>
      </c>
      <c r="F91" s="226"/>
      <c r="G91" s="227"/>
      <c r="J91" s="227"/>
    </row>
    <row r="92" spans="1:16" s="93" customFormat="1" ht="15.75">
      <c r="A92" s="43"/>
      <c r="B92" s="94"/>
      <c r="C92" s="90" t="s">
        <v>152</v>
      </c>
      <c r="D92" s="95" t="e">
        <f>IF($D$26=0,0,D91/$D$26)</f>
        <v>#REF!</v>
      </c>
      <c r="E92" s="95" t="e">
        <f>IF($E$26=0,0,E91/$E$26)</f>
        <v>#REF!</v>
      </c>
      <c r="F92" s="96"/>
      <c r="G92" s="92"/>
      <c r="J92" s="97"/>
      <c r="K92" s="39"/>
      <c r="L92" s="39"/>
      <c r="N92" s="39"/>
      <c r="O92" s="39"/>
      <c r="P92" s="39"/>
    </row>
    <row r="93" spans="1:16" ht="15.75" thickBot="1">
      <c r="A93" s="43"/>
      <c r="F93" s="96"/>
      <c r="G93" s="92"/>
    </row>
    <row r="94" spans="1:16" ht="15.75" thickBot="1">
      <c r="A94" s="43"/>
      <c r="C94" s="135" t="s">
        <v>184</v>
      </c>
      <c r="D94" s="136" t="s">
        <v>185</v>
      </c>
      <c r="E94" s="137" t="s">
        <v>191</v>
      </c>
      <c r="F94" s="137" t="s">
        <v>186</v>
      </c>
      <c r="G94" s="92"/>
    </row>
    <row r="95" spans="1:16">
      <c r="A95" s="43"/>
      <c r="C95" s="187">
        <v>45778</v>
      </c>
      <c r="D95" s="188">
        <v>45781</v>
      </c>
      <c r="E95" s="189">
        <f t="shared" ref="E95:E100" si="23">SUMIFS($D$31:$D$92,$F$31:$F$92,"&gt;="&amp;C95,$F$31:$F$92,"&lt;="&amp;D95,$G$31:$G$92,$D$109)</f>
        <v>0</v>
      </c>
      <c r="F95" s="190">
        <f t="shared" ref="F95:F100" si="24">SUMIFS($E$31:$E$92,$F$31:$F$92,"&gt;="&amp;C95,$F$31:$F$92,"&lt;="&amp;D95,$G$31:$G$92,$D$109)</f>
        <v>0</v>
      </c>
      <c r="G95" s="92"/>
    </row>
    <row r="96" spans="1:16">
      <c r="A96" s="43"/>
      <c r="C96" s="191">
        <v>45782</v>
      </c>
      <c r="D96" s="260">
        <v>45788</v>
      </c>
      <c r="E96" s="193">
        <f t="shared" si="23"/>
        <v>0</v>
      </c>
      <c r="F96" s="194">
        <f t="shared" si="24"/>
        <v>0</v>
      </c>
      <c r="G96" s="92"/>
    </row>
    <row r="97" spans="1:10">
      <c r="A97" s="43"/>
      <c r="C97" s="191">
        <v>45789</v>
      </c>
      <c r="D97" s="192">
        <v>45795</v>
      </c>
      <c r="E97" s="193">
        <f t="shared" si="23"/>
        <v>0</v>
      </c>
      <c r="F97" s="194">
        <f t="shared" si="24"/>
        <v>0</v>
      </c>
      <c r="G97" s="92" t="s">
        <v>763</v>
      </c>
    </row>
    <row r="98" spans="1:10">
      <c r="A98" s="43"/>
      <c r="C98" s="191">
        <v>45796</v>
      </c>
      <c r="D98" s="192">
        <v>45802</v>
      </c>
      <c r="E98" s="193">
        <f t="shared" si="23"/>
        <v>0</v>
      </c>
      <c r="F98" s="194">
        <f t="shared" si="24"/>
        <v>0</v>
      </c>
      <c r="G98" s="92" t="s">
        <v>803</v>
      </c>
    </row>
    <row r="99" spans="1:10">
      <c r="A99" s="43"/>
      <c r="C99" s="191">
        <v>45803</v>
      </c>
      <c r="D99" s="192">
        <v>45808</v>
      </c>
      <c r="E99" s="193">
        <f t="shared" si="23"/>
        <v>0</v>
      </c>
      <c r="F99" s="194">
        <f t="shared" si="24"/>
        <v>0</v>
      </c>
      <c r="G99" s="92" t="s">
        <v>764</v>
      </c>
    </row>
    <row r="100" spans="1:10" ht="15.75" thickBot="1">
      <c r="A100" s="43"/>
      <c r="C100" s="195">
        <v>45809</v>
      </c>
      <c r="D100" s="196">
        <v>45814</v>
      </c>
      <c r="E100" s="197">
        <f t="shared" si="23"/>
        <v>0</v>
      </c>
      <c r="F100" s="198">
        <f t="shared" si="24"/>
        <v>0</v>
      </c>
      <c r="G100" s="92" t="s">
        <v>847</v>
      </c>
    </row>
    <row r="101" spans="1:10" ht="15.75">
      <c r="A101" s="43"/>
      <c r="C101" s="433" t="s">
        <v>187</v>
      </c>
      <c r="D101" s="433"/>
      <c r="E101" s="148">
        <f>SUM(E95:E100)</f>
        <v>0</v>
      </c>
      <c r="F101" s="144">
        <f>SUM(F95:F100)</f>
        <v>0</v>
      </c>
      <c r="G101" s="92"/>
    </row>
    <row r="102" spans="1:10">
      <c r="A102" s="43"/>
      <c r="F102" s="96"/>
      <c r="G102" s="92"/>
    </row>
    <row r="103" spans="1:10">
      <c r="A103" s="43"/>
      <c r="F103" s="96"/>
      <c r="G103" s="92"/>
    </row>
    <row r="104" spans="1:10">
      <c r="A104" s="43"/>
      <c r="C104" s="41"/>
      <c r="D104" s="41" t="s">
        <v>380</v>
      </c>
      <c r="E104" s="166">
        <f>'Caja QTQ'!$H$503+('Caja USD'!$H$213*$D$6)</f>
        <v>185712.52249999874</v>
      </c>
      <c r="F104" s="153">
        <f>'Caja USD'!$H$213+('Caja QTQ'!$H$503/$D$6)</f>
        <v>24371.722112860727</v>
      </c>
      <c r="G104" s="92"/>
    </row>
    <row r="105" spans="1:10">
      <c r="A105" s="43"/>
      <c r="D105" s="200" t="s">
        <v>804</v>
      </c>
      <c r="E105" s="166">
        <f>SUM(E95:E98)</f>
        <v>0</v>
      </c>
      <c r="F105" s="153">
        <f>SUM(F95:F98)</f>
        <v>0</v>
      </c>
      <c r="G105" s="92"/>
    </row>
    <row r="106" spans="1:10">
      <c r="A106" s="43"/>
      <c r="D106" s="146" t="s">
        <v>381</v>
      </c>
      <c r="E106" s="201">
        <f>E104-E105</f>
        <v>185712.52249999874</v>
      </c>
      <c r="F106" s="145">
        <f>F104-F105</f>
        <v>24371.722112860727</v>
      </c>
      <c r="G106" s="92"/>
      <c r="J106" s="167"/>
    </row>
    <row r="107" spans="1:10">
      <c r="A107" s="43"/>
      <c r="F107" s="96"/>
      <c r="G107" s="92"/>
    </row>
    <row r="108" spans="1:10">
      <c r="D108" s="43" t="s">
        <v>135</v>
      </c>
      <c r="E108" s="15">
        <f>SUMIFS($D$31:$D$103,$F$31:$F$103,"&gt;="&amp;C95,$F$31:$F$103,"&lt;="&amp;D100,$G$31:$G$103,$D$108)</f>
        <v>513460.71060000005</v>
      </c>
      <c r="F108" s="153">
        <f>SUMIFS($E$31:$E$103,$F$31:$F$103,"&gt;="&amp;C95,$F$31:$F$103,"&lt;="&amp;$D$100,$G$31:$G$103,$D$108)</f>
        <v>67380.729041994768</v>
      </c>
    </row>
    <row r="109" spans="1:10">
      <c r="D109" s="43" t="s">
        <v>143</v>
      </c>
      <c r="E109" s="15">
        <f>SUMIFS($D$31:$D$103,$F$31:$F$103,"&gt;="&amp;C95,$F$31:$F$103,"&lt;="&amp;D100,$G$31:$G$103,$D$109)</f>
        <v>0</v>
      </c>
      <c r="F109" s="153">
        <f>SUMIFS($E$31:$E$103,$F$31:$F$103,"&gt;="&amp;C95,$F$31:$F$103,"&lt;="&amp;D100,$G$31:$G$103,$D$109)</f>
        <v>0</v>
      </c>
    </row>
    <row r="110" spans="1:10">
      <c r="D110" s="146" t="s">
        <v>189</v>
      </c>
      <c r="E110" s="152">
        <f>SUM(E108:E109)</f>
        <v>513460.71060000005</v>
      </c>
      <c r="F110" s="145">
        <f>SUM(F108:F109)</f>
        <v>67380.729041994768</v>
      </c>
    </row>
    <row r="111" spans="1:10">
      <c r="D111" s="146" t="s">
        <v>190</v>
      </c>
      <c r="E111" s="152">
        <f>E110-D89</f>
        <v>0</v>
      </c>
      <c r="F111" s="145">
        <f>F110-E89</f>
        <v>0</v>
      </c>
    </row>
    <row r="113" spans="4:6" hidden="1">
      <c r="D113" s="41" t="s">
        <v>373</v>
      </c>
      <c r="E113" s="166" t="e">
        <f>D91</f>
        <v>#REF!</v>
      </c>
    </row>
    <row r="114" spans="4:6" hidden="1">
      <c r="D114" s="41" t="s">
        <v>339</v>
      </c>
      <c r="E114" s="166">
        <f>'Caja QTQ'!H167+('Caja USD'!H70*7.6)</f>
        <v>190098.56839999984</v>
      </c>
    </row>
    <row r="115" spans="4:6" hidden="1">
      <c r="D115" s="41" t="s">
        <v>85</v>
      </c>
      <c r="E115" s="166" t="e">
        <f>E113-E114</f>
        <v>#REF!</v>
      </c>
      <c r="F115" s="185" t="e">
        <f>E115/7.88</f>
        <v>#REF!</v>
      </c>
    </row>
    <row r="116" spans="4:6">
      <c r="F116" s="167"/>
    </row>
    <row r="117" spans="4:6">
      <c r="D117" s="41" t="s">
        <v>373</v>
      </c>
      <c r="E117" s="166" t="e">
        <f>D91</f>
        <v>#REF!</v>
      </c>
      <c r="F117" s="167"/>
    </row>
    <row r="118" spans="4:6">
      <c r="D118" s="41" t="s">
        <v>339</v>
      </c>
      <c r="E118" s="166">
        <f>'Caja QTQ'!H503+('Caja USD'!$J$225*$D$6)</f>
        <v>184886.20969999873</v>
      </c>
    </row>
    <row r="119" spans="4:6">
      <c r="D119" s="41" t="s">
        <v>444</v>
      </c>
      <c r="E119" s="166" t="e">
        <f>E117-E118</f>
        <v>#REF!</v>
      </c>
      <c r="F119" s="185"/>
    </row>
    <row r="120" spans="4:6">
      <c r="D120" s="41" t="s">
        <v>674</v>
      </c>
      <c r="E120" s="167" t="e">
        <f>E119/$D$6</f>
        <v>#REF!</v>
      </c>
    </row>
  </sheetData>
  <protectedRanges>
    <protectedRange sqref="F26:G26 D93:E93 C104 D102:E107 D57:E57" name="Presupuestos"/>
    <protectedRange sqref="D30:E30 D8:E8" name="Presupuestos_1"/>
    <protectedRange sqref="D38:E43" name="Presupuestos_13_1"/>
    <protectedRange sqref="D55 D45:E53" name="Presupuestos_14"/>
    <protectedRange sqref="D63:E63 D67:E67 E61:E62 E64 D65:E65 E66 E68:E76" name="Presupuestos_2_1_1_1"/>
    <protectedRange sqref="K70 D70 D87:E88 D85:E85 D78:E83" name="Presupuestos_6_1_1_1"/>
    <protectedRange sqref="D61:D62 D64 D66 D68:D69 D71:D76" name="Presupuestos_5_2_1"/>
    <protectedRange sqref="E55" name="Presupuestos_13_1_1"/>
    <protectedRange sqref="E59" name="Presupuestos_7_1_2"/>
    <protectedRange sqref="D59" name="Presupuestos_7_1_1_1"/>
    <protectedRange sqref="D10:E11" name="Presupuestos_2"/>
  </protectedRanges>
  <autoFilter ref="B30:J88" xr:uid="{00000000-0009-0000-0000-000002000000}"/>
  <mergeCells count="4">
    <mergeCell ref="D7:E7"/>
    <mergeCell ref="B29:C29"/>
    <mergeCell ref="D29:E29"/>
    <mergeCell ref="C101:D101"/>
  </mergeCells>
  <conditionalFormatting sqref="J32 J34:J36 J38:J43 J45:J53 J55 J59 J61:J76 J78:J83 J87:J88">
    <cfRule type="cellIs" dxfId="136" priority="9" operator="lessThan">
      <formula>0</formula>
    </cfRule>
    <cfRule type="cellIs" dxfId="135" priority="10" operator="between">
      <formula>6</formula>
      <formula>15</formula>
    </cfRule>
    <cfRule type="cellIs" dxfId="134" priority="11" operator="between">
      <formula>1</formula>
      <formula>5</formula>
    </cfRule>
    <cfRule type="cellIs" dxfId="133" priority="12" operator="between">
      <formula>16</formula>
      <formula>60</formula>
    </cfRule>
  </conditionalFormatting>
  <conditionalFormatting sqref="J57">
    <cfRule type="cellIs" dxfId="132" priority="5" operator="lessThan">
      <formula>0</formula>
    </cfRule>
    <cfRule type="cellIs" dxfId="131" priority="6" operator="between">
      <formula>6</formula>
      <formula>15</formula>
    </cfRule>
    <cfRule type="cellIs" dxfId="130" priority="7" operator="between">
      <formula>1</formula>
      <formula>5</formula>
    </cfRule>
    <cfRule type="cellIs" dxfId="129" priority="8" operator="between">
      <formula>16</formula>
      <formula>60</formula>
    </cfRule>
  </conditionalFormatting>
  <conditionalFormatting sqref="J85">
    <cfRule type="cellIs" dxfId="128" priority="1" operator="lessThan">
      <formula>0</formula>
    </cfRule>
    <cfRule type="cellIs" dxfId="127" priority="2" operator="between">
      <formula>6</formula>
      <formula>15</formula>
    </cfRule>
    <cfRule type="cellIs" dxfId="126" priority="3" operator="between">
      <formula>1</formula>
      <formula>5</formula>
    </cfRule>
    <cfRule type="cellIs" dxfId="125" priority="4" operator="between">
      <formula>16</formula>
      <formula>60</formula>
    </cfRule>
  </conditionalFormatting>
  <dataValidations count="3">
    <dataValidation type="list" allowBlank="1" showInputMessage="1" showErrorMessage="1" sqref="G38:G43 D108:D109 G87:G88 G45:G53 G59 G34:G36 G57 G85 G55 G61:G76 G31:G32 G78:G83" xr:uid="{0425AF61-2F28-454B-8251-0D1E965E4FAC}">
      <formula1>"Cancelado,Pagar,Sin Pagar"</formula1>
    </dataValidation>
    <dataValidation type="list" allowBlank="1" showInputMessage="1" showErrorMessage="1" sqref="D29 D7" xr:uid="{92C4C430-E561-4B51-8378-3D3FD0E36369}">
      <formula1>"ENERO,FEBRERO,MARZO,ABRIL,MAYO,JUNIO,JULIO,AGOSTO,SEPTIEMBRE,OCTUBRE,NOVIEMBRE,DICIEMBRE"</formula1>
    </dataValidation>
    <dataValidation type="list" allowBlank="1" showInputMessage="1" showErrorMessage="1" sqref="B13:B25" xr:uid="{6E0B85CA-1396-4326-B059-744B77B2679F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32:J41 J82:J88 J43:J80" unlockedFormula="1"/>
    <ignoredError sqref="D55:E55" formula="1"/>
  </ignoredError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1608-3B4C-4DEB-9EEE-761B2449C513}">
  <dimension ref="A1:S149"/>
  <sheetViews>
    <sheetView showGridLines="0" topLeftCell="A47" zoomScale="90" zoomScaleNormal="90" workbookViewId="0">
      <selection activeCell="E66" sqref="E66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bestFit="1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9" hidden="1">
      <c r="D1" s="41">
        <v>42400</v>
      </c>
    </row>
    <row r="2" spans="2:9">
      <c r="D2" s="42"/>
      <c r="E2" s="42"/>
      <c r="I2" s="43"/>
    </row>
    <row r="3" spans="2:9">
      <c r="E3" s="15"/>
      <c r="I3" s="43"/>
    </row>
    <row r="4" spans="2:9" ht="15.75">
      <c r="B4" s="134"/>
      <c r="C4" s="134"/>
      <c r="D4" s="111" t="s">
        <v>139</v>
      </c>
      <c r="E4" s="66">
        <v>45809</v>
      </c>
      <c r="I4" s="43"/>
    </row>
    <row r="5" spans="2:9">
      <c r="D5" s="42"/>
      <c r="E5" s="42"/>
      <c r="I5" s="43"/>
    </row>
    <row r="6" spans="2:9">
      <c r="C6" s="98" t="s">
        <v>181</v>
      </c>
      <c r="D6" s="125">
        <v>7.62</v>
      </c>
      <c r="E6" s="42"/>
      <c r="I6" s="43"/>
    </row>
    <row r="7" spans="2:9" ht="15.75">
      <c r="C7" s="99"/>
      <c r="D7" s="432" t="s">
        <v>854</v>
      </c>
      <c r="E7" s="432"/>
      <c r="I7" s="43"/>
    </row>
    <row r="8" spans="2:9">
      <c r="D8" s="110" t="s">
        <v>168</v>
      </c>
      <c r="E8" s="110" t="s">
        <v>169</v>
      </c>
    </row>
    <row r="9" spans="2:9" s="44" customFormat="1" ht="15.75">
      <c r="C9" s="101" t="s">
        <v>133</v>
      </c>
      <c r="D9" s="126">
        <f>SUBTOTAL(9,D10:D11)</f>
        <v>184886.20969999873</v>
      </c>
      <c r="E9" s="122">
        <f>SUBTOTAL(9,E10:E11)</f>
        <v>24263.282112860725</v>
      </c>
      <c r="F9" s="45"/>
      <c r="I9" s="43"/>
    </row>
    <row r="10" spans="2:9" s="43" customFormat="1" outlineLevel="1">
      <c r="B10" s="46"/>
      <c r="C10" s="47" t="s">
        <v>153</v>
      </c>
      <c r="D10" s="15">
        <f>'Caja QTQ'!$D$506</f>
        <v>168579.86689999874</v>
      </c>
      <c r="E10" s="25">
        <f>D10/$D$6</f>
        <v>22123.342112860726</v>
      </c>
      <c r="F10" s="49"/>
    </row>
    <row r="11" spans="2:9" s="43" customFormat="1" outlineLevel="1">
      <c r="B11" s="46"/>
      <c r="C11" s="47" t="s">
        <v>154</v>
      </c>
      <c r="D11" s="15">
        <f>E11*D6</f>
        <v>16306.342799999997</v>
      </c>
      <c r="E11" s="25">
        <f>'Caja USD'!$J$225</f>
        <v>2139.9399999999996</v>
      </c>
      <c r="F11" s="49"/>
    </row>
    <row r="12" spans="2:9" s="43" customFormat="1" ht="15.75">
      <c r="B12" s="46"/>
      <c r="C12" s="102" t="s">
        <v>134</v>
      </c>
      <c r="D12" s="127" t="e">
        <f>SUBTOTAL(9,D13:D32)</f>
        <v>#REF!</v>
      </c>
      <c r="E12" s="122" t="e">
        <f>SUBTOTAL(9,E13:E32)</f>
        <v>#REF!</v>
      </c>
      <c r="F12" s="128"/>
    </row>
    <row r="13" spans="2:9" s="43" customFormat="1" outlineLevel="1">
      <c r="B13" s="51" t="s">
        <v>143</v>
      </c>
      <c r="C13" s="47" t="s">
        <v>821</v>
      </c>
      <c r="D13" s="261" t="e">
        <f>'Diferencia en cambio'!#REF!*0</f>
        <v>#REF!</v>
      </c>
      <c r="E13" s="261" t="e">
        <f>D13/'Diferencia en cambio'!#REF!</f>
        <v>#REF!</v>
      </c>
      <c r="F13" s="128"/>
      <c r="G13" s="52"/>
    </row>
    <row r="14" spans="2:9" s="43" customFormat="1" outlineLevel="1">
      <c r="B14" s="218" t="s">
        <v>298</v>
      </c>
      <c r="C14" s="215" t="s">
        <v>851</v>
      </c>
      <c r="D14" s="216">
        <f>'Diferencia en cambio'!I98</f>
        <v>4460.17</v>
      </c>
      <c r="E14" s="225">
        <f>$D$14/'Diferencia en cambio'!$L$98</f>
        <v>594.97648221343877</v>
      </c>
      <c r="F14" s="128"/>
      <c r="G14" s="52"/>
    </row>
    <row r="15" spans="2:9" s="43" customFormat="1" outlineLevel="1">
      <c r="B15" s="218" t="s">
        <v>298</v>
      </c>
      <c r="C15" s="215" t="s">
        <v>850</v>
      </c>
      <c r="D15" s="216">
        <f>'Diferencia en cambio'!I101</f>
        <v>13432.01309270721</v>
      </c>
      <c r="E15" s="225">
        <f>$D$15/'Diferencia en cambio'!$L$101</f>
        <v>1777.6915567282324</v>
      </c>
      <c r="F15" s="128"/>
      <c r="G15" s="52"/>
    </row>
    <row r="16" spans="2:9" s="43" customFormat="1" outlineLevel="1">
      <c r="B16" s="218" t="s">
        <v>298</v>
      </c>
      <c r="C16" s="215" t="s">
        <v>852</v>
      </c>
      <c r="D16" s="216">
        <f>'Diferencia en cambio'!$I$106</f>
        <v>55813.046907292781</v>
      </c>
      <c r="E16" s="225">
        <f>$D$16/'Diferencia en cambio'!$L$106</f>
        <v>7386.7097625329816</v>
      </c>
      <c r="F16" s="128"/>
      <c r="G16" s="52"/>
    </row>
    <row r="17" spans="1:7" s="43" customFormat="1" outlineLevel="1">
      <c r="B17" s="218" t="s">
        <v>298</v>
      </c>
      <c r="C17" s="215" t="s">
        <v>853</v>
      </c>
      <c r="D17" s="216">
        <f>'Diferencia en cambio'!$I$105</f>
        <v>14758.23</v>
      </c>
      <c r="E17" s="225">
        <f>D17/'Diferencia en cambio'!L105</f>
        <v>1967.5263852242745</v>
      </c>
      <c r="F17" s="128"/>
      <c r="G17" s="52"/>
    </row>
    <row r="18" spans="1:7" s="43" customFormat="1" outlineLevel="1">
      <c r="A18" s="50"/>
      <c r="B18" s="218" t="s">
        <v>298</v>
      </c>
      <c r="C18" s="215" t="s">
        <v>517</v>
      </c>
      <c r="D18" s="252">
        <f>'Diferencia en cambio'!I111</f>
        <v>456437.27203268558</v>
      </c>
      <c r="E18" s="217">
        <f>D18/'Diferencia en cambio'!L111</f>
        <v>59668.56</v>
      </c>
      <c r="F18" s="128"/>
      <c r="G18" s="184"/>
    </row>
    <row r="19" spans="1:7" s="43" customFormat="1" outlineLevel="1">
      <c r="A19" s="50"/>
      <c r="B19" s="218" t="s">
        <v>298</v>
      </c>
      <c r="C19" s="215" t="s">
        <v>520</v>
      </c>
      <c r="D19" s="252">
        <f>'Diferencia en cambio'!I112</f>
        <v>19411.176740636303</v>
      </c>
      <c r="E19" s="217">
        <f>D19/'Diferencia en cambio'!L112</f>
        <v>2537.56</v>
      </c>
      <c r="F19" s="128"/>
      <c r="G19" s="184"/>
    </row>
    <row r="20" spans="1:7" s="43" customFormat="1" outlineLevel="1">
      <c r="B20" s="218" t="s">
        <v>298</v>
      </c>
      <c r="C20" s="215" t="s">
        <v>519</v>
      </c>
      <c r="D20" s="252">
        <f>'Diferencia en cambio'!I113</f>
        <v>29119.51894677573</v>
      </c>
      <c r="E20" s="217">
        <f>D20/'Diferencia en cambio'!L113</f>
        <v>3806.7</v>
      </c>
      <c r="F20" s="128"/>
      <c r="G20" s="52"/>
    </row>
    <row r="21" spans="1:7" s="43" customFormat="1" outlineLevel="1">
      <c r="B21" s="218" t="s">
        <v>298</v>
      </c>
      <c r="C21" s="215" t="s">
        <v>518</v>
      </c>
      <c r="D21" s="252">
        <f>'Diferencia en cambio'!I114</f>
        <v>33194.966475941073</v>
      </c>
      <c r="E21" s="217">
        <f>D21/'Diferencia en cambio'!L114</f>
        <v>4339.47</v>
      </c>
      <c r="F21" s="128"/>
      <c r="G21" s="52"/>
    </row>
    <row r="22" spans="1:7" s="43" customFormat="1" outlineLevel="1">
      <c r="B22" s="218" t="s">
        <v>298</v>
      </c>
      <c r="C22" s="215" t="s">
        <v>818</v>
      </c>
      <c r="D22" s="252">
        <f>'Diferencia en cambio'!I115</f>
        <v>29030.248768902802</v>
      </c>
      <c r="E22" s="217">
        <f>D22/'Diferencia en cambio'!L115</f>
        <v>3795.03</v>
      </c>
      <c r="F22" s="128"/>
      <c r="G22" s="52"/>
    </row>
    <row r="23" spans="1:7" s="43" customFormat="1" outlineLevel="1">
      <c r="B23" s="51" t="s">
        <v>143</v>
      </c>
      <c r="C23" s="47" t="s">
        <v>819</v>
      </c>
      <c r="D23" s="171">
        <f>'Diferencia en cambio'!E116*0</f>
        <v>0</v>
      </c>
      <c r="E23" s="202">
        <f>D23/'Diferencia en cambio'!D116</f>
        <v>0</v>
      </c>
      <c r="F23" s="128"/>
      <c r="G23" s="52"/>
    </row>
    <row r="24" spans="1:7" s="43" customFormat="1" outlineLevel="1">
      <c r="B24" s="218" t="s">
        <v>298</v>
      </c>
      <c r="C24" s="215" t="s">
        <v>832</v>
      </c>
      <c r="D24" s="252">
        <f>'Diferencia en cambio'!I117</f>
        <v>74322.357035058507</v>
      </c>
      <c r="E24" s="217">
        <f>D24/'Diferencia en cambio'!$L$117</f>
        <v>9715.92</v>
      </c>
      <c r="F24" s="128"/>
      <c r="G24" s="52"/>
    </row>
    <row r="25" spans="1:7" s="43" customFormat="1" outlineLevel="1">
      <c r="B25" s="218" t="s">
        <v>298</v>
      </c>
      <c r="C25" s="215" t="s">
        <v>519</v>
      </c>
      <c r="D25" s="252">
        <f>'Diferencia en cambio'!$I$118</f>
        <v>5149.34</v>
      </c>
      <c r="E25" s="217">
        <f>$D$25/'Diferencia en cambio'!$L$118</f>
        <v>686.12962962962968</v>
      </c>
      <c r="F25" s="128"/>
      <c r="G25" s="52"/>
    </row>
    <row r="26" spans="1:7" s="43" customFormat="1" outlineLevel="1">
      <c r="B26" s="218" t="s">
        <v>298</v>
      </c>
      <c r="C26" s="215" t="s">
        <v>514</v>
      </c>
      <c r="D26" s="252">
        <f>'Diferencia en cambio'!$I$107</f>
        <v>41917.185226392874</v>
      </c>
      <c r="E26" s="217">
        <f>D26/'Diferencia en cambio'!$L$107</f>
        <v>5531.49</v>
      </c>
      <c r="F26" s="128"/>
      <c r="G26" s="52"/>
    </row>
    <row r="27" spans="1:7" s="43" customFormat="1" outlineLevel="1">
      <c r="B27" s="218" t="s">
        <v>298</v>
      </c>
      <c r="C27" s="215" t="s">
        <v>515</v>
      </c>
      <c r="D27" s="252">
        <f>'Diferencia en cambio'!$I$108</f>
        <v>50138.924628114153</v>
      </c>
      <c r="E27" s="217">
        <f>D27/'Diferencia en cambio'!$L$108</f>
        <v>6616.45</v>
      </c>
      <c r="F27" s="128"/>
      <c r="G27" s="52"/>
    </row>
    <row r="28" spans="1:7" s="43" customFormat="1" ht="14.25" customHeight="1" outlineLevel="1">
      <c r="B28" s="218" t="s">
        <v>298</v>
      </c>
      <c r="C28" s="215" t="s">
        <v>516</v>
      </c>
      <c r="D28" s="252">
        <f>'Diferencia en cambio'!$I$109</f>
        <v>18798.620365030954</v>
      </c>
      <c r="E28" s="217">
        <f>D28/'Diferencia en cambio'!$L$109</f>
        <v>2480.71</v>
      </c>
      <c r="F28" s="128"/>
      <c r="G28" s="52"/>
    </row>
    <row r="29" spans="1:7" s="43" customFormat="1" outlineLevel="1">
      <c r="B29" s="218" t="s">
        <v>298</v>
      </c>
      <c r="C29" s="215" t="s">
        <v>831</v>
      </c>
      <c r="D29" s="252">
        <f>'Diferencia en cambio'!$I$110</f>
        <v>27163.809780462027</v>
      </c>
      <c r="E29" s="217">
        <f>D29/'Diferencia en cambio'!$L$110</f>
        <v>3584.6</v>
      </c>
      <c r="F29" s="128"/>
      <c r="G29" s="52"/>
    </row>
    <row r="30" spans="1:7" s="43" customFormat="1" outlineLevel="1">
      <c r="A30" s="50"/>
      <c r="B30" s="218" t="s">
        <v>298</v>
      </c>
      <c r="C30" s="215" t="s">
        <v>882</v>
      </c>
      <c r="D30" s="252">
        <f>'Diferencia en cambio'!I119</f>
        <v>63313.168344087608</v>
      </c>
      <c r="E30" s="217">
        <f>$D$30/'Diferencia en cambio'!$L$119</f>
        <v>8334.2800000000007</v>
      </c>
      <c r="F30" s="128"/>
      <c r="G30" s="184"/>
    </row>
    <row r="31" spans="1:7" s="43" customFormat="1" outlineLevel="1">
      <c r="A31" s="50"/>
      <c r="B31" s="218" t="s">
        <v>298</v>
      </c>
      <c r="C31" s="215" t="s">
        <v>885</v>
      </c>
      <c r="D31" s="252">
        <f>'Diferencia en cambio'!I120</f>
        <v>24600.511655912374</v>
      </c>
      <c r="E31" s="217">
        <f>$D$31/'Diferencia en cambio'!$L$120</f>
        <v>3238.3082010582011</v>
      </c>
      <c r="F31" s="128"/>
      <c r="G31" s="184"/>
    </row>
    <row r="32" spans="1:7" s="43" customFormat="1" outlineLevel="1">
      <c r="A32" s="50"/>
      <c r="B32" s="218" t="s">
        <v>298</v>
      </c>
      <c r="C32" s="215" t="s">
        <v>858</v>
      </c>
      <c r="D32" s="252">
        <f>'Diferencia en cambio'!I121</f>
        <v>2518.0700000000002</v>
      </c>
      <c r="E32" s="217">
        <f>$D$32/'Diferencia en cambio'!$L$121</f>
        <v>339.85</v>
      </c>
      <c r="F32" s="128"/>
      <c r="G32" s="184"/>
    </row>
    <row r="33" spans="2:19" s="43" customFormat="1" ht="15.75">
      <c r="B33" s="46"/>
      <c r="C33" s="55" t="s">
        <v>136</v>
      </c>
      <c r="D33" s="123" t="e">
        <f>SUBTOTAL(9,D9:D32)</f>
        <v>#REF!</v>
      </c>
      <c r="E33" s="124" t="e">
        <f>SUBTOTAL(9,E9:E32)</f>
        <v>#REF!</v>
      </c>
      <c r="F33" s="56"/>
      <c r="G33" s="56"/>
      <c r="J33" s="52"/>
      <c r="K33" s="57"/>
      <c r="O33" s="58"/>
      <c r="P33" s="59"/>
      <c r="Q33" s="53"/>
    </row>
    <row r="34" spans="2:19" s="43" customFormat="1" ht="15.75">
      <c r="B34" s="46"/>
      <c r="C34" s="60"/>
      <c r="D34" s="61"/>
      <c r="E34" s="61"/>
      <c r="G34" s="62"/>
      <c r="O34" s="59"/>
      <c r="P34" s="59"/>
    </row>
    <row r="35" spans="2:19" s="43" customFormat="1" ht="15.75">
      <c r="B35" s="46"/>
      <c r="N35" s="63"/>
      <c r="O35" s="64"/>
      <c r="P35" s="65"/>
    </row>
    <row r="36" spans="2:19" s="43" customFormat="1" ht="15.75">
      <c r="B36" s="432" t="s">
        <v>137</v>
      </c>
      <c r="C36" s="432"/>
      <c r="D36" s="432" t="s">
        <v>854</v>
      </c>
      <c r="E36" s="432"/>
      <c r="K36" s="65"/>
      <c r="L36" s="65"/>
      <c r="N36" s="63"/>
      <c r="R36" s="52"/>
      <c r="S36" s="52"/>
    </row>
    <row r="37" spans="2:19" s="43" customFormat="1" ht="16.5" thickBot="1">
      <c r="B37" s="67" t="s">
        <v>81</v>
      </c>
      <c r="C37" s="68" t="s">
        <v>106</v>
      </c>
      <c r="D37" s="110" t="s">
        <v>168</v>
      </c>
      <c r="E37" s="110" t="s">
        <v>169</v>
      </c>
      <c r="F37" s="69" t="s">
        <v>140</v>
      </c>
      <c r="G37" s="63" t="s">
        <v>141</v>
      </c>
      <c r="H37" s="63"/>
      <c r="I37" s="63"/>
      <c r="J37" s="70" t="s">
        <v>142</v>
      </c>
      <c r="N37" s="71"/>
      <c r="R37" s="52"/>
      <c r="S37" s="72"/>
    </row>
    <row r="38" spans="2:19" s="43" customFormat="1" ht="16.5" thickBot="1">
      <c r="B38" s="46"/>
      <c r="C38" s="73" t="s">
        <v>155</v>
      </c>
      <c r="D38" s="103">
        <f>SUBTOTAL(9,D39:D39)</f>
        <v>71657.91</v>
      </c>
      <c r="E38" s="112">
        <f>SUBTOTAL(9,E39:E39)</f>
        <v>9403.9251968503941</v>
      </c>
      <c r="F38" s="74"/>
      <c r="J38" s="76"/>
    </row>
    <row r="39" spans="2:19" s="43" customFormat="1" ht="15.75" outlineLevel="1" thickBot="1">
      <c r="B39" s="168">
        <v>547520</v>
      </c>
      <c r="C39" s="78" t="s">
        <v>859</v>
      </c>
      <c r="D39" s="104">
        <v>71657.91</v>
      </c>
      <c r="E39" s="115">
        <f>D39/$D$6</f>
        <v>9403.9251968503941</v>
      </c>
      <c r="F39" s="80">
        <v>45819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8</v>
      </c>
      <c r="J39" s="75">
        <f>H39</f>
        <v>0</v>
      </c>
      <c r="K39" s="52"/>
      <c r="L39" s="52"/>
    </row>
    <row r="40" spans="2:19" s="43" customFormat="1" ht="16.5" thickBot="1">
      <c r="B40" s="46"/>
      <c r="C40" s="73" t="s">
        <v>144</v>
      </c>
      <c r="D40" s="103">
        <f>SUBTOTAL(9,D41:D42)</f>
        <v>22843.02</v>
      </c>
      <c r="E40" s="112">
        <f>SUBTOTAL(9,E41:E42)</f>
        <v>2995.5526128608926</v>
      </c>
      <c r="J40" s="76">
        <f t="shared" ref="J40:J48" si="0">H40</f>
        <v>0</v>
      </c>
    </row>
    <row r="41" spans="2:19" s="43" customFormat="1" outlineLevel="1">
      <c r="B41" s="168">
        <v>47062711994</v>
      </c>
      <c r="C41" s="47" t="s">
        <v>313</v>
      </c>
      <c r="D41" s="104">
        <v>20761.43</v>
      </c>
      <c r="E41" s="115">
        <f>D41/$D$6</f>
        <v>2724.5971128608926</v>
      </c>
      <c r="F41" s="80">
        <v>45819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8</v>
      </c>
      <c r="J41" s="75">
        <f>H41</f>
        <v>0</v>
      </c>
      <c r="K41" s="48"/>
      <c r="L41" s="57"/>
    </row>
    <row r="42" spans="2:19" s="43" customFormat="1" ht="15.75" outlineLevel="1" thickBot="1">
      <c r="B42" s="168">
        <v>47053058373</v>
      </c>
      <c r="C42" s="47" t="s">
        <v>855</v>
      </c>
      <c r="D42" s="104">
        <v>2081.59</v>
      </c>
      <c r="E42" s="115">
        <f>1806.37*15%</f>
        <v>270.95549999999997</v>
      </c>
      <c r="F42" s="80">
        <v>45819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8</v>
      </c>
      <c r="J42" s="75">
        <f>H42</f>
        <v>0</v>
      </c>
      <c r="K42" s="48"/>
      <c r="L42" s="57"/>
    </row>
    <row r="43" spans="2:19" s="43" customFormat="1" ht="16.5" thickBot="1">
      <c r="B43" s="46"/>
      <c r="C43" s="73" t="s">
        <v>163</v>
      </c>
      <c r="D43" s="103">
        <f>SUBTOTAL(9,D44:D48)</f>
        <v>4264.08</v>
      </c>
      <c r="E43" s="112">
        <f>SUBTOTAL(9,E44:E48)</f>
        <v>559.59055118110246</v>
      </c>
      <c r="J43" s="76">
        <f t="shared" si="0"/>
        <v>0</v>
      </c>
      <c r="K43" s="52"/>
      <c r="L43" s="52"/>
    </row>
    <row r="44" spans="2:19" s="43" customFormat="1" outlineLevel="1">
      <c r="B44" s="46"/>
      <c r="C44" s="47" t="s">
        <v>856</v>
      </c>
      <c r="D44" s="109">
        <v>929.32</v>
      </c>
      <c r="E44" s="113">
        <f t="shared" ref="E44:E48" si="1">D44/$D$6</f>
        <v>121.95800524934384</v>
      </c>
      <c r="F44" s="74">
        <v>45828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15</v>
      </c>
      <c r="J44" s="75">
        <f t="shared" si="0"/>
        <v>0</v>
      </c>
      <c r="N44" s="49"/>
    </row>
    <row r="45" spans="2:19" s="43" customFormat="1" outlineLevel="1">
      <c r="B45" s="46"/>
      <c r="C45" s="47" t="s">
        <v>869</v>
      </c>
      <c r="D45" s="109">
        <v>106</v>
      </c>
      <c r="E45" s="113">
        <f t="shared" ref="E45" si="2">D45/$D$6</f>
        <v>13.910761154855642</v>
      </c>
      <c r="F45" s="74">
        <v>45828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15</v>
      </c>
      <c r="J45" s="75">
        <f t="shared" ref="J45" si="3">H45</f>
        <v>0</v>
      </c>
      <c r="N45" s="49"/>
    </row>
    <row r="46" spans="2:19" s="43" customFormat="1" ht="30" outlineLevel="1">
      <c r="B46" s="46"/>
      <c r="C46" s="47" t="s">
        <v>868</v>
      </c>
      <c r="D46" s="109">
        <v>929.76</v>
      </c>
      <c r="E46" s="113">
        <f t="shared" ref="E46" si="4">D46/$D$6</f>
        <v>122.01574803149606</v>
      </c>
      <c r="F46" s="74">
        <v>45828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15</v>
      </c>
      <c r="J46" s="75">
        <f t="shared" ref="J46" si="5">H46</f>
        <v>0</v>
      </c>
      <c r="N46" s="49"/>
    </row>
    <row r="47" spans="2:19" s="43" customFormat="1" ht="30" outlineLevel="1">
      <c r="B47" s="84" t="s">
        <v>891</v>
      </c>
      <c r="C47" s="47" t="s">
        <v>857</v>
      </c>
      <c r="D47" s="109">
        <v>2299</v>
      </c>
      <c r="E47" s="113">
        <f t="shared" si="1"/>
        <v>301.70603674540683</v>
      </c>
      <c r="F47" s="74">
        <v>45834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19</v>
      </c>
      <c r="J47" s="75">
        <f t="shared" si="0"/>
        <v>0</v>
      </c>
      <c r="N47" s="49"/>
    </row>
    <row r="48" spans="2:19" s="43" customFormat="1" ht="30.75" outlineLevel="1" thickBot="1">
      <c r="B48" s="46"/>
      <c r="C48" s="47" t="s">
        <v>801</v>
      </c>
      <c r="D48" s="109">
        <f>2000*0</f>
        <v>0</v>
      </c>
      <c r="E48" s="113">
        <f t="shared" si="1"/>
        <v>0</v>
      </c>
      <c r="F48" s="74">
        <v>45856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34</v>
      </c>
      <c r="J48" s="75">
        <f t="shared" si="0"/>
        <v>0</v>
      </c>
      <c r="M48" s="63" t="s">
        <v>379</v>
      </c>
      <c r="N48" s="49"/>
    </row>
    <row r="49" spans="2:16" s="43" customFormat="1" ht="16.5" thickBot="1">
      <c r="C49" s="73" t="s">
        <v>146</v>
      </c>
      <c r="D49" s="103">
        <f>SUBTOTAL(9,D50:D58)</f>
        <v>9947.2294000000002</v>
      </c>
      <c r="E49" s="112">
        <f>SUBTOTAL(9,E50:E58)</f>
        <v>1305.4106824146982</v>
      </c>
      <c r="K49" s="49"/>
      <c r="L49" s="49"/>
      <c r="O49" s="49"/>
      <c r="P49" s="49"/>
    </row>
    <row r="50" spans="2:16" s="43" customFormat="1" ht="14.25" customHeight="1" outlineLevel="1">
      <c r="B50" s="186" t="s">
        <v>746</v>
      </c>
      <c r="C50" s="210" t="s">
        <v>272</v>
      </c>
      <c r="D50" s="104">
        <f>E50*$D$6</f>
        <v>419.63339999999999</v>
      </c>
      <c r="E50" s="270">
        <v>55.07</v>
      </c>
      <c r="F50" s="74">
        <v>45834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19</v>
      </c>
      <c r="J50" s="75">
        <f t="shared" ref="J50:J58" si="6">H50</f>
        <v>0</v>
      </c>
      <c r="K50" s="49"/>
      <c r="L50" s="49"/>
      <c r="O50" s="49"/>
      <c r="P50" s="49"/>
    </row>
    <row r="51" spans="2:16" s="43" customFormat="1" outlineLevel="1">
      <c r="B51" s="186" t="s">
        <v>745</v>
      </c>
      <c r="C51" s="210" t="s">
        <v>273</v>
      </c>
      <c r="D51" s="104">
        <f>E51*$D$6</f>
        <v>1977.1614000000002</v>
      </c>
      <c r="E51" s="270">
        <v>259.47000000000003</v>
      </c>
      <c r="F51" s="74">
        <v>45834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19</v>
      </c>
      <c r="J51" s="75">
        <f t="shared" si="6"/>
        <v>0</v>
      </c>
    </row>
    <row r="52" spans="2:16" s="43" customFormat="1" outlineLevel="1">
      <c r="B52" s="186" t="s">
        <v>745</v>
      </c>
      <c r="C52" s="210" t="s">
        <v>274</v>
      </c>
      <c r="D52" s="104">
        <f>E52*$D$6</f>
        <v>1564.6146000000001</v>
      </c>
      <c r="E52" s="270">
        <v>205.33</v>
      </c>
      <c r="F52" s="74">
        <v>45834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19</v>
      </c>
      <c r="J52" s="75">
        <f t="shared" si="6"/>
        <v>0</v>
      </c>
    </row>
    <row r="53" spans="2:16" s="43" customFormat="1" ht="14.25" customHeight="1" outlineLevel="1">
      <c r="B53" s="251" t="s">
        <v>745</v>
      </c>
      <c r="C53" s="209" t="s">
        <v>826</v>
      </c>
      <c r="D53" s="268">
        <v>433.25</v>
      </c>
      <c r="E53" s="113">
        <f t="shared" ref="E53:E58" si="7">D53/$D$6</f>
        <v>56.856955380577425</v>
      </c>
      <c r="F53" s="74">
        <v>45834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19</v>
      </c>
      <c r="J53" s="75">
        <f>H53</f>
        <v>0</v>
      </c>
      <c r="K53" s="49"/>
      <c r="L53" s="49"/>
      <c r="O53" s="49"/>
      <c r="P53" s="49"/>
    </row>
    <row r="54" spans="2:16" s="43" customFormat="1" ht="14.25" customHeight="1" outlineLevel="1">
      <c r="B54" s="251" t="s">
        <v>745</v>
      </c>
      <c r="C54" s="209" t="s">
        <v>827</v>
      </c>
      <c r="D54" s="268">
        <v>722.42</v>
      </c>
      <c r="E54" s="113">
        <f t="shared" si="7"/>
        <v>94.80577427821521</v>
      </c>
      <c r="F54" s="74">
        <v>45834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19</v>
      </c>
      <c r="J54" s="75">
        <f>H54</f>
        <v>0</v>
      </c>
      <c r="K54" s="49"/>
      <c r="L54" s="49"/>
      <c r="O54" s="49"/>
      <c r="P54" s="49"/>
    </row>
    <row r="55" spans="2:16" s="43" customFormat="1" ht="14.25" customHeight="1" outlineLevel="1">
      <c r="B55" s="251" t="s">
        <v>745</v>
      </c>
      <c r="C55" s="209" t="s">
        <v>825</v>
      </c>
      <c r="D55" s="269">
        <v>861.81</v>
      </c>
      <c r="E55" s="113">
        <f t="shared" si="7"/>
        <v>113.09842519685039</v>
      </c>
      <c r="F55" s="74">
        <v>45834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19</v>
      </c>
      <c r="J55" s="75">
        <f>H55</f>
        <v>0</v>
      </c>
      <c r="K55" s="49"/>
      <c r="L55" s="49"/>
      <c r="O55" s="49"/>
      <c r="P55" s="49"/>
    </row>
    <row r="56" spans="2:16" s="43" customFormat="1" ht="14.25" customHeight="1" outlineLevel="1">
      <c r="B56" s="251" t="s">
        <v>745</v>
      </c>
      <c r="C56" s="209" t="s">
        <v>822</v>
      </c>
      <c r="D56" s="269">
        <v>943.23</v>
      </c>
      <c r="E56" s="113">
        <f t="shared" si="7"/>
        <v>123.78346456692914</v>
      </c>
      <c r="F56" s="74">
        <v>45834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si="6"/>
        <v>0</v>
      </c>
      <c r="K56" s="49"/>
      <c r="L56" s="49"/>
      <c r="O56" s="49"/>
      <c r="P56" s="49"/>
    </row>
    <row r="57" spans="2:16" s="43" customFormat="1" outlineLevel="1">
      <c r="B57" s="251" t="s">
        <v>745</v>
      </c>
      <c r="C57" s="209" t="s">
        <v>823</v>
      </c>
      <c r="D57" s="269">
        <v>1023.02</v>
      </c>
      <c r="E57" s="113">
        <f t="shared" si="7"/>
        <v>134.25459317585302</v>
      </c>
      <c r="F57" s="74">
        <v>45834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si="6"/>
        <v>0</v>
      </c>
    </row>
    <row r="58" spans="2:16" s="43" customFormat="1" ht="15.75" outlineLevel="1" thickBot="1">
      <c r="B58" s="251" t="s">
        <v>745</v>
      </c>
      <c r="C58" s="209" t="s">
        <v>824</v>
      </c>
      <c r="D58" s="269">
        <v>2002.09</v>
      </c>
      <c r="E58" s="113">
        <f t="shared" si="7"/>
        <v>262.74146981627297</v>
      </c>
      <c r="F58" s="74">
        <v>45834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6"/>
        <v>0</v>
      </c>
    </row>
    <row r="59" spans="2:16" s="43" customFormat="1" ht="16.5" thickBot="1">
      <c r="B59" s="82"/>
      <c r="C59" s="85" t="s">
        <v>162</v>
      </c>
      <c r="D59" s="119">
        <f>SUBTOTAL(9,D60:D61)</f>
        <v>0</v>
      </c>
      <c r="E59" s="114">
        <f>SUBTOTAL(9,E60:E61)</f>
        <v>0</v>
      </c>
      <c r="K59" s="52"/>
      <c r="M59" s="183"/>
      <c r="N59" s="183"/>
    </row>
    <row r="60" spans="2:16" s="43" customFormat="1" outlineLevel="1">
      <c r="B60" s="46"/>
      <c r="C60" s="47" t="s">
        <v>835</v>
      </c>
      <c r="D60" s="104">
        <f>E60*7.85</f>
        <v>0</v>
      </c>
      <c r="E60" s="115">
        <f>1806.37*0</f>
        <v>0</v>
      </c>
      <c r="F60" s="74">
        <v>45835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20</v>
      </c>
      <c r="J60" s="75">
        <f t="shared" ref="J60" si="8">H60</f>
        <v>0</v>
      </c>
      <c r="M60" s="104"/>
      <c r="N60" s="49"/>
    </row>
    <row r="61" spans="2:16" s="43" customFormat="1" ht="15.75" outlineLevel="1" thickBot="1">
      <c r="B61" s="46"/>
      <c r="C61" s="47" t="s">
        <v>870</v>
      </c>
      <c r="D61" s="104">
        <f>E61*7.85</f>
        <v>0</v>
      </c>
      <c r="E61" s="115">
        <f>3196.43*0</f>
        <v>0</v>
      </c>
      <c r="F61" s="74">
        <v>45835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20</v>
      </c>
      <c r="J61" s="75">
        <f t="shared" ref="J61" si="9">H61</f>
        <v>0</v>
      </c>
      <c r="M61" s="104"/>
      <c r="N61" s="49"/>
    </row>
    <row r="62" spans="2:16" s="43" customFormat="1" ht="16.5" thickBot="1">
      <c r="B62" s="46"/>
      <c r="C62" s="73" t="s">
        <v>147</v>
      </c>
      <c r="D62" s="103">
        <f>SUBTOTAL(9,D63:D63)</f>
        <v>0</v>
      </c>
      <c r="E62" s="112">
        <f>SUBTOTAL(9,E63:E63)</f>
        <v>0</v>
      </c>
    </row>
    <row r="63" spans="2:16" s="43" customFormat="1" ht="15.75" outlineLevel="1" thickBot="1">
      <c r="B63" s="46"/>
      <c r="C63" s="47"/>
      <c r="D63" s="104"/>
      <c r="E63" s="113"/>
      <c r="F63" s="74">
        <v>45808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0</v>
      </c>
      <c r="J63" s="75">
        <f>H63</f>
        <v>0</v>
      </c>
    </row>
    <row r="64" spans="2:16" s="43" customFormat="1" ht="15.75" customHeight="1" thickBot="1">
      <c r="C64" s="73" t="s">
        <v>148</v>
      </c>
      <c r="D64" s="119">
        <f>SUBTOTAL(9,D65:D65)</f>
        <v>0</v>
      </c>
      <c r="E64" s="114">
        <f>SUBTOTAL(9,E65:E65)</f>
        <v>0</v>
      </c>
    </row>
    <row r="65" spans="2:15" s="43" customFormat="1" ht="15.75" outlineLevel="1" thickBot="1">
      <c r="B65" s="46"/>
      <c r="C65" s="47" t="s">
        <v>117</v>
      </c>
      <c r="D65" s="109">
        <v>0</v>
      </c>
      <c r="E65" s="115">
        <v>0</v>
      </c>
      <c r="F65" s="74">
        <v>45838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20</v>
      </c>
      <c r="J65" s="75">
        <f t="shared" ref="J65" si="10">H65</f>
        <v>0</v>
      </c>
    </row>
    <row r="66" spans="2:15" s="43" customFormat="1" ht="16.5" thickBot="1">
      <c r="C66" s="73" t="s">
        <v>164</v>
      </c>
      <c r="D66" s="119">
        <f>SUBTOTAL(9,D67:D85)</f>
        <v>808599.70000000019</v>
      </c>
      <c r="E66" s="114">
        <f>SUBTOTAL(9,E67:E85)</f>
        <v>106115.4461942257</v>
      </c>
      <c r="K66" s="52"/>
      <c r="L66" s="86"/>
      <c r="M66" s="109">
        <v>786699.81</v>
      </c>
      <c r="N66" s="109">
        <f>M66-D66</f>
        <v>-21899.89000000013</v>
      </c>
      <c r="O66" s="113">
        <f>N66/$D$6</f>
        <v>-2874.0013123359749</v>
      </c>
    </row>
    <row r="67" spans="2:15" s="43" customFormat="1" outlineLevel="1">
      <c r="B67" s="267" t="s">
        <v>887</v>
      </c>
      <c r="C67" s="47" t="s">
        <v>843</v>
      </c>
      <c r="D67" s="271">
        <v>21075.360000000001</v>
      </c>
      <c r="E67" s="115">
        <f t="shared" ref="E67:E82" si="11">D67/$D$6</f>
        <v>2765.7952755905512</v>
      </c>
      <c r="F67" s="74">
        <v>45834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19</v>
      </c>
      <c r="J67" s="75">
        <f t="shared" ref="J67:J79" si="12">H67</f>
        <v>0</v>
      </c>
      <c r="L67" s="52"/>
    </row>
    <row r="68" spans="2:15" s="43" customFormat="1" outlineLevel="1">
      <c r="B68" s="267" t="s">
        <v>887</v>
      </c>
      <c r="C68" s="47" t="s">
        <v>886</v>
      </c>
      <c r="D68" s="271">
        <v>46930.33</v>
      </c>
      <c r="E68" s="115">
        <f t="shared" si="11"/>
        <v>6158.8359580052493</v>
      </c>
      <c r="F68" s="74">
        <v>45834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19</v>
      </c>
      <c r="J68" s="75">
        <f t="shared" ref="J68" si="13">H68</f>
        <v>0</v>
      </c>
      <c r="L68" s="52"/>
    </row>
    <row r="69" spans="2:15" s="43" customFormat="1" outlineLevel="1">
      <c r="B69" s="267" t="s">
        <v>887</v>
      </c>
      <c r="C69" s="47" t="s">
        <v>176</v>
      </c>
      <c r="D69" s="271">
        <v>59859.61</v>
      </c>
      <c r="E69" s="115">
        <f t="shared" si="11"/>
        <v>7855.5918635170601</v>
      </c>
      <c r="F69" s="74">
        <v>45834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19</v>
      </c>
      <c r="J69" s="75">
        <f t="shared" si="12"/>
        <v>0</v>
      </c>
      <c r="L69" s="52"/>
    </row>
    <row r="70" spans="2:15" s="43" customFormat="1" outlineLevel="1">
      <c r="B70" s="267" t="s">
        <v>887</v>
      </c>
      <c r="C70" s="47" t="s">
        <v>829</v>
      </c>
      <c r="D70" s="271">
        <v>41242.58</v>
      </c>
      <c r="E70" s="115">
        <f t="shared" si="11"/>
        <v>5412.4120734908138</v>
      </c>
      <c r="F70" s="74">
        <v>45834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19</v>
      </c>
      <c r="J70" s="75">
        <f t="shared" si="12"/>
        <v>0</v>
      </c>
      <c r="L70" s="52"/>
    </row>
    <row r="71" spans="2:15" s="43" customFormat="1" outlineLevel="1">
      <c r="B71" s="267" t="s">
        <v>887</v>
      </c>
      <c r="C71" s="47" t="s">
        <v>902</v>
      </c>
      <c r="D71" s="271">
        <v>4124.79</v>
      </c>
      <c r="E71" s="115">
        <f t="shared" ref="E71" si="14">D71/$D$6</f>
        <v>541.31102362204729</v>
      </c>
      <c r="F71" s="74">
        <v>45840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22</v>
      </c>
      <c r="J71" s="75">
        <f t="shared" si="12"/>
        <v>0</v>
      </c>
      <c r="L71" s="52"/>
    </row>
    <row r="72" spans="2:15" s="43" customFormat="1" outlineLevel="1">
      <c r="B72" s="83" t="s">
        <v>892</v>
      </c>
      <c r="C72" s="47" t="s">
        <v>414</v>
      </c>
      <c r="D72" s="268">
        <v>141692</v>
      </c>
      <c r="E72" s="115">
        <f t="shared" si="11"/>
        <v>18594.75065616798</v>
      </c>
      <c r="F72" s="74">
        <v>45834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19</v>
      </c>
      <c r="J72" s="75">
        <f t="shared" si="12"/>
        <v>0</v>
      </c>
      <c r="L72" s="52"/>
    </row>
    <row r="73" spans="2:15" s="43" customFormat="1" outlineLevel="1">
      <c r="B73" s="83" t="s">
        <v>892</v>
      </c>
      <c r="C73" s="47" t="s">
        <v>797</v>
      </c>
      <c r="D73" s="268">
        <v>22950.28</v>
      </c>
      <c r="E73" s="115">
        <f t="shared" si="11"/>
        <v>3011.847769028871</v>
      </c>
      <c r="F73" s="74">
        <v>45834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19</v>
      </c>
      <c r="J73" s="75">
        <f t="shared" si="12"/>
        <v>0</v>
      </c>
      <c r="L73" s="52"/>
    </row>
    <row r="74" spans="2:15" s="43" customFormat="1" outlineLevel="1">
      <c r="B74" s="83" t="s">
        <v>892</v>
      </c>
      <c r="C74" s="47" t="s">
        <v>417</v>
      </c>
      <c r="D74" s="268">
        <v>25137</v>
      </c>
      <c r="E74" s="115">
        <f t="shared" si="11"/>
        <v>3298.8188976377951</v>
      </c>
      <c r="F74" s="74">
        <v>45834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19</v>
      </c>
      <c r="J74" s="75">
        <f t="shared" si="12"/>
        <v>0</v>
      </c>
      <c r="L74" s="52"/>
    </row>
    <row r="75" spans="2:15" s="43" customFormat="1" outlineLevel="1">
      <c r="B75" s="83" t="s">
        <v>892</v>
      </c>
      <c r="C75" s="47" t="s">
        <v>409</v>
      </c>
      <c r="D75" s="268">
        <v>28055</v>
      </c>
      <c r="E75" s="115">
        <f t="shared" si="11"/>
        <v>3681.7585301837271</v>
      </c>
      <c r="F75" s="74">
        <v>45834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19</v>
      </c>
      <c r="J75" s="75">
        <f t="shared" si="12"/>
        <v>0</v>
      </c>
      <c r="L75" s="52"/>
    </row>
    <row r="76" spans="2:15" s="43" customFormat="1" outlineLevel="1">
      <c r="B76" s="83" t="s">
        <v>892</v>
      </c>
      <c r="C76" s="47" t="s">
        <v>844</v>
      </c>
      <c r="D76" s="268">
        <v>29136</v>
      </c>
      <c r="E76" s="115">
        <f t="shared" si="11"/>
        <v>3823.6220472440946</v>
      </c>
      <c r="F76" s="74">
        <v>45834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19</v>
      </c>
      <c r="J76" s="75">
        <f t="shared" si="12"/>
        <v>0</v>
      </c>
      <c r="L76" s="52"/>
    </row>
    <row r="77" spans="2:15" s="43" customFormat="1" outlineLevel="1">
      <c r="B77" s="83" t="s">
        <v>892</v>
      </c>
      <c r="C77" s="47" t="s">
        <v>416</v>
      </c>
      <c r="D77" s="268">
        <v>161148</v>
      </c>
      <c r="E77" s="115">
        <f t="shared" si="11"/>
        <v>21148.031496062991</v>
      </c>
      <c r="F77" s="74">
        <v>45834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19</v>
      </c>
      <c r="J77" s="75">
        <f t="shared" si="12"/>
        <v>0</v>
      </c>
      <c r="L77" s="52"/>
    </row>
    <row r="78" spans="2:15" s="43" customFormat="1" outlineLevel="1">
      <c r="B78" s="83" t="s">
        <v>892</v>
      </c>
      <c r="C78" s="47" t="s">
        <v>412</v>
      </c>
      <c r="D78" s="268">
        <v>31573</v>
      </c>
      <c r="E78" s="115">
        <f t="shared" si="11"/>
        <v>4143.4383202099734</v>
      </c>
      <c r="F78" s="74">
        <v>45834</v>
      </c>
      <c r="G78" s="43" t="s">
        <v>135</v>
      </c>
      <c r="H78" s="43">
        <f>IF(OR(G78="Sin pagar",G78="Pagar"),NETWORKDAYS($E$4,F78,'Festivos Guatemala'!$A$3:$A$15),0)</f>
        <v>0</v>
      </c>
      <c r="I78" s="43">
        <f>NETWORKDAYS($E$4,F78,'Festivos Guatemala'!$A$3:$A$15)</f>
        <v>19</v>
      </c>
      <c r="J78" s="75">
        <f t="shared" si="12"/>
        <v>0</v>
      </c>
      <c r="L78" s="52"/>
    </row>
    <row r="79" spans="2:15" s="43" customFormat="1" outlineLevel="1">
      <c r="B79" s="83" t="s">
        <v>892</v>
      </c>
      <c r="C79" s="47" t="s">
        <v>413</v>
      </c>
      <c r="D79" s="268">
        <v>7500</v>
      </c>
      <c r="E79" s="115">
        <f t="shared" si="11"/>
        <v>984.25196850393695</v>
      </c>
      <c r="F79" s="74">
        <v>45834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19</v>
      </c>
      <c r="J79" s="75">
        <f t="shared" si="12"/>
        <v>0</v>
      </c>
      <c r="L79" s="52"/>
    </row>
    <row r="80" spans="2:15" s="43" customFormat="1" outlineLevel="1">
      <c r="B80" s="83" t="s">
        <v>892</v>
      </c>
      <c r="C80" s="47" t="s">
        <v>415</v>
      </c>
      <c r="D80" s="268">
        <v>59172</v>
      </c>
      <c r="E80" s="115">
        <f t="shared" si="11"/>
        <v>7765.3543307086611</v>
      </c>
      <c r="F80" s="74">
        <v>45834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19</v>
      </c>
      <c r="J80" s="75">
        <f>H80</f>
        <v>0</v>
      </c>
      <c r="L80" s="52"/>
    </row>
    <row r="81" spans="2:12" s="43" customFormat="1" outlineLevel="1">
      <c r="B81" s="83" t="s">
        <v>892</v>
      </c>
      <c r="C81" s="47" t="s">
        <v>410</v>
      </c>
      <c r="D81" s="268">
        <v>7500</v>
      </c>
      <c r="E81" s="115">
        <f t="shared" si="11"/>
        <v>984.25196850393695</v>
      </c>
      <c r="F81" s="74">
        <v>45834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19</v>
      </c>
      <c r="J81" s="75">
        <f t="shared" ref="J81:J84" si="15">H81</f>
        <v>0</v>
      </c>
      <c r="L81" s="52"/>
    </row>
    <row r="82" spans="2:12" s="43" customFormat="1" outlineLevel="1">
      <c r="B82" s="83" t="s">
        <v>892</v>
      </c>
      <c r="C82" s="47" t="s">
        <v>845</v>
      </c>
      <c r="D82" s="268">
        <v>29136.560000000001</v>
      </c>
      <c r="E82" s="115">
        <f t="shared" si="11"/>
        <v>3823.6955380577429</v>
      </c>
      <c r="F82" s="74">
        <v>45834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19</v>
      </c>
      <c r="J82" s="75">
        <f t="shared" si="15"/>
        <v>0</v>
      </c>
      <c r="L82" s="52"/>
    </row>
    <row r="83" spans="2:12" s="43" customFormat="1" outlineLevel="1">
      <c r="B83" s="83" t="s">
        <v>892</v>
      </c>
      <c r="C83" s="47" t="s">
        <v>418</v>
      </c>
      <c r="D83" s="268">
        <v>67085.649999999994</v>
      </c>
      <c r="E83" s="115">
        <f t="shared" ref="E83:E84" si="16">D83/$D$6</f>
        <v>8803.8910761154839</v>
      </c>
      <c r="F83" s="74">
        <v>45834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19</v>
      </c>
      <c r="J83" s="75">
        <f t="shared" si="15"/>
        <v>0</v>
      </c>
      <c r="L83" s="52"/>
    </row>
    <row r="84" spans="2:12" s="43" customFormat="1" ht="13.5" customHeight="1" outlineLevel="1">
      <c r="B84" s="83" t="s">
        <v>892</v>
      </c>
      <c r="C84" s="47" t="s">
        <v>411</v>
      </c>
      <c r="D84" s="268">
        <v>7500</v>
      </c>
      <c r="E84" s="115">
        <f t="shared" si="16"/>
        <v>984.25196850393695</v>
      </c>
      <c r="F84" s="74">
        <v>45834</v>
      </c>
      <c r="G84" s="43" t="s">
        <v>135</v>
      </c>
      <c r="H84" s="43">
        <f>IF(OR(G84="Sin pagar",G84="Pagar"),NETWORKDAYS($E$4,F84,'Festivos Guatemala'!$A$3:$A$15),0)</f>
        <v>0</v>
      </c>
      <c r="I84" s="43">
        <f>NETWORKDAYS($E$4,F84,'Festivos Guatemala'!$A$3:$A$15)</f>
        <v>19</v>
      </c>
      <c r="J84" s="75">
        <f t="shared" si="15"/>
        <v>0</v>
      </c>
      <c r="L84" s="52"/>
    </row>
    <row r="85" spans="2:12" s="43" customFormat="1" ht="13.5" customHeight="1" outlineLevel="1" thickBot="1">
      <c r="B85" s="83" t="s">
        <v>892</v>
      </c>
      <c r="C85" s="47" t="s">
        <v>901</v>
      </c>
      <c r="D85" s="268">
        <v>17781.54</v>
      </c>
      <c r="E85" s="115">
        <f t="shared" ref="E85" si="17">D85/$D$6</f>
        <v>2333.535433070866</v>
      </c>
      <c r="F85" s="74">
        <v>45840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22</v>
      </c>
      <c r="J85" s="75">
        <f t="shared" ref="J85" si="18">H85</f>
        <v>0</v>
      </c>
      <c r="L85" s="52"/>
    </row>
    <row r="86" spans="2:12" s="43" customFormat="1" ht="16.5" thickBot="1">
      <c r="B86" s="46"/>
      <c r="C86" s="73" t="s">
        <v>173</v>
      </c>
      <c r="D86" s="103">
        <f>SUBTOTAL(9,D87:D91)</f>
        <v>16122.820599999999</v>
      </c>
      <c r="E86" s="112">
        <f>SUBTOTAL(9,E87:E91)</f>
        <v>2115.855721784777</v>
      </c>
    </row>
    <row r="87" spans="2:12" s="43" customFormat="1" outlineLevel="1">
      <c r="B87" s="46"/>
      <c r="C87" s="210" t="s">
        <v>278</v>
      </c>
      <c r="D87" s="109">
        <f>E87*$D$6</f>
        <v>6116.4978000000001</v>
      </c>
      <c r="E87" s="115">
        <v>802.69</v>
      </c>
      <c r="F87" s="74">
        <v>45835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20</v>
      </c>
      <c r="J87" s="75">
        <f t="shared" ref="J87" si="19">H87</f>
        <v>0</v>
      </c>
      <c r="K87" s="52"/>
      <c r="L87" s="54"/>
    </row>
    <row r="88" spans="2:12" s="43" customFormat="1" outlineLevel="1">
      <c r="B88" s="46"/>
      <c r="C88" s="210" t="s">
        <v>846</v>
      </c>
      <c r="D88" s="109">
        <f>E88*$D$6</f>
        <v>826.31280000000004</v>
      </c>
      <c r="E88" s="115">
        <v>108.44</v>
      </c>
      <c r="F88" s="74">
        <v>45835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20</v>
      </c>
      <c r="J88" s="75">
        <f t="shared" ref="J88:J90" si="20">H88</f>
        <v>0</v>
      </c>
      <c r="K88" s="52"/>
      <c r="L88" s="54"/>
    </row>
    <row r="89" spans="2:12" s="43" customFormat="1" outlineLevel="1">
      <c r="B89" s="46"/>
      <c r="C89" s="209" t="s">
        <v>280</v>
      </c>
      <c r="D89" s="109">
        <v>6041.35</v>
      </c>
      <c r="E89" s="115">
        <f>D89/$D$6</f>
        <v>792.82808398950135</v>
      </c>
      <c r="F89" s="74">
        <v>45835</v>
      </c>
      <c r="G89" s="43" t="s">
        <v>135</v>
      </c>
      <c r="H89" s="43">
        <f>IF(OR(G89="Sin pagar",G89="Pagar"),NETWORKDAYS($E$4,F89,'Festivos Guatemala'!$A$3:$A$15),0)</f>
        <v>0</v>
      </c>
      <c r="I89" s="43">
        <f>NETWORKDAYS($E$4,F89,'Festivos Guatemala'!$A$3:$A$15)</f>
        <v>20</v>
      </c>
      <c r="J89" s="75">
        <f t="shared" si="20"/>
        <v>0</v>
      </c>
      <c r="K89" s="52"/>
      <c r="L89" s="54"/>
    </row>
    <row r="90" spans="2:12" s="43" customFormat="1" outlineLevel="1">
      <c r="B90" s="46"/>
      <c r="C90" s="209" t="s">
        <v>893</v>
      </c>
      <c r="D90" s="109">
        <v>1098</v>
      </c>
      <c r="E90" s="115">
        <f>D90/$D$6</f>
        <v>144.09448818897638</v>
      </c>
      <c r="F90" s="74">
        <v>45835</v>
      </c>
      <c r="G90" s="43" t="s">
        <v>135</v>
      </c>
      <c r="H90" s="43">
        <f>IF(OR(G90="Sin pagar",G90="Pagar"),NETWORKDAYS($E$4,F90,'Festivos Guatemala'!$A$3:$A$15),0)</f>
        <v>0</v>
      </c>
      <c r="I90" s="43">
        <f>NETWORKDAYS($E$4,F90,'Festivos Guatemala'!$A$3:$A$15)</f>
        <v>20</v>
      </c>
      <c r="J90" s="75">
        <f t="shared" si="20"/>
        <v>0</v>
      </c>
      <c r="K90" s="52"/>
      <c r="L90" s="54"/>
    </row>
    <row r="91" spans="2:12" s="43" customFormat="1" ht="15.75" outlineLevel="1" thickBot="1">
      <c r="B91" s="46"/>
      <c r="C91" s="209" t="s">
        <v>900</v>
      </c>
      <c r="D91" s="109">
        <v>2040.66</v>
      </c>
      <c r="E91" s="115">
        <f>D91/$D$6</f>
        <v>267.8031496062992</v>
      </c>
      <c r="F91" s="74">
        <v>45840</v>
      </c>
      <c r="G91" s="43" t="s">
        <v>135</v>
      </c>
      <c r="H91" s="43">
        <f>IF(OR(G91="Sin pagar",G91="Pagar"),NETWORKDAYS($E$4,F91,'Festivos Guatemala'!$A$3:$A$15),0)</f>
        <v>0</v>
      </c>
      <c r="I91" s="43">
        <f>NETWORKDAYS($E$4,F91,'Festivos Guatemala'!$A$3:$A$15)</f>
        <v>22</v>
      </c>
      <c r="J91" s="75">
        <f t="shared" ref="J91" si="21">H91</f>
        <v>0</v>
      </c>
      <c r="K91" s="52"/>
      <c r="L91" s="54"/>
    </row>
    <row r="92" spans="2:12" s="43" customFormat="1" ht="16.5" thickBot="1">
      <c r="B92" s="87"/>
      <c r="C92" s="73" t="s">
        <v>149</v>
      </c>
      <c r="D92" s="103">
        <f>SUBTOTAL(9,D93)</f>
        <v>0</v>
      </c>
      <c r="E92" s="112">
        <f>SUBTOTAL(9,E93)</f>
        <v>0</v>
      </c>
      <c r="L92" s="52"/>
    </row>
    <row r="93" spans="2:12" s="43" customFormat="1" ht="15.75" outlineLevel="1" thickBot="1">
      <c r="B93" s="46"/>
      <c r="C93" s="47"/>
      <c r="D93" s="109"/>
      <c r="E93" s="115">
        <f>D93/$D$6</f>
        <v>0</v>
      </c>
      <c r="F93" s="74">
        <v>45808</v>
      </c>
      <c r="G93" s="43" t="s">
        <v>135</v>
      </c>
      <c r="H93" s="43">
        <f>IF(OR(G93="Sin pagar",G93="Pagar"),NETWORKDAYS($E$4,F93,'Festivos Guatemala'!$A$3:$A$15),0)</f>
        <v>0</v>
      </c>
      <c r="I93" s="43">
        <f>NETWORKDAYS($E$4,F93,'Festivos Guatemala'!$A$3:$A$15)</f>
        <v>0</v>
      </c>
      <c r="J93" s="75">
        <f>H93</f>
        <v>0</v>
      </c>
      <c r="K93" s="52"/>
      <c r="L93" s="54"/>
    </row>
    <row r="94" spans="2:12" s="43" customFormat="1" ht="16.5" thickBot="1">
      <c r="B94" s="46"/>
      <c r="C94" s="73" t="s">
        <v>638</v>
      </c>
      <c r="D94" s="103">
        <f>SUBTOTAL(9,D95:D96)</f>
        <v>1500</v>
      </c>
      <c r="E94" s="112">
        <f>SUBTOTAL(9,E95:E96)</f>
        <v>196.85039370078741</v>
      </c>
    </row>
    <row r="95" spans="2:12" s="43" customFormat="1" outlineLevel="1">
      <c r="B95" s="46">
        <v>3025685674</v>
      </c>
      <c r="C95" s="47" t="s">
        <v>833</v>
      </c>
      <c r="D95" s="109">
        <v>1500</v>
      </c>
      <c r="E95" s="115">
        <f>D95/$D$6</f>
        <v>196.85039370078741</v>
      </c>
      <c r="F95" s="74">
        <v>45828</v>
      </c>
      <c r="G95" s="43" t="s">
        <v>135</v>
      </c>
      <c r="H95" s="43">
        <f>IF(OR(G95="Sin pagar",G95="Pagar"),NETWORKDAYS($E$4,F95,'Festivos Guatemala'!$A$3:$A$15),0)</f>
        <v>0</v>
      </c>
      <c r="I95" s="43">
        <f>NETWORKDAYS($E$4,F95,'Festivos Guatemala'!$A$3:$A$15)</f>
        <v>15</v>
      </c>
      <c r="J95" s="75">
        <f>H95</f>
        <v>0</v>
      </c>
      <c r="K95" s="52"/>
      <c r="L95" s="54"/>
    </row>
    <row r="96" spans="2:12" s="43" customFormat="1" ht="15.75" outlineLevel="1" thickBot="1">
      <c r="B96" s="46"/>
      <c r="C96" s="47" t="s">
        <v>639</v>
      </c>
      <c r="D96" s="109">
        <f>E96*$D$6</f>
        <v>0</v>
      </c>
      <c r="E96" s="115">
        <f>450*0</f>
        <v>0</v>
      </c>
      <c r="F96" s="74">
        <v>45838</v>
      </c>
      <c r="G96" s="43" t="s">
        <v>135</v>
      </c>
      <c r="H96" s="43">
        <f>IF(OR(G96="Sin pagar",G96="Pagar"),NETWORKDAYS($E$4,F96,'Festivos Guatemala'!$A$3:$A$15),0)</f>
        <v>0</v>
      </c>
      <c r="I96" s="43">
        <f>NETWORKDAYS($E$4,F96,'Festivos Guatemala'!$A$3:$A$15)</f>
        <v>20</v>
      </c>
      <c r="J96" s="75">
        <f t="shared" ref="J96" si="22">H96</f>
        <v>0</v>
      </c>
      <c r="K96" s="52"/>
      <c r="L96" s="54"/>
    </row>
    <row r="97" spans="1:16" s="43" customFormat="1" ht="14.25" customHeight="1">
      <c r="B97" s="46"/>
      <c r="C97" s="88" t="s">
        <v>150</v>
      </c>
      <c r="D97" s="120">
        <f>SUBTOTAL(9,D38:D96)</f>
        <v>934934.76000000013</v>
      </c>
      <c r="E97" s="116">
        <f>SUBTOTAL(9,E38:E96)</f>
        <v>122692.63135301838</v>
      </c>
      <c r="K97" s="39"/>
      <c r="L97" s="39"/>
      <c r="N97" s="39"/>
      <c r="O97" s="39"/>
      <c r="P97" s="39"/>
    </row>
    <row r="98" spans="1:16" ht="15.75">
      <c r="A98" s="43"/>
      <c r="E98" s="117"/>
      <c r="F98" s="89"/>
      <c r="G98" s="89"/>
      <c r="H98" s="89"/>
      <c r="I98" s="89"/>
      <c r="J98" s="89"/>
    </row>
    <row r="99" spans="1:16" ht="15.75">
      <c r="A99" s="43"/>
      <c r="C99" s="90" t="s">
        <v>151</v>
      </c>
      <c r="D99" s="121" t="e">
        <f>D33-D97</f>
        <v>#REF!</v>
      </c>
      <c r="E99" s="118" t="e">
        <f>E33-E97</f>
        <v>#REF!</v>
      </c>
      <c r="F99" s="226"/>
      <c r="G99" s="227"/>
      <c r="J99" s="227"/>
    </row>
    <row r="100" spans="1:16" s="93" customFormat="1" ht="15.75">
      <c r="A100" s="43"/>
      <c r="B100" s="94"/>
      <c r="C100" s="90" t="s">
        <v>152</v>
      </c>
      <c r="D100" s="95" t="e">
        <f>IF($D$33=0,0,D99/$D$33)</f>
        <v>#REF!</v>
      </c>
      <c r="E100" s="95" t="e">
        <f>IF($E$33=0,0,E99/$E$33)</f>
        <v>#REF!</v>
      </c>
      <c r="F100" s="96"/>
      <c r="G100" s="92"/>
      <c r="J100" s="97"/>
      <c r="K100" s="39"/>
      <c r="L100" s="39"/>
      <c r="N100" s="39"/>
      <c r="O100" s="39"/>
      <c r="P100" s="39"/>
    </row>
    <row r="101" spans="1:16" ht="15.75" thickBot="1">
      <c r="A101" s="43"/>
      <c r="F101" s="96"/>
      <c r="G101" s="92"/>
    </row>
    <row r="102" spans="1:16" ht="15.75" thickBot="1">
      <c r="A102" s="43"/>
      <c r="C102" s="135" t="s">
        <v>184</v>
      </c>
      <c r="D102" s="136" t="s">
        <v>185</v>
      </c>
      <c r="E102" s="137" t="s">
        <v>191</v>
      </c>
      <c r="F102" s="137" t="s">
        <v>186</v>
      </c>
      <c r="G102" s="92"/>
    </row>
    <row r="103" spans="1:16">
      <c r="A103" s="43"/>
      <c r="C103" s="187">
        <v>45809</v>
      </c>
      <c r="D103" s="188">
        <v>45816</v>
      </c>
      <c r="E103" s="189">
        <f>SUMIFS($D$38:$D$100,$F$38:$F$100,"&gt;="&amp;C103,$F$38:$F$100,"&lt;="&amp;D103,$G$38:$G$100,$D$116)</f>
        <v>0</v>
      </c>
      <c r="F103" s="190">
        <f>SUMIFS($E$38:$E$100,$F$38:$F$100,"&gt;="&amp;C103,$F$38:$F$100,"&lt;="&amp;D103,$G$38:$G$100,$D$116)</f>
        <v>0</v>
      </c>
      <c r="G103" s="92"/>
    </row>
    <row r="104" spans="1:16">
      <c r="A104" s="43"/>
      <c r="C104" s="191">
        <v>45817</v>
      </c>
      <c r="D104" s="260">
        <v>45823</v>
      </c>
      <c r="E104" s="193">
        <f>SUMIFS($D$38:$D$100,$F$38:$F$100,"&gt;="&amp;C104,$F$38:$F$100,"&lt;="&amp;D104,$G$38:$G$100,$D$116)</f>
        <v>0</v>
      </c>
      <c r="F104" s="194">
        <f>SUMIFS($E$38:$E$100,$F$38:$F$100,"&gt;="&amp;C104,$F$38:$F$100,"&lt;="&amp;D104,$G$38:$G$100,$D$116)</f>
        <v>0</v>
      </c>
      <c r="G104" s="92" t="s">
        <v>763</v>
      </c>
    </row>
    <row r="105" spans="1:16">
      <c r="A105" s="43"/>
      <c r="C105" s="191">
        <v>45824</v>
      </c>
      <c r="D105" s="192">
        <v>45830</v>
      </c>
      <c r="E105" s="193">
        <f>SUMIFS($D$38:$D$100,$F$38:$F$100,"&gt;="&amp;C105,$F$38:$F$100,"&lt;="&amp;D105,$G$38:$G$100,$D$116)</f>
        <v>0</v>
      </c>
      <c r="F105" s="194">
        <f>SUMIFS($E$38:$E$100,$F$38:$F$100,"&gt;="&amp;C105,$F$38:$F$100,"&lt;="&amp;D105,$G$38:$G$100,$D$116)</f>
        <v>0</v>
      </c>
      <c r="G105" s="92" t="s">
        <v>803</v>
      </c>
    </row>
    <row r="106" spans="1:16">
      <c r="A106" s="43"/>
      <c r="C106" s="191">
        <v>45831</v>
      </c>
      <c r="D106" s="192">
        <v>45838</v>
      </c>
      <c r="E106" s="193">
        <f>SUMIFS($D$38:$D$100,$F$38:$F$100,"&gt;="&amp;C106,$F$38:$F$100,"&lt;="&amp;D106,$G$38:$G$100,$D$116)</f>
        <v>0</v>
      </c>
      <c r="F106" s="194">
        <f>SUMIFS($E$38:$E$100,$F$38:$F$100,"&gt;="&amp;C106,$F$38:$F$100,"&lt;="&amp;D106,$G$38:$G$100,$D$116)</f>
        <v>0</v>
      </c>
      <c r="G106" s="92" t="s">
        <v>764</v>
      </c>
    </row>
    <row r="107" spans="1:16" ht="15.75" thickBot="1">
      <c r="A107" s="43"/>
      <c r="C107" s="195">
        <v>45839</v>
      </c>
      <c r="D107" s="196">
        <v>45840</v>
      </c>
      <c r="E107" s="197">
        <f>SUMIFS($D$38:$D$100,$F$38:$F$100,"&gt;="&amp;C107,$F$38:$F$100,"&lt;="&amp;D107,$G$38:$G$100,$D$116)</f>
        <v>0</v>
      </c>
      <c r="F107" s="198">
        <f>SUMIFS($E$38:$E$100,$F$38:$F$100,"&gt;="&amp;C107,$F$38:$F$100,"&lt;="&amp;D107,$G$38:$G$100,$D$116)</f>
        <v>0</v>
      </c>
      <c r="G107" s="92"/>
    </row>
    <row r="108" spans="1:16" ht="15.75">
      <c r="A108" s="43"/>
      <c r="C108" s="433" t="s">
        <v>187</v>
      </c>
      <c r="D108" s="433"/>
      <c r="E108" s="148">
        <f>SUM(E103:E107)</f>
        <v>0</v>
      </c>
      <c r="F108" s="144">
        <f>SUM(F103:F107)</f>
        <v>0</v>
      </c>
      <c r="G108" s="92"/>
    </row>
    <row r="109" spans="1:16">
      <c r="A109" s="43"/>
      <c r="F109" s="96"/>
      <c r="G109" s="92"/>
    </row>
    <row r="110" spans="1:16">
      <c r="A110" s="43"/>
      <c r="F110" s="96"/>
      <c r="G110" s="92"/>
    </row>
    <row r="111" spans="1:16">
      <c r="A111" s="43"/>
      <c r="C111" s="41"/>
      <c r="D111" s="41" t="s">
        <v>380</v>
      </c>
      <c r="E111" s="166">
        <f>'Caja QTQ'!$H$536+('Caja USD'!$H$225*$D$6)</f>
        <v>149563.38969999878</v>
      </c>
      <c r="F111" s="153">
        <f>('Caja QTQ'!$H$536/$D$6)+'Caja USD'!$H$225</f>
        <v>19627.741430446029</v>
      </c>
      <c r="G111" s="92"/>
    </row>
    <row r="112" spans="1:16">
      <c r="A112" s="43"/>
      <c r="D112" s="200" t="s">
        <v>878</v>
      </c>
      <c r="E112" s="166">
        <f>SUM(E103:E106)</f>
        <v>0</v>
      </c>
      <c r="F112" s="153">
        <f>SUM(F103:F106)</f>
        <v>0</v>
      </c>
      <c r="G112" s="92"/>
    </row>
    <row r="113" spans="1:10">
      <c r="A113" s="43"/>
      <c r="D113" s="146" t="s">
        <v>381</v>
      </c>
      <c r="E113" s="201">
        <f>E111-E112</f>
        <v>149563.38969999878</v>
      </c>
      <c r="F113" s="145">
        <f>F111-F112</f>
        <v>19627.741430446029</v>
      </c>
      <c r="G113" s="92"/>
      <c r="J113" s="167"/>
    </row>
    <row r="114" spans="1:10">
      <c r="A114" s="43"/>
      <c r="F114" s="96"/>
      <c r="G114" s="92"/>
    </row>
    <row r="115" spans="1:10">
      <c r="D115" s="43" t="s">
        <v>135</v>
      </c>
      <c r="E115" s="15">
        <f>SUMIFS($D$38:$D$110,$F$38:$F$110,"&gt;="&amp;C103,$F$38:$F$110,"&lt;="&amp;D107,$G$38:$G$110,$D$115)</f>
        <v>934934.76000000013</v>
      </c>
      <c r="F115" s="153">
        <f>SUMIFS($E$38:$E$110,$F$38:$F$110,"&gt;="&amp;C103,$F$38:$F$110,"&lt;="&amp;D107,$G$38:$G$110,$D$115)</f>
        <v>122692.63135301838</v>
      </c>
    </row>
    <row r="116" spans="1:10">
      <c r="D116" s="43" t="s">
        <v>143</v>
      </c>
      <c r="E116" s="15">
        <f>SUMIFS($D$38:$D$110,$F$38:$F$110,"&gt;="&amp;C103,$F$38:$F$110,"&lt;="&amp;D106,$G$38:$G$110,$D$116)</f>
        <v>0</v>
      </c>
      <c r="F116" s="153">
        <f>SUMIFS($E$38:$E$110,$F$38:$F$110,"&gt;="&amp;C103,$F$38:$F$110,"&lt;="&amp;D106,$G$38:$G$110,$D$116)</f>
        <v>0</v>
      </c>
    </row>
    <row r="117" spans="1:10">
      <c r="D117" s="146" t="s">
        <v>189</v>
      </c>
      <c r="E117" s="152">
        <f>SUM(E115:E116)</f>
        <v>934934.76000000013</v>
      </c>
      <c r="F117" s="145">
        <f>SUM(F115:F116)</f>
        <v>122692.63135301838</v>
      </c>
    </row>
    <row r="118" spans="1:10">
      <c r="D118" s="146" t="s">
        <v>190</v>
      </c>
      <c r="E118" s="152">
        <f>E117-D97</f>
        <v>0</v>
      </c>
      <c r="F118" s="145">
        <f>F117-E97</f>
        <v>0</v>
      </c>
    </row>
    <row r="120" spans="1:10" hidden="1">
      <c r="D120" s="41" t="s">
        <v>373</v>
      </c>
      <c r="E120" s="166" t="e">
        <f>D99</f>
        <v>#REF!</v>
      </c>
    </row>
    <row r="121" spans="1:10" hidden="1">
      <c r="D121" s="41" t="s">
        <v>339</v>
      </c>
      <c r="E121" s="166">
        <f>'Caja QTQ'!H167+('Caja USD'!H70*7.6)</f>
        <v>190098.56839999984</v>
      </c>
    </row>
    <row r="122" spans="1:10" hidden="1">
      <c r="D122" s="41" t="s">
        <v>85</v>
      </c>
      <c r="E122" s="166" t="e">
        <f>E120-E121</f>
        <v>#REF!</v>
      </c>
      <c r="F122" s="185" t="e">
        <f>E122/7.88</f>
        <v>#REF!</v>
      </c>
    </row>
    <row r="123" spans="1:10">
      <c r="F123" s="167"/>
    </row>
    <row r="124" spans="1:10">
      <c r="D124" s="41" t="s">
        <v>373</v>
      </c>
      <c r="E124" s="166" t="e">
        <f>D99</f>
        <v>#REF!</v>
      </c>
      <c r="F124" s="167"/>
    </row>
    <row r="125" spans="1:10">
      <c r="D125" s="41" t="s">
        <v>339</v>
      </c>
      <c r="E125" s="166">
        <f>('Caja QTQ'!J583+'Caja USD'!D228*$D$6)</f>
        <v>213530.07969999878</v>
      </c>
    </row>
    <row r="126" spans="1:10">
      <c r="D126" s="41" t="s">
        <v>444</v>
      </c>
      <c r="E126" s="166" t="e">
        <f>E124-E125</f>
        <v>#REF!</v>
      </c>
      <c r="F126" s="185"/>
    </row>
    <row r="127" spans="1:10">
      <c r="D127" s="41" t="s">
        <v>674</v>
      </c>
      <c r="E127" s="167" t="e">
        <f>E126/$D$6</f>
        <v>#REF!</v>
      </c>
    </row>
    <row r="133" spans="4:6">
      <c r="D133" s="109"/>
      <c r="E133" s="264"/>
      <c r="F133" s="227"/>
    </row>
    <row r="134" spans="4:6">
      <c r="D134" s="109"/>
      <c r="E134" s="264"/>
      <c r="F134" s="227"/>
    </row>
    <row r="135" spans="4:6">
      <c r="D135" s="109"/>
      <c r="E135" s="264"/>
      <c r="F135" s="227"/>
    </row>
    <row r="136" spans="4:6">
      <c r="D136" s="109"/>
      <c r="E136" s="264"/>
      <c r="F136" s="227"/>
    </row>
    <row r="137" spans="4:6">
      <c r="D137" s="109"/>
      <c r="E137" s="264"/>
      <c r="F137" s="227"/>
    </row>
    <row r="138" spans="4:6">
      <c r="D138" s="109"/>
      <c r="E138" s="264"/>
      <c r="F138" s="227"/>
    </row>
    <row r="139" spans="4:6">
      <c r="D139" s="109"/>
      <c r="E139" s="264"/>
      <c r="F139" s="227"/>
    </row>
    <row r="140" spans="4:6">
      <c r="D140" s="109"/>
      <c r="E140" s="264"/>
      <c r="F140" s="227"/>
    </row>
    <row r="141" spans="4:6">
      <c r="D141" s="109"/>
      <c r="E141" s="264"/>
      <c r="F141" s="227"/>
    </row>
    <row r="142" spans="4:6">
      <c r="D142" s="109"/>
      <c r="E142" s="264"/>
      <c r="F142" s="227"/>
    </row>
    <row r="143" spans="4:6">
      <c r="D143" s="109"/>
      <c r="E143" s="264"/>
      <c r="F143" s="227"/>
    </row>
    <row r="144" spans="4:6">
      <c r="D144" s="109"/>
      <c r="E144" s="264"/>
      <c r="F144" s="227"/>
    </row>
    <row r="145" spans="4:6">
      <c r="D145" s="109"/>
      <c r="E145" s="264"/>
      <c r="F145" s="227"/>
    </row>
    <row r="146" spans="4:6">
      <c r="D146" s="109"/>
      <c r="E146" s="264"/>
      <c r="F146" s="227"/>
    </row>
    <row r="147" spans="4:6">
      <c r="D147" s="109"/>
      <c r="E147" s="264"/>
      <c r="F147" s="227"/>
    </row>
    <row r="148" spans="4:6">
      <c r="D148" s="109"/>
      <c r="E148" s="264"/>
      <c r="F148" s="227"/>
    </row>
    <row r="149" spans="4:6">
      <c r="D149" s="109"/>
      <c r="E149" s="264"/>
      <c r="F149" s="227"/>
    </row>
  </sheetData>
  <protectedRanges>
    <protectedRange sqref="F33:G33 D101:E101 C111 D109:E114 D63:E63" name="Presupuestos"/>
    <protectedRange sqref="D37:E37 D8:E8" name="Presupuestos_1"/>
    <protectedRange sqref="D44:E48" name="Presupuestos_13_1"/>
    <protectedRange sqref="D50:E58 D60:D61" name="Presupuestos_14"/>
    <protectedRange sqref="D72 D135 D139 D137 D77 E67:E85" name="Presupuestos_2_1_1_1"/>
    <protectedRange sqref="D142 D80 D95:E96 D93:E93 D87:E91" name="Presupuestos_6_1_1_1"/>
    <protectedRange sqref="D133:D134 D136 D138 D140:D141 D143:D148 D73:D76 D78:D79 D81:D85 D67:D71" name="Presupuestos_5_2_1"/>
    <protectedRange sqref="E60:E61" name="Presupuestos_13_1_1"/>
    <protectedRange sqref="E65" name="Presupuestos_7_1_2"/>
    <protectedRange sqref="D65" name="Presupuestos_7_1_1_1"/>
    <protectedRange sqref="D10:E11" name="Presupuestos_2"/>
  </protectedRanges>
  <autoFilter ref="B37:J96" xr:uid="{00000000-0009-0000-0000-000002000000}"/>
  <mergeCells count="4">
    <mergeCell ref="D7:E7"/>
    <mergeCell ref="B36:C36"/>
    <mergeCell ref="D36:E36"/>
    <mergeCell ref="C108:D108"/>
  </mergeCells>
  <conditionalFormatting sqref="J39 J41:J42 J44:J48 J50:J58 J60:J61 J65 J67:J85 J87:J91 J95:J96">
    <cfRule type="cellIs" dxfId="124" priority="9" operator="lessThan">
      <formula>0</formula>
    </cfRule>
    <cfRule type="cellIs" dxfId="123" priority="10" operator="between">
      <formula>6</formula>
      <formula>15</formula>
    </cfRule>
    <cfRule type="cellIs" dxfId="122" priority="11" operator="between">
      <formula>1</formula>
      <formula>5</formula>
    </cfRule>
    <cfRule type="cellIs" dxfId="121" priority="12" operator="between">
      <formula>16</formula>
      <formula>60</formula>
    </cfRule>
  </conditionalFormatting>
  <conditionalFormatting sqref="J63">
    <cfRule type="cellIs" dxfId="120" priority="5" operator="lessThan">
      <formula>0</formula>
    </cfRule>
    <cfRule type="cellIs" dxfId="119" priority="6" operator="between">
      <formula>6</formula>
      <formula>15</formula>
    </cfRule>
    <cfRule type="cellIs" dxfId="118" priority="7" operator="between">
      <formula>1</formula>
      <formula>5</formula>
    </cfRule>
    <cfRule type="cellIs" dxfId="117" priority="8" operator="between">
      <formula>16</formula>
      <formula>60</formula>
    </cfRule>
  </conditionalFormatting>
  <conditionalFormatting sqref="J93">
    <cfRule type="cellIs" dxfId="116" priority="1" operator="lessThan">
      <formula>0</formula>
    </cfRule>
    <cfRule type="cellIs" dxfId="115" priority="2" operator="between">
      <formula>6</formula>
      <formula>15</formula>
    </cfRule>
    <cfRule type="cellIs" dxfId="114" priority="3" operator="between">
      <formula>1</formula>
      <formula>5</formula>
    </cfRule>
    <cfRule type="cellIs" dxfId="113" priority="4" operator="between">
      <formula>16</formula>
      <formula>60</formula>
    </cfRule>
  </conditionalFormatting>
  <dataValidations disablePrompts="1" count="3">
    <dataValidation type="list" allowBlank="1" showInputMessage="1" showErrorMessage="1" sqref="D36 D7" xr:uid="{200DA795-EF03-4926-A1BF-08256D6AA7B7}">
      <formula1>"ENERO,FEBRERO,MARZO,ABRIL,MAYO,JUNIO,JULIO,AGOSTO,SEPTIEMBRE,OCTUBRE,NOVIEMBRE,DICIEMBRE"</formula1>
    </dataValidation>
    <dataValidation type="list" allowBlank="1" showInputMessage="1" showErrorMessage="1" sqref="D115:D116 G60:G61 G41:G42 G65 G63 G93 G95:G96 G44:G48 G38:G39 G50:G58 G87:G91 G67:G85" xr:uid="{AA918A66-E1A6-4752-BBFD-1612725B3777}">
      <formula1>"Cancelado,Pagar,Sin Pagar"</formula1>
    </dataValidation>
    <dataValidation type="list" allowBlank="1" showInputMessage="1" showErrorMessage="1" sqref="B13:B32" xr:uid="{C3871CF1-0914-4825-95F2-CD2A21EFAF90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39:J67 J69:J70 J80:J84 J86:J90 J92:J95 J72:J78 J68 J79 J96 J91 J85 J71" unlockedFormula="1"/>
  </ignoredError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4350-FF91-4AD8-B6DA-D89FFFF71C0E}">
  <dimension ref="A1:S154"/>
  <sheetViews>
    <sheetView showGridLines="0" topLeftCell="A52" zoomScale="90" zoomScaleNormal="90" workbookViewId="0">
      <selection activeCell="E130" sqref="E130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9" hidden="1">
      <c r="D1" s="41">
        <v>42400</v>
      </c>
    </row>
    <row r="2" spans="2:9">
      <c r="D2" s="42"/>
      <c r="E2" s="42"/>
      <c r="I2" s="43"/>
    </row>
    <row r="3" spans="2:9">
      <c r="E3" s="15"/>
      <c r="I3" s="43"/>
    </row>
    <row r="4" spans="2:9" ht="15.75">
      <c r="B4" s="134"/>
      <c r="C4" s="134"/>
      <c r="D4" s="111" t="s">
        <v>139</v>
      </c>
      <c r="E4" s="66">
        <v>45839</v>
      </c>
      <c r="I4" s="43"/>
    </row>
    <row r="5" spans="2:9">
      <c r="D5" s="42"/>
      <c r="E5" s="42"/>
      <c r="I5" s="43"/>
    </row>
    <row r="6" spans="2:9">
      <c r="C6" s="98" t="s">
        <v>181</v>
      </c>
      <c r="D6" s="125">
        <v>7.62</v>
      </c>
      <c r="E6" s="42"/>
      <c r="I6" s="43"/>
    </row>
    <row r="7" spans="2:9" ht="15.75">
      <c r="C7" s="99"/>
      <c r="D7" s="432" t="s">
        <v>372</v>
      </c>
      <c r="E7" s="432"/>
      <c r="I7" s="43"/>
    </row>
    <row r="8" spans="2:9">
      <c r="D8" s="110" t="s">
        <v>168</v>
      </c>
      <c r="E8" s="110" t="s">
        <v>169</v>
      </c>
    </row>
    <row r="9" spans="2:9" s="44" customFormat="1" ht="15.75">
      <c r="C9" s="101" t="s">
        <v>133</v>
      </c>
      <c r="D9" s="126">
        <f>SUBTOTAL(9,D10:D12)</f>
        <v>238233.22969999877</v>
      </c>
      <c r="E9" s="122">
        <f>SUBTOTAL(9,E10:E13)</f>
        <v>31359.648254593012</v>
      </c>
      <c r="F9" s="45"/>
      <c r="I9" s="43"/>
    </row>
    <row r="10" spans="2:9" s="43" customFormat="1" outlineLevel="1">
      <c r="B10" s="46"/>
      <c r="C10" s="47" t="s">
        <v>153</v>
      </c>
      <c r="D10" s="15">
        <f>'Caja QTQ'!$J$583</f>
        <v>208127.95689999877</v>
      </c>
      <c r="E10" s="25">
        <f>D10/$D$6</f>
        <v>27313.380170603512</v>
      </c>
      <c r="F10" s="49"/>
    </row>
    <row r="11" spans="2:9" s="43" customFormat="1" outlineLevel="1">
      <c r="B11" s="46"/>
      <c r="C11" s="47" t="s">
        <v>154</v>
      </c>
      <c r="D11" s="15">
        <f>E11*D6</f>
        <v>5402.1227999999974</v>
      </c>
      <c r="E11" s="25">
        <f>'Caja USD'!$H$225</f>
        <v>708.9399999999996</v>
      </c>
      <c r="F11" s="49"/>
    </row>
    <row r="12" spans="2:9" s="43" customFormat="1" outlineLevel="1">
      <c r="B12" s="46"/>
      <c r="C12" s="47" t="s">
        <v>979</v>
      </c>
      <c r="D12" s="15">
        <v>24703.15</v>
      </c>
      <c r="E12" s="25">
        <f>D12/D6</f>
        <v>3241.8832020997379</v>
      </c>
      <c r="F12" s="49"/>
    </row>
    <row r="13" spans="2:9" s="43" customFormat="1" hidden="1" outlineLevel="1">
      <c r="B13" s="46"/>
      <c r="C13" s="47"/>
      <c r="D13" s="15">
        <v>727.29</v>
      </c>
      <c r="E13" s="25">
        <f>D13/D6</f>
        <v>95.444881889763778</v>
      </c>
      <c r="F13" s="49"/>
    </row>
    <row r="14" spans="2:9" s="43" customFormat="1" ht="15.75">
      <c r="B14" s="46"/>
      <c r="C14" s="102" t="s">
        <v>134</v>
      </c>
      <c r="D14" s="127">
        <f>SUBTOTAL(9,D15:D32)</f>
        <v>542190.83000000007</v>
      </c>
      <c r="E14" s="122">
        <f>SUBTOTAL(9,E15:E32)</f>
        <v>71744.558227513233</v>
      </c>
      <c r="F14" s="128"/>
    </row>
    <row r="15" spans="2:9" s="43" customFormat="1" outlineLevel="1">
      <c r="B15" s="51" t="s">
        <v>143</v>
      </c>
      <c r="C15" s="47" t="s">
        <v>821</v>
      </c>
      <c r="D15" s="261">
        <v>0</v>
      </c>
      <c r="E15" s="261">
        <v>0</v>
      </c>
      <c r="F15" s="128"/>
      <c r="G15" s="52"/>
    </row>
    <row r="16" spans="2:9" s="43" customFormat="1" outlineLevel="1">
      <c r="B16" s="218" t="s">
        <v>298</v>
      </c>
      <c r="C16" s="215" t="s">
        <v>905</v>
      </c>
      <c r="D16" s="252">
        <f>'Diferencia en cambio'!$I$116</f>
        <v>52901.94</v>
      </c>
      <c r="E16" s="217">
        <f>D16/'Diferencia en cambio'!$L$116</f>
        <v>7011.88</v>
      </c>
      <c r="F16" s="128"/>
      <c r="G16" s="52"/>
    </row>
    <row r="17" spans="1:7" s="43" customFormat="1" outlineLevel="1">
      <c r="A17" s="50"/>
      <c r="B17" s="51" t="s">
        <v>143</v>
      </c>
      <c r="C17" s="47" t="s">
        <v>517</v>
      </c>
      <c r="D17" s="171">
        <f>'Diferencia en cambio'!E127*0</f>
        <v>0</v>
      </c>
      <c r="E17" s="202">
        <f>D17/'Diferencia en cambio'!$D$127</f>
        <v>0</v>
      </c>
      <c r="F17" s="128"/>
      <c r="G17" s="184"/>
    </row>
    <row r="18" spans="1:7" s="43" customFormat="1" outlineLevel="1">
      <c r="A18" s="50"/>
      <c r="B18" s="51" t="s">
        <v>143</v>
      </c>
      <c r="C18" s="47" t="s">
        <v>517</v>
      </c>
      <c r="D18" s="171">
        <f>'Diferencia en cambio'!E128*0</f>
        <v>0</v>
      </c>
      <c r="E18" s="202">
        <f>D18/'Diferencia en cambio'!$D$127</f>
        <v>0</v>
      </c>
      <c r="F18" s="128"/>
      <c r="G18" s="184"/>
    </row>
    <row r="19" spans="1:7" s="43" customFormat="1" outlineLevel="1">
      <c r="A19" s="50"/>
      <c r="B19" s="218" t="s">
        <v>298</v>
      </c>
      <c r="C19" s="215" t="s">
        <v>906</v>
      </c>
      <c r="D19" s="252">
        <f>'Diferencia en cambio'!I129</f>
        <v>25902.886270187279</v>
      </c>
      <c r="E19" s="217">
        <f>D19/'Diferencia en cambio'!L129</f>
        <v>3404.4819444444447</v>
      </c>
      <c r="F19" s="128"/>
      <c r="G19" s="184"/>
    </row>
    <row r="20" spans="1:7" s="43" customFormat="1" outlineLevel="1">
      <c r="B20" s="218" t="s">
        <v>298</v>
      </c>
      <c r="C20" s="215" t="s">
        <v>519</v>
      </c>
      <c r="D20" s="252">
        <f>'Diferencia en cambio'!I130</f>
        <v>25731.695679824221</v>
      </c>
      <c r="E20" s="217">
        <f>D20/'Diferencia en cambio'!L130</f>
        <v>3381.9777777777781</v>
      </c>
      <c r="F20" s="128"/>
      <c r="G20" s="52"/>
    </row>
    <row r="21" spans="1:7" s="43" customFormat="1" outlineLevel="1">
      <c r="B21" s="218" t="s">
        <v>298</v>
      </c>
      <c r="C21" s="215" t="s">
        <v>518</v>
      </c>
      <c r="D21" s="252">
        <f>'Diferencia en cambio'!I131</f>
        <v>18323.860368927275</v>
      </c>
      <c r="E21" s="217">
        <f>D21/'Diferencia en cambio'!L131</f>
        <v>2408.3569444444443</v>
      </c>
      <c r="F21" s="128"/>
      <c r="G21" s="52"/>
    </row>
    <row r="22" spans="1:7" s="43" customFormat="1" outlineLevel="1">
      <c r="B22" s="218" t="s">
        <v>298</v>
      </c>
      <c r="C22" s="215" t="s">
        <v>818</v>
      </c>
      <c r="D22" s="252">
        <f>'Diferencia en cambio'!I132</f>
        <v>37436</v>
      </c>
      <c r="E22" s="217">
        <f>D22/'Diferencia en cambio'!L132</f>
        <v>4976.5749999999998</v>
      </c>
      <c r="F22" s="128"/>
      <c r="G22" s="52"/>
    </row>
    <row r="23" spans="1:7" s="43" customFormat="1" outlineLevel="1">
      <c r="B23" s="218" t="s">
        <v>298</v>
      </c>
      <c r="C23" s="215" t="s">
        <v>819</v>
      </c>
      <c r="D23" s="252">
        <f>'Diferencia en cambio'!I133</f>
        <v>45448.286607238479</v>
      </c>
      <c r="E23" s="217">
        <f>D23/'Diferencia en cambio'!L133</f>
        <v>5973.3722222222223</v>
      </c>
      <c r="F23" s="128"/>
      <c r="G23" s="52"/>
    </row>
    <row r="24" spans="1:7" s="43" customFormat="1" outlineLevel="1">
      <c r="B24" s="218" t="s">
        <v>298</v>
      </c>
      <c r="C24" s="215" t="s">
        <v>832</v>
      </c>
      <c r="D24" s="252">
        <f>'Diferencia en cambio'!I134</f>
        <v>74279.521073822776</v>
      </c>
      <c r="E24" s="217">
        <f>D24/'Diferencia en cambio'!L134</f>
        <v>9762.7444444444445</v>
      </c>
      <c r="F24" s="128"/>
      <c r="G24" s="52"/>
    </row>
    <row r="25" spans="1:7" s="43" customFormat="1" outlineLevel="1">
      <c r="B25" s="51" t="s">
        <v>298</v>
      </c>
      <c r="C25" s="47" t="s">
        <v>832</v>
      </c>
      <c r="D25" s="171">
        <f>'Diferencia en cambio'!E135*0</f>
        <v>0</v>
      </c>
      <c r="E25" s="202">
        <f>D25/'Diferencia en cambio'!D135</f>
        <v>0</v>
      </c>
      <c r="F25" s="128"/>
      <c r="G25" s="52"/>
    </row>
    <row r="26" spans="1:7" s="43" customFormat="1" outlineLevel="1">
      <c r="B26" s="51" t="s">
        <v>298</v>
      </c>
      <c r="C26" s="47" t="s">
        <v>929</v>
      </c>
      <c r="D26" s="171">
        <f>'Diferencia en cambio'!E136*0</f>
        <v>0</v>
      </c>
      <c r="E26" s="202">
        <f>D26/'Diferencia en cambio'!D136</f>
        <v>0</v>
      </c>
      <c r="F26" s="128"/>
      <c r="G26" s="52"/>
    </row>
    <row r="27" spans="1:7" s="43" customFormat="1" outlineLevel="1">
      <c r="B27" s="218" t="s">
        <v>298</v>
      </c>
      <c r="C27" s="215" t="s">
        <v>514</v>
      </c>
      <c r="D27" s="216">
        <f>'Diferencia en cambio'!$I$122</f>
        <v>41313.655460567963</v>
      </c>
      <c r="E27" s="225">
        <f>D27/'Diferencia en cambio'!$L$122</f>
        <v>5531.58</v>
      </c>
      <c r="F27" s="128"/>
      <c r="G27" s="52"/>
    </row>
    <row r="28" spans="1:7" s="43" customFormat="1" outlineLevel="1">
      <c r="B28" s="218" t="s">
        <v>298</v>
      </c>
      <c r="C28" s="215" t="s">
        <v>515</v>
      </c>
      <c r="D28" s="216">
        <f>'Diferencia en cambio'!$I$123</f>
        <v>49416.885212012909</v>
      </c>
      <c r="E28" s="225">
        <f>D28/'Diferencia en cambio'!$L$123</f>
        <v>6616.54</v>
      </c>
      <c r="F28" s="128"/>
      <c r="G28" s="52"/>
    </row>
    <row r="29" spans="1:7" s="43" customFormat="1" ht="14.25" customHeight="1" outlineLevel="1">
      <c r="B29" s="218" t="s">
        <v>298</v>
      </c>
      <c r="C29" s="215" t="s">
        <v>516</v>
      </c>
      <c r="D29" s="216">
        <f>'Diferencia en cambio'!$I$124</f>
        <v>18527.429564052534</v>
      </c>
      <c r="E29" s="225">
        <f>D29/'Diferencia en cambio'!$L$124</f>
        <v>2480.6799999999998</v>
      </c>
      <c r="F29" s="128"/>
      <c r="G29" s="52"/>
    </row>
    <row r="30" spans="1:7" s="43" customFormat="1" outlineLevel="1">
      <c r="B30" s="218" t="s">
        <v>298</v>
      </c>
      <c r="C30" s="215" t="s">
        <v>831</v>
      </c>
      <c r="D30" s="216">
        <f>'Diferencia en cambio'!$I$125</f>
        <v>30572.409763366613</v>
      </c>
      <c r="E30" s="225">
        <f>D30/'Diferencia en cambio'!$L$125</f>
        <v>4093.41</v>
      </c>
      <c r="F30" s="128"/>
      <c r="G30" s="52"/>
    </row>
    <row r="31" spans="1:7" s="43" customFormat="1" outlineLevel="1">
      <c r="A31" s="50"/>
      <c r="B31" s="218" t="s">
        <v>298</v>
      </c>
      <c r="C31" s="215" t="s">
        <v>931</v>
      </c>
      <c r="D31" s="252">
        <f>'Diferencia en cambio'!I137</f>
        <v>120779.43</v>
      </c>
      <c r="E31" s="217">
        <f>$D$31/'Diferencia en cambio'!$L$137</f>
        <v>15897.03</v>
      </c>
      <c r="F31" s="128"/>
      <c r="G31" s="184"/>
    </row>
    <row r="32" spans="1:7" s="43" customFormat="1" outlineLevel="1">
      <c r="A32" s="50"/>
      <c r="B32" s="218" t="s">
        <v>298</v>
      </c>
      <c r="C32" s="215" t="s">
        <v>937</v>
      </c>
      <c r="D32" s="252">
        <f>'Caja QTQ'!D556</f>
        <v>1556.83</v>
      </c>
      <c r="E32" s="217">
        <f>D32/7.56</f>
        <v>205.92989417989418</v>
      </c>
      <c r="F32" s="128"/>
      <c r="G32" s="184"/>
    </row>
    <row r="33" spans="2:19" s="43" customFormat="1" ht="15.75">
      <c r="B33" s="46"/>
      <c r="C33" s="276" t="s">
        <v>136</v>
      </c>
      <c r="D33" s="274">
        <f>SUBTOTAL(9,D9:D31)</f>
        <v>779594.51969999867</v>
      </c>
      <c r="E33" s="275">
        <f>SUBTOTAL(9,E9:E31)</f>
        <v>102898.27658792633</v>
      </c>
      <c r="F33" s="56"/>
      <c r="G33" s="56"/>
      <c r="J33" s="52"/>
      <c r="K33" s="57"/>
      <c r="O33" s="58"/>
      <c r="P33" s="59"/>
      <c r="Q33" s="53"/>
    </row>
    <row r="34" spans="2:19" s="43" customFormat="1" ht="15.75">
      <c r="B34" s="46"/>
      <c r="C34" s="60"/>
      <c r="D34" s="61"/>
      <c r="E34" s="61"/>
      <c r="G34" s="62"/>
      <c r="O34" s="59"/>
      <c r="P34" s="59"/>
    </row>
    <row r="35" spans="2:19" s="43" customFormat="1" ht="15.75">
      <c r="B35" s="46"/>
      <c r="N35" s="63"/>
      <c r="O35" s="64"/>
      <c r="P35" s="65"/>
    </row>
    <row r="36" spans="2:19" s="43" customFormat="1" ht="15.75">
      <c r="B36" s="432" t="s">
        <v>137</v>
      </c>
      <c r="C36" s="432"/>
      <c r="D36" s="432" t="s">
        <v>372</v>
      </c>
      <c r="E36" s="432"/>
      <c r="K36" s="65"/>
      <c r="L36" s="65"/>
      <c r="N36" s="63"/>
      <c r="R36" s="52"/>
      <c r="S36" s="52"/>
    </row>
    <row r="37" spans="2:19" s="43" customFormat="1" ht="16.5" thickBot="1">
      <c r="B37" s="67" t="s">
        <v>81</v>
      </c>
      <c r="C37" s="68" t="s">
        <v>106</v>
      </c>
      <c r="D37" s="110" t="s">
        <v>168</v>
      </c>
      <c r="E37" s="110" t="s">
        <v>169</v>
      </c>
      <c r="F37" s="69" t="s">
        <v>140</v>
      </c>
      <c r="G37" s="63" t="s">
        <v>141</v>
      </c>
      <c r="H37" s="63"/>
      <c r="I37" s="63"/>
      <c r="J37" s="70" t="s">
        <v>142</v>
      </c>
      <c r="N37" s="71"/>
      <c r="R37" s="52"/>
      <c r="S37" s="72"/>
    </row>
    <row r="38" spans="2:19" s="43" customFormat="1" ht="16.5" thickBot="1">
      <c r="B38" s="46"/>
      <c r="C38" s="73" t="s">
        <v>155</v>
      </c>
      <c r="D38" s="103">
        <f>SUBTOTAL(9,D39:D39)</f>
        <v>88155.61</v>
      </c>
      <c r="E38" s="112">
        <f>SUBTOTAL(9,E39:E39)</f>
        <v>11568.977690288713</v>
      </c>
      <c r="F38" s="74"/>
      <c r="J38" s="76"/>
    </row>
    <row r="39" spans="2:19" s="43" customFormat="1" ht="15.75" outlineLevel="1" thickBot="1">
      <c r="B39" s="168">
        <v>5535014</v>
      </c>
      <c r="C39" s="78" t="s">
        <v>859</v>
      </c>
      <c r="D39" s="104">
        <v>88155.61</v>
      </c>
      <c r="E39" s="115">
        <f>D39/$D$6</f>
        <v>11568.977690288713</v>
      </c>
      <c r="F39" s="80">
        <v>45847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7</v>
      </c>
      <c r="J39" s="75">
        <f>H39</f>
        <v>0</v>
      </c>
      <c r="K39" s="52"/>
      <c r="L39" s="52"/>
    </row>
    <row r="40" spans="2:19" s="43" customFormat="1" ht="16.5" thickBot="1">
      <c r="B40" s="46"/>
      <c r="C40" s="73" t="s">
        <v>144</v>
      </c>
      <c r="D40" s="103">
        <f>SUBTOTAL(9,D41:D43)</f>
        <v>40070.479999999996</v>
      </c>
      <c r="E40" s="112">
        <f>SUBTOTAL(9,E41:E43)</f>
        <v>5254.9815603674542</v>
      </c>
      <c r="J40" s="76">
        <f t="shared" ref="J40:J48" si="0">H40</f>
        <v>0</v>
      </c>
    </row>
    <row r="41" spans="2:19" s="43" customFormat="1" outlineLevel="1">
      <c r="B41" s="168">
        <v>47452872367</v>
      </c>
      <c r="C41" s="47" t="s">
        <v>334</v>
      </c>
      <c r="D41" s="104">
        <v>24841.439999999999</v>
      </c>
      <c r="E41" s="115">
        <f>D41/$D$6</f>
        <v>3260.0314960629921</v>
      </c>
      <c r="F41" s="80">
        <v>45849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9</v>
      </c>
      <c r="J41" s="75">
        <f>H41</f>
        <v>0</v>
      </c>
      <c r="K41" s="48"/>
      <c r="L41" s="57"/>
    </row>
    <row r="42" spans="2:19" s="43" customFormat="1" outlineLevel="1">
      <c r="B42" s="168">
        <v>47410487916</v>
      </c>
      <c r="C42" s="47" t="s">
        <v>907</v>
      </c>
      <c r="D42" s="104">
        <v>3681.04</v>
      </c>
      <c r="E42" s="115">
        <f>3196.43*15%</f>
        <v>479.46449999999993</v>
      </c>
      <c r="F42" s="80">
        <v>45849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9</v>
      </c>
      <c r="J42" s="75">
        <f>H42</f>
        <v>0</v>
      </c>
      <c r="K42" s="48"/>
      <c r="L42" s="57"/>
    </row>
    <row r="43" spans="2:19" s="43" customFormat="1" ht="15.75" outlineLevel="1" thickBot="1">
      <c r="B43" s="168">
        <v>47533562627</v>
      </c>
      <c r="C43" s="47" t="s">
        <v>936</v>
      </c>
      <c r="D43" s="104">
        <v>11548</v>
      </c>
      <c r="E43" s="115">
        <f>D43/$D$6</f>
        <v>1515.4855643044618</v>
      </c>
      <c r="F43" s="80">
        <v>45863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19</v>
      </c>
      <c r="J43" s="75">
        <f>H43</f>
        <v>0</v>
      </c>
      <c r="K43" s="48"/>
      <c r="L43" s="57"/>
    </row>
    <row r="44" spans="2:19" s="43" customFormat="1" ht="16.5" thickBot="1">
      <c r="B44" s="46"/>
      <c r="C44" s="73" t="s">
        <v>163</v>
      </c>
      <c r="D44" s="103">
        <f>SUBTOTAL(9,D45:D48)</f>
        <v>3383.21</v>
      </c>
      <c r="E44" s="112">
        <f>SUBTOTAL(9,E45:E48)</f>
        <v>443.99081364829397</v>
      </c>
      <c r="J44" s="76">
        <f t="shared" si="0"/>
        <v>0</v>
      </c>
      <c r="K44" s="52"/>
      <c r="L44" s="52"/>
    </row>
    <row r="45" spans="2:19" s="43" customFormat="1" outlineLevel="1">
      <c r="B45" s="46" t="s">
        <v>932</v>
      </c>
      <c r="C45" s="47" t="s">
        <v>908</v>
      </c>
      <c r="D45" s="109">
        <v>926.32</v>
      </c>
      <c r="E45" s="113">
        <f t="shared" ref="E45:E48" si="1">D45/$D$6</f>
        <v>121.56430446194226</v>
      </c>
      <c r="F45" s="74">
        <v>45866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20</v>
      </c>
      <c r="J45" s="75">
        <f t="shared" si="0"/>
        <v>0</v>
      </c>
      <c r="N45" s="49"/>
    </row>
    <row r="46" spans="2:19" s="43" customFormat="1" outlineLevel="1">
      <c r="B46" s="46" t="s">
        <v>934</v>
      </c>
      <c r="C46" s="47" t="s">
        <v>933</v>
      </c>
      <c r="D46" s="109">
        <v>157.88999999999999</v>
      </c>
      <c r="E46" s="113">
        <f t="shared" ref="E46" si="2">D46/$D$6</f>
        <v>20.720472440944881</v>
      </c>
      <c r="F46" s="74">
        <v>45866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20</v>
      </c>
      <c r="J46" s="75">
        <f t="shared" ref="J46" si="3">H46</f>
        <v>0</v>
      </c>
      <c r="N46" s="49"/>
    </row>
    <row r="47" spans="2:19" s="43" customFormat="1" ht="30" outlineLevel="1">
      <c r="B47" s="84" t="s">
        <v>935</v>
      </c>
      <c r="C47" s="47" t="s">
        <v>909</v>
      </c>
      <c r="D47" s="109">
        <v>2299</v>
      </c>
      <c r="E47" s="113">
        <f t="shared" si="1"/>
        <v>301.70603674540683</v>
      </c>
      <c r="F47" s="74">
        <v>45866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20</v>
      </c>
      <c r="J47" s="75">
        <f t="shared" si="0"/>
        <v>0</v>
      </c>
      <c r="N47" s="49"/>
    </row>
    <row r="48" spans="2:19" s="43" customFormat="1" ht="30.75" outlineLevel="1" thickBot="1">
      <c r="B48" s="46"/>
      <c r="C48" s="47" t="s">
        <v>801</v>
      </c>
      <c r="D48" s="109">
        <f>2000*0</f>
        <v>0</v>
      </c>
      <c r="E48" s="113">
        <f t="shared" si="1"/>
        <v>0</v>
      </c>
      <c r="F48" s="74">
        <v>45869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23</v>
      </c>
      <c r="J48" s="75">
        <f t="shared" si="0"/>
        <v>0</v>
      </c>
      <c r="M48" s="63" t="s">
        <v>379</v>
      </c>
      <c r="N48" s="49"/>
    </row>
    <row r="49" spans="2:16" s="43" customFormat="1" ht="16.5" thickBot="1">
      <c r="C49" s="73" t="s">
        <v>146</v>
      </c>
      <c r="D49" s="103">
        <f>SUBTOTAL(9,D50:D58)</f>
        <v>9947.2294000000002</v>
      </c>
      <c r="E49" s="112">
        <f>SUBTOTAL(9,E50:E58)</f>
        <v>1305.4106824146982</v>
      </c>
      <c r="F49" s="43" t="s">
        <v>725</v>
      </c>
      <c r="K49" s="49"/>
      <c r="L49" s="49"/>
      <c r="O49" s="49"/>
      <c r="P49" s="49"/>
    </row>
    <row r="50" spans="2:16" s="43" customFormat="1" ht="14.25" customHeight="1" outlineLevel="1">
      <c r="B50" s="186" t="s">
        <v>746</v>
      </c>
      <c r="C50" s="210" t="s">
        <v>272</v>
      </c>
      <c r="D50" s="104">
        <f>E50*$D$6</f>
        <v>419.63339999999999</v>
      </c>
      <c r="E50" s="270">
        <v>55.07</v>
      </c>
      <c r="F50" s="74">
        <v>45867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21</v>
      </c>
      <c r="J50" s="75">
        <f t="shared" ref="J50:J58" si="4">H50</f>
        <v>0</v>
      </c>
      <c r="K50" s="49"/>
      <c r="L50" s="49"/>
      <c r="O50" s="49"/>
      <c r="P50" s="49"/>
    </row>
    <row r="51" spans="2:16" s="43" customFormat="1" outlineLevel="1">
      <c r="B51" s="186" t="s">
        <v>745</v>
      </c>
      <c r="C51" s="210" t="s">
        <v>273</v>
      </c>
      <c r="D51" s="104">
        <f>E51*$D$6</f>
        <v>1977.1614000000002</v>
      </c>
      <c r="E51" s="270">
        <v>259.47000000000003</v>
      </c>
      <c r="F51" s="74">
        <v>45867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21</v>
      </c>
      <c r="J51" s="75">
        <f t="shared" si="4"/>
        <v>0</v>
      </c>
    </row>
    <row r="52" spans="2:16" s="43" customFormat="1" outlineLevel="1">
      <c r="B52" s="186" t="s">
        <v>745</v>
      </c>
      <c r="C52" s="210" t="s">
        <v>274</v>
      </c>
      <c r="D52" s="104">
        <f>E52*$D$6</f>
        <v>1564.6146000000001</v>
      </c>
      <c r="E52" s="270">
        <v>205.33</v>
      </c>
      <c r="F52" s="74">
        <v>45867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21</v>
      </c>
      <c r="J52" s="75">
        <f t="shared" si="4"/>
        <v>0</v>
      </c>
    </row>
    <row r="53" spans="2:16" s="43" customFormat="1" ht="14.25" customHeight="1" outlineLevel="1">
      <c r="B53" s="251" t="s">
        <v>745</v>
      </c>
      <c r="C53" s="209" t="s">
        <v>826</v>
      </c>
      <c r="D53" s="268">
        <v>433.25</v>
      </c>
      <c r="E53" s="113">
        <f t="shared" ref="E53:E58" si="5">D53/$D$6</f>
        <v>56.856955380577425</v>
      </c>
      <c r="F53" s="74">
        <v>45867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21</v>
      </c>
      <c r="J53" s="75">
        <f>H53</f>
        <v>0</v>
      </c>
      <c r="K53" s="49"/>
      <c r="L53" s="49"/>
      <c r="O53" s="49"/>
      <c r="P53" s="49"/>
    </row>
    <row r="54" spans="2:16" s="43" customFormat="1" ht="14.25" customHeight="1" outlineLevel="1">
      <c r="B54" s="251" t="s">
        <v>745</v>
      </c>
      <c r="C54" s="209" t="s">
        <v>827</v>
      </c>
      <c r="D54" s="268">
        <v>722.42</v>
      </c>
      <c r="E54" s="113">
        <f t="shared" si="5"/>
        <v>94.80577427821521</v>
      </c>
      <c r="F54" s="74">
        <v>45867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21</v>
      </c>
      <c r="J54" s="75">
        <f>H54</f>
        <v>0</v>
      </c>
      <c r="K54" s="49"/>
      <c r="L54" s="49"/>
      <c r="O54" s="49"/>
      <c r="P54" s="49"/>
    </row>
    <row r="55" spans="2:16" s="43" customFormat="1" ht="14.25" customHeight="1" outlineLevel="1">
      <c r="B55" s="251" t="s">
        <v>745</v>
      </c>
      <c r="C55" s="209" t="s">
        <v>825</v>
      </c>
      <c r="D55" s="269">
        <v>861.81</v>
      </c>
      <c r="E55" s="113">
        <f t="shared" si="5"/>
        <v>113.09842519685039</v>
      </c>
      <c r="F55" s="74">
        <v>45867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21</v>
      </c>
      <c r="J55" s="75">
        <f>H55</f>
        <v>0</v>
      </c>
      <c r="K55" s="49"/>
      <c r="L55" s="49"/>
      <c r="O55" s="49"/>
      <c r="P55" s="49"/>
    </row>
    <row r="56" spans="2:16" s="43" customFormat="1" ht="14.25" customHeight="1" outlineLevel="1">
      <c r="B56" s="251" t="s">
        <v>745</v>
      </c>
      <c r="C56" s="209" t="s">
        <v>822</v>
      </c>
      <c r="D56" s="269">
        <v>943.23</v>
      </c>
      <c r="E56" s="113">
        <f t="shared" si="5"/>
        <v>123.78346456692914</v>
      </c>
      <c r="F56" s="74">
        <v>45867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21</v>
      </c>
      <c r="J56" s="75">
        <f t="shared" si="4"/>
        <v>0</v>
      </c>
      <c r="K56" s="49"/>
      <c r="L56" s="49"/>
      <c r="O56" s="49"/>
      <c r="P56" s="49"/>
    </row>
    <row r="57" spans="2:16" s="43" customFormat="1" outlineLevel="1">
      <c r="B57" s="251" t="s">
        <v>745</v>
      </c>
      <c r="C57" s="209" t="s">
        <v>823</v>
      </c>
      <c r="D57" s="269">
        <v>1023.02</v>
      </c>
      <c r="E57" s="113">
        <f t="shared" si="5"/>
        <v>134.25459317585302</v>
      </c>
      <c r="F57" s="74">
        <v>45867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21</v>
      </c>
      <c r="J57" s="75">
        <f t="shared" si="4"/>
        <v>0</v>
      </c>
    </row>
    <row r="58" spans="2:16" s="43" customFormat="1" ht="15.75" outlineLevel="1" thickBot="1">
      <c r="B58" s="251" t="s">
        <v>745</v>
      </c>
      <c r="C58" s="209" t="s">
        <v>824</v>
      </c>
      <c r="D58" s="269">
        <v>2002.09</v>
      </c>
      <c r="E58" s="113">
        <f t="shared" si="5"/>
        <v>262.74146981627297</v>
      </c>
      <c r="F58" s="74">
        <v>45867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21</v>
      </c>
      <c r="J58" s="75">
        <f t="shared" si="4"/>
        <v>0</v>
      </c>
    </row>
    <row r="59" spans="2:16" s="43" customFormat="1" ht="16.5" thickBot="1">
      <c r="B59" s="82"/>
      <c r="C59" s="85" t="s">
        <v>162</v>
      </c>
      <c r="D59" s="119">
        <f>SUBTOTAL(9,D60:D61)</f>
        <v>0</v>
      </c>
      <c r="E59" s="114">
        <f>SUBTOTAL(9,E60:E61)</f>
        <v>0</v>
      </c>
      <c r="K59" s="52"/>
      <c r="M59" s="183"/>
      <c r="N59" s="183"/>
    </row>
    <row r="60" spans="2:16" s="43" customFormat="1" outlineLevel="1">
      <c r="B60" s="46"/>
      <c r="C60" s="47" t="s">
        <v>835</v>
      </c>
      <c r="D60" s="104">
        <f>E60*7.85</f>
        <v>0</v>
      </c>
      <c r="E60" s="115">
        <f>1806.37*0</f>
        <v>0</v>
      </c>
      <c r="F60" s="74">
        <v>45835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-2</v>
      </c>
      <c r="J60" s="75">
        <f t="shared" ref="J60:J61" si="6">H60</f>
        <v>0</v>
      </c>
      <c r="M60" s="104"/>
      <c r="N60" s="49"/>
    </row>
    <row r="61" spans="2:16" s="43" customFormat="1" ht="15.75" outlineLevel="1" thickBot="1">
      <c r="B61" s="46"/>
      <c r="C61" s="47" t="s">
        <v>870</v>
      </c>
      <c r="D61" s="104">
        <f>E61*7.85</f>
        <v>0</v>
      </c>
      <c r="E61" s="115">
        <f>3196.43*0</f>
        <v>0</v>
      </c>
      <c r="F61" s="74">
        <v>45835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-2</v>
      </c>
      <c r="J61" s="75">
        <f t="shared" si="6"/>
        <v>0</v>
      </c>
      <c r="M61" s="104"/>
      <c r="N61" s="49"/>
    </row>
    <row r="62" spans="2:16" s="43" customFormat="1" ht="16.5" thickBot="1">
      <c r="B62" s="46"/>
      <c r="C62" s="73" t="s">
        <v>147</v>
      </c>
      <c r="D62" s="103">
        <f>SUBTOTAL(9,D63:D63)</f>
        <v>0</v>
      </c>
      <c r="E62" s="112">
        <f>SUBTOTAL(9,E63:E63)</f>
        <v>0</v>
      </c>
    </row>
    <row r="63" spans="2:16" s="43" customFormat="1" ht="15.75" outlineLevel="1" thickBot="1">
      <c r="B63" s="46"/>
      <c r="C63" s="47"/>
      <c r="D63" s="104"/>
      <c r="E63" s="113"/>
      <c r="F63" s="74">
        <v>45808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-21</v>
      </c>
      <c r="J63" s="75">
        <f>H63</f>
        <v>0</v>
      </c>
    </row>
    <row r="64" spans="2:16" s="43" customFormat="1" ht="15.75" customHeight="1" thickBot="1">
      <c r="C64" s="73" t="s">
        <v>148</v>
      </c>
      <c r="D64" s="119">
        <f>SUBTOTAL(9,D65:D65)</f>
        <v>0</v>
      </c>
      <c r="E64" s="114">
        <f>SUBTOTAL(9,E65:E65)</f>
        <v>0</v>
      </c>
    </row>
    <row r="65" spans="2:15" s="43" customFormat="1" ht="15.75" outlineLevel="1" thickBot="1">
      <c r="B65" s="46"/>
      <c r="C65" s="47" t="s">
        <v>117</v>
      </c>
      <c r="D65" s="109">
        <v>0</v>
      </c>
      <c r="E65" s="115">
        <v>0</v>
      </c>
      <c r="F65" s="74">
        <v>45838</v>
      </c>
      <c r="G65" s="43" t="s">
        <v>135</v>
      </c>
      <c r="H65" s="43">
        <f>IF(OR(G65="Sin pagar",G65="Pagar"),NETWORKDAYS($E$4,F65,'Festivos Guatemala'!$A$3:$A$15),0)</f>
        <v>0</v>
      </c>
      <c r="I65" s="43">
        <f>NETWORKDAYS($E$4,F65,'Festivos Guatemala'!$A$3:$A$15)</f>
        <v>-1</v>
      </c>
      <c r="J65" s="75">
        <f t="shared" ref="J65" si="7">H65</f>
        <v>0</v>
      </c>
    </row>
    <row r="66" spans="2:15" s="43" customFormat="1" ht="16.5" thickBot="1">
      <c r="C66" s="73" t="s">
        <v>164</v>
      </c>
      <c r="D66" s="119">
        <f>SUBTOTAL(9,D67:D90)</f>
        <v>539646.19000000006</v>
      </c>
      <c r="E66" s="114">
        <f>SUBTOTAL(9,E67:E90)</f>
        <v>70819.70997375327</v>
      </c>
      <c r="K66" s="52"/>
      <c r="L66" s="86"/>
      <c r="M66" s="109">
        <v>786699.81</v>
      </c>
      <c r="N66" s="109">
        <f>M66-D66</f>
        <v>247053.62</v>
      </c>
      <c r="O66" s="113">
        <f>N66/$D$6</f>
        <v>32421.734908136481</v>
      </c>
    </row>
    <row r="67" spans="2:15" s="43" customFormat="1" outlineLevel="1">
      <c r="B67" s="267" t="s">
        <v>887</v>
      </c>
      <c r="C67" s="47" t="s">
        <v>843</v>
      </c>
      <c r="D67" s="271">
        <v>18519.8</v>
      </c>
      <c r="E67" s="115">
        <f t="shared" ref="E67:E90" si="8">D67/$D$6</f>
        <v>2430.4199475065616</v>
      </c>
      <c r="F67" s="74">
        <v>45866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20</v>
      </c>
      <c r="J67" s="75">
        <f t="shared" ref="J67:J85" si="9">H67</f>
        <v>0</v>
      </c>
      <c r="L67" s="52"/>
    </row>
    <row r="68" spans="2:15" s="43" customFormat="1" outlineLevel="1">
      <c r="B68" s="267" t="s">
        <v>887</v>
      </c>
      <c r="C68" s="47" t="s">
        <v>886</v>
      </c>
      <c r="D68" s="271">
        <v>51622.41</v>
      </c>
      <c r="E68" s="115">
        <f t="shared" si="8"/>
        <v>6774.5944881889764</v>
      </c>
      <c r="F68" s="74">
        <v>45866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20</v>
      </c>
      <c r="J68" s="75">
        <f t="shared" si="9"/>
        <v>0</v>
      </c>
      <c r="L68" s="52"/>
    </row>
    <row r="69" spans="2:15" s="43" customFormat="1" outlineLevel="1">
      <c r="B69" s="267" t="s">
        <v>887</v>
      </c>
      <c r="C69" s="47" t="s">
        <v>176</v>
      </c>
      <c r="D69" s="271">
        <v>28786.83</v>
      </c>
      <c r="E69" s="115">
        <f t="shared" si="8"/>
        <v>3777.7992125984256</v>
      </c>
      <c r="F69" s="74">
        <v>45866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20</v>
      </c>
      <c r="J69" s="75">
        <f t="shared" si="9"/>
        <v>0</v>
      </c>
      <c r="L69" s="52"/>
    </row>
    <row r="70" spans="2:15" s="43" customFormat="1" outlineLevel="1">
      <c r="B70" s="267" t="s">
        <v>887</v>
      </c>
      <c r="C70" s="47" t="s">
        <v>944</v>
      </c>
      <c r="D70" s="271">
        <v>7719.42</v>
      </c>
      <c r="E70" s="115">
        <f t="shared" ref="E70" si="10">D70/$D$6</f>
        <v>1013.0472440944882</v>
      </c>
      <c r="F70" s="74">
        <v>45866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20</v>
      </c>
      <c r="J70" s="75">
        <f t="shared" ref="J70" si="11">H70</f>
        <v>0</v>
      </c>
      <c r="L70" s="52"/>
    </row>
    <row r="71" spans="2:15" s="43" customFormat="1" outlineLevel="1">
      <c r="B71" s="267" t="s">
        <v>887</v>
      </c>
      <c r="C71" s="47" t="s">
        <v>945</v>
      </c>
      <c r="D71" s="271">
        <v>7221.28</v>
      </c>
      <c r="E71" s="115">
        <f t="shared" ref="E71" si="12">D71/$D$6</f>
        <v>947.67454068241466</v>
      </c>
      <c r="F71" s="74">
        <v>45866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20</v>
      </c>
      <c r="J71" s="75">
        <f t="shared" ref="J71" si="13">H71</f>
        <v>0</v>
      </c>
      <c r="L71" s="52"/>
    </row>
    <row r="72" spans="2:15" s="43" customFormat="1" outlineLevel="1">
      <c r="B72" s="267" t="s">
        <v>887</v>
      </c>
      <c r="C72" s="47" t="s">
        <v>829</v>
      </c>
      <c r="D72" s="271">
        <v>34601.33</v>
      </c>
      <c r="E72" s="115">
        <f t="shared" si="8"/>
        <v>4540.8569553805773</v>
      </c>
      <c r="F72" s="74">
        <v>45866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20</v>
      </c>
      <c r="J72" s="75">
        <f t="shared" si="9"/>
        <v>0</v>
      </c>
      <c r="L72" s="52"/>
    </row>
    <row r="73" spans="2:15" s="43" customFormat="1" outlineLevel="1">
      <c r="B73" s="267" t="s">
        <v>887</v>
      </c>
      <c r="C73" s="47" t="s">
        <v>946</v>
      </c>
      <c r="D73" s="271">
        <v>7944.78</v>
      </c>
      <c r="E73" s="115">
        <f t="shared" ref="E73" si="14">D73/$D$6</f>
        <v>1042.6220472440943</v>
      </c>
      <c r="F73" s="74">
        <v>45866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20</v>
      </c>
      <c r="J73" s="75">
        <f t="shared" ref="J73" si="15">H73</f>
        <v>0</v>
      </c>
      <c r="L73" s="52"/>
    </row>
    <row r="74" spans="2:15" s="43" customFormat="1" outlineLevel="1">
      <c r="B74" s="267" t="s">
        <v>887</v>
      </c>
      <c r="C74" s="47" t="s">
        <v>947</v>
      </c>
      <c r="D74" s="271">
        <v>9478.65</v>
      </c>
      <c r="E74" s="115">
        <f t="shared" si="8"/>
        <v>1243.9173228346456</v>
      </c>
      <c r="F74" s="74">
        <v>45866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20</v>
      </c>
      <c r="J74" s="75">
        <f t="shared" si="9"/>
        <v>0</v>
      </c>
      <c r="L74" s="52"/>
    </row>
    <row r="75" spans="2:15" s="43" customFormat="1" ht="13.5" customHeight="1" outlineLevel="1">
      <c r="B75" s="267" t="s">
        <v>887</v>
      </c>
      <c r="C75" s="47" t="s">
        <v>948</v>
      </c>
      <c r="D75" s="268">
        <v>5957.99</v>
      </c>
      <c r="E75" s="115">
        <f t="shared" si="8"/>
        <v>781.88845144356947</v>
      </c>
      <c r="F75" s="74">
        <v>45866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20</v>
      </c>
      <c r="J75" s="75">
        <f t="shared" si="9"/>
        <v>0</v>
      </c>
      <c r="L75" s="52"/>
    </row>
    <row r="76" spans="2:15" s="43" customFormat="1" outlineLevel="1">
      <c r="B76" s="83" t="s">
        <v>892</v>
      </c>
      <c r="C76" s="47" t="s">
        <v>414</v>
      </c>
      <c r="D76" s="268">
        <v>70588</v>
      </c>
      <c r="E76" s="115">
        <f t="shared" si="8"/>
        <v>9263.5170603674542</v>
      </c>
      <c r="F76" s="74">
        <v>45866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20</v>
      </c>
      <c r="J76" s="75">
        <f t="shared" si="9"/>
        <v>0</v>
      </c>
      <c r="L76" s="52"/>
    </row>
    <row r="77" spans="2:15" s="43" customFormat="1" outlineLevel="1">
      <c r="B77" s="83" t="s">
        <v>892</v>
      </c>
      <c r="C77" s="47" t="s">
        <v>797</v>
      </c>
      <c r="D77" s="268">
        <v>18951</v>
      </c>
      <c r="E77" s="115">
        <f t="shared" si="8"/>
        <v>2487.0078740157478</v>
      </c>
      <c r="F77" s="74">
        <v>45866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20</v>
      </c>
      <c r="J77" s="75">
        <f t="shared" si="9"/>
        <v>0</v>
      </c>
      <c r="L77" s="52"/>
    </row>
    <row r="78" spans="2:15" s="43" customFormat="1" outlineLevel="1">
      <c r="B78" s="83" t="s">
        <v>892</v>
      </c>
      <c r="C78" s="47" t="s">
        <v>417</v>
      </c>
      <c r="D78" s="268">
        <v>10562</v>
      </c>
      <c r="E78" s="115">
        <f t="shared" si="8"/>
        <v>1386.0892388451443</v>
      </c>
      <c r="F78" s="74">
        <v>45866</v>
      </c>
      <c r="G78" s="43" t="s">
        <v>135</v>
      </c>
      <c r="H78" s="43">
        <f>IF(OR(G78="Sin pagar",G78="Pagar"),NETWORKDAYS($E$4,F78,'Festivos Guatemala'!$A$3:$A$15),0)</f>
        <v>0</v>
      </c>
      <c r="I78" s="43">
        <f>NETWORKDAYS($E$4,F78,'Festivos Guatemala'!$A$3:$A$15)</f>
        <v>20</v>
      </c>
      <c r="J78" s="75">
        <f t="shared" si="9"/>
        <v>0</v>
      </c>
      <c r="L78" s="52"/>
    </row>
    <row r="79" spans="2:15" s="43" customFormat="1" outlineLevel="1">
      <c r="B79" s="83" t="s">
        <v>892</v>
      </c>
      <c r="C79" s="47" t="s">
        <v>409</v>
      </c>
      <c r="D79" s="268">
        <v>14151</v>
      </c>
      <c r="E79" s="115">
        <f t="shared" si="8"/>
        <v>1857.0866141732283</v>
      </c>
      <c r="F79" s="74">
        <v>45866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20</v>
      </c>
      <c r="J79" s="75">
        <f t="shared" si="9"/>
        <v>0</v>
      </c>
      <c r="L79" s="52"/>
    </row>
    <row r="80" spans="2:15" s="43" customFormat="1" outlineLevel="1">
      <c r="B80" s="83" t="s">
        <v>892</v>
      </c>
      <c r="C80" s="47" t="s">
        <v>844</v>
      </c>
      <c r="D80" s="268">
        <v>24703.15</v>
      </c>
      <c r="E80" s="115">
        <f t="shared" si="8"/>
        <v>3241.8832020997379</v>
      </c>
      <c r="F80" s="74">
        <v>45866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20</v>
      </c>
      <c r="J80" s="75">
        <f t="shared" si="9"/>
        <v>0</v>
      </c>
      <c r="L80" s="52"/>
    </row>
    <row r="81" spans="2:12" s="43" customFormat="1" outlineLevel="1">
      <c r="B81" s="83" t="s">
        <v>892</v>
      </c>
      <c r="C81" s="47" t="s">
        <v>982</v>
      </c>
      <c r="D81" s="268">
        <v>24703.15</v>
      </c>
      <c r="E81" s="115">
        <f t="shared" ref="E81" si="16">D81/$D$6</f>
        <v>3241.8832020997379</v>
      </c>
      <c r="F81" s="74">
        <v>45866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20</v>
      </c>
      <c r="J81" s="75">
        <f t="shared" ref="J81" si="17">H81</f>
        <v>0</v>
      </c>
      <c r="L81" s="52"/>
    </row>
    <row r="82" spans="2:12" s="43" customFormat="1" ht="13.5" customHeight="1" outlineLevel="1">
      <c r="B82" s="83" t="s">
        <v>892</v>
      </c>
      <c r="C82" s="47" t="s">
        <v>901</v>
      </c>
      <c r="D82" s="268">
        <v>32589.919999999998</v>
      </c>
      <c r="E82" s="115">
        <f t="shared" ref="E82" si="18">D82/$D$6</f>
        <v>4276.8923884514434</v>
      </c>
      <c r="F82" s="74">
        <v>45866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20</v>
      </c>
      <c r="J82" s="75">
        <f t="shared" si="9"/>
        <v>0</v>
      </c>
      <c r="L82" s="52"/>
    </row>
    <row r="83" spans="2:12" s="43" customFormat="1" outlineLevel="1">
      <c r="B83" s="83" t="s">
        <v>892</v>
      </c>
      <c r="C83" s="47" t="s">
        <v>416</v>
      </c>
      <c r="D83" s="268">
        <v>67392</v>
      </c>
      <c r="E83" s="115">
        <f t="shared" si="8"/>
        <v>8844.0944881889754</v>
      </c>
      <c r="F83" s="74">
        <v>45866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20</v>
      </c>
      <c r="J83" s="75">
        <f t="shared" si="9"/>
        <v>0</v>
      </c>
      <c r="L83" s="52"/>
    </row>
    <row r="84" spans="2:12" s="43" customFormat="1" outlineLevel="1">
      <c r="B84" s="83" t="s">
        <v>892</v>
      </c>
      <c r="C84" s="47" t="s">
        <v>412</v>
      </c>
      <c r="D84" s="268">
        <v>8025</v>
      </c>
      <c r="E84" s="115">
        <f t="shared" si="8"/>
        <v>1053.1496062992126</v>
      </c>
      <c r="F84" s="74">
        <v>45866</v>
      </c>
      <c r="G84" s="43" t="s">
        <v>135</v>
      </c>
      <c r="H84" s="43">
        <f>IF(OR(G84="Sin pagar",G84="Pagar"),NETWORKDAYS($E$4,F84,'Festivos Guatemala'!$A$3:$A$15),0)</f>
        <v>0</v>
      </c>
      <c r="I84" s="43">
        <f>NETWORKDAYS($E$4,F84,'Festivos Guatemala'!$A$3:$A$15)</f>
        <v>20</v>
      </c>
      <c r="J84" s="75">
        <f t="shared" si="9"/>
        <v>0</v>
      </c>
      <c r="L84" s="52"/>
    </row>
    <row r="85" spans="2:12" s="43" customFormat="1" outlineLevel="1">
      <c r="B85" s="83" t="s">
        <v>892</v>
      </c>
      <c r="C85" s="47" t="s">
        <v>413</v>
      </c>
      <c r="D85" s="268">
        <v>3943</v>
      </c>
      <c r="E85" s="115">
        <f t="shared" si="8"/>
        <v>517.45406824146983</v>
      </c>
      <c r="F85" s="74">
        <v>45866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20</v>
      </c>
      <c r="J85" s="75">
        <f t="shared" si="9"/>
        <v>0</v>
      </c>
      <c r="L85" s="52"/>
    </row>
    <row r="86" spans="2:12" s="43" customFormat="1" outlineLevel="1">
      <c r="B86" s="83" t="s">
        <v>892</v>
      </c>
      <c r="C86" s="47" t="s">
        <v>415</v>
      </c>
      <c r="D86" s="268">
        <v>25739</v>
      </c>
      <c r="E86" s="115">
        <f t="shared" si="8"/>
        <v>3377.8215223097113</v>
      </c>
      <c r="F86" s="74">
        <v>45866</v>
      </c>
      <c r="G86" s="43" t="s">
        <v>135</v>
      </c>
      <c r="H86" s="43">
        <f>IF(OR(G86="Sin pagar",G86="Pagar"),NETWORKDAYS($E$4,F86,'Festivos Guatemala'!$A$3:$A$15),0)</f>
        <v>0</v>
      </c>
      <c r="I86" s="43">
        <f>NETWORKDAYS($E$4,F86,'Festivos Guatemala'!$A$3:$A$15)</f>
        <v>20</v>
      </c>
      <c r="J86" s="75">
        <f>H86</f>
        <v>0</v>
      </c>
      <c r="L86" s="52"/>
    </row>
    <row r="87" spans="2:12" s="43" customFormat="1" outlineLevel="1">
      <c r="B87" s="83" t="s">
        <v>892</v>
      </c>
      <c r="C87" s="47" t="s">
        <v>410</v>
      </c>
      <c r="D87" s="268">
        <v>3943</v>
      </c>
      <c r="E87" s="115">
        <f t="shared" si="8"/>
        <v>517.45406824146983</v>
      </c>
      <c r="F87" s="74">
        <v>45866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20</v>
      </c>
      <c r="J87" s="75">
        <f t="shared" ref="J87:J90" si="19">H87</f>
        <v>0</v>
      </c>
      <c r="L87" s="52"/>
    </row>
    <row r="88" spans="2:12" s="43" customFormat="1" outlineLevel="1">
      <c r="B88" s="83" t="s">
        <v>892</v>
      </c>
      <c r="C88" s="47" t="s">
        <v>845</v>
      </c>
      <c r="D88" s="268">
        <v>24703</v>
      </c>
      <c r="E88" s="115">
        <f t="shared" si="8"/>
        <v>3241.8635170603675</v>
      </c>
      <c r="F88" s="74">
        <v>45866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20</v>
      </c>
      <c r="J88" s="75">
        <f t="shared" si="19"/>
        <v>0</v>
      </c>
      <c r="L88" s="52"/>
    </row>
    <row r="89" spans="2:12" s="43" customFormat="1" outlineLevel="1">
      <c r="B89" s="83" t="s">
        <v>892</v>
      </c>
      <c r="C89" s="47" t="s">
        <v>418</v>
      </c>
      <c r="D89" s="268">
        <v>33857.480000000003</v>
      </c>
      <c r="E89" s="115">
        <f t="shared" si="8"/>
        <v>4443.2388451443576</v>
      </c>
      <c r="F89" s="74">
        <v>45866</v>
      </c>
      <c r="G89" s="43" t="s">
        <v>135</v>
      </c>
      <c r="H89" s="43">
        <f>IF(OR(G89="Sin pagar",G89="Pagar"),NETWORKDAYS($E$4,F89,'Festivos Guatemala'!$A$3:$A$15),0)</f>
        <v>0</v>
      </c>
      <c r="I89" s="43">
        <f>NETWORKDAYS($E$4,F89,'Festivos Guatemala'!$A$3:$A$15)</f>
        <v>20</v>
      </c>
      <c r="J89" s="75">
        <f t="shared" si="19"/>
        <v>0</v>
      </c>
      <c r="L89" s="52"/>
    </row>
    <row r="90" spans="2:12" s="43" customFormat="1" ht="13.5" customHeight="1" outlineLevel="1" thickBot="1">
      <c r="B90" s="83" t="s">
        <v>892</v>
      </c>
      <c r="C90" s="47" t="s">
        <v>411</v>
      </c>
      <c r="D90" s="268">
        <v>3943</v>
      </c>
      <c r="E90" s="115">
        <f t="shared" si="8"/>
        <v>517.45406824146983</v>
      </c>
      <c r="F90" s="74">
        <v>45866</v>
      </c>
      <c r="G90" s="43" t="s">
        <v>135</v>
      </c>
      <c r="H90" s="43">
        <f>IF(OR(G90="Sin pagar",G90="Pagar"),NETWORKDAYS($E$4,F90,'Festivos Guatemala'!$A$3:$A$15),0)</f>
        <v>0</v>
      </c>
      <c r="I90" s="43">
        <f>NETWORKDAYS($E$4,F90,'Festivos Guatemala'!$A$3:$A$15)</f>
        <v>20</v>
      </c>
      <c r="J90" s="75">
        <f t="shared" si="19"/>
        <v>0</v>
      </c>
      <c r="L90" s="52"/>
    </row>
    <row r="91" spans="2:12" s="43" customFormat="1" ht="16.5" thickBot="1">
      <c r="B91" s="46"/>
      <c r="C91" s="73" t="s">
        <v>173</v>
      </c>
      <c r="D91" s="103">
        <f>SUBTOTAL(9,D92:D94)</f>
        <v>46090.690800000004</v>
      </c>
      <c r="E91" s="112">
        <f>SUBTOTAL(9,E92:E94)</f>
        <v>6048.6470866141735</v>
      </c>
    </row>
    <row r="92" spans="2:12" s="43" customFormat="1" outlineLevel="1">
      <c r="B92" s="46"/>
      <c r="C92" s="210" t="s">
        <v>278</v>
      </c>
      <c r="D92" s="109">
        <f>$E$92*$D$6</f>
        <v>29625.340800000002</v>
      </c>
      <c r="E92" s="115">
        <v>3887.84</v>
      </c>
      <c r="F92" s="74">
        <v>45868</v>
      </c>
      <c r="G92" s="43" t="s">
        <v>135</v>
      </c>
      <c r="H92" s="43">
        <f>IF(OR(G92="Sin pagar",G92="Pagar"),NETWORKDAYS($E$4,F92,'Festivos Guatemala'!$A$3:$A$15),0)</f>
        <v>0</v>
      </c>
      <c r="I92" s="43">
        <f>NETWORKDAYS($E$4,F92,'Festivos Guatemala'!$A$3:$A$15)</f>
        <v>22</v>
      </c>
      <c r="J92" s="75">
        <f t="shared" ref="J92:J94" si="20">H92</f>
        <v>0</v>
      </c>
      <c r="K92" s="52"/>
      <c r="L92" s="54"/>
    </row>
    <row r="93" spans="2:12" s="43" customFormat="1" outlineLevel="1">
      <c r="B93" s="46"/>
      <c r="C93" s="209" t="s">
        <v>280</v>
      </c>
      <c r="D93" s="109">
        <v>5056.6000000000004</v>
      </c>
      <c r="E93" s="115">
        <f>D93/$D$6</f>
        <v>663.59580052493448</v>
      </c>
      <c r="F93" s="74">
        <v>45868</v>
      </c>
      <c r="G93" s="43" t="s">
        <v>135</v>
      </c>
      <c r="H93" s="43">
        <f>IF(OR(G93="Sin pagar",G93="Pagar"),NETWORKDAYS($E$4,F93,'Festivos Guatemala'!$A$3:$A$15),0)</f>
        <v>0</v>
      </c>
      <c r="I93" s="43">
        <f>NETWORKDAYS($E$4,F93,'Festivos Guatemala'!$A$3:$A$15)</f>
        <v>22</v>
      </c>
      <c r="J93" s="75">
        <f t="shared" si="20"/>
        <v>0</v>
      </c>
      <c r="K93" s="52"/>
      <c r="L93" s="54"/>
    </row>
    <row r="94" spans="2:12" s="43" customFormat="1" ht="15.75" outlineLevel="1" thickBot="1">
      <c r="B94" s="46"/>
      <c r="C94" s="209" t="s">
        <v>952</v>
      </c>
      <c r="D94" s="109">
        <v>11408.75</v>
      </c>
      <c r="E94" s="115">
        <f>D94/$D$6</f>
        <v>1497.2112860892389</v>
      </c>
      <c r="F94" s="74">
        <v>45868</v>
      </c>
      <c r="G94" s="43" t="s">
        <v>135</v>
      </c>
      <c r="H94" s="43">
        <f>IF(OR(G94="Sin pagar",G94="Pagar"),NETWORKDAYS($E$4,F94,'Festivos Guatemala'!$A$3:$A$15),0)</f>
        <v>0</v>
      </c>
      <c r="I94" s="43">
        <f>NETWORKDAYS($E$4,F94,'Festivos Guatemala'!$A$3:$A$15)</f>
        <v>22</v>
      </c>
      <c r="J94" s="75">
        <f t="shared" si="20"/>
        <v>0</v>
      </c>
      <c r="K94" s="52"/>
      <c r="L94" s="54"/>
    </row>
    <row r="95" spans="2:12" s="43" customFormat="1" ht="16.5" thickBot="1">
      <c r="B95" s="87"/>
      <c r="C95" s="73" t="s">
        <v>149</v>
      </c>
      <c r="D95" s="103">
        <f>SUBTOTAL(9,D96)</f>
        <v>0</v>
      </c>
      <c r="E95" s="112">
        <f>SUBTOTAL(9,E96)</f>
        <v>0</v>
      </c>
      <c r="L95" s="52"/>
    </row>
    <row r="96" spans="2:12" s="43" customFormat="1" ht="15.75" outlineLevel="1" thickBot="1">
      <c r="B96" s="46"/>
      <c r="C96" s="47"/>
      <c r="D96" s="109"/>
      <c r="E96" s="115">
        <f>D96/$D$6</f>
        <v>0</v>
      </c>
      <c r="F96" s="74">
        <v>45808</v>
      </c>
      <c r="G96" s="43" t="s">
        <v>135</v>
      </c>
      <c r="H96" s="43">
        <f>IF(OR(G96="Sin pagar",G96="Pagar"),NETWORKDAYS($E$4,F96,'Festivos Guatemala'!$A$3:$A$15),0)</f>
        <v>0</v>
      </c>
      <c r="I96" s="43">
        <f>NETWORKDAYS($E$4,F96,'Festivos Guatemala'!$A$3:$A$15)</f>
        <v>-21</v>
      </c>
      <c r="J96" s="75">
        <f>H96</f>
        <v>0</v>
      </c>
      <c r="K96" s="52"/>
      <c r="L96" s="54"/>
    </row>
    <row r="97" spans="1:16" s="43" customFormat="1" ht="16.5" thickBot="1">
      <c r="B97" s="46"/>
      <c r="C97" s="73" t="s">
        <v>638</v>
      </c>
      <c r="D97" s="103">
        <f>SUBTOTAL(9,D98:D99)</f>
        <v>1500</v>
      </c>
      <c r="E97" s="112">
        <f>SUBTOTAL(9,E98:E99)</f>
        <v>196.85039370078741</v>
      </c>
    </row>
    <row r="98" spans="1:16" s="43" customFormat="1" outlineLevel="1">
      <c r="B98" s="46">
        <v>1959019900</v>
      </c>
      <c r="C98" s="47" t="s">
        <v>951</v>
      </c>
      <c r="D98" s="109">
        <v>1500</v>
      </c>
      <c r="E98" s="115">
        <f>D98/$D$6</f>
        <v>196.85039370078741</v>
      </c>
      <c r="F98" s="74">
        <v>45868</v>
      </c>
      <c r="G98" s="43" t="s">
        <v>135</v>
      </c>
      <c r="H98" s="43">
        <f>IF(OR(G98="Sin pagar",G98="Pagar"),NETWORKDAYS($E$4,F98,'Festivos Guatemala'!$A$3:$A$15),0)</f>
        <v>0</v>
      </c>
      <c r="I98" s="43">
        <f>NETWORKDAYS($E$4,F98,'Festivos Guatemala'!$A$3:$A$15)</f>
        <v>22</v>
      </c>
      <c r="J98" s="75">
        <f>H98</f>
        <v>0</v>
      </c>
      <c r="K98" s="52"/>
      <c r="L98" s="54"/>
    </row>
    <row r="99" spans="1:16" s="43" customFormat="1" ht="15.75" outlineLevel="1" thickBot="1">
      <c r="B99" s="46"/>
      <c r="C99" s="47" t="s">
        <v>639</v>
      </c>
      <c r="D99" s="109">
        <f>E99*$D$6</f>
        <v>0</v>
      </c>
      <c r="E99" s="115">
        <f>450*0</f>
        <v>0</v>
      </c>
      <c r="F99" s="74">
        <v>45869</v>
      </c>
      <c r="G99" s="43" t="s">
        <v>135</v>
      </c>
      <c r="H99" s="43">
        <f>IF(OR(G99="Sin pagar",G99="Pagar"),NETWORKDAYS($E$4,F99,'Festivos Guatemala'!$A$3:$A$15),0)</f>
        <v>0</v>
      </c>
      <c r="I99" s="43">
        <f>NETWORKDAYS($E$4,F99,'Festivos Guatemala'!$A$3:$A$15)</f>
        <v>23</v>
      </c>
      <c r="J99" s="75">
        <f t="shared" ref="J99" si="21">H99</f>
        <v>0</v>
      </c>
      <c r="K99" s="52"/>
      <c r="L99" s="54"/>
    </row>
    <row r="100" spans="1:16" s="43" customFormat="1" ht="14.25" customHeight="1">
      <c r="B100" s="46"/>
      <c r="C100" s="88" t="s">
        <v>150</v>
      </c>
      <c r="D100" s="120">
        <f>SUBTOTAL(9,D38:D99)</f>
        <v>728793.41020000004</v>
      </c>
      <c r="E100" s="116">
        <f>SUBTOTAL(9,E38:E99)</f>
        <v>95638.568200787384</v>
      </c>
      <c r="K100" s="39"/>
      <c r="L100" s="39"/>
      <c r="N100" s="39"/>
      <c r="O100" s="39"/>
      <c r="P100" s="39"/>
    </row>
    <row r="101" spans="1:16" ht="15.75">
      <c r="A101" s="43"/>
      <c r="E101" s="117"/>
      <c r="F101" s="89"/>
      <c r="G101" s="89"/>
      <c r="H101" s="89"/>
      <c r="I101" s="89"/>
      <c r="J101" s="89"/>
    </row>
    <row r="102" spans="1:16" ht="15.75">
      <c r="A102" s="43"/>
      <c r="C102" s="90" t="s">
        <v>151</v>
      </c>
      <c r="D102" s="121">
        <f>D33-D100</f>
        <v>50801.109499998624</v>
      </c>
      <c r="E102" s="118">
        <f>E33-E100</f>
        <v>7259.7083871389477</v>
      </c>
      <c r="F102" s="226"/>
      <c r="G102" s="227"/>
      <c r="J102" s="227"/>
    </row>
    <row r="103" spans="1:16" s="93" customFormat="1" ht="15.75">
      <c r="A103" s="43"/>
      <c r="B103" s="94"/>
      <c r="C103" s="90" t="s">
        <v>152</v>
      </c>
      <c r="D103" s="95">
        <f>IF($D$33=0,0,D102/$D$33)</f>
        <v>6.516350258535393E-2</v>
      </c>
      <c r="E103" s="95">
        <f>IF($E$33=0,0,E102/$E$33)</f>
        <v>7.055228355487124E-2</v>
      </c>
      <c r="F103" s="96"/>
      <c r="G103" s="92"/>
      <c r="J103" s="97"/>
      <c r="K103" s="39"/>
      <c r="L103" s="39"/>
      <c r="N103" s="39"/>
      <c r="O103" s="39"/>
      <c r="P103" s="39"/>
    </row>
    <row r="104" spans="1:16" ht="15.75" thickBot="1">
      <c r="A104" s="43"/>
      <c r="F104" s="96"/>
      <c r="G104" s="92"/>
    </row>
    <row r="105" spans="1:16" ht="15.75" thickBot="1">
      <c r="A105" s="43"/>
      <c r="C105" s="135" t="s">
        <v>184</v>
      </c>
      <c r="D105" s="136" t="s">
        <v>185</v>
      </c>
      <c r="E105" s="137" t="s">
        <v>191</v>
      </c>
      <c r="F105" s="137" t="s">
        <v>186</v>
      </c>
      <c r="G105" s="92"/>
    </row>
    <row r="106" spans="1:16">
      <c r="A106" s="43"/>
      <c r="C106" s="187">
        <v>45839</v>
      </c>
      <c r="D106" s="188">
        <v>45844</v>
      </c>
      <c r="E106" s="189">
        <f t="shared" ref="E106:E112" si="22">SUMIFS($D$38:$D$103,$F$38:$F$103,"&gt;="&amp;C106,$F$38:$F$103,"&lt;="&amp;D106,$G$38:$G$103,$D$121)</f>
        <v>0</v>
      </c>
      <c r="F106" s="190">
        <f t="shared" ref="F106:F112" si="23">SUMIFS($E$38:$E$103,$F$38:$F$103,"&gt;="&amp;C106,$F$38:$F$103,"&lt;="&amp;D106,$G$38:$G$103,$D$121)</f>
        <v>0</v>
      </c>
      <c r="G106" s="92"/>
    </row>
    <row r="107" spans="1:16">
      <c r="A107" s="43"/>
      <c r="C107" s="191">
        <v>45845</v>
      </c>
      <c r="D107" s="260">
        <v>45848</v>
      </c>
      <c r="E107" s="193">
        <f t="shared" si="22"/>
        <v>0</v>
      </c>
      <c r="F107" s="194">
        <f t="shared" si="23"/>
        <v>0</v>
      </c>
      <c r="G107" s="92"/>
    </row>
    <row r="108" spans="1:16">
      <c r="A108" s="43"/>
      <c r="C108" s="191">
        <v>45849</v>
      </c>
      <c r="D108" s="260">
        <v>45849</v>
      </c>
      <c r="E108" s="193">
        <f t="shared" si="22"/>
        <v>0</v>
      </c>
      <c r="F108" s="194">
        <f t="shared" si="23"/>
        <v>0</v>
      </c>
      <c r="G108" s="92" t="s">
        <v>763</v>
      </c>
    </row>
    <row r="109" spans="1:16">
      <c r="A109" s="43"/>
      <c r="C109" s="191">
        <v>45850</v>
      </c>
      <c r="D109" s="260">
        <v>45851</v>
      </c>
      <c r="E109" s="193">
        <f t="shared" si="22"/>
        <v>0</v>
      </c>
      <c r="F109" s="194">
        <f t="shared" si="23"/>
        <v>0</v>
      </c>
      <c r="G109" s="92"/>
    </row>
    <row r="110" spans="1:16">
      <c r="A110" s="43"/>
      <c r="C110" s="191">
        <v>45852</v>
      </c>
      <c r="D110" s="192">
        <v>45858</v>
      </c>
      <c r="E110" s="193">
        <f t="shared" si="22"/>
        <v>0</v>
      </c>
      <c r="F110" s="194">
        <f t="shared" si="23"/>
        <v>0</v>
      </c>
      <c r="G110" s="92" t="s">
        <v>803</v>
      </c>
    </row>
    <row r="111" spans="1:16">
      <c r="A111" s="43"/>
      <c r="C111" s="191">
        <v>45859</v>
      </c>
      <c r="D111" s="192">
        <v>45865</v>
      </c>
      <c r="E111" s="193">
        <f t="shared" si="22"/>
        <v>0</v>
      </c>
      <c r="F111" s="194">
        <f t="shared" si="23"/>
        <v>0</v>
      </c>
      <c r="G111" s="92" t="s">
        <v>910</v>
      </c>
    </row>
    <row r="112" spans="1:16" ht="15.75" thickBot="1">
      <c r="A112" s="43"/>
      <c r="C112" s="195">
        <v>45866</v>
      </c>
      <c r="D112" s="196">
        <v>45869</v>
      </c>
      <c r="E112" s="197">
        <f t="shared" si="22"/>
        <v>0</v>
      </c>
      <c r="F112" s="198">
        <f t="shared" si="23"/>
        <v>0</v>
      </c>
      <c r="G112" s="92" t="s">
        <v>764</v>
      </c>
    </row>
    <row r="113" spans="1:10" ht="15.75">
      <c r="A113" s="43"/>
      <c r="C113" s="433" t="s">
        <v>187</v>
      </c>
      <c r="D113" s="433"/>
      <c r="E113" s="148">
        <f>SUM(E106:E112)</f>
        <v>0</v>
      </c>
      <c r="F113" s="144">
        <f>SUM(F106:F112)</f>
        <v>0</v>
      </c>
      <c r="G113" s="92"/>
    </row>
    <row r="114" spans="1:10">
      <c r="A114" s="43"/>
      <c r="F114" s="96"/>
      <c r="G114" s="92"/>
    </row>
    <row r="115" spans="1:10">
      <c r="A115" s="43"/>
      <c r="F115" s="96"/>
      <c r="G115" s="92"/>
    </row>
    <row r="116" spans="1:10">
      <c r="A116" s="43"/>
      <c r="C116" s="41"/>
      <c r="D116" s="41" t="s">
        <v>380</v>
      </c>
      <c r="E116" s="166">
        <f>'Caja QTQ'!$H$583+('Caja USD'!H236*$D$6)</f>
        <v>26097.956699998635</v>
      </c>
      <c r="F116" s="153">
        <f>('Caja USD'!H236+'Caja QTQ'!H583/$D$6)</f>
        <v>3424.9287007872222</v>
      </c>
      <c r="G116" s="92"/>
    </row>
    <row r="117" spans="1:10">
      <c r="A117" s="43"/>
      <c r="D117" s="200" t="s">
        <v>911</v>
      </c>
      <c r="E117" s="166">
        <f>SUM(E106:E112)</f>
        <v>0</v>
      </c>
      <c r="F117" s="153">
        <f>SUM(F106:F112)</f>
        <v>0</v>
      </c>
      <c r="G117" s="92"/>
    </row>
    <row r="118" spans="1:10">
      <c r="A118" s="43"/>
      <c r="D118" s="146" t="s">
        <v>381</v>
      </c>
      <c r="E118" s="201">
        <f>E116-E117</f>
        <v>26097.956699998635</v>
      </c>
      <c r="F118" s="145">
        <f>F116-F117</f>
        <v>3424.9287007872222</v>
      </c>
      <c r="G118" s="92"/>
      <c r="J118" s="167"/>
    </row>
    <row r="119" spans="1:10">
      <c r="A119" s="43"/>
      <c r="F119" s="96"/>
      <c r="G119" s="92"/>
    </row>
    <row r="120" spans="1:10">
      <c r="D120" s="43" t="s">
        <v>135</v>
      </c>
      <c r="E120" s="15">
        <f>SUMIFS($D$38:$D$115,$F$38:$F$115,"&gt;="&amp;C106,$F$38:$F$115,"&lt;="&amp;D112,$G$38:$G$115,$D$120)</f>
        <v>728793.41020000004</v>
      </c>
      <c r="F120" s="153">
        <f>SUMIFS($E$38:$E$115,$F$38:$F$115,"&gt;="&amp;C106,$F$38:$F$115,"&lt;="&amp;D112,$G$38:$G$115,$D$120)</f>
        <v>95638.568200787384</v>
      </c>
    </row>
    <row r="121" spans="1:10">
      <c r="D121" s="43" t="s">
        <v>143</v>
      </c>
      <c r="E121" s="15">
        <f>SUMIFS($D$38:$D$115,$F$38:$F$115,"&gt;="&amp;C106,$F$38:$F$115,"&lt;="&amp;D112,$G$38:$G$115,$D$121)</f>
        <v>0</v>
      </c>
      <c r="F121" s="153">
        <f>SUMIFS($E$38:$E$115,$F$38:$F$115,"&gt;="&amp;C106,$F$38:$F$115,"&lt;="&amp;D112,$G$38:$G$115,$D$121)</f>
        <v>0</v>
      </c>
    </row>
    <row r="122" spans="1:10">
      <c r="D122" s="146" t="s">
        <v>189</v>
      </c>
      <c r="E122" s="152">
        <f>SUM(E120:E121)</f>
        <v>728793.41020000004</v>
      </c>
      <c r="F122" s="145">
        <f>SUM(F120:F121)</f>
        <v>95638.568200787384</v>
      </c>
    </row>
    <row r="123" spans="1:10">
      <c r="D123" s="146" t="s">
        <v>190</v>
      </c>
      <c r="E123" s="152">
        <f>E122-D100</f>
        <v>0</v>
      </c>
      <c r="F123" s="145">
        <f>F122-E100</f>
        <v>0</v>
      </c>
    </row>
    <row r="125" spans="1:10" hidden="1">
      <c r="D125" s="41" t="s">
        <v>373</v>
      </c>
      <c r="E125" s="166">
        <f>D102</f>
        <v>50801.109499998624</v>
      </c>
    </row>
    <row r="126" spans="1:10" hidden="1">
      <c r="D126" s="41" t="s">
        <v>339</v>
      </c>
      <c r="E126" s="166">
        <f>'Caja QTQ'!H167+('Caja USD'!H70*7.6)</f>
        <v>190098.56839999984</v>
      </c>
    </row>
    <row r="127" spans="1:10" hidden="1">
      <c r="D127" s="41" t="s">
        <v>85</v>
      </c>
      <c r="E127" s="166">
        <f>E125-E126</f>
        <v>-139297.45890000122</v>
      </c>
      <c r="F127" s="185">
        <f>E127/7.88</f>
        <v>-17677.342500000155</v>
      </c>
    </row>
    <row r="128" spans="1:10">
      <c r="F128" s="167"/>
    </row>
    <row r="129" spans="4:6">
      <c r="E129" s="166"/>
      <c r="F129" s="167"/>
    </row>
    <row r="130" spans="4:6">
      <c r="D130" s="41" t="s">
        <v>373</v>
      </c>
      <c r="E130" s="166">
        <f>D102</f>
        <v>50801.109499998624</v>
      </c>
    </row>
    <row r="131" spans="4:6">
      <c r="D131" s="41" t="s">
        <v>339</v>
      </c>
      <c r="E131" s="166">
        <f>'Caja QTQ'!$J$625+('Caja USD'!H236*$D$6)</f>
        <v>50801.106699998636</v>
      </c>
      <c r="F131" s="185"/>
    </row>
    <row r="132" spans="4:6">
      <c r="D132" s="41" t="s">
        <v>444</v>
      </c>
      <c r="E132" s="166">
        <f>E130-E131</f>
        <v>2.7999999874737114E-3</v>
      </c>
    </row>
    <row r="133" spans="4:6">
      <c r="D133" s="41" t="s">
        <v>674</v>
      </c>
      <c r="E133" s="167">
        <f>E132/$D$6</f>
        <v>3.6745406659759991E-4</v>
      </c>
    </row>
    <row r="138" spans="4:6">
      <c r="D138" s="109"/>
      <c r="E138" s="264"/>
      <c r="F138" s="227"/>
    </row>
    <row r="139" spans="4:6">
      <c r="D139" s="109"/>
      <c r="E139" s="264"/>
      <c r="F139" s="227"/>
    </row>
    <row r="140" spans="4:6">
      <c r="D140" s="109"/>
      <c r="E140" s="264"/>
      <c r="F140" s="227"/>
    </row>
    <row r="141" spans="4:6">
      <c r="D141" s="109"/>
      <c r="E141" s="264"/>
      <c r="F141" s="227"/>
    </row>
    <row r="142" spans="4:6">
      <c r="D142" s="109"/>
      <c r="E142" s="264"/>
      <c r="F142" s="227"/>
    </row>
    <row r="143" spans="4:6">
      <c r="D143" s="109"/>
      <c r="E143" s="264"/>
      <c r="F143" s="227"/>
    </row>
    <row r="144" spans="4:6">
      <c r="D144" s="109"/>
      <c r="E144" s="264"/>
      <c r="F144" s="227"/>
    </row>
    <row r="145" spans="4:6">
      <c r="D145" s="109"/>
      <c r="E145" s="264"/>
      <c r="F145" s="227"/>
    </row>
    <row r="146" spans="4:6">
      <c r="D146" s="109"/>
      <c r="E146" s="264"/>
      <c r="F146" s="227"/>
    </row>
    <row r="147" spans="4:6">
      <c r="D147" s="109"/>
      <c r="E147" s="264"/>
      <c r="F147" s="227"/>
    </row>
    <row r="148" spans="4:6">
      <c r="D148" s="109"/>
      <c r="E148" s="264"/>
      <c r="F148" s="227"/>
    </row>
    <row r="149" spans="4:6">
      <c r="D149" s="109"/>
      <c r="E149" s="264"/>
      <c r="F149" s="227"/>
    </row>
    <row r="150" spans="4:6">
      <c r="D150" s="109"/>
      <c r="E150" s="264"/>
      <c r="F150" s="227"/>
    </row>
    <row r="151" spans="4:6">
      <c r="D151" s="109"/>
      <c r="E151" s="264"/>
      <c r="F151" s="227"/>
    </row>
    <row r="152" spans="4:6">
      <c r="D152" s="109"/>
      <c r="E152" s="264"/>
      <c r="F152" s="227"/>
    </row>
    <row r="153" spans="4:6">
      <c r="D153" s="109"/>
      <c r="E153" s="264"/>
      <c r="F153" s="227"/>
    </row>
    <row r="154" spans="4:6">
      <c r="D154" s="109"/>
      <c r="E154" s="264"/>
      <c r="F154" s="227"/>
    </row>
  </sheetData>
  <protectedRanges>
    <protectedRange sqref="F33:G33 D104:E104 C116 D114:E119 D63:E63" name="Presupuestos"/>
    <protectedRange sqref="D37:E37 D8:E8" name="Presupuestos_1"/>
    <protectedRange sqref="D45:E48" name="Presupuestos_13_1"/>
    <protectedRange sqref="D50:E58 D60:D61" name="Presupuestos_14"/>
    <protectedRange sqref="D76 D140 D144 D142 D83 E67:E90" name="Presupuestos_2_1_1_1"/>
    <protectedRange sqref="D147 D86 D98:E99 D96:E96 D92:E94" name="Presupuestos_6_1_1_1"/>
    <protectedRange sqref="D138:D139 D141 D143 D145:D146 D148:D153 D84:D85 D67:D75 D87:D90 D77:D82" name="Presupuestos_5_2_1"/>
    <protectedRange sqref="E60:E61" name="Presupuestos_13_1_1"/>
    <protectedRange sqref="E65" name="Presupuestos_7_1_2"/>
    <protectedRange sqref="D65" name="Presupuestos_7_1_1_1"/>
    <protectedRange sqref="D10:E13" name="Presupuestos_2"/>
  </protectedRanges>
  <autoFilter ref="B37:J99" xr:uid="{00000000-0009-0000-0000-000002000000}"/>
  <mergeCells count="4">
    <mergeCell ref="D7:E7"/>
    <mergeCell ref="B36:C36"/>
    <mergeCell ref="D36:E36"/>
    <mergeCell ref="C113:D113"/>
  </mergeCells>
  <conditionalFormatting sqref="J39 J41:J43 J45:J48 J50:J58 J60:J61 J65 J67:J90 J92:J94 J98:J99">
    <cfRule type="cellIs" dxfId="112" priority="9" operator="lessThan">
      <formula>0</formula>
    </cfRule>
    <cfRule type="cellIs" dxfId="111" priority="10" operator="between">
      <formula>6</formula>
      <formula>15</formula>
    </cfRule>
    <cfRule type="cellIs" dxfId="110" priority="11" operator="between">
      <formula>1</formula>
      <formula>5</formula>
    </cfRule>
    <cfRule type="cellIs" dxfId="109" priority="12" operator="between">
      <formula>16</formula>
      <formula>60</formula>
    </cfRule>
  </conditionalFormatting>
  <conditionalFormatting sqref="J63">
    <cfRule type="cellIs" dxfId="108" priority="5" operator="lessThan">
      <formula>0</formula>
    </cfRule>
    <cfRule type="cellIs" dxfId="107" priority="6" operator="between">
      <formula>6</formula>
      <formula>15</formula>
    </cfRule>
    <cfRule type="cellIs" dxfId="106" priority="7" operator="between">
      <formula>1</formula>
      <formula>5</formula>
    </cfRule>
    <cfRule type="cellIs" dxfId="105" priority="8" operator="between">
      <formula>16</formula>
      <formula>60</formula>
    </cfRule>
  </conditionalFormatting>
  <conditionalFormatting sqref="J96">
    <cfRule type="cellIs" dxfId="104" priority="1" operator="lessThan">
      <formula>0</formula>
    </cfRule>
    <cfRule type="cellIs" dxfId="103" priority="2" operator="between">
      <formula>6</formula>
      <formula>15</formula>
    </cfRule>
    <cfRule type="cellIs" dxfId="102" priority="3" operator="between">
      <formula>1</formula>
      <formula>5</formula>
    </cfRule>
    <cfRule type="cellIs" dxfId="101" priority="4" operator="between">
      <formula>16</formula>
      <formula>60</formula>
    </cfRule>
  </conditionalFormatting>
  <dataValidations disablePrompts="1" count="3">
    <dataValidation type="list" allowBlank="1" showInputMessage="1" showErrorMessage="1" sqref="D120:D121 G60:G61 G45:G48 G65 G63 G96 G92:G94 G38:G39 G98:G99 G41:G43 G50:G58 G67:G90" xr:uid="{4062B81F-9781-4379-BF81-8228C3006484}">
      <formula1>"Cancelado,Pagar,Sin Pagar"</formula1>
    </dataValidation>
    <dataValidation type="list" allowBlank="1" showInputMessage="1" showErrorMessage="1" sqref="D36 D7" xr:uid="{D5776A46-DEED-4D34-A03A-42C66A4E9BCA}">
      <formula1>"ENERO,FEBRERO,MARZO,ABRIL,MAYO,JUNIO,JULIO,AGOSTO,SEPTIEMBRE,OCTUBRE,NOVIEMBRE,DICIEMBRE"</formula1>
    </dataValidation>
    <dataValidation type="list" allowBlank="1" showInputMessage="1" showErrorMessage="1" sqref="B15:B32" xr:uid="{189316ED-C664-4636-A617-9114F37F44C4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39:J42 J99 J74 J91:J92 J76:J80 J72 J47:J69 J44:J45 J83:J90 J43 J46 J70:J71 J73 J82 J75 J93:J94 J95:J98" unlockedFormula="1"/>
    <ignoredError sqref="E42" formula="1"/>
  </ignoredError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0C36-888E-4643-858D-838F7FA13FAF}">
  <dimension ref="A1:S167"/>
  <sheetViews>
    <sheetView showGridLines="0" topLeftCell="A52" zoomScale="90" zoomScaleNormal="90" workbookViewId="0">
      <selection activeCell="C74" sqref="C74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45870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7.6</v>
      </c>
      <c r="E6" s="42"/>
      <c r="I6" s="43"/>
    </row>
    <row r="7" spans="1:9" ht="15.75">
      <c r="C7" s="99"/>
      <c r="D7" s="432" t="s">
        <v>374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SUBTOTAL(9,D10:D12)</f>
        <v>49438.790899998639</v>
      </c>
      <c r="E9" s="122">
        <f>SUBTOTAL(9,E10:E13)</f>
        <v>6600.8001184208742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QTQ'!$J$625-26060.44</f>
        <v>22825.836899998638</v>
      </c>
      <c r="E10" s="25">
        <f>D10/$D$6</f>
        <v>3003.3995921050841</v>
      </c>
      <c r="F10" s="49"/>
    </row>
    <row r="11" spans="1:9" s="43" customFormat="1" outlineLevel="1">
      <c r="B11" s="46"/>
      <c r="C11" s="47" t="s">
        <v>154</v>
      </c>
      <c r="D11" s="15">
        <f>E11*D6</f>
        <v>1909.8039999999996</v>
      </c>
      <c r="E11" s="25">
        <f>'Caja USD'!$H$236</f>
        <v>251.28999999999996</v>
      </c>
      <c r="F11" s="49"/>
    </row>
    <row r="12" spans="1:9" s="43" customFormat="1" outlineLevel="1">
      <c r="B12" s="46"/>
      <c r="C12" s="47" t="s">
        <v>979</v>
      </c>
      <c r="D12" s="15">
        <v>24703.15</v>
      </c>
      <c r="E12" s="25">
        <f>D12/D6</f>
        <v>3250.4144736842109</v>
      </c>
      <c r="F12" s="49"/>
    </row>
    <row r="13" spans="1:9" s="43" customFormat="1" hidden="1" outlineLevel="1">
      <c r="B13" s="46"/>
      <c r="C13" s="47"/>
      <c r="D13" s="15">
        <v>727.29</v>
      </c>
      <c r="E13" s="25">
        <f>D13/D6</f>
        <v>95.696052631578951</v>
      </c>
      <c r="F13" s="49"/>
    </row>
    <row r="14" spans="1:9" s="43" customFormat="1" ht="15.75">
      <c r="B14" s="46"/>
      <c r="C14" s="102" t="s">
        <v>134</v>
      </c>
      <c r="D14" s="127">
        <f>SUBTOTAL(9,D15:D34)</f>
        <v>949914.59000000008</v>
      </c>
      <c r="E14" s="122">
        <f>SUBTOTAL(9,E15:E34)</f>
        <v>125021.39323954798</v>
      </c>
      <c r="F14" s="128"/>
    </row>
    <row r="15" spans="1:9" s="43" customFormat="1" outlineLevel="1">
      <c r="A15" s="50"/>
      <c r="B15" s="218" t="s">
        <v>298</v>
      </c>
      <c r="C15" s="215" t="s">
        <v>983</v>
      </c>
      <c r="D15" s="252">
        <f>'Diferencia en cambio'!$I$127</f>
        <v>234032.34089987481</v>
      </c>
      <c r="E15" s="217">
        <f>$D$15/'Diferencia en cambio'!$L$127</f>
        <v>30717.311111111114</v>
      </c>
      <c r="F15" s="128"/>
      <c r="G15" s="184"/>
    </row>
    <row r="16" spans="1:9" s="43" customFormat="1" outlineLevel="1">
      <c r="A16" s="50"/>
      <c r="B16" s="218" t="s">
        <v>298</v>
      </c>
      <c r="C16" s="215" t="s">
        <v>983</v>
      </c>
      <c r="D16" s="252">
        <f>'Diferencia en cambio'!$I$128</f>
        <v>31608.179100125195</v>
      </c>
      <c r="E16" s="217">
        <f>$D$16/'Diferencia en cambio'!$L$128</f>
        <v>4148.6500000000005</v>
      </c>
      <c r="F16" s="128"/>
      <c r="G16" s="184"/>
    </row>
    <row r="17" spans="1:7" s="43" customFormat="1" outlineLevel="1">
      <c r="B17" s="218" t="s">
        <v>298</v>
      </c>
      <c r="C17" s="215" t="s">
        <v>984</v>
      </c>
      <c r="D17" s="252">
        <f>'Diferencia en cambio'!$I$135</f>
        <v>7615.5074052362834</v>
      </c>
      <c r="E17" s="217">
        <f>$D$17/'Diferencia en cambio'!L135</f>
        <v>1017.5555555555557</v>
      </c>
      <c r="F17" s="128"/>
      <c r="G17" s="52"/>
    </row>
    <row r="18" spans="1:7" s="43" customFormat="1" outlineLevel="1">
      <c r="B18" s="218" t="s">
        <v>298</v>
      </c>
      <c r="C18" s="215" t="s">
        <v>985</v>
      </c>
      <c r="D18" s="252">
        <f>'Diferencia en cambio'!$I$136</f>
        <v>10045.64259476372</v>
      </c>
      <c r="E18" s="217">
        <f>$D$18/'Diferencia en cambio'!L136</f>
        <v>1342.2611111111112</v>
      </c>
      <c r="F18" s="128"/>
      <c r="G18" s="52"/>
    </row>
    <row r="19" spans="1:7" s="43" customFormat="1" outlineLevel="1">
      <c r="B19" s="218" t="s">
        <v>298</v>
      </c>
      <c r="C19" s="215" t="s">
        <v>1033</v>
      </c>
      <c r="D19" s="252">
        <f>'Diferencia en cambio'!I126</f>
        <v>11868.808844526066</v>
      </c>
      <c r="E19" s="217">
        <f>D19/'Diferencia en cambio'!L126</f>
        <v>1562</v>
      </c>
      <c r="F19" s="128"/>
      <c r="G19" s="52"/>
    </row>
    <row r="20" spans="1:7" s="43" customFormat="1" outlineLevel="1">
      <c r="B20" s="218" t="s">
        <v>298</v>
      </c>
      <c r="C20" s="215" t="s">
        <v>514</v>
      </c>
      <c r="D20" s="252">
        <f>'Diferencia en cambio'!I139</f>
        <v>42031.565423111169</v>
      </c>
      <c r="E20" s="217">
        <f>D20/'Diferencia en cambio'!L127</f>
        <v>5516.7446799205054</v>
      </c>
      <c r="F20" s="128"/>
      <c r="G20" s="52"/>
    </row>
    <row r="21" spans="1:7" s="43" customFormat="1" outlineLevel="1">
      <c r="B21" s="218" t="s">
        <v>298</v>
      </c>
      <c r="C21" s="215" t="s">
        <v>515</v>
      </c>
      <c r="D21" s="252">
        <f>'Diferencia en cambio'!I140</f>
        <v>50275.542641380838</v>
      </c>
      <c r="E21" s="217">
        <f>D21/'Diferencia en cambio'!L128</f>
        <v>6598.7866405862815</v>
      </c>
      <c r="F21" s="128"/>
      <c r="G21" s="52"/>
    </row>
    <row r="22" spans="1:7" s="43" customFormat="1" ht="14.25" customHeight="1" outlineLevel="1">
      <c r="B22" s="218" t="s">
        <v>298</v>
      </c>
      <c r="C22" s="215" t="s">
        <v>516</v>
      </c>
      <c r="D22" s="252">
        <f>'Diferencia en cambio'!I141</f>
        <v>18849.359647245659</v>
      </c>
      <c r="E22" s="217">
        <f>D22/'Diferencia en cambio'!L129</f>
        <v>2477.4190765469311</v>
      </c>
      <c r="F22" s="202"/>
      <c r="G22" s="52"/>
    </row>
    <row r="23" spans="1:7" s="43" customFormat="1" outlineLevel="1">
      <c r="B23" s="218" t="s">
        <v>298</v>
      </c>
      <c r="C23" s="215" t="s">
        <v>831</v>
      </c>
      <c r="D23" s="252">
        <f>'Diferencia en cambio'!I142</f>
        <v>28173.575848388267</v>
      </c>
      <c r="E23" s="217">
        <f>D23/'Diferencia en cambio'!L130</f>
        <v>3702.9198784787095</v>
      </c>
      <c r="F23" s="128"/>
      <c r="G23" s="52"/>
    </row>
    <row r="24" spans="1:7" s="43" customFormat="1" outlineLevel="1">
      <c r="B24" s="218" t="s">
        <v>298</v>
      </c>
      <c r="C24" s="215" t="s">
        <v>1016</v>
      </c>
      <c r="D24" s="252">
        <f>'Diferencia en cambio'!I143</f>
        <v>20196.047595348002</v>
      </c>
      <c r="E24" s="217">
        <f>D24/'Diferencia en cambio'!L131</f>
        <v>2654.423822125771</v>
      </c>
      <c r="F24" s="128"/>
      <c r="G24" s="52"/>
    </row>
    <row r="25" spans="1:7" s="43" customFormat="1" outlineLevel="1">
      <c r="B25" s="218" t="s">
        <v>298</v>
      </c>
      <c r="C25" s="215" t="s">
        <v>1025</v>
      </c>
      <c r="D25" s="252">
        <f>'Diferencia en cambio'!I144</f>
        <v>230212.51</v>
      </c>
      <c r="E25" s="217">
        <f>D25/'Diferencia en cambio'!L144</f>
        <v>30296.119444444445</v>
      </c>
      <c r="F25" s="128"/>
      <c r="G25" s="52"/>
    </row>
    <row r="26" spans="1:7" s="43" customFormat="1" outlineLevel="1">
      <c r="A26" s="50"/>
      <c r="B26" s="218" t="s">
        <v>298</v>
      </c>
      <c r="C26" s="215" t="s">
        <v>906</v>
      </c>
      <c r="D26" s="252">
        <f>'Diferencia en cambio'!I145</f>
        <v>10190.521799620337</v>
      </c>
      <c r="E26" s="217">
        <f>D26/'Diferencia en cambio'!L145</f>
        <v>1341.2250000000001</v>
      </c>
      <c r="F26" s="128"/>
      <c r="G26" s="184"/>
    </row>
    <row r="27" spans="1:7" s="43" customFormat="1" outlineLevel="1">
      <c r="B27" s="218" t="s">
        <v>298</v>
      </c>
      <c r="C27" s="215" t="s">
        <v>519</v>
      </c>
      <c r="D27" s="252">
        <f>'Diferencia en cambio'!I146</f>
        <v>25895.688641408797</v>
      </c>
      <c r="E27" s="217">
        <f>D27/'Diferencia en cambio'!L146</f>
        <v>3408.2597222222225</v>
      </c>
      <c r="F27" s="128"/>
      <c r="G27" s="52"/>
    </row>
    <row r="28" spans="1:7" s="43" customFormat="1" outlineLevel="1">
      <c r="B28" s="218" t="s">
        <v>298</v>
      </c>
      <c r="C28" s="215" t="s">
        <v>518</v>
      </c>
      <c r="D28" s="252">
        <f>'Diferencia en cambio'!I147</f>
        <v>18298.506174301951</v>
      </c>
      <c r="E28" s="217">
        <f>D28/'Diferencia en cambio'!L147</f>
        <v>2408.3569444444443</v>
      </c>
      <c r="F28" s="128"/>
      <c r="G28" s="52"/>
    </row>
    <row r="29" spans="1:7" s="43" customFormat="1" outlineLevel="1">
      <c r="B29" s="218" t="s">
        <v>298</v>
      </c>
      <c r="C29" s="215" t="s">
        <v>818</v>
      </c>
      <c r="D29" s="252">
        <f>'Diferencia en cambio'!I148</f>
        <v>26066.789604726993</v>
      </c>
      <c r="E29" s="217">
        <f>D29/'Diferencia en cambio'!L148</f>
        <v>3430.7791666666672</v>
      </c>
      <c r="F29" s="128"/>
      <c r="G29" s="52"/>
    </row>
    <row r="30" spans="1:7" s="43" customFormat="1" outlineLevel="1">
      <c r="B30" s="218" t="s">
        <v>298</v>
      </c>
      <c r="C30" s="215" t="s">
        <v>819</v>
      </c>
      <c r="D30" s="252">
        <f>'Diferencia en cambio'!I149</f>
        <v>45385.211167255409</v>
      </c>
      <c r="E30" s="217">
        <f>D30/'Diferencia en cambio'!L149</f>
        <v>5973.3722222222223</v>
      </c>
      <c r="F30" s="128"/>
      <c r="G30" s="52"/>
    </row>
    <row r="31" spans="1:7" s="43" customFormat="1" outlineLevel="1">
      <c r="B31" s="51" t="s">
        <v>143</v>
      </c>
      <c r="C31" s="47" t="s">
        <v>832</v>
      </c>
      <c r="D31" s="171">
        <f>'Diferencia en cambio'!E150*0</f>
        <v>0</v>
      </c>
      <c r="E31" s="202">
        <f>D31/'Diferencia en cambio'!D150</f>
        <v>0</v>
      </c>
      <c r="F31" s="202">
        <f>E31</f>
        <v>0</v>
      </c>
      <c r="G31" s="52"/>
    </row>
    <row r="32" spans="1:7" s="43" customFormat="1" outlineLevel="1">
      <c r="B32" s="218" t="s">
        <v>298</v>
      </c>
      <c r="C32" s="215" t="s">
        <v>929</v>
      </c>
      <c r="D32" s="252">
        <f>'Diferencia en cambio'!I151</f>
        <v>12747.992612686532</v>
      </c>
      <c r="E32" s="217">
        <f>D32/'Diferencia en cambio'!D151</f>
        <v>1686.2424090855202</v>
      </c>
      <c r="F32" s="128"/>
      <c r="G32" s="52"/>
    </row>
    <row r="33" spans="1:19" s="43" customFormat="1" outlineLevel="1">
      <c r="A33" s="50"/>
      <c r="B33" s="218" t="s">
        <v>298</v>
      </c>
      <c r="C33" s="300" t="s">
        <v>986</v>
      </c>
      <c r="D33" s="252">
        <f>'Diferencia en cambio'!I152</f>
        <v>120143.75</v>
      </c>
      <c r="E33" s="217">
        <f>D33/'Diferencia en cambio'!L152</f>
        <v>15897.026455026458</v>
      </c>
      <c r="F33" s="128"/>
      <c r="G33" s="184"/>
    </row>
    <row r="34" spans="1:19" s="43" customFormat="1" ht="14.25" customHeight="1" outlineLevel="1">
      <c r="B34" s="218" t="s">
        <v>298</v>
      </c>
      <c r="C34" s="215" t="s">
        <v>516</v>
      </c>
      <c r="D34" s="252">
        <f>'Diferencia en cambio'!$I$153</f>
        <v>6277.05</v>
      </c>
      <c r="E34" s="217">
        <f>$D$34/'Diferencia en cambio'!$L$153</f>
        <v>841.94</v>
      </c>
      <c r="F34" s="202"/>
      <c r="G34" s="52"/>
    </row>
    <row r="35" spans="1:19" s="43" customFormat="1" ht="15.75">
      <c r="B35" s="46"/>
      <c r="C35" s="276" t="s">
        <v>136</v>
      </c>
      <c r="D35" s="274">
        <f>SUBTOTAL(9,D9:D34)</f>
        <v>1000080.6708999989</v>
      </c>
      <c r="E35" s="275">
        <f>SUBTOTAL(9,E9:E34)</f>
        <v>131622.19335796882</v>
      </c>
      <c r="F35" s="56"/>
      <c r="G35" s="56"/>
      <c r="J35" s="52"/>
      <c r="K35" s="57"/>
      <c r="O35" s="58"/>
      <c r="P35" s="59"/>
      <c r="Q35" s="53"/>
    </row>
    <row r="36" spans="1:19" s="43" customFormat="1" ht="15.75">
      <c r="B36" s="46"/>
      <c r="C36" s="60"/>
      <c r="D36" s="61"/>
      <c r="E36" s="61"/>
      <c r="G36" s="62"/>
      <c r="O36" s="59"/>
      <c r="P36" s="59"/>
    </row>
    <row r="37" spans="1:19" s="43" customFormat="1" ht="15.75">
      <c r="B37" s="46"/>
      <c r="N37" s="63"/>
      <c r="O37" s="64"/>
      <c r="P37" s="65"/>
    </row>
    <row r="38" spans="1:19" s="43" customFormat="1" ht="15.75">
      <c r="B38" s="432" t="s">
        <v>137</v>
      </c>
      <c r="C38" s="432"/>
      <c r="D38" s="432" t="s">
        <v>374</v>
      </c>
      <c r="E38" s="432"/>
      <c r="K38" s="65"/>
      <c r="L38" s="65"/>
      <c r="N38" s="63"/>
      <c r="R38" s="52"/>
      <c r="S38" s="52"/>
    </row>
    <row r="39" spans="1:19" s="43" customFormat="1" ht="16.5" thickBot="1">
      <c r="B39" s="67" t="s">
        <v>81</v>
      </c>
      <c r="C39" s="68" t="s">
        <v>106</v>
      </c>
      <c r="D39" s="110" t="s">
        <v>168</v>
      </c>
      <c r="E39" s="110" t="s">
        <v>169</v>
      </c>
      <c r="F39" s="69" t="s">
        <v>140</v>
      </c>
      <c r="G39" s="63" t="s">
        <v>141</v>
      </c>
      <c r="H39" s="63"/>
      <c r="I39" s="63"/>
      <c r="J39" s="70" t="s">
        <v>142</v>
      </c>
      <c r="N39" s="71"/>
      <c r="R39" s="52"/>
      <c r="S39" s="72"/>
    </row>
    <row r="40" spans="1:19" s="43" customFormat="1" ht="16.5" thickBot="1">
      <c r="B40" s="46"/>
      <c r="C40" s="73" t="s">
        <v>155</v>
      </c>
      <c r="D40" s="103">
        <f>SUBTOTAL(9,D41:D41)</f>
        <v>97522.28</v>
      </c>
      <c r="E40" s="112">
        <f>SUBTOTAL(9,E41:E41)</f>
        <v>12831.878947368421</v>
      </c>
      <c r="F40" s="74"/>
      <c r="J40" s="76"/>
    </row>
    <row r="41" spans="1:19" s="43" customFormat="1" ht="15.75" outlineLevel="1" thickBot="1">
      <c r="B41" s="168">
        <v>5592793</v>
      </c>
      <c r="C41" s="78" t="s">
        <v>988</v>
      </c>
      <c r="D41" s="104">
        <v>97522.28</v>
      </c>
      <c r="E41" s="115">
        <f>D41/$D$6</f>
        <v>12831.878947368421</v>
      </c>
      <c r="F41" s="80">
        <v>45888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12</v>
      </c>
      <c r="J41" s="75">
        <f>H41</f>
        <v>0</v>
      </c>
      <c r="K41" s="52"/>
      <c r="L41" s="52"/>
    </row>
    <row r="42" spans="1:19" s="43" customFormat="1" ht="16.5" thickBot="1">
      <c r="B42" s="46"/>
      <c r="C42" s="73" t="s">
        <v>144</v>
      </c>
      <c r="D42" s="103">
        <f>SUBTOTAL(9,D43:D45)</f>
        <v>30316.32</v>
      </c>
      <c r="E42" s="112">
        <f>SUBTOTAL(9,E43:E45)</f>
        <v>3986</v>
      </c>
      <c r="J42" s="76">
        <f t="shared" ref="J42:J46" si="0">H42</f>
        <v>0</v>
      </c>
    </row>
    <row r="43" spans="1:19" s="43" customFormat="1" outlineLevel="1">
      <c r="B43" s="168">
        <v>48168530687</v>
      </c>
      <c r="C43" s="47" t="s">
        <v>376</v>
      </c>
      <c r="D43" s="104">
        <v>27481.79</v>
      </c>
      <c r="E43" s="115">
        <f>D43/$D$6</f>
        <v>3616.0250000000001</v>
      </c>
      <c r="F43" s="80">
        <v>45881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8</v>
      </c>
      <c r="J43" s="75">
        <f>H43</f>
        <v>0</v>
      </c>
      <c r="K43" s="48"/>
      <c r="L43" s="57"/>
    </row>
    <row r="44" spans="1:19" s="43" customFormat="1" outlineLevel="1">
      <c r="B44" s="168">
        <v>48164095060</v>
      </c>
      <c r="C44" s="47" t="s">
        <v>987</v>
      </c>
      <c r="D44" s="104">
        <v>2834.53</v>
      </c>
      <c r="E44" s="115">
        <f>2466.5*15%</f>
        <v>369.97499999999997</v>
      </c>
      <c r="F44" s="80">
        <v>45881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8</v>
      </c>
      <c r="J44" s="75">
        <f>H44</f>
        <v>0</v>
      </c>
      <c r="K44" s="48"/>
      <c r="L44" s="57"/>
    </row>
    <row r="45" spans="1:19" s="43" customFormat="1" ht="15.75" outlineLevel="1" thickBot="1">
      <c r="B45" s="168" t="s">
        <v>145</v>
      </c>
      <c r="C45" s="47" t="s">
        <v>994</v>
      </c>
      <c r="D45" s="104">
        <f>150*0</f>
        <v>0</v>
      </c>
      <c r="E45" s="115">
        <f>D45/$D$6</f>
        <v>0</v>
      </c>
      <c r="F45" s="80">
        <v>45900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20</v>
      </c>
      <c r="J45" s="75">
        <f>H45</f>
        <v>0</v>
      </c>
      <c r="K45" s="48"/>
      <c r="L45" s="57"/>
    </row>
    <row r="46" spans="1:19" s="43" customFormat="1" ht="16.5" thickBot="1">
      <c r="B46" s="46"/>
      <c r="C46" s="73" t="s">
        <v>163</v>
      </c>
      <c r="D46" s="103">
        <f>SUBTOTAL(9,D47:D54)</f>
        <v>12750.439999999999</v>
      </c>
      <c r="E46" s="112">
        <f>SUBTOTAL(9,E47:E54)</f>
        <v>1677.6894736842105</v>
      </c>
      <c r="J46" s="76">
        <f t="shared" si="0"/>
        <v>0</v>
      </c>
      <c r="K46" s="52"/>
      <c r="L46" s="52"/>
    </row>
    <row r="47" spans="1:19" s="43" customFormat="1" ht="30" outlineLevel="1">
      <c r="B47" s="81">
        <v>1310869492</v>
      </c>
      <c r="C47" s="47" t="s">
        <v>999</v>
      </c>
      <c r="D47" s="109">
        <v>1382.5</v>
      </c>
      <c r="E47" s="113">
        <f t="shared" ref="E47" si="1">D47/$D$6</f>
        <v>181.90789473684211</v>
      </c>
      <c r="F47" s="74">
        <v>45880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7</v>
      </c>
      <c r="J47" s="75">
        <f t="shared" ref="J47" si="2">H47</f>
        <v>0</v>
      </c>
      <c r="M47" s="297"/>
      <c r="N47" s="49"/>
    </row>
    <row r="48" spans="1:19" s="43" customFormat="1" outlineLevel="1">
      <c r="B48" s="46">
        <v>4170467165</v>
      </c>
      <c r="C48" s="47" t="s">
        <v>1000</v>
      </c>
      <c r="D48" s="109">
        <v>926.32</v>
      </c>
      <c r="E48" s="113">
        <f t="shared" ref="E48:E50" si="3">D48/$D$6</f>
        <v>121.8842105263158</v>
      </c>
      <c r="F48" s="74">
        <v>45898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20</v>
      </c>
      <c r="J48" s="75">
        <f t="shared" ref="J48:J50" si="4">H48</f>
        <v>0</v>
      </c>
      <c r="M48" s="297"/>
      <c r="N48" s="49"/>
    </row>
    <row r="49" spans="2:16" s="43" customFormat="1" outlineLevel="1">
      <c r="B49" s="46">
        <v>3698475975</v>
      </c>
      <c r="C49" s="47" t="s">
        <v>1045</v>
      </c>
      <c r="D49" s="109">
        <v>350</v>
      </c>
      <c r="E49" s="113">
        <f t="shared" ref="E49" si="5">D49/$D$6</f>
        <v>46.05263157894737</v>
      </c>
      <c r="F49" s="74">
        <v>45898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20</v>
      </c>
      <c r="J49" s="75">
        <f t="shared" ref="J49" si="6">H49</f>
        <v>0</v>
      </c>
      <c r="M49" s="304">
        <f>SUM(D48:D51)</f>
        <v>3694.7400000000002</v>
      </c>
      <c r="N49" s="49"/>
    </row>
    <row r="50" spans="2:16" s="43" customFormat="1" outlineLevel="1">
      <c r="B50" s="46">
        <v>932532024</v>
      </c>
      <c r="C50" s="47" t="s">
        <v>1001</v>
      </c>
      <c r="D50" s="109">
        <v>1050</v>
      </c>
      <c r="E50" s="113">
        <f t="shared" si="3"/>
        <v>138.15789473684211</v>
      </c>
      <c r="F50" s="74">
        <v>45898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20</v>
      </c>
      <c r="J50" s="75">
        <f t="shared" si="4"/>
        <v>0</v>
      </c>
      <c r="M50" s="297"/>
      <c r="N50" s="49"/>
    </row>
    <row r="51" spans="2:16" s="43" customFormat="1" outlineLevel="1">
      <c r="B51" s="46">
        <v>2765177579</v>
      </c>
      <c r="C51" s="47" t="s">
        <v>1000</v>
      </c>
      <c r="D51" s="109">
        <v>1368.42</v>
      </c>
      <c r="E51" s="113">
        <f t="shared" ref="E51" si="7">D51/$D$6</f>
        <v>180.05526315789476</v>
      </c>
      <c r="F51" s="74">
        <v>45898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20</v>
      </c>
      <c r="J51" s="75">
        <f t="shared" ref="J51" si="8">H51</f>
        <v>0</v>
      </c>
      <c r="M51" s="297"/>
      <c r="N51" s="49"/>
    </row>
    <row r="52" spans="2:16" s="43" customFormat="1" ht="30" outlineLevel="1">
      <c r="B52" s="84">
        <v>67295</v>
      </c>
      <c r="C52" s="47" t="s">
        <v>989</v>
      </c>
      <c r="D52" s="109">
        <v>4673.2</v>
      </c>
      <c r="E52" s="113">
        <f t="shared" ref="E52" si="9">D52/$D$6</f>
        <v>614.89473684210532</v>
      </c>
      <c r="F52" s="74">
        <v>45898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20</v>
      </c>
      <c r="J52" s="75">
        <f t="shared" ref="J52" si="10">H52</f>
        <v>0</v>
      </c>
      <c r="M52" s="297"/>
      <c r="N52" s="49"/>
    </row>
    <row r="53" spans="2:16" s="43" customFormat="1" outlineLevel="1">
      <c r="B53" s="306">
        <v>693455669</v>
      </c>
      <c r="C53" s="47" t="s">
        <v>1056</v>
      </c>
      <c r="D53" s="109">
        <v>3000</v>
      </c>
      <c r="E53" s="113">
        <f t="shared" ref="E53:E54" si="11">D53/$D$6</f>
        <v>394.73684210526318</v>
      </c>
      <c r="F53" s="74">
        <v>45903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23</v>
      </c>
      <c r="J53" s="75">
        <f t="shared" ref="J53:J54" si="12">H53</f>
        <v>0</v>
      </c>
      <c r="M53" s="297"/>
      <c r="N53" s="49"/>
    </row>
    <row r="54" spans="2:16" s="43" customFormat="1" ht="30.75" outlineLevel="1" thickBot="1">
      <c r="B54" s="84">
        <v>782801</v>
      </c>
      <c r="C54" s="47" t="s">
        <v>1058</v>
      </c>
      <c r="D54" s="109">
        <f>4673.2*0</f>
        <v>0</v>
      </c>
      <c r="E54" s="113">
        <f t="shared" si="11"/>
        <v>0</v>
      </c>
      <c r="F54" s="74">
        <v>45925</v>
      </c>
      <c r="G54" s="43" t="s">
        <v>143</v>
      </c>
      <c r="H54" s="43">
        <f>IF(OR(G54="Sin pagar",G54="Pagar"),NETWORKDAYS($E$4,F54,'Festivos Guatemala'!$A$3:$A$15),0)</f>
        <v>38</v>
      </c>
      <c r="I54" s="43">
        <f>NETWORKDAYS($E$4,F54,'Festivos Guatemala'!$A$3:$A$15)</f>
        <v>38</v>
      </c>
      <c r="J54" s="75">
        <f t="shared" si="12"/>
        <v>38</v>
      </c>
      <c r="M54" s="297"/>
      <c r="N54" s="49"/>
    </row>
    <row r="55" spans="2:16" s="43" customFormat="1" ht="16.5" thickBot="1">
      <c r="C55" s="73" t="s">
        <v>146</v>
      </c>
      <c r="D55" s="103">
        <f>SUBTOTAL(9,D56:D64)</f>
        <v>9936.8320000000003</v>
      </c>
      <c r="E55" s="112">
        <f>SUBTOTAL(9,E56:E64)</f>
        <v>1307.4778947368422</v>
      </c>
      <c r="F55" s="43" t="s">
        <v>725</v>
      </c>
      <c r="K55" s="49"/>
      <c r="L55" s="49"/>
      <c r="O55" s="49"/>
      <c r="P55" s="49"/>
    </row>
    <row r="56" spans="2:16" s="43" customFormat="1" ht="14.25" customHeight="1" outlineLevel="1">
      <c r="B56" s="186" t="s">
        <v>746</v>
      </c>
      <c r="C56" s="210" t="s">
        <v>272</v>
      </c>
      <c r="D56" s="104">
        <f>E56*$D$6</f>
        <v>418.53199999999998</v>
      </c>
      <c r="E56" s="305">
        <v>55.07</v>
      </c>
      <c r="F56" s="74">
        <v>45897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19</v>
      </c>
      <c r="J56" s="75">
        <f t="shared" ref="J56:J64" si="13">H56</f>
        <v>0</v>
      </c>
      <c r="K56" s="49"/>
      <c r="L56" s="49"/>
      <c r="O56" s="49"/>
      <c r="P56" s="49"/>
    </row>
    <row r="57" spans="2:16" s="43" customFormat="1" outlineLevel="1">
      <c r="B57" s="186" t="s">
        <v>745</v>
      </c>
      <c r="C57" s="210" t="s">
        <v>273</v>
      </c>
      <c r="D57" s="104">
        <f>E57*$D$6</f>
        <v>1971.9720000000002</v>
      </c>
      <c r="E57" s="305">
        <v>259.47000000000003</v>
      </c>
      <c r="F57" s="74">
        <v>45897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19</v>
      </c>
      <c r="J57" s="75">
        <f t="shared" si="13"/>
        <v>0</v>
      </c>
    </row>
    <row r="58" spans="2:16" s="43" customFormat="1" outlineLevel="1">
      <c r="B58" s="186" t="s">
        <v>745</v>
      </c>
      <c r="C58" s="210" t="s">
        <v>274</v>
      </c>
      <c r="D58" s="104">
        <f>E58*$D$6</f>
        <v>1560.508</v>
      </c>
      <c r="E58" s="305">
        <v>205.33</v>
      </c>
      <c r="F58" s="74">
        <v>45897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19</v>
      </c>
      <c r="J58" s="75">
        <f t="shared" si="13"/>
        <v>0</v>
      </c>
    </row>
    <row r="59" spans="2:16" s="43" customFormat="1" ht="14.25" customHeight="1" outlineLevel="1">
      <c r="B59" s="251" t="s">
        <v>745</v>
      </c>
      <c r="C59" s="209" t="s">
        <v>826</v>
      </c>
      <c r="D59" s="269">
        <v>433.25</v>
      </c>
      <c r="E59" s="113">
        <f t="shared" ref="E59:E64" si="14">D59/$D$6</f>
        <v>57.006578947368425</v>
      </c>
      <c r="F59" s="74">
        <v>45897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19</v>
      </c>
      <c r="J59" s="75">
        <f>H59</f>
        <v>0</v>
      </c>
      <c r="K59" s="49"/>
      <c r="L59" s="49"/>
      <c r="O59" s="49"/>
      <c r="P59" s="49"/>
    </row>
    <row r="60" spans="2:16" s="43" customFormat="1" ht="14.25" customHeight="1" outlineLevel="1">
      <c r="B60" s="251" t="s">
        <v>745</v>
      </c>
      <c r="C60" s="209" t="s">
        <v>827</v>
      </c>
      <c r="D60" s="269">
        <v>722.42</v>
      </c>
      <c r="E60" s="113">
        <f t="shared" si="14"/>
        <v>95.055263157894743</v>
      </c>
      <c r="F60" s="74">
        <v>45897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19</v>
      </c>
      <c r="J60" s="75">
        <f>H60</f>
        <v>0</v>
      </c>
      <c r="K60" s="49"/>
      <c r="L60" s="49"/>
      <c r="O60" s="49"/>
      <c r="P60" s="49"/>
    </row>
    <row r="61" spans="2:16" s="43" customFormat="1" ht="14.25" customHeight="1" outlineLevel="1">
      <c r="B61" s="251" t="s">
        <v>745</v>
      </c>
      <c r="C61" s="209" t="s">
        <v>825</v>
      </c>
      <c r="D61" s="269">
        <v>861.81</v>
      </c>
      <c r="E61" s="113">
        <f t="shared" si="14"/>
        <v>113.39605263157894</v>
      </c>
      <c r="F61" s="74">
        <v>45897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19</v>
      </c>
      <c r="J61" s="75">
        <f>H61</f>
        <v>0</v>
      </c>
      <c r="K61" s="49"/>
      <c r="L61" s="49"/>
      <c r="O61" s="49"/>
      <c r="P61" s="49"/>
    </row>
    <row r="62" spans="2:16" s="43" customFormat="1" ht="14.25" customHeight="1" outlineLevel="1">
      <c r="B62" s="251" t="s">
        <v>745</v>
      </c>
      <c r="C62" s="209" t="s">
        <v>822</v>
      </c>
      <c r="D62" s="269">
        <v>943.23</v>
      </c>
      <c r="E62" s="113">
        <f t="shared" si="14"/>
        <v>124.10921052631579</v>
      </c>
      <c r="F62" s="74">
        <v>45897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19</v>
      </c>
      <c r="J62" s="75">
        <f t="shared" si="13"/>
        <v>0</v>
      </c>
      <c r="K62" s="49"/>
      <c r="L62" s="49"/>
      <c r="O62" s="49"/>
      <c r="P62" s="49"/>
    </row>
    <row r="63" spans="2:16" s="43" customFormat="1" outlineLevel="1">
      <c r="B63" s="251" t="s">
        <v>745</v>
      </c>
      <c r="C63" s="209" t="s">
        <v>823</v>
      </c>
      <c r="D63" s="269">
        <v>1023.02</v>
      </c>
      <c r="E63" s="113">
        <f t="shared" si="14"/>
        <v>134.6078947368421</v>
      </c>
      <c r="F63" s="74">
        <v>45897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19</v>
      </c>
      <c r="J63" s="75">
        <f t="shared" si="13"/>
        <v>0</v>
      </c>
    </row>
    <row r="64" spans="2:16" s="43" customFormat="1" ht="15.75" outlineLevel="1" thickBot="1">
      <c r="B64" s="251" t="s">
        <v>745</v>
      </c>
      <c r="C64" s="209" t="s">
        <v>824</v>
      </c>
      <c r="D64" s="269">
        <v>2002.09</v>
      </c>
      <c r="E64" s="113">
        <f t="shared" si="14"/>
        <v>263.43289473684212</v>
      </c>
      <c r="F64" s="74">
        <v>45897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19</v>
      </c>
      <c r="J64" s="75">
        <f t="shared" si="13"/>
        <v>0</v>
      </c>
    </row>
    <row r="65" spans="2:15" s="43" customFormat="1" ht="16.5" thickBot="1">
      <c r="B65" s="82"/>
      <c r="C65" s="85" t="s">
        <v>162</v>
      </c>
      <c r="D65" s="119">
        <f>SUBTOTAL(9,D66:D69)</f>
        <v>77354.939999999988</v>
      </c>
      <c r="E65" s="114">
        <f>SUBTOTAL(9,E66:E69)</f>
        <v>9917.2999999999993</v>
      </c>
      <c r="K65" s="52"/>
      <c r="M65" s="183"/>
      <c r="N65" s="183"/>
    </row>
    <row r="66" spans="2:15" s="43" customFormat="1" outlineLevel="1">
      <c r="B66" s="46">
        <v>5945</v>
      </c>
      <c r="C66" s="47" t="s">
        <v>835</v>
      </c>
      <c r="D66" s="104">
        <f>E66*7.8</f>
        <v>14089.686</v>
      </c>
      <c r="E66" s="115">
        <f>1806.37</f>
        <v>1806.37</v>
      </c>
      <c r="F66" s="74">
        <v>45898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20</v>
      </c>
      <c r="J66" s="75">
        <f t="shared" ref="J66:J67" si="15">H66</f>
        <v>0</v>
      </c>
      <c r="M66" s="104"/>
      <c r="N66" s="49"/>
    </row>
    <row r="67" spans="2:15" s="43" customFormat="1" outlineLevel="1">
      <c r="B67" s="46">
        <v>6036</v>
      </c>
      <c r="C67" s="47" t="s">
        <v>870</v>
      </c>
      <c r="D67" s="104">
        <f>E67*7.8</f>
        <v>24932.153999999999</v>
      </c>
      <c r="E67" s="115">
        <f>3196.43</f>
        <v>3196.43</v>
      </c>
      <c r="F67" s="74">
        <v>45898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20</v>
      </c>
      <c r="J67" s="75">
        <f t="shared" si="15"/>
        <v>0</v>
      </c>
      <c r="M67" s="104"/>
      <c r="N67" s="49"/>
    </row>
    <row r="68" spans="2:15" s="43" customFormat="1" outlineLevel="1">
      <c r="B68" s="46">
        <v>6135</v>
      </c>
      <c r="C68" s="47" t="s">
        <v>990</v>
      </c>
      <c r="D68" s="104">
        <f>E68*7.8</f>
        <v>19238.7</v>
      </c>
      <c r="E68" s="115">
        <f>2466.5</f>
        <v>2466.5</v>
      </c>
      <c r="F68" s="74">
        <v>45898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20</v>
      </c>
      <c r="J68" s="75">
        <f t="shared" ref="J68" si="16">H68</f>
        <v>0</v>
      </c>
      <c r="M68" s="104"/>
      <c r="N68" s="49"/>
    </row>
    <row r="69" spans="2:15" s="43" customFormat="1" ht="15.75" outlineLevel="1" thickBot="1">
      <c r="B69" s="46">
        <v>6193</v>
      </c>
      <c r="C69" s="47" t="s">
        <v>1048</v>
      </c>
      <c r="D69" s="104">
        <f>E69*7.8</f>
        <v>19094.399999999998</v>
      </c>
      <c r="E69" s="115">
        <v>2448</v>
      </c>
      <c r="F69" s="74">
        <v>45898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20</v>
      </c>
      <c r="J69" s="75">
        <f t="shared" ref="J69" si="17">H69</f>
        <v>0</v>
      </c>
      <c r="M69" s="104"/>
      <c r="N69" s="49"/>
    </row>
    <row r="70" spans="2:15" s="43" customFormat="1" ht="16.5" thickBot="1">
      <c r="B70" s="46"/>
      <c r="C70" s="73" t="s">
        <v>147</v>
      </c>
      <c r="D70" s="103">
        <f>SUBTOTAL(9,D71:D71)</f>
        <v>0</v>
      </c>
      <c r="E70" s="112">
        <f>SUBTOTAL(9,E71:E71)</f>
        <v>0</v>
      </c>
    </row>
    <row r="71" spans="2:15" s="43" customFormat="1" ht="15.75" outlineLevel="1" thickBot="1">
      <c r="B71" s="46"/>
      <c r="C71" s="47"/>
      <c r="D71" s="104"/>
      <c r="E71" s="113"/>
      <c r="F71" s="74">
        <v>45900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20</v>
      </c>
      <c r="J71" s="75">
        <f>H71</f>
        <v>0</v>
      </c>
    </row>
    <row r="72" spans="2:15" s="43" customFormat="1" ht="15.75" customHeight="1" thickBot="1">
      <c r="C72" s="73" t="s">
        <v>148</v>
      </c>
      <c r="D72" s="119">
        <f>SUBTOTAL(9,D73:D74)</f>
        <v>312</v>
      </c>
      <c r="E72" s="114">
        <f>SUBTOTAL(9,E73:E74)</f>
        <v>40</v>
      </c>
    </row>
    <row r="73" spans="2:15" s="43" customFormat="1" outlineLevel="1">
      <c r="B73" s="46"/>
      <c r="C73" s="47" t="s">
        <v>1052</v>
      </c>
      <c r="D73" s="109">
        <f>E73*7.8</f>
        <v>312</v>
      </c>
      <c r="E73" s="115">
        <v>40</v>
      </c>
      <c r="F73" s="74">
        <v>45898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20</v>
      </c>
      <c r="J73" s="75">
        <f t="shared" ref="J73" si="18">H73</f>
        <v>0</v>
      </c>
    </row>
    <row r="74" spans="2:15" s="43" customFormat="1" ht="15.75" outlineLevel="1" thickBot="1">
      <c r="B74" s="46"/>
      <c r="C74" s="47" t="s">
        <v>117</v>
      </c>
      <c r="D74" s="109">
        <v>0</v>
      </c>
      <c r="E74" s="115">
        <v>0</v>
      </c>
      <c r="F74" s="74">
        <v>45900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20</v>
      </c>
      <c r="J74" s="75">
        <f t="shared" ref="J74" si="19">H74</f>
        <v>0</v>
      </c>
    </row>
    <row r="75" spans="2:15" s="43" customFormat="1" ht="16.5" thickBot="1">
      <c r="C75" s="73" t="s">
        <v>164</v>
      </c>
      <c r="D75" s="119">
        <f>SUBTOTAL(9,D76:D99)</f>
        <v>537888.68000000005</v>
      </c>
      <c r="E75" s="114">
        <f>SUBTOTAL(9,E76:E99)</f>
        <v>70774.826315789483</v>
      </c>
      <c r="K75" s="52"/>
      <c r="L75" s="86"/>
      <c r="M75" s="109"/>
      <c r="N75" s="109"/>
      <c r="O75" s="113"/>
    </row>
    <row r="76" spans="2:15" s="43" customFormat="1" outlineLevel="1">
      <c r="B76" s="83" t="s">
        <v>1034</v>
      </c>
      <c r="C76" s="47" t="s">
        <v>843</v>
      </c>
      <c r="D76" s="271">
        <v>18937.8</v>
      </c>
      <c r="E76" s="115">
        <f t="shared" ref="E76:E98" si="20">D76/$D$6</f>
        <v>2491.8157894736842</v>
      </c>
      <c r="F76" s="74">
        <v>45897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19</v>
      </c>
      <c r="J76" s="75">
        <f t="shared" ref="J76:J98" si="21">H76</f>
        <v>0</v>
      </c>
      <c r="L76" s="52"/>
    </row>
    <row r="77" spans="2:15" s="43" customFormat="1" outlineLevel="1">
      <c r="B77" s="83" t="s">
        <v>1034</v>
      </c>
      <c r="C77" s="47" t="s">
        <v>886</v>
      </c>
      <c r="D77" s="271">
        <v>49577.78</v>
      </c>
      <c r="E77" s="115">
        <f t="shared" si="20"/>
        <v>6523.3921052631576</v>
      </c>
      <c r="F77" s="74">
        <v>45897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19</v>
      </c>
      <c r="J77" s="75">
        <f t="shared" si="21"/>
        <v>0</v>
      </c>
      <c r="L77" s="52"/>
    </row>
    <row r="78" spans="2:15" s="43" customFormat="1" outlineLevel="1">
      <c r="B78" s="83" t="s">
        <v>1034</v>
      </c>
      <c r="C78" s="47" t="s">
        <v>176</v>
      </c>
      <c r="D78" s="271">
        <v>28786.83</v>
      </c>
      <c r="E78" s="115">
        <f t="shared" si="20"/>
        <v>3787.7407894736848</v>
      </c>
      <c r="F78" s="74">
        <v>45897</v>
      </c>
      <c r="G78" s="43" t="s">
        <v>135</v>
      </c>
      <c r="H78" s="43">
        <f>IF(OR(G78="Sin pagar",G78="Pagar"),NETWORKDAYS($E$4,F78,'Festivos Guatemala'!$A$3:$A$15),0)</f>
        <v>0</v>
      </c>
      <c r="I78" s="43">
        <f>NETWORKDAYS($E$4,F78,'Festivos Guatemala'!$A$3:$A$15)</f>
        <v>19</v>
      </c>
      <c r="J78" s="75">
        <f t="shared" si="21"/>
        <v>0</v>
      </c>
      <c r="L78" s="52"/>
    </row>
    <row r="79" spans="2:15" s="43" customFormat="1" ht="13.5" customHeight="1" outlineLevel="1">
      <c r="B79" s="83" t="s">
        <v>1034</v>
      </c>
      <c r="C79" s="47" t="s">
        <v>948</v>
      </c>
      <c r="D79" s="271">
        <v>17873.990000000002</v>
      </c>
      <c r="E79" s="115">
        <f>D79/$D$6</f>
        <v>2351.8407894736847</v>
      </c>
      <c r="F79" s="74">
        <v>45897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19</v>
      </c>
      <c r="J79" s="75">
        <f>H79</f>
        <v>0</v>
      </c>
      <c r="L79" s="52"/>
    </row>
    <row r="80" spans="2:15" s="43" customFormat="1" outlineLevel="1">
      <c r="B80" s="267" t="s">
        <v>1035</v>
      </c>
      <c r="C80" s="47" t="s">
        <v>944</v>
      </c>
      <c r="D80" s="271">
        <v>13622.51</v>
      </c>
      <c r="E80" s="115">
        <f t="shared" si="20"/>
        <v>1792.4355263157895</v>
      </c>
      <c r="F80" s="74">
        <v>45897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19</v>
      </c>
      <c r="J80" s="75">
        <f t="shared" si="21"/>
        <v>0</v>
      </c>
      <c r="L80" s="52"/>
    </row>
    <row r="81" spans="2:12" s="43" customFormat="1" outlineLevel="1">
      <c r="B81" s="267" t="s">
        <v>1035</v>
      </c>
      <c r="C81" s="47" t="s">
        <v>945</v>
      </c>
      <c r="D81" s="271">
        <v>9026.59</v>
      </c>
      <c r="E81" s="115">
        <f t="shared" si="20"/>
        <v>1187.7092105263159</v>
      </c>
      <c r="F81" s="74">
        <v>45897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19</v>
      </c>
      <c r="J81" s="75">
        <f t="shared" si="21"/>
        <v>0</v>
      </c>
      <c r="L81" s="52"/>
    </row>
    <row r="82" spans="2:12" s="43" customFormat="1" outlineLevel="1">
      <c r="B82" s="267" t="s">
        <v>1035</v>
      </c>
      <c r="C82" s="47" t="s">
        <v>829</v>
      </c>
      <c r="D82" s="271">
        <v>34601.33</v>
      </c>
      <c r="E82" s="115">
        <f t="shared" si="20"/>
        <v>4552.8065789473685</v>
      </c>
      <c r="F82" s="74">
        <v>45897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19</v>
      </c>
      <c r="J82" s="75">
        <f t="shared" si="21"/>
        <v>0</v>
      </c>
      <c r="L82" s="52"/>
    </row>
    <row r="83" spans="2:12" s="43" customFormat="1" outlineLevel="1">
      <c r="B83" s="267" t="s">
        <v>1036</v>
      </c>
      <c r="C83" s="47" t="s">
        <v>946</v>
      </c>
      <c r="D83" s="271">
        <v>9930.7099999999991</v>
      </c>
      <c r="E83" s="115">
        <f t="shared" si="20"/>
        <v>1306.6723684210526</v>
      </c>
      <c r="F83" s="74">
        <v>45897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19</v>
      </c>
      <c r="J83" s="75">
        <f t="shared" si="21"/>
        <v>0</v>
      </c>
      <c r="L83" s="52"/>
    </row>
    <row r="84" spans="2:12" s="43" customFormat="1" outlineLevel="1">
      <c r="B84" s="301" t="s">
        <v>1037</v>
      </c>
      <c r="C84" s="47" t="s">
        <v>947</v>
      </c>
      <c r="D84" s="271">
        <v>9667.8799999999992</v>
      </c>
      <c r="E84" s="115">
        <f>D84/$D$6</f>
        <v>1272.0894736842106</v>
      </c>
      <c r="F84" s="74">
        <v>45897</v>
      </c>
      <c r="G84" s="43" t="s">
        <v>135</v>
      </c>
      <c r="H84" s="43">
        <f>IF(OR(G84="Sin pagar",G84="Pagar"),NETWORKDAYS($E$4,F84,'Festivos Guatemala'!$A$3:$A$15),0)</f>
        <v>0</v>
      </c>
      <c r="I84" s="43">
        <f>NETWORKDAYS($E$4,F84,'Festivos Guatemala'!$A$3:$A$15)</f>
        <v>19</v>
      </c>
      <c r="J84" s="75">
        <f>H84</f>
        <v>0</v>
      </c>
      <c r="L84" s="52"/>
    </row>
    <row r="85" spans="2:12" s="43" customFormat="1" outlineLevel="1">
      <c r="B85" s="303" t="s">
        <v>892</v>
      </c>
      <c r="C85" s="302" t="s">
        <v>414</v>
      </c>
      <c r="D85" s="268">
        <v>62165</v>
      </c>
      <c r="E85" s="115">
        <f t="shared" si="20"/>
        <v>8179.605263157895</v>
      </c>
      <c r="F85" s="74">
        <v>45896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18</v>
      </c>
      <c r="J85" s="75">
        <f t="shared" si="21"/>
        <v>0</v>
      </c>
      <c r="L85" s="52"/>
    </row>
    <row r="86" spans="2:12" s="43" customFormat="1" outlineLevel="1">
      <c r="B86" s="303" t="s">
        <v>892</v>
      </c>
      <c r="C86" s="47" t="s">
        <v>797</v>
      </c>
      <c r="D86" s="268">
        <v>19880</v>
      </c>
      <c r="E86" s="115">
        <f t="shared" si="20"/>
        <v>2615.7894736842109</v>
      </c>
      <c r="F86" s="74">
        <v>45896</v>
      </c>
      <c r="G86" s="43" t="s">
        <v>135</v>
      </c>
      <c r="H86" s="43">
        <f>IF(OR(G86="Sin pagar",G86="Pagar"),NETWORKDAYS($E$4,F86,'Festivos Guatemala'!$A$3:$A$15),0)</f>
        <v>0</v>
      </c>
      <c r="I86" s="43">
        <f>NETWORKDAYS($E$4,F86,'Festivos Guatemala'!$A$3:$A$15)</f>
        <v>18</v>
      </c>
      <c r="J86" s="75">
        <f t="shared" si="21"/>
        <v>0</v>
      </c>
      <c r="L86" s="52"/>
    </row>
    <row r="87" spans="2:12" s="43" customFormat="1" outlineLevel="1">
      <c r="B87" s="303" t="s">
        <v>892</v>
      </c>
      <c r="C87" s="47" t="s">
        <v>417</v>
      </c>
      <c r="D87" s="268">
        <v>10562</v>
      </c>
      <c r="E87" s="115">
        <f t="shared" si="20"/>
        <v>1389.7368421052631</v>
      </c>
      <c r="F87" s="74">
        <v>45896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18</v>
      </c>
      <c r="J87" s="75">
        <f t="shared" si="21"/>
        <v>0</v>
      </c>
      <c r="L87" s="52"/>
    </row>
    <row r="88" spans="2:12" s="43" customFormat="1" outlineLevel="1">
      <c r="B88" s="303" t="s">
        <v>892</v>
      </c>
      <c r="C88" s="47" t="s">
        <v>409</v>
      </c>
      <c r="D88" s="268">
        <v>14151</v>
      </c>
      <c r="E88" s="115">
        <f t="shared" si="20"/>
        <v>1861.9736842105265</v>
      </c>
      <c r="F88" s="74">
        <v>45896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18</v>
      </c>
      <c r="J88" s="75">
        <f t="shared" si="21"/>
        <v>0</v>
      </c>
      <c r="L88" s="52"/>
    </row>
    <row r="89" spans="2:12" s="43" customFormat="1" outlineLevel="1">
      <c r="B89" s="303" t="s">
        <v>892</v>
      </c>
      <c r="C89" s="47" t="s">
        <v>844</v>
      </c>
      <c r="D89" s="268">
        <v>24923.65</v>
      </c>
      <c r="E89" s="115">
        <f t="shared" si="20"/>
        <v>3279.4276315789475</v>
      </c>
      <c r="F89" s="74">
        <v>45896</v>
      </c>
      <c r="G89" s="43" t="s">
        <v>135</v>
      </c>
      <c r="H89" s="43">
        <f>IF(OR(G89="Sin pagar",G89="Pagar"),NETWORKDAYS($E$4,F89,'Festivos Guatemala'!$A$3:$A$15),0)</f>
        <v>0</v>
      </c>
      <c r="I89" s="43">
        <f>NETWORKDAYS($E$4,F89,'Festivos Guatemala'!$A$3:$A$15)</f>
        <v>18</v>
      </c>
      <c r="J89" s="75">
        <f t="shared" si="21"/>
        <v>0</v>
      </c>
      <c r="L89" s="52"/>
    </row>
    <row r="90" spans="2:12" s="43" customFormat="1" ht="13.5" customHeight="1" outlineLevel="1">
      <c r="B90" s="303" t="s">
        <v>892</v>
      </c>
      <c r="C90" s="47" t="s">
        <v>901</v>
      </c>
      <c r="D90" s="268">
        <v>32589.919999999998</v>
      </c>
      <c r="E90" s="115">
        <f t="shared" si="20"/>
        <v>4288.1473684210523</v>
      </c>
      <c r="F90" s="74">
        <v>45896</v>
      </c>
      <c r="G90" s="43" t="s">
        <v>135</v>
      </c>
      <c r="H90" s="43">
        <f>IF(OR(G90="Sin pagar",G90="Pagar"),NETWORKDAYS($E$4,F90,'Festivos Guatemala'!$A$3:$A$15),0)</f>
        <v>0</v>
      </c>
      <c r="I90" s="43">
        <f>NETWORKDAYS($E$4,F90,'Festivos Guatemala'!$A$3:$A$15)</f>
        <v>18</v>
      </c>
      <c r="J90" s="75">
        <f t="shared" si="21"/>
        <v>0</v>
      </c>
      <c r="L90" s="52"/>
    </row>
    <row r="91" spans="2:12" s="43" customFormat="1" outlineLevel="1">
      <c r="B91" s="303" t="s">
        <v>892</v>
      </c>
      <c r="C91" s="47" t="s">
        <v>416</v>
      </c>
      <c r="D91" s="268">
        <v>67392</v>
      </c>
      <c r="E91" s="115">
        <f t="shared" si="20"/>
        <v>8867.3684210526317</v>
      </c>
      <c r="F91" s="74">
        <v>45896</v>
      </c>
      <c r="G91" s="43" t="s">
        <v>135</v>
      </c>
      <c r="H91" s="43">
        <f>IF(OR(G91="Sin pagar",G91="Pagar"),NETWORKDAYS($E$4,F91,'Festivos Guatemala'!$A$3:$A$15),0)</f>
        <v>0</v>
      </c>
      <c r="I91" s="43">
        <f>NETWORKDAYS($E$4,F91,'Festivos Guatemala'!$A$3:$A$15)</f>
        <v>18</v>
      </c>
      <c r="J91" s="75">
        <f t="shared" si="21"/>
        <v>0</v>
      </c>
      <c r="L91" s="52"/>
    </row>
    <row r="92" spans="2:12" s="43" customFormat="1" outlineLevel="1">
      <c r="B92" s="303" t="s">
        <v>892</v>
      </c>
      <c r="C92" s="47" t="s">
        <v>412</v>
      </c>
      <c r="D92" s="268">
        <v>8025</v>
      </c>
      <c r="E92" s="115">
        <f t="shared" si="20"/>
        <v>1055.921052631579</v>
      </c>
      <c r="F92" s="74">
        <v>45896</v>
      </c>
      <c r="G92" s="43" t="s">
        <v>135</v>
      </c>
      <c r="H92" s="43">
        <f>IF(OR(G92="Sin pagar",G92="Pagar"),NETWORKDAYS($E$4,F92,'Festivos Guatemala'!$A$3:$A$15),0)</f>
        <v>0</v>
      </c>
      <c r="I92" s="43">
        <f>NETWORKDAYS($E$4,F92,'Festivos Guatemala'!$A$3:$A$15)</f>
        <v>18</v>
      </c>
      <c r="J92" s="75">
        <f t="shared" si="21"/>
        <v>0</v>
      </c>
      <c r="L92" s="52"/>
    </row>
    <row r="93" spans="2:12" s="43" customFormat="1" outlineLevel="1">
      <c r="B93" s="303" t="s">
        <v>892</v>
      </c>
      <c r="C93" s="47" t="s">
        <v>413</v>
      </c>
      <c r="D93" s="268">
        <v>3943</v>
      </c>
      <c r="E93" s="115">
        <f t="shared" si="20"/>
        <v>518.81578947368428</v>
      </c>
      <c r="F93" s="74">
        <v>45896</v>
      </c>
      <c r="G93" s="43" t="s">
        <v>135</v>
      </c>
      <c r="H93" s="43">
        <f>IF(OR(G93="Sin pagar",G93="Pagar"),NETWORKDAYS($E$4,F93,'Festivos Guatemala'!$A$3:$A$15),0)</f>
        <v>0</v>
      </c>
      <c r="I93" s="43">
        <f>NETWORKDAYS($E$4,F93,'Festivos Guatemala'!$A$3:$A$15)</f>
        <v>18</v>
      </c>
      <c r="J93" s="75">
        <f t="shared" si="21"/>
        <v>0</v>
      </c>
      <c r="L93" s="52"/>
    </row>
    <row r="94" spans="2:12" s="43" customFormat="1" outlineLevel="1">
      <c r="B94" s="303" t="s">
        <v>892</v>
      </c>
      <c r="C94" s="47" t="s">
        <v>415</v>
      </c>
      <c r="D94" s="268">
        <v>25739</v>
      </c>
      <c r="E94" s="115">
        <f t="shared" si="20"/>
        <v>3386.7105263157896</v>
      </c>
      <c r="F94" s="74">
        <v>45896</v>
      </c>
      <c r="G94" s="43" t="s">
        <v>135</v>
      </c>
      <c r="H94" s="43">
        <f>IF(OR(G94="Sin pagar",G94="Pagar"),NETWORKDAYS($E$4,F94,'Festivos Guatemala'!$A$3:$A$15),0)</f>
        <v>0</v>
      </c>
      <c r="I94" s="43">
        <f>NETWORKDAYS($E$4,F94,'Festivos Guatemala'!$A$3:$A$15)</f>
        <v>18</v>
      </c>
      <c r="J94" s="75">
        <f t="shared" si="21"/>
        <v>0</v>
      </c>
      <c r="L94" s="52"/>
    </row>
    <row r="95" spans="2:12" s="43" customFormat="1" outlineLevel="1">
      <c r="B95" s="303" t="s">
        <v>892</v>
      </c>
      <c r="C95" s="47" t="s">
        <v>410</v>
      </c>
      <c r="D95" s="268">
        <v>3943</v>
      </c>
      <c r="E95" s="115">
        <f t="shared" si="20"/>
        <v>518.81578947368428</v>
      </c>
      <c r="F95" s="74">
        <v>45896</v>
      </c>
      <c r="G95" s="43" t="s">
        <v>135</v>
      </c>
      <c r="H95" s="43">
        <f>IF(OR(G95="Sin pagar",G95="Pagar"),NETWORKDAYS($E$4,F95,'Festivos Guatemala'!$A$3:$A$15),0)</f>
        <v>0</v>
      </c>
      <c r="I95" s="43">
        <f>NETWORKDAYS($E$4,F95,'Festivos Guatemala'!$A$3:$A$15)</f>
        <v>18</v>
      </c>
      <c r="J95" s="75">
        <f t="shared" si="21"/>
        <v>0</v>
      </c>
      <c r="L95" s="52"/>
    </row>
    <row r="96" spans="2:12" s="43" customFormat="1" outlineLevel="1">
      <c r="B96" s="303" t="s">
        <v>892</v>
      </c>
      <c r="C96" s="47" t="s">
        <v>845</v>
      </c>
      <c r="D96" s="268">
        <v>24923</v>
      </c>
      <c r="E96" s="115">
        <f t="shared" si="20"/>
        <v>3279.3421052631579</v>
      </c>
      <c r="F96" s="74">
        <v>45896</v>
      </c>
      <c r="G96" s="43" t="s">
        <v>135</v>
      </c>
      <c r="H96" s="43">
        <f>IF(OR(G96="Sin pagar",G96="Pagar"),NETWORKDAYS($E$4,F96,'Festivos Guatemala'!$A$3:$A$15),0)</f>
        <v>0</v>
      </c>
      <c r="I96" s="43">
        <f>NETWORKDAYS($E$4,F96,'Festivos Guatemala'!$A$3:$A$15)</f>
        <v>18</v>
      </c>
      <c r="J96" s="75">
        <f t="shared" si="21"/>
        <v>0</v>
      </c>
      <c r="L96" s="52"/>
    </row>
    <row r="97" spans="1:16" s="43" customFormat="1" outlineLevel="1">
      <c r="B97" s="303" t="s">
        <v>892</v>
      </c>
      <c r="C97" s="47" t="s">
        <v>418</v>
      </c>
      <c r="D97" s="268">
        <v>33857.480000000003</v>
      </c>
      <c r="E97" s="115">
        <f t="shared" si="20"/>
        <v>4454.9315789473694</v>
      </c>
      <c r="F97" s="74">
        <v>45896</v>
      </c>
      <c r="G97" s="43" t="s">
        <v>135</v>
      </c>
      <c r="H97" s="43">
        <f>IF(OR(G97="Sin pagar",G97="Pagar"),NETWORKDAYS($E$4,F97,'Festivos Guatemala'!$A$3:$A$15),0)</f>
        <v>0</v>
      </c>
      <c r="I97" s="43">
        <f>NETWORKDAYS($E$4,F97,'Festivos Guatemala'!$A$3:$A$15)</f>
        <v>18</v>
      </c>
      <c r="J97" s="75">
        <f t="shared" si="21"/>
        <v>0</v>
      </c>
      <c r="L97" s="52"/>
    </row>
    <row r="98" spans="1:16" s="43" customFormat="1" ht="13.5" customHeight="1" outlineLevel="1" thickBot="1">
      <c r="B98" s="303" t="s">
        <v>892</v>
      </c>
      <c r="C98" s="47" t="s">
        <v>411</v>
      </c>
      <c r="D98" s="268">
        <v>3943.21</v>
      </c>
      <c r="E98" s="115">
        <f t="shared" si="20"/>
        <v>518.84342105263158</v>
      </c>
      <c r="F98" s="74">
        <v>45896</v>
      </c>
      <c r="G98" s="43" t="s">
        <v>135</v>
      </c>
      <c r="H98" s="43">
        <f>IF(OR(G98="Sin pagar",G98="Pagar"),NETWORKDAYS($E$4,F98,'Festivos Guatemala'!$A$3:$A$15),0)</f>
        <v>0</v>
      </c>
      <c r="I98" s="43">
        <f>NETWORKDAYS($E$4,F98,'Festivos Guatemala'!$A$3:$A$15)</f>
        <v>18</v>
      </c>
      <c r="J98" s="75">
        <f t="shared" si="21"/>
        <v>0</v>
      </c>
      <c r="L98" s="52"/>
    </row>
    <row r="99" spans="1:16" s="43" customFormat="1" ht="13.5" customHeight="1" outlineLevel="1" thickBot="1">
      <c r="B99" s="303" t="s">
        <v>892</v>
      </c>
      <c r="C99" s="47" t="s">
        <v>1053</v>
      </c>
      <c r="D99" s="268">
        <v>9826</v>
      </c>
      <c r="E99" s="115">
        <f t="shared" ref="E99" si="22">D99/$D$6</f>
        <v>1292.8947368421054</v>
      </c>
      <c r="F99" s="74">
        <v>45898</v>
      </c>
      <c r="G99" s="43" t="s">
        <v>135</v>
      </c>
      <c r="H99" s="43">
        <f>IF(OR(G99="Sin pagar",G99="Pagar"),NETWORKDAYS($E$4,F99,'Festivos Guatemala'!$A$3:$A$15),0)</f>
        <v>0</v>
      </c>
      <c r="I99" s="43">
        <f>NETWORKDAYS($E$4,F99,'Festivos Guatemala'!$A$3:$A$15)</f>
        <v>20</v>
      </c>
      <c r="J99" s="75">
        <f t="shared" ref="J99" si="23">H99</f>
        <v>0</v>
      </c>
      <c r="L99" s="52"/>
    </row>
    <row r="100" spans="1:16" s="43" customFormat="1" ht="16.5" thickBot="1">
      <c r="B100" s="46"/>
      <c r="C100" s="73" t="s">
        <v>173</v>
      </c>
      <c r="D100" s="103">
        <f>SUBTOTAL(9,D101:D103)</f>
        <v>11881.858</v>
      </c>
      <c r="E100" s="112">
        <f>SUBTOTAL(9,E101:E103)</f>
        <v>1563.4023684210526</v>
      </c>
    </row>
    <row r="101" spans="1:16" s="43" customFormat="1" outlineLevel="1">
      <c r="B101" s="46"/>
      <c r="C101" s="210" t="s">
        <v>1038</v>
      </c>
      <c r="D101" s="109">
        <f>$E$101*$D$6</f>
        <v>4735.6359999999995</v>
      </c>
      <c r="E101" s="115">
        <v>623.11</v>
      </c>
      <c r="F101" s="74">
        <v>45896</v>
      </c>
      <c r="G101" s="43" t="s">
        <v>135</v>
      </c>
      <c r="H101" s="43">
        <f>IF(OR(G101="Sin pagar",G101="Pagar"),NETWORKDAYS($E$4,F101,'Festivos Guatemala'!$A$3:$A$15),0)</f>
        <v>0</v>
      </c>
      <c r="I101" s="43">
        <f>NETWORKDAYS($E$4,F101,'Festivos Guatemala'!$A$3:$A$15)</f>
        <v>18</v>
      </c>
      <c r="J101" s="75">
        <f t="shared" ref="J101:J103" si="24">H101</f>
        <v>0</v>
      </c>
      <c r="K101" s="52"/>
      <c r="L101" s="54"/>
    </row>
    <row r="102" spans="1:16" s="43" customFormat="1" outlineLevel="1">
      <c r="B102" s="46"/>
      <c r="C102" s="210" t="s">
        <v>278</v>
      </c>
      <c r="D102" s="109">
        <f>$E$102*$D$6</f>
        <v>6547.9319999999998</v>
      </c>
      <c r="E102" s="115">
        <v>861.57</v>
      </c>
      <c r="F102" s="74">
        <v>45896</v>
      </c>
      <c r="G102" s="43" t="s">
        <v>135</v>
      </c>
      <c r="H102" s="43">
        <f>IF(OR(G102="Sin pagar",G102="Pagar"),NETWORKDAYS($E$4,F102,'Festivos Guatemala'!$A$3:$A$15),0)</f>
        <v>0</v>
      </c>
      <c r="I102" s="43">
        <f>NETWORKDAYS($E$4,F102,'Festivos Guatemala'!$A$3:$A$15)</f>
        <v>18</v>
      </c>
      <c r="J102" s="75">
        <f t="shared" ref="J102" si="25">H102</f>
        <v>0</v>
      </c>
      <c r="K102" s="52"/>
      <c r="L102" s="54"/>
    </row>
    <row r="103" spans="1:16" s="43" customFormat="1" ht="15.75" outlineLevel="1" thickBot="1">
      <c r="B103" s="46"/>
      <c r="C103" s="209" t="s">
        <v>280</v>
      </c>
      <c r="D103" s="109">
        <v>598.29</v>
      </c>
      <c r="E103" s="115">
        <f>D103/$D$6</f>
        <v>78.722368421052636</v>
      </c>
      <c r="F103" s="74">
        <v>45896</v>
      </c>
      <c r="G103" s="43" t="s">
        <v>135</v>
      </c>
      <c r="H103" s="43">
        <f>IF(OR(G103="Sin pagar",G103="Pagar"),NETWORKDAYS($E$4,F103,'Festivos Guatemala'!$A$3:$A$15),0)</f>
        <v>0</v>
      </c>
      <c r="I103" s="43">
        <f>NETWORKDAYS($E$4,F103,'Festivos Guatemala'!$A$3:$A$15)</f>
        <v>18</v>
      </c>
      <c r="J103" s="75">
        <f t="shared" si="24"/>
        <v>0</v>
      </c>
      <c r="K103" s="52"/>
      <c r="L103" s="54"/>
    </row>
    <row r="104" spans="1:16" s="43" customFormat="1" ht="16.5" thickBot="1">
      <c r="B104" s="87"/>
      <c r="C104" s="73" t="s">
        <v>149</v>
      </c>
      <c r="D104" s="103">
        <f>SUBTOTAL(9,D105)</f>
        <v>197.5</v>
      </c>
      <c r="E104" s="112">
        <f>SUBTOTAL(9,E105)</f>
        <v>25.986842105263158</v>
      </c>
      <c r="L104" s="52"/>
    </row>
    <row r="105" spans="1:16" s="43" customFormat="1" ht="15.75" outlineLevel="1" thickBot="1">
      <c r="B105" t="s">
        <v>1054</v>
      </c>
      <c r="C105" s="47" t="s">
        <v>1055</v>
      </c>
      <c r="D105" s="109">
        <v>197.5</v>
      </c>
      <c r="E105" s="115">
        <f>D105/$D$6</f>
        <v>25.986842105263158</v>
      </c>
      <c r="F105" s="74">
        <v>45903</v>
      </c>
      <c r="G105" s="43" t="s">
        <v>135</v>
      </c>
      <c r="H105" s="43">
        <f>IF(OR(G105="Sin pagar",G105="Pagar"),NETWORKDAYS($E$4,F105,'Festivos Guatemala'!$A$3:$A$15),0)</f>
        <v>0</v>
      </c>
      <c r="I105" s="43">
        <f>NETWORKDAYS($E$4,F105,'Festivos Guatemala'!$A$3:$A$15)</f>
        <v>23</v>
      </c>
      <c r="J105" s="75">
        <f>H105</f>
        <v>0</v>
      </c>
      <c r="K105" s="52"/>
      <c r="L105" s="54"/>
    </row>
    <row r="106" spans="1:16" s="43" customFormat="1" ht="16.5" thickBot="1">
      <c r="B106" s="46"/>
      <c r="C106" s="73" t="s">
        <v>638</v>
      </c>
      <c r="D106" s="103">
        <f>SUBTOTAL(9,D107:D107)</f>
        <v>1500</v>
      </c>
      <c r="E106" s="112">
        <f>SUBTOTAL(9,E107:E107)</f>
        <v>197.36842105263159</v>
      </c>
    </row>
    <row r="107" spans="1:16" s="43" customFormat="1" ht="15.75" outlineLevel="1" thickBot="1">
      <c r="B107" s="46">
        <v>4215230063</v>
      </c>
      <c r="C107" s="47" t="s">
        <v>951</v>
      </c>
      <c r="D107" s="109">
        <v>1500</v>
      </c>
      <c r="E107" s="115">
        <f>D107/$D$6</f>
        <v>197.36842105263159</v>
      </c>
      <c r="F107" s="74">
        <v>45896</v>
      </c>
      <c r="G107" s="43" t="s">
        <v>135</v>
      </c>
      <c r="H107" s="43">
        <f>IF(OR(G107="Sin pagar",G107="Pagar"),NETWORKDAYS($E$4,F107,'Festivos Guatemala'!$A$3:$A$15),0)</f>
        <v>0</v>
      </c>
      <c r="I107" s="43">
        <f>NETWORKDAYS($E$4,F107,'Festivos Guatemala'!$A$3:$A$15)</f>
        <v>18</v>
      </c>
      <c r="J107" s="75">
        <f>H107</f>
        <v>0</v>
      </c>
      <c r="K107" s="52"/>
      <c r="L107" s="54"/>
    </row>
    <row r="108" spans="1:16" s="43" customFormat="1" ht="14.25" customHeight="1">
      <c r="B108" s="46"/>
      <c r="C108" s="88" t="s">
        <v>150</v>
      </c>
      <c r="D108" s="120">
        <f>SUBTOTAL(9,D40:D107)</f>
        <v>779660.85000000021</v>
      </c>
      <c r="E108" s="116">
        <f>SUBTOTAL(9,E40:E107)</f>
        <v>102321.93026315786</v>
      </c>
      <c r="K108" s="39"/>
      <c r="L108" s="39"/>
      <c r="N108" s="39"/>
      <c r="O108" s="39"/>
      <c r="P108" s="39"/>
    </row>
    <row r="109" spans="1:16" ht="15.75">
      <c r="A109" s="43"/>
      <c r="E109" s="117"/>
      <c r="F109" s="89"/>
      <c r="G109" s="89"/>
      <c r="H109" s="89"/>
      <c r="I109" s="89"/>
      <c r="J109" s="89"/>
    </row>
    <row r="110" spans="1:16" ht="15.75">
      <c r="A110" s="43"/>
      <c r="C110" s="90" t="s">
        <v>151</v>
      </c>
      <c r="D110" s="121">
        <f>D35-D108</f>
        <v>220419.82089999865</v>
      </c>
      <c r="E110" s="118">
        <f>E35-E108</f>
        <v>29300.263094810958</v>
      </c>
      <c r="F110" s="226"/>
      <c r="G110" s="227"/>
      <c r="J110" s="227"/>
    </row>
    <row r="111" spans="1:16" s="93" customFormat="1" ht="15.75">
      <c r="A111" s="43"/>
      <c r="B111" s="94"/>
      <c r="C111" s="90" t="s">
        <v>152</v>
      </c>
      <c r="D111" s="95">
        <f>IF($D$35=0,0,D110/$D$35)</f>
        <v>0.22040204086900017</v>
      </c>
      <c r="E111" s="95">
        <f>IF($E$35=0,0,E110/$E$35)</f>
        <v>0.22260883478156254</v>
      </c>
      <c r="F111" s="96"/>
      <c r="G111" s="92"/>
      <c r="J111" s="97"/>
      <c r="K111" s="39"/>
      <c r="L111" s="39"/>
      <c r="N111" s="39"/>
      <c r="O111" s="39"/>
      <c r="P111" s="39"/>
    </row>
    <row r="112" spans="1:16" ht="15.75" thickBot="1">
      <c r="A112" s="43"/>
      <c r="F112" s="96"/>
      <c r="G112" s="92"/>
    </row>
    <row r="113" spans="1:7" ht="15.75" thickBot="1">
      <c r="A113" s="43"/>
      <c r="C113" s="135" t="s">
        <v>184</v>
      </c>
      <c r="D113" s="136" t="s">
        <v>185</v>
      </c>
      <c r="E113" s="137" t="s">
        <v>191</v>
      </c>
      <c r="F113" s="137" t="s">
        <v>186</v>
      </c>
      <c r="G113" s="92"/>
    </row>
    <row r="114" spans="1:7">
      <c r="A114" s="43"/>
      <c r="C114" s="307">
        <v>45870</v>
      </c>
      <c r="D114" s="308">
        <v>45872</v>
      </c>
      <c r="E114" s="309">
        <f t="shared" ref="E114:E122" si="26">SUMIFS($D$40:$D$111,$F$40:$F$111,"&gt;="&amp;C114,$F$40:$F$111,"&lt;="&amp;D114,$G$40:$G$111,$D$133)</f>
        <v>0</v>
      </c>
      <c r="F114" s="310">
        <f t="shared" ref="F114:F122" si="27">SUMIFS($E$40:$E$111,$F$40:$F$111,"&gt;="&amp;C114,$F$40:$F$111,"&lt;="&amp;D114,$G$40:$G$111,$D$133)</f>
        <v>0</v>
      </c>
      <c r="G114" s="92"/>
    </row>
    <row r="115" spans="1:7">
      <c r="A115" s="43"/>
      <c r="C115" s="191">
        <v>45873</v>
      </c>
      <c r="D115" s="260">
        <v>45879</v>
      </c>
      <c r="E115" s="193">
        <f t="shared" si="26"/>
        <v>0</v>
      </c>
      <c r="F115" s="194">
        <f t="shared" si="27"/>
        <v>0</v>
      </c>
      <c r="G115" s="92"/>
    </row>
    <row r="116" spans="1:7">
      <c r="A116" s="43"/>
      <c r="C116" s="191">
        <v>45880</v>
      </c>
      <c r="D116" s="260">
        <v>45880</v>
      </c>
      <c r="E116" s="193">
        <f t="shared" si="26"/>
        <v>0</v>
      </c>
      <c r="F116" s="194">
        <f t="shared" si="27"/>
        <v>0</v>
      </c>
      <c r="G116" s="92"/>
    </row>
    <row r="117" spans="1:7">
      <c r="A117" s="43"/>
      <c r="C117" s="191">
        <v>45881</v>
      </c>
      <c r="D117" s="260">
        <v>45881</v>
      </c>
      <c r="E117" s="193">
        <f t="shared" si="26"/>
        <v>0</v>
      </c>
      <c r="F117" s="194">
        <f t="shared" si="27"/>
        <v>0</v>
      </c>
      <c r="G117" s="92" t="s">
        <v>992</v>
      </c>
    </row>
    <row r="118" spans="1:7">
      <c r="A118" s="43"/>
      <c r="C118" s="191">
        <v>45882</v>
      </c>
      <c r="D118" s="192">
        <v>45886</v>
      </c>
      <c r="E118" s="193">
        <f t="shared" si="26"/>
        <v>0</v>
      </c>
      <c r="F118" s="194">
        <f t="shared" si="27"/>
        <v>0</v>
      </c>
      <c r="G118" s="92"/>
    </row>
    <row r="119" spans="1:7">
      <c r="A119" s="43"/>
      <c r="C119" s="191">
        <v>45887</v>
      </c>
      <c r="D119" s="192">
        <v>45887</v>
      </c>
      <c r="E119" s="193">
        <f t="shared" si="26"/>
        <v>0</v>
      </c>
      <c r="F119" s="194">
        <f t="shared" si="27"/>
        <v>0</v>
      </c>
      <c r="G119" s="92" t="s">
        <v>993</v>
      </c>
    </row>
    <row r="120" spans="1:7">
      <c r="A120" s="43"/>
      <c r="C120" s="191">
        <v>45888</v>
      </c>
      <c r="D120" s="192">
        <v>45893</v>
      </c>
      <c r="E120" s="193">
        <f t="shared" si="26"/>
        <v>0</v>
      </c>
      <c r="F120" s="194">
        <f t="shared" si="27"/>
        <v>0</v>
      </c>
      <c r="G120" s="92"/>
    </row>
    <row r="121" spans="1:7">
      <c r="A121" s="43"/>
      <c r="C121" s="191">
        <v>45894</v>
      </c>
      <c r="D121" s="192">
        <v>45900</v>
      </c>
      <c r="E121" s="193">
        <f t="shared" si="26"/>
        <v>0</v>
      </c>
      <c r="F121" s="194">
        <f t="shared" si="27"/>
        <v>0</v>
      </c>
      <c r="G121" s="92" t="s">
        <v>991</v>
      </c>
    </row>
    <row r="122" spans="1:7" ht="15.75" thickBot="1">
      <c r="A122" s="43"/>
      <c r="C122" s="195">
        <v>45901</v>
      </c>
      <c r="D122" s="196">
        <v>45905</v>
      </c>
      <c r="E122" s="197">
        <f t="shared" si="26"/>
        <v>0</v>
      </c>
      <c r="F122" s="198">
        <f t="shared" si="27"/>
        <v>0</v>
      </c>
      <c r="G122" s="92"/>
    </row>
    <row r="123" spans="1:7" ht="15.75">
      <c r="A123" s="43"/>
      <c r="C123" s="433" t="s">
        <v>187</v>
      </c>
      <c r="D123" s="433"/>
      <c r="E123" s="148">
        <f>SUM(E114:E122)</f>
        <v>0</v>
      </c>
      <c r="F123" s="144">
        <f>SUM(F114:F122)</f>
        <v>0</v>
      </c>
      <c r="G123" s="92"/>
    </row>
    <row r="124" spans="1:7">
      <c r="A124" s="43"/>
      <c r="F124" s="96"/>
      <c r="G124" s="92"/>
    </row>
    <row r="125" spans="1:7">
      <c r="A125" s="43"/>
      <c r="F125" s="96"/>
      <c r="G125" s="92"/>
    </row>
    <row r="126" spans="1:7">
      <c r="A126" s="43"/>
      <c r="C126" s="41"/>
      <c r="D126" s="41" t="s">
        <v>380</v>
      </c>
      <c r="E126" s="166">
        <f>'Caja QTQ'!$H$683+('Caja USD'!$H$260*$D$6)</f>
        <v>373301.63889999926</v>
      </c>
      <c r="F126" s="153">
        <f>('Caja QTQ'!$H$683/D6)+'Caja USD'!$H$260</f>
        <v>49118.636697368318</v>
      </c>
      <c r="G126" s="92"/>
    </row>
    <row r="127" spans="1:7">
      <c r="A127" s="43"/>
      <c r="C127" s="41"/>
      <c r="D127" s="200" t="s">
        <v>1050</v>
      </c>
      <c r="E127" s="166">
        <f>SUBTOTAL(9,E114:E121)</f>
        <v>0</v>
      </c>
      <c r="F127" s="153">
        <f>SUBTOTAL(9,F114:F121)</f>
        <v>0</v>
      </c>
      <c r="G127" s="92"/>
    </row>
    <row r="128" spans="1:7">
      <c r="A128" s="43"/>
      <c r="C128" s="41"/>
      <c r="D128" s="146" t="s">
        <v>969</v>
      </c>
      <c r="E128" s="201">
        <f>E126-E127</f>
        <v>373301.63889999926</v>
      </c>
      <c r="F128" s="201">
        <f>F126-F127</f>
        <v>49118.636697368318</v>
      </c>
      <c r="G128" s="92"/>
    </row>
    <row r="129" spans="1:10">
      <c r="A129" s="43"/>
      <c r="C129" s="41"/>
      <c r="E129" s="166"/>
      <c r="F129" s="153"/>
      <c r="G129" s="92"/>
    </row>
    <row r="130" spans="1:10">
      <c r="A130" s="43"/>
      <c r="D130" s="146"/>
      <c r="E130" s="298"/>
      <c r="F130" s="299"/>
      <c r="G130" s="92"/>
      <c r="J130" s="167"/>
    </row>
    <row r="131" spans="1:10">
      <c r="A131" s="43"/>
      <c r="D131" s="146"/>
      <c r="E131" s="298"/>
      <c r="F131" s="299"/>
      <c r="G131" s="92"/>
      <c r="J131" s="167"/>
    </row>
    <row r="132" spans="1:10">
      <c r="D132" s="43" t="s">
        <v>135</v>
      </c>
      <c r="E132" s="15">
        <f>SUMIFS($D$40:$D$125,$F$40:$F$125,"&gt;="&amp;C114,$F$40:$F$125,"&lt;="&amp;D122,$G$40:$G$125,$D$132)</f>
        <v>779660.85000000021</v>
      </c>
      <c r="F132" s="153">
        <f>SUMIFS($E$40:$E$125,$F$40:$F$125,"&gt;="&amp;C114,$F$40:$F$125,"&lt;="&amp;D122,$G$40:$G$125,$D$132)</f>
        <v>102321.93026315786</v>
      </c>
    </row>
    <row r="133" spans="1:10">
      <c r="D133" s="43" t="s">
        <v>143</v>
      </c>
      <c r="E133" s="15">
        <f>SUMIFS($D$40:$D$125,$F$40:$F$125,"&gt;="&amp;C114,$F$40:$F$125,"&lt;="&amp;D121,$G$40:$G$125,$D$133)</f>
        <v>0</v>
      </c>
      <c r="F133" s="153">
        <f>SUMIFS($E$40:$E$125,$F$40:$F$125,"&gt;="&amp;C114,$F$40:$F$125,"&lt;="&amp;D121,$G$40:$G$125,$D$133)</f>
        <v>0</v>
      </c>
    </row>
    <row r="134" spans="1:10">
      <c r="D134" s="146" t="s">
        <v>189</v>
      </c>
      <c r="E134" s="152">
        <f>SUM(E132:E133)</f>
        <v>779660.85000000021</v>
      </c>
      <c r="F134" s="145">
        <f>SUM(F132:F133)</f>
        <v>102321.93026315786</v>
      </c>
    </row>
    <row r="135" spans="1:10">
      <c r="D135" s="146" t="s">
        <v>190</v>
      </c>
      <c r="E135" s="152">
        <f>E134-D108</f>
        <v>0</v>
      </c>
      <c r="F135" s="145">
        <f>F134-E108</f>
        <v>0</v>
      </c>
    </row>
    <row r="138" spans="1:10" hidden="1">
      <c r="D138" s="41" t="s">
        <v>339</v>
      </c>
      <c r="E138" s="166">
        <f>'Caja QTQ'!H167+('Caja USD'!H70*7.6)</f>
        <v>190098.56839999984</v>
      </c>
    </row>
    <row r="139" spans="1:10" hidden="1">
      <c r="D139" s="41" t="s">
        <v>85</v>
      </c>
      <c r="E139" s="166">
        <f>E137-E138</f>
        <v>-190098.56839999984</v>
      </c>
      <c r="F139" s="185">
        <f>E139/7.88</f>
        <v>-24124.183807106579</v>
      </c>
    </row>
    <row r="140" spans="1:10">
      <c r="F140" s="167"/>
    </row>
    <row r="141" spans="1:10">
      <c r="D141" s="41" t="s">
        <v>373</v>
      </c>
      <c r="E141" s="166">
        <f>D110</f>
        <v>220419.82089999865</v>
      </c>
      <c r="F141" s="167"/>
    </row>
    <row r="142" spans="1:10">
      <c r="D142" s="41" t="s">
        <v>339</v>
      </c>
      <c r="E142" s="166">
        <f>'Caja QTQ'!$J$683+('Caja USD'!$H$248*$D$6)</f>
        <v>220419.82089999894</v>
      </c>
      <c r="F142" s="167"/>
    </row>
    <row r="143" spans="1:10">
      <c r="D143" s="41" t="s">
        <v>444</v>
      </c>
      <c r="E143" s="166">
        <f>$E$141-$E$142</f>
        <v>-2.9103830456733704E-10</v>
      </c>
      <c r="F143" s="167"/>
    </row>
    <row r="144" spans="1:10">
      <c r="D144" s="41" t="s">
        <v>674</v>
      </c>
      <c r="E144" s="167">
        <f>E143/$D$6</f>
        <v>-3.8294513758860139E-11</v>
      </c>
      <c r="F144" s="167"/>
    </row>
    <row r="145" spans="4:6">
      <c r="F145" s="167"/>
    </row>
    <row r="146" spans="4:6">
      <c r="F146" s="167"/>
    </row>
    <row r="147" spans="4:6">
      <c r="F147" s="167"/>
    </row>
    <row r="148" spans="4:6">
      <c r="F148" s="167"/>
    </row>
    <row r="149" spans="4:6">
      <c r="D149" s="41" t="s">
        <v>1049</v>
      </c>
      <c r="E149" s="166">
        <f>($D$41+$D$43+$D$44+$D$47)*1.5</f>
        <v>193831.65000000002</v>
      </c>
      <c r="F149" s="153">
        <f>($E$41+$E$43+$E$44+$E$47)*1.5</f>
        <v>25499.680263157894</v>
      </c>
    </row>
    <row r="150" spans="4:6">
      <c r="D150" s="41" t="s">
        <v>5</v>
      </c>
      <c r="E150" s="166">
        <f>E128-E149</f>
        <v>179469.98889999924</v>
      </c>
      <c r="F150" s="153">
        <f>F128-F149</f>
        <v>23618.956434210424</v>
      </c>
    </row>
    <row r="151" spans="4:6">
      <c r="D151" s="109"/>
      <c r="E151" s="264"/>
      <c r="F151" s="227"/>
    </row>
    <row r="152" spans="4:6">
      <c r="D152" s="109"/>
      <c r="E152" s="264"/>
      <c r="F152" s="227"/>
    </row>
    <row r="153" spans="4:6">
      <c r="D153" s="109"/>
      <c r="E153" s="264"/>
      <c r="F153" s="227"/>
    </row>
    <row r="154" spans="4:6">
      <c r="D154" s="109"/>
      <c r="E154" s="264"/>
      <c r="F154" s="227"/>
    </row>
    <row r="155" spans="4:6">
      <c r="D155" s="109"/>
      <c r="E155" s="264"/>
      <c r="F155" s="227"/>
    </row>
    <row r="156" spans="4:6">
      <c r="D156" s="109"/>
      <c r="E156" s="264"/>
      <c r="F156" s="227"/>
    </row>
    <row r="157" spans="4:6">
      <c r="D157" s="109"/>
      <c r="E157" s="264"/>
      <c r="F157" s="227"/>
    </row>
    <row r="158" spans="4:6">
      <c r="D158" s="109"/>
      <c r="E158" s="264"/>
      <c r="F158" s="227"/>
    </row>
    <row r="159" spans="4:6">
      <c r="D159" s="109"/>
      <c r="E159" s="264"/>
      <c r="F159" s="227"/>
    </row>
    <row r="160" spans="4:6">
      <c r="D160" s="109"/>
      <c r="E160" s="264"/>
      <c r="F160" s="227"/>
    </row>
    <row r="161" spans="4:6">
      <c r="D161" s="109"/>
      <c r="E161" s="264"/>
      <c r="F161" s="227"/>
    </row>
    <row r="162" spans="4:6">
      <c r="D162" s="109"/>
      <c r="E162" s="264"/>
      <c r="F162" s="227"/>
    </row>
    <row r="163" spans="4:6">
      <c r="D163" s="109"/>
      <c r="E163" s="264"/>
      <c r="F163" s="227"/>
    </row>
    <row r="164" spans="4:6">
      <c r="D164" s="109"/>
      <c r="E164" s="264"/>
      <c r="F164" s="227"/>
    </row>
    <row r="165" spans="4:6">
      <c r="D165" s="109"/>
      <c r="E165" s="264"/>
      <c r="F165" s="227"/>
    </row>
    <row r="166" spans="4:6">
      <c r="D166" s="109"/>
      <c r="E166" s="264"/>
      <c r="F166" s="227"/>
    </row>
    <row r="167" spans="4:6">
      <c r="D167" s="109"/>
      <c r="E167" s="264"/>
      <c r="F167" s="227"/>
    </row>
  </sheetData>
  <protectedRanges>
    <protectedRange sqref="F35:G35 D112:E112 D71:E71 F128 D124:E131 C126:C129" name="Presupuestos"/>
    <protectedRange sqref="D39:E39 D8:E8" name="Presupuestos_1"/>
    <protectedRange sqref="D47:E54" name="Presupuestos_13_1"/>
    <protectedRange sqref="D56:E64 D66:D69" name="Presupuestos_14"/>
    <protectedRange sqref="D153 D157 D155 E76:E99" name="Presupuestos_2_1_1_1"/>
    <protectedRange sqref="D160 D105:E105 D107:E107 D101:E103" name="Presupuestos_6_1_1_1"/>
    <protectedRange sqref="D151:D152 D154 D156 D158:D159 D161:D166 D76:D99" name="Presupuestos_5_2_1"/>
    <protectedRange sqref="E66:E69" name="Presupuestos_13_1_1"/>
    <protectedRange sqref="E73:E74" name="Presupuestos_7_1_2"/>
    <protectedRange sqref="D73:D74" name="Presupuestos_7_1_1_1"/>
    <protectedRange sqref="D10:E13" name="Presupuestos_2"/>
  </protectedRanges>
  <autoFilter ref="B39:J107" xr:uid="{00000000-0009-0000-0000-000002000000}"/>
  <mergeCells count="4">
    <mergeCell ref="D7:E7"/>
    <mergeCell ref="B38:C38"/>
    <mergeCell ref="D38:E38"/>
    <mergeCell ref="C123:D123"/>
  </mergeCells>
  <conditionalFormatting sqref="J41 J43:J45 J47:J54 J56:J64 J66:J69 J73:J74 J76:J99 J101:J103 J107">
    <cfRule type="cellIs" dxfId="100" priority="9" operator="lessThan">
      <formula>0</formula>
    </cfRule>
    <cfRule type="cellIs" dxfId="99" priority="10" operator="between">
      <formula>6</formula>
      <formula>15</formula>
    </cfRule>
    <cfRule type="cellIs" dxfId="98" priority="11" operator="between">
      <formula>1</formula>
      <formula>5</formula>
    </cfRule>
    <cfRule type="cellIs" dxfId="97" priority="12" operator="between">
      <formula>16</formula>
      <formula>60</formula>
    </cfRule>
  </conditionalFormatting>
  <conditionalFormatting sqref="J71">
    <cfRule type="cellIs" dxfId="96" priority="5" operator="lessThan">
      <formula>0</formula>
    </cfRule>
    <cfRule type="cellIs" dxfId="95" priority="6" operator="between">
      <formula>6</formula>
      <formula>15</formula>
    </cfRule>
    <cfRule type="cellIs" dxfId="94" priority="7" operator="between">
      <formula>1</formula>
      <formula>5</formula>
    </cfRule>
    <cfRule type="cellIs" dxfId="93" priority="8" operator="between">
      <formula>16</formula>
      <formula>60</formula>
    </cfRule>
  </conditionalFormatting>
  <conditionalFormatting sqref="J105">
    <cfRule type="cellIs" dxfId="92" priority="1" operator="lessThan">
      <formula>0</formula>
    </cfRule>
    <cfRule type="cellIs" dxfId="91" priority="2" operator="between">
      <formula>6</formula>
      <formula>15</formula>
    </cfRule>
    <cfRule type="cellIs" dxfId="90" priority="3" operator="between">
      <formula>1</formula>
      <formula>5</formula>
    </cfRule>
    <cfRule type="cellIs" dxfId="89" priority="4" operator="between">
      <formula>16</formula>
      <formula>60</formula>
    </cfRule>
  </conditionalFormatting>
  <dataValidations disablePrompts="1" count="3">
    <dataValidation type="list" allowBlank="1" showInputMessage="1" showErrorMessage="1" sqref="D38 D7" xr:uid="{0595F073-FFA1-4E6A-AFB5-AA6E1F8C61B6}">
      <formula1>"ENERO,FEBRERO,MARZO,ABRIL,MAYO,JUNIO,JULIO,AGOSTO,SEPTIEMBRE,OCTUBRE,NOVIEMBRE,DICIEMBRE"</formula1>
    </dataValidation>
    <dataValidation type="list" allowBlank="1" showInputMessage="1" showErrorMessage="1" sqref="D132:D133 G101:G103 G107 G73:G74 G71 G105 G40:G41 G56:G64 G43:G45 G76:G99 G66:G69 G47:G54" xr:uid="{A90F5864-3394-457A-8805-3FE4866FF4FF}">
      <formula1>"Cancelado,Pagar,Sin Pagar"</formula1>
    </dataValidation>
    <dataValidation type="list" allowBlank="1" showInputMessage="1" showErrorMessage="1" sqref="B15:B34" xr:uid="{4F49AD34-A9D9-44FA-BFD2-5CB1013EC57F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100:J101 J103:J107 J41:J48 J55:J68 J74:J78 J70:J72 J80:J98 J50:J52" unlockedFormula="1"/>
    <ignoredError sqref="E44" formula="1"/>
  </ignoredError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CC19-D05C-44AC-B773-6F9211BF3FF5}">
  <dimension ref="A1:S177"/>
  <sheetViews>
    <sheetView showGridLines="0" topLeftCell="A64" zoomScale="90" zoomScaleNormal="90" workbookViewId="0">
      <selection activeCell="D79" sqref="D79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9" hidden="1">
      <c r="D1" s="41">
        <v>42400</v>
      </c>
    </row>
    <row r="2" spans="2:9">
      <c r="D2" s="42"/>
      <c r="E2" s="42"/>
      <c r="I2" s="43"/>
    </row>
    <row r="3" spans="2:9">
      <c r="E3" s="15"/>
      <c r="I3" s="43"/>
    </row>
    <row r="4" spans="2:9" ht="15.75">
      <c r="B4" s="134"/>
      <c r="C4" s="134"/>
      <c r="D4" s="111" t="s">
        <v>139</v>
      </c>
      <c r="E4" s="66">
        <v>45901</v>
      </c>
      <c r="I4" s="43"/>
    </row>
    <row r="5" spans="2:9">
      <c r="D5" s="42"/>
      <c r="E5" s="42"/>
      <c r="I5" s="43"/>
    </row>
    <row r="6" spans="2:9">
      <c r="C6" s="98" t="s">
        <v>181</v>
      </c>
      <c r="D6" s="125">
        <v>7.56</v>
      </c>
      <c r="E6" s="42"/>
      <c r="I6" s="43"/>
    </row>
    <row r="7" spans="2:9" ht="15.75">
      <c r="C7" s="99"/>
      <c r="D7" s="432" t="s">
        <v>494</v>
      </c>
      <c r="E7" s="432"/>
      <c r="I7" s="43"/>
    </row>
    <row r="8" spans="2:9">
      <c r="D8" s="110" t="s">
        <v>168</v>
      </c>
      <c r="E8" s="110" t="s">
        <v>169</v>
      </c>
    </row>
    <row r="9" spans="2:9" s="44" customFormat="1" ht="15.75">
      <c r="C9" s="101" t="s">
        <v>133</v>
      </c>
      <c r="D9" s="126">
        <f>SUBTOTAL(9,D10:D11)</f>
        <v>220369.95129999897</v>
      </c>
      <c r="E9" s="122">
        <f>SUBTOTAL(9,E10:E11)</f>
        <v>29149.46445767182</v>
      </c>
      <c r="F9" s="45"/>
      <c r="I9" s="43"/>
    </row>
    <row r="10" spans="2:9" s="43" customFormat="1" outlineLevel="1">
      <c r="B10" s="46"/>
      <c r="C10" s="47" t="s">
        <v>153</v>
      </c>
      <c r="D10" s="15">
        <f>'Caja QTQ'!$J$683</f>
        <v>210944.59689999896</v>
      </c>
      <c r="E10" s="25">
        <f>D10/$D$6</f>
        <v>27902.724457671822</v>
      </c>
      <c r="F10" s="49"/>
    </row>
    <row r="11" spans="2:9" s="43" customFormat="1" outlineLevel="1">
      <c r="B11" s="46"/>
      <c r="C11" s="47" t="s">
        <v>154</v>
      </c>
      <c r="D11" s="15">
        <f>E11*D6</f>
        <v>9425.3543999999983</v>
      </c>
      <c r="E11" s="25">
        <f>'Caja USD'!$H$248</f>
        <v>1246.7399999999998</v>
      </c>
      <c r="F11" s="49"/>
    </row>
    <row r="12" spans="2:9" s="43" customFormat="1" ht="15.75">
      <c r="B12" s="46"/>
      <c r="C12" s="102" t="s">
        <v>134</v>
      </c>
      <c r="D12" s="127">
        <f>SUBTOTAL(9,D13:D29)</f>
        <v>961773.03999999992</v>
      </c>
      <c r="E12" s="122">
        <f>SUBTOTAL(9,E13:E29)</f>
        <v>126690.40612854171</v>
      </c>
      <c r="F12" s="128"/>
    </row>
    <row r="13" spans="2:9" s="43" customFormat="1" outlineLevel="1">
      <c r="B13" s="218" t="s">
        <v>298</v>
      </c>
      <c r="C13" s="215" t="s">
        <v>1061</v>
      </c>
      <c r="D13" s="252">
        <f>'Diferencia en cambio'!I150</f>
        <v>99409.27</v>
      </c>
      <c r="E13" s="217">
        <f>D13/'Diferencia en cambio'!$L$150</f>
        <v>13119.680555555557</v>
      </c>
      <c r="F13" s="202"/>
      <c r="G13" s="52"/>
    </row>
    <row r="14" spans="2:9" s="43" customFormat="1" outlineLevel="1">
      <c r="B14" s="218" t="s">
        <v>298</v>
      </c>
      <c r="C14" s="215" t="s">
        <v>514</v>
      </c>
      <c r="D14" s="252">
        <f>'Diferencia en cambio'!I154</f>
        <v>41919.027475615381</v>
      </c>
      <c r="E14" s="217">
        <f>$D$14/'Diferencia en cambio'!$L$154</f>
        <v>5531.583333333333</v>
      </c>
      <c r="F14" s="128"/>
      <c r="G14" s="52"/>
    </row>
    <row r="15" spans="2:9" s="43" customFormat="1" outlineLevel="1">
      <c r="B15" s="218" t="s">
        <v>298</v>
      </c>
      <c r="C15" s="215" t="s">
        <v>515</v>
      </c>
      <c r="D15" s="252">
        <f>'Diferencia en cambio'!I155</f>
        <v>50140.9317526085</v>
      </c>
      <c r="E15" s="217">
        <f>$D$15/'Diferencia en cambio'!$L$155</f>
        <v>6616.5357142857138</v>
      </c>
      <c r="F15" s="128"/>
      <c r="G15" s="52"/>
    </row>
    <row r="16" spans="2:9" s="43" customFormat="1" ht="14.25" customHeight="1" outlineLevel="1">
      <c r="B16" s="218" t="s">
        <v>298</v>
      </c>
      <c r="C16" s="215" t="s">
        <v>516</v>
      </c>
      <c r="D16" s="252">
        <f>'Diferencia en cambio'!I156</f>
        <v>12532.59412692383</v>
      </c>
      <c r="E16" s="217">
        <f>$D$16/'Diferencia en cambio'!$L$156</f>
        <v>1653.7857142857142</v>
      </c>
      <c r="F16" s="202"/>
      <c r="G16" s="52"/>
    </row>
    <row r="17" spans="1:17" s="43" customFormat="1" ht="14.25" hidden="1" customHeight="1" outlineLevel="1">
      <c r="B17" s="218"/>
      <c r="C17" s="215"/>
      <c r="D17" s="351">
        <v>6799.83</v>
      </c>
      <c r="E17" s="351">
        <f>D17/D6</f>
        <v>899.44841269841277</v>
      </c>
      <c r="F17" s="202"/>
      <c r="G17" s="52"/>
    </row>
    <row r="18" spans="1:17" s="43" customFormat="1" outlineLevel="1">
      <c r="B18" s="218" t="s">
        <v>298</v>
      </c>
      <c r="C18" s="215" t="s">
        <v>831</v>
      </c>
      <c r="D18" s="252">
        <f>'Diferencia en cambio'!I157</f>
        <v>28307.643213077048</v>
      </c>
      <c r="E18" s="217">
        <f>$D$18/'Diferencia en cambio'!$L$157</f>
        <v>3735.4417989417993</v>
      </c>
      <c r="F18" s="329"/>
      <c r="G18" s="208"/>
    </row>
    <row r="19" spans="1:17" s="43" customFormat="1" outlineLevel="1">
      <c r="B19" s="218" t="s">
        <v>298</v>
      </c>
      <c r="C19" s="215" t="s">
        <v>1016</v>
      </c>
      <c r="D19" s="252">
        <f>'Diferencia en cambio'!I158</f>
        <v>20141.973431775263</v>
      </c>
      <c r="E19" s="217">
        <f t="shared" ref="E19" si="0">D19/$D$6</f>
        <v>2664.2821999702728</v>
      </c>
      <c r="F19" s="329"/>
      <c r="G19" s="208"/>
    </row>
    <row r="20" spans="1:17" s="43" customFormat="1" outlineLevel="1">
      <c r="B20" s="218" t="s">
        <v>298</v>
      </c>
      <c r="C20" s="215" t="s">
        <v>1025</v>
      </c>
      <c r="D20" s="252">
        <f>'Diferencia en cambio'!I159</f>
        <v>239524.46716739738</v>
      </c>
      <c r="E20" s="217">
        <f>D20/'Diferencia en cambio'!L159</f>
        <v>31478.131944444445</v>
      </c>
      <c r="F20" s="329"/>
      <c r="G20" s="336"/>
    </row>
    <row r="21" spans="1:17" s="43" customFormat="1" outlineLevel="1">
      <c r="A21" s="50"/>
      <c r="B21" s="218" t="s">
        <v>298</v>
      </c>
      <c r="C21" s="215" t="s">
        <v>906</v>
      </c>
      <c r="D21" s="252">
        <f>'Diferencia en cambio'!I160</f>
        <v>10205.732718380923</v>
      </c>
      <c r="E21" s="217">
        <f>D21/'Diferencia en cambio'!L160</f>
        <v>1341.23</v>
      </c>
      <c r="F21" s="330"/>
      <c r="G21" s="331"/>
    </row>
    <row r="22" spans="1:17" s="43" customFormat="1" outlineLevel="1">
      <c r="B22" s="218" t="s">
        <v>298</v>
      </c>
      <c r="C22" s="215" t="s">
        <v>519</v>
      </c>
      <c r="D22" s="252">
        <f>'Diferencia en cambio'!I161</f>
        <v>25820.841656874491</v>
      </c>
      <c r="E22" s="217">
        <f>$D$22/'Diferencia en cambio'!$L$161</f>
        <v>3408.26</v>
      </c>
    </row>
    <row r="23" spans="1:17" s="43" customFormat="1" outlineLevel="1">
      <c r="B23" s="218" t="s">
        <v>298</v>
      </c>
      <c r="C23" s="215" t="s">
        <v>518</v>
      </c>
      <c r="D23" s="252">
        <f>'Diferencia en cambio'!I162</f>
        <v>18325.998345781598</v>
      </c>
      <c r="E23" s="217">
        <f>D23/'Diferencia en cambio'!L162</f>
        <v>2408.3500000000004</v>
      </c>
      <c r="F23" s="128"/>
      <c r="G23" s="52"/>
    </row>
    <row r="24" spans="1:17" s="43" customFormat="1" outlineLevel="1">
      <c r="B24" s="337" t="s">
        <v>298</v>
      </c>
      <c r="C24" s="215" t="s">
        <v>1131</v>
      </c>
      <c r="D24" s="252">
        <f>'Diferencia en cambio'!I163</f>
        <v>45254.088343125513</v>
      </c>
      <c r="E24" s="217">
        <f>$D$24/'Diferencia en cambio'!$L$163</f>
        <v>5973.380000000001</v>
      </c>
      <c r="F24" s="128"/>
      <c r="G24" s="52"/>
    </row>
    <row r="25" spans="1:17" s="43" customFormat="1" outlineLevel="1">
      <c r="B25" s="218" t="s">
        <v>298</v>
      </c>
      <c r="C25" s="215" t="s">
        <v>929</v>
      </c>
      <c r="D25" s="252">
        <f>'Diferencia en cambio'!I165</f>
        <v>13165.648594198641</v>
      </c>
      <c r="E25" s="217">
        <f>D25/'Diferencia en cambio'!L165</f>
        <v>1730.22</v>
      </c>
      <c r="F25" s="128"/>
      <c r="G25" s="52"/>
    </row>
    <row r="26" spans="1:17" s="43" customFormat="1" outlineLevel="1">
      <c r="B26" s="218" t="s">
        <v>298</v>
      </c>
      <c r="C26" s="215" t="s">
        <v>832</v>
      </c>
      <c r="D26" s="252">
        <f>'Diferencia en cambio'!I164</f>
        <v>99830.713174241435</v>
      </c>
      <c r="E26" s="217">
        <f>D26/'Diferencia en cambio'!L164</f>
        <v>13119.68</v>
      </c>
      <c r="F26" s="202"/>
      <c r="G26" s="52"/>
    </row>
    <row r="27" spans="1:17" s="43" customFormat="1" outlineLevel="1">
      <c r="A27" s="50"/>
      <c r="B27" s="218" t="s">
        <v>298</v>
      </c>
      <c r="C27" s="300" t="s">
        <v>986</v>
      </c>
      <c r="D27" s="252">
        <f>'Diferencia en cambio'!I166</f>
        <v>120779.43</v>
      </c>
      <c r="E27" s="217">
        <f>D27/'Diferencia en cambio'!L166</f>
        <v>15897.026455026458</v>
      </c>
      <c r="F27" s="128"/>
      <c r="G27" s="184"/>
    </row>
    <row r="28" spans="1:17" s="43" customFormat="1" outlineLevel="1">
      <c r="B28" s="218" t="s">
        <v>298</v>
      </c>
      <c r="C28" s="350" t="s">
        <v>1137</v>
      </c>
      <c r="D28" s="252">
        <f>'Diferencia en cambio'!I167</f>
        <v>10846.26</v>
      </c>
      <c r="E28" s="217">
        <f>$D$28/'Diferencia en cambio'!$L$167</f>
        <v>1439.69</v>
      </c>
      <c r="F28" s="128"/>
      <c r="G28" s="52"/>
    </row>
    <row r="29" spans="1:17" s="43" customFormat="1" outlineLevel="1">
      <c r="B29" s="218" t="s">
        <v>298</v>
      </c>
      <c r="C29" s="215" t="s">
        <v>1130</v>
      </c>
      <c r="D29" s="252">
        <f>'Diferencia en cambio'!I168</f>
        <v>118768.59</v>
      </c>
      <c r="E29" s="217">
        <f>D29/'Diferencia en cambio'!L168</f>
        <v>15673.68</v>
      </c>
      <c r="F29" s="128"/>
      <c r="G29" s="52"/>
    </row>
    <row r="30" spans="1:17" s="43" customFormat="1" ht="15.75">
      <c r="B30" s="46"/>
      <c r="C30" s="276" t="s">
        <v>136</v>
      </c>
      <c r="D30" s="274">
        <f>SUBTOTAL(9,D9:D29)</f>
        <v>1182142.9912999992</v>
      </c>
      <c r="E30" s="275">
        <f>SUBTOTAL(9,E9:E29)</f>
        <v>155839.87058621354</v>
      </c>
      <c r="F30" s="56"/>
      <c r="G30" s="56"/>
      <c r="J30" s="52"/>
      <c r="K30" s="57"/>
      <c r="O30" s="58"/>
      <c r="P30" s="59"/>
      <c r="Q30" s="53"/>
    </row>
    <row r="31" spans="1:17" s="43" customFormat="1" ht="15.75">
      <c r="B31" s="46"/>
      <c r="C31" s="60"/>
      <c r="D31" s="61"/>
      <c r="E31" s="61"/>
      <c r="G31" s="62"/>
      <c r="O31" s="59"/>
      <c r="P31" s="59"/>
    </row>
    <row r="32" spans="1:17" s="43" customFormat="1" ht="15.75">
      <c r="B32" s="46"/>
      <c r="N32" s="63"/>
      <c r="O32" s="64"/>
      <c r="P32" s="65"/>
    </row>
    <row r="33" spans="2:19" s="43" customFormat="1" ht="15.75">
      <c r="B33" s="432" t="s">
        <v>137</v>
      </c>
      <c r="C33" s="432"/>
      <c r="D33" s="432" t="s">
        <v>494</v>
      </c>
      <c r="E33" s="432"/>
      <c r="K33" s="65"/>
      <c r="L33" s="65"/>
      <c r="N33" s="63"/>
      <c r="R33" s="52"/>
      <c r="S33" s="52"/>
    </row>
    <row r="34" spans="2:19" s="43" customFormat="1" ht="16.5" thickBot="1">
      <c r="B34" s="67" t="s">
        <v>81</v>
      </c>
      <c r="C34" s="68" t="s">
        <v>106</v>
      </c>
      <c r="D34" s="110" t="s">
        <v>168</v>
      </c>
      <c r="E34" s="110" t="s">
        <v>169</v>
      </c>
      <c r="F34" s="69" t="s">
        <v>140</v>
      </c>
      <c r="G34" s="63" t="s">
        <v>141</v>
      </c>
      <c r="H34" s="63"/>
      <c r="I34" s="63"/>
      <c r="J34" s="70" t="s">
        <v>142</v>
      </c>
      <c r="N34" s="71"/>
      <c r="R34" s="52"/>
      <c r="S34" s="72"/>
    </row>
    <row r="35" spans="2:19" s="43" customFormat="1" ht="16.5" thickBot="1">
      <c r="B35" s="46"/>
      <c r="C35" s="73" t="s">
        <v>155</v>
      </c>
      <c r="D35" s="103">
        <f>SUBTOTAL(9,D36:D36)</f>
        <v>100029.29</v>
      </c>
      <c r="E35" s="112">
        <f>SUBTOTAL(9,E36:E36)</f>
        <v>13231.387566137566</v>
      </c>
      <c r="F35" s="74"/>
      <c r="J35" s="76"/>
    </row>
    <row r="36" spans="2:19" s="43" customFormat="1" ht="15.75" outlineLevel="1" thickBot="1">
      <c r="B36" s="168">
        <v>5671444</v>
      </c>
      <c r="C36" s="78" t="s">
        <v>1062</v>
      </c>
      <c r="D36" s="104">
        <v>100029.29</v>
      </c>
      <c r="E36" s="115">
        <f>D36/$D$6</f>
        <v>13231.387566137566</v>
      </c>
      <c r="F36" s="80">
        <v>45911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9</v>
      </c>
      <c r="J36" s="75">
        <f>H36</f>
        <v>0</v>
      </c>
      <c r="K36" s="52"/>
      <c r="L36" s="52"/>
    </row>
    <row r="37" spans="2:19" s="43" customFormat="1" ht="16.5" thickBot="1">
      <c r="B37" s="46"/>
      <c r="C37" s="73" t="s">
        <v>144</v>
      </c>
      <c r="D37" s="103">
        <f>SUBTOTAL(9,D38:D42)</f>
        <v>30856.3</v>
      </c>
      <c r="E37" s="112">
        <f>SUBTOTAL(9,E38:E42)</f>
        <v>4076.5796296296298</v>
      </c>
      <c r="J37" s="76">
        <f t="shared" ref="J37:J50" si="1">H37</f>
        <v>0</v>
      </c>
    </row>
    <row r="38" spans="2:19" s="43" customFormat="1" outlineLevel="1">
      <c r="B38" s="168">
        <v>48483241228</v>
      </c>
      <c r="C38" s="47" t="s">
        <v>471</v>
      </c>
      <c r="D38" s="104">
        <v>27862.41</v>
      </c>
      <c r="E38" s="115">
        <f>D38/$D$6</f>
        <v>3685.5039682539687</v>
      </c>
      <c r="F38" s="80">
        <v>45912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10</v>
      </c>
      <c r="J38" s="75">
        <f>H38</f>
        <v>0</v>
      </c>
      <c r="K38" s="48"/>
      <c r="L38" s="57"/>
    </row>
    <row r="39" spans="2:19" s="43" customFormat="1" ht="14.25" customHeight="1" outlineLevel="1">
      <c r="B39" s="168">
        <v>48426186838</v>
      </c>
      <c r="C39" s="47" t="s">
        <v>1063</v>
      </c>
      <c r="D39" s="104">
        <v>2813.39</v>
      </c>
      <c r="E39" s="115">
        <f>2448*15%</f>
        <v>367.2</v>
      </c>
      <c r="F39" s="80">
        <v>45911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9</v>
      </c>
      <c r="J39" s="75">
        <f>H39</f>
        <v>0</v>
      </c>
      <c r="K39" s="48"/>
      <c r="L39" s="57"/>
    </row>
    <row r="40" spans="2:19" s="43" customFormat="1" outlineLevel="1">
      <c r="B40" s="168">
        <v>48632720349</v>
      </c>
      <c r="C40" s="47" t="s">
        <v>1136</v>
      </c>
      <c r="D40" s="104">
        <v>157.5</v>
      </c>
      <c r="E40" s="115">
        <f>D40/$D$6</f>
        <v>20.833333333333336</v>
      </c>
      <c r="F40" s="80">
        <v>45929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20</v>
      </c>
      <c r="J40" s="75">
        <f>H40</f>
        <v>0</v>
      </c>
      <c r="K40" s="48"/>
      <c r="L40" s="57"/>
    </row>
    <row r="41" spans="2:19" s="43" customFormat="1" outlineLevel="1">
      <c r="B41" s="168">
        <v>48632720349</v>
      </c>
      <c r="C41" s="47" t="s">
        <v>1136</v>
      </c>
      <c r="D41" s="104">
        <v>23</v>
      </c>
      <c r="E41" s="115">
        <f>D41/$D$6</f>
        <v>3.0423280423280423</v>
      </c>
      <c r="F41" s="80">
        <v>45929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20</v>
      </c>
      <c r="J41" s="75">
        <f>H41</f>
        <v>0</v>
      </c>
      <c r="K41" s="48"/>
      <c r="L41" s="57"/>
    </row>
    <row r="42" spans="2:19" s="43" customFormat="1" ht="15.75" outlineLevel="1" thickBot="1">
      <c r="B42" s="168" t="s">
        <v>145</v>
      </c>
      <c r="C42" s="47" t="s">
        <v>994</v>
      </c>
      <c r="D42" s="104">
        <f>150*0</f>
        <v>0</v>
      </c>
      <c r="E42" s="115">
        <f>D42/$D$6</f>
        <v>0</v>
      </c>
      <c r="F42" s="80">
        <v>45936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25</v>
      </c>
      <c r="J42" s="75">
        <f>H42</f>
        <v>0</v>
      </c>
      <c r="K42" s="48"/>
      <c r="L42" s="57"/>
    </row>
    <row r="43" spans="2:19" s="43" customFormat="1" ht="16.5" thickBot="1">
      <c r="B43" s="46"/>
      <c r="C43" s="73" t="s">
        <v>1065</v>
      </c>
      <c r="D43" s="103">
        <f>SUBTOTAL(9,D44:D50)</f>
        <v>17738.559999999998</v>
      </c>
      <c r="E43" s="112">
        <f>SUBTOTAL(9,E44:E50)</f>
        <v>2346.3703703703704</v>
      </c>
      <c r="J43" s="76">
        <f t="shared" si="1"/>
        <v>0</v>
      </c>
      <c r="K43" s="52"/>
      <c r="L43" s="52"/>
    </row>
    <row r="44" spans="2:19" s="43" customFormat="1" outlineLevel="1">
      <c r="B44" s="306">
        <v>693455669</v>
      </c>
      <c r="C44" s="47" t="s">
        <v>1056</v>
      </c>
      <c r="D44" s="109">
        <v>3000</v>
      </c>
      <c r="E44" s="113">
        <f>D44/$D$6</f>
        <v>396.82539682539687</v>
      </c>
      <c r="F44" s="74">
        <v>45903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3</v>
      </c>
      <c r="J44" s="75">
        <f>H44</f>
        <v>0</v>
      </c>
      <c r="M44" s="297"/>
      <c r="N44" s="49"/>
    </row>
    <row r="45" spans="2:19" s="43" customFormat="1" outlineLevel="1">
      <c r="B45" s="306" t="s">
        <v>1067</v>
      </c>
      <c r="C45" s="47" t="s">
        <v>1068</v>
      </c>
      <c r="D45" s="109">
        <f>$E$45*$D$6</f>
        <v>7280.28</v>
      </c>
      <c r="E45" s="113">
        <v>963</v>
      </c>
      <c r="F45" s="74">
        <v>45908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6</v>
      </c>
      <c r="J45" s="75">
        <f>H45</f>
        <v>0</v>
      </c>
      <c r="M45" s="297"/>
      <c r="N45" s="49"/>
    </row>
    <row r="46" spans="2:19" s="43" customFormat="1" outlineLevel="1">
      <c r="B46" s="46">
        <v>54151286</v>
      </c>
      <c r="C46" s="47" t="s">
        <v>1087</v>
      </c>
      <c r="D46" s="109">
        <v>1368</v>
      </c>
      <c r="E46" s="115">
        <f t="shared" ref="E46:E50" si="2">D46/$D$6</f>
        <v>180.95238095238096</v>
      </c>
      <c r="F46" s="74">
        <v>45929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20</v>
      </c>
      <c r="J46" s="75">
        <f t="shared" si="1"/>
        <v>0</v>
      </c>
      <c r="M46" s="297"/>
      <c r="N46" s="49"/>
    </row>
    <row r="47" spans="2:19" s="43" customFormat="1" outlineLevel="1">
      <c r="B47" s="46">
        <v>789070442</v>
      </c>
      <c r="C47" s="47" t="s">
        <v>1088</v>
      </c>
      <c r="D47" s="109">
        <v>926.32</v>
      </c>
      <c r="E47" s="115">
        <f t="shared" si="2"/>
        <v>122.52910052910055</v>
      </c>
      <c r="F47" s="74">
        <v>45929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20</v>
      </c>
      <c r="J47" s="75">
        <f t="shared" si="1"/>
        <v>0</v>
      </c>
      <c r="M47" s="304">
        <f>SUM(D46:D49)</f>
        <v>2785.08</v>
      </c>
      <c r="N47" s="49"/>
    </row>
    <row r="48" spans="2:19" s="43" customFormat="1" ht="45" outlineLevel="1">
      <c r="B48" s="46">
        <v>1204571948</v>
      </c>
      <c r="C48" s="47" t="s">
        <v>1089</v>
      </c>
      <c r="D48" s="109">
        <v>262.26</v>
      </c>
      <c r="E48" s="115">
        <f t="shared" si="2"/>
        <v>34.69047619047619</v>
      </c>
      <c r="F48" s="74">
        <v>45929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20</v>
      </c>
      <c r="J48" s="75">
        <f t="shared" si="1"/>
        <v>0</v>
      </c>
      <c r="M48" s="297"/>
      <c r="N48" s="49"/>
    </row>
    <row r="49" spans="2:16" s="43" customFormat="1" outlineLevel="1">
      <c r="B49" s="46" t="s">
        <v>1090</v>
      </c>
      <c r="C49" s="47" t="s">
        <v>1091</v>
      </c>
      <c r="D49" s="109">
        <f>206+22.5</f>
        <v>228.5</v>
      </c>
      <c r="E49" s="115">
        <f t="shared" si="2"/>
        <v>30.224867724867725</v>
      </c>
      <c r="F49" s="74">
        <v>45929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20</v>
      </c>
      <c r="J49" s="75">
        <f t="shared" si="1"/>
        <v>0</v>
      </c>
      <c r="M49" s="297"/>
      <c r="N49" s="49"/>
    </row>
    <row r="50" spans="2:16" s="43" customFormat="1" ht="30.75" outlineLevel="1" thickBot="1">
      <c r="B50" s="84">
        <v>782801</v>
      </c>
      <c r="C50" s="47" t="s">
        <v>1058</v>
      </c>
      <c r="D50" s="109">
        <f>4673.2</f>
        <v>4673.2</v>
      </c>
      <c r="E50" s="113">
        <f t="shared" si="2"/>
        <v>618.14814814814815</v>
      </c>
      <c r="F50" s="74">
        <v>45929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20</v>
      </c>
      <c r="J50" s="75">
        <f t="shared" si="1"/>
        <v>0</v>
      </c>
      <c r="M50" s="297"/>
      <c r="N50" s="49"/>
    </row>
    <row r="51" spans="2:16" s="43" customFormat="1" ht="16.5" thickBot="1">
      <c r="C51" s="73" t="s">
        <v>146</v>
      </c>
      <c r="D51" s="103">
        <f>SUBTOTAL(9,D52:D60)</f>
        <v>9916.0372000000007</v>
      </c>
      <c r="E51" s="112">
        <f>SUBTOTAL(9,E52:E60)</f>
        <v>1311.6451322751325</v>
      </c>
      <c r="F51" s="43" t="s">
        <v>725</v>
      </c>
      <c r="K51" s="49"/>
      <c r="L51" s="49"/>
      <c r="O51" s="49"/>
      <c r="P51" s="49"/>
    </row>
    <row r="52" spans="2:16" s="43" customFormat="1" ht="14.25" customHeight="1" outlineLevel="1">
      <c r="B52" s="186" t="s">
        <v>746</v>
      </c>
      <c r="C52" s="210" t="s">
        <v>272</v>
      </c>
      <c r="D52" s="104">
        <f>E52*$D$6</f>
        <v>416.32919999999996</v>
      </c>
      <c r="E52" s="305">
        <v>55.07</v>
      </c>
      <c r="F52" s="74">
        <v>45925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18</v>
      </c>
      <c r="J52" s="75">
        <f t="shared" ref="J52:J60" si="3">H52</f>
        <v>0</v>
      </c>
      <c r="K52" s="49"/>
      <c r="L52" s="49"/>
      <c r="O52" s="49"/>
      <c r="P52" s="49"/>
    </row>
    <row r="53" spans="2:16" s="43" customFormat="1" outlineLevel="1">
      <c r="B53" s="186" t="s">
        <v>745</v>
      </c>
      <c r="C53" s="210" t="s">
        <v>273</v>
      </c>
      <c r="D53" s="104">
        <f>E53*$D$6</f>
        <v>1961.5932</v>
      </c>
      <c r="E53" s="305">
        <v>259.47000000000003</v>
      </c>
      <c r="F53" s="74">
        <v>45925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18</v>
      </c>
      <c r="J53" s="75">
        <f t="shared" si="3"/>
        <v>0</v>
      </c>
    </row>
    <row r="54" spans="2:16" s="43" customFormat="1" outlineLevel="1">
      <c r="B54" s="186" t="s">
        <v>745</v>
      </c>
      <c r="C54" s="210" t="s">
        <v>274</v>
      </c>
      <c r="D54" s="104">
        <f>E54*$D$6</f>
        <v>1552.2948000000001</v>
      </c>
      <c r="E54" s="305">
        <v>205.33</v>
      </c>
      <c r="F54" s="74">
        <v>45925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18</v>
      </c>
      <c r="J54" s="75">
        <f t="shared" si="3"/>
        <v>0</v>
      </c>
    </row>
    <row r="55" spans="2:16" s="43" customFormat="1" ht="14.25" customHeight="1" outlineLevel="1">
      <c r="B55" s="251" t="s">
        <v>745</v>
      </c>
      <c r="C55" s="209" t="s">
        <v>826</v>
      </c>
      <c r="D55" s="268">
        <v>433.25</v>
      </c>
      <c r="E55" s="113">
        <f t="shared" ref="E55:E60" si="4">D55/$D$6</f>
        <v>57.308201058201064</v>
      </c>
      <c r="F55" s="74">
        <v>45925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18</v>
      </c>
      <c r="J55" s="75">
        <f>H55</f>
        <v>0</v>
      </c>
      <c r="K55" s="49"/>
      <c r="L55" s="49"/>
      <c r="O55" s="49"/>
      <c r="P55" s="49"/>
    </row>
    <row r="56" spans="2:16" s="43" customFormat="1" ht="14.25" customHeight="1" outlineLevel="1">
      <c r="B56" s="251" t="s">
        <v>745</v>
      </c>
      <c r="C56" s="209" t="s">
        <v>827</v>
      </c>
      <c r="D56" s="268">
        <v>722.42</v>
      </c>
      <c r="E56" s="113">
        <f t="shared" si="4"/>
        <v>95.558201058201064</v>
      </c>
      <c r="F56" s="74">
        <v>45925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18</v>
      </c>
      <c r="J56" s="75">
        <f>H56</f>
        <v>0</v>
      </c>
      <c r="K56" s="49"/>
      <c r="L56" s="49"/>
      <c r="O56" s="49"/>
      <c r="P56" s="49"/>
    </row>
    <row r="57" spans="2:16" s="43" customFormat="1" ht="14.25" customHeight="1" outlineLevel="1">
      <c r="B57" s="251" t="s">
        <v>745</v>
      </c>
      <c r="C57" s="209" t="s">
        <v>825</v>
      </c>
      <c r="D57" s="268">
        <v>861.81</v>
      </c>
      <c r="E57" s="113">
        <f t="shared" si="4"/>
        <v>113.99603174603175</v>
      </c>
      <c r="F57" s="74">
        <v>45925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18</v>
      </c>
      <c r="J57" s="75">
        <f>H57</f>
        <v>0</v>
      </c>
      <c r="K57" s="49"/>
      <c r="L57" s="49"/>
      <c r="O57" s="49"/>
      <c r="P57" s="49"/>
    </row>
    <row r="58" spans="2:16" s="43" customFormat="1" ht="14.25" customHeight="1" outlineLevel="1">
      <c r="B58" s="251" t="s">
        <v>745</v>
      </c>
      <c r="C58" s="209" t="s">
        <v>822</v>
      </c>
      <c r="D58" s="268">
        <v>943.23</v>
      </c>
      <c r="E58" s="113">
        <f t="shared" si="4"/>
        <v>124.76587301587303</v>
      </c>
      <c r="F58" s="74">
        <v>45925</v>
      </c>
      <c r="G58" s="43" t="s">
        <v>135</v>
      </c>
      <c r="H58" s="43">
        <f>IF(OR(G58="Sin pagar",G58="Pagar"),NETWORKDAYS($E$4,F58,'Festivos Guatemala'!$A$3:$A$15),0)</f>
        <v>0</v>
      </c>
      <c r="I58" s="43">
        <f>NETWORKDAYS($E$4,F58,'Festivos Guatemala'!$A$3:$A$15)</f>
        <v>18</v>
      </c>
      <c r="J58" s="75">
        <f t="shared" si="3"/>
        <v>0</v>
      </c>
      <c r="K58" s="49"/>
      <c r="L58" s="49"/>
      <c r="O58" s="49"/>
      <c r="P58" s="49"/>
    </row>
    <row r="59" spans="2:16" s="43" customFormat="1" outlineLevel="1">
      <c r="B59" s="251" t="s">
        <v>745</v>
      </c>
      <c r="C59" s="209" t="s">
        <v>823</v>
      </c>
      <c r="D59" s="268">
        <v>1023.02</v>
      </c>
      <c r="E59" s="113">
        <f t="shared" si="4"/>
        <v>135.32010582010582</v>
      </c>
      <c r="F59" s="74">
        <v>45925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18</v>
      </c>
      <c r="J59" s="75">
        <f t="shared" si="3"/>
        <v>0</v>
      </c>
    </row>
    <row r="60" spans="2:16" s="43" customFormat="1" ht="15.75" outlineLevel="1" thickBot="1">
      <c r="B60" s="251" t="s">
        <v>745</v>
      </c>
      <c r="C60" s="209" t="s">
        <v>824</v>
      </c>
      <c r="D60" s="268">
        <v>2002.09</v>
      </c>
      <c r="E60" s="113">
        <f t="shared" si="4"/>
        <v>264.8267195767196</v>
      </c>
      <c r="F60" s="74">
        <v>45925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18</v>
      </c>
      <c r="J60" s="75">
        <f t="shared" si="3"/>
        <v>0</v>
      </c>
    </row>
    <row r="61" spans="2:16" s="43" customFormat="1" ht="16.5" thickBot="1">
      <c r="B61" s="82"/>
      <c r="C61" s="85" t="s">
        <v>162</v>
      </c>
      <c r="D61" s="119">
        <f>SUBTOTAL(9,D62:D62)</f>
        <v>0</v>
      </c>
      <c r="E61" s="114">
        <f>SUBTOTAL(9,E62:E62)</f>
        <v>0</v>
      </c>
      <c r="K61" s="52"/>
      <c r="M61" s="183"/>
      <c r="N61" s="183"/>
    </row>
    <row r="62" spans="2:16" s="43" customFormat="1" ht="15.75" outlineLevel="1" thickBot="1">
      <c r="B62" s="46">
        <v>0</v>
      </c>
      <c r="C62" s="47"/>
      <c r="D62" s="104">
        <f>E62*7.8</f>
        <v>0</v>
      </c>
      <c r="E62" s="115">
        <v>0</v>
      </c>
      <c r="F62" s="74">
        <v>45930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21</v>
      </c>
      <c r="J62" s="75">
        <f t="shared" ref="J62" si="5">H62</f>
        <v>0</v>
      </c>
      <c r="M62" s="104"/>
      <c r="N62" s="49"/>
    </row>
    <row r="63" spans="2:16" s="43" customFormat="1" ht="16.5" thickBot="1">
      <c r="B63" s="46"/>
      <c r="C63" s="73" t="s">
        <v>147</v>
      </c>
      <c r="D63" s="103">
        <f>SUBTOTAL(9,D64:D64)</f>
        <v>0</v>
      </c>
      <c r="E63" s="112">
        <f>SUBTOTAL(9,E64:E64)</f>
        <v>0</v>
      </c>
    </row>
    <row r="64" spans="2:16" s="43" customFormat="1" ht="15.75" outlineLevel="1" thickBot="1">
      <c r="B64" s="46"/>
      <c r="C64" s="47"/>
      <c r="D64" s="104"/>
      <c r="E64" s="113"/>
      <c r="F64" s="74">
        <v>45930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21</v>
      </c>
      <c r="J64" s="75">
        <f>H64</f>
        <v>0</v>
      </c>
    </row>
    <row r="65" spans="2:15" s="43" customFormat="1" ht="15.75" customHeight="1" thickBot="1">
      <c r="C65" s="73" t="s">
        <v>148</v>
      </c>
      <c r="D65" s="119">
        <f>SUBTOTAL(9,D66:D68)</f>
        <v>624</v>
      </c>
      <c r="E65" s="114">
        <f>SUBTOTAL(9,E66:E68)</f>
        <v>80</v>
      </c>
    </row>
    <row r="66" spans="2:15" s="43" customFormat="1" outlineLevel="1">
      <c r="B66" s="46"/>
      <c r="C66" s="47" t="s">
        <v>1140</v>
      </c>
      <c r="D66" s="109">
        <f>E66*7.8</f>
        <v>312</v>
      </c>
      <c r="E66" s="115">
        <v>40</v>
      </c>
      <c r="F66" s="74">
        <v>45916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11</v>
      </c>
      <c r="J66" s="75">
        <f t="shared" ref="J66" si="6">H66</f>
        <v>0</v>
      </c>
    </row>
    <row r="67" spans="2:15" s="43" customFormat="1" outlineLevel="1">
      <c r="B67" s="46"/>
      <c r="C67" s="47" t="s">
        <v>1139</v>
      </c>
      <c r="D67" s="109">
        <f>E67*7.8</f>
        <v>312</v>
      </c>
      <c r="E67" s="115">
        <v>40</v>
      </c>
      <c r="F67" s="74">
        <v>45930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21</v>
      </c>
      <c r="J67" s="75">
        <f t="shared" ref="J67" si="7">H67</f>
        <v>0</v>
      </c>
    </row>
    <row r="68" spans="2:15" s="43" customFormat="1" ht="15.75" outlineLevel="1" thickBot="1">
      <c r="B68" s="46"/>
      <c r="C68" s="47" t="s">
        <v>117</v>
      </c>
      <c r="D68" s="109">
        <v>0</v>
      </c>
      <c r="E68" s="115">
        <v>0</v>
      </c>
      <c r="F68" s="74">
        <v>45930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21</v>
      </c>
      <c r="J68" s="75">
        <f t="shared" ref="J68" si="8">H68</f>
        <v>0</v>
      </c>
    </row>
    <row r="69" spans="2:15" s="43" customFormat="1" ht="16.5" thickBot="1">
      <c r="C69" s="73" t="s">
        <v>164</v>
      </c>
      <c r="D69" s="119">
        <f>SUBTOTAL(9,D70:D90)</f>
        <v>488316.33</v>
      </c>
      <c r="E69" s="114">
        <f>SUBTOTAL(9,E70:E90)</f>
        <v>64592.107142857145</v>
      </c>
      <c r="K69" s="52"/>
      <c r="L69" s="86"/>
      <c r="M69" s="109"/>
      <c r="N69" s="109"/>
      <c r="O69" s="113"/>
    </row>
    <row r="70" spans="2:15" s="43" customFormat="1" outlineLevel="1">
      <c r="B70" s="83" t="s">
        <v>1034</v>
      </c>
      <c r="C70" s="47" t="s">
        <v>843</v>
      </c>
      <c r="D70" s="271">
        <v>18728.8</v>
      </c>
      <c r="E70" s="115">
        <f t="shared" ref="E70:E96" si="9">D70/$D$6</f>
        <v>2477.3544973544972</v>
      </c>
      <c r="F70" s="74">
        <v>45925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18</v>
      </c>
      <c r="J70" s="75">
        <f t="shared" ref="J70:J90" si="10">H70</f>
        <v>0</v>
      </c>
      <c r="L70" s="52"/>
    </row>
    <row r="71" spans="2:15" s="43" customFormat="1" outlineLevel="1">
      <c r="B71" s="83" t="s">
        <v>1034</v>
      </c>
      <c r="C71" s="47" t="s">
        <v>886</v>
      </c>
      <c r="D71" s="271">
        <v>49577.78</v>
      </c>
      <c r="E71" s="115">
        <f t="shared" si="9"/>
        <v>6557.9074074074078</v>
      </c>
      <c r="F71" s="74">
        <v>45925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18</v>
      </c>
      <c r="J71" s="75">
        <f t="shared" si="10"/>
        <v>0</v>
      </c>
      <c r="L71" s="52"/>
    </row>
    <row r="72" spans="2:15" s="43" customFormat="1" outlineLevel="1">
      <c r="B72" s="83" t="s">
        <v>1034</v>
      </c>
      <c r="C72" s="47" t="s">
        <v>176</v>
      </c>
      <c r="D72" s="271">
        <v>10713.5</v>
      </c>
      <c r="E72" s="115">
        <f t="shared" si="9"/>
        <v>1417.1296296296298</v>
      </c>
      <c r="F72" s="74">
        <v>45925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18</v>
      </c>
      <c r="J72" s="75">
        <f t="shared" si="10"/>
        <v>0</v>
      </c>
      <c r="L72" s="52"/>
    </row>
    <row r="73" spans="2:15" s="43" customFormat="1" ht="13.5" customHeight="1" outlineLevel="1">
      <c r="B73" s="83" t="s">
        <v>1034</v>
      </c>
      <c r="C73" s="47" t="s">
        <v>948</v>
      </c>
      <c r="D73" s="271">
        <v>17873.990000000002</v>
      </c>
      <c r="E73" s="115">
        <f>D73/$D$6</f>
        <v>2364.2843915343919</v>
      </c>
      <c r="F73" s="74">
        <v>45925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18</v>
      </c>
      <c r="J73" s="75">
        <f>H73</f>
        <v>0</v>
      </c>
      <c r="L73" s="52"/>
    </row>
    <row r="74" spans="2:15" s="43" customFormat="1" outlineLevel="1">
      <c r="B74" s="267" t="s">
        <v>1035</v>
      </c>
      <c r="C74" s="47" t="s">
        <v>944</v>
      </c>
      <c r="D74" s="271">
        <v>13622.51</v>
      </c>
      <c r="E74" s="115">
        <f t="shared" si="9"/>
        <v>1801.9193121693122</v>
      </c>
      <c r="F74" s="74">
        <v>45925</v>
      </c>
      <c r="G74" s="43" t="s">
        <v>135</v>
      </c>
      <c r="H74" s="43">
        <f>IF(OR(G74="Sin pagar",G74="Pagar"),NETWORKDAYS($E$4,F74,'Festivos Guatemala'!$A$3:$A$15),0)</f>
        <v>0</v>
      </c>
      <c r="I74" s="43">
        <f>NETWORKDAYS($E$4,F74,'Festivos Guatemala'!$A$3:$A$15)</f>
        <v>18</v>
      </c>
      <c r="J74" s="75">
        <f t="shared" si="10"/>
        <v>0</v>
      </c>
      <c r="L74" s="52"/>
    </row>
    <row r="75" spans="2:15" s="43" customFormat="1" outlineLevel="1">
      <c r="B75" s="267" t="s">
        <v>1035</v>
      </c>
      <c r="C75" s="47" t="s">
        <v>945</v>
      </c>
      <c r="D75" s="271">
        <v>9026.59</v>
      </c>
      <c r="E75" s="115">
        <f t="shared" si="9"/>
        <v>1193.9933862433863</v>
      </c>
      <c r="F75" s="74">
        <v>45925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18</v>
      </c>
      <c r="J75" s="75">
        <f t="shared" si="10"/>
        <v>0</v>
      </c>
      <c r="L75" s="52"/>
    </row>
    <row r="76" spans="2:15" s="43" customFormat="1" outlineLevel="1">
      <c r="B76" s="267" t="s">
        <v>1035</v>
      </c>
      <c r="C76" s="47" t="s">
        <v>829</v>
      </c>
      <c r="D76" s="271">
        <v>34601.300000000003</v>
      </c>
      <c r="E76" s="115">
        <f t="shared" si="9"/>
        <v>4576.8915343915351</v>
      </c>
      <c r="F76" s="74">
        <v>45925</v>
      </c>
      <c r="G76" s="43" t="s">
        <v>135</v>
      </c>
      <c r="H76" s="43">
        <f>IF(OR(G76="Sin pagar",G76="Pagar"),NETWORKDAYS($E$4,F76,'Festivos Guatemala'!$A$3:$A$15),0)</f>
        <v>0</v>
      </c>
      <c r="I76" s="43">
        <f>NETWORKDAYS($E$4,F76,'Festivos Guatemala'!$A$3:$A$15)</f>
        <v>18</v>
      </c>
      <c r="J76" s="75">
        <f t="shared" si="10"/>
        <v>0</v>
      </c>
      <c r="L76" s="52"/>
    </row>
    <row r="77" spans="2:15" s="43" customFormat="1" outlineLevel="1">
      <c r="B77" s="267" t="s">
        <v>1036</v>
      </c>
      <c r="C77" s="47" t="s">
        <v>946</v>
      </c>
      <c r="D77" s="271">
        <v>10307.92</v>
      </c>
      <c r="E77" s="115">
        <f t="shared" si="9"/>
        <v>1363.4814814814815</v>
      </c>
      <c r="F77" s="74">
        <v>45925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18</v>
      </c>
      <c r="J77" s="75">
        <f t="shared" si="10"/>
        <v>0</v>
      </c>
      <c r="L77" s="52"/>
    </row>
    <row r="78" spans="2:15" s="43" customFormat="1" outlineLevel="1">
      <c r="B78" s="301" t="s">
        <v>1037</v>
      </c>
      <c r="C78" s="47" t="s">
        <v>947</v>
      </c>
      <c r="D78" s="271">
        <v>9667.89</v>
      </c>
      <c r="E78" s="115">
        <f>D78/$D$6</f>
        <v>1278.8214285714287</v>
      </c>
      <c r="F78" s="74">
        <v>45925</v>
      </c>
      <c r="G78" s="43" t="s">
        <v>135</v>
      </c>
      <c r="H78" s="43">
        <f>IF(OR(G78="Sin pagar",G78="Pagar"),NETWORKDAYS($E$4,F78,'Festivos Guatemala'!$A$3:$A$15),0)</f>
        <v>0</v>
      </c>
      <c r="I78" s="43">
        <f>NETWORKDAYS($E$4,F78,'Festivos Guatemala'!$A$3:$A$15)</f>
        <v>18</v>
      </c>
      <c r="J78" s="75">
        <f>H78</f>
        <v>0</v>
      </c>
      <c r="L78" s="52"/>
    </row>
    <row r="79" spans="2:15" s="43" customFormat="1" outlineLevel="1">
      <c r="B79" s="303" t="s">
        <v>892</v>
      </c>
      <c r="C79" s="50" t="s">
        <v>414</v>
      </c>
      <c r="D79" s="268">
        <v>64147</v>
      </c>
      <c r="E79" s="115">
        <f t="shared" si="9"/>
        <v>8485.0529100529111</v>
      </c>
      <c r="F79" s="74">
        <v>45925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18</v>
      </c>
      <c r="J79" s="75">
        <f t="shared" si="10"/>
        <v>0</v>
      </c>
      <c r="L79" s="52"/>
    </row>
    <row r="80" spans="2:15" s="43" customFormat="1" outlineLevel="1">
      <c r="B80" s="303" t="s">
        <v>892</v>
      </c>
      <c r="C80" s="47" t="s">
        <v>417</v>
      </c>
      <c r="D80" s="268">
        <v>10562</v>
      </c>
      <c r="E80" s="115">
        <f>D80/$D$6</f>
        <v>1397.0899470899471</v>
      </c>
      <c r="F80" s="74">
        <v>45925</v>
      </c>
      <c r="G80" s="43" t="s">
        <v>135</v>
      </c>
      <c r="H80" s="43">
        <f>IF(OR(G80="Sin pagar",G80="Pagar"),NETWORKDAYS($E$4,F80,'Festivos Guatemala'!$A$3:$A$15),0)</f>
        <v>0</v>
      </c>
      <c r="I80" s="43">
        <f>NETWORKDAYS($E$4,F80,'Festivos Guatemala'!$A$3:$A$15)</f>
        <v>18</v>
      </c>
      <c r="J80" s="75">
        <f>H80</f>
        <v>0</v>
      </c>
      <c r="L80" s="52"/>
    </row>
    <row r="81" spans="2:15" s="43" customFormat="1" outlineLevel="1">
      <c r="B81" s="303" t="s">
        <v>892</v>
      </c>
      <c r="C81" s="47" t="s">
        <v>409</v>
      </c>
      <c r="D81" s="268">
        <v>14151</v>
      </c>
      <c r="E81" s="115">
        <f>D81/$D$6</f>
        <v>1871.8253968253969</v>
      </c>
      <c r="F81" s="74">
        <v>45925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18</v>
      </c>
      <c r="J81" s="75">
        <f>H81</f>
        <v>0</v>
      </c>
      <c r="L81" s="52"/>
    </row>
    <row r="82" spans="2:15" s="43" customFormat="1" outlineLevel="1">
      <c r="B82" s="303" t="s">
        <v>892</v>
      </c>
      <c r="C82" s="47" t="s">
        <v>844</v>
      </c>
      <c r="D82" s="268">
        <v>24923</v>
      </c>
      <c r="E82" s="115">
        <f t="shared" si="9"/>
        <v>3296.6931216931221</v>
      </c>
      <c r="F82" s="74">
        <v>45925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18</v>
      </c>
      <c r="J82" s="75">
        <f t="shared" si="10"/>
        <v>0</v>
      </c>
      <c r="L82" s="52"/>
    </row>
    <row r="83" spans="2:15" s="43" customFormat="1" ht="13.5" customHeight="1" outlineLevel="1">
      <c r="B83" s="303" t="s">
        <v>892</v>
      </c>
      <c r="C83" s="47" t="s">
        <v>901</v>
      </c>
      <c r="D83" s="268">
        <v>32589.919999999998</v>
      </c>
      <c r="E83" s="115">
        <f t="shared" si="9"/>
        <v>4310.8359788359785</v>
      </c>
      <c r="F83" s="74">
        <v>45925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18</v>
      </c>
      <c r="J83" s="75">
        <f t="shared" si="10"/>
        <v>0</v>
      </c>
      <c r="L83" s="52"/>
    </row>
    <row r="84" spans="2:15" s="43" customFormat="1" outlineLevel="1">
      <c r="B84" s="303" t="s">
        <v>892</v>
      </c>
      <c r="C84" s="47" t="s">
        <v>416</v>
      </c>
      <c r="D84" s="268">
        <v>67392</v>
      </c>
      <c r="E84" s="115">
        <f t="shared" si="9"/>
        <v>8914.2857142857156</v>
      </c>
      <c r="F84" s="74">
        <v>45925</v>
      </c>
      <c r="G84" s="43" t="s">
        <v>135</v>
      </c>
      <c r="H84" s="43">
        <f>IF(OR(G84="Sin pagar",G84="Pagar"),NETWORKDAYS($E$4,F84,'Festivos Guatemala'!$A$3:$A$15),0)</f>
        <v>0</v>
      </c>
      <c r="I84" s="43">
        <f>NETWORKDAYS($E$4,F84,'Festivos Guatemala'!$A$3:$A$15)</f>
        <v>18</v>
      </c>
      <c r="J84" s="75">
        <f t="shared" si="10"/>
        <v>0</v>
      </c>
      <c r="L84" s="52"/>
    </row>
    <row r="85" spans="2:15" s="43" customFormat="1" outlineLevel="1">
      <c r="B85" s="303" t="s">
        <v>892</v>
      </c>
      <c r="C85" s="47" t="s">
        <v>412</v>
      </c>
      <c r="D85" s="268">
        <v>8025</v>
      </c>
      <c r="E85" s="115">
        <f t="shared" si="9"/>
        <v>1061.5079365079366</v>
      </c>
      <c r="F85" s="74">
        <v>45925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18</v>
      </c>
      <c r="J85" s="75">
        <f t="shared" si="10"/>
        <v>0</v>
      </c>
      <c r="L85" s="52"/>
    </row>
    <row r="86" spans="2:15" s="43" customFormat="1" outlineLevel="1">
      <c r="B86" s="303" t="s">
        <v>892</v>
      </c>
      <c r="C86" s="47" t="s">
        <v>413</v>
      </c>
      <c r="D86" s="268">
        <v>3943</v>
      </c>
      <c r="E86" s="115">
        <f t="shared" si="9"/>
        <v>521.56084656084658</v>
      </c>
      <c r="F86" s="74">
        <v>45925</v>
      </c>
      <c r="G86" s="43" t="s">
        <v>135</v>
      </c>
      <c r="H86" s="43">
        <f>IF(OR(G86="Sin pagar",G86="Pagar"),NETWORKDAYS($E$4,F86,'Festivos Guatemala'!$A$3:$A$15),0)</f>
        <v>0</v>
      </c>
      <c r="I86" s="43">
        <f>NETWORKDAYS($E$4,F86,'Festivos Guatemala'!$A$3:$A$15)</f>
        <v>18</v>
      </c>
      <c r="J86" s="75">
        <f t="shared" si="10"/>
        <v>0</v>
      </c>
      <c r="L86" s="52"/>
    </row>
    <row r="87" spans="2:15" s="43" customFormat="1" outlineLevel="1">
      <c r="B87" s="303" t="s">
        <v>892</v>
      </c>
      <c r="C87" s="47" t="s">
        <v>415</v>
      </c>
      <c r="D87" s="268">
        <v>25739</v>
      </c>
      <c r="E87" s="115">
        <f t="shared" si="9"/>
        <v>3404.62962962963</v>
      </c>
      <c r="F87" s="74">
        <v>45925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18</v>
      </c>
      <c r="J87" s="75">
        <f t="shared" si="10"/>
        <v>0</v>
      </c>
      <c r="L87" s="52"/>
    </row>
    <row r="88" spans="2:15" s="43" customFormat="1" outlineLevel="1">
      <c r="B88" s="303" t="s">
        <v>892</v>
      </c>
      <c r="C88" s="47" t="s">
        <v>410</v>
      </c>
      <c r="D88" s="268">
        <v>3943</v>
      </c>
      <c r="E88" s="115">
        <f t="shared" si="9"/>
        <v>521.56084656084658</v>
      </c>
      <c r="F88" s="74">
        <v>45925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18</v>
      </c>
      <c r="J88" s="75">
        <f t="shared" si="10"/>
        <v>0</v>
      </c>
      <c r="L88" s="52"/>
    </row>
    <row r="89" spans="2:15" s="43" customFormat="1" outlineLevel="1">
      <c r="B89" s="303" t="s">
        <v>892</v>
      </c>
      <c r="C89" s="47" t="s">
        <v>845</v>
      </c>
      <c r="D89" s="268">
        <v>24923.65</v>
      </c>
      <c r="E89" s="115">
        <f t="shared" si="9"/>
        <v>3296.779100529101</v>
      </c>
      <c r="F89" s="74">
        <v>45925</v>
      </c>
      <c r="G89" s="43" t="s">
        <v>135</v>
      </c>
      <c r="H89" s="43">
        <f>IF(OR(G89="Sin pagar",G89="Pagar"),NETWORKDAYS($E$4,F89,'Festivos Guatemala'!$A$3:$A$15),0)</f>
        <v>0</v>
      </c>
      <c r="I89" s="43">
        <f>NETWORKDAYS($E$4,F89,'Festivos Guatemala'!$A$3:$A$15)</f>
        <v>18</v>
      </c>
      <c r="J89" s="75">
        <f t="shared" si="10"/>
        <v>0</v>
      </c>
      <c r="L89" s="52"/>
    </row>
    <row r="90" spans="2:15" s="43" customFormat="1" ht="15.75" outlineLevel="1" thickBot="1">
      <c r="B90" s="303" t="s">
        <v>892</v>
      </c>
      <c r="C90" s="47" t="s">
        <v>418</v>
      </c>
      <c r="D90" s="268">
        <v>33857.480000000003</v>
      </c>
      <c r="E90" s="115">
        <f t="shared" si="9"/>
        <v>4478.5026455026464</v>
      </c>
      <c r="F90" s="74">
        <v>45925</v>
      </c>
      <c r="G90" s="43" t="s">
        <v>135</v>
      </c>
      <c r="H90" s="43">
        <f>IF(OR(G90="Sin pagar",G90="Pagar"),NETWORKDAYS($E$4,F90,'Festivos Guatemala'!$A$3:$A$15),0)</f>
        <v>0</v>
      </c>
      <c r="I90" s="43">
        <f>NETWORKDAYS($E$4,F90,'Festivos Guatemala'!$A$3:$A$15)</f>
        <v>18</v>
      </c>
      <c r="J90" s="75">
        <f t="shared" si="10"/>
        <v>0</v>
      </c>
      <c r="L90" s="52"/>
    </row>
    <row r="91" spans="2:15" s="43" customFormat="1" ht="16.5" thickBot="1">
      <c r="C91" s="332" t="s">
        <v>1107</v>
      </c>
      <c r="D91" s="333">
        <f>SUBTOTAL(9,D92:D96)</f>
        <v>96307.91</v>
      </c>
      <c r="E91" s="334">
        <f>SUBTOTAL(9,E92:E96)</f>
        <v>12739.141534391536</v>
      </c>
      <c r="K91" s="52"/>
      <c r="L91" s="86"/>
      <c r="M91" s="109"/>
      <c r="N91" s="109"/>
      <c r="O91" s="113"/>
    </row>
    <row r="92" spans="2:15" s="43" customFormat="1" outlineLevel="1">
      <c r="B92" s="303" t="s">
        <v>892</v>
      </c>
      <c r="C92" s="47" t="s">
        <v>1108</v>
      </c>
      <c r="D92" s="109">
        <v>10678.36</v>
      </c>
      <c r="E92" s="115">
        <f t="shared" si="9"/>
        <v>1412.4814814814815</v>
      </c>
      <c r="F92" s="74">
        <v>45925</v>
      </c>
      <c r="G92" s="43" t="s">
        <v>135</v>
      </c>
      <c r="H92" s="43">
        <f>IF(OR(G92="Sin pagar",G92="Pagar"),NETWORKDAYS($E$4,F92,'Festivos Guatemala'!$A$3:$A$15),0)</f>
        <v>0</v>
      </c>
      <c r="I92" s="43">
        <f>NETWORKDAYS($E$4,F92,'Festivos Guatemala'!$A$3:$A$15)</f>
        <v>18</v>
      </c>
      <c r="J92" s="75">
        <f t="shared" ref="J92" si="11">H92</f>
        <v>0</v>
      </c>
      <c r="L92" s="52"/>
    </row>
    <row r="93" spans="2:15" s="43" customFormat="1" outlineLevel="1">
      <c r="B93" s="303" t="s">
        <v>892</v>
      </c>
      <c r="C93" s="47" t="s">
        <v>1109</v>
      </c>
      <c r="D93" s="109">
        <v>37726.230000000003</v>
      </c>
      <c r="E93" s="115">
        <f t="shared" si="9"/>
        <v>4990.2420634920645</v>
      </c>
      <c r="F93" s="74">
        <v>45925</v>
      </c>
      <c r="G93" s="43" t="s">
        <v>135</v>
      </c>
      <c r="H93" s="43">
        <f>IF(OR(G93="Sin pagar",G93="Pagar"),NETWORKDAYS($E$4,F93,'Festivos Guatemala'!$A$3:$A$15),0)</f>
        <v>0</v>
      </c>
      <c r="I93" s="43">
        <f>NETWORKDAYS($E$4,F93,'Festivos Guatemala'!$A$3:$A$15)</f>
        <v>18</v>
      </c>
      <c r="J93" s="75">
        <f>H93</f>
        <v>0</v>
      </c>
      <c r="L93" s="52"/>
    </row>
    <row r="94" spans="2:15" s="43" customFormat="1" outlineLevel="1">
      <c r="B94" s="303" t="s">
        <v>892</v>
      </c>
      <c r="C94" s="47" t="s">
        <v>1110</v>
      </c>
      <c r="D94" s="109">
        <v>16277.07</v>
      </c>
      <c r="E94" s="115">
        <f t="shared" si="9"/>
        <v>2153.0515873015875</v>
      </c>
      <c r="F94" s="74">
        <v>45925</v>
      </c>
      <c r="G94" s="43" t="s">
        <v>135</v>
      </c>
      <c r="H94" s="43">
        <f>IF(OR(G94="Sin pagar",G94="Pagar"),NETWORKDAYS($E$4,F94,'Festivos Guatemala'!$A$3:$A$15),0)</f>
        <v>0</v>
      </c>
      <c r="I94" s="43">
        <f>NETWORKDAYS($E$4,F94,'Festivos Guatemala'!$A$3:$A$15)</f>
        <v>18</v>
      </c>
      <c r="J94" s="75">
        <f>H94</f>
        <v>0</v>
      </c>
      <c r="L94" s="52"/>
    </row>
    <row r="95" spans="2:15" s="43" customFormat="1" outlineLevel="1">
      <c r="B95" s="303" t="s">
        <v>892</v>
      </c>
      <c r="C95" s="47" t="s">
        <v>1111</v>
      </c>
      <c r="D95" s="109">
        <v>15406.23</v>
      </c>
      <c r="E95" s="115">
        <f t="shared" si="9"/>
        <v>2037.8611111111111</v>
      </c>
      <c r="F95" s="74">
        <v>45925</v>
      </c>
      <c r="G95" s="43" t="s">
        <v>135</v>
      </c>
      <c r="H95" s="43">
        <f>IF(OR(G95="Sin pagar",G95="Pagar"),NETWORKDAYS($E$4,F95,'Festivos Guatemala'!$A$3:$A$15),0)</f>
        <v>0</v>
      </c>
      <c r="I95" s="43">
        <f>NETWORKDAYS($E$4,F95,'Festivos Guatemala'!$A$3:$A$15)</f>
        <v>18</v>
      </c>
      <c r="J95" s="75">
        <f t="shared" ref="J95:J96" si="12">H95</f>
        <v>0</v>
      </c>
      <c r="L95" s="52"/>
    </row>
    <row r="96" spans="2:15" s="43" customFormat="1" ht="15.75" outlineLevel="1" thickBot="1">
      <c r="B96" s="303" t="s">
        <v>892</v>
      </c>
      <c r="C96" s="47" t="s">
        <v>1112</v>
      </c>
      <c r="D96" s="109">
        <v>16220.02</v>
      </c>
      <c r="E96" s="115">
        <f t="shared" si="9"/>
        <v>2145.5052910052914</v>
      </c>
      <c r="F96" s="74">
        <v>45925</v>
      </c>
      <c r="G96" s="43" t="s">
        <v>135</v>
      </c>
      <c r="H96" s="43">
        <f>IF(OR(G96="Sin pagar",G96="Pagar"),NETWORKDAYS($E$4,F96,'Festivos Guatemala'!$A$3:$A$15),0)</f>
        <v>0</v>
      </c>
      <c r="I96" s="43">
        <f>NETWORKDAYS($E$4,F96,'Festivos Guatemala'!$A$3:$A$15)</f>
        <v>18</v>
      </c>
      <c r="J96" s="75">
        <f t="shared" si="12"/>
        <v>0</v>
      </c>
      <c r="L96" s="52"/>
    </row>
    <row r="97" spans="2:12" s="43" customFormat="1" ht="16.5" thickBot="1">
      <c r="B97" s="46"/>
      <c r="C97" s="73" t="s">
        <v>173</v>
      </c>
      <c r="D97" s="103">
        <f>SUBTOTAL(9,D98:D102)</f>
        <v>24772.320799999998</v>
      </c>
      <c r="E97" s="112">
        <f>SUBTOTAL(9,E98:E102)</f>
        <v>2636.3220105820105</v>
      </c>
    </row>
    <row r="98" spans="2:12" s="43" customFormat="1" outlineLevel="1">
      <c r="B98" s="46"/>
      <c r="C98" s="210" t="s">
        <v>1038</v>
      </c>
      <c r="D98" s="109">
        <f>$E$98*$D$6</f>
        <v>7530.8939999999993</v>
      </c>
      <c r="E98" s="115">
        <v>996.15</v>
      </c>
      <c r="F98" s="74">
        <v>45925</v>
      </c>
      <c r="G98" s="43" t="s">
        <v>135</v>
      </c>
      <c r="H98" s="43">
        <f>IF(OR(G98="Sin pagar",G98="Pagar"),NETWORKDAYS($E$4,F98,'Festivos Guatemala'!$A$3:$A$15),0)</f>
        <v>0</v>
      </c>
      <c r="I98" s="43">
        <f>NETWORKDAYS($E$4,F98,'Festivos Guatemala'!$A$3:$A$15)</f>
        <v>18</v>
      </c>
      <c r="J98" s="75">
        <f t="shared" ref="J98:J101" si="13">H98</f>
        <v>0</v>
      </c>
      <c r="K98" s="52"/>
      <c r="L98" s="54"/>
    </row>
    <row r="99" spans="2:12" s="43" customFormat="1" outlineLevel="1">
      <c r="B99" s="46"/>
      <c r="C99" s="210" t="s">
        <v>278</v>
      </c>
      <c r="D99" s="109">
        <f>$E$99*$D$6</f>
        <v>5546.3183999999992</v>
      </c>
      <c r="E99" s="115">
        <v>733.64</v>
      </c>
      <c r="F99" s="74">
        <v>45925</v>
      </c>
      <c r="G99" s="43" t="s">
        <v>135</v>
      </c>
      <c r="H99" s="43">
        <f>IF(OR(G99="Sin pagar",G99="Pagar"),NETWORKDAYS($E$4,F99,'Festivos Guatemala'!$A$3:$A$15),0)</f>
        <v>0</v>
      </c>
      <c r="I99" s="43">
        <f>NETWORKDAYS($E$4,F99,'Festivos Guatemala'!$A$3:$A$15)</f>
        <v>18</v>
      </c>
      <c r="J99" s="75">
        <f t="shared" si="13"/>
        <v>0</v>
      </c>
      <c r="K99" s="52"/>
      <c r="L99" s="54"/>
    </row>
    <row r="100" spans="2:12" s="43" customFormat="1" outlineLevel="1">
      <c r="B100" s="46"/>
      <c r="C100" s="210" t="s">
        <v>1120</v>
      </c>
      <c r="D100" s="109">
        <f>$E$99*$D$6</f>
        <v>5546.3183999999992</v>
      </c>
      <c r="E100" s="115">
        <v>93.2</v>
      </c>
      <c r="F100" s="74">
        <v>45925</v>
      </c>
      <c r="G100" s="43" t="s">
        <v>135</v>
      </c>
      <c r="H100" s="43">
        <f>IF(OR(G100="Sin pagar",G100="Pagar"),NETWORKDAYS($E$4,F100,'Festivos Guatemala'!$A$3:$A$15),0)</f>
        <v>0</v>
      </c>
      <c r="I100" s="43">
        <f>NETWORKDAYS($E$4,F100,'Festivos Guatemala'!$A$3:$A$15)</f>
        <v>18</v>
      </c>
      <c r="J100" s="75">
        <f t="shared" ref="J100" si="14">H100</f>
        <v>0</v>
      </c>
      <c r="K100" s="52"/>
      <c r="L100" s="54"/>
    </row>
    <row r="101" spans="2:12" s="43" customFormat="1" outlineLevel="1">
      <c r="B101" s="46"/>
      <c r="C101" s="209" t="s">
        <v>280</v>
      </c>
      <c r="D101" s="109">
        <v>4189.34</v>
      </c>
      <c r="E101" s="115">
        <f>D101/$D$6</f>
        <v>554.14550264550269</v>
      </c>
      <c r="F101" s="74">
        <v>45925</v>
      </c>
      <c r="G101" s="43" t="s">
        <v>135</v>
      </c>
      <c r="H101" s="43">
        <f>IF(OR(G101="Sin pagar",G101="Pagar"),NETWORKDAYS($E$4,F101,'Festivos Guatemala'!$A$3:$A$15),0)</f>
        <v>0</v>
      </c>
      <c r="I101" s="43">
        <f>NETWORKDAYS($E$4,F101,'Festivos Guatemala'!$A$3:$A$15)</f>
        <v>18</v>
      </c>
      <c r="J101" s="75">
        <f t="shared" si="13"/>
        <v>0</v>
      </c>
      <c r="K101" s="52"/>
      <c r="L101" s="54"/>
    </row>
    <row r="102" spans="2:12" s="43" customFormat="1" ht="15.75" outlineLevel="1" thickBot="1">
      <c r="B102" s="46"/>
      <c r="C102" s="209" t="s">
        <v>1126</v>
      </c>
      <c r="D102" s="109">
        <v>1959.45</v>
      </c>
      <c r="E102" s="115">
        <f>D102/$D$6</f>
        <v>259.18650793650795</v>
      </c>
      <c r="F102" s="74">
        <v>45925</v>
      </c>
      <c r="G102" s="43" t="s">
        <v>135</v>
      </c>
      <c r="H102" s="43">
        <f>IF(OR(G102="Sin pagar",G102="Pagar"),NETWORKDAYS($E$4,F102,'Festivos Guatemala'!$A$3:$A$15),0)</f>
        <v>0</v>
      </c>
      <c r="I102" s="43">
        <f>NETWORKDAYS($E$4,F102,'Festivos Guatemala'!$A$3:$A$15)</f>
        <v>18</v>
      </c>
      <c r="J102" s="75">
        <f t="shared" ref="J102" si="15">H102</f>
        <v>0</v>
      </c>
      <c r="K102" s="52"/>
      <c r="L102" s="54"/>
    </row>
    <row r="103" spans="2:12" s="43" customFormat="1" ht="16.5" thickBot="1">
      <c r="B103" s="87"/>
      <c r="C103" s="73" t="s">
        <v>149</v>
      </c>
      <c r="D103" s="103">
        <f>SUBTOTAL(9,D104:D113)</f>
        <v>24338.485999999997</v>
      </c>
      <c r="E103" s="112">
        <f>SUBTOTAL(9,E104:E113)</f>
        <v>3136.5768783068779</v>
      </c>
      <c r="L103" s="52"/>
    </row>
    <row r="104" spans="2:12" s="43" customFormat="1" outlineLevel="1">
      <c r="B104" s="311" t="s">
        <v>1054</v>
      </c>
      <c r="C104" s="47" t="s">
        <v>1055</v>
      </c>
      <c r="D104" s="109">
        <v>197.5</v>
      </c>
      <c r="E104" s="115">
        <f>D104/$D$6</f>
        <v>26.124338624338627</v>
      </c>
      <c r="F104" s="74">
        <v>45903</v>
      </c>
      <c r="G104" s="43" t="s">
        <v>135</v>
      </c>
      <c r="H104" s="43">
        <f>IF(OR(G104="Sin pagar",G104="Pagar"),NETWORKDAYS($E$4,F104,'Festivos Guatemala'!$A$3:$A$15),0)</f>
        <v>0</v>
      </c>
      <c r="I104" s="43">
        <f>NETWORKDAYS($E$4,F104,'Festivos Guatemala'!$A$3:$A$15)</f>
        <v>3</v>
      </c>
      <c r="J104" s="75">
        <f>H104</f>
        <v>0</v>
      </c>
      <c r="K104" s="52"/>
      <c r="L104" s="54"/>
    </row>
    <row r="105" spans="2:12" s="43" customFormat="1" outlineLevel="1">
      <c r="B105">
        <v>2774680666</v>
      </c>
      <c r="C105" s="47" t="s">
        <v>1064</v>
      </c>
      <c r="D105" s="109">
        <v>197.5</v>
      </c>
      <c r="E105" s="115">
        <f>D105/$D$6</f>
        <v>26.124338624338627</v>
      </c>
      <c r="F105" s="74">
        <v>45905</v>
      </c>
      <c r="G105" s="43" t="s">
        <v>135</v>
      </c>
      <c r="H105" s="43">
        <f>IF(OR(G105="Sin pagar",G105="Pagar"),NETWORKDAYS($E$4,F105,'Festivos Guatemala'!$A$3:$A$15),0)</f>
        <v>0</v>
      </c>
      <c r="I105" s="43">
        <f>NETWORKDAYS($E$4,F105,'Festivos Guatemala'!$A$3:$A$15)</f>
        <v>5</v>
      </c>
      <c r="J105" s="75">
        <f>H105</f>
        <v>0</v>
      </c>
      <c r="K105" s="52"/>
      <c r="L105" s="54"/>
    </row>
    <row r="106" spans="2:12" s="43" customFormat="1" outlineLevel="1">
      <c r="B106" s="311">
        <v>85780</v>
      </c>
      <c r="C106" s="47" t="s">
        <v>1086</v>
      </c>
      <c r="D106" s="109">
        <v>3594</v>
      </c>
      <c r="E106" s="115">
        <f>D106/$D$6</f>
        <v>475.39682539682542</v>
      </c>
      <c r="F106" s="74">
        <v>45916</v>
      </c>
      <c r="G106" s="43" t="s">
        <v>135</v>
      </c>
      <c r="H106" s="43">
        <f>IF(OR(G106="Sin pagar",G106="Pagar"),NETWORKDAYS($E$4,F106,'Festivos Guatemala'!$A$3:$A$15),0)</f>
        <v>0</v>
      </c>
      <c r="I106" s="43">
        <f>NETWORKDAYS($E$4,F106,'Festivos Guatemala'!$A$3:$A$15)</f>
        <v>11</v>
      </c>
      <c r="J106" s="75">
        <f>H106</f>
        <v>0</v>
      </c>
      <c r="K106" s="52"/>
      <c r="L106" s="54"/>
    </row>
    <row r="107" spans="2:12" s="43" customFormat="1" outlineLevel="1">
      <c r="B107" s="311" t="s">
        <v>145</v>
      </c>
      <c r="C107" s="47" t="s">
        <v>1085</v>
      </c>
      <c r="D107" s="109">
        <f>(E107*7.8)-0.02</f>
        <v>10059.562</v>
      </c>
      <c r="E107" s="115">
        <v>1289.69</v>
      </c>
      <c r="F107" s="74">
        <v>45918</v>
      </c>
      <c r="G107" s="43" t="s">
        <v>135</v>
      </c>
      <c r="H107" s="43">
        <f>IF(OR(G107="Sin pagar",G107="Pagar"),NETWORKDAYS($E$4,F107,'Festivos Guatemala'!$A$3:$A$15),0)</f>
        <v>0</v>
      </c>
      <c r="I107" s="43">
        <f>NETWORKDAYS($E$4,F107,'Festivos Guatemala'!$A$3:$A$15)</f>
        <v>13</v>
      </c>
      <c r="J107" s="75">
        <f>H107</f>
        <v>0</v>
      </c>
      <c r="K107" s="52"/>
      <c r="L107" s="54"/>
    </row>
    <row r="108" spans="2:12" s="43" customFormat="1" outlineLevel="1">
      <c r="B108" s="311" t="s">
        <v>145</v>
      </c>
      <c r="C108" s="47" t="s">
        <v>1094</v>
      </c>
      <c r="D108" s="109">
        <v>1</v>
      </c>
      <c r="E108" s="115">
        <f>D108/$D$6</f>
        <v>0.1322751322751323</v>
      </c>
      <c r="F108" s="74">
        <v>45922</v>
      </c>
      <c r="G108" s="43" t="s">
        <v>135</v>
      </c>
      <c r="H108" s="43">
        <f>IF(OR(G108="Sin pagar",G108="Pagar"),NETWORKDAYS($E$4,F108,'Festivos Guatemala'!$A$3:$A$15),0)</f>
        <v>0</v>
      </c>
      <c r="I108" s="43">
        <f>NETWORKDAYS($E$4,F108,'Festivos Guatemala'!$A$3:$A$15)</f>
        <v>15</v>
      </c>
      <c r="J108" s="75">
        <f t="shared" ref="J108:J112" si="16">H108</f>
        <v>0</v>
      </c>
      <c r="K108" s="52"/>
      <c r="L108" s="54"/>
    </row>
    <row r="109" spans="2:12" s="43" customFormat="1" outlineLevel="1">
      <c r="B109" s="311" t="s">
        <v>145</v>
      </c>
      <c r="C109" s="47" t="s">
        <v>1095</v>
      </c>
      <c r="D109" s="109">
        <v>1</v>
      </c>
      <c r="E109" s="115">
        <f>D109/$D$6</f>
        <v>0.1322751322751323</v>
      </c>
      <c r="F109" s="74">
        <v>45922</v>
      </c>
      <c r="G109" s="43" t="s">
        <v>135</v>
      </c>
      <c r="H109" s="43">
        <f>IF(OR(G109="Sin pagar",G109="Pagar"),NETWORKDAYS($E$4,F109,'Festivos Guatemala'!$A$3:$A$15),0)</f>
        <v>0</v>
      </c>
      <c r="I109" s="43">
        <f>NETWORKDAYS($E$4,F109,'Festivos Guatemala'!$A$3:$A$15)</f>
        <v>15</v>
      </c>
      <c r="J109" s="75">
        <f t="shared" si="16"/>
        <v>0</v>
      </c>
      <c r="K109" s="52"/>
      <c r="L109" s="54"/>
    </row>
    <row r="110" spans="2:12" s="43" customFormat="1" outlineLevel="1">
      <c r="B110" s="311" t="s">
        <v>145</v>
      </c>
      <c r="C110" s="47" t="s">
        <v>1096</v>
      </c>
      <c r="D110" s="109">
        <v>1</v>
      </c>
      <c r="E110" s="115">
        <f>D110/$D$6</f>
        <v>0.1322751322751323</v>
      </c>
      <c r="F110" s="74">
        <v>45922</v>
      </c>
      <c r="G110" s="43" t="s">
        <v>135</v>
      </c>
      <c r="H110" s="43">
        <f>IF(OR(G110="Sin pagar",G110="Pagar"),NETWORKDAYS($E$4,F110,'Festivos Guatemala'!$A$3:$A$15),0)</f>
        <v>0</v>
      </c>
      <c r="I110" s="43">
        <f>NETWORKDAYS($E$4,F110,'Festivos Guatemala'!$A$3:$A$15)</f>
        <v>15</v>
      </c>
      <c r="J110" s="75">
        <f t="shared" si="16"/>
        <v>0</v>
      </c>
      <c r="K110" s="52"/>
      <c r="L110" s="54"/>
    </row>
    <row r="111" spans="2:12" s="43" customFormat="1" outlineLevel="1">
      <c r="B111" s="311" t="s">
        <v>145</v>
      </c>
      <c r="C111" s="47" t="s">
        <v>1097</v>
      </c>
      <c r="D111" s="109">
        <v>1</v>
      </c>
      <c r="E111" s="115">
        <f>D111/$D$6</f>
        <v>0.1322751322751323</v>
      </c>
      <c r="F111" s="74">
        <v>45922</v>
      </c>
      <c r="G111" s="43" t="s">
        <v>135</v>
      </c>
      <c r="H111" s="43">
        <f>IF(OR(G111="Sin pagar",G111="Pagar"),NETWORKDAYS($E$4,F111,'Festivos Guatemala'!$A$3:$A$15),0)</f>
        <v>0</v>
      </c>
      <c r="I111" s="43">
        <f>NETWORKDAYS($E$4,F111,'Festivos Guatemala'!$A$3:$A$15)</f>
        <v>15</v>
      </c>
      <c r="J111" s="75">
        <f t="shared" si="16"/>
        <v>0</v>
      </c>
      <c r="K111" s="52"/>
      <c r="L111" s="54"/>
    </row>
    <row r="112" spans="2:12" s="43" customFormat="1" outlineLevel="1">
      <c r="B112" s="311" t="s">
        <v>145</v>
      </c>
      <c r="C112" s="47" t="s">
        <v>1098</v>
      </c>
      <c r="D112" s="109">
        <v>1</v>
      </c>
      <c r="E112" s="115">
        <f>D112/$D$6</f>
        <v>0.1322751322751323</v>
      </c>
      <c r="F112" s="74">
        <v>45922</v>
      </c>
      <c r="G112" s="43" t="s">
        <v>135</v>
      </c>
      <c r="H112" s="43">
        <f>IF(OR(G112="Sin pagar",G112="Pagar"),NETWORKDAYS($E$4,F112,'Festivos Guatemala'!$A$3:$A$15),0)</f>
        <v>0</v>
      </c>
      <c r="I112" s="43">
        <f>NETWORKDAYS($E$4,F112,'Festivos Guatemala'!$A$3:$A$15)</f>
        <v>15</v>
      </c>
      <c r="J112" s="75">
        <f t="shared" si="16"/>
        <v>0</v>
      </c>
      <c r="K112" s="52"/>
      <c r="L112" s="54"/>
    </row>
    <row r="113" spans="1:16" s="43" customFormat="1" ht="15.75" outlineLevel="1" thickBot="1">
      <c r="B113" s="311" t="s">
        <v>145</v>
      </c>
      <c r="C113" s="47" t="s">
        <v>1085</v>
      </c>
      <c r="D113" s="109">
        <f>(E113*7.8)</f>
        <v>10284.923999999999</v>
      </c>
      <c r="E113" s="115">
        <v>1318.58</v>
      </c>
      <c r="F113" s="74">
        <v>45930</v>
      </c>
      <c r="G113" s="43" t="s">
        <v>135</v>
      </c>
      <c r="H113" s="43">
        <f>IF(OR(G113="Sin pagar",G113="Pagar"),NETWORKDAYS($E$4,F113,'Festivos Guatemala'!$A$3:$A$15),0)</f>
        <v>0</v>
      </c>
      <c r="I113" s="43">
        <f>NETWORKDAYS($E$4,F113,'Festivos Guatemala'!$A$3:$A$15)</f>
        <v>21</v>
      </c>
      <c r="J113" s="75">
        <f>H113</f>
        <v>0</v>
      </c>
      <c r="K113" s="52"/>
      <c r="L113" s="54"/>
    </row>
    <row r="114" spans="1:16" s="43" customFormat="1" ht="16.5" thickBot="1">
      <c r="B114" s="87"/>
      <c r="C114" s="73" t="s">
        <v>149</v>
      </c>
      <c r="D114" s="103">
        <f>SUBTOTAL(9,D115:D115)</f>
        <v>14518.15</v>
      </c>
      <c r="E114" s="112">
        <f>SUBTOTAL(9,E115:E115)</f>
        <v>1920.3902116402116</v>
      </c>
      <c r="L114" s="52"/>
    </row>
    <row r="115" spans="1:16" s="43" customFormat="1" ht="15.75" outlineLevel="1" thickBot="1">
      <c r="B115" s="311"/>
      <c r="C115" s="47" t="s">
        <v>1099</v>
      </c>
      <c r="D115" s="109">
        <v>14518.15</v>
      </c>
      <c r="E115" s="115">
        <f>D115/$D$6</f>
        <v>1920.3902116402116</v>
      </c>
      <c r="F115" s="74">
        <v>45922</v>
      </c>
      <c r="G115" s="43" t="s">
        <v>135</v>
      </c>
      <c r="H115" s="43">
        <f>IF(OR(G115="Sin pagar",G115="Pagar"),NETWORKDAYS($E$4,F115,'Festivos Guatemala'!$A$3:$A$15),0)</f>
        <v>0</v>
      </c>
      <c r="I115" s="43">
        <f>NETWORKDAYS($E$4,F115,'Festivos Guatemala'!$A$3:$A$15)</f>
        <v>15</v>
      </c>
      <c r="J115" s="75">
        <f>H115</f>
        <v>0</v>
      </c>
      <c r="K115" s="52"/>
      <c r="L115" s="54"/>
    </row>
    <row r="116" spans="1:16" s="43" customFormat="1" ht="16.5" thickBot="1">
      <c r="B116" s="46"/>
      <c r="C116" s="73" t="s">
        <v>638</v>
      </c>
      <c r="D116" s="103">
        <f>SUBTOTAL(9,D117:D117)</f>
        <v>1500</v>
      </c>
      <c r="E116" s="112">
        <f>SUBTOTAL(9,E117:E117)</f>
        <v>198.41269841269843</v>
      </c>
    </row>
    <row r="117" spans="1:16" s="43" customFormat="1" ht="15.75" outlineLevel="1" thickBot="1">
      <c r="B117" s="46">
        <v>3075098786</v>
      </c>
      <c r="C117" s="47" t="s">
        <v>1106</v>
      </c>
      <c r="D117" s="109">
        <v>1500</v>
      </c>
      <c r="E117" s="115">
        <f>D117/$D$6</f>
        <v>198.41269841269843</v>
      </c>
      <c r="F117" s="74">
        <v>45925</v>
      </c>
      <c r="G117" s="43" t="s">
        <v>135</v>
      </c>
      <c r="H117" s="43">
        <f>IF(OR(G117="Sin pagar",G117="Pagar"),NETWORKDAYS($E$4,F117,'Festivos Guatemala'!$A$3:$A$15),0)</f>
        <v>0</v>
      </c>
      <c r="I117" s="43">
        <f>NETWORKDAYS($E$4,F117,'Festivos Guatemala'!$A$3:$A$15)</f>
        <v>18</v>
      </c>
      <c r="J117" s="75">
        <f>H117</f>
        <v>0</v>
      </c>
      <c r="K117" s="52"/>
      <c r="L117" s="54"/>
    </row>
    <row r="118" spans="1:16" s="43" customFormat="1" ht="14.25" customHeight="1">
      <c r="B118" s="46"/>
      <c r="C118" s="88" t="s">
        <v>150</v>
      </c>
      <c r="D118" s="120">
        <f>SUBTOTAL(9,D35:D117)</f>
        <v>808917.38399999985</v>
      </c>
      <c r="E118" s="116">
        <f>SUBTOTAL(9,E35:E117)</f>
        <v>106268.9331746032</v>
      </c>
      <c r="K118" s="39"/>
      <c r="L118" s="39"/>
      <c r="N118" s="39"/>
      <c r="O118" s="39"/>
      <c r="P118" s="39"/>
    </row>
    <row r="119" spans="1:16" ht="15.75">
      <c r="A119" s="43"/>
      <c r="E119" s="117"/>
      <c r="F119" s="89"/>
      <c r="G119" s="89"/>
      <c r="H119" s="89"/>
      <c r="I119" s="89"/>
      <c r="J119" s="89"/>
    </row>
    <row r="120" spans="1:16" ht="15.75">
      <c r="A120" s="43"/>
      <c r="C120" s="90" t="s">
        <v>151</v>
      </c>
      <c r="D120" s="121">
        <f>D30-D118</f>
        <v>373225.60729999933</v>
      </c>
      <c r="E120" s="118">
        <f>E30-E118</f>
        <v>49570.937411610343</v>
      </c>
      <c r="F120" s="226"/>
      <c r="G120" s="227"/>
      <c r="J120" s="227"/>
    </row>
    <row r="121" spans="1:16" s="93" customFormat="1" ht="15.75">
      <c r="A121" s="43"/>
      <c r="B121" s="94"/>
      <c r="C121" s="90" t="s">
        <v>152</v>
      </c>
      <c r="D121" s="95">
        <f>IF($D$30=0,0,D120/$D$30)</f>
        <v>0.3157195111308525</v>
      </c>
      <c r="E121" s="95">
        <f>IF($E$30=0,0,E120/$E$30)</f>
        <v>0.31808892823859714</v>
      </c>
      <c r="F121" s="96"/>
      <c r="G121" s="92"/>
      <c r="J121" s="97"/>
      <c r="K121" s="39"/>
      <c r="L121" s="39"/>
      <c r="N121" s="39"/>
      <c r="O121" s="39"/>
      <c r="P121" s="39"/>
    </row>
    <row r="122" spans="1:16" ht="15.75" thickBot="1">
      <c r="A122" s="43"/>
      <c r="F122" s="96"/>
      <c r="G122" s="92"/>
    </row>
    <row r="123" spans="1:16" ht="15.75" thickBot="1">
      <c r="A123" s="43"/>
      <c r="C123" s="135" t="s">
        <v>184</v>
      </c>
      <c r="D123" s="136" t="s">
        <v>185</v>
      </c>
      <c r="E123" s="137" t="s">
        <v>191</v>
      </c>
      <c r="F123" s="137" t="s">
        <v>186</v>
      </c>
      <c r="G123" s="92"/>
    </row>
    <row r="124" spans="1:16">
      <c r="A124" s="43"/>
      <c r="C124" s="307">
        <v>45901</v>
      </c>
      <c r="D124" s="308">
        <v>45907</v>
      </c>
      <c r="E124" s="309">
        <f t="shared" ref="E124:E132" si="17">SUMIFS($D$35:$D$121,$F$35:$F$121,"&gt;="&amp;C124,$F$35:$F$121,"&lt;="&amp;D124,$G$35:$G$121,$D$143)</f>
        <v>0</v>
      </c>
      <c r="F124" s="310">
        <f t="shared" ref="F124:F132" si="18">SUMIFS($E$35:$E$121,$F$35:$F$121,"&gt;="&amp;C124,$F$35:$F$121,"&lt;="&amp;D124,$G$35:$G$121,$D$143)</f>
        <v>0</v>
      </c>
      <c r="G124" s="92"/>
    </row>
    <row r="125" spans="1:16">
      <c r="A125" s="43"/>
      <c r="C125" s="191">
        <v>45908</v>
      </c>
      <c r="D125" s="260">
        <v>45911</v>
      </c>
      <c r="E125" s="193">
        <f t="shared" si="17"/>
        <v>0</v>
      </c>
      <c r="F125" s="194">
        <f t="shared" si="18"/>
        <v>0</v>
      </c>
      <c r="G125" s="92"/>
    </row>
    <row r="126" spans="1:16">
      <c r="A126" s="43"/>
      <c r="C126" s="191">
        <v>45912</v>
      </c>
      <c r="D126" s="260">
        <v>45912</v>
      </c>
      <c r="E126" s="193">
        <f t="shared" si="17"/>
        <v>0</v>
      </c>
      <c r="F126" s="194">
        <f t="shared" si="18"/>
        <v>0</v>
      </c>
      <c r="G126" s="92" t="s">
        <v>993</v>
      </c>
    </row>
    <row r="127" spans="1:16">
      <c r="A127" s="43"/>
      <c r="C127" s="191">
        <v>45913</v>
      </c>
      <c r="D127" s="260">
        <v>45915</v>
      </c>
      <c r="E127" s="193">
        <f t="shared" si="17"/>
        <v>0</v>
      </c>
      <c r="F127" s="194">
        <f t="shared" si="18"/>
        <v>0</v>
      </c>
      <c r="G127" s="92"/>
    </row>
    <row r="128" spans="1:16">
      <c r="A128" s="43"/>
      <c r="C128" s="191">
        <v>45916</v>
      </c>
      <c r="D128" s="260">
        <v>45916</v>
      </c>
      <c r="E128" s="193">
        <f t="shared" si="17"/>
        <v>0</v>
      </c>
      <c r="F128" s="194">
        <f t="shared" si="18"/>
        <v>0</v>
      </c>
      <c r="G128" s="92" t="s">
        <v>1072</v>
      </c>
    </row>
    <row r="129" spans="1:10">
      <c r="A129" s="43"/>
      <c r="C129" s="191">
        <v>45917</v>
      </c>
      <c r="D129" s="192">
        <v>45917</v>
      </c>
      <c r="E129" s="193">
        <f t="shared" si="17"/>
        <v>0</v>
      </c>
      <c r="F129" s="194">
        <f t="shared" si="18"/>
        <v>0</v>
      </c>
      <c r="G129" s="92" t="s">
        <v>992</v>
      </c>
    </row>
    <row r="130" spans="1:10">
      <c r="A130" s="43"/>
      <c r="C130" s="191">
        <v>45918</v>
      </c>
      <c r="D130" s="192">
        <v>45921</v>
      </c>
      <c r="E130" s="193">
        <f t="shared" si="17"/>
        <v>0</v>
      </c>
      <c r="F130" s="194">
        <f t="shared" si="18"/>
        <v>0</v>
      </c>
      <c r="G130" s="92"/>
    </row>
    <row r="131" spans="1:10">
      <c r="A131" s="43"/>
      <c r="C131" s="191">
        <v>45922</v>
      </c>
      <c r="D131" s="192">
        <v>45928</v>
      </c>
      <c r="E131" s="193">
        <f t="shared" si="17"/>
        <v>0</v>
      </c>
      <c r="F131" s="194">
        <f t="shared" si="18"/>
        <v>0</v>
      </c>
      <c r="G131" s="92" t="s">
        <v>991</v>
      </c>
    </row>
    <row r="132" spans="1:10" ht="15.75" thickBot="1">
      <c r="A132" s="43"/>
      <c r="C132" s="195">
        <v>45929</v>
      </c>
      <c r="D132" s="196">
        <v>45930</v>
      </c>
      <c r="E132" s="197">
        <f t="shared" si="17"/>
        <v>0</v>
      </c>
      <c r="F132" s="198">
        <f t="shared" si="18"/>
        <v>0</v>
      </c>
      <c r="G132" s="92"/>
    </row>
    <row r="133" spans="1:10" ht="15.75">
      <c r="A133" s="43"/>
      <c r="C133" s="433" t="s">
        <v>187</v>
      </c>
      <c r="D133" s="433"/>
      <c r="E133" s="148">
        <f>SUM(E124:E132)</f>
        <v>0</v>
      </c>
      <c r="F133" s="144">
        <f>SUM(F124:F132)</f>
        <v>0</v>
      </c>
      <c r="G133" s="92"/>
    </row>
    <row r="134" spans="1:10">
      <c r="A134" s="43"/>
      <c r="F134" s="96"/>
      <c r="G134" s="92"/>
    </row>
    <row r="135" spans="1:10">
      <c r="A135" s="43"/>
      <c r="F135" s="96"/>
      <c r="G135" s="92"/>
    </row>
    <row r="136" spans="1:10">
      <c r="A136" s="43"/>
      <c r="C136" s="41"/>
      <c r="D136" s="41" t="s">
        <v>380</v>
      </c>
      <c r="E136" s="166">
        <f>'Caja QTQ'!$H$683+('Caja USD'!$H$260*$D$6)</f>
        <v>373225.60369999922</v>
      </c>
      <c r="F136" s="153">
        <f>('Caja QTQ'!$H$683/D6)+'Caja USD'!$H$260</f>
        <v>49368.466097883495</v>
      </c>
      <c r="G136" s="92"/>
    </row>
    <row r="137" spans="1:10">
      <c r="A137" s="43"/>
      <c r="C137" s="41"/>
      <c r="D137" s="200" t="s">
        <v>1066</v>
      </c>
      <c r="E137" s="166">
        <f>SUBTOTAL(9,E124:E132)</f>
        <v>0</v>
      </c>
      <c r="F137" s="153">
        <f>SUBTOTAL(9,F124:F132)</f>
        <v>0</v>
      </c>
      <c r="G137" s="92"/>
    </row>
    <row r="138" spans="1:10">
      <c r="A138" s="43"/>
      <c r="C138" s="41"/>
      <c r="D138" s="146" t="s">
        <v>969</v>
      </c>
      <c r="E138" s="201">
        <f>E136-E137</f>
        <v>373225.60369999922</v>
      </c>
      <c r="F138" s="201">
        <f>F136-F137</f>
        <v>49368.466097883495</v>
      </c>
      <c r="G138" s="92"/>
    </row>
    <row r="139" spans="1:10">
      <c r="A139" s="43"/>
      <c r="C139" s="41"/>
      <c r="E139" s="166"/>
      <c r="F139" s="153"/>
      <c r="G139" s="92"/>
    </row>
    <row r="140" spans="1:10">
      <c r="A140" s="43"/>
      <c r="D140" s="146"/>
      <c r="E140" s="298"/>
      <c r="F140" s="299"/>
      <c r="G140" s="92"/>
      <c r="J140" s="167"/>
    </row>
    <row r="141" spans="1:10">
      <c r="A141" s="43"/>
      <c r="D141" s="146"/>
      <c r="E141" s="298"/>
      <c r="F141" s="299"/>
      <c r="G141" s="92"/>
      <c r="J141" s="167"/>
    </row>
    <row r="142" spans="1:10">
      <c r="D142" s="43" t="s">
        <v>135</v>
      </c>
      <c r="E142" s="15">
        <f>SUMIFS($D$35:$D$135,$F$35:$F$135,"&gt;="&amp;C124,$F$35:$F$135,"&lt;="&amp;D132,$G$35:$G$135,$D$142)</f>
        <v>808917.38399999985</v>
      </c>
      <c r="F142" s="153">
        <f>SUMIFS($E$35:$E$135,$F$35:$F$135,"&gt;="&amp;C124,$F$35:$F$135,"&lt;="&amp;D132,$G$35:$G$135,$D$142)</f>
        <v>106268.9331746032</v>
      </c>
    </row>
    <row r="143" spans="1:10">
      <c r="D143" s="43" t="s">
        <v>143</v>
      </c>
      <c r="E143" s="15">
        <f>SUMIFS($D$35:$D$135,$F$35:$F$135,"&gt;="&amp;C124,$F$35:$F$135,"&lt;="&amp;D132,$G$35:$G$135,$D$143)</f>
        <v>0</v>
      </c>
      <c r="F143" s="153">
        <f>SUMIFS($E$35:$E$135,$F$35:$F$135,"&gt;="&amp;C124,$F$35:$F$135,"&lt;="&amp;D132,$G$35:$G$135,$D$143)</f>
        <v>0</v>
      </c>
    </row>
    <row r="144" spans="1:10">
      <c r="D144" s="146" t="s">
        <v>189</v>
      </c>
      <c r="E144" s="152">
        <f>SUM(E142:E143)</f>
        <v>808917.38399999985</v>
      </c>
      <c r="F144" s="145">
        <f>SUM(F142:F143)</f>
        <v>106268.9331746032</v>
      </c>
    </row>
    <row r="145" spans="4:6">
      <c r="D145" s="146" t="s">
        <v>190</v>
      </c>
      <c r="E145" s="152">
        <f>E144-D118</f>
        <v>0</v>
      </c>
      <c r="F145" s="145">
        <f>F144-E118</f>
        <v>0</v>
      </c>
    </row>
    <row r="148" spans="4:6" hidden="1">
      <c r="D148" s="41" t="s">
        <v>339</v>
      </c>
      <c r="E148" s="166">
        <f>'Caja QTQ'!H167+('Caja USD'!H70*7.6)</f>
        <v>190098.56839999984</v>
      </c>
    </row>
    <row r="149" spans="4:6" hidden="1">
      <c r="D149" s="41" t="s">
        <v>85</v>
      </c>
      <c r="E149" s="166">
        <f>E147-E148</f>
        <v>-190098.56839999984</v>
      </c>
      <c r="F149" s="185">
        <f>E149/7.88</f>
        <v>-24124.183807106579</v>
      </c>
    </row>
    <row r="150" spans="4:6">
      <c r="F150" s="167"/>
    </row>
    <row r="151" spans="4:6">
      <c r="D151" s="41" t="s">
        <v>373</v>
      </c>
      <c r="E151" s="166">
        <f>D120</f>
        <v>373225.60729999933</v>
      </c>
      <c r="F151" s="167"/>
    </row>
    <row r="152" spans="4:6">
      <c r="D152" s="41" t="s">
        <v>339</v>
      </c>
      <c r="E152" s="166">
        <f>'Caja QTQ'!$H$683+('Caja USD'!$H$260*$D$6)</f>
        <v>373225.60369999922</v>
      </c>
      <c r="F152" s="167"/>
    </row>
    <row r="153" spans="4:6">
      <c r="D153" s="41" t="s">
        <v>444</v>
      </c>
      <c r="E153" s="166">
        <f>$E$151-$E$152</f>
        <v>3.6000001127831638E-3</v>
      </c>
      <c r="F153" s="167"/>
    </row>
    <row r="154" spans="4:6">
      <c r="D154" s="41" t="s">
        <v>674</v>
      </c>
      <c r="E154" s="167">
        <f>E153/$D$6</f>
        <v>4.7619049110888412E-4</v>
      </c>
      <c r="F154" s="167"/>
    </row>
    <row r="155" spans="4:6">
      <c r="F155" s="167"/>
    </row>
    <row r="156" spans="4:6">
      <c r="F156" s="167"/>
    </row>
    <row r="157" spans="4:6">
      <c r="F157" s="167"/>
    </row>
    <row r="158" spans="4:6">
      <c r="F158" s="167"/>
    </row>
    <row r="159" spans="4:6">
      <c r="E159" s="166"/>
      <c r="F159" s="153"/>
    </row>
    <row r="160" spans="4:6">
      <c r="E160" s="166"/>
      <c r="F160" s="153"/>
    </row>
    <row r="161" spans="4:6">
      <c r="D161" s="109"/>
      <c r="E161" s="264"/>
      <c r="F161" s="227"/>
    </row>
    <row r="162" spans="4:6">
      <c r="D162" s="109"/>
      <c r="E162" s="264"/>
      <c r="F162" s="227"/>
    </row>
    <row r="163" spans="4:6">
      <c r="D163" s="109"/>
      <c r="E163" s="264"/>
      <c r="F163" s="227"/>
    </row>
    <row r="164" spans="4:6">
      <c r="D164" s="109"/>
      <c r="E164" s="264"/>
      <c r="F164" s="227"/>
    </row>
    <row r="165" spans="4:6">
      <c r="D165" s="109"/>
      <c r="E165" s="264"/>
      <c r="F165" s="227"/>
    </row>
    <row r="166" spans="4:6">
      <c r="D166" s="109"/>
      <c r="E166" s="264"/>
      <c r="F166" s="227"/>
    </row>
    <row r="167" spans="4:6">
      <c r="D167" s="109"/>
      <c r="E167" s="264"/>
      <c r="F167" s="227"/>
    </row>
    <row r="168" spans="4:6">
      <c r="D168" s="109"/>
      <c r="E168" s="264"/>
      <c r="F168" s="227"/>
    </row>
    <row r="169" spans="4:6">
      <c r="D169" s="109"/>
      <c r="E169" s="264"/>
      <c r="F169" s="227"/>
    </row>
    <row r="170" spans="4:6">
      <c r="D170" s="109"/>
      <c r="E170" s="264"/>
      <c r="F170" s="227"/>
    </row>
    <row r="171" spans="4:6">
      <c r="D171" s="109"/>
      <c r="E171" s="264"/>
      <c r="F171" s="227"/>
    </row>
    <row r="172" spans="4:6">
      <c r="D172" s="109"/>
      <c r="E172" s="264"/>
      <c r="F172" s="227"/>
    </row>
    <row r="173" spans="4:6">
      <c r="D173" s="109"/>
      <c r="E173" s="264"/>
      <c r="F173" s="227"/>
    </row>
    <row r="174" spans="4:6">
      <c r="D174" s="109"/>
      <c r="E174" s="264"/>
      <c r="F174" s="227"/>
    </row>
    <row r="175" spans="4:6">
      <c r="D175" s="109"/>
      <c r="E175" s="264"/>
      <c r="F175" s="227"/>
    </row>
    <row r="176" spans="4:6">
      <c r="D176" s="109"/>
      <c r="E176" s="264"/>
      <c r="F176" s="227"/>
    </row>
    <row r="177" spans="4:6">
      <c r="D177" s="109"/>
      <c r="E177" s="264"/>
      <c r="F177" s="227"/>
    </row>
  </sheetData>
  <protectedRanges>
    <protectedRange sqref="F30:G30 D122:E122 D64:E64 F138 D134:E141 C136:C139" name="Presupuestos"/>
    <protectedRange sqref="D34:E34 D8:E8" name="Presupuestos_1"/>
    <protectedRange sqref="D44:E50" name="Presupuestos_13_1"/>
    <protectedRange sqref="D52:E60 D62" name="Presupuestos_14"/>
    <protectedRange sqref="D163 D167 D165 E70:E90 E92:E96" name="Presupuestos_2_1_1_1"/>
    <protectedRange sqref="D170 D117:E117 D115:E115 D98:E102 D104:E113" name="Presupuestos_6_1_1_1"/>
    <protectedRange sqref="D161:D162 D164 D166 D168:D169 D171:D176 D70:D90 D92:D96" name="Presupuestos_5_2_1"/>
    <protectedRange sqref="E62" name="Presupuestos_13_1_1"/>
    <protectedRange sqref="E68" name="Presupuestos_7_1_2"/>
    <protectedRange sqref="D68" name="Presupuestos_7_1_1_1"/>
    <protectedRange sqref="D10:E11" name="Presupuestos_2"/>
  </protectedRanges>
  <autoFilter ref="B34:J117" xr:uid="{00000000-0009-0000-0000-000002000000}"/>
  <mergeCells count="4">
    <mergeCell ref="D7:E7"/>
    <mergeCell ref="B33:C33"/>
    <mergeCell ref="D33:E33"/>
    <mergeCell ref="C133:D133"/>
  </mergeCells>
  <conditionalFormatting sqref="J36 J38:J42 J44:J50 J52:J60 J62 J66:J68 J70:J90 J92:J96 J98:J102 J117">
    <cfRule type="cellIs" dxfId="88" priority="9" operator="lessThan">
      <formula>0</formula>
    </cfRule>
    <cfRule type="cellIs" dxfId="87" priority="10" operator="between">
      <formula>6</formula>
      <formula>15</formula>
    </cfRule>
    <cfRule type="cellIs" dxfId="86" priority="11" operator="between">
      <formula>1</formula>
      <formula>5</formula>
    </cfRule>
    <cfRule type="cellIs" dxfId="85" priority="12" operator="between">
      <formula>16</formula>
      <formula>60</formula>
    </cfRule>
  </conditionalFormatting>
  <conditionalFormatting sqref="J64">
    <cfRule type="cellIs" dxfId="84" priority="5" operator="lessThan">
      <formula>0</formula>
    </cfRule>
    <cfRule type="cellIs" dxfId="83" priority="6" operator="between">
      <formula>6</formula>
      <formula>15</formula>
    </cfRule>
    <cfRule type="cellIs" dxfId="82" priority="7" operator="between">
      <formula>1</formula>
      <formula>5</formula>
    </cfRule>
    <cfRule type="cellIs" dxfId="81" priority="8" operator="between">
      <formula>16</formula>
      <formula>60</formula>
    </cfRule>
  </conditionalFormatting>
  <conditionalFormatting sqref="J104:J113 J115">
    <cfRule type="cellIs" dxfId="80" priority="1" operator="lessThan">
      <formula>0</formula>
    </cfRule>
    <cfRule type="cellIs" dxfId="79" priority="2" operator="between">
      <formula>6</formula>
      <formula>15</formula>
    </cfRule>
    <cfRule type="cellIs" dxfId="78" priority="3" operator="between">
      <formula>1</formula>
      <formula>5</formula>
    </cfRule>
    <cfRule type="cellIs" dxfId="77" priority="4" operator="between">
      <formula>16</formula>
      <formula>60</formula>
    </cfRule>
  </conditionalFormatting>
  <dataValidations disablePrompts="1" count="3">
    <dataValidation type="list" allowBlank="1" showInputMessage="1" showErrorMessage="1" sqref="D142:D143 G117 G64 G92:G96 G35:G36 G104:G113 G44:G50 G70:G90 G62 G115 G38:G42 G98:G102 G52:G60 G66:G68" xr:uid="{B3881486-F511-4F7F-9BA8-E29715FAC19A}">
      <formula1>"Cancelado,Pagar,Sin Pagar"</formula1>
    </dataValidation>
    <dataValidation type="list" allowBlank="1" showInputMessage="1" showErrorMessage="1" sqref="D33 D7" xr:uid="{EC89E648-8771-4939-99EC-EB52A288EED2}">
      <formula1>"ENERO,FEBRERO,MARZO,ABRIL,MAYO,JUNIO,JULIO,AGOSTO,SEPTIEMBRE,OCTUBRE,NOVIEMBRE,DICIEMBRE"</formula1>
    </dataValidation>
    <dataValidation type="list" allowBlank="1" showInputMessage="1" showErrorMessage="1" sqref="B13:B29" xr:uid="{99605282-8170-4CB7-8B62-BD87339130AA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116:J119 H114:J115 J68:J79 J103 J82:J90 J92:J99 J101 J42:J44 J36:J39 H104:J112 J46:J66" unlockedFormula="1"/>
    <ignoredError sqref="E39 D62" formula="1"/>
  </ignoredError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FAAA-4C30-4185-9D61-927609F69B39}">
  <dimension ref="A1:S187"/>
  <sheetViews>
    <sheetView showGridLines="0" topLeftCell="A28" zoomScaleNormal="100" workbookViewId="0">
      <selection activeCell="C38" sqref="C38"/>
    </sheetView>
  </sheetViews>
  <sheetFormatPr baseColWidth="10" defaultColWidth="11.42578125" defaultRowHeight="15" outlineLevelRow="1"/>
  <cols>
    <col min="1" max="1" width="2.140625" style="39" customWidth="1"/>
    <col min="2" max="2" width="13.28515625" style="40" customWidth="1"/>
    <col min="3" max="3" width="84.28515625" style="39" bestFit="1" customWidth="1"/>
    <col min="4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9" hidden="1">
      <c r="D1" s="41">
        <v>42400</v>
      </c>
    </row>
    <row r="2" spans="1:9">
      <c r="D2" s="42"/>
      <c r="E2" s="42"/>
      <c r="I2" s="43"/>
    </row>
    <row r="3" spans="1:9">
      <c r="E3" s="15"/>
      <c r="I3" s="43"/>
    </row>
    <row r="4" spans="1:9" ht="15.75">
      <c r="B4" s="134"/>
      <c r="C4" s="134"/>
      <c r="D4" s="111" t="s">
        <v>139</v>
      </c>
      <c r="E4" s="66">
        <v>45931</v>
      </c>
      <c r="I4" s="43"/>
    </row>
    <row r="5" spans="1:9">
      <c r="D5" s="42"/>
      <c r="E5" s="42"/>
      <c r="I5" s="43"/>
    </row>
    <row r="6" spans="1:9">
      <c r="C6" s="98" t="s">
        <v>181</v>
      </c>
      <c r="D6" s="125">
        <v>7.46</v>
      </c>
      <c r="E6" s="42"/>
      <c r="I6" s="43"/>
    </row>
    <row r="7" spans="1:9" ht="15.75">
      <c r="C7" s="99"/>
      <c r="D7" s="432" t="s">
        <v>1142</v>
      </c>
      <c r="E7" s="432"/>
      <c r="I7" s="43"/>
    </row>
    <row r="8" spans="1:9">
      <c r="D8" s="110" t="s">
        <v>168</v>
      </c>
      <c r="E8" s="110" t="s">
        <v>169</v>
      </c>
    </row>
    <row r="9" spans="1:9" s="44" customFormat="1" ht="15.75">
      <c r="C9" s="101" t="s">
        <v>133</v>
      </c>
      <c r="D9" s="126">
        <f>SUBTOTAL(9,D10:D12)</f>
        <v>387196.28569999925</v>
      </c>
      <c r="E9" s="122">
        <f>SUBTOTAL(9,E10:E12)</f>
        <v>51906.03867292215</v>
      </c>
      <c r="F9" s="45"/>
      <c r="I9" s="43"/>
    </row>
    <row r="10" spans="1:9" s="43" customFormat="1" outlineLevel="1">
      <c r="B10" s="46"/>
      <c r="C10" s="47" t="s">
        <v>153</v>
      </c>
      <c r="D10" s="15">
        <f>'Caja QTQ'!$H$683+10530.52</f>
        <v>369385.47089999926</v>
      </c>
      <c r="E10" s="25">
        <f>D10/$D$6</f>
        <v>49515.478672922152</v>
      </c>
      <c r="F10" s="49"/>
    </row>
    <row r="11" spans="1:9" s="43" customFormat="1" outlineLevel="1">
      <c r="B11" s="46"/>
      <c r="C11" s="47" t="s">
        <v>154</v>
      </c>
      <c r="D11" s="15">
        <f>E11*D6</f>
        <v>14180.5648</v>
      </c>
      <c r="E11" s="25">
        <f>'Caja USD'!$H$260</f>
        <v>1900.88</v>
      </c>
      <c r="F11" s="49"/>
    </row>
    <row r="12" spans="1:9" s="43" customFormat="1" outlineLevel="1">
      <c r="B12" s="46"/>
      <c r="C12" s="47" t="s">
        <v>1164</v>
      </c>
      <c r="D12" s="15">
        <f>'Caja QTQ'!$D$689</f>
        <v>3630.25</v>
      </c>
      <c r="E12" s="25">
        <f>D12/7.41351494853782</f>
        <v>489.68000000000006</v>
      </c>
      <c r="F12" s="25"/>
    </row>
    <row r="13" spans="1:9" s="43" customFormat="1" ht="15.75">
      <c r="B13" s="46"/>
      <c r="C13" s="102" t="s">
        <v>134</v>
      </c>
      <c r="D13" s="127">
        <f>SUBTOTAL(9,D14:D29)</f>
        <v>1157069.58</v>
      </c>
      <c r="E13" s="122">
        <f>SUBTOTAL(9,E14:E29)</f>
        <v>152502.50841059606</v>
      </c>
      <c r="F13" s="128"/>
    </row>
    <row r="14" spans="1:9" s="43" customFormat="1" outlineLevel="1">
      <c r="B14" s="218" t="s">
        <v>298</v>
      </c>
      <c r="C14" s="350" t="s">
        <v>1157</v>
      </c>
      <c r="D14" s="252">
        <f>'Diferencia en cambio'!I169</f>
        <v>10991.49</v>
      </c>
      <c r="E14" s="360">
        <f>$D$14/'Diferencia en cambio'!$L$169</f>
        <v>1468.58</v>
      </c>
      <c r="F14" s="128"/>
      <c r="G14" s="52"/>
    </row>
    <row r="15" spans="1:9" s="43" customFormat="1" outlineLevel="1">
      <c r="A15" s="50"/>
      <c r="B15" s="218" t="s">
        <v>298</v>
      </c>
      <c r="C15" s="215" t="s">
        <v>1160</v>
      </c>
      <c r="D15" s="252">
        <f>$E$15*'Diferencia en cambio'!$L$170</f>
        <v>38690.400000000001</v>
      </c>
      <c r="E15" s="360">
        <v>5150</v>
      </c>
      <c r="F15" s="330"/>
      <c r="G15" s="331"/>
    </row>
    <row r="16" spans="1:9" s="43" customFormat="1" outlineLevel="1">
      <c r="B16" s="218" t="s">
        <v>298</v>
      </c>
      <c r="C16" s="215" t="s">
        <v>515</v>
      </c>
      <c r="D16" s="252">
        <f>$E$16*'Diferencia en cambio'!$L$171</f>
        <v>49870.579598971439</v>
      </c>
      <c r="E16" s="360">
        <f>'Diferencia en cambio'!I171/'Diferencia en cambio'!L171</f>
        <v>6625.14</v>
      </c>
      <c r="F16" s="128"/>
      <c r="G16" s="52"/>
    </row>
    <row r="17" spans="1:17" s="43" customFormat="1" ht="14.25" customHeight="1" outlineLevel="1">
      <c r="B17" s="218" t="s">
        <v>298</v>
      </c>
      <c r="C17" s="215" t="s">
        <v>516</v>
      </c>
      <c r="D17" s="252">
        <f>$E$17*'Diferencia en cambio'!$L$172</f>
        <v>12462.940227502069</v>
      </c>
      <c r="E17" s="360">
        <f>'Diferencia en cambio'!$I$172/'Diferencia en cambio'!$L$172</f>
        <v>1655.66</v>
      </c>
      <c r="F17" s="202"/>
      <c r="G17" s="52"/>
    </row>
    <row r="18" spans="1:17" s="43" customFormat="1" outlineLevel="1">
      <c r="B18" s="218" t="s">
        <v>298</v>
      </c>
      <c r="C18" s="215" t="s">
        <v>831</v>
      </c>
      <c r="D18" s="252">
        <f>$E$18*'Diferencia en cambio'!$L$173</f>
        <v>29899.735222724721</v>
      </c>
      <c r="E18" s="360">
        <f>'Diferencia en cambio'!$I$173/'Diferencia en cambio'!$L$173</f>
        <v>3972.08</v>
      </c>
      <c r="F18" s="329"/>
      <c r="G18" s="208"/>
    </row>
    <row r="19" spans="1:17" s="43" customFormat="1" outlineLevel="1">
      <c r="B19" s="218" t="s">
        <v>298</v>
      </c>
      <c r="C19" s="215" t="s">
        <v>1016</v>
      </c>
      <c r="D19" s="252">
        <f>$E$19*'Diferencia en cambio'!$L$174</f>
        <v>20032.64495080175</v>
      </c>
      <c r="E19" s="360">
        <f>'Diferencia en cambio'!$I$174/'Diferencia en cambio'!$L$174</f>
        <v>2661.27</v>
      </c>
      <c r="F19" s="329"/>
      <c r="G19" s="208"/>
    </row>
    <row r="20" spans="1:17" s="43" customFormat="1" outlineLevel="1">
      <c r="B20" s="218" t="s">
        <v>298</v>
      </c>
      <c r="C20" s="357" t="s">
        <v>514</v>
      </c>
      <c r="D20" s="216">
        <f>'Diferencia en cambio'!$I$175</f>
        <v>6372.49</v>
      </c>
      <c r="E20" s="360">
        <f>'Diferencia en cambio'!$I$175/'Diferencia en cambio'!$L$175</f>
        <v>845.5984105960265</v>
      </c>
      <c r="F20" s="128"/>
      <c r="G20" s="208">
        <f>E20+E27+E29</f>
        <v>44722.218410596026</v>
      </c>
    </row>
    <row r="21" spans="1:17" s="43" customFormat="1" outlineLevel="1">
      <c r="B21" s="218" t="s">
        <v>298</v>
      </c>
      <c r="C21" s="215" t="s">
        <v>1025</v>
      </c>
      <c r="D21" s="252">
        <f>'Diferencia en cambio'!I176</f>
        <v>422666.13341886736</v>
      </c>
      <c r="E21" s="360">
        <f>D21/'Diferencia en cambio'!L176</f>
        <v>55471.94</v>
      </c>
      <c r="F21" s="329"/>
      <c r="G21" s="336"/>
    </row>
    <row r="22" spans="1:17" s="43" customFormat="1" outlineLevel="1">
      <c r="A22" s="50"/>
      <c r="B22" s="218" t="s">
        <v>298</v>
      </c>
      <c r="C22" s="215" t="s">
        <v>906</v>
      </c>
      <c r="D22" s="252">
        <f>'Diferencia en cambio'!I177</f>
        <v>10232.932491301708</v>
      </c>
      <c r="E22" s="360">
        <f>D22/'Diferencia en cambio'!L177</f>
        <v>1343</v>
      </c>
      <c r="F22" s="330"/>
      <c r="G22" s="354">
        <f>G20/E30</f>
        <v>0.21878839729888214</v>
      </c>
    </row>
    <row r="23" spans="1:17" s="43" customFormat="1" outlineLevel="1">
      <c r="B23" s="218" t="s">
        <v>298</v>
      </c>
      <c r="C23" s="215" t="s">
        <v>519</v>
      </c>
      <c r="D23" s="252">
        <f>'Diferencia en cambio'!I178</f>
        <v>26226.785010915697</v>
      </c>
      <c r="E23" s="360">
        <f>D23/'Diferencia en cambio'!L178</f>
        <v>3442.08</v>
      </c>
    </row>
    <row r="24" spans="1:17" s="43" customFormat="1" outlineLevel="1">
      <c r="B24" s="218" t="s">
        <v>298</v>
      </c>
      <c r="C24" s="215" t="s">
        <v>518</v>
      </c>
      <c r="D24" s="252">
        <f>'Diferencia en cambio'!I179</f>
        <v>18374.704653312459</v>
      </c>
      <c r="E24" s="360">
        <f>D24/'Diferencia en cambio'!L179</f>
        <v>2411.5500000000002</v>
      </c>
      <c r="F24" s="128"/>
      <c r="G24" s="52"/>
    </row>
    <row r="25" spans="1:17" s="43" customFormat="1" outlineLevel="1">
      <c r="B25" s="218" t="s">
        <v>298</v>
      </c>
      <c r="C25" s="215" t="s">
        <v>819</v>
      </c>
      <c r="D25" s="252">
        <f>'Diferencia en cambio'!I180</f>
        <v>45574.113515691046</v>
      </c>
      <c r="E25" s="360">
        <f>D25/'Diferencia en cambio'!L180</f>
        <v>5981.28</v>
      </c>
      <c r="F25" s="128"/>
      <c r="G25" s="52"/>
    </row>
    <row r="26" spans="1:17" s="43" customFormat="1" outlineLevel="1">
      <c r="B26" s="218" t="s">
        <v>298</v>
      </c>
      <c r="C26" s="215" t="s">
        <v>929</v>
      </c>
      <c r="D26" s="252">
        <f>'Diferencia en cambio'!I182</f>
        <v>12801.070909911716</v>
      </c>
      <c r="E26" s="360">
        <f>D26/'Diferencia en cambio'!L182</f>
        <v>1680.05</v>
      </c>
      <c r="F26" s="128"/>
      <c r="G26" s="52"/>
    </row>
    <row r="27" spans="1:17" s="43" customFormat="1" outlineLevel="1">
      <c r="B27" s="218" t="s">
        <v>298</v>
      </c>
      <c r="C27" s="215" t="s">
        <v>832</v>
      </c>
      <c r="D27" s="252">
        <f>'Diferencia en cambio'!I181</f>
        <v>101515.6</v>
      </c>
      <c r="E27" s="360">
        <f>$D$27/'Diferencia en cambio'!$L$181</f>
        <v>13397.56</v>
      </c>
      <c r="F27" s="202"/>
      <c r="G27" s="52"/>
    </row>
    <row r="28" spans="1:17" s="43" customFormat="1" outlineLevel="1">
      <c r="A28" s="50"/>
      <c r="B28" s="218" t="s">
        <v>298</v>
      </c>
      <c r="C28" s="300" t="s">
        <v>986</v>
      </c>
      <c r="D28" s="252">
        <f>'Diferencia en cambio'!$I$183</f>
        <v>120458.84</v>
      </c>
      <c r="E28" s="360">
        <f>D28/'Diferencia en cambio'!$L$183</f>
        <v>15917.66</v>
      </c>
      <c r="F28" s="128"/>
      <c r="G28" s="184"/>
    </row>
    <row r="29" spans="1:17" s="43" customFormat="1" outlineLevel="1">
      <c r="B29" s="218" t="s">
        <v>298</v>
      </c>
      <c r="C29" s="215" t="s">
        <v>1130</v>
      </c>
      <c r="D29" s="252">
        <f>'Diferencia en cambio'!$I$184</f>
        <v>230899.12</v>
      </c>
      <c r="E29" s="360">
        <f>D29/'Diferencia en cambio'!$L$184</f>
        <v>30479.06</v>
      </c>
      <c r="F29" s="128"/>
      <c r="G29" s="52"/>
    </row>
    <row r="30" spans="1:17" s="43" customFormat="1" ht="15.75">
      <c r="B30" s="46"/>
      <c r="C30" s="276" t="s">
        <v>136</v>
      </c>
      <c r="D30" s="274">
        <f>SUBTOTAL(9,D9:D29)</f>
        <v>1544265.8656999995</v>
      </c>
      <c r="E30" s="275">
        <f>SUBTOTAL(9,E9:E29)</f>
        <v>204408.54708351815</v>
      </c>
      <c r="F30" s="56"/>
      <c r="G30" s="56"/>
      <c r="J30" s="52"/>
      <c r="K30" s="57"/>
      <c r="O30" s="58"/>
      <c r="P30" s="59"/>
      <c r="Q30" s="53"/>
    </row>
    <row r="31" spans="1:17" s="43" customFormat="1" ht="15.75">
      <c r="B31" s="46"/>
      <c r="C31" s="60"/>
      <c r="D31" s="61"/>
      <c r="E31" s="61"/>
      <c r="G31" s="62"/>
      <c r="O31" s="59"/>
      <c r="P31" s="59"/>
    </row>
    <row r="32" spans="1:17" s="43" customFormat="1" ht="15.75">
      <c r="B32" s="46"/>
      <c r="N32" s="63"/>
      <c r="O32" s="64"/>
      <c r="P32" s="65"/>
    </row>
    <row r="33" spans="2:19" s="43" customFormat="1" ht="15.75">
      <c r="B33" s="432" t="s">
        <v>137</v>
      </c>
      <c r="C33" s="432"/>
      <c r="D33" s="432" t="s">
        <v>1142</v>
      </c>
      <c r="E33" s="432"/>
      <c r="K33" s="65"/>
      <c r="L33" s="65"/>
      <c r="N33" s="63"/>
      <c r="R33" s="52"/>
      <c r="S33" s="52"/>
    </row>
    <row r="34" spans="2:19" s="43" customFormat="1" ht="16.5" thickBot="1">
      <c r="B34" s="67" t="s">
        <v>81</v>
      </c>
      <c r="C34" s="68" t="s">
        <v>106</v>
      </c>
      <c r="D34" s="110" t="s">
        <v>168</v>
      </c>
      <c r="E34" s="110" t="s">
        <v>169</v>
      </c>
      <c r="F34" s="69" t="s">
        <v>140</v>
      </c>
      <c r="G34" s="63" t="s">
        <v>141</v>
      </c>
      <c r="H34" s="63"/>
      <c r="I34" s="63"/>
      <c r="J34" s="70" t="s">
        <v>142</v>
      </c>
      <c r="N34" s="71"/>
      <c r="R34" s="52"/>
      <c r="S34" s="72"/>
    </row>
    <row r="35" spans="2:19" s="43" customFormat="1" ht="16.5" thickBot="1">
      <c r="B35" s="46"/>
      <c r="C35" s="73" t="s">
        <v>155</v>
      </c>
      <c r="D35" s="103">
        <f>SUBTOTAL(9,D36:D36)</f>
        <v>92650.31</v>
      </c>
      <c r="E35" s="112">
        <f>SUBTOTAL(9,E36:E36)</f>
        <v>12419.612600536193</v>
      </c>
      <c r="F35" s="74"/>
      <c r="J35" s="76"/>
    </row>
    <row r="36" spans="2:19" s="43" customFormat="1" ht="15.75" outlineLevel="1" thickBot="1">
      <c r="B36" s="168">
        <v>5717248</v>
      </c>
      <c r="C36" s="78" t="s">
        <v>523</v>
      </c>
      <c r="D36" s="104">
        <v>92650.31</v>
      </c>
      <c r="E36" s="115">
        <f>D36/$D$6</f>
        <v>12419.612600536193</v>
      </c>
      <c r="F36" s="80">
        <v>45951</v>
      </c>
      <c r="G36" s="43" t="s">
        <v>135</v>
      </c>
      <c r="H36" s="43">
        <f>IF(OR(G36="Sin pagar",G36="Pagar"),NETWORKDAYS($E$4,F36,'Festivos Guatemala'!$A$3:$A$15),0)</f>
        <v>0</v>
      </c>
      <c r="I36" s="43">
        <f>NETWORKDAYS($E$4,F36,'Festivos Guatemala'!$A$3:$A$15)</f>
        <v>14</v>
      </c>
      <c r="J36" s="75">
        <f>H36</f>
        <v>0</v>
      </c>
      <c r="K36" s="52"/>
      <c r="L36" s="52"/>
    </row>
    <row r="37" spans="2:19" s="43" customFormat="1" ht="16.5" thickBot="1">
      <c r="B37" s="46"/>
      <c r="C37" s="73" t="s">
        <v>144</v>
      </c>
      <c r="D37" s="103">
        <f>SUBTOTAL(9,D38:D57)</f>
        <v>42652.639999999999</v>
      </c>
      <c r="E37" s="112">
        <f>SUBTOTAL(9,E38:E57)</f>
        <v>5717.5120643431619</v>
      </c>
      <c r="J37" s="76">
        <f t="shared" ref="J37:J62" si="0">H37</f>
        <v>0</v>
      </c>
    </row>
    <row r="38" spans="2:19" s="43" customFormat="1" outlineLevel="1">
      <c r="B38" s="168">
        <v>48757516004</v>
      </c>
      <c r="C38" s="47" t="s">
        <v>522</v>
      </c>
      <c r="D38" s="104">
        <v>26220.12</v>
      </c>
      <c r="E38" s="115">
        <f t="shared" ref="E38:E43" si="1">D38/$D$6</f>
        <v>3514.7613941018767</v>
      </c>
      <c r="F38" s="80">
        <v>45944</v>
      </c>
      <c r="G38" s="43" t="s">
        <v>135</v>
      </c>
      <c r="H38" s="43">
        <f>IF(OR(G38="Sin pagar",G38="Pagar"),NETWORKDAYS($E$4,F38,'Festivos Guatemala'!$A$3:$A$15),0)</f>
        <v>0</v>
      </c>
      <c r="I38" s="43">
        <f>NETWORKDAYS($E$4,F38,'Festivos Guatemala'!$A$3:$A$15)</f>
        <v>10</v>
      </c>
      <c r="J38" s="75">
        <f t="shared" ref="J38:J43" si="2">H38</f>
        <v>0</v>
      </c>
      <c r="K38" s="48"/>
      <c r="L38" s="57"/>
    </row>
    <row r="39" spans="2:19" s="43" customFormat="1" ht="14.25" customHeight="1" outlineLevel="1">
      <c r="B39" s="168">
        <v>48758364550</v>
      </c>
      <c r="C39" s="47" t="s">
        <v>1149</v>
      </c>
      <c r="D39" s="104">
        <v>3333.74</v>
      </c>
      <c r="E39" s="115">
        <f t="shared" si="1"/>
        <v>446.88203753351206</v>
      </c>
      <c r="F39" s="80">
        <v>45944</v>
      </c>
      <c r="G39" s="43" t="s">
        <v>135</v>
      </c>
      <c r="H39" s="43">
        <f>IF(OR(G39="Sin pagar",G39="Pagar"),NETWORKDAYS($E$4,F39,'Festivos Guatemala'!$A$3:$A$15),0)</f>
        <v>0</v>
      </c>
      <c r="I39" s="43">
        <f>NETWORKDAYS($E$4,F39,'Festivos Guatemala'!$A$3:$A$15)</f>
        <v>10</v>
      </c>
      <c r="J39" s="75">
        <f t="shared" si="2"/>
        <v>0</v>
      </c>
      <c r="K39" s="48"/>
      <c r="L39" s="57"/>
    </row>
    <row r="40" spans="2:19" s="43" customFormat="1" ht="14.25" customHeight="1" outlineLevel="1">
      <c r="B40" s="168">
        <v>48780364857</v>
      </c>
      <c r="C40" s="47" t="s">
        <v>1148</v>
      </c>
      <c r="D40" s="104">
        <v>1106.0999999999999</v>
      </c>
      <c r="E40" s="115">
        <f t="shared" si="1"/>
        <v>148.27077747989276</v>
      </c>
      <c r="F40" s="80">
        <v>45944</v>
      </c>
      <c r="G40" s="43" t="s">
        <v>135</v>
      </c>
      <c r="H40" s="43">
        <f>IF(OR(G40="Sin pagar",G40="Pagar"),NETWORKDAYS($E$4,F40,'Festivos Guatemala'!$A$3:$A$15),0)</f>
        <v>0</v>
      </c>
      <c r="I40" s="43">
        <f>NETWORKDAYS($E$4,F40,'Festivos Guatemala'!$A$3:$A$15)</f>
        <v>10</v>
      </c>
      <c r="J40" s="75">
        <f t="shared" si="2"/>
        <v>0</v>
      </c>
      <c r="K40" s="48"/>
      <c r="L40" s="57"/>
    </row>
    <row r="41" spans="2:19" s="43" customFormat="1" ht="14.25" customHeight="1" outlineLevel="1">
      <c r="B41" s="168">
        <v>48757856817</v>
      </c>
      <c r="C41" s="47" t="s">
        <v>1150</v>
      </c>
      <c r="D41" s="104">
        <v>219.68</v>
      </c>
      <c r="E41" s="115">
        <f t="shared" si="1"/>
        <v>29.447721179624665</v>
      </c>
      <c r="F41" s="80">
        <v>45944</v>
      </c>
      <c r="G41" s="43" t="s">
        <v>135</v>
      </c>
      <c r="H41" s="43">
        <f>IF(OR(G41="Sin pagar",G41="Pagar"),NETWORKDAYS($E$4,F41,'Festivos Guatemala'!$A$3:$A$15),0)</f>
        <v>0</v>
      </c>
      <c r="I41" s="43">
        <f>NETWORKDAYS($E$4,F41,'Festivos Guatemala'!$A$3:$A$15)</f>
        <v>10</v>
      </c>
      <c r="J41" s="75">
        <f t="shared" si="2"/>
        <v>0</v>
      </c>
      <c r="K41" s="48"/>
      <c r="L41" s="57"/>
    </row>
    <row r="42" spans="2:19" s="43" customFormat="1" ht="14.25" customHeight="1" outlineLevel="1">
      <c r="B42" s="168">
        <v>48757856817</v>
      </c>
      <c r="C42" s="47" t="s">
        <v>1195</v>
      </c>
      <c r="D42" s="104">
        <v>11548</v>
      </c>
      <c r="E42" s="115">
        <f t="shared" si="1"/>
        <v>1547.9892761394101</v>
      </c>
      <c r="F42" s="80">
        <v>45954</v>
      </c>
      <c r="G42" s="43" t="s">
        <v>135</v>
      </c>
      <c r="H42" s="43">
        <f>IF(OR(G42="Sin pagar",G42="Pagar"),NETWORKDAYS($E$4,F42,'Festivos Guatemala'!$A$3:$A$15),0)</f>
        <v>0</v>
      </c>
      <c r="I42" s="43">
        <f>NETWORKDAYS($E$4,F42,'Festivos Guatemala'!$A$3:$A$15)</f>
        <v>17</v>
      </c>
      <c r="J42" s="75">
        <f t="shared" si="2"/>
        <v>0</v>
      </c>
      <c r="K42" s="48"/>
      <c r="L42" s="57"/>
    </row>
    <row r="43" spans="2:19" s="43" customFormat="1" outlineLevel="1">
      <c r="B43" s="168">
        <v>48871305690</v>
      </c>
      <c r="C43" s="47" t="s">
        <v>1229</v>
      </c>
      <c r="D43" s="104">
        <v>15</v>
      </c>
      <c r="E43" s="115">
        <f t="shared" si="1"/>
        <v>2.0107238605898123</v>
      </c>
      <c r="F43" s="80">
        <v>45959</v>
      </c>
      <c r="G43" s="43" t="s">
        <v>135</v>
      </c>
      <c r="H43" s="43">
        <f>IF(OR(G43="Sin pagar",G43="Pagar"),NETWORKDAYS($E$4,F43,'Festivos Guatemala'!$A$3:$A$15),0)</f>
        <v>0</v>
      </c>
      <c r="I43" s="43">
        <f>NETWORKDAYS($E$4,F43,'Festivos Guatemala'!$A$3:$A$15)</f>
        <v>20</v>
      </c>
      <c r="J43" s="75">
        <f t="shared" si="2"/>
        <v>0</v>
      </c>
      <c r="K43" s="48"/>
      <c r="L43" s="355"/>
    </row>
    <row r="44" spans="2:19" s="43" customFormat="1" outlineLevel="1">
      <c r="B44" s="168">
        <v>48871434723</v>
      </c>
      <c r="C44" s="47" t="s">
        <v>1230</v>
      </c>
      <c r="D44" s="109">
        <v>15</v>
      </c>
      <c r="E44" s="115">
        <f t="shared" ref="E44:E57" si="3">D44/$D$6</f>
        <v>2.0107238605898123</v>
      </c>
      <c r="F44" s="74">
        <v>45959</v>
      </c>
      <c r="G44" s="43" t="s">
        <v>135</v>
      </c>
      <c r="H44" s="43">
        <f>IF(OR(G44="Sin pagar",G44="Pagar"),NETWORKDAYS($E$4,F44,'Festivos Guatemala'!$A$3:$A$15),0)</f>
        <v>0</v>
      </c>
      <c r="I44" s="43">
        <f>NETWORKDAYS($E$4,F44,'Festivos Guatemala'!$A$3:$A$15)</f>
        <v>20</v>
      </c>
      <c r="J44" s="75">
        <f t="shared" ref="J44:J57" si="4">H44</f>
        <v>0</v>
      </c>
      <c r="K44" s="48"/>
      <c r="L44" s="355"/>
    </row>
    <row r="45" spans="2:19" s="43" customFormat="1" outlineLevel="1">
      <c r="B45" s="168">
        <v>48871582142</v>
      </c>
      <c r="C45" s="47" t="s">
        <v>1231</v>
      </c>
      <c r="D45" s="104">
        <v>15</v>
      </c>
      <c r="E45" s="115">
        <f t="shared" si="3"/>
        <v>2.0107238605898123</v>
      </c>
      <c r="F45" s="80">
        <v>45959</v>
      </c>
      <c r="G45" s="43" t="s">
        <v>135</v>
      </c>
      <c r="H45" s="43">
        <f>IF(OR(G45="Sin pagar",G45="Pagar"),NETWORKDAYS($E$4,F45,'Festivos Guatemala'!$A$3:$A$15),0)</f>
        <v>0</v>
      </c>
      <c r="I45" s="43">
        <f>NETWORKDAYS($E$4,F45,'Festivos Guatemala'!$A$3:$A$15)</f>
        <v>20</v>
      </c>
      <c r="J45" s="75">
        <f t="shared" si="4"/>
        <v>0</v>
      </c>
      <c r="K45" s="48"/>
      <c r="L45" s="355"/>
    </row>
    <row r="46" spans="2:19" s="43" customFormat="1" outlineLevel="1">
      <c r="B46" s="168">
        <v>48872031978</v>
      </c>
      <c r="C46" s="47" t="s">
        <v>1232</v>
      </c>
      <c r="D46" s="104">
        <v>15</v>
      </c>
      <c r="E46" s="115">
        <f t="shared" si="3"/>
        <v>2.0107238605898123</v>
      </c>
      <c r="F46" s="80">
        <v>45959</v>
      </c>
      <c r="G46" s="43" t="s">
        <v>135</v>
      </c>
      <c r="H46" s="43">
        <f>IF(OR(G46="Sin pagar",G46="Pagar"),NETWORKDAYS($E$4,F46,'Festivos Guatemala'!$A$3:$A$15),0)</f>
        <v>0</v>
      </c>
      <c r="I46" s="43">
        <f>NETWORKDAYS($E$4,F46,'Festivos Guatemala'!$A$3:$A$15)</f>
        <v>20</v>
      </c>
      <c r="J46" s="75">
        <f t="shared" si="4"/>
        <v>0</v>
      </c>
      <c r="K46" s="48"/>
      <c r="L46" s="355"/>
    </row>
    <row r="47" spans="2:19" s="43" customFormat="1" outlineLevel="1">
      <c r="B47" s="356">
        <v>48872168788</v>
      </c>
      <c r="C47" s="47" t="s">
        <v>1233</v>
      </c>
      <c r="D47" s="104">
        <v>15</v>
      </c>
      <c r="E47" s="115">
        <f t="shared" si="3"/>
        <v>2.0107238605898123</v>
      </c>
      <c r="F47" s="80">
        <v>45959</v>
      </c>
      <c r="G47" s="43" t="s">
        <v>135</v>
      </c>
      <c r="H47" s="43">
        <f>IF(OR(G47="Sin pagar",G47="Pagar"),NETWORKDAYS($E$4,F47,'Festivos Guatemala'!$A$3:$A$15),0)</f>
        <v>0</v>
      </c>
      <c r="I47" s="43">
        <f>NETWORKDAYS($E$4,F47,'Festivos Guatemala'!$A$3:$A$15)</f>
        <v>20</v>
      </c>
      <c r="J47" s="75">
        <f t="shared" si="4"/>
        <v>0</v>
      </c>
      <c r="K47" s="48"/>
      <c r="L47" s="355"/>
    </row>
    <row r="48" spans="2:19" s="43" customFormat="1" outlineLevel="1">
      <c r="B48" s="168">
        <v>48872227493</v>
      </c>
      <c r="C48" s="47" t="s">
        <v>1234</v>
      </c>
      <c r="D48" s="104">
        <v>15</v>
      </c>
      <c r="E48" s="115">
        <f t="shared" si="3"/>
        <v>2.0107238605898123</v>
      </c>
      <c r="F48" s="80">
        <v>45959</v>
      </c>
      <c r="G48" s="43" t="s">
        <v>135</v>
      </c>
      <c r="H48" s="43">
        <f>IF(OR(G48="Sin pagar",G48="Pagar"),NETWORKDAYS($E$4,F48,'Festivos Guatemala'!$A$3:$A$15),0)</f>
        <v>0</v>
      </c>
      <c r="I48" s="43">
        <f>NETWORKDAYS($E$4,F48,'Festivos Guatemala'!$A$3:$A$15)</f>
        <v>20</v>
      </c>
      <c r="J48" s="75">
        <f t="shared" si="4"/>
        <v>0</v>
      </c>
      <c r="K48" s="48"/>
      <c r="L48" s="355"/>
    </row>
    <row r="49" spans="2:14" s="43" customFormat="1" outlineLevel="1">
      <c r="B49" s="356">
        <v>48874276419</v>
      </c>
      <c r="C49" s="47" t="s">
        <v>1235</v>
      </c>
      <c r="D49" s="104">
        <v>15</v>
      </c>
      <c r="E49" s="115">
        <f t="shared" si="3"/>
        <v>2.0107238605898123</v>
      </c>
      <c r="F49" s="80">
        <v>45959</v>
      </c>
      <c r="G49" s="43" t="s">
        <v>135</v>
      </c>
      <c r="H49" s="43">
        <f>IF(OR(G49="Sin pagar",G49="Pagar"),NETWORKDAYS($E$4,F49,'Festivos Guatemala'!$A$3:$A$15),0)</f>
        <v>0</v>
      </c>
      <c r="I49" s="43">
        <f>NETWORKDAYS($E$4,F49,'Festivos Guatemala'!$A$3:$A$15)</f>
        <v>20</v>
      </c>
      <c r="J49" s="75">
        <f t="shared" si="4"/>
        <v>0</v>
      </c>
      <c r="K49" s="48"/>
      <c r="L49" s="355"/>
    </row>
    <row r="50" spans="2:14" s="43" customFormat="1" outlineLevel="1">
      <c r="B50" s="168">
        <v>48874458089</v>
      </c>
      <c r="C50" s="47" t="s">
        <v>1236</v>
      </c>
      <c r="D50" s="104">
        <v>15</v>
      </c>
      <c r="E50" s="115">
        <f t="shared" si="3"/>
        <v>2.0107238605898123</v>
      </c>
      <c r="F50" s="80">
        <v>45959</v>
      </c>
      <c r="G50" s="43" t="s">
        <v>135</v>
      </c>
      <c r="H50" s="43">
        <f>IF(OR(G50="Sin pagar",G50="Pagar"),NETWORKDAYS($E$4,F50,'Festivos Guatemala'!$A$3:$A$15),0)</f>
        <v>0</v>
      </c>
      <c r="I50" s="43">
        <f>NETWORKDAYS($E$4,F50,'Festivos Guatemala'!$A$3:$A$15)</f>
        <v>20</v>
      </c>
      <c r="J50" s="75">
        <f t="shared" si="4"/>
        <v>0</v>
      </c>
      <c r="K50" s="48"/>
      <c r="L50" s="355"/>
    </row>
    <row r="51" spans="2:14" s="43" customFormat="1" outlineLevel="1">
      <c r="B51" s="168">
        <v>48874673917</v>
      </c>
      <c r="C51" s="47" t="s">
        <v>1237</v>
      </c>
      <c r="D51" s="104">
        <v>15</v>
      </c>
      <c r="E51" s="115">
        <f t="shared" si="3"/>
        <v>2.0107238605898123</v>
      </c>
      <c r="F51" s="80">
        <v>45959</v>
      </c>
      <c r="G51" s="43" t="s">
        <v>135</v>
      </c>
      <c r="H51" s="43">
        <f>IF(OR(G51="Sin pagar",G51="Pagar"),NETWORKDAYS($E$4,F51,'Festivos Guatemala'!$A$3:$A$15),0)</f>
        <v>0</v>
      </c>
      <c r="I51" s="43">
        <f>NETWORKDAYS($E$4,F51,'Festivos Guatemala'!$A$3:$A$15)</f>
        <v>20</v>
      </c>
      <c r="J51" s="75">
        <f t="shared" si="4"/>
        <v>0</v>
      </c>
      <c r="K51" s="48"/>
      <c r="L51" s="355"/>
    </row>
    <row r="52" spans="2:14" s="43" customFormat="1" outlineLevel="1">
      <c r="B52" s="168">
        <v>48875056661</v>
      </c>
      <c r="C52" s="47" t="s">
        <v>1238</v>
      </c>
      <c r="D52" s="104">
        <v>15</v>
      </c>
      <c r="E52" s="115">
        <f t="shared" si="3"/>
        <v>2.0107238605898123</v>
      </c>
      <c r="F52" s="80">
        <v>45959</v>
      </c>
      <c r="G52" s="43" t="s">
        <v>135</v>
      </c>
      <c r="H52" s="43">
        <f>IF(OR(G52="Sin pagar",G52="Pagar"),NETWORKDAYS($E$4,F52,'Festivos Guatemala'!$A$3:$A$15),0)</f>
        <v>0</v>
      </c>
      <c r="I52" s="43">
        <f>NETWORKDAYS($E$4,F52,'Festivos Guatemala'!$A$3:$A$15)</f>
        <v>20</v>
      </c>
      <c r="J52" s="75">
        <f t="shared" si="4"/>
        <v>0</v>
      </c>
      <c r="K52" s="48"/>
      <c r="L52" s="355"/>
    </row>
    <row r="53" spans="2:14" s="43" customFormat="1" outlineLevel="1">
      <c r="B53" s="168">
        <v>48875652910</v>
      </c>
      <c r="C53" s="47" t="s">
        <v>1239</v>
      </c>
      <c r="D53" s="104">
        <v>15</v>
      </c>
      <c r="E53" s="115">
        <f t="shared" si="3"/>
        <v>2.0107238605898123</v>
      </c>
      <c r="F53" s="80">
        <v>45959</v>
      </c>
      <c r="G53" s="43" t="s">
        <v>135</v>
      </c>
      <c r="H53" s="43">
        <f>IF(OR(G53="Sin pagar",G53="Pagar"),NETWORKDAYS($E$4,F53,'Festivos Guatemala'!$A$3:$A$15),0)</f>
        <v>0</v>
      </c>
      <c r="I53" s="43">
        <f>NETWORKDAYS($E$4,F53,'Festivos Guatemala'!$A$3:$A$15)</f>
        <v>20</v>
      </c>
      <c r="J53" s="75">
        <f t="shared" si="4"/>
        <v>0</v>
      </c>
      <c r="K53" s="48"/>
      <c r="L53" s="355"/>
    </row>
    <row r="54" spans="2:14" s="43" customFormat="1" outlineLevel="1">
      <c r="B54" s="356">
        <v>48875917335</v>
      </c>
      <c r="C54" s="47" t="s">
        <v>1240</v>
      </c>
      <c r="D54" s="104">
        <v>15</v>
      </c>
      <c r="E54" s="115">
        <f t="shared" si="3"/>
        <v>2.0107238605898123</v>
      </c>
      <c r="F54" s="80">
        <v>45959</v>
      </c>
      <c r="G54" s="43" t="s">
        <v>135</v>
      </c>
      <c r="H54" s="43">
        <f>IF(OR(G54="Sin pagar",G54="Pagar"),NETWORKDAYS($E$4,F54,'Festivos Guatemala'!$A$3:$A$15),0)</f>
        <v>0</v>
      </c>
      <c r="I54" s="43">
        <f>NETWORKDAYS($E$4,F54,'Festivos Guatemala'!$A$3:$A$15)</f>
        <v>20</v>
      </c>
      <c r="J54" s="75">
        <f t="shared" si="4"/>
        <v>0</v>
      </c>
      <c r="K54" s="48"/>
      <c r="L54" s="355"/>
    </row>
    <row r="55" spans="2:14" s="43" customFormat="1" outlineLevel="1">
      <c r="B55" s="168">
        <v>48876080316</v>
      </c>
      <c r="C55" s="47" t="s">
        <v>1241</v>
      </c>
      <c r="D55" s="104">
        <v>15</v>
      </c>
      <c r="E55" s="115">
        <f t="shared" si="3"/>
        <v>2.0107238605898123</v>
      </c>
      <c r="F55" s="80">
        <v>45959</v>
      </c>
      <c r="G55" s="43" t="s">
        <v>135</v>
      </c>
      <c r="H55" s="43">
        <f>IF(OR(G55="Sin pagar",G55="Pagar"),NETWORKDAYS($E$4,F55,'Festivos Guatemala'!$A$3:$A$15),0)</f>
        <v>0</v>
      </c>
      <c r="I55" s="43">
        <f>NETWORKDAYS($E$4,F55,'Festivos Guatemala'!$A$3:$A$15)</f>
        <v>20</v>
      </c>
      <c r="J55" s="75">
        <f t="shared" si="4"/>
        <v>0</v>
      </c>
      <c r="K55" s="48"/>
      <c r="L55" s="355"/>
    </row>
    <row r="56" spans="2:14" s="43" customFormat="1" outlineLevel="1">
      <c r="B56" s="168">
        <v>48876119520</v>
      </c>
      <c r="C56" s="47" t="s">
        <v>1242</v>
      </c>
      <c r="D56" s="104">
        <v>15</v>
      </c>
      <c r="E56" s="115">
        <f t="shared" si="3"/>
        <v>2.0107238605898123</v>
      </c>
      <c r="F56" s="80">
        <v>45959</v>
      </c>
      <c r="G56" s="43" t="s">
        <v>135</v>
      </c>
      <c r="H56" s="43">
        <f>IF(OR(G56="Sin pagar",G56="Pagar"),NETWORKDAYS($E$4,F56,'Festivos Guatemala'!$A$3:$A$15),0)</f>
        <v>0</v>
      </c>
      <c r="I56" s="43">
        <f>NETWORKDAYS($E$4,F56,'Festivos Guatemala'!$A$3:$A$15)</f>
        <v>20</v>
      </c>
      <c r="J56" s="75">
        <f t="shared" si="4"/>
        <v>0</v>
      </c>
      <c r="K56" s="48"/>
      <c r="L56" s="355"/>
    </row>
    <row r="57" spans="2:14" s="43" customFormat="1" ht="15.75" outlineLevel="1" thickBot="1">
      <c r="B57" s="168">
        <v>48876163673</v>
      </c>
      <c r="C57" s="47" t="s">
        <v>1243</v>
      </c>
      <c r="D57" s="104">
        <v>15</v>
      </c>
      <c r="E57" s="115">
        <f t="shared" si="3"/>
        <v>2.0107238605898123</v>
      </c>
      <c r="F57" s="80">
        <v>45959</v>
      </c>
      <c r="G57" s="43" t="s">
        <v>135</v>
      </c>
      <c r="H57" s="43">
        <f>IF(OR(G57="Sin pagar",G57="Pagar"),NETWORKDAYS($E$4,F57,'Festivos Guatemala'!$A$3:$A$15),0)</f>
        <v>0</v>
      </c>
      <c r="I57" s="43">
        <f>NETWORKDAYS($E$4,F57,'Festivos Guatemala'!$A$3:$A$15)</f>
        <v>20</v>
      </c>
      <c r="J57" s="75">
        <f t="shared" si="4"/>
        <v>0</v>
      </c>
      <c r="K57" s="48"/>
      <c r="L57" s="355"/>
    </row>
    <row r="58" spans="2:14" s="43" customFormat="1" ht="16.5" thickBot="1">
      <c r="B58" s="46"/>
      <c r="C58" s="73" t="s">
        <v>1065</v>
      </c>
      <c r="D58" s="103">
        <f>SUBTOTAL(9,D59:D64)</f>
        <v>13894.83</v>
      </c>
      <c r="E58" s="112">
        <f>SUBTOTAL(9,E59:E64)</f>
        <v>1862.5777479892763</v>
      </c>
      <c r="J58" s="76">
        <f t="shared" si="0"/>
        <v>0</v>
      </c>
      <c r="K58" s="52"/>
      <c r="L58" s="52"/>
    </row>
    <row r="59" spans="2:14" s="43" customFormat="1" outlineLevel="1">
      <c r="B59" s="352" t="s">
        <v>1147</v>
      </c>
      <c r="C59" s="47" t="s">
        <v>1068</v>
      </c>
      <c r="D59" s="109">
        <f>$E$59*$D$6</f>
        <v>6714</v>
      </c>
      <c r="E59" s="113">
        <v>900</v>
      </c>
      <c r="F59" s="74">
        <v>45937</v>
      </c>
      <c r="G59" s="43" t="s">
        <v>135</v>
      </c>
      <c r="H59" s="43">
        <f>IF(OR(G59="Sin pagar",G59="Pagar"),NETWORKDAYS($E$4,F59,'Festivos Guatemala'!$A$3:$A$15),0)</f>
        <v>0</v>
      </c>
      <c r="I59" s="43">
        <f>NETWORKDAYS($E$4,F59,'Festivos Guatemala'!$A$3:$A$15)</f>
        <v>5</v>
      </c>
      <c r="J59" s="75">
        <f>H59</f>
        <v>0</v>
      </c>
      <c r="M59" s="297"/>
      <c r="N59" s="49"/>
    </row>
    <row r="60" spans="2:14" s="43" customFormat="1" ht="30" outlineLevel="1">
      <c r="B60" s="84">
        <v>343688907</v>
      </c>
      <c r="C60" s="47" t="s">
        <v>1143</v>
      </c>
      <c r="D60" s="109">
        <f>4673.2</f>
        <v>4673.2</v>
      </c>
      <c r="E60" s="113">
        <f>D60/$D$6</f>
        <v>626.43431635388743</v>
      </c>
      <c r="F60" s="74">
        <v>45954</v>
      </c>
      <c r="G60" s="43" t="s">
        <v>135</v>
      </c>
      <c r="H60" s="43">
        <f>IF(OR(G60="Sin pagar",G60="Pagar"),NETWORKDAYS($E$4,F60,'Festivos Guatemala'!$A$3:$A$15),0)</f>
        <v>0</v>
      </c>
      <c r="I60" s="43">
        <f>NETWORKDAYS($E$4,F60,'Festivos Guatemala'!$A$3:$A$15)</f>
        <v>17</v>
      </c>
      <c r="J60" s="75">
        <f>H60</f>
        <v>0</v>
      </c>
      <c r="M60" s="297"/>
      <c r="N60" s="49"/>
    </row>
    <row r="61" spans="2:14" s="43" customFormat="1" outlineLevel="1">
      <c r="B61" s="46">
        <v>54151286</v>
      </c>
      <c r="C61" s="47" t="s">
        <v>1187</v>
      </c>
      <c r="D61" s="109">
        <v>1368.42</v>
      </c>
      <c r="E61" s="115">
        <f t="shared" ref="E61:E62" si="5">D61/$D$6</f>
        <v>183.4343163538874</v>
      </c>
      <c r="F61" s="74">
        <v>45959</v>
      </c>
      <c r="G61" s="43" t="s">
        <v>135</v>
      </c>
      <c r="H61" s="43">
        <f>IF(OR(G61="Sin pagar",G61="Pagar"),NETWORKDAYS($E$4,F61,'Festivos Guatemala'!$A$3:$A$15),0)</f>
        <v>0</v>
      </c>
      <c r="I61" s="43">
        <f>NETWORKDAYS($E$4,F61,'Festivos Guatemala'!$A$3:$A$15)</f>
        <v>20</v>
      </c>
      <c r="J61" s="75">
        <f t="shared" si="0"/>
        <v>0</v>
      </c>
      <c r="M61" s="297"/>
      <c r="N61" s="49"/>
    </row>
    <row r="62" spans="2:14" s="43" customFormat="1" outlineLevel="1">
      <c r="B62" s="46" t="s">
        <v>1189</v>
      </c>
      <c r="C62" s="47" t="s">
        <v>1188</v>
      </c>
      <c r="D62" s="109">
        <v>926.32</v>
      </c>
      <c r="E62" s="115">
        <f t="shared" si="5"/>
        <v>124.17158176943701</v>
      </c>
      <c r="F62" s="74">
        <v>45959</v>
      </c>
      <c r="G62" s="43" t="s">
        <v>135</v>
      </c>
      <c r="H62" s="43">
        <f>IF(OR(G62="Sin pagar",G62="Pagar"),NETWORKDAYS($E$4,F62,'Festivos Guatemala'!$A$3:$A$15),0)</f>
        <v>0</v>
      </c>
      <c r="I62" s="43">
        <f>NETWORKDAYS($E$4,F62,'Festivos Guatemala'!$A$3:$A$15)</f>
        <v>20</v>
      </c>
      <c r="J62" s="75">
        <f t="shared" si="0"/>
        <v>0</v>
      </c>
      <c r="M62" s="304"/>
      <c r="N62" s="49"/>
    </row>
    <row r="63" spans="2:14" s="43" customFormat="1" ht="30" outlineLevel="1">
      <c r="B63" s="46" t="s">
        <v>1190</v>
      </c>
      <c r="C63" s="47" t="s">
        <v>1191</v>
      </c>
      <c r="D63" s="109">
        <v>157.88999999999999</v>
      </c>
      <c r="E63" s="115">
        <f t="shared" ref="E63" si="6">D63/$D$6</f>
        <v>21.164879356568363</v>
      </c>
      <c r="F63" s="74">
        <v>45959</v>
      </c>
      <c r="G63" s="43" t="s">
        <v>135</v>
      </c>
      <c r="H63" s="43">
        <f>IF(OR(G63="Sin pagar",G63="Pagar"),NETWORKDAYS($E$4,F63,'Festivos Guatemala'!$A$3:$A$15),0)</f>
        <v>0</v>
      </c>
      <c r="I63" s="43">
        <f>NETWORKDAYS($E$4,F63,'Festivos Guatemala'!$A$3:$A$15)</f>
        <v>20</v>
      </c>
      <c r="J63" s="75">
        <f t="shared" ref="J63" si="7">H63</f>
        <v>0</v>
      </c>
      <c r="M63" s="304"/>
      <c r="N63" s="49"/>
    </row>
    <row r="64" spans="2:14" s="43" customFormat="1" ht="15.75" outlineLevel="1" thickBot="1">
      <c r="B64" s="46" t="s">
        <v>1190</v>
      </c>
      <c r="C64" s="47" t="s">
        <v>1192</v>
      </c>
      <c r="D64" s="109">
        <f>32+23</f>
        <v>55</v>
      </c>
      <c r="E64" s="115">
        <f t="shared" ref="E64" si="8">D64/$D$6</f>
        <v>7.3726541554959786</v>
      </c>
      <c r="F64" s="74">
        <v>45959</v>
      </c>
      <c r="G64" s="43" t="s">
        <v>135</v>
      </c>
      <c r="H64" s="43">
        <f>IF(OR(G64="Sin pagar",G64="Pagar"),NETWORKDAYS($E$4,F64,'Festivos Guatemala'!$A$3:$A$15),0)</f>
        <v>0</v>
      </c>
      <c r="I64" s="43">
        <f>NETWORKDAYS($E$4,F64,'Festivos Guatemala'!$A$3:$A$15)</f>
        <v>20</v>
      </c>
      <c r="J64" s="75">
        <f t="shared" ref="J64" si="9">H64</f>
        <v>0</v>
      </c>
      <c r="M64" s="304"/>
      <c r="N64" s="49"/>
    </row>
    <row r="65" spans="2:16" s="43" customFormat="1" ht="16.5" thickBot="1">
      <c r="C65" s="73" t="s">
        <v>146</v>
      </c>
      <c r="D65" s="103">
        <f>SUBTOTAL(9,D66:D73)</f>
        <v>9430.8001999999997</v>
      </c>
      <c r="E65" s="112">
        <f>SUBTOTAL(9,E66:E73)</f>
        <v>1264.1823324396782</v>
      </c>
      <c r="F65" s="43" t="s">
        <v>725</v>
      </c>
      <c r="K65" s="49"/>
      <c r="L65" s="49"/>
      <c r="O65" s="49"/>
      <c r="P65" s="49"/>
    </row>
    <row r="66" spans="2:16" s="43" customFormat="1" ht="14.25" customHeight="1" outlineLevel="1">
      <c r="B66" s="186" t="s">
        <v>746</v>
      </c>
      <c r="C66" s="210" t="s">
        <v>272</v>
      </c>
      <c r="D66" s="104">
        <f>E66*$D$6</f>
        <v>410.82220000000001</v>
      </c>
      <c r="E66" s="359">
        <v>55.07</v>
      </c>
      <c r="F66" s="74">
        <v>45954</v>
      </c>
      <c r="G66" s="43" t="s">
        <v>135</v>
      </c>
      <c r="H66" s="43">
        <f>IF(OR(G66="Sin pagar",G66="Pagar"),NETWORKDAYS($E$4,F66,'Festivos Guatemala'!$A$3:$A$15),0)</f>
        <v>0</v>
      </c>
      <c r="I66" s="43">
        <f>NETWORKDAYS($E$4,F66,'Festivos Guatemala'!$A$3:$A$15)</f>
        <v>17</v>
      </c>
      <c r="J66" s="75">
        <f t="shared" ref="J66:J73" si="10">H66</f>
        <v>0</v>
      </c>
      <c r="K66" s="49"/>
      <c r="L66" s="49"/>
      <c r="O66" s="49"/>
      <c r="P66" s="49"/>
    </row>
    <row r="67" spans="2:16" s="43" customFormat="1" outlineLevel="1">
      <c r="B67" s="186" t="s">
        <v>745</v>
      </c>
      <c r="C67" s="210" t="s">
        <v>273</v>
      </c>
      <c r="D67" s="104">
        <f>E67*$D$6</f>
        <v>1935.6462000000001</v>
      </c>
      <c r="E67" s="359">
        <v>259.47000000000003</v>
      </c>
      <c r="F67" s="74">
        <v>45954</v>
      </c>
      <c r="G67" s="43" t="s">
        <v>135</v>
      </c>
      <c r="H67" s="43">
        <f>IF(OR(G67="Sin pagar",G67="Pagar"),NETWORKDAYS($E$4,F67,'Festivos Guatemala'!$A$3:$A$15),0)</f>
        <v>0</v>
      </c>
      <c r="I67" s="43">
        <f>NETWORKDAYS($E$4,F67,'Festivos Guatemala'!$A$3:$A$15)</f>
        <v>17</v>
      </c>
      <c r="J67" s="75">
        <f t="shared" si="10"/>
        <v>0</v>
      </c>
    </row>
    <row r="68" spans="2:16" s="43" customFormat="1" outlineLevel="1">
      <c r="B68" s="186" t="s">
        <v>745</v>
      </c>
      <c r="C68" s="210" t="s">
        <v>274</v>
      </c>
      <c r="D68" s="104">
        <f>E68*$D$6</f>
        <v>1531.7618</v>
      </c>
      <c r="E68" s="359">
        <v>205.33</v>
      </c>
      <c r="F68" s="74">
        <v>45954</v>
      </c>
      <c r="G68" s="43" t="s">
        <v>135</v>
      </c>
      <c r="H68" s="43">
        <f>IF(OR(G68="Sin pagar",G68="Pagar"),NETWORKDAYS($E$4,F68,'Festivos Guatemala'!$A$3:$A$15),0)</f>
        <v>0</v>
      </c>
      <c r="I68" s="43">
        <f>NETWORKDAYS($E$4,F68,'Festivos Guatemala'!$A$3:$A$15)</f>
        <v>17</v>
      </c>
      <c r="J68" s="75">
        <f t="shared" si="10"/>
        <v>0</v>
      </c>
    </row>
    <row r="69" spans="2:16" s="43" customFormat="1" ht="14.25" customHeight="1" outlineLevel="1">
      <c r="B69" s="251" t="s">
        <v>745</v>
      </c>
      <c r="C69" s="209" t="s">
        <v>827</v>
      </c>
      <c r="D69" s="269">
        <v>722.42</v>
      </c>
      <c r="E69" s="113">
        <f t="shared" ref="E69:E73" si="11">D69/$D$6</f>
        <v>96.839142091152809</v>
      </c>
      <c r="F69" s="74">
        <v>45954</v>
      </c>
      <c r="G69" s="43" t="s">
        <v>135</v>
      </c>
      <c r="H69" s="43">
        <f>IF(OR(G69="Sin pagar",G69="Pagar"),NETWORKDAYS($E$4,F69,'Festivos Guatemala'!$A$3:$A$15),0)</f>
        <v>0</v>
      </c>
      <c r="I69" s="43">
        <f>NETWORKDAYS($E$4,F69,'Festivos Guatemala'!$A$3:$A$15)</f>
        <v>17</v>
      </c>
      <c r="J69" s="75">
        <f>H69</f>
        <v>0</v>
      </c>
      <c r="K69" s="49"/>
      <c r="L69" s="49"/>
      <c r="O69" s="49"/>
      <c r="P69" s="49"/>
    </row>
    <row r="70" spans="2:16" s="43" customFormat="1" ht="14.25" customHeight="1" outlineLevel="1">
      <c r="B70" s="251" t="s">
        <v>745</v>
      </c>
      <c r="C70" s="209" t="s">
        <v>825</v>
      </c>
      <c r="D70" s="269">
        <v>861.81</v>
      </c>
      <c r="E70" s="113">
        <f t="shared" si="11"/>
        <v>115.52412868632707</v>
      </c>
      <c r="F70" s="74">
        <v>45954</v>
      </c>
      <c r="G70" s="43" t="s">
        <v>135</v>
      </c>
      <c r="H70" s="43">
        <f>IF(OR(G70="Sin pagar",G70="Pagar"),NETWORKDAYS($E$4,F70,'Festivos Guatemala'!$A$3:$A$15),0)</f>
        <v>0</v>
      </c>
      <c r="I70" s="43">
        <f>NETWORKDAYS($E$4,F70,'Festivos Guatemala'!$A$3:$A$15)</f>
        <v>17</v>
      </c>
      <c r="J70" s="75">
        <f>H70</f>
        <v>0</v>
      </c>
      <c r="K70" s="49"/>
      <c r="L70" s="49"/>
      <c r="O70" s="49"/>
      <c r="P70" s="49"/>
    </row>
    <row r="71" spans="2:16" s="43" customFormat="1" ht="14.25" customHeight="1" outlineLevel="1">
      <c r="B71" s="251" t="s">
        <v>745</v>
      </c>
      <c r="C71" s="209" t="s">
        <v>822</v>
      </c>
      <c r="D71" s="269">
        <v>943.23</v>
      </c>
      <c r="E71" s="113">
        <f t="shared" si="11"/>
        <v>126.43833780160858</v>
      </c>
      <c r="F71" s="74">
        <v>45954</v>
      </c>
      <c r="G71" s="43" t="s">
        <v>135</v>
      </c>
      <c r="H71" s="43">
        <f>IF(OR(G71="Sin pagar",G71="Pagar"),NETWORKDAYS($E$4,F71,'Festivos Guatemala'!$A$3:$A$15),0)</f>
        <v>0</v>
      </c>
      <c r="I71" s="43">
        <f>NETWORKDAYS($E$4,F71,'Festivos Guatemala'!$A$3:$A$15)</f>
        <v>17</v>
      </c>
      <c r="J71" s="75">
        <f t="shared" si="10"/>
        <v>0</v>
      </c>
      <c r="K71" s="49"/>
      <c r="L71" s="49"/>
      <c r="O71" s="49"/>
      <c r="P71" s="49"/>
    </row>
    <row r="72" spans="2:16" s="43" customFormat="1" outlineLevel="1">
      <c r="B72" s="251" t="s">
        <v>745</v>
      </c>
      <c r="C72" s="209" t="s">
        <v>823</v>
      </c>
      <c r="D72" s="269">
        <v>1023.02</v>
      </c>
      <c r="E72" s="113">
        <f t="shared" si="11"/>
        <v>137.13404825737265</v>
      </c>
      <c r="F72" s="74">
        <v>45954</v>
      </c>
      <c r="G72" s="43" t="s">
        <v>135</v>
      </c>
      <c r="H72" s="43">
        <f>IF(OR(G72="Sin pagar",G72="Pagar"),NETWORKDAYS($E$4,F72,'Festivos Guatemala'!$A$3:$A$15),0)</f>
        <v>0</v>
      </c>
      <c r="I72" s="43">
        <f>NETWORKDAYS($E$4,F72,'Festivos Guatemala'!$A$3:$A$15)</f>
        <v>17</v>
      </c>
      <c r="J72" s="75">
        <f t="shared" si="10"/>
        <v>0</v>
      </c>
    </row>
    <row r="73" spans="2:16" s="43" customFormat="1" ht="15.75" outlineLevel="1" thickBot="1">
      <c r="B73" s="251" t="s">
        <v>745</v>
      </c>
      <c r="C73" s="209" t="s">
        <v>824</v>
      </c>
      <c r="D73" s="269">
        <v>2002.09</v>
      </c>
      <c r="E73" s="113">
        <f t="shared" si="11"/>
        <v>268.37667560321717</v>
      </c>
      <c r="F73" s="74">
        <v>45954</v>
      </c>
      <c r="G73" s="43" t="s">
        <v>135</v>
      </c>
      <c r="H73" s="43">
        <f>IF(OR(G73="Sin pagar",G73="Pagar"),NETWORKDAYS($E$4,F73,'Festivos Guatemala'!$A$3:$A$15),0)</f>
        <v>0</v>
      </c>
      <c r="I73" s="43">
        <f>NETWORKDAYS($E$4,F73,'Festivos Guatemala'!$A$3:$A$15)</f>
        <v>17</v>
      </c>
      <c r="J73" s="75">
        <f t="shared" si="10"/>
        <v>0</v>
      </c>
    </row>
    <row r="74" spans="2:16" s="43" customFormat="1" ht="16.5" thickBot="1">
      <c r="B74" s="82"/>
      <c r="C74" s="85" t="s">
        <v>162</v>
      </c>
      <c r="D74" s="119">
        <f>SUBTOTAL(9,D75:D75)</f>
        <v>0</v>
      </c>
      <c r="E74" s="114">
        <f>SUBTOTAL(9,E75:E75)</f>
        <v>0</v>
      </c>
      <c r="K74" s="52"/>
      <c r="M74" s="183"/>
      <c r="N74" s="183"/>
    </row>
    <row r="75" spans="2:16" s="43" customFormat="1" ht="15.75" outlineLevel="1" thickBot="1">
      <c r="B75" s="46">
        <v>0</v>
      </c>
      <c r="C75" s="47"/>
      <c r="D75" s="104">
        <f>E75*7.8</f>
        <v>0</v>
      </c>
      <c r="E75" s="115">
        <v>0</v>
      </c>
      <c r="F75" s="74">
        <v>45961</v>
      </c>
      <c r="G75" s="43" t="s">
        <v>135</v>
      </c>
      <c r="H75" s="43">
        <f>IF(OR(G75="Sin pagar",G75="Pagar"),NETWORKDAYS($E$4,F75,'Festivos Guatemala'!$A$3:$A$15),0)</f>
        <v>0</v>
      </c>
      <c r="I75" s="43">
        <f>NETWORKDAYS($E$4,F75,'Festivos Guatemala'!$A$3:$A$15)</f>
        <v>22</v>
      </c>
      <c r="J75" s="75">
        <f t="shared" ref="J75" si="12">H75</f>
        <v>0</v>
      </c>
      <c r="M75" s="104"/>
      <c r="N75" s="49"/>
    </row>
    <row r="76" spans="2:16" s="43" customFormat="1" ht="16.5" thickBot="1">
      <c r="B76" s="46"/>
      <c r="C76" s="73" t="s">
        <v>147</v>
      </c>
      <c r="D76" s="103">
        <f>SUBTOTAL(9,D77:D77)</f>
        <v>0</v>
      </c>
      <c r="E76" s="112">
        <f>SUBTOTAL(9,E77:E77)</f>
        <v>0</v>
      </c>
    </row>
    <row r="77" spans="2:16" s="43" customFormat="1" ht="15.75" outlineLevel="1" thickBot="1">
      <c r="B77" s="46"/>
      <c r="C77" s="47"/>
      <c r="D77" s="104"/>
      <c r="E77" s="113"/>
      <c r="F77" s="74">
        <v>45961</v>
      </c>
      <c r="G77" s="43" t="s">
        <v>135</v>
      </c>
      <c r="H77" s="43">
        <f>IF(OR(G77="Sin pagar",G77="Pagar"),NETWORKDAYS($E$4,F77,'Festivos Guatemala'!$A$3:$A$15),0)</f>
        <v>0</v>
      </c>
      <c r="I77" s="43">
        <f>NETWORKDAYS($E$4,F77,'Festivos Guatemala'!$A$3:$A$15)</f>
        <v>22</v>
      </c>
      <c r="J77" s="75">
        <f>H77</f>
        <v>0</v>
      </c>
    </row>
    <row r="78" spans="2:16" s="43" customFormat="1" ht="15.75" customHeight="1" thickBot="1">
      <c r="C78" s="73" t="s">
        <v>148</v>
      </c>
      <c r="D78" s="119">
        <f>SUBTOTAL(9,D79:D79)</f>
        <v>6078.4</v>
      </c>
      <c r="E78" s="114">
        <f>SUBTOTAL(9,E79:E79)</f>
        <v>814.79892761394092</v>
      </c>
    </row>
    <row r="79" spans="2:16" s="43" customFormat="1" ht="15.75" outlineLevel="1" thickBot="1">
      <c r="B79" s="46"/>
      <c r="C79" s="47" t="s">
        <v>117</v>
      </c>
      <c r="D79" s="109">
        <v>6078.4</v>
      </c>
      <c r="E79" s="115">
        <f>D79/D6</f>
        <v>814.79892761394092</v>
      </c>
      <c r="F79" s="74">
        <v>45961</v>
      </c>
      <c r="G79" s="43" t="s">
        <v>135</v>
      </c>
      <c r="H79" s="43">
        <f>IF(OR(G79="Sin pagar",G79="Pagar"),NETWORKDAYS($E$4,F79,'Festivos Guatemala'!$A$3:$A$15),0)</f>
        <v>0</v>
      </c>
      <c r="I79" s="43">
        <f>NETWORKDAYS($E$4,F79,'Festivos Guatemala'!$A$3:$A$15)</f>
        <v>22</v>
      </c>
      <c r="J79" s="75">
        <f t="shared" ref="J79" si="13">H79</f>
        <v>0</v>
      </c>
    </row>
    <row r="80" spans="2:16" s="43" customFormat="1" ht="16.5" thickBot="1">
      <c r="C80" s="73" t="s">
        <v>164</v>
      </c>
      <c r="D80" s="119">
        <f>SUBTOTAL(9,D81:D102)</f>
        <v>635493.71</v>
      </c>
      <c r="E80" s="114">
        <f>SUBTOTAL(9,E81:E102)</f>
        <v>85186.82439678286</v>
      </c>
      <c r="K80" s="52"/>
      <c r="L80" s="86"/>
      <c r="M80" s="109"/>
      <c r="N80" s="109"/>
      <c r="O80" s="113"/>
    </row>
    <row r="81" spans="2:12" s="43" customFormat="1" outlineLevel="1">
      <c r="B81" s="83" t="s">
        <v>1034</v>
      </c>
      <c r="C81" s="47" t="s">
        <v>843</v>
      </c>
      <c r="D81" s="271">
        <v>18701.009999999998</v>
      </c>
      <c r="E81" s="115">
        <f t="shared" ref="E81:E116" si="14">D81/$D$6</f>
        <v>2506.837801608579</v>
      </c>
      <c r="F81" s="74">
        <v>45958</v>
      </c>
      <c r="G81" s="43" t="s">
        <v>135</v>
      </c>
      <c r="H81" s="43">
        <f>IF(OR(G81="Sin pagar",G81="Pagar"),NETWORKDAYS($E$4,F81,'Festivos Guatemala'!$A$3:$A$15),0)</f>
        <v>0</v>
      </c>
      <c r="I81" s="43">
        <f>NETWORKDAYS($E$4,F81,'Festivos Guatemala'!$A$3:$A$15)</f>
        <v>19</v>
      </c>
      <c r="J81" s="75">
        <f t="shared" ref="J81:J102" si="15">H81</f>
        <v>0</v>
      </c>
      <c r="L81" s="52"/>
    </row>
    <row r="82" spans="2:12" s="43" customFormat="1" outlineLevel="1">
      <c r="B82" s="83" t="s">
        <v>1034</v>
      </c>
      <c r="C82" s="47" t="s">
        <v>886</v>
      </c>
      <c r="D82" s="271">
        <v>49577.78</v>
      </c>
      <c r="E82" s="115">
        <f t="shared" si="14"/>
        <v>6645.8150134048255</v>
      </c>
      <c r="F82" s="74">
        <v>45958</v>
      </c>
      <c r="G82" s="43" t="s">
        <v>135</v>
      </c>
      <c r="H82" s="43">
        <f>IF(OR(G82="Sin pagar",G82="Pagar"),NETWORKDAYS($E$4,F82,'Festivos Guatemala'!$A$3:$A$15),0)</f>
        <v>0</v>
      </c>
      <c r="I82" s="43">
        <f>NETWORKDAYS($E$4,F82,'Festivos Guatemala'!$A$3:$A$15)</f>
        <v>19</v>
      </c>
      <c r="J82" s="75">
        <f t="shared" si="15"/>
        <v>0</v>
      </c>
      <c r="L82" s="52"/>
    </row>
    <row r="83" spans="2:12" s="43" customFormat="1" outlineLevel="1">
      <c r="B83" s="83" t="s">
        <v>1034</v>
      </c>
      <c r="C83" s="47" t="s">
        <v>176</v>
      </c>
      <c r="D83" s="271">
        <v>250</v>
      </c>
      <c r="E83" s="115">
        <f t="shared" si="14"/>
        <v>33.512064343163537</v>
      </c>
      <c r="F83" s="74">
        <v>45958</v>
      </c>
      <c r="G83" s="43" t="s">
        <v>135</v>
      </c>
      <c r="H83" s="43">
        <f>IF(OR(G83="Sin pagar",G83="Pagar"),NETWORKDAYS($E$4,F83,'Festivos Guatemala'!$A$3:$A$15),0)</f>
        <v>0</v>
      </c>
      <c r="I83" s="43">
        <f>NETWORKDAYS($E$4,F83,'Festivos Guatemala'!$A$3:$A$15)</f>
        <v>19</v>
      </c>
      <c r="J83" s="75">
        <f t="shared" si="15"/>
        <v>0</v>
      </c>
      <c r="L83" s="52"/>
    </row>
    <row r="84" spans="2:12" s="43" customFormat="1" ht="13.5" customHeight="1" outlineLevel="1">
      <c r="B84" s="83" t="s">
        <v>1034</v>
      </c>
      <c r="C84" s="47" t="s">
        <v>1249</v>
      </c>
      <c r="D84" s="271">
        <v>17873.95</v>
      </c>
      <c r="E84" s="115">
        <f>D84/$D$6</f>
        <v>2395.9718498659518</v>
      </c>
      <c r="F84" s="74">
        <v>45958</v>
      </c>
      <c r="G84" s="43" t="s">
        <v>135</v>
      </c>
      <c r="H84" s="43">
        <f>IF(OR(G84="Sin pagar",G84="Pagar"),NETWORKDAYS($E$4,F84,'Festivos Guatemala'!$A$3:$A$15),0)</f>
        <v>0</v>
      </c>
      <c r="I84" s="43">
        <f>NETWORKDAYS($E$4,F84,'Festivos Guatemala'!$A$3:$A$15)</f>
        <v>19</v>
      </c>
      <c r="J84" s="75">
        <f>H84</f>
        <v>0</v>
      </c>
      <c r="L84" s="52"/>
    </row>
    <row r="85" spans="2:12" s="43" customFormat="1" outlineLevel="1">
      <c r="B85" s="267" t="s">
        <v>1035</v>
      </c>
      <c r="C85" s="47" t="s">
        <v>944</v>
      </c>
      <c r="D85" s="271">
        <v>13622.51</v>
      </c>
      <c r="E85" s="115">
        <f t="shared" si="14"/>
        <v>1826.0737265415551</v>
      </c>
      <c r="F85" s="74">
        <v>45958</v>
      </c>
      <c r="G85" s="43" t="s">
        <v>135</v>
      </c>
      <c r="H85" s="43">
        <f>IF(OR(G85="Sin pagar",G85="Pagar"),NETWORKDAYS($E$4,F85,'Festivos Guatemala'!$A$3:$A$15),0)</f>
        <v>0</v>
      </c>
      <c r="I85" s="43">
        <f>NETWORKDAYS($E$4,F85,'Festivos Guatemala'!$A$3:$A$15)</f>
        <v>19</v>
      </c>
      <c r="J85" s="75">
        <f t="shared" si="15"/>
        <v>0</v>
      </c>
      <c r="L85" s="52"/>
    </row>
    <row r="86" spans="2:12" s="43" customFormat="1" outlineLevel="1">
      <c r="B86" s="267" t="s">
        <v>1035</v>
      </c>
      <c r="C86" s="47" t="s">
        <v>945</v>
      </c>
      <c r="D86" s="271">
        <v>10608.79</v>
      </c>
      <c r="E86" s="115">
        <f t="shared" si="14"/>
        <v>1422.0898123324398</v>
      </c>
      <c r="F86" s="74">
        <v>45958</v>
      </c>
      <c r="G86" s="43" t="s">
        <v>135</v>
      </c>
      <c r="H86" s="43">
        <f>IF(OR(G86="Sin pagar",G86="Pagar"),NETWORKDAYS($E$4,F86,'Festivos Guatemala'!$A$3:$A$15),0)</f>
        <v>0</v>
      </c>
      <c r="I86" s="43">
        <f>NETWORKDAYS($E$4,F86,'Festivos Guatemala'!$A$3:$A$15)</f>
        <v>19</v>
      </c>
      <c r="J86" s="75">
        <f t="shared" si="15"/>
        <v>0</v>
      </c>
      <c r="L86" s="52"/>
    </row>
    <row r="87" spans="2:12" s="43" customFormat="1" outlineLevel="1">
      <c r="B87" s="267" t="s">
        <v>1035</v>
      </c>
      <c r="C87" s="47" t="s">
        <v>829</v>
      </c>
      <c r="D87" s="271">
        <v>34601.33</v>
      </c>
      <c r="E87" s="115">
        <f t="shared" si="14"/>
        <v>4638.2479892761394</v>
      </c>
      <c r="F87" s="74">
        <v>45958</v>
      </c>
      <c r="G87" s="43" t="s">
        <v>135</v>
      </c>
      <c r="H87" s="43">
        <f>IF(OR(G87="Sin pagar",G87="Pagar"),NETWORKDAYS($E$4,F87,'Festivos Guatemala'!$A$3:$A$15),0)</f>
        <v>0</v>
      </c>
      <c r="I87" s="43">
        <f>NETWORKDAYS($E$4,F87,'Festivos Guatemala'!$A$3:$A$15)</f>
        <v>19</v>
      </c>
      <c r="J87" s="75">
        <f t="shared" si="15"/>
        <v>0</v>
      </c>
      <c r="L87" s="52"/>
    </row>
    <row r="88" spans="2:12" s="43" customFormat="1" outlineLevel="1">
      <c r="B88" s="267" t="s">
        <v>1035</v>
      </c>
      <c r="C88" s="47" t="s">
        <v>1248</v>
      </c>
      <c r="D88" s="271">
        <v>4481.22</v>
      </c>
      <c r="E88" s="115">
        <f t="shared" ref="E88" si="16">D88/$D$6</f>
        <v>600.69973190348526</v>
      </c>
      <c r="F88" s="74">
        <v>45958</v>
      </c>
      <c r="G88" s="43" t="s">
        <v>135</v>
      </c>
      <c r="H88" s="43">
        <f>IF(OR(G88="Sin pagar",G88="Pagar"),NETWORKDAYS($E$4,F88,'Festivos Guatemala'!$A$3:$A$15),0)</f>
        <v>0</v>
      </c>
      <c r="I88" s="43">
        <f>NETWORKDAYS($E$4,F88,'Festivos Guatemala'!$A$3:$A$15)</f>
        <v>19</v>
      </c>
      <c r="J88" s="75">
        <f t="shared" ref="J88" si="17">H88</f>
        <v>0</v>
      </c>
      <c r="L88" s="52"/>
    </row>
    <row r="89" spans="2:12" s="43" customFormat="1" outlineLevel="1">
      <c r="B89" s="267" t="s">
        <v>1036</v>
      </c>
      <c r="C89" s="47" t="s">
        <v>946</v>
      </c>
      <c r="D89" s="271">
        <v>9930.7099999999991</v>
      </c>
      <c r="E89" s="115">
        <f t="shared" si="14"/>
        <v>1331.1943699731903</v>
      </c>
      <c r="F89" s="74">
        <v>45960</v>
      </c>
      <c r="G89" s="43" t="s">
        <v>135</v>
      </c>
      <c r="H89" s="43">
        <f>IF(OR(G89="Sin pagar",G89="Pagar"),NETWORKDAYS($E$4,F89,'Festivos Guatemala'!$A$3:$A$15),0)</f>
        <v>0</v>
      </c>
      <c r="I89" s="43">
        <f>NETWORKDAYS($E$4,F89,'Festivos Guatemala'!$A$3:$A$15)</f>
        <v>21</v>
      </c>
      <c r="J89" s="75">
        <f t="shared" si="15"/>
        <v>0</v>
      </c>
      <c r="L89" s="52"/>
    </row>
    <row r="90" spans="2:12" s="43" customFormat="1" outlineLevel="1">
      <c r="B90" s="301" t="s">
        <v>1037</v>
      </c>
      <c r="C90" s="47" t="s">
        <v>947</v>
      </c>
      <c r="D90" s="271">
        <v>9662.36</v>
      </c>
      <c r="E90" s="115">
        <f>D90/$D$6</f>
        <v>1295.2225201072388</v>
      </c>
      <c r="F90" s="74">
        <v>45958</v>
      </c>
      <c r="G90" s="43" t="s">
        <v>135</v>
      </c>
      <c r="H90" s="43">
        <f>IF(OR(G90="Sin pagar",G90="Pagar"),NETWORKDAYS($E$4,F90,'Festivos Guatemala'!$A$3:$A$15),0)</f>
        <v>0</v>
      </c>
      <c r="I90" s="43">
        <f>NETWORKDAYS($E$4,F90,'Festivos Guatemala'!$A$3:$A$15)</f>
        <v>19</v>
      </c>
      <c r="J90" s="75">
        <f>H90</f>
        <v>0</v>
      </c>
      <c r="L90" s="52"/>
    </row>
    <row r="91" spans="2:12" s="43" customFormat="1" outlineLevel="1">
      <c r="B91" s="303" t="s">
        <v>892</v>
      </c>
      <c r="C91" s="50" t="s">
        <v>414</v>
      </c>
      <c r="D91" s="268">
        <v>151609</v>
      </c>
      <c r="E91" s="115">
        <f t="shared" si="14"/>
        <v>20322.922252010725</v>
      </c>
      <c r="F91" s="74">
        <v>45958</v>
      </c>
      <c r="G91" s="43" t="s">
        <v>135</v>
      </c>
      <c r="H91" s="43">
        <f>IF(OR(G91="Sin pagar",G91="Pagar"),NETWORKDAYS($E$4,F91,'Festivos Guatemala'!$A$3:$A$15),0)</f>
        <v>0</v>
      </c>
      <c r="I91" s="43">
        <f>NETWORKDAYS($E$4,F91,'Festivos Guatemala'!$A$3:$A$15)</f>
        <v>19</v>
      </c>
      <c r="J91" s="75">
        <f t="shared" si="15"/>
        <v>0</v>
      </c>
      <c r="L91" s="52"/>
    </row>
    <row r="92" spans="2:12" s="43" customFormat="1" outlineLevel="1">
      <c r="B92" s="303" t="s">
        <v>892</v>
      </c>
      <c r="C92" s="47" t="s">
        <v>417</v>
      </c>
      <c r="D92" s="268">
        <v>10738</v>
      </c>
      <c r="E92" s="115">
        <f>D92/$D$6</f>
        <v>1439.4101876675604</v>
      </c>
      <c r="F92" s="74">
        <v>45958</v>
      </c>
      <c r="G92" s="43" t="s">
        <v>135</v>
      </c>
      <c r="H92" s="43">
        <f>IF(OR(G92="Sin pagar",G92="Pagar"),NETWORKDAYS($E$4,F92,'Festivos Guatemala'!$A$3:$A$15),0)</f>
        <v>0</v>
      </c>
      <c r="I92" s="43">
        <f>NETWORKDAYS($E$4,F92,'Festivos Guatemala'!$A$3:$A$15)</f>
        <v>19</v>
      </c>
      <c r="J92" s="75">
        <f>H92</f>
        <v>0</v>
      </c>
      <c r="L92" s="52"/>
    </row>
    <row r="93" spans="2:12" s="43" customFormat="1" outlineLevel="1">
      <c r="B93" s="303" t="s">
        <v>892</v>
      </c>
      <c r="C93" s="47" t="s">
        <v>409</v>
      </c>
      <c r="D93" s="268">
        <v>14151</v>
      </c>
      <c r="E93" s="115">
        <f>D93/$D$6</f>
        <v>1896.9168900804289</v>
      </c>
      <c r="F93" s="74">
        <v>45958</v>
      </c>
      <c r="G93" s="43" t="s">
        <v>135</v>
      </c>
      <c r="H93" s="43">
        <f>IF(OR(G93="Sin pagar",G93="Pagar"),NETWORKDAYS($E$4,F93,'Festivos Guatemala'!$A$3:$A$15),0)</f>
        <v>0</v>
      </c>
      <c r="I93" s="43">
        <f>NETWORKDAYS($E$4,F93,'Festivos Guatemala'!$A$3:$A$15)</f>
        <v>19</v>
      </c>
      <c r="J93" s="75">
        <f>H93</f>
        <v>0</v>
      </c>
      <c r="L93" s="52"/>
    </row>
    <row r="94" spans="2:12" s="43" customFormat="1" outlineLevel="1">
      <c r="B94" s="303" t="s">
        <v>892</v>
      </c>
      <c r="C94" s="47" t="s">
        <v>416</v>
      </c>
      <c r="D94" s="268">
        <v>131772</v>
      </c>
      <c r="E94" s="115">
        <f t="shared" si="14"/>
        <v>17663.806970509384</v>
      </c>
      <c r="F94" s="74">
        <v>45958</v>
      </c>
      <c r="G94" s="43" t="s">
        <v>135</v>
      </c>
      <c r="H94" s="43">
        <f>IF(OR(G94="Sin pagar",G94="Pagar"),NETWORKDAYS($E$4,F94,'Festivos Guatemala'!$A$3:$A$15),0)</f>
        <v>0</v>
      </c>
      <c r="I94" s="43">
        <f>NETWORKDAYS($E$4,F94,'Festivos Guatemala'!$A$3:$A$15)</f>
        <v>19</v>
      </c>
      <c r="J94" s="75">
        <f t="shared" si="15"/>
        <v>0</v>
      </c>
      <c r="L94" s="52"/>
    </row>
    <row r="95" spans="2:12" s="43" customFormat="1" outlineLevel="1">
      <c r="B95" s="303" t="s">
        <v>892</v>
      </c>
      <c r="C95" s="47" t="s">
        <v>412</v>
      </c>
      <c r="D95" s="268">
        <v>8025</v>
      </c>
      <c r="E95" s="115">
        <f t="shared" si="14"/>
        <v>1075.7372654155497</v>
      </c>
      <c r="F95" s="74">
        <v>45958</v>
      </c>
      <c r="G95" s="43" t="s">
        <v>135</v>
      </c>
      <c r="H95" s="43">
        <f>IF(OR(G95="Sin pagar",G95="Pagar"),NETWORKDAYS($E$4,F95,'Festivos Guatemala'!$A$3:$A$15),0)</f>
        <v>0</v>
      </c>
      <c r="I95" s="43">
        <f>NETWORKDAYS($E$4,F95,'Festivos Guatemala'!$A$3:$A$15)</f>
        <v>19</v>
      </c>
      <c r="J95" s="75">
        <f t="shared" si="15"/>
        <v>0</v>
      </c>
      <c r="L95" s="52"/>
    </row>
    <row r="96" spans="2:12" s="43" customFormat="1" outlineLevel="1">
      <c r="B96" s="303" t="s">
        <v>892</v>
      </c>
      <c r="C96" s="47" t="s">
        <v>413</v>
      </c>
      <c r="D96" s="268">
        <v>3943</v>
      </c>
      <c r="E96" s="115">
        <f t="shared" si="14"/>
        <v>528.55227882037536</v>
      </c>
      <c r="F96" s="74">
        <v>45958</v>
      </c>
      <c r="G96" s="43" t="s">
        <v>135</v>
      </c>
      <c r="H96" s="43">
        <f>IF(OR(G96="Sin pagar",G96="Pagar"),NETWORKDAYS($E$4,F96,'Festivos Guatemala'!$A$3:$A$15),0)</f>
        <v>0</v>
      </c>
      <c r="I96" s="43">
        <f>NETWORKDAYS($E$4,F96,'Festivos Guatemala'!$A$3:$A$15)</f>
        <v>19</v>
      </c>
      <c r="J96" s="75">
        <f t="shared" si="15"/>
        <v>0</v>
      </c>
      <c r="L96" s="52"/>
    </row>
    <row r="97" spans="2:12" s="43" customFormat="1" outlineLevel="1">
      <c r="B97" s="303" t="s">
        <v>892</v>
      </c>
      <c r="C97" s="47" t="s">
        <v>415</v>
      </c>
      <c r="D97" s="268">
        <v>25709</v>
      </c>
      <c r="E97" s="115">
        <f t="shared" si="14"/>
        <v>3446.2466487935658</v>
      </c>
      <c r="F97" s="74">
        <v>45958</v>
      </c>
      <c r="G97" s="43" t="s">
        <v>135</v>
      </c>
      <c r="H97" s="43">
        <f>IF(OR(G97="Sin pagar",G97="Pagar"),NETWORKDAYS($E$4,F97,'Festivos Guatemala'!$A$3:$A$15),0)</f>
        <v>0</v>
      </c>
      <c r="I97" s="43">
        <f>NETWORKDAYS($E$4,F97,'Festivos Guatemala'!$A$3:$A$15)</f>
        <v>19</v>
      </c>
      <c r="J97" s="75">
        <f t="shared" si="15"/>
        <v>0</v>
      </c>
      <c r="L97" s="52"/>
    </row>
    <row r="98" spans="2:12" s="43" customFormat="1" outlineLevel="1">
      <c r="B98" s="303" t="s">
        <v>892</v>
      </c>
      <c r="C98" s="47" t="s">
        <v>410</v>
      </c>
      <c r="D98" s="268">
        <v>3943</v>
      </c>
      <c r="E98" s="115">
        <f t="shared" si="14"/>
        <v>528.55227882037536</v>
      </c>
      <c r="F98" s="74">
        <v>45958</v>
      </c>
      <c r="G98" s="43" t="s">
        <v>135</v>
      </c>
      <c r="H98" s="43">
        <f>IF(OR(G98="Sin pagar",G98="Pagar"),NETWORKDAYS($E$4,F98,'Festivos Guatemala'!$A$3:$A$15),0)</f>
        <v>0</v>
      </c>
      <c r="I98" s="43">
        <f>NETWORKDAYS($E$4,F98,'Festivos Guatemala'!$A$3:$A$15)</f>
        <v>19</v>
      </c>
      <c r="J98" s="75">
        <f t="shared" si="15"/>
        <v>0</v>
      </c>
      <c r="L98" s="52"/>
    </row>
    <row r="99" spans="2:12" s="43" customFormat="1" outlineLevel="1">
      <c r="B99" s="303" t="s">
        <v>892</v>
      </c>
      <c r="C99" s="47" t="s">
        <v>844</v>
      </c>
      <c r="D99" s="268">
        <v>24923</v>
      </c>
      <c r="E99" s="115">
        <f>D99/$D$6</f>
        <v>3340.8847184986594</v>
      </c>
      <c r="F99" s="74">
        <v>45958</v>
      </c>
      <c r="G99" s="43" t="s">
        <v>135</v>
      </c>
      <c r="H99" s="43">
        <f>IF(OR(G99="Sin pagar",G99="Pagar"),NETWORKDAYS($E$4,F99,'Festivos Guatemala'!$A$3:$A$15),0)</f>
        <v>0</v>
      </c>
      <c r="I99" s="43">
        <f>NETWORKDAYS($E$4,F99,'Festivos Guatemala'!$A$3:$A$15)</f>
        <v>19</v>
      </c>
      <c r="J99" s="75">
        <f>H99</f>
        <v>0</v>
      </c>
      <c r="L99" s="52"/>
    </row>
    <row r="100" spans="2:12" s="43" customFormat="1" ht="13.5" customHeight="1" outlineLevel="1">
      <c r="B100" s="303" t="s">
        <v>892</v>
      </c>
      <c r="C100" s="47" t="s">
        <v>901</v>
      </c>
      <c r="D100" s="268">
        <v>32589.919999999998</v>
      </c>
      <c r="E100" s="115">
        <f>D100/$D$6</f>
        <v>4368.6219839142086</v>
      </c>
      <c r="F100" s="74">
        <v>45958</v>
      </c>
      <c r="G100" s="43" t="s">
        <v>135</v>
      </c>
      <c r="H100" s="43">
        <f>IF(OR(G100="Sin pagar",G100="Pagar"),NETWORKDAYS($E$4,F100,'Festivos Guatemala'!$A$3:$A$15),0)</f>
        <v>0</v>
      </c>
      <c r="I100" s="43">
        <f>NETWORKDAYS($E$4,F100,'Festivos Guatemala'!$A$3:$A$15)</f>
        <v>19</v>
      </c>
      <c r="J100" s="75">
        <f>H100</f>
        <v>0</v>
      </c>
      <c r="L100" s="52"/>
    </row>
    <row r="101" spans="2:12" s="43" customFormat="1" outlineLevel="1">
      <c r="B101" s="303" t="s">
        <v>892</v>
      </c>
      <c r="C101" s="47" t="s">
        <v>845</v>
      </c>
      <c r="D101" s="268">
        <v>24923.65</v>
      </c>
      <c r="E101" s="115">
        <f t="shared" si="14"/>
        <v>3340.9718498659518</v>
      </c>
      <c r="F101" s="74">
        <v>45958</v>
      </c>
      <c r="G101" s="43" t="s">
        <v>135</v>
      </c>
      <c r="H101" s="43">
        <f>IF(OR(G101="Sin pagar",G101="Pagar"),NETWORKDAYS($E$4,F101,'Festivos Guatemala'!$A$3:$A$15),0)</f>
        <v>0</v>
      </c>
      <c r="I101" s="43">
        <f>NETWORKDAYS($E$4,F101,'Festivos Guatemala'!$A$3:$A$15)</f>
        <v>19</v>
      </c>
      <c r="J101" s="75">
        <f t="shared" si="15"/>
        <v>0</v>
      </c>
      <c r="L101" s="52"/>
    </row>
    <row r="102" spans="2:12" s="43" customFormat="1" ht="15.75" outlineLevel="1" thickBot="1">
      <c r="B102" s="303" t="s">
        <v>892</v>
      </c>
      <c r="C102" s="47" t="s">
        <v>418</v>
      </c>
      <c r="D102" s="268">
        <v>33857.480000000003</v>
      </c>
      <c r="E102" s="115">
        <f t="shared" si="14"/>
        <v>4538.5361930294912</v>
      </c>
      <c r="F102" s="74">
        <v>45958</v>
      </c>
      <c r="G102" s="43" t="s">
        <v>135</v>
      </c>
      <c r="H102" s="43">
        <f>IF(OR(G102="Sin pagar",G102="Pagar"),NETWORKDAYS($E$4,F102,'Festivos Guatemala'!$A$3:$A$15),0)</f>
        <v>0</v>
      </c>
      <c r="I102" s="43">
        <f>NETWORKDAYS($E$4,F102,'Festivos Guatemala'!$A$3:$A$15)</f>
        <v>19</v>
      </c>
      <c r="J102" s="75">
        <f t="shared" si="15"/>
        <v>0</v>
      </c>
      <c r="L102" s="52"/>
    </row>
    <row r="103" spans="2:12" s="43" customFormat="1" ht="16.5" thickBot="1">
      <c r="B103" s="46"/>
      <c r="C103" s="73" t="s">
        <v>173</v>
      </c>
      <c r="D103" s="103">
        <f>SUBTOTAL(9,D104:D106)</f>
        <v>15951.899000000001</v>
      </c>
      <c r="E103" s="112">
        <f>SUBTOTAL(9,E104:E106)</f>
        <v>2138.3242627345844</v>
      </c>
    </row>
    <row r="104" spans="2:12" s="43" customFormat="1" outlineLevel="1">
      <c r="B104" s="303" t="s">
        <v>892</v>
      </c>
      <c r="C104" s="47" t="s">
        <v>1163</v>
      </c>
      <c r="D104" s="269">
        <f>$E$104*$D$6</f>
        <v>4849</v>
      </c>
      <c r="E104" s="113">
        <v>650</v>
      </c>
      <c r="F104" s="74">
        <v>45947</v>
      </c>
      <c r="G104" s="43" t="s">
        <v>135</v>
      </c>
      <c r="H104" s="43">
        <f>IF(OR(G104="Sin pagar",G104="Pagar"),NETWORKDAYS($E$4,F104,'Festivos Guatemala'!$A$3:$A$15),0)</f>
        <v>0</v>
      </c>
      <c r="I104" s="43">
        <f>NETWORKDAYS($E$4,F104,'Festivos Guatemala'!$A$3:$A$15)</f>
        <v>13</v>
      </c>
      <c r="J104" s="75">
        <f t="shared" ref="J104" si="18">H104</f>
        <v>0</v>
      </c>
      <c r="L104" s="52"/>
    </row>
    <row r="105" spans="2:12" s="43" customFormat="1" outlineLevel="1">
      <c r="B105" s="46"/>
      <c r="C105" s="210" t="s">
        <v>278</v>
      </c>
      <c r="D105" s="104">
        <f>$E$105*$D$6</f>
        <v>5708.0190000000002</v>
      </c>
      <c r="E105" s="113">
        <v>765.15</v>
      </c>
      <c r="F105" s="74">
        <v>45958</v>
      </c>
      <c r="G105" s="43" t="s">
        <v>135</v>
      </c>
      <c r="H105" s="43">
        <f>IF(OR(G105="Sin pagar",G105="Pagar"),NETWORKDAYS($E$4,F105,'Festivos Guatemala'!$A$3:$A$15),0)</f>
        <v>0</v>
      </c>
      <c r="I105" s="43">
        <f>NETWORKDAYS($E$4,F105,'Festivos Guatemala'!$A$3:$A$15)</f>
        <v>19</v>
      </c>
      <c r="J105" s="75">
        <f t="shared" ref="J105:J106" si="19">H105</f>
        <v>0</v>
      </c>
      <c r="K105" s="52"/>
      <c r="L105" s="54"/>
    </row>
    <row r="106" spans="2:12" s="43" customFormat="1" ht="15.75" outlineLevel="1" thickBot="1">
      <c r="B106" s="46"/>
      <c r="C106" s="209" t="s">
        <v>280</v>
      </c>
      <c r="D106" s="104">
        <v>5394.88</v>
      </c>
      <c r="E106" s="113">
        <f>D106/$D$6</f>
        <v>723.17426273458443</v>
      </c>
      <c r="F106" s="74">
        <v>45958</v>
      </c>
      <c r="G106" s="43" t="s">
        <v>135</v>
      </c>
      <c r="H106" s="43">
        <f>IF(OR(G106="Sin pagar",G106="Pagar"),NETWORKDAYS($E$4,F106,'Festivos Guatemala'!$A$3:$A$15),0)</f>
        <v>0</v>
      </c>
      <c r="I106" s="43">
        <f>NETWORKDAYS($E$4,F106,'Festivos Guatemala'!$A$3:$A$15)</f>
        <v>19</v>
      </c>
      <c r="J106" s="75">
        <f t="shared" si="19"/>
        <v>0</v>
      </c>
      <c r="K106" s="52"/>
      <c r="L106" s="54"/>
    </row>
    <row r="107" spans="2:12" s="43" customFormat="1" ht="16.5" thickBot="1">
      <c r="B107" s="87"/>
      <c r="C107" s="73" t="s">
        <v>149</v>
      </c>
      <c r="D107" s="103">
        <f>SUBTOTAL(9,D108:D108)</f>
        <v>0</v>
      </c>
      <c r="E107" s="112">
        <f>SUBTOTAL(9,E108:E108)</f>
        <v>0</v>
      </c>
      <c r="L107" s="52"/>
    </row>
    <row r="108" spans="2:12" s="43" customFormat="1" ht="15.75" outlineLevel="1" thickBot="1">
      <c r="B108" s="311" t="s">
        <v>145</v>
      </c>
      <c r="C108" s="47" t="s">
        <v>1085</v>
      </c>
      <c r="D108" s="257">
        <f>$E$108*$D$6</f>
        <v>0</v>
      </c>
      <c r="E108" s="113">
        <f>5000*0</f>
        <v>0</v>
      </c>
      <c r="F108" s="74">
        <v>45961</v>
      </c>
      <c r="G108" s="43" t="s">
        <v>135</v>
      </c>
      <c r="H108" s="43">
        <f>IF(OR(G108="Sin pagar",G108="Pagar"),NETWORKDAYS($E$4,F108,'Festivos Guatemala'!$A$3:$A$15),0)</f>
        <v>0</v>
      </c>
      <c r="I108" s="43">
        <f>NETWORKDAYS($E$4,F108,'Festivos Guatemala'!$A$3:$A$15)</f>
        <v>22</v>
      </c>
      <c r="J108" s="75">
        <f>H108</f>
        <v>0</v>
      </c>
      <c r="K108" s="52"/>
      <c r="L108" s="54"/>
    </row>
    <row r="109" spans="2:12" s="43" customFormat="1" ht="16.5" thickBot="1">
      <c r="B109" s="87"/>
      <c r="C109" s="73" t="s">
        <v>1144</v>
      </c>
      <c r="D109" s="103">
        <f>SUBTOTAL(9,D110:D110)</f>
        <v>0</v>
      </c>
      <c r="E109" s="112">
        <f>SUBTOTAL(9,E110:E110)</f>
        <v>0</v>
      </c>
      <c r="L109" s="52"/>
    </row>
    <row r="110" spans="2:12" s="43" customFormat="1" ht="15.75" outlineLevel="1" thickBot="1">
      <c r="B110" s="311"/>
      <c r="C110" s="47"/>
      <c r="D110" s="109">
        <v>0</v>
      </c>
      <c r="E110" s="115">
        <f>D110/$D$6</f>
        <v>0</v>
      </c>
      <c r="F110" s="74">
        <v>45961</v>
      </c>
      <c r="G110" s="43" t="s">
        <v>135</v>
      </c>
      <c r="H110" s="43">
        <f>IF(OR(G110="Sin pagar",G110="Pagar"),NETWORKDAYS($E$4,F110,'Festivos Guatemala'!$A$3:$A$15),0)</f>
        <v>0</v>
      </c>
      <c r="I110" s="43">
        <f>NETWORKDAYS($E$4,F110,'Festivos Guatemala'!$A$3:$A$15)</f>
        <v>22</v>
      </c>
      <c r="J110" s="75">
        <f>H110</f>
        <v>0</v>
      </c>
      <c r="K110" s="52"/>
      <c r="L110" s="54"/>
    </row>
    <row r="111" spans="2:12" s="43" customFormat="1" ht="16.5" thickBot="1">
      <c r="B111" s="46"/>
      <c r="C111" s="73" t="s">
        <v>638</v>
      </c>
      <c r="D111" s="103">
        <f>SUBTOTAL(9,D112:D112)</f>
        <v>1500</v>
      </c>
      <c r="E111" s="112">
        <f>SUBTOTAL(9,E112:E112)</f>
        <v>201.07238605898124</v>
      </c>
    </row>
    <row r="112" spans="2:12" s="43" customFormat="1" ht="15.75" outlineLevel="1" thickBot="1">
      <c r="B112" s="46">
        <v>3075098786</v>
      </c>
      <c r="C112" s="47" t="s">
        <v>1106</v>
      </c>
      <c r="D112" s="109">
        <v>1500</v>
      </c>
      <c r="E112" s="115">
        <f>D112/$D$6</f>
        <v>201.07238605898124</v>
      </c>
      <c r="F112" s="74">
        <v>45954</v>
      </c>
      <c r="G112" s="43" t="s">
        <v>135</v>
      </c>
      <c r="H112" s="43">
        <f>IF(OR(G112="Sin pagar",G112="Pagar"),NETWORKDAYS($E$4,F112,'Festivos Guatemala'!$A$3:$A$15),0)</f>
        <v>0</v>
      </c>
      <c r="I112" s="43">
        <f>NETWORKDAYS($E$4,F112,'Festivos Guatemala'!$A$3:$A$15)</f>
        <v>17</v>
      </c>
      <c r="J112" s="75">
        <f>H112</f>
        <v>0</v>
      </c>
      <c r="K112" s="52"/>
      <c r="L112" s="54"/>
    </row>
    <row r="113" spans="2:15" s="43" customFormat="1" ht="16.5" thickBot="1">
      <c r="C113" s="332" t="s">
        <v>1107</v>
      </c>
      <c r="D113" s="333">
        <f>SUBTOTAL(9,D114:D122)</f>
        <v>183112.40999999997</v>
      </c>
      <c r="E113" s="334">
        <f>SUBTOTAL(9,E114:E122)</f>
        <v>24545.899463806967</v>
      </c>
      <c r="K113" s="52"/>
      <c r="L113" s="86"/>
      <c r="M113" s="109"/>
      <c r="N113" s="109"/>
      <c r="O113" s="113"/>
    </row>
    <row r="114" spans="2:15" s="43" customFormat="1" outlineLevel="1">
      <c r="B114" s="303" t="s">
        <v>892</v>
      </c>
      <c r="C114" s="47" t="s">
        <v>1152</v>
      </c>
      <c r="D114" s="109">
        <f>$E$114*$D$6</f>
        <v>37300</v>
      </c>
      <c r="E114" s="115">
        <v>5000</v>
      </c>
      <c r="F114" s="74">
        <v>45945</v>
      </c>
      <c r="G114" s="43" t="s">
        <v>135</v>
      </c>
      <c r="H114" s="43">
        <f>IF(OR(G114="Sin pagar",G114="Pagar"),NETWORKDAYS($E$4,F114,'Festivos Guatemala'!$A$3:$A$15),0)</f>
        <v>0</v>
      </c>
      <c r="I114" s="43">
        <f>NETWORKDAYS($E$4,F114,'Festivos Guatemala'!$A$3:$A$15)</f>
        <v>11</v>
      </c>
      <c r="J114" s="75">
        <f t="shared" ref="J114" si="20">H114</f>
        <v>0</v>
      </c>
      <c r="L114" s="52"/>
    </row>
    <row r="115" spans="2:15" s="43" customFormat="1" outlineLevel="1">
      <c r="B115" s="303" t="s">
        <v>892</v>
      </c>
      <c r="C115" s="47" t="s">
        <v>1153</v>
      </c>
      <c r="D115" s="109">
        <f>9952.87</f>
        <v>9952.8700000000008</v>
      </c>
      <c r="E115" s="115">
        <f>$D$115/D6</f>
        <v>1334.1648793565685</v>
      </c>
      <c r="F115" s="74">
        <v>45945</v>
      </c>
      <c r="G115" s="43" t="s">
        <v>135</v>
      </c>
      <c r="H115" s="43">
        <f>IF(OR(G115="Sin pagar",G115="Pagar"),NETWORKDAYS($E$4,F115,'Festivos Guatemala'!$A$3:$A$15),0)</f>
        <v>0</v>
      </c>
      <c r="I115" s="43">
        <f>NETWORKDAYS($E$4,F115,'Festivos Guatemala'!$A$3:$A$15)</f>
        <v>11</v>
      </c>
      <c r="J115" s="75">
        <f t="shared" ref="J115" si="21">H115</f>
        <v>0</v>
      </c>
      <c r="L115" s="52"/>
    </row>
    <row r="116" spans="2:15" s="43" customFormat="1" outlineLevel="1">
      <c r="B116" s="303" t="s">
        <v>892</v>
      </c>
      <c r="C116" s="47" t="s">
        <v>1108</v>
      </c>
      <c r="D116" s="109">
        <v>10855.64</v>
      </c>
      <c r="E116" s="115">
        <f t="shared" si="14"/>
        <v>1455.1796246648794</v>
      </c>
      <c r="F116" s="74">
        <v>45958</v>
      </c>
      <c r="G116" s="43" t="s">
        <v>135</v>
      </c>
      <c r="H116" s="43">
        <f>IF(OR(G116="Sin pagar",G116="Pagar"),NETWORKDAYS($E$4,F116,'Festivos Guatemala'!$A$3:$A$15),0)</f>
        <v>0</v>
      </c>
      <c r="I116" s="43">
        <f>NETWORKDAYS($E$4,F116,'Festivos Guatemala'!$A$3:$A$15)</f>
        <v>19</v>
      </c>
      <c r="J116" s="75">
        <f t="shared" ref="J116" si="22">H116</f>
        <v>0</v>
      </c>
      <c r="L116" s="52"/>
    </row>
    <row r="117" spans="2:15" s="43" customFormat="1" outlineLevel="1">
      <c r="B117" s="303" t="s">
        <v>892</v>
      </c>
      <c r="C117" s="47" t="s">
        <v>1109</v>
      </c>
      <c r="D117" s="109">
        <v>37726.230000000003</v>
      </c>
      <c r="E117" s="115">
        <f t="shared" ref="E117:E122" si="23">D117/$D$6</f>
        <v>5057.1353887399464</v>
      </c>
      <c r="F117" s="74">
        <v>45958</v>
      </c>
      <c r="G117" s="43" t="s">
        <v>135</v>
      </c>
      <c r="H117" s="43">
        <f>IF(OR(G117="Sin pagar",G117="Pagar"),NETWORKDAYS($E$4,F117,'Festivos Guatemala'!$A$3:$A$15),0)</f>
        <v>0</v>
      </c>
      <c r="I117" s="43">
        <f>NETWORKDAYS($E$4,F117,'Festivos Guatemala'!$A$3:$A$15)</f>
        <v>19</v>
      </c>
      <c r="J117" s="75">
        <f>H117</f>
        <v>0</v>
      </c>
      <c r="L117" s="52"/>
    </row>
    <row r="118" spans="2:15" s="43" customFormat="1" outlineLevel="1">
      <c r="B118" s="303" t="s">
        <v>892</v>
      </c>
      <c r="C118" s="47" t="s">
        <v>1110</v>
      </c>
      <c r="D118" s="109">
        <v>16255.41</v>
      </c>
      <c r="E118" s="115">
        <f t="shared" si="23"/>
        <v>2179.0093833780161</v>
      </c>
      <c r="F118" s="74">
        <v>45958</v>
      </c>
      <c r="G118" s="43" t="s">
        <v>135</v>
      </c>
      <c r="H118" s="43">
        <f>IF(OR(G118="Sin pagar",G118="Pagar"),NETWORKDAYS($E$4,F118,'Festivos Guatemala'!$A$3:$A$15),0)</f>
        <v>0</v>
      </c>
      <c r="I118" s="43">
        <f>NETWORKDAYS($E$4,F118,'Festivos Guatemala'!$A$3:$A$15)</f>
        <v>19</v>
      </c>
      <c r="J118" s="75">
        <f>H118</f>
        <v>0</v>
      </c>
      <c r="L118" s="52"/>
    </row>
    <row r="119" spans="2:15" s="43" customFormat="1" outlineLevel="1">
      <c r="B119" s="303" t="s">
        <v>892</v>
      </c>
      <c r="C119" s="47" t="s">
        <v>1111</v>
      </c>
      <c r="D119" s="109">
        <v>15653.9</v>
      </c>
      <c r="E119" s="115">
        <f t="shared" si="23"/>
        <v>2098.3780160857909</v>
      </c>
      <c r="F119" s="74">
        <v>45958</v>
      </c>
      <c r="G119" s="43" t="s">
        <v>135</v>
      </c>
      <c r="H119" s="43">
        <f>IF(OR(G119="Sin pagar",G119="Pagar"),NETWORKDAYS($E$4,F119,'Festivos Guatemala'!$A$3:$A$15),0)</f>
        <v>0</v>
      </c>
      <c r="I119" s="43">
        <f>NETWORKDAYS($E$4,F119,'Festivos Guatemala'!$A$3:$A$15)</f>
        <v>19</v>
      </c>
      <c r="J119" s="75">
        <f t="shared" ref="J119:J121" si="24">H119</f>
        <v>0</v>
      </c>
      <c r="L119" s="52"/>
    </row>
    <row r="120" spans="2:15" s="43" customFormat="1" outlineLevel="1">
      <c r="B120" s="303" t="s">
        <v>892</v>
      </c>
      <c r="C120" s="47" t="s">
        <v>1193</v>
      </c>
      <c r="D120" s="109">
        <v>34981.760000000002</v>
      </c>
      <c r="E120" s="115">
        <f t="shared" si="23"/>
        <v>4689.2439678284181</v>
      </c>
      <c r="F120" s="74">
        <v>45958</v>
      </c>
      <c r="G120" s="43" t="s">
        <v>135</v>
      </c>
      <c r="H120" s="43">
        <f>IF(OR(G120="Sin pagar",G120="Pagar"),NETWORKDAYS($E$4,F120,'Festivos Guatemala'!$A$3:$A$15),0)</f>
        <v>0</v>
      </c>
      <c r="I120" s="43">
        <f>NETWORKDAYS($E$4,F120,'Festivos Guatemala'!$A$3:$A$15)</f>
        <v>19</v>
      </c>
      <c r="J120" s="75">
        <f t="shared" ref="J120" si="25">H120</f>
        <v>0</v>
      </c>
      <c r="L120" s="52"/>
    </row>
    <row r="121" spans="2:15" s="43" customFormat="1" outlineLevel="1">
      <c r="B121" s="303" t="s">
        <v>892</v>
      </c>
      <c r="C121" s="47" t="s">
        <v>1112</v>
      </c>
      <c r="D121" s="109">
        <v>3095.49</v>
      </c>
      <c r="E121" s="115">
        <f t="shared" si="23"/>
        <v>414.94504021447716</v>
      </c>
      <c r="F121" s="74">
        <v>45958</v>
      </c>
      <c r="G121" s="43" t="s">
        <v>135</v>
      </c>
      <c r="H121" s="43">
        <f>IF(OR(G121="Sin pagar",G121="Pagar"),NETWORKDAYS($E$4,F121,'Festivos Guatemala'!$A$3:$A$15),0)</f>
        <v>0</v>
      </c>
      <c r="I121" s="43">
        <f>NETWORKDAYS($E$4,F121,'Festivos Guatemala'!$A$3:$A$15)</f>
        <v>19</v>
      </c>
      <c r="J121" s="75">
        <f t="shared" si="24"/>
        <v>0</v>
      </c>
      <c r="L121" s="52"/>
    </row>
    <row r="122" spans="2:15" s="43" customFormat="1" ht="15.75" outlineLevel="1" thickBot="1">
      <c r="B122" s="267" t="s">
        <v>1036</v>
      </c>
      <c r="C122" s="47" t="s">
        <v>1194</v>
      </c>
      <c r="D122" s="109">
        <v>17291.11</v>
      </c>
      <c r="E122" s="115">
        <f t="shared" si="23"/>
        <v>2317.8431635388743</v>
      </c>
      <c r="F122" s="74">
        <v>45958</v>
      </c>
      <c r="G122" s="43" t="s">
        <v>135</v>
      </c>
      <c r="H122" s="43">
        <f>IF(OR(G122="Sin pagar",G122="Pagar"),NETWORKDAYS($E$4,F122,'Festivos Guatemala'!$A$3:$A$15),0)</f>
        <v>0</v>
      </c>
      <c r="I122" s="43">
        <f>NETWORKDAYS($E$4,F122,'Festivos Guatemala'!$A$3:$A$15)</f>
        <v>19</v>
      </c>
      <c r="J122" s="75">
        <f t="shared" ref="J122" si="26">H122</f>
        <v>0</v>
      </c>
      <c r="L122" s="52"/>
    </row>
    <row r="123" spans="2:15" s="43" customFormat="1" ht="16.5" thickBot="1">
      <c r="B123" s="46"/>
      <c r="C123" s="332" t="s">
        <v>155</v>
      </c>
      <c r="D123" s="333">
        <f>SUBTOTAL(9,D124:D124)</f>
        <v>16753.330000000002</v>
      </c>
      <c r="E123" s="334">
        <f>SUBTOTAL(9,E124:E124)</f>
        <v>2245.7546916890083</v>
      </c>
      <c r="F123" s="74"/>
      <c r="J123" s="76"/>
    </row>
    <row r="124" spans="2:15" s="43" customFormat="1" ht="15.75" outlineLevel="1" thickBot="1">
      <c r="B124" s="168">
        <v>5739456</v>
      </c>
      <c r="C124" s="78" t="s">
        <v>523</v>
      </c>
      <c r="D124" s="104">
        <v>16753.330000000002</v>
      </c>
      <c r="E124" s="115">
        <f>D124/$D$6</f>
        <v>2245.7546916890083</v>
      </c>
      <c r="F124" s="80">
        <v>45951</v>
      </c>
      <c r="G124" s="43" t="s">
        <v>135</v>
      </c>
      <c r="H124" s="43">
        <f>IF(OR(G124="Sin pagar",G124="Pagar"),NETWORKDAYS($E$4,F124,'Festivos Guatemala'!$A$3:$A$15),0)</f>
        <v>0</v>
      </c>
      <c r="I124" s="43">
        <f>NETWORKDAYS($E$4,F124,'Festivos Guatemala'!$A$3:$A$15)</f>
        <v>14</v>
      </c>
      <c r="J124" s="75">
        <f>H124</f>
        <v>0</v>
      </c>
      <c r="K124" s="52"/>
      <c r="L124" s="52"/>
    </row>
    <row r="125" spans="2:15" s="43" customFormat="1" ht="16.5" thickBot="1">
      <c r="B125" s="46"/>
      <c r="C125" s="332" t="s">
        <v>144</v>
      </c>
      <c r="D125" s="333">
        <f>SUBTOTAL(9,D126:D127)</f>
        <v>3209.4300000000003</v>
      </c>
      <c r="E125" s="334">
        <f>SUBTOTAL(9,E126:E127)</f>
        <v>430.21849865951742</v>
      </c>
      <c r="J125" s="76">
        <f t="shared" ref="J125" si="27">H125</f>
        <v>0</v>
      </c>
    </row>
    <row r="126" spans="2:15" s="43" customFormat="1" outlineLevel="1">
      <c r="B126" s="168">
        <v>48777841342</v>
      </c>
      <c r="C126" s="47" t="s">
        <v>522</v>
      </c>
      <c r="D126" s="104">
        <v>1980.51</v>
      </c>
      <c r="E126" s="115">
        <f>D126/$D$6</f>
        <v>265.48391420911526</v>
      </c>
      <c r="F126" s="80">
        <v>45944</v>
      </c>
      <c r="G126" s="43" t="s">
        <v>135</v>
      </c>
      <c r="H126" s="43">
        <f>IF(OR(G126="Sin pagar",G126="Pagar"),NETWORKDAYS($E$4,F126,'Festivos Guatemala'!$A$3:$A$15),0)</f>
        <v>0</v>
      </c>
      <c r="I126" s="43">
        <f>NETWORKDAYS($E$4,F126,'Festivos Guatemala'!$A$3:$A$15)</f>
        <v>10</v>
      </c>
      <c r="J126" s="75">
        <f>H126</f>
        <v>0</v>
      </c>
      <c r="K126" s="48"/>
      <c r="L126" s="57"/>
    </row>
    <row r="127" spans="2:15" s="43" customFormat="1" ht="15.75" outlineLevel="1" thickBot="1">
      <c r="B127" s="168">
        <v>48904063402</v>
      </c>
      <c r="C127" s="47" t="s">
        <v>1209</v>
      </c>
      <c r="D127" s="104">
        <v>1228.92</v>
      </c>
      <c r="E127" s="115">
        <f>D127/$D$6</f>
        <v>164.73458445040217</v>
      </c>
      <c r="F127" s="80">
        <v>45959</v>
      </c>
      <c r="G127" s="43" t="s">
        <v>135</v>
      </c>
      <c r="H127" s="43">
        <f>IF(OR(G127="Sin pagar",G127="Pagar"),NETWORKDAYS($E$4,F127,'Festivos Guatemala'!$A$3:$A$15),0)</f>
        <v>0</v>
      </c>
      <c r="I127" s="43">
        <f>NETWORKDAYS($E$4,F127,'Festivos Guatemala'!$A$3:$A$15)</f>
        <v>20</v>
      </c>
      <c r="J127" s="75">
        <f>H127</f>
        <v>0</v>
      </c>
      <c r="K127" s="48"/>
      <c r="L127" s="57"/>
    </row>
    <row r="128" spans="2:15" s="43" customFormat="1" ht="16.5" thickBot="1">
      <c r="B128" s="46"/>
      <c r="C128" s="332" t="s">
        <v>173</v>
      </c>
      <c r="D128" s="333">
        <f>SUBTOTAL(9,D129:D131)</f>
        <v>42122.777199999997</v>
      </c>
      <c r="E128" s="334">
        <f>SUBTOTAL(9,E129:E131)</f>
        <v>5646.4848793565679</v>
      </c>
    </row>
    <row r="129" spans="1:16" s="43" customFormat="1" outlineLevel="1">
      <c r="B129" s="46"/>
      <c r="C129" s="47" t="s">
        <v>1204</v>
      </c>
      <c r="D129" s="104">
        <f>E129*$D$6</f>
        <v>33091.217199999999</v>
      </c>
      <c r="E129" s="113">
        <v>4435.82</v>
      </c>
      <c r="F129" s="74">
        <v>45958</v>
      </c>
      <c r="G129" s="43" t="s">
        <v>135</v>
      </c>
      <c r="H129" s="43">
        <f>IF(OR(G129="Sin pagar",G129="Pagar"),NETWORKDAYS($E$4,F129,'Festivos Guatemala'!$A$3:$A$15),0)</f>
        <v>0</v>
      </c>
      <c r="I129" s="43">
        <f>NETWORKDAYS($E$4,F129,'Festivos Guatemala'!$A$3:$A$15)</f>
        <v>19</v>
      </c>
      <c r="J129" s="75">
        <f t="shared" ref="J129:J130" si="28">H129</f>
        <v>0</v>
      </c>
      <c r="K129" s="52"/>
      <c r="L129" s="54"/>
    </row>
    <row r="130" spans="1:16" s="43" customFormat="1" outlineLevel="1">
      <c r="B130" s="46"/>
      <c r="C130" s="47" t="s">
        <v>1201</v>
      </c>
      <c r="D130" s="104">
        <v>35</v>
      </c>
      <c r="E130" s="113">
        <f>D130/$D$6</f>
        <v>4.6916890080428955</v>
      </c>
      <c r="F130" s="74">
        <v>45958</v>
      </c>
      <c r="G130" s="43" t="s">
        <v>135</v>
      </c>
      <c r="H130" s="43">
        <f>IF(OR(G130="Sin pagar",G130="Pagar"),NETWORKDAYS($E$4,F130,'Festivos Guatemala'!$A$3:$A$15),0)</f>
        <v>0</v>
      </c>
      <c r="I130" s="43">
        <f>NETWORKDAYS($E$4,F130,'Festivos Guatemala'!$A$3:$A$15)</f>
        <v>19</v>
      </c>
      <c r="J130" s="75">
        <f t="shared" si="28"/>
        <v>0</v>
      </c>
      <c r="K130" s="52"/>
      <c r="L130" s="54"/>
    </row>
    <row r="131" spans="1:16" s="43" customFormat="1" ht="15.75" outlineLevel="1" thickBot="1">
      <c r="B131" s="46"/>
      <c r="C131" s="47" t="s">
        <v>1202</v>
      </c>
      <c r="D131" s="104">
        <v>8996.56</v>
      </c>
      <c r="E131" s="113">
        <f>D131/$D$6</f>
        <v>1205.9731903485253</v>
      </c>
      <c r="F131" s="74">
        <v>45958</v>
      </c>
      <c r="G131" s="43" t="s">
        <v>135</v>
      </c>
      <c r="H131" s="43">
        <f>IF(OR(G131="Sin pagar",G131="Pagar"),NETWORKDAYS($E$4,F131,'Festivos Guatemala'!$A$3:$A$15),0)</f>
        <v>0</v>
      </c>
      <c r="I131" s="43">
        <f>NETWORKDAYS($E$4,F131,'Festivos Guatemala'!$A$3:$A$15)</f>
        <v>19</v>
      </c>
      <c r="J131" s="75">
        <f t="shared" ref="J131" si="29">H131</f>
        <v>0</v>
      </c>
      <c r="K131" s="52"/>
      <c r="L131" s="54"/>
    </row>
    <row r="132" spans="1:16" s="43" customFormat="1" ht="16.5" thickBot="1">
      <c r="C132" s="332" t="s">
        <v>146</v>
      </c>
      <c r="D132" s="333">
        <f>SUBTOTAL(9,D133:D135)</f>
        <v>5265.22</v>
      </c>
      <c r="E132" s="334">
        <f>SUBTOTAL(9,E133:E135)</f>
        <v>577.01640750670254</v>
      </c>
      <c r="F132" s="43" t="s">
        <v>725</v>
      </c>
      <c r="K132" s="49"/>
      <c r="L132" s="49"/>
      <c r="O132" s="49"/>
      <c r="P132" s="49"/>
    </row>
    <row r="133" spans="1:16" s="43" customFormat="1" ht="14.25" customHeight="1" outlineLevel="1">
      <c r="B133" s="186"/>
      <c r="C133" s="47" t="s">
        <v>1246</v>
      </c>
      <c r="D133" s="104">
        <v>433.25</v>
      </c>
      <c r="E133" s="113">
        <f>D133/$D$6</f>
        <v>58.076407506702417</v>
      </c>
      <c r="F133" s="74">
        <v>45959</v>
      </c>
      <c r="G133" s="43" t="s">
        <v>135</v>
      </c>
      <c r="H133" s="43">
        <f>IF(OR(G133="Sin pagar",G133="Pagar"),NETWORKDAYS($E$4,F133,'Festivos Guatemala'!$A$3:$A$15),0)</f>
        <v>0</v>
      </c>
      <c r="I133" s="43">
        <f>NETWORKDAYS($E$4,F133,'Festivos Guatemala'!$A$3:$A$15)</f>
        <v>20</v>
      </c>
      <c r="J133" s="75">
        <f t="shared" ref="J133:J134" si="30">H133</f>
        <v>0</v>
      </c>
      <c r="K133" s="49"/>
      <c r="L133" s="49"/>
      <c r="O133" s="49"/>
      <c r="P133" s="49"/>
    </row>
    <row r="134" spans="1:16" s="43" customFormat="1" outlineLevel="1">
      <c r="B134" s="186"/>
      <c r="C134" s="47" t="s">
        <v>1244</v>
      </c>
      <c r="D134" s="104">
        <v>1151.99</v>
      </c>
      <c r="E134" s="113">
        <v>259.47000000000003</v>
      </c>
      <c r="F134" s="74">
        <v>45959</v>
      </c>
      <c r="G134" s="43" t="s">
        <v>135</v>
      </c>
      <c r="H134" s="43">
        <f>IF(OR(G134="Sin pagar",G134="Pagar"),NETWORKDAYS($E$4,F134,'Festivos Guatemala'!$A$3:$A$15),0)</f>
        <v>0</v>
      </c>
      <c r="I134" s="43">
        <f>NETWORKDAYS($E$4,F134,'Festivos Guatemala'!$A$3:$A$15)</f>
        <v>20</v>
      </c>
      <c r="J134" s="75">
        <f t="shared" si="30"/>
        <v>0</v>
      </c>
    </row>
    <row r="135" spans="1:16" s="43" customFormat="1" ht="15.75" outlineLevel="1" thickBot="1">
      <c r="B135" s="186"/>
      <c r="C135" s="47" t="s">
        <v>1245</v>
      </c>
      <c r="D135" s="104">
        <v>3679.98</v>
      </c>
      <c r="E135" s="113">
        <v>259.47000000000003</v>
      </c>
      <c r="F135" s="74">
        <v>45959</v>
      </c>
      <c r="G135" s="43" t="s">
        <v>135</v>
      </c>
      <c r="H135" s="43">
        <f>IF(OR(G135="Sin pagar",G135="Pagar"),NETWORKDAYS($E$4,F135,'Festivos Guatemala'!$A$3:$A$15),0)</f>
        <v>0</v>
      </c>
      <c r="I135" s="43">
        <f>NETWORKDAYS($E$4,F135,'Festivos Guatemala'!$A$3:$A$15)</f>
        <v>20</v>
      </c>
      <c r="J135" s="75">
        <f t="shared" ref="J135" si="31">H135</f>
        <v>0</v>
      </c>
    </row>
    <row r="136" spans="1:16" s="43" customFormat="1" ht="16.5" thickBot="1">
      <c r="B136" s="46"/>
      <c r="C136" s="332" t="s">
        <v>149</v>
      </c>
      <c r="D136" s="333">
        <f>SUBTOTAL(9,D137:D137)</f>
        <v>283.35000000000002</v>
      </c>
      <c r="E136" s="334">
        <f>SUBTOTAL(9,E137:E137)</f>
        <v>2113.7910000000002</v>
      </c>
      <c r="J136" s="76"/>
    </row>
    <row r="137" spans="1:16" s="43" customFormat="1" ht="15.75" outlineLevel="1" thickBot="1">
      <c r="B137" s="311" t="s">
        <v>145</v>
      </c>
      <c r="C137" s="47" t="s">
        <v>1146</v>
      </c>
      <c r="D137" s="109">
        <v>283.35000000000002</v>
      </c>
      <c r="E137" s="113">
        <f>D137*D6</f>
        <v>2113.7910000000002</v>
      </c>
      <c r="F137" s="80">
        <v>45952</v>
      </c>
      <c r="G137" s="43" t="s">
        <v>135</v>
      </c>
      <c r="H137" s="43">
        <f>IF(OR(G137="Sin pagar",G137="Pagar"),NETWORKDAYS($E$4,F137,'Festivos Guatemala'!$A$3:$A$15),0)</f>
        <v>0</v>
      </c>
      <c r="I137" s="43">
        <f>NETWORKDAYS($E$4,F137,'Festivos Guatemala'!$A$3:$A$15)</f>
        <v>15</v>
      </c>
      <c r="J137" s="75">
        <f>H137</f>
        <v>0</v>
      </c>
      <c r="K137" s="52"/>
      <c r="L137" s="54"/>
    </row>
    <row r="138" spans="1:16" s="43" customFormat="1" ht="14.25" customHeight="1">
      <c r="B138" s="46"/>
      <c r="C138" s="88" t="s">
        <v>150</v>
      </c>
      <c r="D138" s="120">
        <f>SUBTOTAL(9,D35:D137)</f>
        <v>1068399.1064000002</v>
      </c>
      <c r="E138" s="116">
        <f>SUBTOTAL(9,E35:E137)</f>
        <v>145164.06965951744</v>
      </c>
      <c r="K138" s="39"/>
      <c r="L138" s="39"/>
      <c r="N138" s="39"/>
      <c r="O138" s="39"/>
      <c r="P138" s="39"/>
    </row>
    <row r="139" spans="1:16" ht="15.75">
      <c r="A139" s="43"/>
      <c r="E139" s="117"/>
      <c r="F139" s="89"/>
      <c r="G139" s="89"/>
      <c r="H139" s="89"/>
      <c r="I139" s="89"/>
      <c r="J139" s="89"/>
    </row>
    <row r="140" spans="1:16" ht="15.75">
      <c r="A140" s="43"/>
      <c r="C140" s="90" t="s">
        <v>151</v>
      </c>
      <c r="D140" s="121">
        <f>D30-D138</f>
        <v>475866.75929999934</v>
      </c>
      <c r="E140" s="118">
        <f>E30-E138</f>
        <v>59244.47742400071</v>
      </c>
      <c r="F140" s="226"/>
      <c r="G140" s="227"/>
      <c r="J140" s="227"/>
    </row>
    <row r="141" spans="1:16" s="93" customFormat="1" ht="15.75">
      <c r="A141" s="43"/>
      <c r="B141" s="94"/>
      <c r="C141" s="90" t="s">
        <v>152</v>
      </c>
      <c r="D141" s="95">
        <f>IF($D$30=0,0,D140/$D$30)</f>
        <v>0.30815079829812458</v>
      </c>
      <c r="E141" s="95">
        <f>IF($E$30=0,0,E140/$E$30)</f>
        <v>0.28983366042807562</v>
      </c>
      <c r="F141" s="96"/>
      <c r="G141" s="92"/>
      <c r="J141" s="97"/>
      <c r="K141" s="39"/>
      <c r="L141" s="39"/>
      <c r="N141" s="39"/>
      <c r="O141" s="39"/>
      <c r="P141" s="39"/>
    </row>
    <row r="142" spans="1:16" ht="15.75" thickBot="1">
      <c r="A142" s="43"/>
      <c r="F142" s="96"/>
      <c r="G142" s="92"/>
    </row>
    <row r="143" spans="1:16" ht="15.75" thickBot="1">
      <c r="A143" s="43"/>
      <c r="C143" s="135" t="s">
        <v>184</v>
      </c>
      <c r="D143" s="136" t="s">
        <v>185</v>
      </c>
      <c r="E143" s="137" t="s">
        <v>191</v>
      </c>
      <c r="F143" s="137" t="s">
        <v>186</v>
      </c>
      <c r="G143" s="92"/>
    </row>
    <row r="144" spans="1:16">
      <c r="A144" s="43"/>
      <c r="C144" s="307">
        <v>45931</v>
      </c>
      <c r="D144" s="308">
        <v>45935</v>
      </c>
      <c r="E144" s="309">
        <f>SUMIFS($D$35:$D$141,$F$35:$F$141,"&gt;="&amp;C144,$F$35:$F$141,"&lt;="&amp;D144,$G$35:$G$141,$D$159)</f>
        <v>0</v>
      </c>
      <c r="F144" s="310">
        <f>SUMIFS($E$35:$E$141,$F$35:$F$141,"&gt;="&amp;C144,$F$35:$F$141,"&lt;="&amp;D144,$G$35:$G$141,$D$159)</f>
        <v>0</v>
      </c>
      <c r="G144" s="92"/>
    </row>
    <row r="145" spans="1:10">
      <c r="A145" s="43"/>
      <c r="C145" s="191">
        <v>45936</v>
      </c>
      <c r="D145" s="260">
        <v>45942</v>
      </c>
      <c r="E145" s="193">
        <f>SUMIFS($D$35:$D$141,$F$35:$F$141,"&gt;="&amp;C145,$F$35:$F$141,"&lt;="&amp;D145,$G$35:$G$141,$D$159)</f>
        <v>0</v>
      </c>
      <c r="F145" s="194">
        <f>SUMIFS($E$35:$E$141,$F$35:$F$141,"&gt;="&amp;C145,$F$35:$F$141,"&lt;="&amp;D145,$G$35:$G$141,$D$159)</f>
        <v>0</v>
      </c>
      <c r="G145" s="92" t="s">
        <v>390</v>
      </c>
    </row>
    <row r="146" spans="1:10">
      <c r="A146" s="43"/>
      <c r="C146" s="191">
        <v>45943</v>
      </c>
      <c r="D146" s="260">
        <v>45950</v>
      </c>
      <c r="E146" s="193">
        <f>SUMIFS($D$35:$D$141,$F$35:$F$141,"&gt;="&amp;C146,$F$35:$F$141,"&lt;="&amp;D146,$G$35:$G$141,$D$159)</f>
        <v>0</v>
      </c>
      <c r="F146" s="194">
        <f>SUMIFS($E$35:$E$141,$F$35:$F$141,"&gt;="&amp;C146,$F$35:$F$141,"&lt;="&amp;D146,$G$35:$G$141,$D$159)</f>
        <v>0</v>
      </c>
      <c r="G146" s="92" t="s">
        <v>993</v>
      </c>
    </row>
    <row r="147" spans="1:10">
      <c r="A147" s="43"/>
      <c r="C147" s="191">
        <v>45951</v>
      </c>
      <c r="D147" s="260">
        <v>45956</v>
      </c>
      <c r="E147" s="193">
        <f>SUMIFS($D$35:$D$141,$F$35:$F$141,"&gt;="&amp;C147,$F$35:$F$141,"&lt;="&amp;D147,$G$35:$G$141,$D$159)</f>
        <v>0</v>
      </c>
      <c r="F147" s="194">
        <f>SUMIFS($E$35:$E$141,$F$35:$F$141,"&gt;="&amp;C147,$F$35:$F$141,"&lt;="&amp;D147,$G$35:$G$141,$D$159)</f>
        <v>0</v>
      </c>
      <c r="G147" s="92"/>
    </row>
    <row r="148" spans="1:10">
      <c r="A148" s="43"/>
      <c r="C148" s="191">
        <v>45957</v>
      </c>
      <c r="D148" s="260">
        <v>45961</v>
      </c>
      <c r="E148" s="193">
        <f>SUMIFS($D$35:$D$141,$F$35:$F$141,"&gt;="&amp;C148,$F$35:$F$141,"&lt;="&amp;D148,$G$35:$G$141,$D$159)</f>
        <v>0</v>
      </c>
      <c r="F148" s="194">
        <f>SUMIFS($E$35:$E$141,$F$35:$F$141,"&gt;="&amp;C148,$F$35:$F$141,"&lt;="&amp;D148,$G$35:$G$141,$D$159)</f>
        <v>0</v>
      </c>
      <c r="G148" s="92" t="s">
        <v>991</v>
      </c>
    </row>
    <row r="149" spans="1:10" ht="15.75">
      <c r="A149" s="43"/>
      <c r="C149" s="433" t="s">
        <v>187</v>
      </c>
      <c r="D149" s="433"/>
      <c r="E149" s="148">
        <f>SUM(E144:E148)</f>
        <v>0</v>
      </c>
      <c r="F149" s="144">
        <f>SUM(F144:F148)</f>
        <v>0</v>
      </c>
      <c r="G149" s="92"/>
    </row>
    <row r="150" spans="1:10">
      <c r="A150" s="43"/>
      <c r="F150" s="96"/>
      <c r="G150" s="92"/>
    </row>
    <row r="151" spans="1:10">
      <c r="A151" s="43"/>
      <c r="F151" s="96"/>
      <c r="G151" s="92"/>
    </row>
    <row r="152" spans="1:10">
      <c r="A152" s="43"/>
      <c r="C152" s="41"/>
      <c r="D152" s="41" t="s">
        <v>380</v>
      </c>
      <c r="E152" s="166">
        <f>'Caja QTQ'!$H$822+('Caja USD'!$H$273*$D$6)</f>
        <v>475866.75929999945</v>
      </c>
      <c r="F152" s="153">
        <f>('Caja QTQ'!H759/$D$6)+'Caja USD'!$H$273</f>
        <v>64773.483820375288</v>
      </c>
      <c r="G152" s="92"/>
    </row>
    <row r="153" spans="1:10">
      <c r="A153" s="43"/>
      <c r="C153" s="41"/>
      <c r="D153" s="200" t="s">
        <v>1183</v>
      </c>
      <c r="E153" s="166">
        <f>SUM(E144:E148)</f>
        <v>0</v>
      </c>
      <c r="F153" s="153">
        <f>SUM(F144:F148)</f>
        <v>0</v>
      </c>
      <c r="G153" s="92"/>
    </row>
    <row r="154" spans="1:10">
      <c r="A154" s="43"/>
      <c r="C154" s="41"/>
      <c r="D154" s="146" t="s">
        <v>969</v>
      </c>
      <c r="E154" s="201">
        <f>E152-E153</f>
        <v>475866.75929999945</v>
      </c>
      <c r="F154" s="173">
        <f>F152-F153</f>
        <v>64773.483820375288</v>
      </c>
      <c r="G154" s="92"/>
    </row>
    <row r="155" spans="1:10">
      <c r="A155" s="43"/>
      <c r="C155" s="41"/>
      <c r="E155" s="166"/>
      <c r="F155" s="153"/>
      <c r="G155" s="92"/>
    </row>
    <row r="156" spans="1:10">
      <c r="A156" s="43"/>
      <c r="D156" s="146"/>
      <c r="E156" s="298"/>
      <c r="F156" s="299"/>
      <c r="G156" s="92"/>
      <c r="J156" s="167"/>
    </row>
    <row r="157" spans="1:10">
      <c r="A157" s="43"/>
      <c r="D157" s="146"/>
      <c r="E157" s="298"/>
      <c r="F157" s="299"/>
      <c r="G157" s="92"/>
      <c r="J157" s="167"/>
    </row>
    <row r="158" spans="1:10">
      <c r="D158" s="43" t="s">
        <v>135</v>
      </c>
      <c r="E158" s="15">
        <f>SUMIFS($D$35:$D$151,$F$35:$F$151,"&gt;="&amp;C144,$F$35:$F$151,"&lt;="&amp;D148,$G$35:$G$151,$D$158)</f>
        <v>1068399.1064000002</v>
      </c>
      <c r="F158" s="153">
        <f>SUMIFS($E$35:$E$151,$F$35:$F$151,"&gt;="&amp;C144,$F$35:$F$151,"&lt;="&amp;D148,$G$35:$G$151,$D$158)</f>
        <v>145164.06965951744</v>
      </c>
    </row>
    <row r="159" spans="1:10">
      <c r="D159" s="43" t="s">
        <v>143</v>
      </c>
      <c r="E159" s="15">
        <f>SUMIFS($D$35:$D$151,$F$35:$F$151,"&gt;="&amp;C144,$F$35:$F$151,"&lt;="&amp;D148,$G$35:$G$151,$D$159)</f>
        <v>0</v>
      </c>
      <c r="F159" s="153">
        <f>SUMIFS($E$35:$E$151,$F$35:$F$151,"&gt;="&amp;C144,$F$35:$F$151,"&lt;="&amp;D148,$G$35:$G$151,$D$159)</f>
        <v>0</v>
      </c>
    </row>
    <row r="160" spans="1:10">
      <c r="D160" s="146" t="s">
        <v>189</v>
      </c>
      <c r="E160" s="152">
        <f>SUM(E158:E159)</f>
        <v>1068399.1064000002</v>
      </c>
      <c r="F160" s="145">
        <f>SUM(F158:F159)</f>
        <v>145164.06965951744</v>
      </c>
    </row>
    <row r="161" spans="4:6">
      <c r="D161" s="146" t="s">
        <v>190</v>
      </c>
      <c r="E161" s="152">
        <f>E160-D138</f>
        <v>0</v>
      </c>
      <c r="F161" s="145">
        <f>F160-E138</f>
        <v>0</v>
      </c>
    </row>
    <row r="164" spans="4:6" hidden="1">
      <c r="D164" s="41" t="s">
        <v>339</v>
      </c>
      <c r="E164" s="166">
        <f>'Caja QTQ'!H167+('Caja USD'!H70*7.6)</f>
        <v>190098.56839999984</v>
      </c>
    </row>
    <row r="165" spans="4:6" hidden="1">
      <c r="D165" s="41" t="s">
        <v>85</v>
      </c>
      <c r="E165" s="166">
        <f>E163-E164</f>
        <v>-190098.56839999984</v>
      </c>
      <c r="F165" s="185">
        <f>E165/7.88</f>
        <v>-24124.183807106579</v>
      </c>
    </row>
    <row r="166" spans="4:6">
      <c r="D166" s="41" t="s">
        <v>373</v>
      </c>
      <c r="E166" s="166">
        <f>D140</f>
        <v>475866.75929999934</v>
      </c>
      <c r="F166" s="167"/>
    </row>
    <row r="167" spans="4:6">
      <c r="D167" s="41" t="s">
        <v>339</v>
      </c>
      <c r="E167" s="166">
        <f>'Caja QTQ'!$H$822+('Caja USD'!$H$273*$D$6)</f>
        <v>475866.75929999945</v>
      </c>
      <c r="F167" s="167"/>
    </row>
    <row r="168" spans="4:6">
      <c r="D168" s="41" t="s">
        <v>444</v>
      </c>
      <c r="E168" s="166">
        <f>$E$166-$E$167</f>
        <v>0</v>
      </c>
      <c r="F168" s="167"/>
    </row>
    <row r="169" spans="4:6">
      <c r="D169" s="41" t="s">
        <v>674</v>
      </c>
      <c r="E169" s="167">
        <f>E168/$D$6</f>
        <v>0</v>
      </c>
      <c r="F169" s="153"/>
    </row>
    <row r="170" spans="4:6">
      <c r="E170" s="166"/>
      <c r="F170" s="153"/>
    </row>
    <row r="171" spans="4:6">
      <c r="D171" s="109"/>
      <c r="E171" s="264"/>
      <c r="F171" s="227"/>
    </row>
    <row r="172" spans="4:6">
      <c r="D172" s="109"/>
      <c r="E172" s="264"/>
      <c r="F172" s="227"/>
    </row>
    <row r="173" spans="4:6">
      <c r="D173" s="109"/>
      <c r="E173" s="264"/>
      <c r="F173" s="227"/>
    </row>
    <row r="174" spans="4:6">
      <c r="D174" s="109"/>
      <c r="E174" s="264"/>
      <c r="F174" s="227"/>
    </row>
    <row r="175" spans="4:6">
      <c r="D175" s="109"/>
      <c r="E175" s="264"/>
      <c r="F175" s="227"/>
    </row>
    <row r="176" spans="4:6">
      <c r="D176" s="109"/>
      <c r="E176" s="264"/>
      <c r="F176" s="227"/>
    </row>
    <row r="177" spans="4:6">
      <c r="D177" s="109"/>
      <c r="E177" s="264"/>
      <c r="F177" s="227"/>
    </row>
    <row r="178" spans="4:6">
      <c r="D178" s="109"/>
      <c r="E178" s="264"/>
      <c r="F178" s="227"/>
    </row>
    <row r="179" spans="4:6">
      <c r="D179" s="109"/>
      <c r="E179" s="264"/>
      <c r="F179" s="227"/>
    </row>
    <row r="180" spans="4:6">
      <c r="D180" s="109"/>
      <c r="E180" s="264"/>
      <c r="F180" s="227"/>
    </row>
    <row r="181" spans="4:6">
      <c r="D181" s="109"/>
      <c r="E181" s="264"/>
      <c r="F181" s="227"/>
    </row>
    <row r="182" spans="4:6">
      <c r="D182" s="109"/>
      <c r="E182" s="264"/>
      <c r="F182" s="227"/>
    </row>
    <row r="183" spans="4:6">
      <c r="D183" s="109"/>
      <c r="E183" s="264"/>
      <c r="F183" s="227"/>
    </row>
    <row r="184" spans="4:6">
      <c r="D184" s="109"/>
      <c r="E184" s="264"/>
      <c r="F184" s="227"/>
    </row>
    <row r="185" spans="4:6">
      <c r="D185" s="109"/>
      <c r="E185" s="264"/>
      <c r="F185" s="227"/>
    </row>
    <row r="186" spans="4:6">
      <c r="D186" s="109"/>
      <c r="E186" s="264"/>
      <c r="F186" s="227"/>
    </row>
    <row r="187" spans="4:6">
      <c r="D187" s="109"/>
      <c r="E187" s="264"/>
      <c r="F187" s="227"/>
    </row>
  </sheetData>
  <protectedRanges>
    <protectedRange sqref="F30:G30 D142:E142 D77:E77 F154 D150:E157 C152:C155 E167" name="Presupuestos"/>
    <protectedRange sqref="D34:E34 D8:E8" name="Presupuestos_1"/>
    <protectedRange sqref="D59:E64" name="Presupuestos_13_1"/>
    <protectedRange sqref="D75 D66:E73 D133 D134:E135" name="Presupuestos_14"/>
    <protectedRange sqref="D173 D177 D175 E104 E114:E122 E81:E102" name="Presupuestos_2_1_1_1"/>
    <protectedRange sqref="D180 D112:E112 D110:E110 D108:E108 D137:E137 D105:E106 D129:E131 E133" name="Presupuestos_6_1_1_1"/>
    <protectedRange sqref="D171:D172 D174 D176 D178:D179 D181:D186 D104 D114:D122 D81:D102" name="Presupuestos_5_2_1"/>
    <protectedRange sqref="E75" name="Presupuestos_13_1_1"/>
    <protectedRange sqref="E79" name="Presupuestos_7_1_2"/>
    <protectedRange sqref="D79" name="Presupuestos_7_1_1_1"/>
    <protectedRange sqref="D10:E12 F12" name="Presupuestos_2"/>
  </protectedRanges>
  <autoFilter ref="B34:J137" xr:uid="{00000000-0009-0000-0000-000002000000}"/>
  <mergeCells count="4">
    <mergeCell ref="D7:E7"/>
    <mergeCell ref="B33:C33"/>
    <mergeCell ref="D33:E33"/>
    <mergeCell ref="C149:D149"/>
  </mergeCells>
  <conditionalFormatting sqref="J36 J38:J57 J59:J64 J66:J73 J75 J79 J81:J112 J114:J122 J124 J126:J131 J133:J135">
    <cfRule type="cellIs" dxfId="76" priority="27" operator="lessThan">
      <formula>0</formula>
    </cfRule>
    <cfRule type="cellIs" dxfId="75" priority="29" operator="between">
      <formula>1</formula>
      <formula>5</formula>
    </cfRule>
    <cfRule type="cellIs" dxfId="74" priority="30" operator="between">
      <formula>16</formula>
      <formula>60</formula>
    </cfRule>
  </conditionalFormatting>
  <conditionalFormatting sqref="J77 J137">
    <cfRule type="cellIs" dxfId="73" priority="23" operator="lessThan">
      <formula>0</formula>
    </cfRule>
    <cfRule type="cellIs" dxfId="72" priority="25" operator="between">
      <formula>1</formula>
      <formula>5</formula>
    </cfRule>
    <cfRule type="cellIs" dxfId="71" priority="26" operator="between">
      <formula>16</formula>
      <formula>60</formula>
    </cfRule>
  </conditionalFormatting>
  <conditionalFormatting sqref="J81:J112 J36 J38:J57 J59:J64 J66:J73 J75 J79 J114:J122 J124 J126:J131 J133:J135">
    <cfRule type="cellIs" dxfId="70" priority="28" operator="between">
      <formula>6</formula>
      <formula>15</formula>
    </cfRule>
  </conditionalFormatting>
  <conditionalFormatting sqref="J108 J110">
    <cfRule type="cellIs" dxfId="69" priority="20" operator="between">
      <formula>6</formula>
      <formula>15</formula>
    </cfRule>
    <cfRule type="cellIs" dxfId="68" priority="21" operator="between">
      <formula>1</formula>
      <formula>5</formula>
    </cfRule>
    <cfRule type="cellIs" dxfId="67" priority="22" operator="between">
      <formula>16</formula>
      <formula>60</formula>
    </cfRule>
  </conditionalFormatting>
  <conditionalFormatting sqref="J137 J77">
    <cfRule type="cellIs" dxfId="66" priority="24" operator="between">
      <formula>6</formula>
      <formula>15</formula>
    </cfRule>
  </conditionalFormatting>
  <conditionalFormatting sqref="J137">
    <cfRule type="cellIs" dxfId="65" priority="2" operator="between">
      <formula>6</formula>
      <formula>15</formula>
    </cfRule>
    <cfRule type="cellIs" dxfId="64" priority="3" operator="between">
      <formula>1</formula>
      <formula>5</formula>
    </cfRule>
    <cfRule type="cellIs" dxfId="63" priority="4" operator="between">
      <formula>16</formula>
      <formula>60</formula>
    </cfRule>
  </conditionalFormatting>
  <dataValidations disablePrompts="1" count="3">
    <dataValidation type="list" allowBlank="1" showInputMessage="1" showErrorMessage="1" sqref="D33 D7" xr:uid="{5F6155BA-46C2-496B-B750-F3BD664BA3D2}">
      <formula1>"ENERO,FEBRERO,MARZO,ABRIL,MAYO,JUNIO,JULIO,AGOSTO,SEPTIEMBRE,OCTUBRE,NOVIEMBRE,DICIEMBRE"</formula1>
    </dataValidation>
    <dataValidation type="list" allowBlank="1" showInputMessage="1" showErrorMessage="1" sqref="D158:D159 G77 G35:G36 G79 G75 G38:G57 G66:G73 G114:G124 G59:G64 G133:G137 G126:G131 G81:G112" xr:uid="{FD797127-11C1-4290-9B61-EB6FD104D2D9}">
      <formula1>"Cancelado,Pagar,Sin Pagar"</formula1>
    </dataValidation>
    <dataValidation type="list" allowBlank="1" showInputMessage="1" showErrorMessage="1" sqref="B14:B29" xr:uid="{22C47049-AFF5-44B0-BDAC-DBFD9D19E25F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136:J138 J89:J131 J133:J134 J36:J87" unlockedFormula="1"/>
  </ignoredError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0979-B086-44B9-99BF-4C1F2A393680}">
  <dimension ref="A1:S175"/>
  <sheetViews>
    <sheetView showGridLines="0" topLeftCell="A147" zoomScaleNormal="100" workbookViewId="0">
      <selection activeCell="D100" sqref="D100"/>
    </sheetView>
  </sheetViews>
  <sheetFormatPr baseColWidth="10" defaultColWidth="11.42578125" defaultRowHeight="15" outlineLevelRow="1"/>
  <cols>
    <col min="1" max="1" width="2.140625" style="39" customWidth="1"/>
    <col min="2" max="2" width="14.42578125" style="40" bestFit="1" customWidth="1"/>
    <col min="3" max="3" width="56.5703125" style="39" customWidth="1"/>
    <col min="4" max="4" width="27.7109375" style="41" bestFit="1" customWidth="1"/>
    <col min="5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10" hidden="1">
      <c r="D1" s="41">
        <v>42400</v>
      </c>
    </row>
    <row r="2" spans="2:10">
      <c r="D2" s="42"/>
      <c r="E2" s="42"/>
      <c r="I2" s="43"/>
    </row>
    <row r="3" spans="2:10">
      <c r="E3" s="15"/>
      <c r="I3" s="43"/>
    </row>
    <row r="4" spans="2:10" ht="15.75">
      <c r="B4" s="134"/>
      <c r="C4" s="134"/>
      <c r="D4" s="111" t="s">
        <v>139</v>
      </c>
      <c r="E4" s="66">
        <v>46023</v>
      </c>
      <c r="I4" s="43"/>
    </row>
    <row r="5" spans="2:10">
      <c r="D5" s="42"/>
      <c r="E5" s="42"/>
      <c r="I5" s="43"/>
    </row>
    <row r="6" spans="2:10">
      <c r="C6" s="98" t="s">
        <v>181</v>
      </c>
      <c r="D6" s="125">
        <v>7.46</v>
      </c>
      <c r="E6" s="42"/>
      <c r="I6" s="43"/>
    </row>
    <row r="7" spans="2:10" ht="15.75">
      <c r="C7" s="99"/>
      <c r="D7" s="432" t="s">
        <v>634</v>
      </c>
      <c r="E7" s="432"/>
      <c r="I7" s="43"/>
    </row>
    <row r="8" spans="2:10">
      <c r="D8" s="110" t="s">
        <v>168</v>
      </c>
      <c r="E8" s="110" t="s">
        <v>169</v>
      </c>
    </row>
    <row r="9" spans="2:10" s="44" customFormat="1" ht="15.75">
      <c r="C9" s="101" t="s">
        <v>133</v>
      </c>
      <c r="D9" s="126">
        <f>SUBTOTAL(9,D10:D12)</f>
        <v>253773.40189999927</v>
      </c>
      <c r="E9" s="122">
        <f>SUBTOTAL(9,E10:E12)</f>
        <v>34017.882292225106</v>
      </c>
      <c r="F9" s="45"/>
      <c r="I9" s="43"/>
    </row>
    <row r="10" spans="2:10" s="43" customFormat="1" outlineLevel="1">
      <c r="B10" s="46"/>
      <c r="C10" s="47" t="s">
        <v>153</v>
      </c>
      <c r="D10" s="15">
        <f>'Caja QTQ'!$H$884+18365.01+0.6</f>
        <v>242700.97089999929</v>
      </c>
      <c r="E10" s="25">
        <f>D10/$D$6</f>
        <v>32533.642211796152</v>
      </c>
      <c r="F10" s="49"/>
    </row>
    <row r="11" spans="2:10" s="43" customFormat="1" outlineLevel="1">
      <c r="B11" s="46"/>
      <c r="C11" s="47" t="s">
        <v>154</v>
      </c>
      <c r="D11" s="15">
        <f>E11*D6</f>
        <v>10938.970999999989</v>
      </c>
      <c r="E11" s="25">
        <f>'Caja USD'!$H$313</f>
        <v>1466.3499999999985</v>
      </c>
      <c r="F11" s="49"/>
    </row>
    <row r="12" spans="2:10" s="43" customFormat="1" ht="15" customHeight="1" outlineLevel="1">
      <c r="B12" s="218" t="s">
        <v>298</v>
      </c>
      <c r="C12" s="215" t="s">
        <v>1519</v>
      </c>
      <c r="D12" s="216">
        <v>133.46</v>
      </c>
      <c r="E12" s="225">
        <f>D12/D6</f>
        <v>17.890080428954423</v>
      </c>
      <c r="F12" s="329"/>
      <c r="G12" s="336"/>
    </row>
    <row r="13" spans="2:10" s="43" customFormat="1" ht="15.75">
      <c r="B13" s="46"/>
      <c r="C13" s="102" t="s">
        <v>134</v>
      </c>
      <c r="D13" s="127">
        <f>SUBTOTAL(9,D14:D32)</f>
        <v>3561873.552561779</v>
      </c>
      <c r="E13" s="122">
        <f>SUBTOTAL(9,E14:E32)</f>
        <v>466775.85185676394</v>
      </c>
      <c r="F13" s="128"/>
    </row>
    <row r="14" spans="2:10" s="43" customFormat="1" ht="15" customHeight="1" outlineLevel="1">
      <c r="B14" s="218" t="s">
        <v>298</v>
      </c>
      <c r="C14" s="215" t="s">
        <v>1448</v>
      </c>
      <c r="D14" s="216">
        <f>'Diferencia en cambio'!$I$207</f>
        <v>2001473.48</v>
      </c>
      <c r="E14" s="225">
        <f>D14/'Diferencia en cambio'!$L$207</f>
        <v>261640.52</v>
      </c>
      <c r="F14" s="329"/>
      <c r="G14" s="336"/>
    </row>
    <row r="15" spans="2:10" s="43" customFormat="1" ht="15" customHeight="1" outlineLevel="1">
      <c r="B15" s="218" t="s">
        <v>298</v>
      </c>
      <c r="C15" s="215" t="s">
        <v>1457</v>
      </c>
      <c r="D15" s="252">
        <f>'Diferencia en cambio'!I219</f>
        <v>47499.870434189237</v>
      </c>
      <c r="E15" s="217">
        <f>D15/'Diferencia en cambio'!L219</f>
        <v>6642.37</v>
      </c>
      <c r="F15" s="128"/>
      <c r="G15" s="171"/>
      <c r="J15" s="372"/>
    </row>
    <row r="16" spans="2:10" s="43" customFormat="1" ht="15" customHeight="1" outlineLevel="1">
      <c r="B16" s="218" t="s">
        <v>298</v>
      </c>
      <c r="C16" s="215" t="s">
        <v>1458</v>
      </c>
      <c r="D16" s="252">
        <f>'Diferencia en cambio'!I220</f>
        <v>11853.139051194983</v>
      </c>
      <c r="E16" s="217">
        <f>D16/'Diferencia en cambio'!L220</f>
        <v>1657.54</v>
      </c>
      <c r="F16" s="202"/>
      <c r="G16" s="171"/>
      <c r="J16" s="372"/>
    </row>
    <row r="17" spans="1:15" s="43" customFormat="1" ht="15" customHeight="1" outlineLevel="1">
      <c r="B17" s="218" t="s">
        <v>298</v>
      </c>
      <c r="C17" s="215" t="s">
        <v>1459</v>
      </c>
      <c r="D17" s="252">
        <f>'Diferencia en cambio'!I221</f>
        <v>26634.415491106265</v>
      </c>
      <c r="E17" s="217">
        <f>D17/'Diferencia en cambio'!L221</f>
        <v>3724.55</v>
      </c>
      <c r="F17" s="329"/>
      <c r="G17" s="208"/>
    </row>
    <row r="18" spans="1:15" s="43" customFormat="1" ht="15" customHeight="1" outlineLevel="1">
      <c r="B18" s="218" t="s">
        <v>298</v>
      </c>
      <c r="C18" s="215" t="s">
        <v>1460</v>
      </c>
      <c r="D18" s="252">
        <f>'Diferencia en cambio'!I222</f>
        <v>19054.953992890787</v>
      </c>
      <c r="E18" s="217">
        <f>D18/'Diferencia en cambio'!L222</f>
        <v>2664.64</v>
      </c>
      <c r="F18" s="329"/>
      <c r="G18" s="208"/>
    </row>
    <row r="19" spans="1:15" s="43" customFormat="1" ht="15" customHeight="1" outlineLevel="1">
      <c r="B19" s="218" t="s">
        <v>298</v>
      </c>
      <c r="C19" s="215" t="s">
        <v>1462</v>
      </c>
      <c r="D19" s="252">
        <f>'Diferencia en cambio'!I223</f>
        <v>69889.11</v>
      </c>
      <c r="E19" s="217">
        <f>D19/'Diferencia en cambio'!L223</f>
        <v>7278.91</v>
      </c>
      <c r="F19" s="329"/>
      <c r="G19" s="208"/>
    </row>
    <row r="20" spans="1:15" s="43" customFormat="1" ht="15" customHeight="1" outlineLevel="1">
      <c r="B20" s="218" t="s">
        <v>298</v>
      </c>
      <c r="C20" s="215" t="s">
        <v>1461</v>
      </c>
      <c r="D20" s="252">
        <f>'Diferencia en cambio'!I224</f>
        <v>122006.15359239807</v>
      </c>
      <c r="E20" s="217">
        <f>D20/'Diferencia en cambio'!L224</f>
        <v>17061.310000000001</v>
      </c>
      <c r="F20" s="329"/>
      <c r="G20" s="208"/>
    </row>
    <row r="21" spans="1:15" s="43" customFormat="1" ht="15" customHeight="1" outlineLevel="1">
      <c r="B21" s="218" t="s">
        <v>298</v>
      </c>
      <c r="C21" s="215" t="s">
        <v>1469</v>
      </c>
      <c r="D21" s="252">
        <f>'Diferencia en cambio'!I225</f>
        <v>333163.8</v>
      </c>
      <c r="E21" s="217">
        <f>D21/'Diferencia en cambio'!L225</f>
        <v>43674.98</v>
      </c>
      <c r="F21" s="329"/>
      <c r="G21" s="336"/>
    </row>
    <row r="22" spans="1:15" s="43" customFormat="1" ht="15" customHeight="1" outlineLevel="1">
      <c r="B22" s="218" t="s">
        <v>298</v>
      </c>
      <c r="C22" s="215" t="s">
        <v>1463</v>
      </c>
      <c r="D22" s="252">
        <v>47100.124821340258</v>
      </c>
      <c r="E22" s="217">
        <f>D22/'Diferencia en cambio'!L226</f>
        <v>6174.79</v>
      </c>
      <c r="F22" s="329"/>
      <c r="G22" s="336"/>
    </row>
    <row r="23" spans="1:15" s="43" customFormat="1" ht="15" customHeight="1" outlineLevel="1">
      <c r="A23" s="50"/>
      <c r="B23" s="218" t="s">
        <v>298</v>
      </c>
      <c r="C23" s="215" t="s">
        <v>1464</v>
      </c>
      <c r="D23" s="252">
        <v>11174.817907088613</v>
      </c>
      <c r="E23" s="217">
        <f>D23/'Diferencia en cambio'!L227</f>
        <v>1465.01</v>
      </c>
      <c r="F23" s="330"/>
      <c r="G23" s="354"/>
    </row>
    <row r="24" spans="1:15" s="43" customFormat="1" ht="15" customHeight="1" outlineLevel="1">
      <c r="B24" s="218" t="s">
        <v>298</v>
      </c>
      <c r="C24" s="215" t="s">
        <v>1465</v>
      </c>
      <c r="D24" s="252">
        <v>26290.315008967784</v>
      </c>
      <c r="E24" s="217">
        <f>D24/'Diferencia en cambio'!L228</f>
        <v>3446.64</v>
      </c>
    </row>
    <row r="25" spans="1:15" s="43" customFormat="1" ht="15" customHeight="1" outlineLevel="1">
      <c r="B25" s="218" t="s">
        <v>298</v>
      </c>
      <c r="C25" s="215" t="s">
        <v>1466</v>
      </c>
      <c r="D25" s="252">
        <v>18782.261640084762</v>
      </c>
      <c r="E25" s="217">
        <f>D25/'Diferencia en cambio'!L229</f>
        <v>2462.34</v>
      </c>
      <c r="F25" s="128"/>
      <c r="G25" s="52"/>
    </row>
    <row r="26" spans="1:15" s="43" customFormat="1" ht="15" customHeight="1" outlineLevel="1">
      <c r="B26" s="218" t="s">
        <v>298</v>
      </c>
      <c r="C26" s="215" t="s">
        <v>1436</v>
      </c>
      <c r="D26" s="252">
        <v>46186.313185058447</v>
      </c>
      <c r="E26" s="217">
        <f>D26/'Diferencia en cambio'!L230</f>
        <v>6054.99</v>
      </c>
      <c r="F26" s="128"/>
      <c r="G26" s="52"/>
    </row>
    <row r="27" spans="1:15" s="43" customFormat="1" ht="15" customHeight="1" outlineLevel="1">
      <c r="B27" s="218" t="s">
        <v>298</v>
      </c>
      <c r="C27" s="215" t="s">
        <v>1467</v>
      </c>
      <c r="D27" s="252">
        <v>101796.63305119747</v>
      </c>
      <c r="E27" s="217">
        <f>D27/'Diferencia en cambio'!L231</f>
        <v>13345.46</v>
      </c>
      <c r="F27" s="202"/>
      <c r="G27" s="52"/>
    </row>
    <row r="28" spans="1:15" s="43" customFormat="1" ht="15" customHeight="1" outlineLevel="1">
      <c r="B28" s="218" t="s">
        <v>298</v>
      </c>
      <c r="C28" s="215" t="s">
        <v>1468</v>
      </c>
      <c r="D28" s="252">
        <v>14432.884386262653</v>
      </c>
      <c r="E28" s="217">
        <f>D28/'Diferencia en cambio'!L232</f>
        <v>1892.14</v>
      </c>
      <c r="F28" s="128"/>
      <c r="G28" s="52"/>
      <c r="M28" s="46" t="s">
        <v>1514</v>
      </c>
      <c r="N28" s="46" t="s">
        <v>1512</v>
      </c>
      <c r="O28" s="46" t="s">
        <v>1513</v>
      </c>
    </row>
    <row r="29" spans="1:15" s="43" customFormat="1" ht="15" customHeight="1" outlineLevel="1">
      <c r="A29" s="50"/>
      <c r="B29" s="218" t="s">
        <v>298</v>
      </c>
      <c r="C29" s="357" t="s">
        <v>1470</v>
      </c>
      <c r="D29" s="252">
        <f>'Diferencia en cambio'!E233</f>
        <v>136499.65</v>
      </c>
      <c r="E29" s="217">
        <f>$D$29/'Diferencia en cambio'!$D$233</f>
        <v>18103.401856763925</v>
      </c>
      <c r="F29" s="128">
        <v>136499.65</v>
      </c>
      <c r="G29" s="184">
        <f>+F29-D29</f>
        <v>0</v>
      </c>
      <c r="J29" s="404">
        <f>G29/7.54</f>
        <v>0</v>
      </c>
      <c r="M29" s="404">
        <f>F29/7.54</f>
        <v>18103.401856763925</v>
      </c>
      <c r="N29" s="43">
        <v>18017.87</v>
      </c>
      <c r="O29" s="404">
        <f>N29-M29</f>
        <v>-85.531856763926044</v>
      </c>
    </row>
    <row r="30" spans="1:15" s="43" customFormat="1" ht="15" customHeight="1" outlineLevel="1">
      <c r="B30" s="218" t="s">
        <v>298</v>
      </c>
      <c r="C30" s="215" t="s">
        <v>1446</v>
      </c>
      <c r="D30" s="216">
        <f>'Diferencia en cambio'!$I$217</f>
        <v>14817.347312753996</v>
      </c>
      <c r="E30" s="217">
        <f>D30/'Diferencia en cambio'!$L$217</f>
        <v>1967.32</v>
      </c>
      <c r="F30" s="128"/>
      <c r="G30" s="208"/>
    </row>
    <row r="31" spans="1:15" s="43" customFormat="1" ht="15" customHeight="1" outlineLevel="1">
      <c r="B31" s="218" t="s">
        <v>298</v>
      </c>
      <c r="C31" s="215" t="s">
        <v>1447</v>
      </c>
      <c r="D31" s="216">
        <f>'Diferencia en cambio'!$I$218</f>
        <v>50511.102687245999</v>
      </c>
      <c r="E31" s="217">
        <f>D31/'Diferencia en cambio'!$L$218</f>
        <v>6706.43</v>
      </c>
      <c r="F31" s="128"/>
      <c r="G31" s="208"/>
    </row>
    <row r="32" spans="1:15" s="43" customFormat="1" ht="15" customHeight="1" outlineLevel="1">
      <c r="A32" s="50"/>
      <c r="B32" s="218" t="s">
        <v>298</v>
      </c>
      <c r="C32" s="215" t="s">
        <v>1493</v>
      </c>
      <c r="D32" s="252">
        <f>'Diferencia en cambio'!I234</f>
        <v>462707.18</v>
      </c>
      <c r="E32" s="217">
        <f>D32/'Diferencia en cambio'!L234</f>
        <v>60812.51</v>
      </c>
      <c r="F32" s="128"/>
      <c r="G32" s="184"/>
    </row>
    <row r="33" spans="2:19" s="43" customFormat="1" ht="15.75">
      <c r="B33" s="46"/>
      <c r="C33" s="276" t="s">
        <v>136</v>
      </c>
      <c r="D33" s="274">
        <f>SUBTOTAL(9,D9:D32)</f>
        <v>3815646.9544617785</v>
      </c>
      <c r="E33" s="275">
        <f>SUBTOTAL(9,E9:E32)</f>
        <v>500793.73414898902</v>
      </c>
      <c r="F33" s="56"/>
      <c r="G33" s="56"/>
      <c r="J33" s="52"/>
      <c r="K33" s="57"/>
      <c r="O33" s="58"/>
      <c r="P33" s="59"/>
      <c r="Q33" s="53"/>
    </row>
    <row r="34" spans="2:19" s="43" customFormat="1" ht="15.75">
      <c r="B34" s="46"/>
      <c r="C34" s="60"/>
      <c r="D34" s="61"/>
      <c r="E34" s="61"/>
      <c r="G34" s="62"/>
      <c r="O34" s="59"/>
      <c r="P34" s="59"/>
    </row>
    <row r="35" spans="2:19" s="43" customFormat="1" ht="15.75">
      <c r="B35" s="46"/>
      <c r="N35" s="63"/>
      <c r="O35" s="64"/>
      <c r="P35" s="65"/>
    </row>
    <row r="36" spans="2:19" s="43" customFormat="1" ht="15.75">
      <c r="B36" s="432" t="s">
        <v>137</v>
      </c>
      <c r="C36" s="432"/>
      <c r="D36" s="432" t="s">
        <v>634</v>
      </c>
      <c r="E36" s="432"/>
      <c r="K36" s="65"/>
      <c r="L36" s="65"/>
      <c r="N36" s="63"/>
      <c r="R36" s="52"/>
      <c r="S36" s="52"/>
    </row>
    <row r="37" spans="2:19" s="43" customFormat="1" ht="16.5" thickBot="1">
      <c r="B37" s="67" t="s">
        <v>81</v>
      </c>
      <c r="C37" s="68" t="s">
        <v>106</v>
      </c>
      <c r="D37" s="110" t="s">
        <v>168</v>
      </c>
      <c r="E37" s="110" t="s">
        <v>169</v>
      </c>
      <c r="F37" s="69" t="s">
        <v>140</v>
      </c>
      <c r="G37" s="63" t="s">
        <v>141</v>
      </c>
      <c r="H37" s="63"/>
      <c r="I37" s="63"/>
      <c r="J37" s="70" t="s">
        <v>142</v>
      </c>
      <c r="N37" s="71"/>
      <c r="R37" s="52"/>
      <c r="S37" s="72"/>
    </row>
    <row r="38" spans="2:19" s="43" customFormat="1" ht="16.5" thickBot="1">
      <c r="B38" s="46"/>
      <c r="C38" s="73" t="s">
        <v>155</v>
      </c>
      <c r="D38" s="103">
        <f>SUBTOTAL(9,D39:D39)</f>
        <v>125949.72</v>
      </c>
      <c r="E38" s="112">
        <f>SUBTOTAL(9,E39:E39)</f>
        <v>16883.340482573727</v>
      </c>
      <c r="F38" s="74"/>
      <c r="J38" s="76"/>
    </row>
    <row r="39" spans="2:19" s="43" customFormat="1" ht="15.75" outlineLevel="1" thickBot="1">
      <c r="B39" s="168">
        <v>5933985</v>
      </c>
      <c r="C39" s="78" t="s">
        <v>633</v>
      </c>
      <c r="D39" s="104">
        <v>125949.72</v>
      </c>
      <c r="E39" s="115">
        <f>D39/$D$6</f>
        <v>16883.340482573727</v>
      </c>
      <c r="F39" s="80">
        <v>46038</v>
      </c>
      <c r="G39" s="43" t="s">
        <v>135</v>
      </c>
      <c r="H39" s="43">
        <f>IF(OR(G39="Sin pagar",G39="Pagar"),NETWORKDAYS($E$4,F39,'Festivos Guatemala'!$A$3:$A$29),0)</f>
        <v>0</v>
      </c>
      <c r="I39" s="43">
        <f>NETWORKDAYS($E$4,F39,'Festivos Guatemala'!$A$3:$A$15)</f>
        <v>12</v>
      </c>
      <c r="J39" s="75">
        <f>H39</f>
        <v>0</v>
      </c>
      <c r="K39" s="52"/>
      <c r="L39" s="52"/>
    </row>
    <row r="40" spans="2:19" s="43" customFormat="1" ht="16.5" thickBot="1">
      <c r="B40" s="46"/>
      <c r="C40" s="73" t="s">
        <v>144</v>
      </c>
      <c r="D40" s="103">
        <f>SUBTOTAL(9,D41:D44)</f>
        <v>94748.97</v>
      </c>
      <c r="E40" s="112">
        <f>SUBTOTAL(9,E41:E44)</f>
        <v>12700.934316353885</v>
      </c>
      <c r="J40" s="76">
        <f t="shared" ref="J40:J50" si="0">H40</f>
        <v>0</v>
      </c>
    </row>
    <row r="41" spans="2:19" s="43" customFormat="1" outlineLevel="1">
      <c r="B41" s="168">
        <v>49660736150</v>
      </c>
      <c r="C41" s="47" t="s">
        <v>648</v>
      </c>
      <c r="D41" s="104">
        <v>71533.039999999994</v>
      </c>
      <c r="E41" s="115">
        <f>D41/$D$6</f>
        <v>9588.8793565683645</v>
      </c>
      <c r="F41" s="80">
        <v>46038</v>
      </c>
      <c r="G41" s="43" t="s">
        <v>135</v>
      </c>
      <c r="H41" s="43">
        <f>IF(OR(G41="Sin pagar",G41="Pagar"),NETWORKDAYS($E$4,F41,'Festivos Guatemala'!$A$3:$A$29),0)</f>
        <v>0</v>
      </c>
      <c r="I41" s="43">
        <f>NETWORKDAYS($E$4,F41,'Festivos Guatemala'!$A$3:$A$15)</f>
        <v>12</v>
      </c>
      <c r="J41" s="75">
        <f t="shared" si="0"/>
        <v>0</v>
      </c>
      <c r="K41" s="48"/>
      <c r="L41" s="57"/>
    </row>
    <row r="42" spans="2:19" s="43" customFormat="1" ht="14.25" customHeight="1" outlineLevel="1">
      <c r="B42" s="168">
        <v>49638788181</v>
      </c>
      <c r="C42" s="47" t="s">
        <v>1148</v>
      </c>
      <c r="D42" s="109">
        <v>1896.44</v>
      </c>
      <c r="E42" s="115">
        <f>D42/$D$6</f>
        <v>254.21447721179626</v>
      </c>
      <c r="F42" s="80">
        <v>46038</v>
      </c>
      <c r="G42" s="43" t="s">
        <v>135</v>
      </c>
      <c r="H42" s="43">
        <f>IF(OR(G42="Sin pagar",G42="Pagar"),NETWORKDAYS($E$4,F42,'Festivos Guatemala'!$A$3:$A$29),0)</f>
        <v>0</v>
      </c>
      <c r="I42" s="43">
        <f>NETWORKDAYS($E$4,F42,'Festivos Guatemala'!$A$3:$A$15)</f>
        <v>12</v>
      </c>
      <c r="J42" s="75">
        <f t="shared" si="0"/>
        <v>0</v>
      </c>
      <c r="K42" s="48"/>
      <c r="L42" s="57"/>
    </row>
    <row r="43" spans="2:19" s="43" customFormat="1" outlineLevel="1">
      <c r="B43" s="168">
        <v>49660736150</v>
      </c>
      <c r="C43" s="47" t="s">
        <v>1480</v>
      </c>
      <c r="D43" s="104">
        <v>9771.49</v>
      </c>
      <c r="E43" s="115">
        <f>D43/$D$6</f>
        <v>1309.8512064343163</v>
      </c>
      <c r="F43" s="80">
        <v>46049</v>
      </c>
      <c r="G43" s="43" t="s">
        <v>135</v>
      </c>
      <c r="H43" s="43">
        <f>IF(OR(G43="Sin pagar",G43="Pagar"),NETWORKDAYS($E$4,F43,'Festivos Guatemala'!$A$3:$A$29),0)</f>
        <v>0</v>
      </c>
      <c r="I43" s="43">
        <f>NETWORKDAYS($E$4,F43,'Festivos Guatemala'!$A$3:$A$15)</f>
        <v>19</v>
      </c>
      <c r="J43" s="75">
        <f t="shared" ref="J43" si="1">H43</f>
        <v>0</v>
      </c>
      <c r="K43" s="48"/>
      <c r="L43" s="57"/>
    </row>
    <row r="44" spans="2:19" s="43" customFormat="1" ht="15.75" outlineLevel="1" thickBot="1">
      <c r="B44" s="168">
        <v>49729738920</v>
      </c>
      <c r="C44" s="47" t="s">
        <v>1487</v>
      </c>
      <c r="D44" s="104">
        <v>11548</v>
      </c>
      <c r="E44" s="115">
        <f>D44/$D$6</f>
        <v>1547.9892761394101</v>
      </c>
      <c r="F44" s="80">
        <v>46049</v>
      </c>
      <c r="G44" s="43" t="s">
        <v>135</v>
      </c>
      <c r="H44" s="43">
        <f>IF(OR(G44="Sin pagar",G44="Pagar"),NETWORKDAYS($E$4,F44,'Festivos Guatemala'!$A$3:$A$29),0)</f>
        <v>0</v>
      </c>
      <c r="I44" s="43">
        <f>NETWORKDAYS($E$4,F44,'Festivos Guatemala'!$A$3:$A$15)</f>
        <v>19</v>
      </c>
      <c r="J44" s="75">
        <f t="shared" ref="J44" si="2">H44</f>
        <v>0</v>
      </c>
      <c r="K44" s="48"/>
      <c r="L44" s="57"/>
    </row>
    <row r="45" spans="2:19" s="43" customFormat="1" ht="16.5" thickBot="1">
      <c r="B45" s="46"/>
      <c r="C45" s="73" t="s">
        <v>1065</v>
      </c>
      <c r="D45" s="103">
        <f>SUBTOTAL(9,D46:D50)</f>
        <v>8142.94</v>
      </c>
      <c r="E45" s="112">
        <f>SUBTOTAL(9,E46:E50)</f>
        <v>1091.5469168900804</v>
      </c>
      <c r="J45" s="76">
        <f t="shared" si="0"/>
        <v>0</v>
      </c>
      <c r="K45" s="52"/>
      <c r="L45" s="52"/>
    </row>
    <row r="46" spans="2:19" s="43" customFormat="1" ht="15" customHeight="1" outlineLevel="1">
      <c r="B46" s="356" t="s">
        <v>1394</v>
      </c>
      <c r="C46" s="47" t="s">
        <v>1395</v>
      </c>
      <c r="D46" s="104">
        <f>$E$46*$D$6</f>
        <v>0</v>
      </c>
      <c r="E46" s="115">
        <f>900*0</f>
        <v>0</v>
      </c>
      <c r="F46" s="80">
        <v>46028</v>
      </c>
      <c r="G46" s="43" t="s">
        <v>135</v>
      </c>
      <c r="H46" s="43">
        <f>IF(OR(G46="Sin pagar",G46="Pagar"),NETWORKDAYS($E$4,F46,'Festivos Guatemala'!$A$3:$A$29),0)</f>
        <v>0</v>
      </c>
      <c r="I46" s="43">
        <f>NETWORKDAYS($E$4,F46,'Festivos Guatemala'!$A$3:$A$15)</f>
        <v>4</v>
      </c>
      <c r="J46" s="75">
        <f>H46</f>
        <v>0</v>
      </c>
      <c r="K46" s="48"/>
      <c r="L46" s="57"/>
    </row>
    <row r="47" spans="2:19" s="43" customFormat="1" ht="15" customHeight="1" outlineLevel="1">
      <c r="B47" s="168" t="s">
        <v>1478</v>
      </c>
      <c r="C47" s="47" t="s">
        <v>1479</v>
      </c>
      <c r="D47" s="104">
        <f>5473.2-100</f>
        <v>5373.2</v>
      </c>
      <c r="E47" s="115">
        <f>D47/$D$6</f>
        <v>720.26809651474525</v>
      </c>
      <c r="F47" s="80">
        <v>46049</v>
      </c>
      <c r="G47" s="43" t="s">
        <v>135</v>
      </c>
      <c r="H47" s="43">
        <f>IF(OR(G47="Sin pagar",G47="Pagar"),NETWORKDAYS($E$4,F47,'Festivos Guatemala'!$A$3:$A$29),0)</f>
        <v>0</v>
      </c>
      <c r="I47" s="43">
        <f>NETWORKDAYS($E$4,F47,'Festivos Guatemala'!$A$3:$A$15)</f>
        <v>19</v>
      </c>
      <c r="J47" s="75">
        <f>H47</f>
        <v>0</v>
      </c>
      <c r="K47" s="48"/>
      <c r="L47" s="57"/>
    </row>
    <row r="48" spans="2:19" s="43" customFormat="1" ht="15" customHeight="1" outlineLevel="1">
      <c r="B48" s="168">
        <v>2231061443</v>
      </c>
      <c r="C48" s="47" t="s">
        <v>1475</v>
      </c>
      <c r="D48" s="104">
        <v>475</v>
      </c>
      <c r="E48" s="115">
        <f>D48/$D$6</f>
        <v>63.672922252010721</v>
      </c>
      <c r="F48" s="80">
        <v>46049</v>
      </c>
      <c r="G48" s="43" t="s">
        <v>135</v>
      </c>
      <c r="H48" s="43">
        <f>IF(OR(G48="Sin pagar",G48="Pagar"),NETWORKDAYS($E$4,F48,'Festivos Guatemala'!$A$3:$A$29),0)</f>
        <v>0</v>
      </c>
      <c r="I48" s="43">
        <f>NETWORKDAYS($E$4,F48,'Festivos Guatemala'!$A$3:$A$15)</f>
        <v>19</v>
      </c>
      <c r="J48" s="75">
        <f t="shared" ref="J48" si="3">H48</f>
        <v>0</v>
      </c>
      <c r="K48" s="48"/>
      <c r="L48" s="57"/>
    </row>
    <row r="49" spans="2:16" s="43" customFormat="1" ht="15" customHeight="1" outlineLevel="1">
      <c r="B49" s="168">
        <v>316558222</v>
      </c>
      <c r="C49" s="47" t="s">
        <v>1476</v>
      </c>
      <c r="D49" s="104">
        <v>926.32</v>
      </c>
      <c r="E49" s="115">
        <f>D49/$D$6</f>
        <v>124.17158176943701</v>
      </c>
      <c r="F49" s="80">
        <v>46049</v>
      </c>
      <c r="G49" s="43" t="s">
        <v>135</v>
      </c>
      <c r="H49" s="43">
        <f>IF(OR(G49="Sin pagar",G49="Pagar"),NETWORKDAYS($E$4,F49,'Festivos Guatemala'!$A$3:$A$29),0)</f>
        <v>0</v>
      </c>
      <c r="I49" s="43">
        <f>NETWORKDAYS($E$4,F49,'Festivos Guatemala'!$A$3:$A$15)</f>
        <v>19</v>
      </c>
      <c r="J49" s="75">
        <f>H49</f>
        <v>0</v>
      </c>
      <c r="K49" s="48"/>
      <c r="L49" s="57"/>
    </row>
    <row r="50" spans="2:16" s="43" customFormat="1" ht="15" customHeight="1" outlineLevel="1" thickBot="1">
      <c r="B50" s="168">
        <v>2210546233</v>
      </c>
      <c r="C50" s="47" t="s">
        <v>1477</v>
      </c>
      <c r="D50" s="104">
        <v>1368.42</v>
      </c>
      <c r="E50" s="115">
        <f>D50/$D$6</f>
        <v>183.4343163538874</v>
      </c>
      <c r="F50" s="80">
        <v>46049</v>
      </c>
      <c r="G50" s="43" t="s">
        <v>135</v>
      </c>
      <c r="H50" s="43">
        <f>IF(OR(G50="Sin pagar",G50="Pagar"),NETWORKDAYS($E$4,F50,'Festivos Guatemala'!$A$3:$A$29),0)</f>
        <v>0</v>
      </c>
      <c r="I50" s="43">
        <f>NETWORKDAYS($E$4,F50,'Festivos Guatemala'!$A$3:$A$15)</f>
        <v>19</v>
      </c>
      <c r="J50" s="75">
        <f t="shared" si="0"/>
        <v>0</v>
      </c>
      <c r="K50" s="48"/>
      <c r="L50" s="57"/>
    </row>
    <row r="51" spans="2:16" s="43" customFormat="1" ht="16.5" thickBot="1">
      <c r="C51" s="73" t="s">
        <v>146</v>
      </c>
      <c r="D51" s="103">
        <f>SUBTOTAL(9,D52:D55)</f>
        <v>3921.5722000000001</v>
      </c>
      <c r="E51" s="112">
        <f>SUBTOTAL(9,E52:E55)</f>
        <v>525.67991957104562</v>
      </c>
      <c r="K51" s="49"/>
      <c r="L51" s="49"/>
      <c r="O51" s="49"/>
      <c r="P51" s="49"/>
    </row>
    <row r="52" spans="2:16" s="43" customFormat="1" ht="15" customHeight="1" outlineLevel="1">
      <c r="B52" s="186" t="s">
        <v>746</v>
      </c>
      <c r="C52" s="210" t="s">
        <v>272</v>
      </c>
      <c r="D52" s="104">
        <f>E52*$D$6</f>
        <v>410.82220000000001</v>
      </c>
      <c r="E52" s="270">
        <v>55.07</v>
      </c>
      <c r="F52" s="80">
        <v>46049</v>
      </c>
      <c r="G52" s="43" t="s">
        <v>135</v>
      </c>
      <c r="H52" s="43">
        <f>IF(OR(G52="Sin pagar",G52="Pagar"),NETWORKDAYS($E$4,F52,'Festivos Guatemala'!$A$3:$A$29),0)</f>
        <v>0</v>
      </c>
      <c r="I52" s="43">
        <f>NETWORKDAYS($E$4,F52,'Festivos Guatemala'!$A$3:$A$15)</f>
        <v>19</v>
      </c>
      <c r="J52" s="75">
        <f t="shared" ref="J52:J55" si="4">H52</f>
        <v>0</v>
      </c>
      <c r="K52" s="49"/>
      <c r="L52" s="49"/>
      <c r="O52" s="49"/>
      <c r="P52" s="49"/>
    </row>
    <row r="53" spans="2:16" s="43" customFormat="1" ht="15" customHeight="1" outlineLevel="1">
      <c r="B53" s="251" t="s">
        <v>745</v>
      </c>
      <c r="C53" s="209" t="s">
        <v>827</v>
      </c>
      <c r="D53" s="268">
        <v>776.97</v>
      </c>
      <c r="E53" s="113">
        <f>D53/$D$6</f>
        <v>104.15147453083111</v>
      </c>
      <c r="F53" s="80">
        <v>46049</v>
      </c>
      <c r="G53" s="43" t="s">
        <v>135</v>
      </c>
      <c r="H53" s="43">
        <f>IF(OR(G53="Sin pagar",G53="Pagar"),NETWORKDAYS($E$4,F53,'Festivos Guatemala'!$A$3:$A$29),0)</f>
        <v>0</v>
      </c>
      <c r="I53" s="43">
        <f>NETWORKDAYS($E$4,F53,'Festivos Guatemala'!$A$3:$A$15)</f>
        <v>19</v>
      </c>
      <c r="J53" s="75">
        <f>H53</f>
        <v>0</v>
      </c>
      <c r="K53" s="49"/>
      <c r="L53" s="49"/>
      <c r="O53" s="49"/>
      <c r="P53" s="49"/>
    </row>
    <row r="54" spans="2:16" s="43" customFormat="1" ht="15" customHeight="1" outlineLevel="1">
      <c r="B54" s="251" t="s">
        <v>745</v>
      </c>
      <c r="C54" s="209" t="s">
        <v>825</v>
      </c>
      <c r="D54" s="268">
        <v>926.68</v>
      </c>
      <c r="E54" s="113">
        <f>D54/$D$6</f>
        <v>124.21983914209115</v>
      </c>
      <c r="F54" s="80">
        <v>46049</v>
      </c>
      <c r="G54" s="43" t="s">
        <v>135</v>
      </c>
      <c r="H54" s="43">
        <f>IF(OR(G54="Sin pagar",G54="Pagar"),NETWORKDAYS($E$4,F54,'Festivos Guatemala'!$A$3:$A$29),0)</f>
        <v>0</v>
      </c>
      <c r="I54" s="43">
        <f>NETWORKDAYS($E$4,F54,'Festivos Guatemala'!$A$3:$A$15)</f>
        <v>19</v>
      </c>
      <c r="J54" s="75">
        <f>H54</f>
        <v>0</v>
      </c>
      <c r="K54" s="49"/>
      <c r="L54" s="49"/>
      <c r="O54" s="49"/>
      <c r="P54" s="49"/>
    </row>
    <row r="55" spans="2:16" s="43" customFormat="1" ht="15" customHeight="1" outlineLevel="1" thickBot="1">
      <c r="B55" s="251" t="s">
        <v>745</v>
      </c>
      <c r="C55" s="209" t="s">
        <v>822</v>
      </c>
      <c r="D55" s="268">
        <v>1807.1</v>
      </c>
      <c r="E55" s="113">
        <f>D55/$D$6</f>
        <v>242.23860589812332</v>
      </c>
      <c r="F55" s="80">
        <v>46049</v>
      </c>
      <c r="G55" s="43" t="s">
        <v>135</v>
      </c>
      <c r="H55" s="43">
        <f>IF(OR(G55="Sin pagar",G55="Pagar"),NETWORKDAYS($E$4,F55,'Festivos Guatemala'!$A$3:$A$29),0)</f>
        <v>0</v>
      </c>
      <c r="I55" s="43">
        <f>NETWORKDAYS($E$4,F55,'Festivos Guatemala'!$A$3:$A$15)</f>
        <v>19</v>
      </c>
      <c r="J55" s="75">
        <f t="shared" si="4"/>
        <v>0</v>
      </c>
      <c r="K55" s="49"/>
      <c r="L55" s="49"/>
      <c r="O55" s="49"/>
      <c r="P55" s="49"/>
    </row>
    <row r="56" spans="2:16" s="43" customFormat="1" ht="16.5" thickBot="1">
      <c r="B56" s="82"/>
      <c r="C56" s="85" t="s">
        <v>162</v>
      </c>
      <c r="D56" s="119">
        <f>SUBTOTAL(9,D57:D57)</f>
        <v>0</v>
      </c>
      <c r="E56" s="114">
        <f>SUBTOTAL(9,E57:E57)</f>
        <v>0</v>
      </c>
      <c r="K56" s="52"/>
      <c r="M56" s="183"/>
      <c r="N56" s="183"/>
    </row>
    <row r="57" spans="2:16" s="43" customFormat="1" ht="15" customHeight="1" outlineLevel="1" thickBot="1">
      <c r="B57" s="46">
        <v>0</v>
      </c>
      <c r="C57" s="47"/>
      <c r="D57" s="104">
        <f>E57*7.8</f>
        <v>0</v>
      </c>
      <c r="E57" s="115">
        <v>0</v>
      </c>
      <c r="F57" s="74">
        <v>46053</v>
      </c>
      <c r="G57" s="43" t="s">
        <v>135</v>
      </c>
      <c r="H57" s="43">
        <f>IF(OR(G57="Sin pagar",G57="Pagar"),NETWORKDAYS($E$4,F57,'Festivos Guatemala'!$A$3:$A$29),0)</f>
        <v>0</v>
      </c>
      <c r="I57" s="43">
        <f>NETWORKDAYS($E$4,F57,'Festivos Guatemala'!$A$3:$A$15)</f>
        <v>22</v>
      </c>
      <c r="J57" s="75">
        <f t="shared" ref="J57" si="5">H57</f>
        <v>0</v>
      </c>
      <c r="M57" s="104"/>
      <c r="N57" s="49"/>
    </row>
    <row r="58" spans="2:16" s="43" customFormat="1" ht="16.5" thickBot="1">
      <c r="B58" s="46"/>
      <c r="C58" s="73" t="s">
        <v>147</v>
      </c>
      <c r="D58" s="103">
        <f>SUBTOTAL(9,D59:D59)</f>
        <v>0</v>
      </c>
      <c r="E58" s="112">
        <f>SUBTOTAL(9,E59:E59)</f>
        <v>0</v>
      </c>
    </row>
    <row r="59" spans="2:16" s="43" customFormat="1" ht="15.75" outlineLevel="1" thickBot="1">
      <c r="B59" s="46"/>
      <c r="C59" s="47"/>
      <c r="D59" s="104"/>
      <c r="E59" s="113"/>
      <c r="F59" s="74">
        <v>46053</v>
      </c>
      <c r="G59" s="43" t="s">
        <v>135</v>
      </c>
      <c r="H59" s="43">
        <f>IF(OR(G59="Sin pagar",G59="Pagar"),NETWORKDAYS($E$4,F59,'Festivos Guatemala'!$A$3:$A$29),0)</f>
        <v>0</v>
      </c>
      <c r="I59" s="43">
        <f>NETWORKDAYS($E$4,F59,'Festivos Guatemala'!$A$3:$A$15)</f>
        <v>22</v>
      </c>
      <c r="J59" s="75">
        <f>H59</f>
        <v>0</v>
      </c>
    </row>
    <row r="60" spans="2:16" s="43" customFormat="1" ht="15.75" customHeight="1" thickBot="1">
      <c r="C60" s="73" t="s">
        <v>148</v>
      </c>
      <c r="D60" s="119">
        <f>SUBTOTAL(9,D61:D62)</f>
        <v>0</v>
      </c>
      <c r="E60" s="114">
        <f>SUBTOTAL(9,E61:E62)</f>
        <v>0</v>
      </c>
    </row>
    <row r="61" spans="2:16" s="43" customFormat="1" ht="15" customHeight="1" outlineLevel="1">
      <c r="B61" s="46"/>
      <c r="C61" s="47" t="s">
        <v>1257</v>
      </c>
      <c r="D61" s="109">
        <f>E61*$D$6</f>
        <v>0</v>
      </c>
      <c r="E61" s="115">
        <f>40*0</f>
        <v>0</v>
      </c>
      <c r="F61" s="74">
        <v>46028</v>
      </c>
      <c r="G61" s="43" t="s">
        <v>135</v>
      </c>
      <c r="H61" s="43">
        <f>IF(OR(G61="Sin pagar",G61="Pagar"),NETWORKDAYS($E$4,F61,'Festivos Guatemala'!$A$3:$A$29),0)</f>
        <v>0</v>
      </c>
      <c r="I61" s="43">
        <f>NETWORKDAYS($E$4,F61,'Festivos Guatemala'!$A$3:$A$15)</f>
        <v>4</v>
      </c>
      <c r="J61" s="75">
        <f>H61</f>
        <v>0</v>
      </c>
    </row>
    <row r="62" spans="2:16" s="43" customFormat="1" ht="15" customHeight="1" outlineLevel="1" thickBot="1">
      <c r="B62" s="46"/>
      <c r="C62" s="47" t="s">
        <v>117</v>
      </c>
      <c r="D62" s="109">
        <f>E62*D6</f>
        <v>0</v>
      </c>
      <c r="E62" s="115">
        <f>40*0</f>
        <v>0</v>
      </c>
      <c r="F62" s="74">
        <v>46053</v>
      </c>
      <c r="G62" s="43" t="s">
        <v>135</v>
      </c>
      <c r="H62" s="43">
        <f>IF(OR(G62="Sin pagar",G62="Pagar"),NETWORKDAYS($E$4,F62,'Festivos Guatemala'!$A$3:$A$29),0)</f>
        <v>0</v>
      </c>
      <c r="I62" s="43">
        <f>NETWORKDAYS($E$4,F62,'Festivos Guatemala'!$A$3:$A$15)</f>
        <v>22</v>
      </c>
      <c r="J62" s="75">
        <f t="shared" ref="J62" si="6">H62</f>
        <v>0</v>
      </c>
    </row>
    <row r="63" spans="2:16" s="43" customFormat="1" ht="16.5" thickBot="1">
      <c r="C63" s="73" t="s">
        <v>164</v>
      </c>
      <c r="D63" s="119">
        <f>SUBTOTAL(9,D64:D85)</f>
        <v>472505.55000000005</v>
      </c>
      <c r="E63" s="114">
        <f>SUBTOTAL(9,E64:E85)</f>
        <v>63338.545576407501</v>
      </c>
      <c r="K63" s="52"/>
      <c r="L63" s="86"/>
      <c r="M63" s="109"/>
      <c r="N63" s="109"/>
      <c r="O63" s="113"/>
    </row>
    <row r="64" spans="2:16" s="43" customFormat="1" ht="15" customHeight="1" outlineLevel="1">
      <c r="B64" s="83" t="s">
        <v>1034</v>
      </c>
      <c r="C64" s="47" t="s">
        <v>886</v>
      </c>
      <c r="D64" s="378">
        <v>67911.929999999993</v>
      </c>
      <c r="E64" s="113">
        <f>D64/$D$6</f>
        <v>9103.4758713136725</v>
      </c>
      <c r="F64" s="74">
        <v>46050</v>
      </c>
      <c r="G64" s="43" t="s">
        <v>135</v>
      </c>
      <c r="H64" s="43">
        <f>IF(OR(G64="Sin pagar",G64="Pagar"),NETWORKDAYS($E$4,F64,'Festivos Guatemala'!$A$3:$A$29),0)</f>
        <v>0</v>
      </c>
      <c r="I64" s="43">
        <f>NETWORKDAYS($E$4,F64,'Festivos Guatemala'!$A$3:$A$15)</f>
        <v>20</v>
      </c>
      <c r="J64" s="75">
        <f>H64</f>
        <v>0</v>
      </c>
      <c r="L64" s="52"/>
    </row>
    <row r="65" spans="2:13" s="43" customFormat="1" ht="15" customHeight="1" outlineLevel="1">
      <c r="B65" s="83" t="s">
        <v>1034</v>
      </c>
      <c r="C65" s="47" t="s">
        <v>843</v>
      </c>
      <c r="D65" s="271">
        <v>18679.5</v>
      </c>
      <c r="E65" s="113">
        <f t="shared" ref="E65:E85" si="7">D65/$D$6</f>
        <v>2503.9544235924932</v>
      </c>
      <c r="F65" s="74">
        <v>46050</v>
      </c>
      <c r="G65" s="43" t="s">
        <v>135</v>
      </c>
      <c r="H65" s="43">
        <f>IF(OR(G65="Sin pagar",G65="Pagar"),NETWORKDAYS($E$4,F65,'Festivos Guatemala'!$A$3:$A$29),0)</f>
        <v>0</v>
      </c>
      <c r="I65" s="43">
        <f>NETWORKDAYS($E$4,F65,'Festivos Guatemala'!$A$3:$A$15)</f>
        <v>20</v>
      </c>
      <c r="J65" s="75">
        <f t="shared" ref="J65:J85" si="8">H65</f>
        <v>0</v>
      </c>
      <c r="L65" s="52"/>
      <c r="M65" s="381"/>
    </row>
    <row r="66" spans="2:13" s="43" customFormat="1" ht="15" customHeight="1" outlineLevel="1">
      <c r="B66" s="83" t="s">
        <v>1034</v>
      </c>
      <c r="C66" s="47" t="s">
        <v>176</v>
      </c>
      <c r="D66" s="271">
        <v>28786.83</v>
      </c>
      <c r="E66" s="113">
        <f t="shared" si="7"/>
        <v>3858.8243967828421</v>
      </c>
      <c r="F66" s="74">
        <v>46050</v>
      </c>
      <c r="G66" s="43" t="s">
        <v>135</v>
      </c>
      <c r="H66" s="43">
        <f>IF(OR(G66="Sin pagar",G66="Pagar"),NETWORKDAYS($E$4,F66,'Festivos Guatemala'!$A$3:$A$29),0)</f>
        <v>0</v>
      </c>
      <c r="I66" s="43">
        <f>NETWORKDAYS($E$4,F66,'Festivos Guatemala'!$A$3:$A$15)</f>
        <v>20</v>
      </c>
      <c r="J66" s="75">
        <f t="shared" si="8"/>
        <v>0</v>
      </c>
      <c r="L66" s="52"/>
      <c r="M66" s="381"/>
    </row>
    <row r="67" spans="2:13" s="43" customFormat="1" ht="15" customHeight="1" outlineLevel="1">
      <c r="B67" s="83" t="s">
        <v>1034</v>
      </c>
      <c r="C67" s="47" t="s">
        <v>1249</v>
      </c>
      <c r="D67" s="271">
        <v>17874</v>
      </c>
      <c r="E67" s="113">
        <f t="shared" si="7"/>
        <v>2395.9785522788202</v>
      </c>
      <c r="F67" s="74">
        <v>46052</v>
      </c>
      <c r="G67" s="43" t="s">
        <v>135</v>
      </c>
      <c r="H67" s="43">
        <f>IF(OR(G67="Sin pagar",G67="Pagar"),NETWORKDAYS($E$4,F67,'Festivos Guatemala'!$A$3:$A$29),0)</f>
        <v>0</v>
      </c>
      <c r="I67" s="43">
        <f>NETWORKDAYS($E$4,F67,'Festivos Guatemala'!$A$3:$A$15)</f>
        <v>22</v>
      </c>
      <c r="J67" s="75">
        <f>H67</f>
        <v>0</v>
      </c>
      <c r="L67" s="52"/>
      <c r="M67" s="379" t="s">
        <v>1381</v>
      </c>
    </row>
    <row r="68" spans="2:13" s="43" customFormat="1" ht="15" customHeight="1" outlineLevel="1">
      <c r="B68" s="267" t="s">
        <v>1035</v>
      </c>
      <c r="C68" s="47" t="s">
        <v>944</v>
      </c>
      <c r="D68" s="271">
        <v>13622.51</v>
      </c>
      <c r="E68" s="113">
        <f t="shared" si="7"/>
        <v>1826.0737265415551</v>
      </c>
      <c r="F68" s="74">
        <v>46050</v>
      </c>
      <c r="G68" s="43" t="s">
        <v>135</v>
      </c>
      <c r="H68" s="43">
        <f>IF(OR(G68="Sin pagar",G68="Pagar"),NETWORKDAYS($E$4,F68,'Festivos Guatemala'!$A$3:$A$29),0)</f>
        <v>0</v>
      </c>
      <c r="I68" s="43">
        <f>NETWORKDAYS($E$4,F68,'Festivos Guatemala'!$A$3:$A$15)</f>
        <v>20</v>
      </c>
      <c r="J68" s="75">
        <f t="shared" si="8"/>
        <v>0</v>
      </c>
      <c r="L68" s="52"/>
      <c r="M68" s="381"/>
    </row>
    <row r="69" spans="2:13" s="43" customFormat="1" ht="15" customHeight="1" outlineLevel="1">
      <c r="B69" s="267" t="s">
        <v>1035</v>
      </c>
      <c r="C69" s="47" t="s">
        <v>945</v>
      </c>
      <c r="D69" s="271">
        <v>9026.59</v>
      </c>
      <c r="E69" s="113">
        <f t="shared" si="7"/>
        <v>1209.9986595174264</v>
      </c>
      <c r="F69" s="74">
        <v>46050</v>
      </c>
      <c r="G69" s="43" t="s">
        <v>135</v>
      </c>
      <c r="H69" s="43">
        <f>IF(OR(G69="Sin pagar",G69="Pagar"),NETWORKDAYS($E$4,F69,'Festivos Guatemala'!$A$3:$A$29),0)</f>
        <v>0</v>
      </c>
      <c r="I69" s="43">
        <f>NETWORKDAYS($E$4,F69,'Festivos Guatemala'!$A$3:$A$15)</f>
        <v>20</v>
      </c>
      <c r="J69" s="75">
        <f t="shared" si="8"/>
        <v>0</v>
      </c>
      <c r="L69" s="52"/>
      <c r="M69" s="381"/>
    </row>
    <row r="70" spans="2:13" s="43" customFormat="1" ht="15" customHeight="1" outlineLevel="1">
      <c r="B70" s="267" t="s">
        <v>1035</v>
      </c>
      <c r="C70" s="47" t="s">
        <v>1300</v>
      </c>
      <c r="D70" s="271">
        <v>65446.400000000001</v>
      </c>
      <c r="E70" s="113">
        <f>D70/$D$6</f>
        <v>8772.9758713136725</v>
      </c>
      <c r="F70" s="74">
        <v>46050</v>
      </c>
      <c r="G70" s="43" t="s">
        <v>135</v>
      </c>
      <c r="H70" s="43">
        <f>IF(OR(G70="Sin pagar",G70="Pagar"),NETWORKDAYS($E$4,F70,'Festivos Guatemala'!$A$3:$A$29),0)</f>
        <v>0</v>
      </c>
      <c r="I70" s="43">
        <f>NETWORKDAYS($E$4,F70,'Festivos Guatemala'!$A$3:$A$15)</f>
        <v>20</v>
      </c>
      <c r="J70" s="75">
        <f>H70</f>
        <v>0</v>
      </c>
      <c r="L70" s="52"/>
      <c r="M70" s="381"/>
    </row>
    <row r="71" spans="2:13" s="43" customFormat="1" ht="15" customHeight="1" outlineLevel="1">
      <c r="B71" s="267" t="s">
        <v>1035</v>
      </c>
      <c r="C71" s="47" t="s">
        <v>829</v>
      </c>
      <c r="D71" s="271">
        <v>34601.33</v>
      </c>
      <c r="E71" s="113">
        <f t="shared" si="7"/>
        <v>4638.2479892761394</v>
      </c>
      <c r="F71" s="74">
        <v>46050</v>
      </c>
      <c r="G71" s="43" t="s">
        <v>135</v>
      </c>
      <c r="H71" s="43">
        <f>IF(OR(G71="Sin pagar",G71="Pagar"),NETWORKDAYS($E$4,F71,'Festivos Guatemala'!$A$3:$A$29),0)</f>
        <v>0</v>
      </c>
      <c r="I71" s="43">
        <f>NETWORKDAYS($E$4,F71,'Festivos Guatemala'!$A$3:$A$15)</f>
        <v>20</v>
      </c>
      <c r="J71" s="75">
        <f t="shared" si="8"/>
        <v>0</v>
      </c>
      <c r="L71" s="52"/>
      <c r="M71" s="381"/>
    </row>
    <row r="72" spans="2:13" s="43" customFormat="1" ht="15" customHeight="1" outlineLevel="1">
      <c r="B72" s="267" t="s">
        <v>1036</v>
      </c>
      <c r="C72" s="47" t="s">
        <v>946</v>
      </c>
      <c r="D72" s="271">
        <v>11431.49</v>
      </c>
      <c r="E72" s="113">
        <f t="shared" si="7"/>
        <v>1532.3713136729223</v>
      </c>
      <c r="F72" s="74">
        <v>46050</v>
      </c>
      <c r="G72" s="43" t="s">
        <v>135</v>
      </c>
      <c r="H72" s="43">
        <f>IF(OR(G72="Sin pagar",G72="Pagar"),NETWORKDAYS($E$4,F72,'Festivos Guatemala'!$A$3:$A$29),0)</f>
        <v>0</v>
      </c>
      <c r="I72" s="43">
        <f>NETWORKDAYS($E$4,F72,'Festivos Guatemala'!$A$3:$A$15)</f>
        <v>20</v>
      </c>
      <c r="J72" s="75">
        <f t="shared" si="8"/>
        <v>0</v>
      </c>
      <c r="L72" s="52"/>
      <c r="M72" s="381"/>
    </row>
    <row r="73" spans="2:13" s="43" customFormat="1" ht="15" customHeight="1" outlineLevel="1">
      <c r="B73" s="301" t="s">
        <v>1037</v>
      </c>
      <c r="C73" s="47" t="s">
        <v>947</v>
      </c>
      <c r="D73" s="271">
        <v>9658.43</v>
      </c>
      <c r="E73" s="113">
        <f t="shared" si="7"/>
        <v>1294.6957104557641</v>
      </c>
      <c r="F73" s="74">
        <v>46050</v>
      </c>
      <c r="G73" s="43" t="s">
        <v>135</v>
      </c>
      <c r="H73" s="43">
        <f>IF(OR(G73="Sin pagar",G73="Pagar"),NETWORKDAYS($E$4,F73,'Festivos Guatemala'!$A$3:$A$29),0)</f>
        <v>0</v>
      </c>
      <c r="I73" s="43">
        <f>NETWORKDAYS($E$4,F73,'Festivos Guatemala'!$A$3:$A$15)</f>
        <v>20</v>
      </c>
      <c r="J73" s="75">
        <f t="shared" si="8"/>
        <v>0</v>
      </c>
      <c r="L73" s="52"/>
      <c r="M73" s="381"/>
    </row>
    <row r="74" spans="2:13" s="43" customFormat="1" ht="15" customHeight="1" outlineLevel="1">
      <c r="B74" s="303" t="s">
        <v>892</v>
      </c>
      <c r="C74" s="47" t="s">
        <v>417</v>
      </c>
      <c r="D74" s="268">
        <v>10731</v>
      </c>
      <c r="E74" s="113">
        <f t="shared" si="7"/>
        <v>1438.4718498659518</v>
      </c>
      <c r="F74" s="74">
        <v>46050</v>
      </c>
      <c r="G74" s="43" t="s">
        <v>135</v>
      </c>
      <c r="H74" s="43">
        <f>IF(OR(G74="Sin pagar",G74="Pagar"),NETWORKDAYS($E$4,F74,'Festivos Guatemala'!$A$3:$A$29),0)</f>
        <v>0</v>
      </c>
      <c r="I74" s="43">
        <f>NETWORKDAYS($E$4,F74,'Festivos Guatemala'!$A$3:$A$15)</f>
        <v>20</v>
      </c>
      <c r="J74" s="75">
        <f t="shared" si="8"/>
        <v>0</v>
      </c>
      <c r="L74" s="52"/>
      <c r="M74" s="380"/>
    </row>
    <row r="75" spans="2:13" s="43" customFormat="1" ht="15" customHeight="1" outlineLevel="1">
      <c r="B75" s="303" t="s">
        <v>892</v>
      </c>
      <c r="C75" s="47" t="s">
        <v>409</v>
      </c>
      <c r="D75" s="268">
        <v>14425</v>
      </c>
      <c r="E75" s="113">
        <f t="shared" si="7"/>
        <v>1933.6461126005363</v>
      </c>
      <c r="F75" s="74">
        <v>46050</v>
      </c>
      <c r="G75" s="43" t="s">
        <v>135</v>
      </c>
      <c r="H75" s="43">
        <f>IF(OR(G75="Sin pagar",G75="Pagar"),NETWORKDAYS($E$4,F75,'Festivos Guatemala'!$A$3:$A$29),0)</f>
        <v>0</v>
      </c>
      <c r="I75" s="43">
        <f>NETWORKDAYS($E$4,F75,'Festivos Guatemala'!$A$3:$A$15)</f>
        <v>20</v>
      </c>
      <c r="J75" s="75">
        <f t="shared" si="8"/>
        <v>0</v>
      </c>
      <c r="L75" s="52"/>
      <c r="M75" s="380"/>
    </row>
    <row r="76" spans="2:13" s="43" customFormat="1" ht="15" customHeight="1" outlineLevel="1">
      <c r="B76" s="303" t="s">
        <v>892</v>
      </c>
      <c r="C76" s="47" t="s">
        <v>844</v>
      </c>
      <c r="D76" s="268">
        <v>24923</v>
      </c>
      <c r="E76" s="113">
        <f t="shared" si="7"/>
        <v>3340.8847184986594</v>
      </c>
      <c r="F76" s="74">
        <v>46050</v>
      </c>
      <c r="G76" s="43" t="s">
        <v>135</v>
      </c>
      <c r="H76" s="43">
        <f>IF(OR(G76="Sin pagar",G76="Pagar"),NETWORKDAYS($E$4,F76,'Festivos Guatemala'!$A$3:$A$29),0)</f>
        <v>0</v>
      </c>
      <c r="I76" s="43">
        <f>NETWORKDAYS($E$4,F76,'Festivos Guatemala'!$A$3:$A$15)</f>
        <v>20</v>
      </c>
      <c r="J76" s="75">
        <f t="shared" si="8"/>
        <v>0</v>
      </c>
      <c r="L76" s="52"/>
      <c r="M76" s="380"/>
    </row>
    <row r="77" spans="2:13" s="43" customFormat="1" ht="15" customHeight="1" outlineLevel="1">
      <c r="B77" s="303" t="s">
        <v>892</v>
      </c>
      <c r="C77" s="47" t="s">
        <v>1490</v>
      </c>
      <c r="D77" s="268">
        <v>17324.25</v>
      </c>
      <c r="E77" s="113">
        <f t="shared" ref="E77" si="9">D77/$D$6</f>
        <v>2322.2855227882037</v>
      </c>
      <c r="F77" s="74">
        <v>46050</v>
      </c>
      <c r="G77" s="43" t="s">
        <v>135</v>
      </c>
      <c r="H77" s="43">
        <f>IF(OR(G77="Sin pagar",G77="Pagar"),NETWORKDAYS($E$4,F77,'Festivos Guatemala'!$A$3:$A$29),0)</f>
        <v>0</v>
      </c>
      <c r="I77" s="43">
        <f>NETWORKDAYS($E$4,F77,'Festivos Guatemala'!$A$3:$A$15)</f>
        <v>20</v>
      </c>
      <c r="J77" s="75">
        <f t="shared" ref="J77" si="10">H77</f>
        <v>0</v>
      </c>
      <c r="L77" s="52"/>
      <c r="M77" s="380"/>
    </row>
    <row r="78" spans="2:13" s="43" customFormat="1" ht="15" customHeight="1" outlineLevel="1">
      <c r="B78" s="303" t="s">
        <v>892</v>
      </c>
      <c r="C78" s="47" t="s">
        <v>412</v>
      </c>
      <c r="D78" s="268">
        <v>8678</v>
      </c>
      <c r="E78" s="113">
        <f t="shared" si="7"/>
        <v>1163.2707774798928</v>
      </c>
      <c r="F78" s="74">
        <v>46050</v>
      </c>
      <c r="G78" s="43" t="s">
        <v>135</v>
      </c>
      <c r="H78" s="43">
        <f>IF(OR(G78="Sin pagar",G78="Pagar"),NETWORKDAYS($E$4,F78,'Festivos Guatemala'!$A$3:$A$29),0)</f>
        <v>0</v>
      </c>
      <c r="I78" s="43">
        <f>NETWORKDAYS($E$4,F78,'Festivos Guatemala'!$A$3:$A$15)</f>
        <v>20</v>
      </c>
      <c r="J78" s="75">
        <f t="shared" si="8"/>
        <v>0</v>
      </c>
      <c r="L78" s="52"/>
      <c r="M78" s="380"/>
    </row>
    <row r="79" spans="2:13" s="43" customFormat="1" ht="15" customHeight="1" outlineLevel="1">
      <c r="B79" s="303" t="s">
        <v>892</v>
      </c>
      <c r="C79" s="47" t="s">
        <v>413</v>
      </c>
      <c r="D79" s="268">
        <v>3943</v>
      </c>
      <c r="E79" s="113">
        <f t="shared" si="7"/>
        <v>528.55227882037536</v>
      </c>
      <c r="F79" s="74">
        <v>46050</v>
      </c>
      <c r="G79" s="43" t="s">
        <v>135</v>
      </c>
      <c r="H79" s="43">
        <f>IF(OR(G79="Sin pagar",G79="Pagar"),NETWORKDAYS($E$4,F79,'Festivos Guatemala'!$A$3:$A$29),0)</f>
        <v>0</v>
      </c>
      <c r="I79" s="43">
        <f>NETWORKDAYS($E$4,F79,'Festivos Guatemala'!$A$3:$A$15)</f>
        <v>20</v>
      </c>
      <c r="J79" s="75">
        <f t="shared" si="8"/>
        <v>0</v>
      </c>
      <c r="L79" s="52"/>
      <c r="M79" s="380"/>
    </row>
    <row r="80" spans="2:13" s="43" customFormat="1" ht="15" customHeight="1" outlineLevel="1">
      <c r="B80" s="303" t="s">
        <v>892</v>
      </c>
      <c r="C80" s="47" t="s">
        <v>415</v>
      </c>
      <c r="D80" s="268">
        <v>26568</v>
      </c>
      <c r="E80" s="113">
        <f t="shared" si="7"/>
        <v>3561.3941018766754</v>
      </c>
      <c r="F80" s="74">
        <v>46050</v>
      </c>
      <c r="G80" s="43" t="s">
        <v>135</v>
      </c>
      <c r="H80" s="43">
        <f>IF(OR(G80="Sin pagar",G80="Pagar"),NETWORKDAYS($E$4,F80,'Festivos Guatemala'!$A$3:$A$29),0)</f>
        <v>0</v>
      </c>
      <c r="I80" s="43">
        <f>NETWORKDAYS($E$4,F80,'Festivos Guatemala'!$A$3:$A$15)</f>
        <v>20</v>
      </c>
      <c r="J80" s="75">
        <f t="shared" si="8"/>
        <v>0</v>
      </c>
      <c r="L80" s="52"/>
      <c r="M80" s="380"/>
    </row>
    <row r="81" spans="2:13" s="43" customFormat="1" ht="15" customHeight="1" outlineLevel="1">
      <c r="B81" s="303" t="s">
        <v>892</v>
      </c>
      <c r="C81" s="47" t="s">
        <v>410</v>
      </c>
      <c r="D81" s="268">
        <v>3943</v>
      </c>
      <c r="E81" s="113">
        <f t="shared" si="7"/>
        <v>528.55227882037536</v>
      </c>
      <c r="F81" s="74">
        <v>46050</v>
      </c>
      <c r="G81" s="43" t="s">
        <v>135</v>
      </c>
      <c r="H81" s="43">
        <f>IF(OR(G81="Sin pagar",G81="Pagar"),NETWORKDAYS($E$4,F81,'Festivos Guatemala'!$A$3:$A$29),0)</f>
        <v>0</v>
      </c>
      <c r="I81" s="43">
        <f>NETWORKDAYS($E$4,F81,'Festivos Guatemala'!$A$3:$A$15)</f>
        <v>20</v>
      </c>
      <c r="J81" s="75">
        <f t="shared" si="8"/>
        <v>0</v>
      </c>
      <c r="L81" s="52"/>
      <c r="M81" s="380"/>
    </row>
    <row r="82" spans="2:13" s="43" customFormat="1" ht="15" customHeight="1" outlineLevel="1">
      <c r="B82" s="303" t="s">
        <v>892</v>
      </c>
      <c r="C82" s="47" t="s">
        <v>845</v>
      </c>
      <c r="D82" s="268">
        <v>24923.65</v>
      </c>
      <c r="E82" s="113">
        <f t="shared" si="7"/>
        <v>3340.9718498659518</v>
      </c>
      <c r="F82" s="74">
        <v>46050</v>
      </c>
      <c r="G82" s="43" t="s">
        <v>135</v>
      </c>
      <c r="H82" s="43">
        <f>IF(OR(G82="Sin pagar",G82="Pagar"),NETWORKDAYS($E$4,F82,'Festivos Guatemala'!$A$3:$A$29),0)</f>
        <v>0</v>
      </c>
      <c r="I82" s="43">
        <f>NETWORKDAYS($E$4,F82,'Festivos Guatemala'!$A$3:$A$15)</f>
        <v>20</v>
      </c>
      <c r="J82" s="75">
        <f t="shared" si="8"/>
        <v>0</v>
      </c>
      <c r="L82" s="52"/>
      <c r="M82" s="380"/>
    </row>
    <row r="83" spans="2:13" s="43" customFormat="1" ht="15" customHeight="1" outlineLevel="1">
      <c r="B83" s="303" t="s">
        <v>892</v>
      </c>
      <c r="C83" s="47" t="s">
        <v>1491</v>
      </c>
      <c r="D83" s="268">
        <v>22787.78</v>
      </c>
      <c r="E83" s="113">
        <f t="shared" si="7"/>
        <v>3054.6621983914206</v>
      </c>
      <c r="F83" s="74">
        <v>46050</v>
      </c>
      <c r="G83" s="43" t="s">
        <v>135</v>
      </c>
      <c r="H83" s="43">
        <f>IF(OR(G83="Sin pagar",G83="Pagar"),NETWORKDAYS($E$4,F83,'Festivos Guatemala'!$A$3:$A$29),0)</f>
        <v>0</v>
      </c>
      <c r="I83" s="43">
        <f>NETWORKDAYS($E$4,F83,'Festivos Guatemala'!$A$3:$A$15)</f>
        <v>20</v>
      </c>
      <c r="J83" s="75">
        <f t="shared" si="8"/>
        <v>0</v>
      </c>
      <c r="L83" s="52"/>
      <c r="M83" s="380"/>
    </row>
    <row r="84" spans="2:13" s="43" customFormat="1" ht="15" customHeight="1" outlineLevel="1">
      <c r="B84" s="303" t="s">
        <v>892</v>
      </c>
      <c r="C84" s="47" t="s">
        <v>418</v>
      </c>
      <c r="D84" s="268">
        <v>33745.199999999997</v>
      </c>
      <c r="E84" s="113">
        <f t="shared" si="7"/>
        <v>4523.4852546916891</v>
      </c>
      <c r="F84" s="74">
        <v>46050</v>
      </c>
      <c r="G84" s="43" t="s">
        <v>135</v>
      </c>
      <c r="H84" s="43">
        <f>IF(OR(G84="Sin pagar",G84="Pagar"),NETWORKDAYS($E$4,F84,'Festivos Guatemala'!$A$3:$A$29),0)</f>
        <v>0</v>
      </c>
      <c r="I84" s="43">
        <f>NETWORKDAYS($E$4,F84,'Festivos Guatemala'!$A$3:$A$15)</f>
        <v>20</v>
      </c>
      <c r="J84" s="75">
        <f t="shared" si="8"/>
        <v>0</v>
      </c>
      <c r="L84" s="52"/>
      <c r="M84" s="380"/>
    </row>
    <row r="85" spans="2:13" s="43" customFormat="1" ht="15" customHeight="1" outlineLevel="1" thickBot="1">
      <c r="B85" s="303" t="s">
        <v>892</v>
      </c>
      <c r="C85" s="47" t="s">
        <v>1520</v>
      </c>
      <c r="D85" s="268">
        <v>3474.66</v>
      </c>
      <c r="E85" s="113">
        <f t="shared" si="7"/>
        <v>465.7721179624665</v>
      </c>
      <c r="F85" s="74">
        <v>46052</v>
      </c>
      <c r="G85" s="43" t="s">
        <v>135</v>
      </c>
      <c r="H85" s="43">
        <f>IF(OR(G85="Sin pagar",G85="Pagar"),NETWORKDAYS($E$4,F85,'Festivos Guatemala'!$A$3:$A$29),0)</f>
        <v>0</v>
      </c>
      <c r="I85" s="43">
        <f>NETWORKDAYS($E$4,F85,'Festivos Guatemala'!$A$3:$A$15)</f>
        <v>22</v>
      </c>
      <c r="J85" s="75">
        <f t="shared" si="8"/>
        <v>0</v>
      </c>
      <c r="L85" s="52"/>
      <c r="M85" s="380"/>
    </row>
    <row r="86" spans="2:13" s="43" customFormat="1" ht="16.5" thickBot="1">
      <c r="B86" s="46"/>
      <c r="C86" s="73" t="s">
        <v>173</v>
      </c>
      <c r="D86" s="103">
        <f>SUBTOTAL(9,D87:D92)</f>
        <v>140842.46</v>
      </c>
      <c r="E86" s="112">
        <f>SUBTOTAL(9,E87:E92)</f>
        <v>18879.686327077747</v>
      </c>
    </row>
    <row r="87" spans="2:13" s="43" customFormat="1" ht="15" customHeight="1" outlineLevel="1">
      <c r="B87" s="46"/>
      <c r="C87" s="47" t="s">
        <v>1424</v>
      </c>
      <c r="D87" s="104">
        <f>E87*$D$6</f>
        <v>66870.246400000004</v>
      </c>
      <c r="E87" s="115">
        <v>8963.84</v>
      </c>
      <c r="F87" s="74">
        <v>46042</v>
      </c>
      <c r="G87" s="43" t="s">
        <v>135</v>
      </c>
      <c r="H87" s="43">
        <f>IF(OR(G87="Sin pagar",G87="Pagar"),NETWORKDAYS($E$4,F87,'Festivos Guatemala'!$A$3:$A$29),0)</f>
        <v>0</v>
      </c>
      <c r="I87" s="43">
        <f>NETWORKDAYS($E$4,F87,'Festivos Guatemala'!$A$3:$A$15)</f>
        <v>14</v>
      </c>
      <c r="J87" s="75">
        <f t="shared" ref="J87" si="11">H87</f>
        <v>0</v>
      </c>
      <c r="K87" s="52"/>
      <c r="L87" s="54"/>
    </row>
    <row r="88" spans="2:13" s="43" customFormat="1" ht="15" customHeight="1" outlineLevel="1">
      <c r="B88" s="46"/>
      <c r="C88" s="47" t="s">
        <v>1425</v>
      </c>
      <c r="D88" s="104">
        <f>E88*$D$6</f>
        <v>28851.55</v>
      </c>
      <c r="E88" s="115">
        <v>3867.5</v>
      </c>
      <c r="F88" s="74">
        <v>46042</v>
      </c>
      <c r="G88" s="43" t="s">
        <v>135</v>
      </c>
      <c r="H88" s="43">
        <f>IF(OR(G88="Sin pagar",G88="Pagar"),NETWORKDAYS($E$4,F88,'Festivos Guatemala'!$A$3:$A$29),0)</f>
        <v>0</v>
      </c>
      <c r="I88" s="43">
        <f>NETWORKDAYS($E$4,F88,'Festivos Guatemala'!$A$3:$A$15)</f>
        <v>14</v>
      </c>
      <c r="J88" s="75">
        <f t="shared" ref="J88" si="12">H88</f>
        <v>0</v>
      </c>
      <c r="K88" s="52"/>
      <c r="L88" s="54"/>
    </row>
    <row r="89" spans="2:13" s="43" customFormat="1" ht="15" customHeight="1" outlineLevel="1">
      <c r="B89" s="46"/>
      <c r="C89" s="47" t="s">
        <v>1510</v>
      </c>
      <c r="D89" s="104">
        <f>E89*$D$6</f>
        <v>8300.4436000000005</v>
      </c>
      <c r="E89" s="115">
        <v>1112.6600000000001</v>
      </c>
      <c r="F89" s="74">
        <v>46051</v>
      </c>
      <c r="G89" s="43" t="s">
        <v>135</v>
      </c>
      <c r="H89" s="43">
        <f>IF(OR(G89="Sin pagar",G89="Pagar"),NETWORKDAYS($E$4,F89,'Festivos Guatemala'!$A$3:$A$29),0)</f>
        <v>0</v>
      </c>
      <c r="I89" s="43">
        <f>NETWORKDAYS($E$4,F89,'Festivos Guatemala'!$A$3:$A$15)</f>
        <v>21</v>
      </c>
      <c r="J89" s="75">
        <f t="shared" ref="J89" si="13">H89</f>
        <v>0</v>
      </c>
      <c r="K89" s="52"/>
      <c r="L89" s="54"/>
    </row>
    <row r="90" spans="2:13" s="43" customFormat="1" ht="15" customHeight="1" outlineLevel="1">
      <c r="B90" s="46"/>
      <c r="C90" s="47" t="s">
        <v>1426</v>
      </c>
      <c r="D90" s="104">
        <v>27808.46</v>
      </c>
      <c r="E90" s="115">
        <f>D90/$D$6</f>
        <v>3727.6756032171579</v>
      </c>
      <c r="F90" s="74">
        <v>46042</v>
      </c>
      <c r="G90" s="43" t="s">
        <v>135</v>
      </c>
      <c r="H90" s="43">
        <f>IF(OR(G90="Sin pagar",G90="Pagar"),NETWORKDAYS($E$4,F90,'Festivos Guatemala'!$A$3:$A$29),0)</f>
        <v>0</v>
      </c>
      <c r="I90" s="43">
        <f>NETWORKDAYS($E$4,F90,'Festivos Guatemala'!$A$3:$A$15)</f>
        <v>14</v>
      </c>
      <c r="J90" s="75">
        <f t="shared" ref="J90" si="14">H90</f>
        <v>0</v>
      </c>
      <c r="K90" s="52"/>
      <c r="L90" s="54"/>
    </row>
    <row r="91" spans="2:13" s="43" customFormat="1" ht="15" customHeight="1" outlineLevel="1">
      <c r="B91" s="46"/>
      <c r="C91" s="209" t="s">
        <v>1303</v>
      </c>
      <c r="D91" s="104">
        <v>472.3</v>
      </c>
      <c r="E91" s="115">
        <f>D91/$D$6</f>
        <v>63.310991957104562</v>
      </c>
      <c r="F91" s="74">
        <v>46051</v>
      </c>
      <c r="G91" s="43" t="s">
        <v>135</v>
      </c>
      <c r="H91" s="43">
        <f>IF(OR(G91="Sin pagar",G91="Pagar"),NETWORKDAYS($E$4,F91,'Festivos Guatemala'!$A$3:$A$29),0)</f>
        <v>0</v>
      </c>
      <c r="I91" s="43">
        <f>NETWORKDAYS($E$4,F91,'Festivos Guatemala'!$A$3:$A$15)</f>
        <v>21</v>
      </c>
      <c r="J91" s="75">
        <f>H91</f>
        <v>0</v>
      </c>
      <c r="K91" s="52"/>
      <c r="L91" s="54"/>
    </row>
    <row r="92" spans="2:13" s="43" customFormat="1" ht="15" customHeight="1" outlineLevel="1" thickBot="1">
      <c r="B92" s="46"/>
      <c r="C92" s="209" t="s">
        <v>1304</v>
      </c>
      <c r="D92" s="104">
        <v>8539.4599999999991</v>
      </c>
      <c r="E92" s="115">
        <f t="shared" ref="E92" si="15">D92/$D$6</f>
        <v>1144.6997319034851</v>
      </c>
      <c r="F92" s="74">
        <v>46051</v>
      </c>
      <c r="G92" s="43" t="s">
        <v>135</v>
      </c>
      <c r="H92" s="43">
        <f>IF(OR(G92="Sin pagar",G92="Pagar"),NETWORKDAYS($E$4,F92,'Festivos Guatemala'!$A$3:$A$29),0)</f>
        <v>0</v>
      </c>
      <c r="I92" s="43">
        <f>NETWORKDAYS($E$4,F92,'Festivos Guatemala'!$A$3:$A$15)</f>
        <v>21</v>
      </c>
      <c r="J92" s="75">
        <f t="shared" ref="J92" si="16">H92</f>
        <v>0</v>
      </c>
      <c r="K92" s="52"/>
      <c r="L92" s="54"/>
    </row>
    <row r="93" spans="2:13" s="43" customFormat="1" ht="16.5" thickBot="1">
      <c r="B93" s="87"/>
      <c r="C93" s="73" t="s">
        <v>149</v>
      </c>
      <c r="D93" s="103">
        <f>SUBTOTAL(9,D94:D94)</f>
        <v>4021.5</v>
      </c>
      <c r="E93" s="112">
        <f>SUBTOTAL(9,E94:E94)</f>
        <v>539.07506702412866</v>
      </c>
      <c r="L93" s="52"/>
    </row>
    <row r="94" spans="2:13" s="43" customFormat="1" ht="15" customHeight="1" outlineLevel="1" thickBot="1">
      <c r="B94" s="311" t="s">
        <v>145</v>
      </c>
      <c r="C94" s="47" t="s">
        <v>1404</v>
      </c>
      <c r="D94" s="109">
        <v>4021.5</v>
      </c>
      <c r="E94" s="115">
        <f>D94/D6</f>
        <v>539.07506702412866</v>
      </c>
      <c r="F94" s="74">
        <v>46029</v>
      </c>
      <c r="G94" s="43" t="s">
        <v>135</v>
      </c>
      <c r="H94" s="43">
        <f>IF(OR(G94="Sin pagar",G94="Pagar"),NETWORKDAYS($E$4,F94,'Festivos Guatemala'!$A$3:$A$29),0)</f>
        <v>0</v>
      </c>
      <c r="I94" s="43">
        <f>NETWORKDAYS($E$4,F94,'Festivos Guatemala'!$A$3:$A$15)</f>
        <v>5</v>
      </c>
      <c r="J94" s="75">
        <f>H94</f>
        <v>0</v>
      </c>
      <c r="K94" s="52"/>
      <c r="L94" s="54"/>
    </row>
    <row r="95" spans="2:13" s="43" customFormat="1" ht="16.5" thickBot="1">
      <c r="B95" s="87"/>
      <c r="C95" s="73" t="s">
        <v>1144</v>
      </c>
      <c r="D95" s="103">
        <f>SUBTOTAL(9,D96:D98)</f>
        <v>1842758.5799999998</v>
      </c>
      <c r="E95" s="112">
        <f>SUBTOTAL(9,E96:E98)</f>
        <v>247018.57640750671</v>
      </c>
      <c r="L95" s="52"/>
    </row>
    <row r="96" spans="2:13" s="43" customFormat="1" outlineLevel="1">
      <c r="B96" s="311"/>
      <c r="C96" s="47" t="s">
        <v>1420</v>
      </c>
      <c r="D96" s="109">
        <v>1276620.51</v>
      </c>
      <c r="E96" s="115">
        <f>D96/$D$6</f>
        <v>171128.75469168901</v>
      </c>
      <c r="F96" s="74">
        <v>46041</v>
      </c>
      <c r="G96" s="43" t="s">
        <v>135</v>
      </c>
      <c r="H96" s="43">
        <f>IF(OR(G96="Sin pagar",G96="Pagar"),NETWORKDAYS($E$4,F96,'Festivos Guatemala'!$A$3:$A$29),0)</f>
        <v>0</v>
      </c>
      <c r="I96" s="43">
        <f>NETWORKDAYS($E$4,F96,'Festivos Guatemala'!$A$3:$A$15)</f>
        <v>13</v>
      </c>
      <c r="J96" s="75">
        <f>H96</f>
        <v>0</v>
      </c>
      <c r="K96" s="52"/>
      <c r="L96" s="54"/>
    </row>
    <row r="97" spans="2:15" s="43" customFormat="1" outlineLevel="1">
      <c r="B97" s="311"/>
      <c r="C97" s="47" t="s">
        <v>1421</v>
      </c>
      <c r="D97" s="109">
        <v>509459.14</v>
      </c>
      <c r="E97" s="115">
        <f>D97/$D$6</f>
        <v>68292.109919571041</v>
      </c>
      <c r="F97" s="74">
        <v>46041</v>
      </c>
      <c r="G97" s="43" t="s">
        <v>135</v>
      </c>
      <c r="H97" s="43">
        <f>IF(OR(G97="Sin pagar",G97="Pagar"),NETWORKDAYS($E$4,F97,'Festivos Guatemala'!$A$3:$A$29),0)</f>
        <v>0</v>
      </c>
      <c r="I97" s="43">
        <f>NETWORKDAYS($E$4,F97,'Festivos Guatemala'!$A$3:$A$15)</f>
        <v>13</v>
      </c>
      <c r="J97" s="75">
        <f>H97</f>
        <v>0</v>
      </c>
      <c r="K97" s="52"/>
      <c r="L97" s="54"/>
    </row>
    <row r="98" spans="2:15" s="43" customFormat="1" ht="15" customHeight="1" outlineLevel="1" thickBot="1">
      <c r="B98" s="303" t="s">
        <v>892</v>
      </c>
      <c r="C98" s="47" t="s">
        <v>1521</v>
      </c>
      <c r="D98" s="109">
        <v>56678.93</v>
      </c>
      <c r="E98" s="113">
        <f>D98/$D$6</f>
        <v>7597.7117962466491</v>
      </c>
      <c r="F98" s="74">
        <v>46052</v>
      </c>
      <c r="G98" s="43" t="s">
        <v>135</v>
      </c>
      <c r="H98" s="43">
        <f>IF(OR(G98="Sin pagar",G98="Pagar"),NETWORKDAYS($E$4,F98,'Festivos Guatemala'!$A$3:$A$29),0)</f>
        <v>0</v>
      </c>
      <c r="I98" s="43">
        <f>NETWORKDAYS($E$4,F98,'Festivos Guatemala'!$A$3:$A$15)</f>
        <v>22</v>
      </c>
      <c r="J98" s="75">
        <f>H98</f>
        <v>0</v>
      </c>
      <c r="L98" s="52"/>
    </row>
    <row r="99" spans="2:15" s="43" customFormat="1" ht="16.5" thickBot="1">
      <c r="B99" s="46"/>
      <c r="C99" s="73" t="s">
        <v>638</v>
      </c>
      <c r="D99" s="103">
        <f>SUBTOTAL(9,D100:D100)</f>
        <v>1500</v>
      </c>
      <c r="E99" s="112">
        <f>SUBTOTAL(9,E100:E100)</f>
        <v>201.07238605898124</v>
      </c>
    </row>
    <row r="100" spans="2:15" s="43" customFormat="1" ht="15" customHeight="1" outlineLevel="1" thickBot="1">
      <c r="B100" s="46" t="s">
        <v>145</v>
      </c>
      <c r="C100" s="47" t="s">
        <v>1106</v>
      </c>
      <c r="D100" s="109">
        <v>1500</v>
      </c>
      <c r="E100" s="115">
        <f>D100/$D$6</f>
        <v>201.07238605898124</v>
      </c>
      <c r="F100" s="74">
        <v>46041</v>
      </c>
      <c r="G100" s="43" t="s">
        <v>135</v>
      </c>
      <c r="H100" s="43">
        <f>IF(OR(G100="Sin pagar",G100="Pagar"),NETWORKDAYS($E$4,F100,'Festivos Guatemala'!$A$3:$A$29),0)</f>
        <v>0</v>
      </c>
      <c r="I100" s="43">
        <f>NETWORKDAYS($E$4,F100,'Festivos Guatemala'!$A$3:$A$15)</f>
        <v>13</v>
      </c>
      <c r="J100" s="75">
        <f>H100</f>
        <v>0</v>
      </c>
      <c r="K100" s="52"/>
      <c r="L100" s="54"/>
    </row>
    <row r="101" spans="2:15" s="43" customFormat="1" ht="16.5" thickBot="1">
      <c r="C101" s="332" t="s">
        <v>1405</v>
      </c>
      <c r="D101" s="333">
        <f>SUBTOTAL(9,D102:D103)</f>
        <v>8912.0499999999993</v>
      </c>
      <c r="E101" s="334">
        <f>SUBTOTAL(9,E102:E103)</f>
        <v>1194.6447721179625</v>
      </c>
      <c r="K101" s="52"/>
      <c r="L101" s="86"/>
      <c r="M101" s="109"/>
      <c r="N101" s="109"/>
      <c r="O101" s="113"/>
    </row>
    <row r="102" spans="2:15" s="43" customFormat="1" ht="15" customHeight="1" outlineLevel="1">
      <c r="B102" s="303" t="s">
        <v>892</v>
      </c>
      <c r="C102" s="47" t="s">
        <v>1411</v>
      </c>
      <c r="D102" s="109">
        <v>5929</v>
      </c>
      <c r="E102" s="115">
        <f>D102/$D$6</f>
        <v>794.7721179624665</v>
      </c>
      <c r="F102" s="80">
        <v>46030</v>
      </c>
      <c r="G102" s="43" t="s">
        <v>135</v>
      </c>
      <c r="H102" s="43">
        <f>IF(OR(G102="Sin pagar",G102="Pagar"),NETWORKDAYS($E$4,F102,'Festivos Guatemala'!$A$3:$A$15),0)</f>
        <v>0</v>
      </c>
      <c r="I102" s="43">
        <f>NETWORKDAYS($E$4,F102,'Festivos Guatemala'!$A$3:$A$15)</f>
        <v>6</v>
      </c>
      <c r="J102" s="75">
        <f t="shared" ref="J102" si="17">H102</f>
        <v>0</v>
      </c>
      <c r="L102" s="52"/>
    </row>
    <row r="103" spans="2:15" s="43" customFormat="1" ht="15" customHeight="1" outlineLevel="1" thickBot="1">
      <c r="B103" s="303" t="s">
        <v>892</v>
      </c>
      <c r="C103" s="47" t="s">
        <v>1412</v>
      </c>
      <c r="D103" s="109">
        <v>2983.05</v>
      </c>
      <c r="E103" s="115">
        <f>D103/$D$6</f>
        <v>399.87265415549598</v>
      </c>
      <c r="F103" s="74">
        <v>46031</v>
      </c>
      <c r="G103" s="43" t="s">
        <v>135</v>
      </c>
      <c r="H103" s="43">
        <f>IF(OR(G103="Sin pagar",G103="Pagar"),NETWORKDAYS($E$4,F103,'Festivos Guatemala'!$A$3:$A$15),0)</f>
        <v>0</v>
      </c>
      <c r="I103" s="43">
        <f>NETWORKDAYS($E$4,F103,'Festivos Guatemala'!$A$3:$A$15)</f>
        <v>7</v>
      </c>
      <c r="J103" s="75">
        <f>H103</f>
        <v>0</v>
      </c>
      <c r="L103" s="52"/>
    </row>
    <row r="104" spans="2:15" s="43" customFormat="1" ht="16.5" thickBot="1">
      <c r="C104" s="332" t="s">
        <v>1107</v>
      </c>
      <c r="D104" s="333">
        <f>SUBTOTAL(9,D105:D113)</f>
        <v>250209.9</v>
      </c>
      <c r="E104" s="334">
        <f>SUBTOTAL(9,E105:E113)</f>
        <v>33540.201072386059</v>
      </c>
      <c r="K104" s="52"/>
      <c r="L104" s="86"/>
      <c r="M104" s="109"/>
      <c r="N104" s="109"/>
      <c r="O104" s="113"/>
    </row>
    <row r="105" spans="2:15" s="43" customFormat="1" ht="15" customHeight="1" outlineLevel="1">
      <c r="B105" s="303" t="s">
        <v>892</v>
      </c>
      <c r="C105" s="47" t="s">
        <v>1108</v>
      </c>
      <c r="D105" s="109">
        <v>10512.86</v>
      </c>
      <c r="E105" s="115">
        <f t="shared" ref="E105:E112" si="18">D105/$D$6</f>
        <v>1409.230563002681</v>
      </c>
      <c r="F105" s="74">
        <v>46050</v>
      </c>
      <c r="G105" s="43" t="s">
        <v>135</v>
      </c>
      <c r="H105" s="43">
        <f>IF(OR(G105="Sin pagar",G105="Pagar"),NETWORKDAYS($E$4,F105,'Festivos Guatemala'!$A$3:$A$29),0)</f>
        <v>0</v>
      </c>
      <c r="I105" s="43">
        <f>NETWORKDAYS($E$4,F105,'Festivos Guatemala'!$A$3:$A$15)</f>
        <v>20</v>
      </c>
      <c r="J105" s="75">
        <f t="shared" ref="J105" si="19">H105</f>
        <v>0</v>
      </c>
      <c r="L105" s="52"/>
    </row>
    <row r="106" spans="2:15" s="43" customFormat="1" ht="15" customHeight="1" outlineLevel="1">
      <c r="B106" s="303" t="s">
        <v>892</v>
      </c>
      <c r="C106" s="47" t="s">
        <v>1109</v>
      </c>
      <c r="D106" s="109">
        <v>37124.620000000003</v>
      </c>
      <c r="E106" s="115">
        <f t="shared" si="18"/>
        <v>4976.4906166219844</v>
      </c>
      <c r="F106" s="74">
        <v>46050</v>
      </c>
      <c r="G106" s="43" t="s">
        <v>135</v>
      </c>
      <c r="H106" s="43">
        <f>IF(OR(G106="Sin pagar",G106="Pagar"),NETWORKDAYS($E$4,F106,'Festivos Guatemala'!$A$3:$A$29),0)</f>
        <v>0</v>
      </c>
      <c r="I106" s="43">
        <f>NETWORKDAYS($E$4,F106,'Festivos Guatemala'!$A$3:$A$15)</f>
        <v>20</v>
      </c>
      <c r="J106" s="75">
        <f>H106</f>
        <v>0</v>
      </c>
      <c r="L106" s="52"/>
    </row>
    <row r="107" spans="2:15" s="43" customFormat="1" ht="15" customHeight="1" outlineLevel="1">
      <c r="B107" s="303" t="s">
        <v>892</v>
      </c>
      <c r="C107" s="47" t="s">
        <v>1110</v>
      </c>
      <c r="D107" s="109">
        <v>15877.07</v>
      </c>
      <c r="E107" s="115">
        <f t="shared" si="18"/>
        <v>2128.2935656836462</v>
      </c>
      <c r="F107" s="74">
        <v>46050</v>
      </c>
      <c r="G107" s="43" t="s">
        <v>135</v>
      </c>
      <c r="H107" s="43">
        <f>IF(OR(G107="Sin pagar",G107="Pagar"),NETWORKDAYS($E$4,F107,'Festivos Guatemala'!$A$3:$A$29),0)</f>
        <v>0</v>
      </c>
      <c r="I107" s="43">
        <f>NETWORKDAYS($E$4,F107,'Festivos Guatemala'!$A$3:$A$15)</f>
        <v>20</v>
      </c>
      <c r="J107" s="75">
        <f>H107</f>
        <v>0</v>
      </c>
      <c r="L107" s="52"/>
    </row>
    <row r="108" spans="2:15" s="43" customFormat="1" ht="15" customHeight="1" outlineLevel="1">
      <c r="B108" s="303" t="s">
        <v>892</v>
      </c>
      <c r="C108" s="47" t="s">
        <v>1111</v>
      </c>
      <c r="D108" s="109">
        <v>15256.07</v>
      </c>
      <c r="E108" s="115">
        <f t="shared" si="18"/>
        <v>2045.0495978552278</v>
      </c>
      <c r="F108" s="74">
        <v>46050</v>
      </c>
      <c r="G108" s="43" t="s">
        <v>135</v>
      </c>
      <c r="H108" s="43">
        <f>IF(OR(G108="Sin pagar",G108="Pagar"),NETWORKDAYS($E$4,F108,'Festivos Guatemala'!$A$3:$A$29),0)</f>
        <v>0</v>
      </c>
      <c r="I108" s="43">
        <f>NETWORKDAYS($E$4,F108,'Festivos Guatemala'!$A$3:$A$15)</f>
        <v>20</v>
      </c>
      <c r="J108" s="75">
        <f t="shared" ref="J108:J112" si="20">H108</f>
        <v>0</v>
      </c>
      <c r="L108" s="52"/>
    </row>
    <row r="109" spans="2:15" s="43" customFormat="1" ht="15" customHeight="1" outlineLevel="1">
      <c r="B109" s="303" t="s">
        <v>892</v>
      </c>
      <c r="C109" s="47" t="s">
        <v>1193</v>
      </c>
      <c r="D109" s="109">
        <v>31396.66</v>
      </c>
      <c r="E109" s="115">
        <f t="shared" si="18"/>
        <v>4208.6675603217154</v>
      </c>
      <c r="F109" s="74">
        <v>46050</v>
      </c>
      <c r="G109" s="43" t="s">
        <v>135</v>
      </c>
      <c r="H109" s="43">
        <f>IF(OR(G109="Sin pagar",G109="Pagar"),NETWORKDAYS($E$4,F109,'Festivos Guatemala'!$A$3:$A$29),0)</f>
        <v>0</v>
      </c>
      <c r="I109" s="43">
        <f>NETWORKDAYS($E$4,F109,'Festivos Guatemala'!$A$3:$A$15)</f>
        <v>20</v>
      </c>
      <c r="J109" s="75">
        <f t="shared" si="20"/>
        <v>0</v>
      </c>
      <c r="L109" s="52"/>
    </row>
    <row r="110" spans="2:15" s="43" customFormat="1" ht="15" customHeight="1" outlineLevel="1">
      <c r="B110" s="303" t="s">
        <v>892</v>
      </c>
      <c r="C110" s="47" t="s">
        <v>1112</v>
      </c>
      <c r="D110" s="109">
        <v>16081.52</v>
      </c>
      <c r="E110" s="115">
        <f t="shared" si="18"/>
        <v>2155.6997319034854</v>
      </c>
      <c r="F110" s="74">
        <v>46050</v>
      </c>
      <c r="G110" s="43" t="s">
        <v>135</v>
      </c>
      <c r="H110" s="43">
        <f>IF(OR(G110="Sin pagar",G110="Pagar"),NETWORKDAYS($E$4,F110,'Festivos Guatemala'!$A$3:$A$29),0)</f>
        <v>0</v>
      </c>
      <c r="I110" s="43">
        <f>NETWORKDAYS($E$4,F110,'Festivos Guatemala'!$A$3:$A$15)</f>
        <v>20</v>
      </c>
      <c r="J110" s="75">
        <f t="shared" si="20"/>
        <v>0</v>
      </c>
      <c r="L110" s="52"/>
    </row>
    <row r="111" spans="2:15" s="43" customFormat="1" ht="15" customHeight="1" outlineLevel="1">
      <c r="B111" s="303" t="s">
        <v>892</v>
      </c>
      <c r="C111" s="47" t="s">
        <v>1301</v>
      </c>
      <c r="D111" s="109">
        <v>46398.52</v>
      </c>
      <c r="E111" s="115">
        <f t="shared" si="18"/>
        <v>6219.6407506702408</v>
      </c>
      <c r="F111" s="74">
        <v>46050</v>
      </c>
      <c r="G111" s="43" t="s">
        <v>135</v>
      </c>
      <c r="H111" s="43">
        <f>IF(OR(G111="Sin pagar",G111="Pagar"),NETWORKDAYS($E$4,F111,'Festivos Guatemala'!$A$3:$A$29),0)</f>
        <v>0</v>
      </c>
      <c r="I111" s="43">
        <f>NETWORKDAYS($E$4,F111,'Festivos Guatemala'!$A$3:$A$15)</f>
        <v>20</v>
      </c>
      <c r="J111" s="75">
        <f t="shared" si="20"/>
        <v>0</v>
      </c>
      <c r="L111" s="52"/>
    </row>
    <row r="112" spans="2:15" s="43" customFormat="1" ht="15" customHeight="1" outlineLevel="1">
      <c r="B112" s="267" t="s">
        <v>1036</v>
      </c>
      <c r="C112" s="47" t="s">
        <v>1194</v>
      </c>
      <c r="D112" s="109">
        <v>47485.65</v>
      </c>
      <c r="E112" s="115">
        <f t="shared" si="18"/>
        <v>6365.3686327077749</v>
      </c>
      <c r="F112" s="74">
        <v>46050</v>
      </c>
      <c r="G112" s="43" t="s">
        <v>135</v>
      </c>
      <c r="H112" s="43">
        <f>IF(OR(G112="Sin pagar",G112="Pagar"),NETWORKDAYS($E$4,F112,'Festivos Guatemala'!$A$3:$A$29),0)</f>
        <v>0</v>
      </c>
      <c r="I112" s="43">
        <f>NETWORKDAYS($E$4,F112,'Festivos Guatemala'!$A$3:$A$15)</f>
        <v>20</v>
      </c>
      <c r="J112" s="75">
        <f t="shared" si="20"/>
        <v>0</v>
      </c>
      <c r="L112" s="52"/>
    </row>
    <row r="113" spans="2:16" s="43" customFormat="1" ht="15" customHeight="1" outlineLevel="1" thickBot="1">
      <c r="B113" s="267" t="s">
        <v>1494</v>
      </c>
      <c r="C113" s="47" t="s">
        <v>1495</v>
      </c>
      <c r="D113" s="109">
        <v>30076.93</v>
      </c>
      <c r="E113" s="115">
        <f t="shared" ref="E113" si="21">D113/$D$6</f>
        <v>4031.7600536193031</v>
      </c>
      <c r="F113" s="74">
        <v>46052</v>
      </c>
      <c r="G113" s="43" t="s">
        <v>135</v>
      </c>
      <c r="H113" s="43">
        <f>IF(OR(G113="Sin pagar",G113="Pagar"),NETWORKDAYS($E$4,F113,'Festivos Guatemala'!$A$3:$A$29),0)</f>
        <v>0</v>
      </c>
      <c r="I113" s="43">
        <f>NETWORKDAYS($E$4,F113,'Festivos Guatemala'!$A$3:$A$15)</f>
        <v>22</v>
      </c>
      <c r="J113" s="75">
        <f t="shared" ref="J113" si="22">H113</f>
        <v>0</v>
      </c>
      <c r="L113" s="52"/>
    </row>
    <row r="114" spans="2:16" s="43" customFormat="1" ht="16.5" thickBot="1">
      <c r="B114" s="46"/>
      <c r="C114" s="332" t="s">
        <v>155</v>
      </c>
      <c r="D114" s="333">
        <f>SUBTOTAL(9,D115:D115)</f>
        <v>35590.800000000003</v>
      </c>
      <c r="E114" s="334">
        <f>SUBTOTAL(9,E115:E115)</f>
        <v>4770.8847184986598</v>
      </c>
      <c r="F114" s="74"/>
      <c r="J114" s="76"/>
    </row>
    <row r="115" spans="2:16" s="43" customFormat="1" ht="15" customHeight="1" outlineLevel="1" thickBot="1">
      <c r="B115" s="168">
        <v>5917503</v>
      </c>
      <c r="C115" s="78" t="s">
        <v>1397</v>
      </c>
      <c r="D115" s="104">
        <v>35590.800000000003</v>
      </c>
      <c r="E115" s="115">
        <f>D115/$D$6</f>
        <v>4770.8847184986598</v>
      </c>
      <c r="F115" s="80">
        <v>46038</v>
      </c>
      <c r="G115" s="43" t="s">
        <v>135</v>
      </c>
      <c r="H115" s="43">
        <f>IF(OR(G115="Sin pagar",G115="Pagar"),NETWORKDAYS($E$4,F115,'Festivos Guatemala'!$A$3:$A$29),0)</f>
        <v>0</v>
      </c>
      <c r="I115" s="43">
        <f>NETWORKDAYS($E$4,F115,'Festivos Guatemala'!$A$3:$A$15)</f>
        <v>12</v>
      </c>
      <c r="J115" s="75">
        <f>H115</f>
        <v>0</v>
      </c>
      <c r="K115" s="52"/>
      <c r="L115" s="52"/>
    </row>
    <row r="116" spans="2:16" s="43" customFormat="1" ht="16.5" thickBot="1">
      <c r="B116" s="46"/>
      <c r="C116" s="332" t="s">
        <v>144</v>
      </c>
      <c r="D116" s="333">
        <f>SUBTOTAL(9,D117:D117)</f>
        <v>4931.8599999999997</v>
      </c>
      <c r="E116" s="334">
        <f>SUBTOTAL(9,E117:E117)</f>
        <v>661.10723860589803</v>
      </c>
      <c r="J116" s="76">
        <f t="shared" ref="J116" si="23">H116</f>
        <v>0</v>
      </c>
    </row>
    <row r="117" spans="2:16" s="43" customFormat="1" ht="15" customHeight="1" outlineLevel="1" thickBot="1">
      <c r="B117" s="168">
        <v>49637216175</v>
      </c>
      <c r="C117" s="47" t="s">
        <v>1398</v>
      </c>
      <c r="D117" s="104">
        <v>4931.8599999999997</v>
      </c>
      <c r="E117" s="115">
        <f>D117/$D$6</f>
        <v>661.10723860589803</v>
      </c>
      <c r="F117" s="80">
        <v>46038</v>
      </c>
      <c r="G117" s="43" t="s">
        <v>135</v>
      </c>
      <c r="H117" s="43">
        <f>IF(OR(G117="Sin pagar",G117="Pagar"),NETWORKDAYS($E$4,F117,'Festivos Guatemala'!$A$3:$A$29),0)</f>
        <v>0</v>
      </c>
      <c r="I117" s="43">
        <f>NETWORKDAYS($E$4,F117,'Festivos Guatemala'!$A$3:$A$15)</f>
        <v>12</v>
      </c>
      <c r="J117" s="75">
        <f>H117</f>
        <v>0</v>
      </c>
      <c r="K117" s="48"/>
      <c r="L117" s="57"/>
    </row>
    <row r="118" spans="2:16" s="43" customFormat="1" ht="16.5" thickBot="1">
      <c r="B118" s="46"/>
      <c r="C118" s="332" t="s">
        <v>173</v>
      </c>
      <c r="D118" s="333">
        <f>SUBTOTAL(9,D119:D124)</f>
        <v>142625.39880000002</v>
      </c>
      <c r="E118" s="334">
        <f>SUBTOTAL(9,E119:E124)</f>
        <v>19118.686166219843</v>
      </c>
    </row>
    <row r="119" spans="2:16" s="43" customFormat="1" ht="15" customHeight="1" outlineLevel="1">
      <c r="B119" s="46"/>
      <c r="C119" s="47" t="s">
        <v>1406</v>
      </c>
      <c r="D119" s="104">
        <v>16605.96</v>
      </c>
      <c r="E119" s="115">
        <f>D119/$D$6</f>
        <v>2226</v>
      </c>
      <c r="F119" s="74">
        <v>46031</v>
      </c>
      <c r="G119" s="43" t="s">
        <v>135</v>
      </c>
      <c r="H119" s="43">
        <f>IF(OR(G119="Sin pagar",G119="Pagar"),NETWORKDAYS($E$4,F119,'Festivos Guatemala'!$A$3:$A$29),0)</f>
        <v>0</v>
      </c>
      <c r="I119" s="43">
        <f>NETWORKDAYS($E$4,F119,'Festivos Guatemala'!$A$3:$A$15)</f>
        <v>7</v>
      </c>
      <c r="J119" s="75">
        <f t="shared" ref="J119" si="24">H119</f>
        <v>0</v>
      </c>
      <c r="K119" s="52"/>
      <c r="L119" s="54"/>
    </row>
    <row r="120" spans="2:16" s="43" customFormat="1" ht="15" customHeight="1" outlineLevel="1">
      <c r="B120" s="46"/>
      <c r="C120" s="47" t="s">
        <v>1409</v>
      </c>
      <c r="D120" s="104">
        <v>106.73</v>
      </c>
      <c r="E120" s="115">
        <f>D120/$D$6</f>
        <v>14.306970509383378</v>
      </c>
      <c r="F120" s="74">
        <v>46036</v>
      </c>
      <c r="G120" s="43" t="s">
        <v>135</v>
      </c>
      <c r="H120" s="43">
        <f>IF(OR(G120="Sin pagar",G120="Pagar"),NETWORKDAYS($E$4,F120,'Festivos Guatemala'!$A$3:$A$29),0)</f>
        <v>0</v>
      </c>
      <c r="I120" s="43">
        <f>NETWORKDAYS($E$4,F120,'Festivos Guatemala'!$A$3:$A$15)</f>
        <v>10</v>
      </c>
      <c r="J120" s="75">
        <f>H120</f>
        <v>0</v>
      </c>
      <c r="K120" s="52"/>
      <c r="L120" s="54"/>
    </row>
    <row r="121" spans="2:16" s="43" customFormat="1" ht="15" customHeight="1" outlineLevel="1">
      <c r="B121" s="46"/>
      <c r="C121" s="47" t="s">
        <v>1409</v>
      </c>
      <c r="D121" s="104">
        <v>619.53</v>
      </c>
      <c r="E121" s="115">
        <f>D121/$D$6</f>
        <v>83.046916890080425</v>
      </c>
      <c r="F121" s="74">
        <v>46051</v>
      </c>
      <c r="G121" s="43" t="s">
        <v>135</v>
      </c>
      <c r="H121" s="43">
        <f>IF(OR(G121="Sin pagar",G121="Pagar"),NETWORKDAYS($E$4,F121,'Festivos Guatemala'!$A$3:$A$29),0)</f>
        <v>0</v>
      </c>
      <c r="I121" s="43">
        <f>NETWORKDAYS($E$4,F121,'Festivos Guatemala'!$A$3:$A$15)</f>
        <v>21</v>
      </c>
      <c r="J121" s="75">
        <f>H121</f>
        <v>0</v>
      </c>
      <c r="K121" s="52"/>
      <c r="L121" s="54"/>
    </row>
    <row r="122" spans="2:16" s="43" customFormat="1" ht="15" customHeight="1" outlineLevel="1">
      <c r="B122" s="46"/>
      <c r="C122" s="47" t="s">
        <v>1406</v>
      </c>
      <c r="D122" s="104">
        <v>2254.9</v>
      </c>
      <c r="E122" s="115">
        <f>D122/$D$6</f>
        <v>302.26541554959789</v>
      </c>
      <c r="F122" s="74">
        <v>46051</v>
      </c>
      <c r="G122" s="43" t="s">
        <v>135</v>
      </c>
      <c r="H122" s="43">
        <f>IF(OR(G122="Sin pagar",G122="Pagar"),NETWORKDAYS($E$4,F122,'Festivos Guatemala'!$A$3:$A$29),0)</f>
        <v>0</v>
      </c>
      <c r="I122" s="43">
        <f>NETWORKDAYS($E$4,F122,'Festivos Guatemala'!$A$3:$A$15)</f>
        <v>21</v>
      </c>
      <c r="J122" s="75">
        <f t="shared" ref="J122:J123" si="25">H122</f>
        <v>0</v>
      </c>
      <c r="K122" s="52"/>
      <c r="L122" s="54"/>
    </row>
    <row r="123" spans="2:16" s="43" customFormat="1" ht="15" customHeight="1" outlineLevel="1">
      <c r="B123" s="46"/>
      <c r="C123" s="47" t="s">
        <v>1507</v>
      </c>
      <c r="D123" s="104">
        <v>42822.54</v>
      </c>
      <c r="E123" s="115">
        <f>D123/$D$6</f>
        <v>5740.2868632707778</v>
      </c>
      <c r="F123" s="74">
        <v>46051</v>
      </c>
      <c r="G123" s="43" t="s">
        <v>135</v>
      </c>
      <c r="H123" s="43">
        <f>IF(OR(G123="Sin pagar",G123="Pagar"),NETWORKDAYS($E$4,F123,'Festivos Guatemala'!$A$3:$A$29),0)</f>
        <v>0</v>
      </c>
      <c r="I123" s="43">
        <f>NETWORKDAYS($E$4,F123,'Festivos Guatemala'!$A$3:$A$15)</f>
        <v>21</v>
      </c>
      <c r="J123" s="75">
        <f t="shared" si="25"/>
        <v>0</v>
      </c>
      <c r="K123" s="52"/>
      <c r="L123" s="54"/>
    </row>
    <row r="124" spans="2:16" s="43" customFormat="1" ht="15" customHeight="1" outlineLevel="1" thickBot="1">
      <c r="B124" s="46"/>
      <c r="C124" s="47" t="s">
        <v>1204</v>
      </c>
      <c r="D124" s="104">
        <f>E124*$D$6</f>
        <v>80215.738800000006</v>
      </c>
      <c r="E124" s="364">
        <v>10752.78</v>
      </c>
      <c r="F124" s="74">
        <v>46051</v>
      </c>
      <c r="G124" s="43" t="s">
        <v>135</v>
      </c>
      <c r="H124" s="43">
        <f>IF(OR(G124="Sin pagar",G124="Pagar"),NETWORKDAYS($E$4,F124,'Festivos Guatemala'!$A$3:$A$29),0)</f>
        <v>0</v>
      </c>
      <c r="I124" s="43">
        <f>NETWORKDAYS($E$4,F124,'Festivos Guatemala'!$A$3:$A$15)</f>
        <v>21</v>
      </c>
      <c r="J124" s="75">
        <f t="shared" ref="J124" si="26">H124</f>
        <v>0</v>
      </c>
      <c r="K124" s="52"/>
      <c r="L124" s="54"/>
    </row>
    <row r="125" spans="2:16" s="43" customFormat="1" ht="16.5" thickBot="1">
      <c r="C125" s="332" t="s">
        <v>146</v>
      </c>
      <c r="D125" s="333">
        <f>SUBTOTAL(9,D126:D128)</f>
        <v>5693.68</v>
      </c>
      <c r="E125" s="334">
        <f>SUBTOTAL(9,E126:E128)</f>
        <v>763.22788203753362</v>
      </c>
      <c r="K125" s="49"/>
      <c r="L125" s="49"/>
      <c r="O125" s="49"/>
      <c r="P125" s="49"/>
    </row>
    <row r="126" spans="2:16" s="43" customFormat="1" ht="15" customHeight="1" outlineLevel="1">
      <c r="B126" s="186"/>
      <c r="C126" s="47" t="s">
        <v>1387</v>
      </c>
      <c r="D126" s="104">
        <v>499.41</v>
      </c>
      <c r="E126" s="115">
        <f>D126/$D$6</f>
        <v>66.945040214477217</v>
      </c>
      <c r="F126" s="74">
        <v>46052</v>
      </c>
      <c r="G126" s="43" t="s">
        <v>135</v>
      </c>
      <c r="H126" s="43">
        <f>IF(OR(G126="Sin pagar",G126="Pagar"),NETWORKDAYS($E$4,F126,'Festivos Guatemala'!$A$3:$A$29),0)</f>
        <v>0</v>
      </c>
      <c r="I126" s="43">
        <f>NETWORKDAYS($E$4,F126,'Festivos Guatemala'!$A$3:$A$15)</f>
        <v>22</v>
      </c>
      <c r="J126" s="75">
        <f t="shared" ref="J126:J128" si="27">H126</f>
        <v>0</v>
      </c>
      <c r="K126" s="49"/>
      <c r="L126" s="49"/>
      <c r="O126" s="49"/>
      <c r="P126" s="49"/>
    </row>
    <row r="127" spans="2:16" s="43" customFormat="1" ht="15" customHeight="1" outlineLevel="1">
      <c r="B127" s="369"/>
      <c r="C127" s="47" t="s">
        <v>1390</v>
      </c>
      <c r="D127" s="104">
        <v>1151.99</v>
      </c>
      <c r="E127" s="115">
        <f>D127/$D$6</f>
        <v>154.42225201072387</v>
      </c>
      <c r="F127" s="74">
        <v>46052</v>
      </c>
      <c r="G127" s="43" t="s">
        <v>135</v>
      </c>
      <c r="H127" s="43">
        <f>IF(OR(G127="Sin pagar",G127="Pagar"),NETWORKDAYS($E$4,F127,'Festivos Guatemala'!$A$3:$A$29),0)</f>
        <v>0</v>
      </c>
      <c r="I127" s="366">
        <f>NETWORKDAYS($E$4,F127,'Festivos Guatemala'!$A$3:$A$15)</f>
        <v>22</v>
      </c>
      <c r="J127" s="75">
        <f t="shared" si="27"/>
        <v>0</v>
      </c>
      <c r="K127" s="49"/>
      <c r="L127" s="49"/>
      <c r="O127" s="49"/>
      <c r="P127" s="49"/>
    </row>
    <row r="128" spans="2:16" s="43" customFormat="1" ht="15" customHeight="1" outlineLevel="1" thickBot="1">
      <c r="B128" s="369"/>
      <c r="C128" s="47" t="s">
        <v>1389</v>
      </c>
      <c r="D128" s="104">
        <v>4042.28</v>
      </c>
      <c r="E128" s="115">
        <f>D128/$D$6</f>
        <v>541.86058981233248</v>
      </c>
      <c r="F128" s="74">
        <v>46052</v>
      </c>
      <c r="G128" s="43" t="s">
        <v>135</v>
      </c>
      <c r="H128" s="43">
        <f>IF(OR(G128="Sin pagar",G128="Pagar"),NETWORKDAYS($E$4,F128,'Festivos Guatemala'!$A$3:$A$29),0)</f>
        <v>0</v>
      </c>
      <c r="I128" s="366">
        <f>NETWORKDAYS($E$4,F128,'Festivos Guatemala'!$A$3:$A$15)</f>
        <v>22</v>
      </c>
      <c r="J128" s="75">
        <f t="shared" si="27"/>
        <v>0</v>
      </c>
      <c r="K128" s="49"/>
      <c r="L128" s="49"/>
      <c r="O128" s="49"/>
      <c r="P128" s="49"/>
    </row>
    <row r="129" spans="1:16" s="43" customFormat="1" ht="16.5" thickBot="1">
      <c r="B129" s="46"/>
      <c r="C129" s="332" t="s">
        <v>149</v>
      </c>
      <c r="D129" s="333">
        <f>SUBTOTAL(9,D130)</f>
        <v>32487.7</v>
      </c>
      <c r="E129" s="334">
        <f>SUBTOTAL(9,E130)</f>
        <v>4354.919571045577</v>
      </c>
      <c r="J129" s="76"/>
    </row>
    <row r="130" spans="1:16" s="43" customFormat="1" ht="15" customHeight="1" outlineLevel="1" thickBot="1">
      <c r="B130" s="311"/>
      <c r="C130" s="47" t="s">
        <v>1329</v>
      </c>
      <c r="D130" s="109">
        <v>32487.7</v>
      </c>
      <c r="E130" s="115">
        <f>D130/D6</f>
        <v>4354.919571045577</v>
      </c>
      <c r="F130" s="80">
        <v>46031</v>
      </c>
      <c r="G130" s="43" t="s">
        <v>135</v>
      </c>
      <c r="H130" s="43">
        <f>IF(OR(G130="Sin pagar",G130="Pagar"),NETWORKDAYS($E$4,F130,'Festivos Guatemala'!$A$3:$A$29),0)</f>
        <v>0</v>
      </c>
      <c r="I130" s="43">
        <f>NETWORKDAYS($E$4,F130,'Festivos Guatemala'!$A$3:$A$15)</f>
        <v>7</v>
      </c>
      <c r="J130" s="75">
        <f>H130</f>
        <v>0</v>
      </c>
      <c r="K130" s="52"/>
      <c r="L130" s="54"/>
    </row>
    <row r="131" spans="1:16" s="43" customFormat="1" ht="14.25" customHeight="1">
      <c r="B131" s="46"/>
      <c r="C131" s="88" t="s">
        <v>150</v>
      </c>
      <c r="D131" s="120">
        <f>SUBTOTAL(9,D38:D130)</f>
        <v>3174842.6809999999</v>
      </c>
      <c r="E131" s="116">
        <f>SUBTOTAL(9,E38:E130)</f>
        <v>425582.12882037542</v>
      </c>
      <c r="K131" s="39"/>
      <c r="L131" s="39"/>
      <c r="N131" s="39"/>
      <c r="O131" s="39"/>
      <c r="P131" s="39"/>
    </row>
    <row r="132" spans="1:16" ht="15.75">
      <c r="A132" s="43"/>
      <c r="E132" s="117"/>
      <c r="F132" s="89"/>
      <c r="G132" s="89"/>
      <c r="H132" s="89"/>
      <c r="I132" s="89"/>
      <c r="J132" s="89"/>
    </row>
    <row r="133" spans="1:16" ht="15.75">
      <c r="A133" s="43"/>
      <c r="C133" s="90" t="s">
        <v>151</v>
      </c>
      <c r="D133" s="121">
        <f>D33-D131</f>
        <v>640804.27346177865</v>
      </c>
      <c r="E133" s="118">
        <f>E33-E131</f>
        <v>75211.605328613601</v>
      </c>
      <c r="F133" s="226"/>
      <c r="G133" s="227"/>
      <c r="J133" s="227"/>
    </row>
    <row r="134" spans="1:16" s="93" customFormat="1" ht="15.75">
      <c r="A134" s="43"/>
      <c r="B134" s="94"/>
      <c r="C134" s="90" t="s">
        <v>152</v>
      </c>
      <c r="D134" s="95">
        <f>IF($D$33=0,0,D133/$D$33)</f>
        <v>0.1679411856257986</v>
      </c>
      <c r="E134" s="95">
        <f>IF($E$33=0,0,E133/$E$33)</f>
        <v>0.1501847970530672</v>
      </c>
      <c r="F134" s="96"/>
      <c r="G134" s="92"/>
      <c r="J134" s="97"/>
      <c r="K134" s="39"/>
      <c r="L134" s="39"/>
      <c r="N134" s="39"/>
      <c r="O134" s="39"/>
      <c r="P134" s="39"/>
    </row>
    <row r="135" spans="1:16" ht="15.75" thickBot="1">
      <c r="A135" s="43"/>
      <c r="F135" s="96"/>
      <c r="G135" s="92"/>
    </row>
    <row r="136" spans="1:16" ht="15.75" thickBot="1">
      <c r="A136" s="43"/>
      <c r="C136" s="135" t="s">
        <v>184</v>
      </c>
      <c r="D136" s="136" t="s">
        <v>185</v>
      </c>
      <c r="E136" s="137" t="s">
        <v>191</v>
      </c>
      <c r="F136" s="137" t="s">
        <v>186</v>
      </c>
      <c r="G136" s="92"/>
    </row>
    <row r="137" spans="1:16">
      <c r="A137" s="43"/>
      <c r="C137" s="393">
        <v>46023</v>
      </c>
      <c r="D137" s="394">
        <v>46028</v>
      </c>
      <c r="E137" s="395">
        <f t="shared" ref="E137" si="28">SUMIFS($D$38:$D$134,$F$38:$F$134,"&gt;="&amp;C137,$F$38:$F$134,"&lt;="&amp;D137,$G$38:$G$134,$D$157)</f>
        <v>0</v>
      </c>
      <c r="F137" s="396">
        <f t="shared" ref="F137" si="29">SUMIFS($E$38:$E$134,$F$38:$F$134,"&gt;="&amp;C137,$F$38:$F$134,"&lt;="&amp;D137,$G$38:$G$134,$D$157)</f>
        <v>0</v>
      </c>
      <c r="G137" s="92" t="s">
        <v>1407</v>
      </c>
    </row>
    <row r="138" spans="1:16">
      <c r="A138" s="43"/>
      <c r="C138" s="191">
        <v>46027</v>
      </c>
      <c r="D138" s="192">
        <v>46033</v>
      </c>
      <c r="E138" s="193">
        <f t="shared" ref="E138:E144" si="30">SUMIFS($D$38:$D$134,$F$38:$F$134,"&gt;="&amp;C138,$F$38:$F$134,"&lt;="&amp;D138,$G$38:$G$134,$D$157)</f>
        <v>0</v>
      </c>
      <c r="F138" s="194">
        <f t="shared" ref="F138:F144" si="31">SUMIFS($E$38:$E$134,$F$38:$F$134,"&gt;="&amp;C138,$F$38:$F$134,"&lt;="&amp;D138,$G$38:$G$134,$D$157)</f>
        <v>0</v>
      </c>
      <c r="G138" s="92" t="s">
        <v>1407</v>
      </c>
    </row>
    <row r="139" spans="1:16">
      <c r="A139" s="43"/>
      <c r="C139" s="191">
        <v>46034</v>
      </c>
      <c r="D139" s="260">
        <v>46034</v>
      </c>
      <c r="E139" s="193">
        <f t="shared" si="30"/>
        <v>0</v>
      </c>
      <c r="F139" s="194">
        <f t="shared" si="31"/>
        <v>0</v>
      </c>
      <c r="G139" s="92"/>
    </row>
    <row r="140" spans="1:16">
      <c r="A140" s="43"/>
      <c r="C140" s="191">
        <v>46035</v>
      </c>
      <c r="D140" s="260">
        <v>46035</v>
      </c>
      <c r="E140" s="193">
        <f t="shared" si="30"/>
        <v>0</v>
      </c>
      <c r="F140" s="194">
        <f t="shared" si="31"/>
        <v>0</v>
      </c>
      <c r="G140" s="92" t="s">
        <v>1399</v>
      </c>
    </row>
    <row r="141" spans="1:16">
      <c r="A141" s="43"/>
      <c r="C141" s="191">
        <v>46036</v>
      </c>
      <c r="D141" s="192">
        <v>46040</v>
      </c>
      <c r="E141" s="193">
        <f t="shared" si="30"/>
        <v>0</v>
      </c>
      <c r="F141" s="194">
        <f t="shared" si="31"/>
        <v>0</v>
      </c>
      <c r="G141" s="92" t="s">
        <v>1401</v>
      </c>
    </row>
    <row r="142" spans="1:16">
      <c r="A142" s="43"/>
      <c r="C142" s="191">
        <v>46041</v>
      </c>
      <c r="D142" s="192">
        <v>46047</v>
      </c>
      <c r="E142" s="193">
        <f t="shared" si="30"/>
        <v>0</v>
      </c>
      <c r="F142" s="194">
        <f t="shared" si="31"/>
        <v>0</v>
      </c>
      <c r="G142" s="92" t="s">
        <v>1400</v>
      </c>
    </row>
    <row r="143" spans="1:16">
      <c r="A143" s="43"/>
      <c r="C143" s="191">
        <v>46048</v>
      </c>
      <c r="D143" s="192">
        <v>46053</v>
      </c>
      <c r="E143" s="193">
        <f t="shared" si="30"/>
        <v>0</v>
      </c>
      <c r="F143" s="194">
        <f t="shared" si="31"/>
        <v>0</v>
      </c>
      <c r="G143" s="92" t="s">
        <v>1326</v>
      </c>
    </row>
    <row r="144" spans="1:16" ht="15.75" thickBot="1">
      <c r="A144" s="43"/>
      <c r="C144" s="195">
        <v>46054</v>
      </c>
      <c r="D144" s="196">
        <v>46059</v>
      </c>
      <c r="E144" s="197">
        <f t="shared" si="30"/>
        <v>0</v>
      </c>
      <c r="F144" s="198">
        <f t="shared" si="31"/>
        <v>0</v>
      </c>
      <c r="G144" s="92"/>
    </row>
    <row r="145" spans="1:10" ht="15.75">
      <c r="A145" s="43"/>
      <c r="C145" s="433" t="s">
        <v>187</v>
      </c>
      <c r="D145" s="433"/>
      <c r="E145" s="148">
        <f>SUM(E138:E144)</f>
        <v>0</v>
      </c>
      <c r="F145" s="144">
        <f>SUM(F138:F144)</f>
        <v>0</v>
      </c>
      <c r="G145" s="92"/>
    </row>
    <row r="146" spans="1:10">
      <c r="A146" s="43"/>
      <c r="F146" s="96"/>
      <c r="G146" s="92"/>
    </row>
    <row r="147" spans="1:10">
      <c r="A147" s="43"/>
      <c r="F147" s="96"/>
      <c r="G147" s="92"/>
    </row>
    <row r="148" spans="1:10">
      <c r="A148" s="43"/>
      <c r="C148" s="41"/>
      <c r="D148" s="41" t="s">
        <v>380</v>
      </c>
      <c r="E148" s="166">
        <f>'Caja QTQ'!$H$956+('Caja USD'!$H$313*$D$6)</f>
        <v>651087.46446177794</v>
      </c>
      <c r="F148" s="153">
        <f>('Caja QTQ'!$H$956/$D$6+'Caja USD'!$H$313)</f>
        <v>87277.140008281218</v>
      </c>
      <c r="G148" s="92"/>
    </row>
    <row r="149" spans="1:10">
      <c r="A149" s="43"/>
      <c r="C149" s="41"/>
      <c r="D149" s="146" t="s">
        <v>1403</v>
      </c>
      <c r="E149" s="201">
        <f>SUBTOTAL(9,E148:E148)</f>
        <v>651087.46446177794</v>
      </c>
      <c r="F149" s="397">
        <f>SUBTOTAL(9,F148:F148)</f>
        <v>87277.140008281218</v>
      </c>
      <c r="G149" s="92"/>
    </row>
    <row r="150" spans="1:10">
      <c r="A150" s="43"/>
      <c r="C150" s="41"/>
      <c r="E150" s="166"/>
      <c r="F150" s="153"/>
      <c r="G150" s="92"/>
    </row>
    <row r="151" spans="1:10">
      <c r="A151" s="43"/>
      <c r="C151" s="41"/>
      <c r="D151" s="200" t="s">
        <v>1402</v>
      </c>
      <c r="E151" s="166">
        <f>SUM(E137:E142)</f>
        <v>0</v>
      </c>
      <c r="F151" s="153">
        <f>SUM(F137:F142)</f>
        <v>0</v>
      </c>
      <c r="G151" s="92"/>
    </row>
    <row r="152" spans="1:10">
      <c r="A152" s="43"/>
      <c r="C152" s="41"/>
      <c r="D152" s="146" t="s">
        <v>969</v>
      </c>
      <c r="E152" s="201">
        <f>E149-E151</f>
        <v>651087.46446177794</v>
      </c>
      <c r="F152" s="173">
        <f>F149-F151</f>
        <v>87277.140008281218</v>
      </c>
      <c r="G152" s="92"/>
    </row>
    <row r="153" spans="1:10">
      <c r="A153" s="43"/>
      <c r="C153" s="41"/>
      <c r="E153" s="166"/>
      <c r="F153" s="153"/>
      <c r="G153" s="92"/>
    </row>
    <row r="154" spans="1:10">
      <c r="A154" s="43"/>
      <c r="D154" s="146"/>
      <c r="E154" s="298"/>
      <c r="F154" s="299"/>
      <c r="G154" s="92"/>
      <c r="J154" s="167"/>
    </row>
    <row r="155" spans="1:10">
      <c r="A155" s="43"/>
      <c r="D155" s="146"/>
      <c r="E155" s="298"/>
      <c r="F155" s="299"/>
      <c r="G155" s="92"/>
      <c r="J155" s="167"/>
    </row>
    <row r="156" spans="1:10">
      <c r="D156" s="43" t="s">
        <v>135</v>
      </c>
      <c r="E156" s="15">
        <f>SUMIFS($D$38:$D$147,$F$38:$F$147,"&gt;="&amp;C137,$F$38:$F$147,"&lt;="&amp;$D$144,$G$38:$G$147,$D$156)</f>
        <v>3174842.6809999999</v>
      </c>
      <c r="F156" s="153">
        <f>SUMIFS($E$38:$E$147,$F$38:$F$147,"&gt;="&amp;C137,$F$38:$F$147,"&lt;="&amp;$D$144,$G$38:$G$147,$D$156)</f>
        <v>425582.12882037542</v>
      </c>
    </row>
    <row r="157" spans="1:10">
      <c r="D157" s="43" t="s">
        <v>143</v>
      </c>
      <c r="E157" s="15">
        <f>SUMIFS($D$38:$D$147,$F$38:$F$147,"&gt;="&amp;C138,$F$38:$F$147,"&lt;="&amp;$D$144,$G$38:$G$147,$D$157)</f>
        <v>0</v>
      </c>
      <c r="F157" s="153">
        <f>SUMIFS($E$38:$E$147,$F$38:$F$147,"&gt;="&amp;C138,$F$38:$F$147,"&lt;="&amp;$D$144,$G$38:$G$147,$D$157)</f>
        <v>0</v>
      </c>
    </row>
    <row r="158" spans="1:10">
      <c r="D158" s="146" t="s">
        <v>189</v>
      </c>
      <c r="E158" s="152">
        <f>SUM(E156:E157)</f>
        <v>3174842.6809999999</v>
      </c>
      <c r="F158" s="145">
        <f>SUM(F156:F157)</f>
        <v>425582.12882037542</v>
      </c>
    </row>
    <row r="159" spans="1:10">
      <c r="D159" s="146" t="s">
        <v>190</v>
      </c>
      <c r="E159" s="152">
        <f>E158-D131</f>
        <v>0</v>
      </c>
      <c r="F159" s="145">
        <f>F158-E131</f>
        <v>0</v>
      </c>
    </row>
    <row r="162" spans="4:6">
      <c r="D162" s="417" t="s">
        <v>373</v>
      </c>
      <c r="E162" s="417">
        <f>D133</f>
        <v>640804.27346177865</v>
      </c>
    </row>
    <row r="163" spans="4:6">
      <c r="D163" s="417" t="s">
        <v>339</v>
      </c>
      <c r="E163" s="417">
        <f>'Caja QTQ'!$H$956+('Caja USD'!H313*$D$6)</f>
        <v>651087.46446177794</v>
      </c>
      <c r="F163" s="227"/>
    </row>
    <row r="164" spans="4:6">
      <c r="D164" s="417" t="s">
        <v>444</v>
      </c>
      <c r="E164" s="417">
        <f>E163-E162</f>
        <v>10283.190999999293</v>
      </c>
      <c r="F164" s="227"/>
    </row>
    <row r="165" spans="4:6">
      <c r="D165" s="417" t="s">
        <v>674</v>
      </c>
      <c r="E165" s="417">
        <f>E164/$D$6</f>
        <v>1378.4438337800661</v>
      </c>
      <c r="F165" s="227"/>
    </row>
    <row r="166" spans="4:6">
      <c r="E166" s="166"/>
      <c r="F166" s="227"/>
    </row>
    <row r="167" spans="4:6">
      <c r="E167" s="167"/>
      <c r="F167" s="227"/>
    </row>
    <row r="168" spans="4:6">
      <c r="D168" s="109"/>
      <c r="E168" s="264"/>
      <c r="F168" s="227"/>
    </row>
    <row r="169" spans="4:6">
      <c r="D169" s="109"/>
      <c r="E169" s="264"/>
      <c r="F169" s="227"/>
    </row>
    <row r="170" spans="4:6">
      <c r="D170" s="109"/>
      <c r="E170" s="264"/>
      <c r="F170" s="227"/>
    </row>
    <row r="171" spans="4:6">
      <c r="D171" s="109"/>
      <c r="E171" s="264"/>
      <c r="F171" s="227"/>
    </row>
    <row r="173" spans="4:6">
      <c r="E173" s="264"/>
      <c r="F173" s="92"/>
    </row>
    <row r="174" spans="4:6">
      <c r="E174" s="264"/>
      <c r="F174" s="92"/>
    </row>
    <row r="175" spans="4:6">
      <c r="E175" s="264"/>
      <c r="F175" s="92"/>
    </row>
  </sheetData>
  <protectedRanges>
    <protectedRange sqref="F33:G33 D135:E135 D59:E59 F152 F148:F150 C148:C153 D146:E155" name="Presupuestos"/>
    <protectedRange sqref="D37:E37 D8:E8" name="Presupuestos_1"/>
    <protectedRange sqref="D46:E50" name="Presupuestos_13_1"/>
    <protectedRange sqref="D57 D126:D128 D52:E55" name="Presupuestos_14"/>
    <protectedRange sqref="E105:E113 E98 E64:E85" name="Presupuestos_2_1_1_1"/>
    <protectedRange sqref="D100:E100 D94:E94 E126:E128 D102:E102 D130:E130 D87:E92 D119:E124 D96:E97" name="Presupuestos_6_1_1_1"/>
    <protectedRange sqref="D161 D168:D170 D105:D113 D98 D64:D85" name="Presupuestos_5_2_1"/>
    <protectedRange sqref="E57" name="Presupuestos_13_1_1"/>
    <protectedRange sqref="E61:E62" name="Presupuestos_7_1_2"/>
    <protectedRange sqref="D61:D62" name="Presupuestos_7_1_1_1"/>
    <protectedRange sqref="D10:E12" name="Presupuestos_2"/>
    <protectedRange sqref="E165" name="Presupuestos_3"/>
    <protectedRange sqref="E103" name="Presupuestos_2_1_1_1_1"/>
    <protectedRange sqref="D103" name="Presupuestos_5_2_1_1"/>
  </protectedRanges>
  <autoFilter ref="B37:J130" xr:uid="{00000000-0009-0000-0000-000002000000}"/>
  <mergeCells count="4">
    <mergeCell ref="D7:E7"/>
    <mergeCell ref="B36:C36"/>
    <mergeCell ref="D36:E36"/>
    <mergeCell ref="C145:D145"/>
  </mergeCells>
  <conditionalFormatting sqref="J39 J41:J44 J46:J50 J52:J55 J57 J61:J62 J64:J100 J105:J113 J115 J117:J124 J126:J128">
    <cfRule type="cellIs" dxfId="62" priority="15" operator="lessThan">
      <formula>0</formula>
    </cfRule>
    <cfRule type="cellIs" dxfId="61" priority="17" operator="between">
      <formula>1</formula>
      <formula>5</formula>
    </cfRule>
    <cfRule type="cellIs" dxfId="60" priority="18" operator="between">
      <formula>16</formula>
      <formula>60</formula>
    </cfRule>
  </conditionalFormatting>
  <conditionalFormatting sqref="J59 J130">
    <cfRule type="cellIs" dxfId="59" priority="11" operator="lessThan">
      <formula>0</formula>
    </cfRule>
    <cfRule type="cellIs" dxfId="58" priority="13" operator="between">
      <formula>1</formula>
      <formula>5</formula>
    </cfRule>
    <cfRule type="cellIs" dxfId="57" priority="14" operator="between">
      <formula>16</formula>
      <formula>60</formula>
    </cfRule>
  </conditionalFormatting>
  <conditionalFormatting sqref="J64:J100 J39 J41:J44 J46:J50 J52:J55 J57 J61:J62 J105:J113 J115 J117:J124 J126:J128">
    <cfRule type="cellIs" dxfId="56" priority="16" operator="between">
      <formula>6</formula>
      <formula>15</formula>
    </cfRule>
  </conditionalFormatting>
  <conditionalFormatting sqref="J94 J96:J98">
    <cfRule type="cellIs" dxfId="55" priority="8" operator="between">
      <formula>6</formula>
      <formula>15</formula>
    </cfRule>
    <cfRule type="cellIs" dxfId="54" priority="9" operator="between">
      <formula>1</formula>
      <formula>5</formula>
    </cfRule>
    <cfRule type="cellIs" dxfId="53" priority="10" operator="between">
      <formula>16</formula>
      <formula>60</formula>
    </cfRule>
  </conditionalFormatting>
  <conditionalFormatting sqref="J102:J103">
    <cfRule type="cellIs" dxfId="52" priority="1" operator="lessThan">
      <formula>0</formula>
    </cfRule>
    <cfRule type="cellIs" dxfId="51" priority="2" operator="between">
      <formula>6</formula>
      <formula>15</formula>
    </cfRule>
    <cfRule type="cellIs" dxfId="50" priority="3" operator="between">
      <formula>1</formula>
      <formula>5</formula>
    </cfRule>
    <cfRule type="cellIs" dxfId="49" priority="4" operator="between">
      <formula>16</formula>
      <formula>60</formula>
    </cfRule>
  </conditionalFormatting>
  <conditionalFormatting sqref="J130 J59">
    <cfRule type="cellIs" dxfId="48" priority="12" operator="between">
      <formula>6</formula>
      <formula>15</formula>
    </cfRule>
  </conditionalFormatting>
  <conditionalFormatting sqref="J130">
    <cfRule type="cellIs" dxfId="47" priority="5" operator="between">
      <formula>6</formula>
      <formula>15</formula>
    </cfRule>
    <cfRule type="cellIs" dxfId="46" priority="6" operator="between">
      <formula>1</formula>
      <formula>5</formula>
    </cfRule>
    <cfRule type="cellIs" dxfId="45" priority="7" operator="between">
      <formula>16</formula>
      <formula>60</formula>
    </cfRule>
  </conditionalFormatting>
  <dataValidations disablePrompts="1" count="3">
    <dataValidation type="list" allowBlank="1" showInputMessage="1" showErrorMessage="1" sqref="D156:D157 G59 G57 G52:G55 G38:G39 G126:G130 G102:G103 G46:G50 G61:G62 G41:G44 G105:G115 G117:G124 G64:G100" xr:uid="{BC9403F4-5CB4-4F4E-9DC9-F03F87D9F4DB}">
      <formula1>"Cancelado,Pagar,Sin Pagar"</formula1>
    </dataValidation>
    <dataValidation type="list" allowBlank="1" showInputMessage="1" showErrorMessage="1" sqref="D36 D7" xr:uid="{CA5904C7-14BE-41B9-8A00-98B7F5A1DBE7}">
      <formula1>"ENERO,FEBRERO,MARZO,ABRIL,MAYO,JUNIO,JULIO,AGOSTO,SEPTIEMBRE,OCTUBRE,NOVIEMBRE,DICIEMBRE"</formula1>
    </dataValidation>
    <dataValidation type="list" allowBlank="1" showInputMessage="1" showErrorMessage="1" sqref="B14:B32 B12" xr:uid="{8E34B12C-85ED-495D-8E0F-C16A9A797B81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H99:I100 J131 H114:I118 H45:I45 H86:I86 H47:I47 H56:J60 H39:J42 G29:M29 H50:I55 J43:J55 H62:J64 H78:I82 H68:J76 H104:I112 H124:J129 H92:I96 O29 J77:J83 J99:J123 H84:J84 J86:J97 H65:J66" unlockedFormula="1"/>
    <ignoredError sqref="E115" formula="1"/>
  </ignoredError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6CB4-EC11-4F0C-B5D6-5996040B696F}">
  <dimension ref="A1:S164"/>
  <sheetViews>
    <sheetView showGridLines="0" topLeftCell="A143" zoomScaleNormal="100" workbookViewId="0">
      <selection activeCell="D10" sqref="D10"/>
    </sheetView>
  </sheetViews>
  <sheetFormatPr baseColWidth="10" defaultColWidth="11.42578125" defaultRowHeight="15" outlineLevelRow="1"/>
  <cols>
    <col min="1" max="1" width="2.140625" style="39" customWidth="1"/>
    <col min="2" max="2" width="14.42578125" style="40" bestFit="1" customWidth="1"/>
    <col min="3" max="3" width="60.28515625" style="39" customWidth="1"/>
    <col min="4" max="4" width="27.7109375" style="41" bestFit="1" customWidth="1"/>
    <col min="5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10" hidden="1">
      <c r="D1" s="41">
        <v>42400</v>
      </c>
    </row>
    <row r="2" spans="2:10">
      <c r="D2" s="42"/>
      <c r="E2" s="42"/>
      <c r="I2" s="43"/>
    </row>
    <row r="3" spans="2:10">
      <c r="E3" s="15"/>
      <c r="I3" s="43"/>
    </row>
    <row r="4" spans="2:10" ht="15.75">
      <c r="B4" s="134"/>
      <c r="C4" s="134"/>
      <c r="D4" s="111" t="s">
        <v>139</v>
      </c>
      <c r="E4" s="66">
        <v>46054</v>
      </c>
      <c r="I4" s="43"/>
    </row>
    <row r="5" spans="2:10">
      <c r="D5" s="42"/>
      <c r="E5" s="42"/>
      <c r="I5" s="43"/>
    </row>
    <row r="6" spans="2:10">
      <c r="C6" s="98" t="s">
        <v>181</v>
      </c>
      <c r="D6" s="125">
        <v>7.46</v>
      </c>
      <c r="E6" s="42"/>
      <c r="I6" s="43"/>
    </row>
    <row r="7" spans="2:10" ht="15.75">
      <c r="C7" s="99"/>
      <c r="D7" s="432" t="s">
        <v>677</v>
      </c>
      <c r="E7" s="432"/>
      <c r="I7" s="43"/>
    </row>
    <row r="8" spans="2:10">
      <c r="D8" s="110" t="s">
        <v>168</v>
      </c>
      <c r="E8" s="110" t="s">
        <v>169</v>
      </c>
    </row>
    <row r="9" spans="2:10" s="44" customFormat="1" ht="15.75">
      <c r="C9" s="101" t="s">
        <v>133</v>
      </c>
      <c r="D9" s="126">
        <f>SUBTOTAL(9,D10:D11)</f>
        <v>742396.06446177792</v>
      </c>
      <c r="E9" s="122">
        <f>SUBTOTAL(9,E10:E11)</f>
        <v>99516.898721417936</v>
      </c>
      <c r="F9" s="45"/>
      <c r="I9" s="43"/>
    </row>
    <row r="10" spans="2:10" s="43" customFormat="1" outlineLevel="1">
      <c r="B10" s="46"/>
      <c r="C10" s="47" t="s">
        <v>153</v>
      </c>
      <c r="D10" s="15">
        <f>'Caja QTQ'!$D$959+91308.6</f>
        <v>731457.0934617779</v>
      </c>
      <c r="E10" s="25">
        <f>D10/$D$6</f>
        <v>98050.548721417945</v>
      </c>
      <c r="F10" s="49"/>
    </row>
    <row r="11" spans="2:10" s="43" customFormat="1" outlineLevel="1">
      <c r="B11" s="46"/>
      <c r="C11" s="47" t="s">
        <v>154</v>
      </c>
      <c r="D11" s="15">
        <f>E11*D6</f>
        <v>10938.970999999989</v>
      </c>
      <c r="E11" s="25">
        <f>'Caja USD'!$D$316</f>
        <v>1466.3499999999985</v>
      </c>
      <c r="F11" s="49"/>
    </row>
    <row r="12" spans="2:10" s="43" customFormat="1" ht="15.75">
      <c r="B12" s="46"/>
      <c r="C12" s="102" t="s">
        <v>134</v>
      </c>
      <c r="D12" s="127">
        <f>SUBTOTAL(9,D13:D30)</f>
        <v>980200.40000000014</v>
      </c>
      <c r="E12" s="122">
        <f>SUBTOTAL(9,E13:E30)</f>
        <v>130134.02000000002</v>
      </c>
      <c r="F12" s="128"/>
    </row>
    <row r="13" spans="2:10" s="43" customFormat="1" ht="15" customHeight="1" outlineLevel="1">
      <c r="B13" s="218" t="s">
        <v>298</v>
      </c>
      <c r="C13" s="215" t="s">
        <v>1533</v>
      </c>
      <c r="D13" s="252">
        <f>'Diferencia en cambio'!$I$235</f>
        <v>8536.43</v>
      </c>
      <c r="E13" s="217">
        <f>D13/'Diferencia en cambio'!L235</f>
        <v>1149.71</v>
      </c>
      <c r="F13" s="128"/>
      <c r="G13" s="171"/>
      <c r="J13" s="372"/>
    </row>
    <row r="14" spans="2:10" s="43" customFormat="1" ht="15" customHeight="1" outlineLevel="1">
      <c r="B14" s="218" t="s">
        <v>298</v>
      </c>
      <c r="C14" s="407" t="s">
        <v>1557</v>
      </c>
      <c r="D14" s="252">
        <f>'Diferencia en cambio'!$I$237</f>
        <v>76371.940472617964</v>
      </c>
      <c r="E14" s="217">
        <f>$D$14/'Diferencia en cambio'!$L$237</f>
        <v>10024.84</v>
      </c>
      <c r="F14" s="128"/>
      <c r="G14" s="171"/>
      <c r="J14" s="372"/>
    </row>
    <row r="15" spans="2:10" s="43" customFormat="1" ht="15" customHeight="1" outlineLevel="1">
      <c r="B15" s="218" t="s">
        <v>298</v>
      </c>
      <c r="C15" s="407" t="s">
        <v>1558</v>
      </c>
      <c r="D15" s="252">
        <f>'Diferencia en cambio'!$I$238</f>
        <v>50603.369852995493</v>
      </c>
      <c r="E15" s="217">
        <f>$D$15/'Diferencia en cambio'!$L$238</f>
        <v>6642.37</v>
      </c>
      <c r="F15" s="202"/>
      <c r="G15" s="171"/>
      <c r="J15" s="372"/>
    </row>
    <row r="16" spans="2:10" s="43" customFormat="1" ht="15" customHeight="1" outlineLevel="1">
      <c r="B16" s="218" t="s">
        <v>298</v>
      </c>
      <c r="C16" s="407" t="s">
        <v>1559</v>
      </c>
      <c r="D16" s="252">
        <f>'Diferencia en cambio'!$I$239</f>
        <v>12627.587693268239</v>
      </c>
      <c r="E16" s="217">
        <f>$D$16/'Diferencia en cambio'!$L$239</f>
        <v>1657.54</v>
      </c>
      <c r="F16" s="329"/>
      <c r="G16" s="208"/>
    </row>
    <row r="17" spans="1:17" s="43" customFormat="1" ht="15" customHeight="1" outlineLevel="1">
      <c r="B17" s="218" t="s">
        <v>298</v>
      </c>
      <c r="C17" s="407" t="s">
        <v>1560</v>
      </c>
      <c r="D17" s="252">
        <f>'Diferencia en cambio'!$I$240</f>
        <v>28374.62851150634</v>
      </c>
      <c r="E17" s="217">
        <f>$D$17/'Diferencia en cambio'!$L$240</f>
        <v>3724.55</v>
      </c>
      <c r="F17" s="329"/>
      <c r="G17" s="208"/>
    </row>
    <row r="18" spans="1:17" s="43" customFormat="1" ht="15" customHeight="1" outlineLevel="1">
      <c r="B18" s="218" t="s">
        <v>298</v>
      </c>
      <c r="C18" s="407" t="s">
        <v>1561</v>
      </c>
      <c r="D18" s="252">
        <f>'Diferencia en cambio'!$I$241</f>
        <v>20299.947676068317</v>
      </c>
      <c r="E18" s="217">
        <f>$D$18/'Diferencia en cambio'!$L$241</f>
        <v>2664.64</v>
      </c>
      <c r="F18" s="329"/>
      <c r="G18" s="208"/>
    </row>
    <row r="19" spans="1:17" s="43" customFormat="1" ht="15" customHeight="1" outlineLevel="1">
      <c r="B19" s="218" t="s">
        <v>298</v>
      </c>
      <c r="C19" s="407" t="s">
        <v>1562</v>
      </c>
      <c r="D19" s="252">
        <f>'Diferencia en cambio'!$I$242</f>
        <v>138130.28637686477</v>
      </c>
      <c r="E19" s="217">
        <f>$D$19/'Diferencia en cambio'!$L$242</f>
        <v>18131.45</v>
      </c>
      <c r="F19" s="329"/>
      <c r="G19" s="208"/>
    </row>
    <row r="20" spans="1:17" s="43" customFormat="1" ht="15" customHeight="1" outlineLevel="1">
      <c r="B20" s="218" t="s">
        <v>298</v>
      </c>
      <c r="C20" s="407" t="s">
        <v>1563</v>
      </c>
      <c r="D20" s="252">
        <f>'Diferencia en cambio'!$I$243</f>
        <v>8531.9294166788732</v>
      </c>
      <c r="E20" s="217">
        <f>$D$20/'Diferencia en cambio'!$L$243</f>
        <v>1119.93</v>
      </c>
      <c r="F20" s="329"/>
      <c r="G20" s="208"/>
    </row>
    <row r="21" spans="1:17" s="43" customFormat="1" ht="15" customHeight="1" outlineLevel="1">
      <c r="B21" s="218" t="s">
        <v>298</v>
      </c>
      <c r="C21" s="405" t="s">
        <v>1564</v>
      </c>
      <c r="D21" s="252">
        <f>'Diferencia en cambio'!I244</f>
        <v>12508.65</v>
      </c>
      <c r="E21" s="217">
        <f>D21/'Diferencia en cambio'!L244</f>
        <v>1682.28</v>
      </c>
      <c r="F21" s="329"/>
      <c r="G21" s="208"/>
    </row>
    <row r="22" spans="1:17" s="43" customFormat="1" ht="15" customHeight="1" outlineLevel="1">
      <c r="B22" s="218" t="s">
        <v>298</v>
      </c>
      <c r="C22" s="405" t="s">
        <v>1565</v>
      </c>
      <c r="D22" s="252">
        <f>'Diferencia en cambio'!I245</f>
        <v>40674.51</v>
      </c>
      <c r="E22" s="217">
        <f>D22/'Diferencia en cambio'!L245</f>
        <v>5376.03</v>
      </c>
      <c r="F22" s="329"/>
      <c r="G22" s="208"/>
    </row>
    <row r="23" spans="1:17" s="43" customFormat="1" ht="15" customHeight="1" outlineLevel="1">
      <c r="B23" s="218" t="s">
        <v>298</v>
      </c>
      <c r="C23" s="405" t="s">
        <v>1566</v>
      </c>
      <c r="D23" s="252">
        <f>'Diferencia en cambio'!$I$246</f>
        <v>11068.0366590389</v>
      </c>
      <c r="E23" s="217">
        <f>$D$23/'Diferencia en cambio'!$L$246</f>
        <v>1465.01</v>
      </c>
      <c r="F23" s="329"/>
      <c r="G23" s="208"/>
    </row>
    <row r="24" spans="1:17" s="43" customFormat="1" ht="15" customHeight="1" outlineLevel="1">
      <c r="B24" s="218" t="s">
        <v>298</v>
      </c>
      <c r="C24" s="405" t="s">
        <v>1567</v>
      </c>
      <c r="D24" s="252">
        <f>'Diferencia en cambio'!$I$247</f>
        <v>26039.097255656849</v>
      </c>
      <c r="E24" s="217">
        <f>$D$24/'Diferencia en cambio'!$L$247</f>
        <v>3446.64</v>
      </c>
      <c r="F24" s="329"/>
      <c r="G24" s="208"/>
    </row>
    <row r="25" spans="1:17" s="43" customFormat="1" ht="15" customHeight="1" outlineLevel="1">
      <c r="B25" s="218" t="s">
        <v>298</v>
      </c>
      <c r="C25" s="405" t="s">
        <v>1568</v>
      </c>
      <c r="D25" s="252">
        <f>'Diferencia en cambio'!$I$248</f>
        <v>18602.787275866955</v>
      </c>
      <c r="E25" s="217">
        <f>$D$25/'Diferencia en cambio'!$L$248</f>
        <v>2462.34</v>
      </c>
      <c r="F25" s="329"/>
      <c r="G25" s="208"/>
    </row>
    <row r="26" spans="1:17" s="43" customFormat="1" ht="15" customHeight="1" outlineLevel="1">
      <c r="B26" s="218" t="s">
        <v>298</v>
      </c>
      <c r="C26" s="406" t="s">
        <v>1569</v>
      </c>
      <c r="D26" s="252">
        <f>'Diferencia en cambio'!$I$249</f>
        <v>45248.091493606844</v>
      </c>
      <c r="E26" s="217">
        <f>$D$26/'Diferencia en cambio'!$L$249</f>
        <v>5989.22</v>
      </c>
      <c r="F26" s="329"/>
      <c r="G26" s="208"/>
    </row>
    <row r="27" spans="1:17" s="43" customFormat="1" ht="15" customHeight="1" outlineLevel="1">
      <c r="B27" s="218" t="s">
        <v>298</v>
      </c>
      <c r="C27" s="406" t="s">
        <v>1570</v>
      </c>
      <c r="D27" s="252">
        <f>'Diferencia en cambio'!$I$250</f>
        <v>11524.127315830445</v>
      </c>
      <c r="E27" s="217">
        <f>$D$27/'Diferencia en cambio'!$L$250</f>
        <v>1525.38</v>
      </c>
      <c r="F27" s="329"/>
      <c r="G27" s="208"/>
    </row>
    <row r="28" spans="1:17" s="43" customFormat="1" ht="15" customHeight="1" outlineLevel="1">
      <c r="A28" s="50"/>
      <c r="B28" s="51" t="s">
        <v>143</v>
      </c>
      <c r="C28" s="361" t="s">
        <v>1590</v>
      </c>
      <c r="D28" s="171">
        <f>'Diferencia en cambio'!E233*0</f>
        <v>0</v>
      </c>
      <c r="E28" s="208">
        <f>10180*0</f>
        <v>0</v>
      </c>
      <c r="F28" s="128"/>
      <c r="G28" s="184"/>
      <c r="J28" s="404"/>
      <c r="M28" s="404"/>
      <c r="O28" s="404"/>
    </row>
    <row r="29" spans="1:17" s="43" customFormat="1" ht="15" customHeight="1" outlineLevel="1">
      <c r="A29" s="50"/>
      <c r="B29" s="218" t="s">
        <v>298</v>
      </c>
      <c r="C29" s="215" t="s">
        <v>1556</v>
      </c>
      <c r="D29" s="252">
        <f>'Diferencia en cambio'!I236</f>
        <v>38892.15</v>
      </c>
      <c r="E29" s="225">
        <f>D29/'Diferencia en cambio'!L236</f>
        <v>5140.88</v>
      </c>
      <c r="F29" s="128"/>
      <c r="G29" s="184"/>
    </row>
    <row r="30" spans="1:17" s="43" customFormat="1" ht="15" customHeight="1" outlineLevel="1">
      <c r="A30" s="50"/>
      <c r="B30" s="218" t="s">
        <v>298</v>
      </c>
      <c r="C30" s="215" t="s">
        <v>1593</v>
      </c>
      <c r="D30" s="252">
        <f>'Diferencia en cambio'!I251</f>
        <v>432166.83</v>
      </c>
      <c r="E30" s="217">
        <f>D30/'Diferencia en cambio'!L251</f>
        <v>57931.21</v>
      </c>
      <c r="F30" s="128"/>
      <c r="G30" s="184"/>
    </row>
    <row r="31" spans="1:17" s="43" customFormat="1" ht="15.75">
      <c r="B31" s="46"/>
      <c r="C31" s="276" t="s">
        <v>136</v>
      </c>
      <c r="D31" s="274">
        <f>SUBTOTAL(9,D9:D30)</f>
        <v>1722596.4644617781</v>
      </c>
      <c r="E31" s="275">
        <f>SUBTOTAL(9,E9:E30)</f>
        <v>229650.91872141795</v>
      </c>
      <c r="F31" s="56"/>
      <c r="G31" s="56"/>
      <c r="J31" s="52"/>
      <c r="K31" s="57"/>
      <c r="O31" s="58"/>
      <c r="P31" s="59"/>
      <c r="Q31" s="53"/>
    </row>
    <row r="32" spans="1:17" s="43" customFormat="1" ht="15.75">
      <c r="B32" s="46"/>
      <c r="C32" s="60"/>
      <c r="D32" s="61"/>
      <c r="E32" s="61"/>
      <c r="G32" s="62"/>
      <c r="O32" s="59"/>
      <c r="P32" s="59"/>
    </row>
    <row r="33" spans="2:19" s="43" customFormat="1" ht="15.75">
      <c r="B33" s="46"/>
      <c r="N33" s="63"/>
      <c r="O33" s="64"/>
      <c r="P33" s="65"/>
    </row>
    <row r="34" spans="2:19" s="43" customFormat="1" ht="15.75">
      <c r="B34" s="432" t="s">
        <v>137</v>
      </c>
      <c r="C34" s="432"/>
      <c r="D34" s="432" t="s">
        <v>677</v>
      </c>
      <c r="E34" s="432"/>
      <c r="K34" s="65"/>
      <c r="L34" s="65"/>
      <c r="N34" s="63"/>
      <c r="R34" s="52"/>
      <c r="S34" s="52"/>
    </row>
    <row r="35" spans="2:19" s="43" customFormat="1" ht="16.5" thickBot="1">
      <c r="B35" s="67" t="s">
        <v>81</v>
      </c>
      <c r="C35" s="68" t="s">
        <v>106</v>
      </c>
      <c r="D35" s="110" t="s">
        <v>168</v>
      </c>
      <c r="E35" s="110" t="s">
        <v>169</v>
      </c>
      <c r="F35" s="69" t="s">
        <v>140</v>
      </c>
      <c r="G35" s="63" t="s">
        <v>141</v>
      </c>
      <c r="H35" s="63"/>
      <c r="I35" s="63"/>
      <c r="J35" s="70" t="s">
        <v>142</v>
      </c>
      <c r="N35" s="71"/>
      <c r="R35" s="52"/>
      <c r="S35" s="72"/>
    </row>
    <row r="36" spans="2:19" s="43" customFormat="1" ht="16.5" thickBot="1">
      <c r="B36" s="46"/>
      <c r="C36" s="73" t="s">
        <v>155</v>
      </c>
      <c r="D36" s="103">
        <f>SUBTOTAL(9,D37:D37)</f>
        <v>95354.57</v>
      </c>
      <c r="E36" s="112">
        <f>SUBTOTAL(9,E37:E37)</f>
        <v>12782.113941018768</v>
      </c>
      <c r="F36" s="74"/>
      <c r="J36" s="76"/>
    </row>
    <row r="37" spans="2:19" s="43" customFormat="1" ht="15.75" outlineLevel="1" thickBot="1">
      <c r="B37" s="168">
        <v>5933985</v>
      </c>
      <c r="C37" s="78" t="s">
        <v>676</v>
      </c>
      <c r="D37" s="104">
        <v>95354.57</v>
      </c>
      <c r="E37" s="115">
        <f>D37/$D$6</f>
        <v>12782.113941018768</v>
      </c>
      <c r="F37" s="74">
        <v>46065</v>
      </c>
      <c r="G37" s="43" t="s">
        <v>135</v>
      </c>
      <c r="H37" s="43">
        <f>IF(OR(G37="Sin pagar",G37="Pagar"),NETWORKDAYS($E$4,F37,'Festivos Guatemala'!$A$3:$A$29),0)</f>
        <v>0</v>
      </c>
      <c r="I37" s="43">
        <f>NETWORKDAYS($E$4,F37,'Festivos Guatemala'!$A$3:$A$15)</f>
        <v>9</v>
      </c>
      <c r="J37" s="75">
        <f>H37</f>
        <v>0</v>
      </c>
      <c r="K37" s="52"/>
      <c r="L37" s="52"/>
    </row>
    <row r="38" spans="2:19" s="43" customFormat="1" ht="16.5" thickBot="1">
      <c r="B38" s="46"/>
      <c r="C38" s="73" t="s">
        <v>144</v>
      </c>
      <c r="D38" s="103">
        <f>SUBTOTAL(9,D39:D41)</f>
        <v>25153.84</v>
      </c>
      <c r="E38" s="112">
        <f>SUBTOTAL(9,E39:E41)</f>
        <v>3371.8284182305633</v>
      </c>
      <c r="J38" s="76">
        <f t="shared" ref="J38:J47" si="0">H38</f>
        <v>0</v>
      </c>
    </row>
    <row r="39" spans="2:19" s="43" customFormat="1" outlineLevel="1">
      <c r="B39" s="356">
        <v>50115315132</v>
      </c>
      <c r="C39" s="47" t="s">
        <v>1550</v>
      </c>
      <c r="D39" s="104">
        <v>21360.21</v>
      </c>
      <c r="E39" s="115">
        <f>D39/$D$6</f>
        <v>2863.298927613941</v>
      </c>
      <c r="F39" s="74">
        <v>46065</v>
      </c>
      <c r="G39" s="43" t="s">
        <v>135</v>
      </c>
      <c r="H39" s="43">
        <f>IF(OR(G39="Sin pagar",G39="Pagar"),NETWORKDAYS($E$4,F39,'Festivos Guatemala'!$A$3:$A$29),0)</f>
        <v>0</v>
      </c>
      <c r="I39" s="43">
        <f>NETWORKDAYS($E$4,F39,'Festivos Guatemala'!$A$3:$A$15)</f>
        <v>9</v>
      </c>
      <c r="J39" s="75">
        <f t="shared" si="0"/>
        <v>0</v>
      </c>
      <c r="K39" s="48"/>
      <c r="L39" s="57"/>
    </row>
    <row r="40" spans="2:19" s="43" customFormat="1" ht="14.25" customHeight="1" outlineLevel="1">
      <c r="B40" s="168">
        <v>50087238177</v>
      </c>
      <c r="C40" s="47" t="s">
        <v>1539</v>
      </c>
      <c r="D40" s="109">
        <v>2759</v>
      </c>
      <c r="E40" s="115">
        <f>D40/$D$6</f>
        <v>369.83914209115284</v>
      </c>
      <c r="F40" s="74">
        <v>46065</v>
      </c>
      <c r="G40" s="43" t="s">
        <v>135</v>
      </c>
      <c r="H40" s="43">
        <f>IF(OR(G40="Sin pagar",G40="Pagar"),NETWORKDAYS($E$4,F40,'Festivos Guatemala'!$A$3:$A$29),0)</f>
        <v>0</v>
      </c>
      <c r="I40" s="43">
        <f>NETWORKDAYS($E$4,F40,'Festivos Guatemala'!$A$3:$A$15)</f>
        <v>9</v>
      </c>
      <c r="J40" s="75">
        <f t="shared" ref="J40" si="1">H40</f>
        <v>0</v>
      </c>
      <c r="K40" s="48"/>
      <c r="L40" s="57"/>
    </row>
    <row r="41" spans="2:19" s="43" customFormat="1" ht="14.25" customHeight="1" outlineLevel="1" thickBot="1">
      <c r="B41" s="356">
        <v>5087471381</v>
      </c>
      <c r="C41" s="47" t="s">
        <v>1148</v>
      </c>
      <c r="D41" s="109">
        <v>1034.6300000000001</v>
      </c>
      <c r="E41" s="115">
        <f>D41/$D$6</f>
        <v>138.69034852546918</v>
      </c>
      <c r="F41" s="74">
        <v>46065</v>
      </c>
      <c r="G41" s="43" t="s">
        <v>135</v>
      </c>
      <c r="H41" s="43">
        <f>IF(OR(G41="Sin pagar",G41="Pagar"),NETWORKDAYS($E$4,F41,'Festivos Guatemala'!$A$3:$A$29),0)</f>
        <v>0</v>
      </c>
      <c r="I41" s="43">
        <f>NETWORKDAYS($E$4,F41,'Festivos Guatemala'!$A$3:$A$15)</f>
        <v>9</v>
      </c>
      <c r="J41" s="75">
        <f t="shared" si="0"/>
        <v>0</v>
      </c>
      <c r="K41" s="48"/>
      <c r="L41" s="57"/>
    </row>
    <row r="42" spans="2:19" s="43" customFormat="1" ht="16.5" thickBot="1">
      <c r="B42" s="46"/>
      <c r="C42" s="73" t="s">
        <v>1065</v>
      </c>
      <c r="D42" s="103">
        <f>SUBTOTAL(9,D43:D47)</f>
        <v>16793.68</v>
      </c>
      <c r="E42" s="112">
        <f>SUBTOTAL(9,E43:E47)</f>
        <v>2251.1635388739946</v>
      </c>
      <c r="J42" s="76">
        <f t="shared" si="0"/>
        <v>0</v>
      </c>
      <c r="K42" s="52"/>
      <c r="L42" s="52"/>
    </row>
    <row r="43" spans="2:19" s="43" customFormat="1" ht="15" customHeight="1" outlineLevel="1">
      <c r="B43" s="356" t="s">
        <v>1535</v>
      </c>
      <c r="C43" s="47" t="s">
        <v>1395</v>
      </c>
      <c r="D43" s="104">
        <f>$E$43*$D$6</f>
        <v>12309</v>
      </c>
      <c r="E43" s="115">
        <v>1650</v>
      </c>
      <c r="F43" s="80">
        <v>46059</v>
      </c>
      <c r="G43" s="43" t="s">
        <v>135</v>
      </c>
      <c r="H43" s="43">
        <f>IF(OR(G43="Sin pagar",G43="Pagar"),NETWORKDAYS($E$4,F43,'Festivos Guatemala'!$A$3:$A$29),0)</f>
        <v>0</v>
      </c>
      <c r="I43" s="43">
        <f>NETWORKDAYS($E$4,F43,'Festivos Guatemala'!$A$3:$A$15)</f>
        <v>5</v>
      </c>
      <c r="J43" s="75">
        <f>H43</f>
        <v>0</v>
      </c>
      <c r="K43" s="48"/>
      <c r="L43" s="57"/>
    </row>
    <row r="44" spans="2:19" s="43" customFormat="1" ht="15" customHeight="1" outlineLevel="1">
      <c r="B44" s="412" t="s">
        <v>1596</v>
      </c>
      <c r="C44" s="47" t="s">
        <v>1597</v>
      </c>
      <c r="D44" s="104">
        <f>5473.2-200-3483.26</f>
        <v>1789.9399999999996</v>
      </c>
      <c r="E44" s="115">
        <f>D44/$D$6</f>
        <v>239.93833780160853</v>
      </c>
      <c r="F44" s="80">
        <v>46073</v>
      </c>
      <c r="G44" s="43" t="s">
        <v>135</v>
      </c>
      <c r="H44" s="43">
        <f>IF(OR(G44="Sin pagar",G44="Pagar"),NETWORKDAYS($E$4,F44,'Festivos Guatemala'!$A$3:$A$29),0)</f>
        <v>0</v>
      </c>
      <c r="I44" s="43">
        <f>NETWORKDAYS($E$4,F44,'Festivos Guatemala'!$A$3:$A$15)</f>
        <v>15</v>
      </c>
      <c r="J44" s="75">
        <f>H44</f>
        <v>0</v>
      </c>
      <c r="K44" s="48"/>
      <c r="L44" s="57"/>
    </row>
    <row r="45" spans="2:19" s="43" customFormat="1" ht="15" customHeight="1" outlineLevel="1">
      <c r="B45" s="168">
        <v>2231061443</v>
      </c>
      <c r="C45" s="47" t="s">
        <v>1587</v>
      </c>
      <c r="D45" s="104">
        <v>400</v>
      </c>
      <c r="E45" s="115">
        <f>D45/$D$6</f>
        <v>53.619302949061662</v>
      </c>
      <c r="F45" s="80">
        <v>46076</v>
      </c>
      <c r="G45" s="43" t="s">
        <v>135</v>
      </c>
      <c r="H45" s="43">
        <f>IF(OR(G45="Sin pagar",G45="Pagar"),NETWORKDAYS($E$4,F45,'Festivos Guatemala'!$A$3:$A$29),0)</f>
        <v>0</v>
      </c>
      <c r="I45" s="43">
        <f>NETWORKDAYS($E$4,F45,'Festivos Guatemala'!$A$3:$A$15)</f>
        <v>16</v>
      </c>
      <c r="J45" s="75">
        <f t="shared" ref="J45" si="2">H45</f>
        <v>0</v>
      </c>
      <c r="K45" s="48"/>
      <c r="L45" s="57"/>
      <c r="M45" s="184">
        <f>SUM(D45:D47)</f>
        <v>2694.7400000000002</v>
      </c>
    </row>
    <row r="46" spans="2:19" s="43" customFormat="1" ht="15" customHeight="1" outlineLevel="1">
      <c r="B46" s="168">
        <v>4209265739</v>
      </c>
      <c r="C46" s="47" t="s">
        <v>1588</v>
      </c>
      <c r="D46" s="104">
        <v>926.32</v>
      </c>
      <c r="E46" s="115">
        <f>D46/$D$6</f>
        <v>124.17158176943701</v>
      </c>
      <c r="F46" s="80">
        <v>46076</v>
      </c>
      <c r="G46" s="43" t="s">
        <v>135</v>
      </c>
      <c r="H46" s="43">
        <f>IF(OR(G46="Sin pagar",G46="Pagar"),NETWORKDAYS($E$4,F46,'Festivos Guatemala'!$A$3:$A$29),0)</f>
        <v>0</v>
      </c>
      <c r="I46" s="43">
        <f>NETWORKDAYS($E$4,F46,'Festivos Guatemala'!$A$3:$A$15)</f>
        <v>16</v>
      </c>
      <c r="J46" s="75">
        <f>H46</f>
        <v>0</v>
      </c>
      <c r="K46" s="48"/>
      <c r="L46" s="57"/>
    </row>
    <row r="47" spans="2:19" s="43" customFormat="1" ht="15" customHeight="1" outlineLevel="1" thickBot="1">
      <c r="B47" s="168">
        <v>1030832530</v>
      </c>
      <c r="C47" s="47" t="s">
        <v>1477</v>
      </c>
      <c r="D47" s="104">
        <v>1368.42</v>
      </c>
      <c r="E47" s="115">
        <f>D47/$D$6</f>
        <v>183.4343163538874</v>
      </c>
      <c r="F47" s="80">
        <v>46076</v>
      </c>
      <c r="G47" s="43" t="s">
        <v>135</v>
      </c>
      <c r="H47" s="43">
        <f>IF(OR(G47="Sin pagar",G47="Pagar"),NETWORKDAYS($E$4,F47,'Festivos Guatemala'!$A$3:$A$29),0)</f>
        <v>0</v>
      </c>
      <c r="I47" s="43">
        <f>NETWORKDAYS($E$4,F47,'Festivos Guatemala'!$A$3:$A$15)</f>
        <v>16</v>
      </c>
      <c r="J47" s="75">
        <f t="shared" si="0"/>
        <v>0</v>
      </c>
      <c r="K47" s="48"/>
      <c r="L47" s="57"/>
    </row>
    <row r="48" spans="2:19" s="43" customFormat="1" ht="16.5" thickBot="1">
      <c r="C48" s="73" t="s">
        <v>146</v>
      </c>
      <c r="D48" s="103">
        <f>SUBTOTAL(9,D49:D52)</f>
        <v>3921.5722000000001</v>
      </c>
      <c r="E48" s="112">
        <f>SUBTOTAL(9,E49:E52)</f>
        <v>525.67991957104562</v>
      </c>
      <c r="K48" s="49"/>
      <c r="L48" s="49"/>
      <c r="O48" s="49"/>
      <c r="P48" s="49"/>
    </row>
    <row r="49" spans="2:16" s="43" customFormat="1" ht="15" customHeight="1" outlineLevel="1">
      <c r="B49" s="186" t="s">
        <v>746</v>
      </c>
      <c r="C49" s="210" t="s">
        <v>272</v>
      </c>
      <c r="D49" s="104">
        <f>E49*$D$6</f>
        <v>410.82220000000001</v>
      </c>
      <c r="E49" s="270">
        <v>55.07</v>
      </c>
      <c r="F49" s="80">
        <v>46082</v>
      </c>
      <c r="G49" s="43" t="s">
        <v>135</v>
      </c>
      <c r="H49" s="43">
        <f>IF(OR(G49="Sin pagar",G49="Pagar"),NETWORKDAYS($E$4,F49,'Festivos Guatemala'!$A$3:$A$29),0)</f>
        <v>0</v>
      </c>
      <c r="I49" s="43">
        <f>NETWORKDAYS($E$4,F49,'Festivos Guatemala'!$A$3:$A$15)</f>
        <v>20</v>
      </c>
      <c r="J49" s="75">
        <f t="shared" ref="J49:J52" si="3">H49</f>
        <v>0</v>
      </c>
      <c r="K49" s="49"/>
      <c r="L49" s="49"/>
      <c r="O49" s="49"/>
      <c r="P49" s="49"/>
    </row>
    <row r="50" spans="2:16" s="43" customFormat="1" ht="15" customHeight="1" outlineLevel="1">
      <c r="B50" s="251" t="s">
        <v>745</v>
      </c>
      <c r="C50" s="209" t="s">
        <v>1608</v>
      </c>
      <c r="D50" s="268">
        <v>776.97</v>
      </c>
      <c r="E50" s="113">
        <f>D50/$D$6</f>
        <v>104.15147453083111</v>
      </c>
      <c r="F50" s="80">
        <v>46082</v>
      </c>
      <c r="G50" s="43" t="s">
        <v>135</v>
      </c>
      <c r="H50" s="43">
        <f>IF(OR(G50="Sin pagar",G50="Pagar"),NETWORKDAYS($E$4,F50,'Festivos Guatemala'!$A$3:$A$29),0)</f>
        <v>0</v>
      </c>
      <c r="I50" s="43">
        <f>NETWORKDAYS($E$4,F50,'Festivos Guatemala'!$A$3:$A$15)</f>
        <v>20</v>
      </c>
      <c r="J50" s="75">
        <f>H50</f>
        <v>0</v>
      </c>
      <c r="K50" s="49"/>
      <c r="L50" s="49"/>
      <c r="O50" s="49"/>
      <c r="P50" s="49"/>
    </row>
    <row r="51" spans="2:16" s="43" customFormat="1" ht="15" customHeight="1" outlineLevel="1">
      <c r="B51" s="251" t="s">
        <v>745</v>
      </c>
      <c r="C51" s="209" t="s">
        <v>825</v>
      </c>
      <c r="D51" s="268">
        <v>926.68</v>
      </c>
      <c r="E51" s="113">
        <f>D51/$D$6</f>
        <v>124.21983914209115</v>
      </c>
      <c r="F51" s="80">
        <v>46082</v>
      </c>
      <c r="G51" s="43" t="s">
        <v>135</v>
      </c>
      <c r="H51" s="43">
        <f>IF(OR(G51="Sin pagar",G51="Pagar"),NETWORKDAYS($E$4,F51,'Festivos Guatemala'!$A$3:$A$29),0)</f>
        <v>0</v>
      </c>
      <c r="I51" s="43">
        <f>NETWORKDAYS($E$4,F51,'Festivos Guatemala'!$A$3:$A$15)</f>
        <v>20</v>
      </c>
      <c r="J51" s="75">
        <f>H51</f>
        <v>0</v>
      </c>
      <c r="K51" s="49"/>
      <c r="L51" s="49"/>
      <c r="O51" s="49"/>
      <c r="P51" s="49"/>
    </row>
    <row r="52" spans="2:16" s="43" customFormat="1" ht="15" customHeight="1" outlineLevel="1" thickBot="1">
      <c r="B52" s="251" t="s">
        <v>745</v>
      </c>
      <c r="C52" s="209" t="s">
        <v>822</v>
      </c>
      <c r="D52" s="268">
        <v>1807.1</v>
      </c>
      <c r="E52" s="113">
        <f>D52/$D$6</f>
        <v>242.23860589812332</v>
      </c>
      <c r="F52" s="80">
        <v>46082</v>
      </c>
      <c r="G52" s="43" t="s">
        <v>135</v>
      </c>
      <c r="H52" s="43">
        <f>IF(OR(G52="Sin pagar",G52="Pagar"),NETWORKDAYS($E$4,F52,'Festivos Guatemala'!$A$3:$A$29),0)</f>
        <v>0</v>
      </c>
      <c r="I52" s="43">
        <f>NETWORKDAYS($E$4,F52,'Festivos Guatemala'!$A$3:$A$15)</f>
        <v>20</v>
      </c>
      <c r="J52" s="75">
        <f t="shared" si="3"/>
        <v>0</v>
      </c>
      <c r="K52" s="49"/>
      <c r="L52" s="49"/>
      <c r="O52" s="49"/>
      <c r="P52" s="49"/>
    </row>
    <row r="53" spans="2:16" s="43" customFormat="1" ht="16.5" thickBot="1">
      <c r="B53" s="82"/>
      <c r="C53" s="85" t="s">
        <v>162</v>
      </c>
      <c r="D53" s="119">
        <f>SUBTOTAL(9,D54:D58)</f>
        <v>110151.834</v>
      </c>
      <c r="E53" s="114">
        <f>SUBTOTAL(9,E54:E58)</f>
        <v>14122.029999999999</v>
      </c>
      <c r="K53" s="52"/>
      <c r="M53" s="183"/>
      <c r="N53" s="183"/>
    </row>
    <row r="54" spans="2:16" s="43" customFormat="1" ht="15" customHeight="1" outlineLevel="1">
      <c r="B54" s="46">
        <v>6302</v>
      </c>
      <c r="C54" s="47" t="s">
        <v>1523</v>
      </c>
      <c r="D54" s="104">
        <f>E54*7.8</f>
        <v>22635.834000000003</v>
      </c>
      <c r="E54" s="115">
        <v>2902.03</v>
      </c>
      <c r="F54" s="74">
        <v>46065</v>
      </c>
      <c r="G54" s="43" t="s">
        <v>135</v>
      </c>
      <c r="H54" s="43">
        <f>IF(OR(G54="Sin pagar",G54="Pagar"),NETWORKDAYS($E$4,F54,'Festivos Guatemala'!$A$3:$A$29),0)</f>
        <v>0</v>
      </c>
      <c r="I54" s="43">
        <f>NETWORKDAYS($E$4,F54,'Festivos Guatemala'!$A$3:$A$15)</f>
        <v>9</v>
      </c>
      <c r="J54" s="75">
        <f t="shared" ref="J54" si="4">H54</f>
        <v>0</v>
      </c>
      <c r="M54" s="104"/>
      <c r="N54" s="49"/>
    </row>
    <row r="55" spans="2:16" s="43" customFormat="1" ht="15" customHeight="1" outlineLevel="1">
      <c r="B55" s="46">
        <v>6377</v>
      </c>
      <c r="C55" s="47" t="s">
        <v>1524</v>
      </c>
      <c r="D55" s="104">
        <f>E55*7.8</f>
        <v>23526.359999999997</v>
      </c>
      <c r="E55" s="115">
        <v>3016.2</v>
      </c>
      <c r="F55" s="74">
        <v>46065</v>
      </c>
      <c r="G55" s="43" t="s">
        <v>135</v>
      </c>
      <c r="H55" s="43">
        <f>IF(OR(G55="Sin pagar",G55="Pagar"),NETWORKDAYS($E$4,F55,'Festivos Guatemala'!$A$3:$A$29),0)</f>
        <v>0</v>
      </c>
      <c r="I55" s="43">
        <f>NETWORKDAYS($E$4,F55,'Festivos Guatemala'!$A$3:$A$15)</f>
        <v>9</v>
      </c>
      <c r="J55" s="75">
        <f t="shared" ref="J55" si="5">H55</f>
        <v>0</v>
      </c>
      <c r="M55" s="104"/>
      <c r="N55" s="49"/>
    </row>
    <row r="56" spans="2:16" s="43" customFormat="1" ht="15" customHeight="1" outlineLevel="1">
      <c r="B56" s="46">
        <v>6480</v>
      </c>
      <c r="C56" s="47" t="s">
        <v>1525</v>
      </c>
      <c r="D56" s="104">
        <f>E56*7.8</f>
        <v>11573.64</v>
      </c>
      <c r="E56" s="115">
        <v>1483.8</v>
      </c>
      <c r="F56" s="74">
        <v>46065</v>
      </c>
      <c r="G56" s="43" t="s">
        <v>135</v>
      </c>
      <c r="H56" s="43">
        <f>IF(OR(G56="Sin pagar",G56="Pagar"),NETWORKDAYS($E$4,F56,'Festivos Guatemala'!$A$3:$A$29),0)</f>
        <v>0</v>
      </c>
      <c r="I56" s="43">
        <f>NETWORKDAYS($E$4,F56,'Festivos Guatemala'!$A$3:$A$15)</f>
        <v>9</v>
      </c>
      <c r="J56" s="75">
        <f t="shared" ref="J56:J57" si="6">H56</f>
        <v>0</v>
      </c>
      <c r="M56" s="104"/>
      <c r="N56" s="49"/>
    </row>
    <row r="57" spans="2:16" s="43" customFormat="1" ht="15" customHeight="1" outlineLevel="1">
      <c r="B57" s="46">
        <v>6641</v>
      </c>
      <c r="C57" s="47" t="s">
        <v>1526</v>
      </c>
      <c r="D57" s="104">
        <f>E57*7.8</f>
        <v>18720</v>
      </c>
      <c r="E57" s="115">
        <v>2400</v>
      </c>
      <c r="F57" s="74">
        <v>46065</v>
      </c>
      <c r="G57" s="43" t="s">
        <v>135</v>
      </c>
      <c r="H57" s="43">
        <f>IF(OR(G57="Sin pagar",G57="Pagar"),NETWORKDAYS($E$4,F57,'Festivos Guatemala'!$A$3:$A$29),0)</f>
        <v>0</v>
      </c>
      <c r="I57" s="43">
        <f>NETWORKDAYS($E$4,F57,'Festivos Guatemala'!$A$3:$A$15)</f>
        <v>9</v>
      </c>
      <c r="J57" s="75">
        <f t="shared" si="6"/>
        <v>0</v>
      </c>
      <c r="M57" s="104"/>
      <c r="N57" s="49"/>
    </row>
    <row r="58" spans="2:16" s="43" customFormat="1" ht="15" customHeight="1" outlineLevel="1" thickBot="1">
      <c r="B58" s="46">
        <v>6666</v>
      </c>
      <c r="C58" s="47" t="s">
        <v>1538</v>
      </c>
      <c r="D58" s="104">
        <f>E58*7.8</f>
        <v>33696</v>
      </c>
      <c r="E58" s="115">
        <v>4320</v>
      </c>
      <c r="F58" s="74">
        <v>46065</v>
      </c>
      <c r="G58" s="43" t="s">
        <v>135</v>
      </c>
      <c r="H58" s="43">
        <f>IF(OR(G58="Sin pagar",G58="Pagar"),NETWORKDAYS($E$4,F58,'Festivos Guatemala'!$A$3:$A$29),0)</f>
        <v>0</v>
      </c>
      <c r="I58" s="43">
        <f>NETWORKDAYS($E$4,F58,'Festivos Guatemala'!$A$3:$A$15)</f>
        <v>9</v>
      </c>
      <c r="J58" s="75">
        <f t="shared" ref="J58" si="7">H58</f>
        <v>0</v>
      </c>
      <c r="M58" s="104"/>
      <c r="N58" s="49"/>
    </row>
    <row r="59" spans="2:16" s="43" customFormat="1" ht="16.5" thickBot="1">
      <c r="B59" s="46"/>
      <c r="C59" s="73" t="s">
        <v>147</v>
      </c>
      <c r="D59" s="103">
        <f>SUBTOTAL(9,D60:D60)</f>
        <v>0</v>
      </c>
      <c r="E59" s="112">
        <f>SUBTOTAL(9,E60:E60)</f>
        <v>0</v>
      </c>
    </row>
    <row r="60" spans="2:16" s="43" customFormat="1" ht="15.75" outlineLevel="1" thickBot="1">
      <c r="B60" s="46"/>
      <c r="C60" s="47"/>
      <c r="D60" s="104"/>
      <c r="E60" s="113"/>
      <c r="F60" s="74">
        <v>46081</v>
      </c>
      <c r="G60" s="43" t="s">
        <v>135</v>
      </c>
      <c r="H60" s="43">
        <f>IF(OR(G60="Sin pagar",G60="Pagar"),NETWORKDAYS($E$4,F60,'Festivos Guatemala'!$A$3:$A$29),0)</f>
        <v>0</v>
      </c>
      <c r="I60" s="43">
        <f>NETWORKDAYS($E$4,F60,'Festivos Guatemala'!$A$3:$A$15)</f>
        <v>20</v>
      </c>
      <c r="J60" s="75">
        <f>H60</f>
        <v>0</v>
      </c>
    </row>
    <row r="61" spans="2:16" s="43" customFormat="1" ht="15.75" customHeight="1" thickBot="1">
      <c r="C61" s="73" t="s">
        <v>148</v>
      </c>
      <c r="D61" s="119">
        <f>SUBTOTAL(9,D62:D64)</f>
        <v>857.9</v>
      </c>
      <c r="E61" s="114">
        <f>SUBTOTAL(9,E62:E64)</f>
        <v>115</v>
      </c>
    </row>
    <row r="62" spans="2:16" s="43" customFormat="1" ht="15" customHeight="1" outlineLevel="1">
      <c r="B62" s="46"/>
      <c r="C62" s="47" t="s">
        <v>1257</v>
      </c>
      <c r="D62" s="109">
        <f>E62*$D$6</f>
        <v>298.39999999999998</v>
      </c>
      <c r="E62" s="115">
        <f>40</f>
        <v>40</v>
      </c>
      <c r="F62" s="74">
        <v>46059</v>
      </c>
      <c r="G62" s="43" t="s">
        <v>135</v>
      </c>
      <c r="H62" s="43">
        <f>IF(OR(G62="Sin pagar",G62="Pagar"),NETWORKDAYS($E$4,F62,'Festivos Guatemala'!$A$3:$A$29),0)</f>
        <v>0</v>
      </c>
      <c r="I62" s="43">
        <f>NETWORKDAYS($E$4,F62,'Festivos Guatemala'!$A$3:$A$15)</f>
        <v>5</v>
      </c>
      <c r="J62" s="75">
        <f>H62</f>
        <v>0</v>
      </c>
    </row>
    <row r="63" spans="2:16" s="43" customFormat="1" ht="15" customHeight="1" outlineLevel="1">
      <c r="B63" s="46"/>
      <c r="C63" s="47" t="s">
        <v>1546</v>
      </c>
      <c r="D63" s="109">
        <f>E63*$D$6</f>
        <v>298.39999999999998</v>
      </c>
      <c r="E63" s="115">
        <f>40</f>
        <v>40</v>
      </c>
      <c r="F63" s="74">
        <v>46065</v>
      </c>
      <c r="G63" s="43" t="s">
        <v>135</v>
      </c>
      <c r="H63" s="43">
        <f>IF(OR(G63="Sin pagar",G63="Pagar"),NETWORKDAYS($E$4,F63,'Festivos Guatemala'!$A$3:$A$29),0)</f>
        <v>0</v>
      </c>
      <c r="I63" s="43">
        <f>NETWORKDAYS($E$4,F63,'Festivos Guatemala'!$A$3:$A$15)</f>
        <v>9</v>
      </c>
      <c r="J63" s="75">
        <f>H63</f>
        <v>0</v>
      </c>
    </row>
    <row r="64" spans="2:16" s="43" customFormat="1" ht="15" customHeight="1" outlineLevel="1" thickBot="1">
      <c r="B64" s="46"/>
      <c r="C64" s="47" t="s">
        <v>117</v>
      </c>
      <c r="D64" s="109">
        <f>E64*D6</f>
        <v>261.10000000000002</v>
      </c>
      <c r="E64" s="115">
        <f>35</f>
        <v>35</v>
      </c>
      <c r="F64" s="74">
        <v>46081</v>
      </c>
      <c r="G64" s="43" t="s">
        <v>135</v>
      </c>
      <c r="H64" s="43">
        <f>IF(OR(G64="Sin pagar",G64="Pagar"),NETWORKDAYS($E$4,F64,'Festivos Guatemala'!$A$3:$A$29),0)</f>
        <v>0</v>
      </c>
      <c r="I64" s="43">
        <f>NETWORKDAYS($E$4,F64,'Festivos Guatemala'!$A$3:$A$15)</f>
        <v>20</v>
      </c>
      <c r="J64" s="75">
        <f t="shared" ref="J64" si="8">H64</f>
        <v>0</v>
      </c>
    </row>
    <row r="65" spans="2:15" s="43" customFormat="1" ht="16.5" thickBot="1">
      <c r="C65" s="73" t="s">
        <v>164</v>
      </c>
      <c r="D65" s="119">
        <f>SUBTOTAL(9,D66:D85)</f>
        <v>404322.01999999996</v>
      </c>
      <c r="E65" s="114">
        <f>SUBTOTAL(9,E66:E85)</f>
        <v>54198.662198391408</v>
      </c>
      <c r="K65" s="52"/>
      <c r="L65" s="86"/>
      <c r="M65" s="109"/>
      <c r="N65" s="109"/>
      <c r="O65" s="113"/>
    </row>
    <row r="66" spans="2:15" s="43" customFormat="1" ht="15" customHeight="1" outlineLevel="1">
      <c r="B66" s="83" t="s">
        <v>1034</v>
      </c>
      <c r="C66" s="47" t="s">
        <v>843</v>
      </c>
      <c r="D66" s="271">
        <v>19322.599999999999</v>
      </c>
      <c r="E66" s="113">
        <f t="shared" ref="E66:E85" si="9">D66/$D$6</f>
        <v>2590.160857908847</v>
      </c>
      <c r="F66" s="74">
        <v>46080</v>
      </c>
      <c r="G66" s="43" t="s">
        <v>135</v>
      </c>
      <c r="H66" s="43">
        <f>IF(OR(G66="Sin pagar",G66="Pagar"),NETWORKDAYS($E$4,F66,'Festivos Guatemala'!$A$3:$A$29),0)</f>
        <v>0</v>
      </c>
      <c r="I66" s="43">
        <f>NETWORKDAYS($E$4,F66,'Festivos Guatemala'!$A$3:$A$15)</f>
        <v>20</v>
      </c>
      <c r="J66" s="75">
        <f t="shared" ref="J66:J85" si="10">H66</f>
        <v>0</v>
      </c>
      <c r="L66" s="52"/>
      <c r="M66" s="381"/>
    </row>
    <row r="67" spans="2:15" s="43" customFormat="1" ht="15" customHeight="1" outlineLevel="1">
      <c r="B67" s="83" t="s">
        <v>1034</v>
      </c>
      <c r="C67" s="47" t="s">
        <v>886</v>
      </c>
      <c r="D67" s="378">
        <v>56010.18</v>
      </c>
      <c r="E67" s="113">
        <f>D67/$D$6</f>
        <v>7508.0670241286862</v>
      </c>
      <c r="F67" s="74">
        <v>46080</v>
      </c>
      <c r="G67" s="43" t="s">
        <v>135</v>
      </c>
      <c r="H67" s="43">
        <f>IF(OR(G67="Sin pagar",G67="Pagar"),NETWORKDAYS($E$4,F67,'Festivos Guatemala'!$A$3:$A$29),0)</f>
        <v>0</v>
      </c>
      <c r="I67" s="43">
        <f>NETWORKDAYS($E$4,F67,'Festivos Guatemala'!$A$3:$A$15)</f>
        <v>20</v>
      </c>
      <c r="J67" s="75">
        <f>H67</f>
        <v>0</v>
      </c>
      <c r="L67" s="52"/>
    </row>
    <row r="68" spans="2:15" s="43" customFormat="1" ht="15" customHeight="1" outlineLevel="1">
      <c r="B68" s="83" t="s">
        <v>1034</v>
      </c>
      <c r="C68" s="47" t="s">
        <v>176</v>
      </c>
      <c r="D68" s="271">
        <v>28786.83</v>
      </c>
      <c r="E68" s="113">
        <f t="shared" si="9"/>
        <v>3858.8243967828421</v>
      </c>
      <c r="F68" s="74">
        <v>46080</v>
      </c>
      <c r="G68" s="43" t="s">
        <v>135</v>
      </c>
      <c r="H68" s="43">
        <f>IF(OR(G68="Sin pagar",G68="Pagar"),NETWORKDAYS($E$4,F68,'Festivos Guatemala'!$A$3:$A$29),0)</f>
        <v>0</v>
      </c>
      <c r="I68" s="43">
        <f>NETWORKDAYS($E$4,F68,'Festivos Guatemala'!$A$3:$A$15)</f>
        <v>20</v>
      </c>
      <c r="J68" s="75">
        <f t="shared" si="10"/>
        <v>0</v>
      </c>
      <c r="L68" s="52"/>
      <c r="M68" s="381"/>
    </row>
    <row r="69" spans="2:15" s="43" customFormat="1" ht="15" customHeight="1" outlineLevel="1">
      <c r="B69" s="267" t="s">
        <v>1035</v>
      </c>
      <c r="C69" s="47" t="s">
        <v>944</v>
      </c>
      <c r="D69" s="271">
        <v>14909.19</v>
      </c>
      <c r="E69" s="113">
        <f t="shared" si="9"/>
        <v>1998.5509383378017</v>
      </c>
      <c r="F69" s="74">
        <v>46080</v>
      </c>
      <c r="G69" s="43" t="s">
        <v>135</v>
      </c>
      <c r="H69" s="43">
        <f>IF(OR(G69="Sin pagar",G69="Pagar"),NETWORKDAYS($E$4,F69,'Festivos Guatemala'!$A$3:$A$29),0)</f>
        <v>0</v>
      </c>
      <c r="I69" s="43">
        <f>NETWORKDAYS($E$4,F69,'Festivos Guatemala'!$A$3:$A$15)</f>
        <v>20</v>
      </c>
      <c r="J69" s="75">
        <f t="shared" si="10"/>
        <v>0</v>
      </c>
      <c r="L69" s="52"/>
      <c r="M69" s="381"/>
    </row>
    <row r="70" spans="2:15" s="43" customFormat="1" ht="15" customHeight="1" outlineLevel="1">
      <c r="B70" s="267" t="s">
        <v>1035</v>
      </c>
      <c r="C70" s="47" t="s">
        <v>945</v>
      </c>
      <c r="D70" s="271">
        <v>7244.17</v>
      </c>
      <c r="E70" s="113">
        <f t="shared" si="9"/>
        <v>971.06836461126011</v>
      </c>
      <c r="F70" s="74">
        <v>46080</v>
      </c>
      <c r="G70" s="43" t="s">
        <v>135</v>
      </c>
      <c r="H70" s="43">
        <f>IF(OR(G70="Sin pagar",G70="Pagar"),NETWORKDAYS($E$4,F70,'Festivos Guatemala'!$A$3:$A$29),0)</f>
        <v>0</v>
      </c>
      <c r="I70" s="43">
        <f>NETWORKDAYS($E$4,F70,'Festivos Guatemala'!$A$3:$A$15)</f>
        <v>20</v>
      </c>
      <c r="J70" s="75">
        <f t="shared" si="10"/>
        <v>0</v>
      </c>
      <c r="L70" s="52"/>
      <c r="M70" s="381"/>
    </row>
    <row r="71" spans="2:15" s="43" customFormat="1" ht="15" customHeight="1" outlineLevel="1">
      <c r="B71" s="267" t="s">
        <v>1035</v>
      </c>
      <c r="C71" s="47" t="s">
        <v>1300</v>
      </c>
      <c r="D71" s="271">
        <v>65446.400000000001</v>
      </c>
      <c r="E71" s="113">
        <f>D71/$D$6</f>
        <v>8772.9758713136725</v>
      </c>
      <c r="F71" s="74">
        <v>46080</v>
      </c>
      <c r="G71" s="43" t="s">
        <v>135</v>
      </c>
      <c r="H71" s="43">
        <f>IF(OR(G71="Sin pagar",G71="Pagar"),NETWORKDAYS($E$4,F71,'Festivos Guatemala'!$A$3:$A$29),0)</f>
        <v>0</v>
      </c>
      <c r="I71" s="43">
        <f>NETWORKDAYS($E$4,F71,'Festivos Guatemala'!$A$3:$A$15)</f>
        <v>20</v>
      </c>
      <c r="J71" s="75">
        <f>H71</f>
        <v>0</v>
      </c>
      <c r="L71" s="52"/>
      <c r="M71" s="381"/>
    </row>
    <row r="72" spans="2:15" s="43" customFormat="1" ht="15" customHeight="1" outlineLevel="1">
      <c r="B72" s="267" t="s">
        <v>1035</v>
      </c>
      <c r="C72" s="47" t="s">
        <v>829</v>
      </c>
      <c r="D72" s="271">
        <v>36574.769999999997</v>
      </c>
      <c r="E72" s="113">
        <f t="shared" si="9"/>
        <v>4902.7841823056297</v>
      </c>
      <c r="F72" s="74">
        <v>46080</v>
      </c>
      <c r="G72" s="43" t="s">
        <v>135</v>
      </c>
      <c r="H72" s="43">
        <f>IF(OR(G72="Sin pagar",G72="Pagar"),NETWORKDAYS($E$4,F72,'Festivos Guatemala'!$A$3:$A$29),0)</f>
        <v>0</v>
      </c>
      <c r="I72" s="43">
        <f>NETWORKDAYS($E$4,F72,'Festivos Guatemala'!$A$3:$A$15)</f>
        <v>20</v>
      </c>
      <c r="J72" s="75">
        <f t="shared" si="10"/>
        <v>0</v>
      </c>
      <c r="L72" s="52"/>
      <c r="M72" s="381"/>
    </row>
    <row r="73" spans="2:15" s="43" customFormat="1" ht="15" customHeight="1" outlineLevel="1">
      <c r="B73" s="267" t="s">
        <v>1036</v>
      </c>
      <c r="C73" s="47" t="s">
        <v>946</v>
      </c>
      <c r="D73" s="271">
        <v>11145.55</v>
      </c>
      <c r="E73" s="113">
        <f t="shared" si="9"/>
        <v>1494.0415549597853</v>
      </c>
      <c r="F73" s="74">
        <v>46080</v>
      </c>
      <c r="G73" s="43" t="s">
        <v>135</v>
      </c>
      <c r="H73" s="43">
        <f>IF(OR(G73="Sin pagar",G73="Pagar"),NETWORKDAYS($E$4,F73,'Festivos Guatemala'!$A$3:$A$29),0)</f>
        <v>0</v>
      </c>
      <c r="I73" s="43">
        <f>NETWORKDAYS($E$4,F73,'Festivos Guatemala'!$A$3:$A$15)</f>
        <v>20</v>
      </c>
      <c r="J73" s="75">
        <f t="shared" si="10"/>
        <v>0</v>
      </c>
      <c r="L73" s="52"/>
      <c r="M73" s="381"/>
    </row>
    <row r="74" spans="2:15" s="43" customFormat="1" ht="15" customHeight="1" outlineLevel="1">
      <c r="B74" s="301" t="s">
        <v>1037</v>
      </c>
      <c r="C74" s="47" t="s">
        <v>947</v>
      </c>
      <c r="D74" s="271">
        <v>10747.68</v>
      </c>
      <c r="E74" s="113">
        <f t="shared" si="9"/>
        <v>1440.7077747989276</v>
      </c>
      <c r="F74" s="74">
        <v>46080</v>
      </c>
      <c r="G74" s="43" t="s">
        <v>135</v>
      </c>
      <c r="H74" s="43">
        <f>IF(OR(G74="Sin pagar",G74="Pagar"),NETWORKDAYS($E$4,F74,'Festivos Guatemala'!$A$3:$A$29),0)</f>
        <v>0</v>
      </c>
      <c r="I74" s="43">
        <f>NETWORKDAYS($E$4,F74,'Festivos Guatemala'!$A$3:$A$15)</f>
        <v>20</v>
      </c>
      <c r="J74" s="75">
        <f t="shared" si="10"/>
        <v>0</v>
      </c>
      <c r="L74" s="52"/>
      <c r="M74" s="381"/>
    </row>
    <row r="75" spans="2:15" s="43" customFormat="1" ht="15" customHeight="1" outlineLevel="1">
      <c r="B75" s="303" t="s">
        <v>892</v>
      </c>
      <c r="C75" s="47" t="s">
        <v>417</v>
      </c>
      <c r="D75" s="409">
        <v>10731</v>
      </c>
      <c r="E75" s="113">
        <f t="shared" si="9"/>
        <v>1438.4718498659518</v>
      </c>
      <c r="F75" s="74">
        <v>46080</v>
      </c>
      <c r="G75" s="43" t="s">
        <v>135</v>
      </c>
      <c r="H75" s="43">
        <f>IF(OR(G75="Sin pagar",G75="Pagar"),NETWORKDAYS($E$4,F75,'Festivos Guatemala'!$A$3:$A$29),0)</f>
        <v>0</v>
      </c>
      <c r="I75" s="43">
        <f>NETWORKDAYS($E$4,F75,'Festivos Guatemala'!$A$3:$A$15)</f>
        <v>20</v>
      </c>
      <c r="J75" s="75">
        <f t="shared" si="10"/>
        <v>0</v>
      </c>
      <c r="L75" s="52"/>
      <c r="M75" s="380"/>
    </row>
    <row r="76" spans="2:15" s="43" customFormat="1" ht="15" customHeight="1" outlineLevel="1">
      <c r="B76" s="303" t="s">
        <v>892</v>
      </c>
      <c r="C76" s="47" t="s">
        <v>409</v>
      </c>
      <c r="D76" s="409">
        <v>14425</v>
      </c>
      <c r="E76" s="113">
        <f t="shared" si="9"/>
        <v>1933.6461126005363</v>
      </c>
      <c r="F76" s="74">
        <v>46080</v>
      </c>
      <c r="G76" s="43" t="s">
        <v>135</v>
      </c>
      <c r="H76" s="43">
        <f>IF(OR(G76="Sin pagar",G76="Pagar"),NETWORKDAYS($E$4,F76,'Festivos Guatemala'!$A$3:$A$29),0)</f>
        <v>0</v>
      </c>
      <c r="I76" s="43">
        <f>NETWORKDAYS($E$4,F76,'Festivos Guatemala'!$A$3:$A$15)</f>
        <v>20</v>
      </c>
      <c r="J76" s="75">
        <f t="shared" si="10"/>
        <v>0</v>
      </c>
      <c r="L76" s="52"/>
      <c r="M76" s="380"/>
    </row>
    <row r="77" spans="2:15" s="43" customFormat="1" ht="15" customHeight="1" outlineLevel="1">
      <c r="B77" s="303" t="s">
        <v>892</v>
      </c>
      <c r="C77" s="47" t="s">
        <v>844</v>
      </c>
      <c r="D77" s="268">
        <v>0</v>
      </c>
      <c r="E77" s="113">
        <f t="shared" si="9"/>
        <v>0</v>
      </c>
      <c r="F77" s="74">
        <v>46080</v>
      </c>
      <c r="G77" s="43" t="s">
        <v>135</v>
      </c>
      <c r="H77" s="43">
        <f>IF(OR(G77="Sin pagar",G77="Pagar"),NETWORKDAYS($E$4,F77,'Festivos Guatemala'!$A$3:$A$29),0)</f>
        <v>0</v>
      </c>
      <c r="I77" s="43">
        <f>NETWORKDAYS($E$4,F77,'Festivos Guatemala'!$A$3:$A$15)</f>
        <v>20</v>
      </c>
      <c r="J77" s="75">
        <f t="shared" si="10"/>
        <v>0</v>
      </c>
      <c r="L77" s="52"/>
      <c r="M77" s="380"/>
    </row>
    <row r="78" spans="2:15" s="43" customFormat="1" ht="15" customHeight="1" outlineLevel="1">
      <c r="B78" s="303" t="s">
        <v>892</v>
      </c>
      <c r="C78" s="47" t="s">
        <v>1490</v>
      </c>
      <c r="D78" s="410">
        <v>23998.73</v>
      </c>
      <c r="E78" s="113">
        <f t="shared" si="9"/>
        <v>3216.9879356568363</v>
      </c>
      <c r="F78" s="74">
        <v>46080</v>
      </c>
      <c r="G78" s="43" t="s">
        <v>135</v>
      </c>
      <c r="H78" s="43">
        <f>IF(OR(G78="Sin pagar",G78="Pagar"),NETWORKDAYS($E$4,F78,'Festivos Guatemala'!$A$3:$A$29),0)</f>
        <v>0</v>
      </c>
      <c r="I78" s="43">
        <f>NETWORKDAYS($E$4,F78,'Festivos Guatemala'!$A$3:$A$15)</f>
        <v>20</v>
      </c>
      <c r="J78" s="75">
        <f t="shared" si="10"/>
        <v>0</v>
      </c>
      <c r="L78" s="52"/>
      <c r="M78" s="380"/>
    </row>
    <row r="79" spans="2:15" s="43" customFormat="1" ht="15" customHeight="1" outlineLevel="1">
      <c r="B79" s="303" t="s">
        <v>892</v>
      </c>
      <c r="C79" s="47" t="s">
        <v>412</v>
      </c>
      <c r="D79" s="409">
        <v>8678</v>
      </c>
      <c r="E79" s="113">
        <f t="shared" si="9"/>
        <v>1163.2707774798928</v>
      </c>
      <c r="F79" s="74">
        <v>46080</v>
      </c>
      <c r="G79" s="43" t="s">
        <v>135</v>
      </c>
      <c r="H79" s="43">
        <f>IF(OR(G79="Sin pagar",G79="Pagar"),NETWORKDAYS($E$4,F79,'Festivos Guatemala'!$A$3:$A$29),0)</f>
        <v>0</v>
      </c>
      <c r="I79" s="43">
        <f>NETWORKDAYS($E$4,F79,'Festivos Guatemala'!$A$3:$A$15)</f>
        <v>20</v>
      </c>
      <c r="J79" s="75">
        <f t="shared" si="10"/>
        <v>0</v>
      </c>
      <c r="L79" s="52"/>
      <c r="M79" s="380"/>
    </row>
    <row r="80" spans="2:15" s="43" customFormat="1" ht="15" customHeight="1" outlineLevel="1">
      <c r="B80" s="303" t="s">
        <v>892</v>
      </c>
      <c r="C80" s="47" t="s">
        <v>413</v>
      </c>
      <c r="D80" s="409">
        <v>3943</v>
      </c>
      <c r="E80" s="113">
        <f t="shared" si="9"/>
        <v>528.55227882037536</v>
      </c>
      <c r="F80" s="74">
        <v>46080</v>
      </c>
      <c r="G80" s="43" t="s">
        <v>135</v>
      </c>
      <c r="H80" s="43">
        <f>IF(OR(G80="Sin pagar",G80="Pagar"),NETWORKDAYS($E$4,F80,'Festivos Guatemala'!$A$3:$A$29),0)</f>
        <v>0</v>
      </c>
      <c r="I80" s="43">
        <f>NETWORKDAYS($E$4,F80,'Festivos Guatemala'!$A$3:$A$15)</f>
        <v>20</v>
      </c>
      <c r="J80" s="75">
        <f t="shared" si="10"/>
        <v>0</v>
      </c>
      <c r="L80" s="52"/>
      <c r="M80" s="380"/>
    </row>
    <row r="81" spans="2:15" s="43" customFormat="1" ht="15" customHeight="1" outlineLevel="1">
      <c r="B81" s="303" t="s">
        <v>892</v>
      </c>
      <c r="C81" s="47" t="s">
        <v>415</v>
      </c>
      <c r="D81" s="409">
        <v>26186</v>
      </c>
      <c r="E81" s="113">
        <f t="shared" si="9"/>
        <v>3510.1876675603216</v>
      </c>
      <c r="F81" s="74">
        <v>46080</v>
      </c>
      <c r="G81" s="43" t="s">
        <v>135</v>
      </c>
      <c r="H81" s="43">
        <f>IF(OR(G81="Sin pagar",G81="Pagar"),NETWORKDAYS($E$4,F81,'Festivos Guatemala'!$A$3:$A$29),0)</f>
        <v>0</v>
      </c>
      <c r="I81" s="43">
        <f>NETWORKDAYS($E$4,F81,'Festivos Guatemala'!$A$3:$A$15)</f>
        <v>20</v>
      </c>
      <c r="J81" s="75">
        <f t="shared" si="10"/>
        <v>0</v>
      </c>
      <c r="L81" s="52"/>
      <c r="M81" s="380"/>
    </row>
    <row r="82" spans="2:15" s="43" customFormat="1" ht="15" customHeight="1" outlineLevel="1">
      <c r="B82" s="303" t="s">
        <v>892</v>
      </c>
      <c r="C82" s="47" t="s">
        <v>410</v>
      </c>
      <c r="D82" s="409">
        <v>3943</v>
      </c>
      <c r="E82" s="113">
        <f t="shared" si="9"/>
        <v>528.55227882037536</v>
      </c>
      <c r="F82" s="74">
        <v>46080</v>
      </c>
      <c r="G82" s="43" t="s">
        <v>135</v>
      </c>
      <c r="H82" s="43">
        <f>IF(OR(G82="Sin pagar",G82="Pagar"),NETWORKDAYS($E$4,F82,'Festivos Guatemala'!$A$3:$A$29),0)</f>
        <v>0</v>
      </c>
      <c r="I82" s="43">
        <f>NETWORKDAYS($E$4,F82,'Festivos Guatemala'!$A$3:$A$15)</f>
        <v>20</v>
      </c>
      <c r="J82" s="75">
        <f t="shared" si="10"/>
        <v>0</v>
      </c>
      <c r="L82" s="52"/>
      <c r="M82" s="380"/>
    </row>
    <row r="83" spans="2:15" s="43" customFormat="1" ht="15" customHeight="1" outlineLevel="1">
      <c r="B83" s="303" t="s">
        <v>892</v>
      </c>
      <c r="C83" s="47" t="s">
        <v>845</v>
      </c>
      <c r="D83" s="268">
        <v>0</v>
      </c>
      <c r="E83" s="113">
        <f t="shared" si="9"/>
        <v>0</v>
      </c>
      <c r="F83" s="74">
        <v>46080</v>
      </c>
      <c r="G83" s="43" t="s">
        <v>135</v>
      </c>
      <c r="H83" s="43">
        <f>IF(OR(G83="Sin pagar",G83="Pagar"),NETWORKDAYS($E$4,F83,'Festivos Guatemala'!$A$3:$A$29),0)</f>
        <v>0</v>
      </c>
      <c r="I83" s="43">
        <f>NETWORKDAYS($E$4,F83,'Festivos Guatemala'!$A$3:$A$15)</f>
        <v>20</v>
      </c>
      <c r="J83" s="75">
        <f t="shared" si="10"/>
        <v>0</v>
      </c>
      <c r="L83" s="52"/>
      <c r="M83" s="380"/>
    </row>
    <row r="84" spans="2:15" s="43" customFormat="1" ht="15" customHeight="1" outlineLevel="1">
      <c r="B84" s="303" t="s">
        <v>892</v>
      </c>
      <c r="C84" s="47" t="s">
        <v>1491</v>
      </c>
      <c r="D84" s="410">
        <v>28484.720000000001</v>
      </c>
      <c r="E84" s="113">
        <f t="shared" si="9"/>
        <v>3818.3270777479893</v>
      </c>
      <c r="F84" s="74">
        <v>46080</v>
      </c>
      <c r="G84" s="43" t="s">
        <v>135</v>
      </c>
      <c r="H84" s="43">
        <f>IF(OR(G84="Sin pagar",G84="Pagar"),NETWORKDAYS($E$4,F84,'Festivos Guatemala'!$A$3:$A$29),0)</f>
        <v>0</v>
      </c>
      <c r="I84" s="43">
        <f>NETWORKDAYS($E$4,F84,'Festivos Guatemala'!$A$3:$A$15)</f>
        <v>20</v>
      </c>
      <c r="J84" s="75">
        <f t="shared" si="10"/>
        <v>0</v>
      </c>
      <c r="L84" s="52"/>
      <c r="M84" s="380"/>
    </row>
    <row r="85" spans="2:15" s="43" customFormat="1" ht="15" customHeight="1" outlineLevel="1" thickBot="1">
      <c r="B85" s="303" t="s">
        <v>892</v>
      </c>
      <c r="C85" s="47" t="s">
        <v>418</v>
      </c>
      <c r="D85" s="410">
        <v>33745.199999999997</v>
      </c>
      <c r="E85" s="113">
        <f t="shared" si="9"/>
        <v>4523.4852546916891</v>
      </c>
      <c r="F85" s="74">
        <v>46080</v>
      </c>
      <c r="G85" s="43" t="s">
        <v>135</v>
      </c>
      <c r="H85" s="43">
        <f>IF(OR(G85="Sin pagar",G85="Pagar"),NETWORKDAYS($E$4,F85,'Festivos Guatemala'!$A$3:$A$29),0)</f>
        <v>0</v>
      </c>
      <c r="I85" s="43">
        <f>NETWORKDAYS($E$4,F85,'Festivos Guatemala'!$A$3:$A$15)</f>
        <v>20</v>
      </c>
      <c r="J85" s="75">
        <f t="shared" si="10"/>
        <v>0</v>
      </c>
      <c r="L85" s="52"/>
      <c r="M85" s="380"/>
    </row>
    <row r="86" spans="2:15" s="43" customFormat="1" ht="16.5" thickBot="1">
      <c r="B86" s="46"/>
      <c r="C86" s="73" t="s">
        <v>173</v>
      </c>
      <c r="D86" s="103">
        <f>SUBTOTAL(9,D87:D87)</f>
        <v>8658.3700000000008</v>
      </c>
      <c r="E86" s="112">
        <f>SUBTOTAL(9,E87:E87)</f>
        <v>1160.6394101876676</v>
      </c>
    </row>
    <row r="87" spans="2:15" s="43" customFormat="1" ht="15" customHeight="1" outlineLevel="1" thickBot="1">
      <c r="B87" s="46"/>
      <c r="C87" s="47" t="s">
        <v>1594</v>
      </c>
      <c r="D87" s="104">
        <v>8658.3700000000008</v>
      </c>
      <c r="E87" s="113">
        <f>D87/$D$6</f>
        <v>1160.6394101876676</v>
      </c>
      <c r="F87" s="74">
        <v>46080</v>
      </c>
      <c r="G87" s="43" t="s">
        <v>135</v>
      </c>
      <c r="H87" s="43">
        <f>IF(OR(G87="Sin pagar",G87="Pagar"),NETWORKDAYS($E$4,F87,'Festivos Guatemala'!$A$3:$A$29),0)</f>
        <v>0</v>
      </c>
      <c r="I87" s="43">
        <f>NETWORKDAYS($E$4,F87,'Festivos Guatemala'!$A$3:$A$15)</f>
        <v>20</v>
      </c>
      <c r="J87" s="75">
        <f t="shared" ref="J87" si="11">H87</f>
        <v>0</v>
      </c>
      <c r="K87" s="52"/>
      <c r="L87" s="54"/>
    </row>
    <row r="88" spans="2:15" s="43" customFormat="1" ht="16.5" thickBot="1">
      <c r="B88" s="87"/>
      <c r="C88" s="73" t="s">
        <v>149</v>
      </c>
      <c r="D88" s="103">
        <f>SUBTOTAL(9,D89:D90)</f>
        <v>5416.49</v>
      </c>
      <c r="E88" s="112">
        <f>SUBTOTAL(9,E89:E90)</f>
        <v>726.07238605898124</v>
      </c>
      <c r="L88" s="52"/>
    </row>
    <row r="89" spans="2:15" s="43" customFormat="1" ht="15" customHeight="1" outlineLevel="1">
      <c r="B89" s="311" t="s">
        <v>145</v>
      </c>
      <c r="C89" s="47" t="s">
        <v>1552</v>
      </c>
      <c r="D89" s="109">
        <v>3916.49</v>
      </c>
      <c r="E89" s="115">
        <v>525</v>
      </c>
      <c r="F89" s="74">
        <v>46065</v>
      </c>
      <c r="G89" s="43" t="s">
        <v>135</v>
      </c>
      <c r="H89" s="43">
        <f>IF(OR(G89="Sin pagar",G89="Pagar"),NETWORKDAYS($E$4,F89,'Festivos Guatemala'!$A$3:$A$29),0)</f>
        <v>0</v>
      </c>
      <c r="I89" s="43">
        <f>NETWORKDAYS($E$4,F89,'Festivos Guatemala'!$A$3:$A$15)</f>
        <v>9</v>
      </c>
      <c r="J89" s="75">
        <f>H89</f>
        <v>0</v>
      </c>
      <c r="K89" s="52"/>
      <c r="L89" s="54"/>
    </row>
    <row r="90" spans="2:15" s="43" customFormat="1" ht="15" customHeight="1" outlineLevel="1" thickBot="1">
      <c r="B90" s="311" t="s">
        <v>145</v>
      </c>
      <c r="C90" s="47" t="s">
        <v>1553</v>
      </c>
      <c r="D90" s="109">
        <v>1500</v>
      </c>
      <c r="E90" s="115">
        <f>D90/D6</f>
        <v>201.07238605898124</v>
      </c>
      <c r="F90" s="74">
        <v>46065</v>
      </c>
      <c r="G90" s="43" t="s">
        <v>135</v>
      </c>
      <c r="H90" s="43">
        <f>IF(OR(G90="Sin pagar",G90="Pagar"),NETWORKDAYS($E$4,F90,'Festivos Guatemala'!$A$3:$A$29),0)</f>
        <v>0</v>
      </c>
      <c r="I90" s="43">
        <f>NETWORKDAYS($E$4,F90,'Festivos Guatemala'!$A$3:$A$15)</f>
        <v>9</v>
      </c>
      <c r="J90" s="75">
        <f>H90</f>
        <v>0</v>
      </c>
      <c r="K90" s="52"/>
      <c r="L90" s="54"/>
    </row>
    <row r="91" spans="2:15" s="43" customFormat="1" ht="16.5" thickBot="1">
      <c r="B91" s="87"/>
      <c r="C91" s="73" t="s">
        <v>1144</v>
      </c>
      <c r="D91" s="103">
        <f>SUBTOTAL(9,D92:D92)</f>
        <v>0</v>
      </c>
      <c r="E91" s="112">
        <f>SUBTOTAL(9,E92:E92)</f>
        <v>0</v>
      </c>
      <c r="L91" s="52"/>
    </row>
    <row r="92" spans="2:15" s="43" customFormat="1" ht="15.75" outlineLevel="1" thickBot="1">
      <c r="B92" s="311"/>
      <c r="C92" s="47"/>
      <c r="D92" s="109">
        <v>0</v>
      </c>
      <c r="E92" s="115">
        <f>D92/$D$6</f>
        <v>0</v>
      </c>
      <c r="F92" s="74">
        <v>46081</v>
      </c>
      <c r="G92" s="43" t="s">
        <v>135</v>
      </c>
      <c r="H92" s="43">
        <f>IF(OR(G92="Sin pagar",G92="Pagar"),NETWORKDAYS($E$4,F92,'Festivos Guatemala'!$A$3:$A$29),0)</f>
        <v>0</v>
      </c>
      <c r="I92" s="43">
        <f>NETWORKDAYS($E$4,F92,'Festivos Guatemala'!$A$3:$A$15)</f>
        <v>20</v>
      </c>
      <c r="J92" s="75">
        <f>H92</f>
        <v>0</v>
      </c>
      <c r="K92" s="52"/>
      <c r="L92" s="54"/>
    </row>
    <row r="93" spans="2:15" s="43" customFormat="1" ht="16.5" thickBot="1">
      <c r="B93" s="46"/>
      <c r="C93" s="73" t="s">
        <v>638</v>
      </c>
      <c r="D93" s="103">
        <f>SUBTOTAL(9,D94:D94)</f>
        <v>1500</v>
      </c>
      <c r="E93" s="112">
        <f>SUBTOTAL(9,E94:E94)</f>
        <v>201.07238605898124</v>
      </c>
    </row>
    <row r="94" spans="2:15" s="43" customFormat="1" ht="15" customHeight="1" outlineLevel="1" thickBot="1">
      <c r="B94" s="46" t="s">
        <v>145</v>
      </c>
      <c r="C94" s="47" t="s">
        <v>1106</v>
      </c>
      <c r="D94" s="109">
        <v>1500</v>
      </c>
      <c r="E94" s="115">
        <f>D94/$D$6</f>
        <v>201.07238605898124</v>
      </c>
      <c r="F94" s="74">
        <v>46065</v>
      </c>
      <c r="G94" s="43" t="s">
        <v>135</v>
      </c>
      <c r="H94" s="43">
        <f>IF(OR(G94="Sin pagar",G94="Pagar"),NETWORKDAYS($E$4,F94,'Festivos Guatemala'!$A$3:$A$29),0)</f>
        <v>0</v>
      </c>
      <c r="I94" s="43">
        <f>NETWORKDAYS($E$4,F94,'Festivos Guatemala'!$A$3:$A$15)</f>
        <v>9</v>
      </c>
      <c r="J94" s="75">
        <f>H94</f>
        <v>0</v>
      </c>
      <c r="K94" s="52"/>
      <c r="L94" s="54"/>
    </row>
    <row r="95" spans="2:15" s="43" customFormat="1" ht="16.5" thickBot="1">
      <c r="C95" s="332" t="s">
        <v>1107</v>
      </c>
      <c r="D95" s="333">
        <f>SUBTOTAL(9,D96:D104)</f>
        <v>235644.19</v>
      </c>
      <c r="E95" s="334">
        <f>SUBTOTAL(9,E96:E104)</f>
        <v>31587.693029490616</v>
      </c>
      <c r="K95" s="52"/>
      <c r="L95" s="86"/>
      <c r="M95" s="109"/>
      <c r="N95" s="109"/>
      <c r="O95" s="113"/>
    </row>
    <row r="96" spans="2:15" s="43" customFormat="1" ht="15" customHeight="1" outlineLevel="1">
      <c r="B96" s="303" t="s">
        <v>892</v>
      </c>
      <c r="C96" s="47" t="s">
        <v>1108</v>
      </c>
      <c r="D96" s="109">
        <v>10512.86</v>
      </c>
      <c r="E96" s="115">
        <f t="shared" ref="E96:E104" si="12">D96/$D$6</f>
        <v>1409.230563002681</v>
      </c>
      <c r="F96" s="74">
        <v>46082</v>
      </c>
      <c r="G96" s="43" t="s">
        <v>135</v>
      </c>
      <c r="H96" s="43">
        <f>IF(OR(G96="Sin pagar",G96="Pagar"),NETWORKDAYS($E$4,F96,'Festivos Guatemala'!$A$3:$A$29),0)</f>
        <v>0</v>
      </c>
      <c r="I96" s="43">
        <f>NETWORKDAYS($E$4,F96,'Festivos Guatemala'!$A$3:$A$15)</f>
        <v>20</v>
      </c>
      <c r="J96" s="75">
        <f t="shared" ref="J96" si="13">H96</f>
        <v>0</v>
      </c>
      <c r="L96" s="52"/>
    </row>
    <row r="97" spans="2:12" s="43" customFormat="1" ht="15" customHeight="1" outlineLevel="1">
      <c r="B97" s="303" t="s">
        <v>892</v>
      </c>
      <c r="C97" s="47" t="s">
        <v>1109</v>
      </c>
      <c r="D97" s="109">
        <v>37326.230000000003</v>
      </c>
      <c r="E97" s="115">
        <f t="shared" si="12"/>
        <v>5003.516085790885</v>
      </c>
      <c r="F97" s="74">
        <v>46082</v>
      </c>
      <c r="G97" s="43" t="s">
        <v>135</v>
      </c>
      <c r="H97" s="43">
        <f>IF(OR(G97="Sin pagar",G97="Pagar"),NETWORKDAYS($E$4,F97,'Festivos Guatemala'!$A$3:$A$29),0)</f>
        <v>0</v>
      </c>
      <c r="I97" s="43">
        <f>NETWORKDAYS($E$4,F97,'Festivos Guatemala'!$A$3:$A$15)</f>
        <v>20</v>
      </c>
      <c r="J97" s="75">
        <f>H97</f>
        <v>0</v>
      </c>
      <c r="L97" s="52"/>
    </row>
    <row r="98" spans="2:12" s="43" customFormat="1" ht="15" customHeight="1" outlineLevel="1">
      <c r="B98" s="303" t="s">
        <v>892</v>
      </c>
      <c r="C98" s="47" t="s">
        <v>1110</v>
      </c>
      <c r="D98" s="109">
        <v>19981.650000000001</v>
      </c>
      <c r="E98" s="115">
        <f t="shared" si="12"/>
        <v>2678.5053619302953</v>
      </c>
      <c r="F98" s="74">
        <v>46082</v>
      </c>
      <c r="G98" s="43" t="s">
        <v>135</v>
      </c>
      <c r="H98" s="43">
        <f>IF(OR(G98="Sin pagar",G98="Pagar"),NETWORKDAYS($E$4,F98,'Festivos Guatemala'!$A$3:$A$29),0)</f>
        <v>0</v>
      </c>
      <c r="I98" s="43">
        <f>NETWORKDAYS($E$4,F98,'Festivos Guatemala'!$A$3:$A$15)</f>
        <v>20</v>
      </c>
      <c r="J98" s="75">
        <f>H98</f>
        <v>0</v>
      </c>
      <c r="L98" s="52"/>
    </row>
    <row r="99" spans="2:12" s="43" customFormat="1" ht="15" customHeight="1" outlineLevel="1">
      <c r="B99" s="303" t="s">
        <v>892</v>
      </c>
      <c r="C99" s="47" t="s">
        <v>1111</v>
      </c>
      <c r="D99" s="109">
        <v>15253.9</v>
      </c>
      <c r="E99" s="115">
        <f t="shared" si="12"/>
        <v>2044.7587131367293</v>
      </c>
      <c r="F99" s="74">
        <v>46082</v>
      </c>
      <c r="G99" s="43" t="s">
        <v>135</v>
      </c>
      <c r="H99" s="43">
        <f>IF(OR(G99="Sin pagar",G99="Pagar"),NETWORKDAYS($E$4,F99,'Festivos Guatemala'!$A$3:$A$29),0)</f>
        <v>0</v>
      </c>
      <c r="I99" s="43">
        <f>NETWORKDAYS($E$4,F99,'Festivos Guatemala'!$A$3:$A$15)</f>
        <v>20</v>
      </c>
      <c r="J99" s="75">
        <f t="shared" ref="J99:J104" si="14">H99</f>
        <v>0</v>
      </c>
      <c r="L99" s="52"/>
    </row>
    <row r="100" spans="2:12" s="43" customFormat="1" ht="15" customHeight="1" outlineLevel="1">
      <c r="B100" s="303" t="s">
        <v>892</v>
      </c>
      <c r="C100" s="47" t="s">
        <v>1193</v>
      </c>
      <c r="D100" s="109">
        <v>34579.51</v>
      </c>
      <c r="E100" s="115">
        <f t="shared" si="12"/>
        <v>4635.323056300268</v>
      </c>
      <c r="F100" s="74">
        <v>46082</v>
      </c>
      <c r="G100" s="43" t="s">
        <v>135</v>
      </c>
      <c r="H100" s="43">
        <f>IF(OR(G100="Sin pagar",G100="Pagar"),NETWORKDAYS($E$4,F100,'Festivos Guatemala'!$A$3:$A$29),0)</f>
        <v>0</v>
      </c>
      <c r="I100" s="43">
        <f>NETWORKDAYS($E$4,F100,'Festivos Guatemala'!$A$3:$A$15)</f>
        <v>20</v>
      </c>
      <c r="J100" s="75">
        <f t="shared" si="14"/>
        <v>0</v>
      </c>
      <c r="L100" s="52"/>
    </row>
    <row r="101" spans="2:12" s="43" customFormat="1" ht="15" customHeight="1" outlineLevel="1">
      <c r="B101" s="303" t="s">
        <v>892</v>
      </c>
      <c r="C101" s="47" t="s">
        <v>1112</v>
      </c>
      <c r="D101" s="109">
        <v>16081.53</v>
      </c>
      <c r="E101" s="115">
        <f t="shared" si="12"/>
        <v>2155.701072386059</v>
      </c>
      <c r="F101" s="74">
        <v>46082</v>
      </c>
      <c r="G101" s="43" t="s">
        <v>135</v>
      </c>
      <c r="H101" s="43">
        <f>IF(OR(G101="Sin pagar",G101="Pagar"),NETWORKDAYS($E$4,F101,'Festivos Guatemala'!$A$3:$A$29),0)</f>
        <v>0</v>
      </c>
      <c r="I101" s="43">
        <f>NETWORKDAYS($E$4,F101,'Festivos Guatemala'!$A$3:$A$15)</f>
        <v>20</v>
      </c>
      <c r="J101" s="75">
        <f t="shared" si="14"/>
        <v>0</v>
      </c>
      <c r="L101" s="52"/>
    </row>
    <row r="102" spans="2:12" s="43" customFormat="1" ht="15" customHeight="1" outlineLevel="1">
      <c r="B102" s="303" t="s">
        <v>892</v>
      </c>
      <c r="C102" s="47" t="s">
        <v>1301</v>
      </c>
      <c r="D102" s="109">
        <v>46799.56</v>
      </c>
      <c r="E102" s="115">
        <f t="shared" si="12"/>
        <v>6273.3994638069698</v>
      </c>
      <c r="F102" s="74">
        <v>46082</v>
      </c>
      <c r="G102" s="43" t="s">
        <v>135</v>
      </c>
      <c r="H102" s="43">
        <f>IF(OR(G102="Sin pagar",G102="Pagar"),NETWORKDAYS($E$4,F102,'Festivos Guatemala'!$A$3:$A$29),0)</f>
        <v>0</v>
      </c>
      <c r="I102" s="43">
        <f>NETWORKDAYS($E$4,F102,'Festivos Guatemala'!$A$3:$A$15)</f>
        <v>20</v>
      </c>
      <c r="J102" s="75">
        <f t="shared" si="14"/>
        <v>0</v>
      </c>
      <c r="L102" s="52"/>
    </row>
    <row r="103" spans="2:12" s="43" customFormat="1" ht="15" customHeight="1" outlineLevel="1">
      <c r="B103" s="267" t="s">
        <v>1036</v>
      </c>
      <c r="C103" s="47" t="s">
        <v>1194</v>
      </c>
      <c r="D103" s="109">
        <v>24981.97</v>
      </c>
      <c r="E103" s="115">
        <f t="shared" si="12"/>
        <v>3348.789544235925</v>
      </c>
      <c r="F103" s="74">
        <v>46082</v>
      </c>
      <c r="G103" s="43" t="s">
        <v>135</v>
      </c>
      <c r="H103" s="43">
        <f>IF(OR(G103="Sin pagar",G103="Pagar"),NETWORKDAYS($E$4,F103,'Festivos Guatemala'!$A$3:$A$29),0)</f>
        <v>0</v>
      </c>
      <c r="I103" s="43">
        <f>NETWORKDAYS($E$4,F103,'Festivos Guatemala'!$A$3:$A$15)</f>
        <v>20</v>
      </c>
      <c r="J103" s="75">
        <f t="shared" si="14"/>
        <v>0</v>
      </c>
      <c r="L103" s="52"/>
    </row>
    <row r="104" spans="2:12" s="43" customFormat="1" ht="15" customHeight="1" outlineLevel="1" thickBot="1">
      <c r="B104" s="267" t="s">
        <v>1494</v>
      </c>
      <c r="C104" s="47" t="s">
        <v>1495</v>
      </c>
      <c r="D104" s="109">
        <v>30126.98</v>
      </c>
      <c r="E104" s="115">
        <f t="shared" si="12"/>
        <v>4038.4691689008041</v>
      </c>
      <c r="F104" s="74">
        <v>46082</v>
      </c>
      <c r="G104" s="43" t="s">
        <v>135</v>
      </c>
      <c r="H104" s="43">
        <f>IF(OR(G104="Sin pagar",G104="Pagar"),NETWORKDAYS($E$4,F104,'Festivos Guatemala'!$A$3:$A$29),0)</f>
        <v>0</v>
      </c>
      <c r="I104" s="43">
        <f>NETWORKDAYS($E$4,F104,'Festivos Guatemala'!$A$3:$A$15)</f>
        <v>20</v>
      </c>
      <c r="J104" s="75">
        <f t="shared" si="14"/>
        <v>0</v>
      </c>
      <c r="L104" s="52"/>
    </row>
    <row r="105" spans="2:12" s="43" customFormat="1" ht="16.5" thickBot="1">
      <c r="B105" s="46"/>
      <c r="C105" s="332" t="s">
        <v>155</v>
      </c>
      <c r="D105" s="333">
        <f>SUBTOTAL(9,D106:D106)</f>
        <v>51817.7</v>
      </c>
      <c r="E105" s="334">
        <f>SUBTOTAL(9,E106:E106)</f>
        <v>6946.0723860589806</v>
      </c>
      <c r="F105" s="74"/>
      <c r="J105" s="76"/>
    </row>
    <row r="106" spans="2:12" s="43" customFormat="1" ht="15" customHeight="1" outlineLevel="1" thickBot="1">
      <c r="B106" s="168">
        <v>5977935</v>
      </c>
      <c r="C106" s="78" t="s">
        <v>1527</v>
      </c>
      <c r="D106" s="104">
        <v>51817.7</v>
      </c>
      <c r="E106" s="115">
        <f>D106/$D$6</f>
        <v>6946.0723860589806</v>
      </c>
      <c r="F106" s="74">
        <v>46065</v>
      </c>
      <c r="G106" s="43" t="s">
        <v>135</v>
      </c>
      <c r="H106" s="43">
        <f>IF(OR(G106="Sin pagar",G106="Pagar"),NETWORKDAYS($E$4,F106,'Festivos Guatemala'!$A$3:$A$29),0)</f>
        <v>0</v>
      </c>
      <c r="I106" s="43">
        <f>NETWORKDAYS($E$4,F106,'Festivos Guatemala'!$A$3:$A$15)</f>
        <v>9</v>
      </c>
      <c r="J106" s="75">
        <f>H106</f>
        <v>0</v>
      </c>
      <c r="K106" s="52"/>
      <c r="L106" s="52"/>
    </row>
    <row r="107" spans="2:12" s="43" customFormat="1" ht="16.5" thickBot="1">
      <c r="B107" s="46"/>
      <c r="C107" s="332" t="s">
        <v>144</v>
      </c>
      <c r="D107" s="333">
        <f>SUBTOTAL(9,D108:D108)</f>
        <v>10360.56</v>
      </c>
      <c r="E107" s="334">
        <f>SUBTOTAL(9,E108:E108)</f>
        <v>1388.8150134048258</v>
      </c>
      <c r="J107" s="76">
        <f t="shared" ref="J107" si="15">H107</f>
        <v>0</v>
      </c>
    </row>
    <row r="108" spans="2:12" s="43" customFormat="1" ht="15" customHeight="1" outlineLevel="1" thickBot="1">
      <c r="B108" s="168">
        <v>50024581231</v>
      </c>
      <c r="C108" s="47" t="s">
        <v>1528</v>
      </c>
      <c r="D108" s="104">
        <v>10360.56</v>
      </c>
      <c r="E108" s="115">
        <f>D108/$D$6</f>
        <v>1388.8150134048258</v>
      </c>
      <c r="F108" s="74">
        <v>46065</v>
      </c>
      <c r="G108" s="43" t="s">
        <v>135</v>
      </c>
      <c r="H108" s="43">
        <f>IF(OR(G108="Sin pagar",G108="Pagar"),NETWORKDAYS($E$4,F108,'Festivos Guatemala'!$A$3:$A$29),0)</f>
        <v>0</v>
      </c>
      <c r="I108" s="43">
        <f>NETWORKDAYS($E$4,F108,'Festivos Guatemala'!$A$3:$A$15)</f>
        <v>9</v>
      </c>
      <c r="J108" s="75">
        <f>H108</f>
        <v>0</v>
      </c>
      <c r="K108" s="48"/>
      <c r="L108" s="57"/>
    </row>
    <row r="109" spans="2:12" s="43" customFormat="1" ht="16.5" thickBot="1">
      <c r="B109" s="46"/>
      <c r="C109" s="332" t="s">
        <v>173</v>
      </c>
      <c r="D109" s="333">
        <f>SUBTOTAL(9,D110:D112)</f>
        <v>127801.95499999999</v>
      </c>
      <c r="E109" s="334">
        <f>SUBTOTAL(9,E110:E112)</f>
        <v>17131.629356568366</v>
      </c>
    </row>
    <row r="110" spans="2:12" s="43" customFormat="1" ht="15" customHeight="1" outlineLevel="1">
      <c r="B110" s="46"/>
      <c r="C110" s="47" t="s">
        <v>1406</v>
      </c>
      <c r="D110" s="104">
        <v>26640.93</v>
      </c>
      <c r="E110" s="115">
        <f>D110/$D$6</f>
        <v>3571.1702412868635</v>
      </c>
      <c r="F110" s="74">
        <v>46082</v>
      </c>
      <c r="G110" s="43" t="s">
        <v>135</v>
      </c>
      <c r="H110" s="43">
        <f>IF(OR(G110="Sin pagar",G110="Pagar"),NETWORKDAYS($E$4,F110,'Festivos Guatemala'!$A$3:$A$29),0)</f>
        <v>0</v>
      </c>
      <c r="I110" s="43">
        <f>NETWORKDAYS($E$4,F110,'Festivos Guatemala'!$A$3:$A$15)</f>
        <v>20</v>
      </c>
      <c r="J110" s="75">
        <f t="shared" ref="J110" si="16">H110</f>
        <v>0</v>
      </c>
      <c r="K110" s="52"/>
      <c r="L110" s="54"/>
    </row>
    <row r="111" spans="2:12" s="43" customFormat="1" ht="15" customHeight="1" outlineLevel="1">
      <c r="B111" s="46"/>
      <c r="C111" s="47" t="s">
        <v>1507</v>
      </c>
      <c r="D111" s="104">
        <v>35809.56</v>
      </c>
      <c r="E111" s="115">
        <f>D111/$D$6</f>
        <v>4800.209115281501</v>
      </c>
      <c r="F111" s="74">
        <v>46082</v>
      </c>
      <c r="G111" s="43" t="s">
        <v>135</v>
      </c>
      <c r="H111" s="43">
        <f>IF(OR(G111="Sin pagar",G111="Pagar"),NETWORKDAYS($E$4,F111,'Festivos Guatemala'!$A$3:$A$29),0)</f>
        <v>0</v>
      </c>
      <c r="I111" s="43">
        <f>NETWORKDAYS($E$4,F111,'Festivos Guatemala'!$A$3:$A$15)</f>
        <v>20</v>
      </c>
      <c r="J111" s="75">
        <f t="shared" ref="J111:J112" si="17">H111</f>
        <v>0</v>
      </c>
      <c r="K111" s="52"/>
      <c r="L111" s="54"/>
    </row>
    <row r="112" spans="2:12" s="43" customFormat="1" ht="15" customHeight="1" outlineLevel="1" thickBot="1">
      <c r="B112" s="46"/>
      <c r="C112" s="47" t="s">
        <v>1204</v>
      </c>
      <c r="D112" s="104">
        <f>E112*$D$6</f>
        <v>65351.464999999997</v>
      </c>
      <c r="E112" s="364">
        <v>8760.25</v>
      </c>
      <c r="F112" s="74">
        <v>46082</v>
      </c>
      <c r="G112" s="43" t="s">
        <v>135</v>
      </c>
      <c r="H112" s="43">
        <f>IF(OR(G112="Sin pagar",G112="Pagar"),NETWORKDAYS($E$4,F112,'Festivos Guatemala'!$A$3:$A$29),0)</f>
        <v>0</v>
      </c>
      <c r="I112" s="43">
        <f>NETWORKDAYS($E$4,F112,'Festivos Guatemala'!$A$3:$A$15)</f>
        <v>20</v>
      </c>
      <c r="J112" s="75">
        <f t="shared" si="17"/>
        <v>0</v>
      </c>
      <c r="K112" s="52"/>
      <c r="L112" s="54"/>
    </row>
    <row r="113" spans="1:16" s="43" customFormat="1" ht="16.5" thickBot="1">
      <c r="C113" s="332" t="s">
        <v>146</v>
      </c>
      <c r="D113" s="333">
        <f>SUBTOTAL(9,D114:D116)</f>
        <v>7345.08</v>
      </c>
      <c r="E113" s="334">
        <f>SUBTOTAL(9,E114:E116)</f>
        <v>984.59517426273464</v>
      </c>
      <c r="K113" s="49"/>
      <c r="L113" s="49"/>
      <c r="O113" s="49"/>
      <c r="P113" s="49"/>
    </row>
    <row r="114" spans="1:16" s="43" customFormat="1" ht="15" customHeight="1" outlineLevel="1">
      <c r="B114" s="186"/>
      <c r="C114" s="47" t="s">
        <v>1598</v>
      </c>
      <c r="D114" s="104">
        <v>998.82</v>
      </c>
      <c r="E114" s="115">
        <f>D114/$D$6</f>
        <v>133.89008042895443</v>
      </c>
      <c r="F114" s="74">
        <v>46080</v>
      </c>
      <c r="G114" s="43" t="s">
        <v>135</v>
      </c>
      <c r="H114" s="43">
        <f>IF(OR(G114="Sin pagar",G114="Pagar"),NETWORKDAYS($E$4,F114,'Festivos Guatemala'!$A$3:$A$29),0)</f>
        <v>0</v>
      </c>
      <c r="I114" s="43">
        <f>NETWORKDAYS($E$4,F114,'Festivos Guatemala'!$A$3:$A$15)</f>
        <v>20</v>
      </c>
      <c r="J114" s="75">
        <f t="shared" ref="J114:J116" si="18">H114</f>
        <v>0</v>
      </c>
      <c r="K114" s="49"/>
      <c r="L114" s="49"/>
      <c r="O114" s="49"/>
      <c r="P114" s="49"/>
    </row>
    <row r="115" spans="1:16" s="43" customFormat="1" ht="15" customHeight="1" outlineLevel="1">
      <c r="B115" s="369"/>
      <c r="C115" s="47" t="s">
        <v>1599</v>
      </c>
      <c r="D115" s="104">
        <v>2303.98</v>
      </c>
      <c r="E115" s="115">
        <f>D115/$D$6</f>
        <v>308.84450402144773</v>
      </c>
      <c r="F115" s="74">
        <v>46080</v>
      </c>
      <c r="G115" s="43" t="s">
        <v>135</v>
      </c>
      <c r="H115" s="43">
        <f>IF(OR(G115="Sin pagar",G115="Pagar"),NETWORKDAYS($E$4,F115,'Festivos Guatemala'!$A$3:$A$29),0)</f>
        <v>0</v>
      </c>
      <c r="I115" s="366">
        <f>NETWORKDAYS($E$4,F115,'Festivos Guatemala'!$A$3:$A$15)</f>
        <v>20</v>
      </c>
      <c r="J115" s="75">
        <f t="shared" si="18"/>
        <v>0</v>
      </c>
      <c r="K115" s="49"/>
      <c r="L115" s="49"/>
      <c r="O115" s="49"/>
      <c r="P115" s="49"/>
    </row>
    <row r="116" spans="1:16" s="43" customFormat="1" ht="15" customHeight="1" outlineLevel="1" thickBot="1">
      <c r="B116" s="369"/>
      <c r="C116" s="47" t="s">
        <v>1600</v>
      </c>
      <c r="D116" s="104">
        <v>4042.28</v>
      </c>
      <c r="E116" s="115">
        <f>D116/$D$6</f>
        <v>541.86058981233248</v>
      </c>
      <c r="F116" s="74">
        <v>46080</v>
      </c>
      <c r="G116" s="43" t="s">
        <v>135</v>
      </c>
      <c r="H116" s="43">
        <f>IF(OR(G116="Sin pagar",G116="Pagar"),NETWORKDAYS($E$4,F116,'Festivos Guatemala'!$A$3:$A$29),0)</f>
        <v>0</v>
      </c>
      <c r="I116" s="366">
        <f>NETWORKDAYS($E$4,F116,'Festivos Guatemala'!$A$3:$A$15)</f>
        <v>20</v>
      </c>
      <c r="J116" s="75">
        <f t="shared" si="18"/>
        <v>0</v>
      </c>
      <c r="K116" s="49"/>
      <c r="L116" s="49"/>
      <c r="O116" s="49"/>
      <c r="P116" s="49"/>
    </row>
    <row r="117" spans="1:16" s="43" customFormat="1" ht="16.5" thickBot="1">
      <c r="B117" s="46"/>
      <c r="C117" s="332" t="s">
        <v>149</v>
      </c>
      <c r="D117" s="333">
        <f>SUBTOTAL(9,D118:D118)</f>
        <v>37633.300000000003</v>
      </c>
      <c r="E117" s="334">
        <f>SUBTOTAL(9,E118:E118)</f>
        <v>5044.678284182306</v>
      </c>
      <c r="J117" s="76"/>
    </row>
    <row r="118" spans="1:16" s="43" customFormat="1" ht="15" customHeight="1" outlineLevel="1" thickBot="1">
      <c r="B118" s="311"/>
      <c r="C118" s="47" t="s">
        <v>1543</v>
      </c>
      <c r="D118" s="109">
        <v>37633.300000000003</v>
      </c>
      <c r="E118" s="115">
        <f>D118/$D$6</f>
        <v>5044.678284182306</v>
      </c>
      <c r="F118" s="74">
        <v>46065</v>
      </c>
      <c r="G118" s="43" t="s">
        <v>135</v>
      </c>
      <c r="H118" s="43">
        <f>IF(OR(G118="Sin pagar",G118="Pagar"),NETWORKDAYS($E$4,F118,'Festivos Guatemala'!$A$3:$A$29),0)</f>
        <v>0</v>
      </c>
      <c r="I118" s="43">
        <f>NETWORKDAYS($E$4,F118,'Festivos Guatemala'!$A$3:$A$15)</f>
        <v>9</v>
      </c>
      <c r="J118" s="75">
        <f>H118</f>
        <v>0</v>
      </c>
      <c r="K118" s="52"/>
      <c r="L118" s="54"/>
    </row>
    <row r="119" spans="1:16" s="43" customFormat="1" ht="14.25" customHeight="1">
      <c r="B119" s="46"/>
      <c r="C119" s="88" t="s">
        <v>150</v>
      </c>
      <c r="D119" s="120">
        <f>SUBTOTAL(9,D36:D118)</f>
        <v>1142733.0612000001</v>
      </c>
      <c r="E119" s="116">
        <f>SUBTOTAL(9,E36:E118)</f>
        <v>152537.74544235927</v>
      </c>
      <c r="K119" s="39"/>
      <c r="L119" s="39"/>
      <c r="N119" s="39"/>
      <c r="O119" s="39"/>
      <c r="P119" s="39"/>
    </row>
    <row r="120" spans="1:16" ht="15.75">
      <c r="A120" s="43"/>
      <c r="E120" s="117"/>
      <c r="F120" s="89"/>
      <c r="G120" s="89"/>
      <c r="H120" s="89"/>
      <c r="I120" s="89"/>
      <c r="J120" s="89"/>
    </row>
    <row r="121" spans="1:16" ht="15.75">
      <c r="A121" s="43"/>
      <c r="C121" s="90" t="s">
        <v>151</v>
      </c>
      <c r="D121" s="121">
        <f>D31-D119</f>
        <v>579863.40326177794</v>
      </c>
      <c r="E121" s="118">
        <f>E31-E119</f>
        <v>77113.173279058683</v>
      </c>
      <c r="F121" s="226"/>
      <c r="G121" s="227"/>
      <c r="J121" s="227"/>
    </row>
    <row r="122" spans="1:16" s="93" customFormat="1" ht="15.75">
      <c r="A122" s="43"/>
      <c r="B122" s="94"/>
      <c r="C122" s="90" t="s">
        <v>152</v>
      </c>
      <c r="D122" s="95">
        <f>IF($D$31=0,0,D121/$D$31)</f>
        <v>0.33662173075628316</v>
      </c>
      <c r="E122" s="95">
        <f>IF($E$31=0,0,E121/$E$31)</f>
        <v>0.33578430127075676</v>
      </c>
      <c r="F122" s="96"/>
      <c r="G122" s="92"/>
      <c r="J122" s="97"/>
      <c r="K122" s="39"/>
      <c r="L122" s="39"/>
      <c r="N122" s="39"/>
      <c r="O122" s="39"/>
      <c r="P122" s="39"/>
    </row>
    <row r="123" spans="1:16" ht="15.75" thickBot="1">
      <c r="A123" s="43"/>
      <c r="F123" s="96"/>
      <c r="G123" s="92"/>
    </row>
    <row r="124" spans="1:16" ht="15.75" thickBot="1">
      <c r="A124" s="43"/>
      <c r="C124" s="135" t="s">
        <v>184</v>
      </c>
      <c r="D124" s="136" t="s">
        <v>185</v>
      </c>
      <c r="E124" s="137" t="s">
        <v>191</v>
      </c>
      <c r="F124" s="137" t="s">
        <v>186</v>
      </c>
      <c r="G124" s="92"/>
    </row>
    <row r="125" spans="1:16">
      <c r="A125" s="43"/>
      <c r="C125" s="413">
        <v>46054</v>
      </c>
      <c r="D125" s="414">
        <v>46061</v>
      </c>
      <c r="E125" s="415">
        <f t="shared" ref="E125:E133" si="19">SUMIFS($D$36:$D$122,$F$36:$F$122,"&gt;="&amp;C125,$F$36:$F$122,"&lt;="&amp;D125,$G$36:$G$122,$D$146)</f>
        <v>0</v>
      </c>
      <c r="F125" s="416">
        <f t="shared" ref="F125:F133" si="20">SUMIFS($E$36:$E$122,$F$36:$F$122,"&gt;="&amp;C125,$F$36:$F$122,"&lt;="&amp;D125,$G$36:$G$122,$D$146)</f>
        <v>0</v>
      </c>
      <c r="G125" s="92" t="s">
        <v>1529</v>
      </c>
    </row>
    <row r="126" spans="1:16">
      <c r="A126" s="43"/>
      <c r="C126" s="191">
        <v>46062</v>
      </c>
      <c r="D126" s="192">
        <v>46062</v>
      </c>
      <c r="E126" s="193">
        <f t="shared" si="19"/>
        <v>0</v>
      </c>
      <c r="F126" s="194">
        <f t="shared" si="20"/>
        <v>0</v>
      </c>
      <c r="G126" s="92"/>
    </row>
    <row r="127" spans="1:16">
      <c r="A127" s="43"/>
      <c r="C127" s="191">
        <v>46063</v>
      </c>
      <c r="D127" s="260">
        <v>46063</v>
      </c>
      <c r="E127" s="193">
        <f t="shared" si="19"/>
        <v>0</v>
      </c>
      <c r="F127" s="194">
        <f t="shared" si="20"/>
        <v>0</v>
      </c>
      <c r="G127" s="92" t="s">
        <v>1530</v>
      </c>
    </row>
    <row r="128" spans="1:16">
      <c r="A128" s="43"/>
      <c r="C128" s="191">
        <v>46064</v>
      </c>
      <c r="D128" s="260">
        <v>46068</v>
      </c>
      <c r="E128" s="193">
        <f t="shared" si="19"/>
        <v>0</v>
      </c>
      <c r="F128" s="194">
        <f t="shared" si="20"/>
        <v>0</v>
      </c>
      <c r="G128" s="92"/>
    </row>
    <row r="129" spans="1:10">
      <c r="A129" s="43"/>
      <c r="C129" s="191">
        <v>46069</v>
      </c>
      <c r="D129" s="192">
        <v>46069</v>
      </c>
      <c r="E129" s="193">
        <f t="shared" si="19"/>
        <v>0</v>
      </c>
      <c r="F129" s="194">
        <f t="shared" si="20"/>
        <v>0</v>
      </c>
      <c r="G129" s="92" t="s">
        <v>1399</v>
      </c>
    </row>
    <row r="130" spans="1:10">
      <c r="A130" s="43"/>
      <c r="C130" s="191">
        <v>46070</v>
      </c>
      <c r="D130" s="192">
        <v>46075</v>
      </c>
      <c r="E130" s="193">
        <f t="shared" si="19"/>
        <v>0</v>
      </c>
      <c r="F130" s="194">
        <f t="shared" si="20"/>
        <v>0</v>
      </c>
      <c r="G130" s="92" t="s">
        <v>1531</v>
      </c>
    </row>
    <row r="131" spans="1:10">
      <c r="A131" s="43"/>
      <c r="C131" s="191">
        <v>46076</v>
      </c>
      <c r="D131" s="192">
        <v>46079</v>
      </c>
      <c r="E131" s="193">
        <f t="shared" si="19"/>
        <v>0</v>
      </c>
      <c r="F131" s="194">
        <f t="shared" si="20"/>
        <v>0</v>
      </c>
      <c r="G131" s="92"/>
    </row>
    <row r="132" spans="1:10">
      <c r="A132" s="43"/>
      <c r="C132" s="191">
        <v>46080</v>
      </c>
      <c r="D132" s="192">
        <v>46081</v>
      </c>
      <c r="E132" s="193">
        <f t="shared" si="19"/>
        <v>0</v>
      </c>
      <c r="F132" s="194">
        <f t="shared" si="20"/>
        <v>0</v>
      </c>
      <c r="G132" s="92" t="s">
        <v>1326</v>
      </c>
    </row>
    <row r="133" spans="1:10" ht="15.75" thickBot="1">
      <c r="A133" s="43"/>
      <c r="C133" s="195">
        <v>46082</v>
      </c>
      <c r="D133" s="196">
        <v>46090</v>
      </c>
      <c r="E133" s="197">
        <f t="shared" si="19"/>
        <v>0</v>
      </c>
      <c r="F133" s="198">
        <f t="shared" si="20"/>
        <v>0</v>
      </c>
      <c r="G133" s="92"/>
    </row>
    <row r="134" spans="1:10" ht="15.75">
      <c r="A134" s="43"/>
      <c r="C134" s="433" t="s">
        <v>187</v>
      </c>
      <c r="D134" s="433"/>
      <c r="E134" s="148">
        <f>SUM(E125:E133)</f>
        <v>0</v>
      </c>
      <c r="F134" s="144">
        <f>SUM(F125:F133)</f>
        <v>0</v>
      </c>
      <c r="G134" s="92"/>
    </row>
    <row r="135" spans="1:10">
      <c r="A135" s="43"/>
      <c r="F135" s="96"/>
      <c r="G135" s="92"/>
    </row>
    <row r="136" spans="1:10">
      <c r="A136" s="43"/>
      <c r="F136" s="96"/>
      <c r="G136" s="92"/>
    </row>
    <row r="137" spans="1:10">
      <c r="A137" s="43"/>
      <c r="C137" s="41"/>
      <c r="D137" s="41" t="s">
        <v>380</v>
      </c>
      <c r="E137" s="166">
        <f>'Caja QTQ'!$H$999+('Caja USD'!$H$324*$D$6)</f>
        <v>873643.54166177765</v>
      </c>
      <c r="F137" s="153">
        <f>('Caja QTQ'!$H$999/$D$6+'Caja USD'!$H$324)</f>
        <v>117110.39432463507</v>
      </c>
      <c r="G137" s="92"/>
    </row>
    <row r="138" spans="1:10">
      <c r="A138" s="43"/>
      <c r="C138" s="41"/>
      <c r="D138" s="146" t="s">
        <v>1403</v>
      </c>
      <c r="E138" s="201">
        <f>SUBTOTAL(9,E137:E137)</f>
        <v>873643.54166177765</v>
      </c>
      <c r="F138" s="397">
        <f>SUBTOTAL(9,F137:F137)</f>
        <v>117110.39432463507</v>
      </c>
      <c r="G138" s="92"/>
    </row>
    <row r="139" spans="1:10">
      <c r="A139" s="43"/>
      <c r="C139" s="41"/>
      <c r="E139" s="166"/>
      <c r="F139" s="153"/>
      <c r="G139" s="92"/>
    </row>
    <row r="140" spans="1:10">
      <c r="A140" s="43"/>
      <c r="C140" s="41"/>
      <c r="D140" s="200" t="s">
        <v>1532</v>
      </c>
      <c r="E140" s="166">
        <f>SUM(E125:E132)</f>
        <v>0</v>
      </c>
      <c r="F140" s="153">
        <f>SUM(F125:F132)</f>
        <v>0</v>
      </c>
      <c r="G140" s="92"/>
    </row>
    <row r="141" spans="1:10">
      <c r="A141" s="43"/>
      <c r="C141" s="41"/>
      <c r="D141" s="146" t="s">
        <v>969</v>
      </c>
      <c r="E141" s="201">
        <f>E138-E140</f>
        <v>873643.54166177765</v>
      </c>
      <c r="F141" s="173">
        <f>F138-F140</f>
        <v>117110.39432463507</v>
      </c>
      <c r="G141" s="92"/>
    </row>
    <row r="142" spans="1:10">
      <c r="A142" s="43"/>
      <c r="C142" s="41"/>
      <c r="E142" s="166"/>
      <c r="F142" s="153"/>
      <c r="G142" s="92"/>
    </row>
    <row r="143" spans="1:10">
      <c r="A143" s="43"/>
      <c r="D143" s="146"/>
      <c r="E143" s="298"/>
      <c r="F143" s="299"/>
      <c r="G143" s="92"/>
      <c r="J143" s="167"/>
    </row>
    <row r="144" spans="1:10">
      <c r="A144" s="43"/>
      <c r="D144" s="146"/>
      <c r="E144" s="298"/>
      <c r="F144" s="299"/>
      <c r="G144" s="92"/>
      <c r="J144" s="167"/>
    </row>
    <row r="145" spans="4:6">
      <c r="D145" s="43" t="s">
        <v>135</v>
      </c>
      <c r="E145" s="15">
        <f>SUMIFS($D$36:$D$136,$F$36:$F$136,"&gt;="&amp;C125,$F$36:$F$136,"&lt;="&amp;$D$133,$G$36:$G$136,$D$145)</f>
        <v>1142733.0612000001</v>
      </c>
      <c r="F145" s="153">
        <f>SUMIFS($E$36:$E$136,$F$36:$F$136,"&gt;="&amp;C125,$F$36:$F$136,"&lt;="&amp;$D$133,$G$36:$G$136,$D$145)</f>
        <v>152537.74544235927</v>
      </c>
    </row>
    <row r="146" spans="4:6">
      <c r="D146" s="43" t="s">
        <v>143</v>
      </c>
      <c r="E146" s="15">
        <f>SUMIFS($D$36:$D$136,$F$36:$F$136,"&gt;="&amp;C125,$F$36:$F$136,"&lt;="&amp;$D$133,$G$36:$G$136,$D$146)</f>
        <v>0</v>
      </c>
      <c r="F146" s="153">
        <f>SUMIFS($E$36:$E$136,$F$36:$F$136,"&gt;="&amp;C125,$F$36:$F$136,"&lt;="&amp;$D$133,$G$36:$G$136,$D$146)</f>
        <v>0</v>
      </c>
    </row>
    <row r="147" spans="4:6">
      <c r="D147" s="146" t="s">
        <v>189</v>
      </c>
      <c r="E147" s="152">
        <f>SUM(E145:E146)</f>
        <v>1142733.0612000001</v>
      </c>
      <c r="F147" s="145">
        <f>SUM(F145:F146)</f>
        <v>152537.74544235927</v>
      </c>
    </row>
    <row r="148" spans="4:6">
      <c r="D148" s="146" t="s">
        <v>190</v>
      </c>
      <c r="E148" s="152">
        <f>E147-D119</f>
        <v>0</v>
      </c>
      <c r="F148" s="145">
        <f>F147-E119</f>
        <v>0</v>
      </c>
    </row>
    <row r="151" spans="4:6">
      <c r="D151" s="41" t="s">
        <v>373</v>
      </c>
      <c r="E151" s="166">
        <f>D121</f>
        <v>579863.40326177794</v>
      </c>
    </row>
    <row r="152" spans="4:6">
      <c r="D152" s="41" t="s">
        <v>339</v>
      </c>
      <c r="E152" s="166">
        <f>('Caja USD'!$J$339*$D$6)+'Caja QTQ'!$J$1078</f>
        <v>579863.4078617777</v>
      </c>
      <c r="F152" s="227"/>
    </row>
    <row r="153" spans="4:6">
      <c r="D153" s="41" t="s">
        <v>444</v>
      </c>
      <c r="E153" s="166">
        <f>E152-E151</f>
        <v>4.5999997528269887E-3</v>
      </c>
      <c r="F153" s="227"/>
    </row>
    <row r="154" spans="4:6">
      <c r="D154" s="41" t="s">
        <v>674</v>
      </c>
      <c r="E154" s="166">
        <f>E153/$D$6</f>
        <v>6.1662195078109766E-4</v>
      </c>
      <c r="F154" s="227"/>
    </row>
    <row r="155" spans="4:6">
      <c r="E155" s="166"/>
      <c r="F155" s="227"/>
    </row>
    <row r="156" spans="4:6">
      <c r="E156" s="167"/>
      <c r="F156" s="227"/>
    </row>
    <row r="157" spans="4:6">
      <c r="D157" s="109"/>
      <c r="E157" s="264"/>
      <c r="F157" s="227"/>
    </row>
    <row r="158" spans="4:6">
      <c r="D158" s="109"/>
      <c r="E158" s="264"/>
      <c r="F158" s="227"/>
    </row>
    <row r="159" spans="4:6">
      <c r="D159" s="109"/>
      <c r="E159" s="264"/>
      <c r="F159" s="227"/>
    </row>
    <row r="160" spans="4:6">
      <c r="D160" s="109"/>
      <c r="E160" s="264"/>
      <c r="F160" s="227"/>
    </row>
    <row r="162" spans="5:6">
      <c r="E162" s="264"/>
      <c r="F162" s="92"/>
    </row>
    <row r="163" spans="5:6">
      <c r="E163" s="264"/>
      <c r="F163" s="92"/>
    </row>
    <row r="164" spans="5:6">
      <c r="E164" s="264"/>
      <c r="F164" s="92"/>
    </row>
  </sheetData>
  <protectedRanges>
    <protectedRange sqref="F31:G31 D123:E123 D60:E60 F141 F137:F139 C137:C142 D135:E144" name="Presupuestos"/>
    <protectedRange sqref="D35:E35 D8:E8" name="Presupuestos_1"/>
    <protectedRange sqref="D43:E47" name="Presupuestos_13_1"/>
    <protectedRange sqref="D114:D116 D49:E52 D54:D58" name="Presupuestos_14"/>
    <protectedRange sqref="E96:E104 E66:E85" name="Presupuestos_2_1_1_1"/>
    <protectedRange sqref="D94:E94 E114:E116 D92:E92 D89:E90 D110:E112 D87:E87 D118:E118" name="Presupuestos_6_1_1_1"/>
    <protectedRange sqref="D150 D157:D159 D96:D104 D66:D85" name="Presupuestos_5_2_1"/>
    <protectedRange sqref="E54:E58" name="Presupuestos_13_1_1"/>
    <protectedRange sqref="E62:E64" name="Presupuestos_7_1_2"/>
    <protectedRange sqref="D62:D64" name="Presupuestos_7_1_1_1"/>
    <protectedRange sqref="D10:E11" name="Presupuestos_2"/>
    <protectedRange sqref="E154" name="Presupuestos_3_1"/>
  </protectedRanges>
  <autoFilter ref="B35:J118" xr:uid="{00000000-0009-0000-0000-000002000000}"/>
  <mergeCells count="4">
    <mergeCell ref="D7:E7"/>
    <mergeCell ref="B34:C34"/>
    <mergeCell ref="D34:E34"/>
    <mergeCell ref="C134:D134"/>
  </mergeCells>
  <conditionalFormatting sqref="J37 J39:J41 J43:J47 J49:J52 J54:J58 J62:J64 J66:J94 J96:J104 J106 J108:J112 J114:J116">
    <cfRule type="cellIs" dxfId="44" priority="15" operator="lessThan">
      <formula>0</formula>
    </cfRule>
    <cfRule type="cellIs" dxfId="43" priority="17" operator="between">
      <formula>1</formula>
      <formula>5</formula>
    </cfRule>
    <cfRule type="cellIs" dxfId="42" priority="18" operator="between">
      <formula>16</formula>
      <formula>60</formula>
    </cfRule>
  </conditionalFormatting>
  <conditionalFormatting sqref="J60 J118">
    <cfRule type="cellIs" dxfId="41" priority="11" operator="lessThan">
      <formula>0</formula>
    </cfRule>
    <cfRule type="cellIs" dxfId="40" priority="13" operator="between">
      <formula>1</formula>
      <formula>5</formula>
    </cfRule>
    <cfRule type="cellIs" dxfId="39" priority="14" operator="between">
      <formula>16</formula>
      <formula>60</formula>
    </cfRule>
  </conditionalFormatting>
  <conditionalFormatting sqref="J66:J94 J37 J39:J41 J43:J47 J49:J52 J54:J58 J62:J64 J96:J104 J106 J108:J112 J114:J116">
    <cfRule type="cellIs" dxfId="38" priority="16" operator="between">
      <formula>6</formula>
      <formula>15</formula>
    </cfRule>
  </conditionalFormatting>
  <conditionalFormatting sqref="J89:J90 J92">
    <cfRule type="cellIs" dxfId="37" priority="8" operator="between">
      <formula>6</formula>
      <formula>15</formula>
    </cfRule>
    <cfRule type="cellIs" dxfId="36" priority="9" operator="between">
      <formula>1</formula>
      <formula>5</formula>
    </cfRule>
    <cfRule type="cellIs" dxfId="35" priority="10" operator="between">
      <formula>16</formula>
      <formula>60</formula>
    </cfRule>
  </conditionalFormatting>
  <conditionalFormatting sqref="J118 J60">
    <cfRule type="cellIs" dxfId="34" priority="12" operator="between">
      <formula>6</formula>
      <formula>15</formula>
    </cfRule>
  </conditionalFormatting>
  <conditionalFormatting sqref="J118">
    <cfRule type="cellIs" dxfId="33" priority="5" operator="between">
      <formula>6</formula>
      <formula>15</formula>
    </cfRule>
    <cfRule type="cellIs" dxfId="32" priority="6" operator="between">
      <formula>1</formula>
      <formula>5</formula>
    </cfRule>
    <cfRule type="cellIs" dxfId="31" priority="7" operator="between">
      <formula>16</formula>
      <formula>60</formula>
    </cfRule>
  </conditionalFormatting>
  <dataValidations disablePrompts="1" count="3">
    <dataValidation type="list" allowBlank="1" showInputMessage="1" showErrorMessage="1" sqref="D34 D7" xr:uid="{A34160C6-F58E-4BDF-B106-E04AA613BE32}">
      <formula1>"ENERO,FEBRERO,MARZO,ABRIL,MAYO,JUNIO,JULIO,AGOSTO,SEPTIEMBRE,OCTUBRE,NOVIEMBRE,DICIEMBRE"</formula1>
    </dataValidation>
    <dataValidation type="list" allowBlank="1" showInputMessage="1" showErrorMessage="1" sqref="D145:D146 G60 G108:G112 G36:G37 G39:G41 G62:G64 G114:G118 G66:G94 G54:G58 G43:G47 G96:G106 G49:G52" xr:uid="{0355EDD7-D20B-4191-B01E-EE2D0157C84C}">
      <formula1>"Cancelado,Pagar,Sin Pagar"</formula1>
    </dataValidation>
    <dataValidation type="list" allowBlank="1" showInputMessage="1" showErrorMessage="1" sqref="B13:B30" xr:uid="{F3829971-AA59-4F7C-9733-181ACD0AD62C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68 M45 J37:J65 J66 J69:J86 J87 J88:J110 J111:J118" unlockedFormula="1"/>
    <ignoredError sqref="E106 E92" formula="1"/>
  </ignoredError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12FD-3575-435C-BCD8-B4643CF1AB9F}">
  <dimension ref="A1:S173"/>
  <sheetViews>
    <sheetView showGridLines="0" topLeftCell="A2" zoomScaleNormal="100" workbookViewId="0">
      <selection activeCell="E11" sqref="E11"/>
    </sheetView>
  </sheetViews>
  <sheetFormatPr baseColWidth="10" defaultColWidth="11.42578125" defaultRowHeight="15" outlineLevelRow="1"/>
  <cols>
    <col min="1" max="1" width="2.140625" style="39" customWidth="1"/>
    <col min="2" max="2" width="14.42578125" style="40" bestFit="1" customWidth="1"/>
    <col min="3" max="3" width="60.28515625" style="39" customWidth="1"/>
    <col min="4" max="4" width="27.7109375" style="41" bestFit="1" customWidth="1"/>
    <col min="5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1:15" hidden="1">
      <c r="D1" s="41">
        <v>42400</v>
      </c>
    </row>
    <row r="2" spans="1:15">
      <c r="D2" s="42"/>
      <c r="E2" s="42"/>
      <c r="I2" s="43"/>
    </row>
    <row r="3" spans="1:15">
      <c r="E3" s="15"/>
      <c r="I3" s="43"/>
    </row>
    <row r="4" spans="1:15" ht="15.75">
      <c r="B4" s="134"/>
      <c r="C4" s="134"/>
      <c r="D4" s="111" t="s">
        <v>139</v>
      </c>
      <c r="E4" s="66">
        <v>46082</v>
      </c>
      <c r="I4" s="43"/>
    </row>
    <row r="5" spans="1:15">
      <c r="D5" s="42"/>
      <c r="E5" s="42"/>
      <c r="I5" s="43"/>
    </row>
    <row r="6" spans="1:15">
      <c r="C6" s="98" t="s">
        <v>181</v>
      </c>
      <c r="D6" s="125">
        <v>7.46</v>
      </c>
      <c r="E6" s="42"/>
      <c r="I6" s="43"/>
    </row>
    <row r="7" spans="1:15" ht="15.75">
      <c r="C7" s="99"/>
      <c r="D7" s="432" t="s">
        <v>729</v>
      </c>
      <c r="E7" s="432"/>
      <c r="I7" s="43"/>
    </row>
    <row r="8" spans="1:15">
      <c r="D8" s="110" t="s">
        <v>168</v>
      </c>
      <c r="E8" s="110" t="s">
        <v>169</v>
      </c>
    </row>
    <row r="9" spans="1:15" s="44" customFormat="1" ht="15.75">
      <c r="C9" s="101" t="s">
        <v>133</v>
      </c>
      <c r="D9" s="126">
        <f>SUBTOTAL(9,D10:D12)</f>
        <v>598815.07786177774</v>
      </c>
      <c r="E9" s="122">
        <f>SUBTOTAL(9,E10:E12)</f>
        <v>80243.163422920552</v>
      </c>
      <c r="F9" s="45"/>
      <c r="I9" s="43"/>
    </row>
    <row r="10" spans="1:15" s="43" customFormat="1" outlineLevel="1">
      <c r="B10" s="46"/>
      <c r="C10" s="47" t="s">
        <v>153</v>
      </c>
      <c r="D10" s="15">
        <f>'Caja QTQ'!$J$1078</f>
        <v>533084.43346177775</v>
      </c>
      <c r="E10" s="25">
        <f>D10/$D$6</f>
        <v>71459.039338039918</v>
      </c>
      <c r="F10" s="49"/>
    </row>
    <row r="11" spans="1:15" s="43" customFormat="1" outlineLevel="1">
      <c r="B11" s="46"/>
      <c r="C11" s="47" t="s">
        <v>154</v>
      </c>
      <c r="D11" s="15">
        <f>E11*D6</f>
        <v>46778.974399999992</v>
      </c>
      <c r="E11" s="25">
        <f>'Caja USD'!$J$339</f>
        <v>6270.6399999999994</v>
      </c>
      <c r="F11" s="49"/>
    </row>
    <row r="12" spans="1:15" s="43" customFormat="1" ht="15" customHeight="1" outlineLevel="1">
      <c r="B12" s="218" t="s">
        <v>298</v>
      </c>
      <c r="C12" s="406" t="s">
        <v>1611</v>
      </c>
      <c r="D12" s="252">
        <f>13055.37+5896.3</f>
        <v>18951.670000000002</v>
      </c>
      <c r="E12" s="217">
        <f>D12/7.54</f>
        <v>2513.4840848806371</v>
      </c>
      <c r="F12" s="329"/>
      <c r="G12" s="208"/>
    </row>
    <row r="13" spans="1:15" s="43" customFormat="1" ht="15.75">
      <c r="B13" s="46"/>
      <c r="C13" s="102" t="s">
        <v>134</v>
      </c>
      <c r="D13" s="127">
        <f>SUBTOTAL(9,D14:D32)</f>
        <v>1458158.19</v>
      </c>
      <c r="E13" s="122">
        <f>SUBTOTAL(9,E14:E32)</f>
        <v>193494.12</v>
      </c>
      <c r="F13" s="128"/>
    </row>
    <row r="14" spans="1:15" s="43" customFormat="1" ht="15" customHeight="1" outlineLevel="1">
      <c r="A14" s="50"/>
      <c r="B14" s="218" t="s">
        <v>298</v>
      </c>
      <c r="C14" s="357" t="s">
        <v>1633</v>
      </c>
      <c r="D14" s="252">
        <f>'Diferencia en cambio'!$I$252*0</f>
        <v>0</v>
      </c>
      <c r="E14" s="225">
        <f>$D$14/'Diferencia en cambio'!$L$252</f>
        <v>0</v>
      </c>
      <c r="F14" s="128"/>
      <c r="G14" s="184"/>
      <c r="J14" s="404"/>
      <c r="M14" s="404"/>
      <c r="O14" s="404"/>
    </row>
    <row r="15" spans="1:15" s="43" customFormat="1" ht="15" customHeight="1" outlineLevel="1">
      <c r="B15" s="218" t="s">
        <v>298</v>
      </c>
      <c r="C15" s="406" t="s">
        <v>1570</v>
      </c>
      <c r="D15" s="252">
        <f>'Caja QTQ'!$D$1006</f>
        <v>161472.09350981328</v>
      </c>
      <c r="E15" s="217">
        <f>$D$15/'Diferencia en cambio'!$L$253</f>
        <v>21255.17</v>
      </c>
      <c r="F15" s="329"/>
      <c r="G15" s="208"/>
    </row>
    <row r="16" spans="1:15" s="43" customFormat="1" ht="15" customHeight="1" outlineLevel="1">
      <c r="B16" s="218" t="s">
        <v>298</v>
      </c>
      <c r="C16" s="406" t="s">
        <v>1570</v>
      </c>
      <c r="D16" s="252">
        <f>'Caja QTQ'!$D$1007</f>
        <v>21139.646490186733</v>
      </c>
      <c r="E16" s="217">
        <f>$D$16/'Diferencia en cambio'!$L$254</f>
        <v>2782.69</v>
      </c>
      <c r="F16" s="329"/>
      <c r="G16" s="208"/>
    </row>
    <row r="17" spans="1:10" s="43" customFormat="1" ht="15" customHeight="1" outlineLevel="1">
      <c r="B17" s="218" t="s">
        <v>298</v>
      </c>
      <c r="C17" s="215" t="s">
        <v>1646</v>
      </c>
      <c r="D17" s="216">
        <f>'Diferencia en cambio'!$I$255</f>
        <v>13397.15401662958</v>
      </c>
      <c r="E17" s="225">
        <f>$D$17/'Diferencia en cambio'!$L$255</f>
        <v>1780.4099999999999</v>
      </c>
      <c r="F17" s="128"/>
      <c r="G17" s="171"/>
      <c r="J17" s="372"/>
    </row>
    <row r="18" spans="1:10" s="43" customFormat="1" ht="15" customHeight="1" outlineLevel="1">
      <c r="B18" s="218" t="s">
        <v>298</v>
      </c>
      <c r="C18" s="215" t="s">
        <v>1636</v>
      </c>
      <c r="D18" s="216">
        <f>'Diferencia en cambio'!$I$256</f>
        <v>11023.845409710406</v>
      </c>
      <c r="E18" s="225">
        <f>$D$18/'Diferencia en cambio'!L256</f>
        <v>1465.01</v>
      </c>
      <c r="F18" s="329"/>
      <c r="G18" s="208"/>
    </row>
    <row r="19" spans="1:10" s="43" customFormat="1" ht="15" customHeight="1" outlineLevel="1">
      <c r="B19" s="218" t="s">
        <v>298</v>
      </c>
      <c r="C19" s="215" t="s">
        <v>1637</v>
      </c>
      <c r="D19" s="216">
        <f>'Diferencia en cambio'!$I$257</f>
        <v>25935.131188813913</v>
      </c>
      <c r="E19" s="225">
        <f>$D$19/'Diferencia en cambio'!$L$257</f>
        <v>3446.64</v>
      </c>
      <c r="F19" s="329"/>
      <c r="G19" s="208"/>
    </row>
    <row r="20" spans="1:10" s="43" customFormat="1" ht="15" customHeight="1" outlineLevel="1">
      <c r="B20" s="218" t="s">
        <v>298</v>
      </c>
      <c r="C20" s="215" t="s">
        <v>1638</v>
      </c>
      <c r="D20" s="216">
        <f>'Diferencia en cambio'!$I$258</f>
        <v>18343.5</v>
      </c>
      <c r="E20" s="225">
        <f>$D$20/'Diferencia en cambio'!$L$258</f>
        <v>2462.34</v>
      </c>
      <c r="F20" s="329"/>
      <c r="G20" s="208"/>
    </row>
    <row r="21" spans="1:10" s="43" customFormat="1" ht="15" customHeight="1" outlineLevel="1">
      <c r="B21" s="218" t="s">
        <v>298</v>
      </c>
      <c r="C21" s="215" t="s">
        <v>1639</v>
      </c>
      <c r="D21" s="216">
        <f>'Diferencia en cambio'!$I$259</f>
        <v>45067.429850134642</v>
      </c>
      <c r="E21" s="225">
        <f>$D$21/'Diferencia en cambio'!$L$259</f>
        <v>5989.22</v>
      </c>
      <c r="F21" s="329"/>
      <c r="G21" s="208"/>
    </row>
    <row r="22" spans="1:10" s="43" customFormat="1" ht="15" customHeight="1" outlineLevel="1">
      <c r="B22" s="218" t="s">
        <v>298</v>
      </c>
      <c r="C22" s="215" t="s">
        <v>1640</v>
      </c>
      <c r="D22" s="216">
        <f>'Diferencia en cambio'!$I$260</f>
        <v>12658.749534711451</v>
      </c>
      <c r="E22" s="225">
        <f>$D$22/'Diferencia en cambio'!$L$260</f>
        <v>1682.28</v>
      </c>
      <c r="F22" s="329"/>
      <c r="G22" s="208"/>
    </row>
    <row r="23" spans="1:10" s="43" customFormat="1" ht="15" customHeight="1" outlineLevel="1">
      <c r="B23" s="218" t="s">
        <v>298</v>
      </c>
      <c r="C23" s="215" t="s">
        <v>1641</v>
      </c>
      <c r="D23" s="216">
        <f>'Diferencia en cambio'!$I$261</f>
        <v>74652.09</v>
      </c>
      <c r="E23" s="225">
        <f>D23/'Diferencia en cambio'!$L$261</f>
        <v>9897.92</v>
      </c>
      <c r="F23" s="329"/>
      <c r="G23" s="208"/>
    </row>
    <row r="24" spans="1:10" s="43" customFormat="1" ht="15" customHeight="1" outlineLevel="1">
      <c r="B24" s="218" t="s">
        <v>298</v>
      </c>
      <c r="C24" s="215" t="s">
        <v>1642</v>
      </c>
      <c r="D24" s="216">
        <f>'Diferencia en cambio'!$I$262</f>
        <v>48605.373346173852</v>
      </c>
      <c r="E24" s="225">
        <f>$D$24/'Diferencia en cambio'!$L$262</f>
        <v>6642.37</v>
      </c>
      <c r="F24" s="329"/>
      <c r="G24" s="208"/>
    </row>
    <row r="25" spans="1:10" s="43" customFormat="1" ht="15" customHeight="1" outlineLevel="1">
      <c r="B25" s="218" t="s">
        <v>298</v>
      </c>
      <c r="C25" s="215" t="s">
        <v>1643</v>
      </c>
      <c r="D25" s="216">
        <f>'Diferencia en cambio'!$I$263</f>
        <v>12129.006745516586</v>
      </c>
      <c r="E25" s="225">
        <f>$D$25/'Diferencia en cambio'!$L$263</f>
        <v>1657.54</v>
      </c>
      <c r="F25" s="329"/>
      <c r="G25" s="208"/>
    </row>
    <row r="26" spans="1:10" s="43" customFormat="1" ht="15" customHeight="1" outlineLevel="1">
      <c r="B26" s="218" t="s">
        <v>298</v>
      </c>
      <c r="C26" s="215" t="s">
        <v>1644</v>
      </c>
      <c r="D26" s="216">
        <f>'Diferencia en cambio'!$I$264</f>
        <v>27254.299790058645</v>
      </c>
      <c r="E26" s="225">
        <f>$D$26/'Diferencia en cambio'!$L$264</f>
        <v>3724.55</v>
      </c>
      <c r="F26" s="329"/>
      <c r="G26" s="208"/>
    </row>
    <row r="27" spans="1:10" s="43" customFormat="1" ht="15" customHeight="1" outlineLevel="1">
      <c r="B27" s="218" t="s">
        <v>298</v>
      </c>
      <c r="C27" s="215" t="s">
        <v>1645</v>
      </c>
      <c r="D27" s="216">
        <f>'Diferencia en cambio'!$I$265</f>
        <v>19498.43535261491</v>
      </c>
      <c r="E27" s="225">
        <f>$D$27/'Diferencia en cambio'!$L$265</f>
        <v>2664.64</v>
      </c>
      <c r="F27" s="329"/>
      <c r="G27" s="208"/>
    </row>
    <row r="28" spans="1:10" s="43" customFormat="1" ht="15" customHeight="1" outlineLevel="1">
      <c r="B28" s="218" t="s">
        <v>298</v>
      </c>
      <c r="C28" s="407" t="s">
        <v>1687</v>
      </c>
      <c r="D28" s="216">
        <f>'Diferencia en cambio'!$I$266</f>
        <v>74486.183165472539</v>
      </c>
      <c r="E28" s="225">
        <f>$D$28/'Diferencia en cambio'!$L$266</f>
        <v>10179.219999999999</v>
      </c>
      <c r="F28" s="128"/>
      <c r="G28" s="171"/>
      <c r="J28" s="372"/>
    </row>
    <row r="29" spans="1:10" s="43" customFormat="1" ht="15" customHeight="1" outlineLevel="1">
      <c r="B29" s="218" t="s">
        <v>298</v>
      </c>
      <c r="C29" s="407" t="s">
        <v>1688</v>
      </c>
      <c r="D29" s="216">
        <f>'Diferencia en cambio'!$I$267</f>
        <v>140816.23603627936</v>
      </c>
      <c r="E29" s="225">
        <f>$D$29/'Diferencia en cambio'!$L$267</f>
        <v>19243.830000000002</v>
      </c>
      <c r="F29" s="329"/>
      <c r="G29" s="208"/>
    </row>
    <row r="30" spans="1:10" s="43" customFormat="1" ht="15" customHeight="1" outlineLevel="1">
      <c r="B30" s="218" t="s">
        <v>298</v>
      </c>
      <c r="C30" s="407" t="s">
        <v>1689</v>
      </c>
      <c r="D30" s="216">
        <f>'Diferencia en cambio'!$I$268</f>
        <v>12827.825563884069</v>
      </c>
      <c r="E30" s="225">
        <f>$D$30/'Diferencia en cambio'!$L$268</f>
        <v>1753.04</v>
      </c>
      <c r="F30" s="329"/>
      <c r="G30" s="208"/>
    </row>
    <row r="31" spans="1:10" s="43" customFormat="1" ht="15" customHeight="1" outlineLevel="1">
      <c r="B31" s="218" t="s">
        <v>298</v>
      </c>
      <c r="C31" s="215" t="s">
        <v>1681</v>
      </c>
      <c r="D31" s="216">
        <f>'Diferencia en cambio'!I269</f>
        <v>29834.09</v>
      </c>
      <c r="E31" s="225">
        <f>D31/'Diferencia en cambio'!L269</f>
        <v>3993.19</v>
      </c>
      <c r="F31" s="329"/>
      <c r="G31" s="208"/>
    </row>
    <row r="32" spans="1:10" s="43" customFormat="1" ht="15" customHeight="1" outlineLevel="1">
      <c r="A32" s="50"/>
      <c r="B32" s="218" t="s">
        <v>298</v>
      </c>
      <c r="C32" s="215" t="s">
        <v>1686</v>
      </c>
      <c r="D32" s="216">
        <f>'Diferencia en cambio'!I270</f>
        <v>709017.1</v>
      </c>
      <c r="E32" s="225">
        <f>D32/'Diferencia en cambio'!L270</f>
        <v>92874.06</v>
      </c>
      <c r="F32" s="128"/>
      <c r="G32" s="184"/>
    </row>
    <row r="33" spans="2:19" s="43" customFormat="1" ht="15.75">
      <c r="B33" s="46"/>
      <c r="C33" s="276" t="s">
        <v>136</v>
      </c>
      <c r="D33" s="274">
        <f>SUBTOTAL(9,D9:D32)</f>
        <v>2056973.2678617779</v>
      </c>
      <c r="E33" s="275">
        <f>SUBTOTAL(9,E9:E32)</f>
        <v>273737.28342292062</v>
      </c>
      <c r="F33" s="56"/>
      <c r="G33" s="56"/>
      <c r="J33" s="52"/>
      <c r="K33" s="57"/>
      <c r="O33" s="58"/>
      <c r="P33" s="59"/>
      <c r="Q33" s="53"/>
    </row>
    <row r="34" spans="2:19" s="43" customFormat="1" ht="15.75">
      <c r="B34" s="46"/>
      <c r="C34" s="60"/>
      <c r="D34" s="61"/>
      <c r="E34" s="61"/>
      <c r="G34" s="62"/>
      <c r="O34" s="59"/>
      <c r="P34" s="59"/>
    </row>
    <row r="35" spans="2:19" s="43" customFormat="1" ht="15.75">
      <c r="B35" s="46"/>
      <c r="N35" s="63"/>
      <c r="O35" s="64"/>
      <c r="P35" s="65"/>
    </row>
    <row r="36" spans="2:19" s="43" customFormat="1" ht="15.75">
      <c r="B36" s="432" t="s">
        <v>137</v>
      </c>
      <c r="C36" s="432"/>
      <c r="D36" s="432" t="s">
        <v>729</v>
      </c>
      <c r="E36" s="432"/>
      <c r="K36" s="65"/>
      <c r="L36" s="65"/>
      <c r="N36" s="63"/>
      <c r="R36" s="52"/>
      <c r="S36" s="52"/>
    </row>
    <row r="37" spans="2:19" s="43" customFormat="1" ht="16.5" thickBot="1">
      <c r="B37" s="67" t="s">
        <v>81</v>
      </c>
      <c r="C37" s="68" t="s">
        <v>106</v>
      </c>
      <c r="D37" s="110" t="s">
        <v>168</v>
      </c>
      <c r="E37" s="110" t="s">
        <v>169</v>
      </c>
      <c r="F37" s="69" t="s">
        <v>140</v>
      </c>
      <c r="G37" s="63" t="s">
        <v>141</v>
      </c>
      <c r="H37" s="63"/>
      <c r="I37" s="63"/>
      <c r="J37" s="70" t="s">
        <v>142</v>
      </c>
      <c r="N37" s="71"/>
      <c r="R37" s="52"/>
      <c r="S37" s="72"/>
    </row>
    <row r="38" spans="2:19" s="43" customFormat="1" ht="16.5" thickBot="1">
      <c r="B38" s="46"/>
      <c r="C38" s="73" t="s">
        <v>155</v>
      </c>
      <c r="D38" s="103">
        <f>SUBTOTAL(9,D39:D39)</f>
        <v>79591.59</v>
      </c>
      <c r="E38" s="112">
        <f>SUBTOTAL(9,E39:E39)</f>
        <v>10669.113941018766</v>
      </c>
      <c r="F38" s="74"/>
      <c r="J38" s="76"/>
    </row>
    <row r="39" spans="2:19" s="43" customFormat="1" ht="15.75" outlineLevel="1" thickBot="1">
      <c r="B39" s="168">
        <v>6046059</v>
      </c>
      <c r="C39" s="78" t="s">
        <v>1614</v>
      </c>
      <c r="D39" s="104">
        <v>79591.59</v>
      </c>
      <c r="E39" s="115">
        <f>D39/$D$6</f>
        <v>10669.113941018766</v>
      </c>
      <c r="F39" s="74">
        <v>46094</v>
      </c>
      <c r="G39" s="43" t="s">
        <v>135</v>
      </c>
      <c r="H39" s="43">
        <f>IF(OR(G39="Sin pagar",G39="Pagar"),NETWORKDAYS($E$4,F39,'Festivos Guatemala'!$A$3:$A$29),0)</f>
        <v>0</v>
      </c>
      <c r="I39" s="43">
        <f>NETWORKDAYS($E$4,F39,'Festivos Guatemala'!$A$3:$A$15)</f>
        <v>10</v>
      </c>
      <c r="J39" s="75">
        <f>H39</f>
        <v>0</v>
      </c>
      <c r="K39" s="52"/>
      <c r="L39" s="52"/>
    </row>
    <row r="40" spans="2:19" s="43" customFormat="1" ht="16.5" thickBot="1">
      <c r="B40" s="46"/>
      <c r="C40" s="73" t="s">
        <v>144</v>
      </c>
      <c r="D40" s="103">
        <f>SUBTOTAL(9,D41:D44)</f>
        <v>42459.850000000006</v>
      </c>
      <c r="E40" s="112">
        <f>SUBTOTAL(9,E41:E44)</f>
        <v>5691.6689008042904</v>
      </c>
      <c r="J40" s="76">
        <f t="shared" ref="J40:J50" si="0">H40</f>
        <v>0</v>
      </c>
    </row>
    <row r="41" spans="2:19" s="43" customFormat="1" outlineLevel="1">
      <c r="B41" s="168">
        <v>50405693423</v>
      </c>
      <c r="C41" s="47" t="s">
        <v>1647</v>
      </c>
      <c r="D41" s="104">
        <v>18662.490000000002</v>
      </c>
      <c r="E41" s="115">
        <f>D41/$D$6</f>
        <v>2501.6742627345848</v>
      </c>
      <c r="F41" s="74">
        <v>46094</v>
      </c>
      <c r="G41" s="43" t="s">
        <v>135</v>
      </c>
      <c r="H41" s="43">
        <f>IF(OR(G41="Sin pagar",G41="Pagar"),NETWORKDAYS($E$4,F41,'Festivos Guatemala'!$A$3:$A$29),0)</f>
        <v>0</v>
      </c>
      <c r="I41" s="43">
        <f>NETWORKDAYS($E$4,F41,'Festivos Guatemala'!$A$3:$A$15)</f>
        <v>10</v>
      </c>
      <c r="J41" s="75">
        <f t="shared" si="0"/>
        <v>0</v>
      </c>
      <c r="K41" s="48"/>
      <c r="L41" s="57"/>
    </row>
    <row r="42" spans="2:19" s="43" customFormat="1" ht="14.25" customHeight="1" outlineLevel="1">
      <c r="B42" s="168">
        <v>50404858314</v>
      </c>
      <c r="C42" s="47" t="s">
        <v>1539</v>
      </c>
      <c r="D42" s="109">
        <v>4965.43</v>
      </c>
      <c r="E42" s="115">
        <f>D42/$D$6</f>
        <v>665.60723860589815</v>
      </c>
      <c r="F42" s="74">
        <v>46094</v>
      </c>
      <c r="G42" s="43" t="s">
        <v>135</v>
      </c>
      <c r="H42" s="43">
        <f>IF(OR(G42="Sin pagar",G42="Pagar"),NETWORKDAYS($E$4,F42,'Festivos Guatemala'!$A$3:$A$29),0)</f>
        <v>0</v>
      </c>
      <c r="I42" s="43">
        <f>NETWORKDAYS($E$4,F42,'Festivos Guatemala'!$A$3:$A$15)</f>
        <v>10</v>
      </c>
      <c r="J42" s="75">
        <f t="shared" si="0"/>
        <v>0</v>
      </c>
      <c r="K42" s="48"/>
      <c r="L42" s="57"/>
    </row>
    <row r="43" spans="2:19" s="43" customFormat="1" ht="14.25" customHeight="1" outlineLevel="1">
      <c r="B43" s="168">
        <v>50404870539</v>
      </c>
      <c r="C43" s="47" t="s">
        <v>1148</v>
      </c>
      <c r="D43" s="109">
        <v>1896.52</v>
      </c>
      <c r="E43" s="115">
        <f>D43/$D$6</f>
        <v>254.22520107238606</v>
      </c>
      <c r="F43" s="74">
        <v>46094</v>
      </c>
      <c r="G43" s="43" t="s">
        <v>135</v>
      </c>
      <c r="H43" s="43">
        <f>IF(OR(G43="Sin pagar",G43="Pagar"),NETWORKDAYS($E$4,F43,'Festivos Guatemala'!$A$3:$A$29),0)</f>
        <v>0</v>
      </c>
      <c r="I43" s="43">
        <f>NETWORKDAYS($E$4,F43,'Festivos Guatemala'!$A$3:$A$15)</f>
        <v>10</v>
      </c>
      <c r="J43" s="75">
        <f t="shared" si="0"/>
        <v>0</v>
      </c>
      <c r="K43" s="48"/>
      <c r="L43" s="57"/>
    </row>
    <row r="44" spans="2:19" s="43" customFormat="1" ht="14.25" customHeight="1" outlineLevel="1" thickBot="1">
      <c r="B44" s="168">
        <v>50498172920</v>
      </c>
      <c r="C44" s="47" t="s">
        <v>1712</v>
      </c>
      <c r="D44" s="109">
        <v>16935.41</v>
      </c>
      <c r="E44" s="115">
        <f>D44/$D$6</f>
        <v>2270.162198391421</v>
      </c>
      <c r="F44" s="74">
        <v>46112</v>
      </c>
      <c r="G44" s="43" t="s">
        <v>135</v>
      </c>
      <c r="H44" s="43">
        <f>IF(OR(G44="Sin pagar",G44="Pagar"),NETWORKDAYS($E$4,F44,'Festivos Guatemala'!$A$3:$A$29),0)</f>
        <v>0</v>
      </c>
      <c r="I44" s="43">
        <f>NETWORKDAYS($E$4,F44,'Festivos Guatemala'!$A$3:$A$15)</f>
        <v>22</v>
      </c>
      <c r="J44" s="75">
        <f t="shared" ref="J44" si="1">H44</f>
        <v>0</v>
      </c>
      <c r="K44" s="48"/>
      <c r="L44" s="57"/>
    </row>
    <row r="45" spans="2:19" s="43" customFormat="1" ht="16.5" thickBot="1">
      <c r="B45" s="46"/>
      <c r="C45" s="73" t="s">
        <v>1065</v>
      </c>
      <c r="D45" s="103">
        <f>SUBTOTAL(9,D46:D50)</f>
        <v>24193.64</v>
      </c>
      <c r="E45" s="112">
        <f>SUBTOTAL(9,E46:E50)</f>
        <v>3243.1152815013406</v>
      </c>
      <c r="J45" s="76">
        <f t="shared" si="0"/>
        <v>0</v>
      </c>
      <c r="K45" s="52"/>
      <c r="L45" s="52"/>
    </row>
    <row r="46" spans="2:19" s="43" customFormat="1" ht="15" customHeight="1" outlineLevel="1">
      <c r="B46" s="356" t="s">
        <v>1630</v>
      </c>
      <c r="C46" s="47" t="s">
        <v>1395</v>
      </c>
      <c r="D46" s="104">
        <f>$E$46*$D$6</f>
        <v>11152.7</v>
      </c>
      <c r="E46" s="115">
        <v>1495</v>
      </c>
      <c r="F46" s="80">
        <v>46090</v>
      </c>
      <c r="G46" s="43" t="s">
        <v>135</v>
      </c>
      <c r="H46" s="43">
        <f>IF(OR(G46="Sin pagar",G46="Pagar"),NETWORKDAYS($E$4,F46,'Festivos Guatemala'!$A$3:$A$29),0)</f>
        <v>0</v>
      </c>
      <c r="I46" s="43">
        <f>NETWORKDAYS($E$4,F46,'Festivos Guatemala'!$A$3:$A$15)</f>
        <v>6</v>
      </c>
      <c r="J46" s="75">
        <f>H46</f>
        <v>0</v>
      </c>
      <c r="K46" s="48"/>
      <c r="L46" s="57"/>
    </row>
    <row r="47" spans="2:19" s="43" customFormat="1" ht="15" customHeight="1" outlineLevel="1">
      <c r="B47" s="412" t="s">
        <v>1615</v>
      </c>
      <c r="C47" s="47" t="s">
        <v>1666</v>
      </c>
      <c r="D47" s="104">
        <f>10146.2-200</f>
        <v>9946.2000000000007</v>
      </c>
      <c r="E47" s="115">
        <f>D47/$D$6</f>
        <v>1333.2707774798928</v>
      </c>
      <c r="F47" s="80">
        <v>46101</v>
      </c>
      <c r="G47" s="43" t="s">
        <v>135</v>
      </c>
      <c r="H47" s="43">
        <f>IF(OR(G47="Sin pagar",G47="Pagar"),NETWORKDAYS($E$4,F47,'Festivos Guatemala'!$A$3:$A$29),0)</f>
        <v>0</v>
      </c>
      <c r="I47" s="43">
        <f>NETWORKDAYS($E$4,F47,'Festivos Guatemala'!$A$3:$A$15)</f>
        <v>15</v>
      </c>
      <c r="J47" s="75">
        <f>H47</f>
        <v>0</v>
      </c>
      <c r="K47" s="48"/>
      <c r="L47" s="57"/>
    </row>
    <row r="48" spans="2:19" s="43" customFormat="1" ht="15" customHeight="1" outlineLevel="1">
      <c r="B48" s="168">
        <v>1495813926</v>
      </c>
      <c r="C48" s="47" t="s">
        <v>1661</v>
      </c>
      <c r="D48" s="109">
        <v>800</v>
      </c>
      <c r="E48" s="115">
        <f>D48/$D$6</f>
        <v>107.23860589812332</v>
      </c>
      <c r="F48" s="80">
        <v>46101</v>
      </c>
      <c r="G48" s="43" t="s">
        <v>135</v>
      </c>
      <c r="H48" s="43">
        <f>IF(OR(G48="Sin pagar",G48="Pagar"),NETWORKDAYS($E$4,F48,'Festivos Guatemala'!$A$3:$A$29),0)</f>
        <v>0</v>
      </c>
      <c r="I48" s="43">
        <f>NETWORKDAYS($E$4,F48,'Festivos Guatemala'!$A$3:$A$15)</f>
        <v>15</v>
      </c>
      <c r="J48" s="75">
        <f t="shared" ref="J48" si="2">H48</f>
        <v>0</v>
      </c>
      <c r="K48" s="48"/>
      <c r="L48" s="57"/>
      <c r="M48" s="304" t="s">
        <v>379</v>
      </c>
    </row>
    <row r="49" spans="2:16" s="43" customFormat="1" ht="15" customHeight="1" outlineLevel="1">
      <c r="B49" s="168" t="s">
        <v>1662</v>
      </c>
      <c r="C49" s="47" t="s">
        <v>1616</v>
      </c>
      <c r="D49" s="104">
        <v>926.32</v>
      </c>
      <c r="E49" s="115">
        <f>D49/$D$6</f>
        <v>124.17158176943701</v>
      </c>
      <c r="F49" s="80">
        <v>46101</v>
      </c>
      <c r="G49" s="43" t="s">
        <v>135</v>
      </c>
      <c r="H49" s="43">
        <f>IF(OR(G49="Sin pagar",G49="Pagar"),NETWORKDAYS($E$4,F49,'Festivos Guatemala'!$A$3:$A$29),0)</f>
        <v>0</v>
      </c>
      <c r="I49" s="43">
        <f>NETWORKDAYS($E$4,F49,'Festivos Guatemala'!$A$3:$A$15)</f>
        <v>15</v>
      </c>
      <c r="J49" s="75">
        <f>H49</f>
        <v>0</v>
      </c>
      <c r="K49" s="48"/>
      <c r="L49" s="57"/>
      <c r="M49" s="304" t="s">
        <v>379</v>
      </c>
    </row>
    <row r="50" spans="2:16" s="43" customFormat="1" ht="15" customHeight="1" outlineLevel="1" thickBot="1">
      <c r="B50" s="168">
        <v>1380272196</v>
      </c>
      <c r="C50" s="47" t="s">
        <v>1617</v>
      </c>
      <c r="D50" s="104">
        <v>1368.42</v>
      </c>
      <c r="E50" s="115">
        <f>D50/$D$6</f>
        <v>183.4343163538874</v>
      </c>
      <c r="F50" s="80">
        <v>46101</v>
      </c>
      <c r="G50" s="43" t="s">
        <v>135</v>
      </c>
      <c r="H50" s="43">
        <f>IF(OR(G50="Sin pagar",G50="Pagar"),NETWORKDAYS($E$4,F50,'Festivos Guatemala'!$A$3:$A$29),0)</f>
        <v>0</v>
      </c>
      <c r="I50" s="43">
        <f>NETWORKDAYS($E$4,F50,'Festivos Guatemala'!$A$3:$A$15)</f>
        <v>15</v>
      </c>
      <c r="J50" s="75">
        <f t="shared" si="0"/>
        <v>0</v>
      </c>
      <c r="K50" s="48"/>
      <c r="L50" s="57"/>
      <c r="M50" s="304" t="s">
        <v>379</v>
      </c>
    </row>
    <row r="51" spans="2:16" s="43" customFormat="1" ht="16.5" thickBot="1">
      <c r="C51" s="73" t="s">
        <v>146</v>
      </c>
      <c r="D51" s="103">
        <f>SUBTOTAL(9,D52:D55)</f>
        <v>3921.5722000000001</v>
      </c>
      <c r="E51" s="112">
        <f>SUBTOTAL(9,E52:E55)</f>
        <v>525.67991957104562</v>
      </c>
      <c r="K51" s="49"/>
      <c r="L51" s="49"/>
      <c r="O51" s="49"/>
      <c r="P51" s="49"/>
    </row>
    <row r="52" spans="2:16" s="43" customFormat="1" ht="15" customHeight="1" outlineLevel="1">
      <c r="B52" s="186" t="s">
        <v>746</v>
      </c>
      <c r="C52" s="210" t="s">
        <v>272</v>
      </c>
      <c r="D52" s="104">
        <f>E52*$D$6</f>
        <v>410.82220000000001</v>
      </c>
      <c r="E52" s="270">
        <v>55.07</v>
      </c>
      <c r="F52" s="80">
        <v>46111</v>
      </c>
      <c r="G52" s="43" t="s">
        <v>135</v>
      </c>
      <c r="H52" s="43">
        <f>IF(OR(G52="Sin pagar",G52="Pagar"),NETWORKDAYS($E$4,F52,'Festivos Guatemala'!$A$3:$A$29),0)</f>
        <v>0</v>
      </c>
      <c r="I52" s="43">
        <f>NETWORKDAYS($E$4,F52,'Festivos Guatemala'!$A$3:$A$15)</f>
        <v>21</v>
      </c>
      <c r="J52" s="75">
        <f t="shared" ref="J52:J55" si="3">H52</f>
        <v>0</v>
      </c>
      <c r="K52" s="49"/>
      <c r="L52" s="49"/>
      <c r="O52" s="49"/>
      <c r="P52" s="49"/>
    </row>
    <row r="53" spans="2:16" s="43" customFormat="1" ht="15" customHeight="1" outlineLevel="1">
      <c r="B53" s="251" t="s">
        <v>745</v>
      </c>
      <c r="C53" s="209" t="s">
        <v>1608</v>
      </c>
      <c r="D53" s="268">
        <v>776.97</v>
      </c>
      <c r="E53" s="113">
        <f>D53/$D$6</f>
        <v>104.15147453083111</v>
      </c>
      <c r="F53" s="80">
        <v>46111</v>
      </c>
      <c r="G53" s="43" t="s">
        <v>135</v>
      </c>
      <c r="H53" s="43">
        <f>IF(OR(G53="Sin pagar",G53="Pagar"),NETWORKDAYS($E$4,F53,'Festivos Guatemala'!$A$3:$A$29),0)</f>
        <v>0</v>
      </c>
      <c r="I53" s="43">
        <f>NETWORKDAYS($E$4,F53,'Festivos Guatemala'!$A$3:$A$15)</f>
        <v>21</v>
      </c>
      <c r="J53" s="75">
        <f>H53</f>
        <v>0</v>
      </c>
      <c r="K53" s="49"/>
      <c r="L53" s="49"/>
      <c r="O53" s="49"/>
      <c r="P53" s="49"/>
    </row>
    <row r="54" spans="2:16" s="43" customFormat="1" ht="15" customHeight="1" outlineLevel="1">
      <c r="B54" s="251" t="s">
        <v>745</v>
      </c>
      <c r="C54" s="209" t="s">
        <v>825</v>
      </c>
      <c r="D54" s="268">
        <v>926.68</v>
      </c>
      <c r="E54" s="113">
        <f>D54/$D$6</f>
        <v>124.21983914209115</v>
      </c>
      <c r="F54" s="80">
        <v>46111</v>
      </c>
      <c r="G54" s="43" t="s">
        <v>135</v>
      </c>
      <c r="H54" s="43">
        <f>IF(OR(G54="Sin pagar",G54="Pagar"),NETWORKDAYS($E$4,F54,'Festivos Guatemala'!$A$3:$A$29),0)</f>
        <v>0</v>
      </c>
      <c r="I54" s="43">
        <f>NETWORKDAYS($E$4,F54,'Festivos Guatemala'!$A$3:$A$15)</f>
        <v>21</v>
      </c>
      <c r="J54" s="75">
        <f>H54</f>
        <v>0</v>
      </c>
      <c r="K54" s="49"/>
      <c r="L54" s="49"/>
      <c r="O54" s="49"/>
      <c r="P54" s="49"/>
    </row>
    <row r="55" spans="2:16" s="43" customFormat="1" ht="15" customHeight="1" outlineLevel="1" thickBot="1">
      <c r="B55" s="251" t="s">
        <v>745</v>
      </c>
      <c r="C55" s="209" t="s">
        <v>822</v>
      </c>
      <c r="D55" s="268">
        <v>1807.1</v>
      </c>
      <c r="E55" s="113">
        <f>D55/$D$6</f>
        <v>242.23860589812332</v>
      </c>
      <c r="F55" s="80">
        <v>46111</v>
      </c>
      <c r="G55" s="43" t="s">
        <v>135</v>
      </c>
      <c r="H55" s="43">
        <f>IF(OR(G55="Sin pagar",G55="Pagar"),NETWORKDAYS($E$4,F55,'Festivos Guatemala'!$A$3:$A$29),0)</f>
        <v>0</v>
      </c>
      <c r="I55" s="43">
        <f>NETWORKDAYS($E$4,F55,'Festivos Guatemala'!$A$3:$A$15)</f>
        <v>21</v>
      </c>
      <c r="J55" s="75">
        <f t="shared" si="3"/>
        <v>0</v>
      </c>
      <c r="K55" s="49"/>
      <c r="L55" s="49"/>
      <c r="O55" s="49"/>
      <c r="P55" s="49"/>
    </row>
    <row r="56" spans="2:16" s="43" customFormat="1" ht="16.5" thickBot="1">
      <c r="B56" s="82"/>
      <c r="C56" s="85" t="s">
        <v>162</v>
      </c>
      <c r="D56" s="119">
        <f>SUBTOTAL(9,D57:D57)</f>
        <v>0</v>
      </c>
      <c r="E56" s="114">
        <f>SUBTOTAL(9,E57:E57)</f>
        <v>0</v>
      </c>
      <c r="K56" s="52"/>
      <c r="M56" s="183"/>
      <c r="N56" s="183"/>
    </row>
    <row r="57" spans="2:16" s="43" customFormat="1" ht="15" customHeight="1" outlineLevel="1" thickBot="1">
      <c r="B57" s="46">
        <v>0</v>
      </c>
      <c r="C57" s="47" t="s">
        <v>1618</v>
      </c>
      <c r="D57" s="104">
        <f>E57*7.8</f>
        <v>0</v>
      </c>
      <c r="E57" s="115">
        <v>0</v>
      </c>
      <c r="F57" s="74">
        <v>46112</v>
      </c>
      <c r="G57" s="43" t="s">
        <v>135</v>
      </c>
      <c r="H57" s="43">
        <f>IF(OR(G57="Sin pagar",G57="Pagar"),NETWORKDAYS($E$4,F57,'Festivos Guatemala'!$A$3:$A$29),0)</f>
        <v>0</v>
      </c>
      <c r="I57" s="43">
        <f>NETWORKDAYS($E$4,F57,'Festivos Guatemala'!$A$3:$A$15)</f>
        <v>22</v>
      </c>
      <c r="J57" s="75">
        <f t="shared" ref="J57" si="4">H57</f>
        <v>0</v>
      </c>
      <c r="M57" s="104"/>
      <c r="N57" s="49"/>
    </row>
    <row r="58" spans="2:16" s="43" customFormat="1" ht="16.5" thickBot="1">
      <c r="B58" s="46"/>
      <c r="C58" s="73" t="s">
        <v>147</v>
      </c>
      <c r="D58" s="103">
        <f>SUBTOTAL(9,D59:D59)</f>
        <v>0</v>
      </c>
      <c r="E58" s="112">
        <f>SUBTOTAL(9,E59:E59)</f>
        <v>0</v>
      </c>
    </row>
    <row r="59" spans="2:16" s="43" customFormat="1" ht="15.75" outlineLevel="1" thickBot="1">
      <c r="B59" s="46"/>
      <c r="C59" s="47"/>
      <c r="D59" s="104"/>
      <c r="E59" s="113"/>
      <c r="F59" s="74">
        <v>46081</v>
      </c>
      <c r="G59" s="43" t="s">
        <v>135</v>
      </c>
      <c r="H59" s="43">
        <f>IF(OR(G59="Sin pagar",G59="Pagar"),NETWORKDAYS($E$4,F59,'Festivos Guatemala'!$A$3:$A$29),0)</f>
        <v>0</v>
      </c>
      <c r="I59" s="43">
        <f>NETWORKDAYS($E$4,F59,'Festivos Guatemala'!$A$3:$A$15)</f>
        <v>0</v>
      </c>
      <c r="J59" s="75">
        <f>H59</f>
        <v>0</v>
      </c>
    </row>
    <row r="60" spans="2:16" s="43" customFormat="1" ht="15.75" customHeight="1" thickBot="1">
      <c r="C60" s="73" t="s">
        <v>148</v>
      </c>
      <c r="D60" s="119">
        <f>SUBTOTAL(9,D61:D62)</f>
        <v>559.5</v>
      </c>
      <c r="E60" s="114">
        <f>SUBTOTAL(9,E61:E62)</f>
        <v>75</v>
      </c>
    </row>
    <row r="61" spans="2:16" s="43" customFormat="1" ht="15" customHeight="1" outlineLevel="1">
      <c r="B61" s="46"/>
      <c r="C61" s="47" t="s">
        <v>1257</v>
      </c>
      <c r="D61" s="109">
        <f>E61*$D$6</f>
        <v>298.39999999999998</v>
      </c>
      <c r="E61" s="115">
        <f>40</f>
        <v>40</v>
      </c>
      <c r="F61" s="74">
        <v>46090</v>
      </c>
      <c r="G61" s="43" t="s">
        <v>135</v>
      </c>
      <c r="H61" s="43">
        <f>IF(OR(G61="Sin pagar",G61="Pagar"),NETWORKDAYS($E$4,F61,'Festivos Guatemala'!$A$3:$A$29),0)</f>
        <v>0</v>
      </c>
      <c r="I61" s="43">
        <f>NETWORKDAYS($E$4,F61,'Festivos Guatemala'!$A$3:$A$15)</f>
        <v>6</v>
      </c>
      <c r="J61" s="75">
        <f>H61</f>
        <v>0</v>
      </c>
    </row>
    <row r="62" spans="2:16" s="43" customFormat="1" ht="15" customHeight="1" outlineLevel="1" thickBot="1">
      <c r="B62" s="46"/>
      <c r="C62" s="47" t="s">
        <v>117</v>
      </c>
      <c r="D62" s="109">
        <f>E62*D6</f>
        <v>261.10000000000002</v>
      </c>
      <c r="E62" s="115">
        <f>35</f>
        <v>35</v>
      </c>
      <c r="F62" s="74">
        <v>46112</v>
      </c>
      <c r="G62" s="43" t="s">
        <v>135</v>
      </c>
      <c r="H62" s="43">
        <f>IF(OR(G62="Sin pagar",G62="Pagar"),NETWORKDAYS($E$4,F62,'Festivos Guatemala'!$A$3:$A$29),0)</f>
        <v>0</v>
      </c>
      <c r="I62" s="43">
        <f>NETWORKDAYS($E$4,F62,'Festivos Guatemala'!$A$3:$A$15)</f>
        <v>22</v>
      </c>
      <c r="J62" s="75">
        <f t="shared" ref="J62" si="5">H62</f>
        <v>0</v>
      </c>
    </row>
    <row r="63" spans="2:16" s="43" customFormat="1" ht="16.5" thickBot="1">
      <c r="C63" s="73" t="s">
        <v>164</v>
      </c>
      <c r="D63" s="119">
        <f>SUBTOTAL(9,D64:D81)</f>
        <v>403799.93</v>
      </c>
      <c r="E63" s="114">
        <f>SUBTOTAL(9,E64:E81)</f>
        <v>54128.67694369972</v>
      </c>
      <c r="K63" s="52"/>
      <c r="L63" s="86"/>
      <c r="M63" s="109"/>
      <c r="N63" s="109"/>
      <c r="O63" s="113"/>
    </row>
    <row r="64" spans="2:16" s="43" customFormat="1" ht="15" customHeight="1" outlineLevel="1">
      <c r="B64" s="83" t="s">
        <v>1034</v>
      </c>
      <c r="C64" s="47" t="s">
        <v>843</v>
      </c>
      <c r="D64" s="271">
        <v>18679.5</v>
      </c>
      <c r="E64" s="113">
        <f t="shared" ref="E64:E80" si="6">D64/$D$6</f>
        <v>2503.9544235924932</v>
      </c>
      <c r="F64" s="74">
        <v>46108</v>
      </c>
      <c r="G64" s="43" t="s">
        <v>135</v>
      </c>
      <c r="H64" s="43">
        <f>IF(OR(G64="Sin pagar",G64="Pagar"),NETWORKDAYS($E$4,F64,'Festivos Guatemala'!$A$3:$A$29),0)</f>
        <v>0</v>
      </c>
      <c r="I64" s="43">
        <f>NETWORKDAYS($E$4,F64,'Festivos Guatemala'!$A$3:$A$15)</f>
        <v>20</v>
      </c>
      <c r="J64" s="75">
        <f t="shared" ref="J64:J80" si="7">H64</f>
        <v>0</v>
      </c>
      <c r="L64" s="52"/>
      <c r="M64" s="381"/>
    </row>
    <row r="65" spans="2:13" s="43" customFormat="1" ht="15" customHeight="1" outlineLevel="1">
      <c r="B65" s="83" t="s">
        <v>1034</v>
      </c>
      <c r="C65" s="47" t="s">
        <v>886</v>
      </c>
      <c r="D65" s="271">
        <v>51034.74</v>
      </c>
      <c r="E65" s="113">
        <f>D65/$D$6</f>
        <v>6841.1179624664874</v>
      </c>
      <c r="F65" s="74">
        <v>46108</v>
      </c>
      <c r="G65" s="43" t="s">
        <v>135</v>
      </c>
      <c r="H65" s="43">
        <f>IF(OR(G65="Sin pagar",G65="Pagar"),NETWORKDAYS($E$4,F65,'Festivos Guatemala'!$A$3:$A$29),0)</f>
        <v>0</v>
      </c>
      <c r="I65" s="43">
        <f>NETWORKDAYS($E$4,F65,'Festivos Guatemala'!$A$3:$A$15)</f>
        <v>20</v>
      </c>
      <c r="J65" s="75">
        <f>H65</f>
        <v>0</v>
      </c>
      <c r="L65" s="52"/>
    </row>
    <row r="66" spans="2:13" s="43" customFormat="1" ht="15" customHeight="1" outlineLevel="1">
      <c r="B66" s="83" t="s">
        <v>1034</v>
      </c>
      <c r="C66" s="47" t="s">
        <v>176</v>
      </c>
      <c r="D66" s="271">
        <v>28786.83</v>
      </c>
      <c r="E66" s="113">
        <f t="shared" si="6"/>
        <v>3858.8243967828421</v>
      </c>
      <c r="F66" s="74">
        <v>46108</v>
      </c>
      <c r="G66" s="43" t="s">
        <v>135</v>
      </c>
      <c r="H66" s="43">
        <f>IF(OR(G66="Sin pagar",G66="Pagar"),NETWORKDAYS($E$4,F66,'Festivos Guatemala'!$A$3:$A$29),0)</f>
        <v>0</v>
      </c>
      <c r="I66" s="43">
        <f>NETWORKDAYS($E$4,F66,'Festivos Guatemala'!$A$3:$A$15)</f>
        <v>20</v>
      </c>
      <c r="J66" s="75">
        <f t="shared" si="7"/>
        <v>0</v>
      </c>
      <c r="L66" s="52"/>
      <c r="M66" s="381"/>
    </row>
    <row r="67" spans="2:13" s="43" customFormat="1" ht="15" customHeight="1" outlineLevel="1">
      <c r="B67" s="267" t="s">
        <v>1035</v>
      </c>
      <c r="C67" s="47" t="s">
        <v>944</v>
      </c>
      <c r="D67" s="271">
        <v>13622.51</v>
      </c>
      <c r="E67" s="113">
        <f t="shared" si="6"/>
        <v>1826.0737265415551</v>
      </c>
      <c r="F67" s="74">
        <v>46108</v>
      </c>
      <c r="G67" s="43" t="s">
        <v>135</v>
      </c>
      <c r="H67" s="43">
        <f>IF(OR(G67="Sin pagar",G67="Pagar"),NETWORKDAYS($E$4,F67,'Festivos Guatemala'!$A$3:$A$29),0)</f>
        <v>0</v>
      </c>
      <c r="I67" s="43">
        <f>NETWORKDAYS($E$4,F67,'Festivos Guatemala'!$A$3:$A$15)</f>
        <v>20</v>
      </c>
      <c r="J67" s="75">
        <f t="shared" si="7"/>
        <v>0</v>
      </c>
      <c r="L67" s="52"/>
      <c r="M67" s="381"/>
    </row>
    <row r="68" spans="2:13" s="43" customFormat="1" ht="15" customHeight="1" outlineLevel="1">
      <c r="B68" s="267" t="s">
        <v>1035</v>
      </c>
      <c r="C68" s="47" t="s">
        <v>1300</v>
      </c>
      <c r="D68" s="271">
        <v>65446.400000000001</v>
      </c>
      <c r="E68" s="113">
        <f>D68/$D$6</f>
        <v>8772.9758713136725</v>
      </c>
      <c r="F68" s="74">
        <v>46108</v>
      </c>
      <c r="G68" s="43" t="s">
        <v>135</v>
      </c>
      <c r="H68" s="43">
        <f>IF(OR(G68="Sin pagar",G68="Pagar"),NETWORKDAYS($E$4,F68,'Festivos Guatemala'!$A$3:$A$29),0)</f>
        <v>0</v>
      </c>
      <c r="I68" s="43">
        <f>NETWORKDAYS($E$4,F68,'Festivos Guatemala'!$A$3:$A$15)</f>
        <v>20</v>
      </c>
      <c r="J68" s="75">
        <f>H68</f>
        <v>0</v>
      </c>
      <c r="L68" s="52"/>
      <c r="M68" s="381"/>
    </row>
    <row r="69" spans="2:13" s="43" customFormat="1" ht="15" customHeight="1" outlineLevel="1">
      <c r="B69" s="267" t="s">
        <v>1035</v>
      </c>
      <c r="C69" s="47" t="s">
        <v>829</v>
      </c>
      <c r="D69" s="271">
        <v>34601.33</v>
      </c>
      <c r="E69" s="113">
        <f t="shared" si="6"/>
        <v>4638.2479892761394</v>
      </c>
      <c r="F69" s="74">
        <v>46108</v>
      </c>
      <c r="G69" s="43" t="s">
        <v>135</v>
      </c>
      <c r="H69" s="43">
        <f>IF(OR(G69="Sin pagar",G69="Pagar"),NETWORKDAYS($E$4,F69,'Festivos Guatemala'!$A$3:$A$29),0)</f>
        <v>0</v>
      </c>
      <c r="I69" s="43">
        <f>NETWORKDAYS($E$4,F69,'Festivos Guatemala'!$A$3:$A$15)</f>
        <v>20</v>
      </c>
      <c r="J69" s="75">
        <f t="shared" si="7"/>
        <v>0</v>
      </c>
      <c r="L69" s="52"/>
      <c r="M69" s="381"/>
    </row>
    <row r="70" spans="2:13" s="43" customFormat="1" ht="15" customHeight="1" outlineLevel="1">
      <c r="B70" s="267" t="s">
        <v>1036</v>
      </c>
      <c r="C70" s="47" t="s">
        <v>946</v>
      </c>
      <c r="D70" s="271">
        <v>9924.43</v>
      </c>
      <c r="E70" s="113">
        <f t="shared" si="6"/>
        <v>1330.3525469168901</v>
      </c>
      <c r="F70" s="74">
        <v>46108</v>
      </c>
      <c r="G70" s="43" t="s">
        <v>135</v>
      </c>
      <c r="H70" s="43">
        <f>IF(OR(G70="Sin pagar",G70="Pagar"),NETWORKDAYS($E$4,F70,'Festivos Guatemala'!$A$3:$A$29),0)</f>
        <v>0</v>
      </c>
      <c r="I70" s="43">
        <f>NETWORKDAYS($E$4,F70,'Festivos Guatemala'!$A$3:$A$15)</f>
        <v>20</v>
      </c>
      <c r="J70" s="75">
        <f t="shared" si="7"/>
        <v>0</v>
      </c>
      <c r="L70" s="52"/>
      <c r="M70" s="381"/>
    </row>
    <row r="71" spans="2:13" s="43" customFormat="1" ht="15" customHeight="1" outlineLevel="1">
      <c r="B71" s="301" t="s">
        <v>1037</v>
      </c>
      <c r="C71" s="47" t="s">
        <v>947</v>
      </c>
      <c r="D71" s="271">
        <v>9658.43</v>
      </c>
      <c r="E71" s="113">
        <f t="shared" si="6"/>
        <v>1294.6957104557641</v>
      </c>
      <c r="F71" s="74">
        <v>46108</v>
      </c>
      <c r="G71" s="43" t="s">
        <v>135</v>
      </c>
      <c r="H71" s="43">
        <f>IF(OR(G71="Sin pagar",G71="Pagar"),NETWORKDAYS($E$4,F71,'Festivos Guatemala'!$A$3:$A$29),0)</f>
        <v>0</v>
      </c>
      <c r="I71" s="43">
        <f>NETWORKDAYS($E$4,F71,'Festivos Guatemala'!$A$3:$A$15)</f>
        <v>20</v>
      </c>
      <c r="J71" s="75">
        <f t="shared" si="7"/>
        <v>0</v>
      </c>
      <c r="L71" s="52"/>
      <c r="M71" s="381"/>
    </row>
    <row r="72" spans="2:13" s="43" customFormat="1" ht="15" customHeight="1" outlineLevel="1">
      <c r="B72" s="303" t="s">
        <v>892</v>
      </c>
      <c r="C72" s="47" t="s">
        <v>417</v>
      </c>
      <c r="D72" s="268">
        <v>10731</v>
      </c>
      <c r="E72" s="113">
        <f t="shared" si="6"/>
        <v>1438.4718498659518</v>
      </c>
      <c r="F72" s="74">
        <v>46108</v>
      </c>
      <c r="G72" s="43" t="s">
        <v>135</v>
      </c>
      <c r="H72" s="43">
        <f>IF(OR(G72="Sin pagar",G72="Pagar"),NETWORKDAYS($E$4,F72,'Festivos Guatemala'!$A$3:$A$29),0)</f>
        <v>0</v>
      </c>
      <c r="I72" s="43">
        <f>NETWORKDAYS($E$4,F72,'Festivos Guatemala'!$A$3:$A$15)</f>
        <v>20</v>
      </c>
      <c r="J72" s="75">
        <f t="shared" si="7"/>
        <v>0</v>
      </c>
      <c r="L72" s="52"/>
      <c r="M72" s="380"/>
    </row>
    <row r="73" spans="2:13" s="43" customFormat="1" ht="15" customHeight="1" outlineLevel="1">
      <c r="B73" s="303" t="s">
        <v>892</v>
      </c>
      <c r="C73" s="47" t="s">
        <v>409</v>
      </c>
      <c r="D73" s="268">
        <v>14425</v>
      </c>
      <c r="E73" s="113">
        <f t="shared" si="6"/>
        <v>1933.6461126005363</v>
      </c>
      <c r="F73" s="74">
        <v>46108</v>
      </c>
      <c r="G73" s="43" t="s">
        <v>135</v>
      </c>
      <c r="H73" s="43">
        <f>IF(OR(G73="Sin pagar",G73="Pagar"),NETWORKDAYS($E$4,F73,'Festivos Guatemala'!$A$3:$A$29),0)</f>
        <v>0</v>
      </c>
      <c r="I73" s="43">
        <f>NETWORKDAYS($E$4,F73,'Festivos Guatemala'!$A$3:$A$15)</f>
        <v>20</v>
      </c>
      <c r="J73" s="75">
        <f t="shared" si="7"/>
        <v>0</v>
      </c>
      <c r="L73" s="52"/>
      <c r="M73" s="380"/>
    </row>
    <row r="74" spans="2:13" s="43" customFormat="1" ht="15" customHeight="1" outlineLevel="1">
      <c r="B74" s="303" t="s">
        <v>892</v>
      </c>
      <c r="C74" s="47" t="s">
        <v>1490</v>
      </c>
      <c r="D74" s="268">
        <v>24027.01</v>
      </c>
      <c r="E74" s="113">
        <f t="shared" si="6"/>
        <v>3220.7788203753348</v>
      </c>
      <c r="F74" s="74">
        <v>46108</v>
      </c>
      <c r="G74" s="43" t="s">
        <v>135</v>
      </c>
      <c r="H74" s="43">
        <f>IF(OR(G74="Sin pagar",G74="Pagar"),NETWORKDAYS($E$4,F74,'Festivos Guatemala'!$A$3:$A$29),0)</f>
        <v>0</v>
      </c>
      <c r="I74" s="43">
        <f>NETWORKDAYS($E$4,F74,'Festivos Guatemala'!$A$3:$A$15)</f>
        <v>20</v>
      </c>
      <c r="J74" s="75">
        <f t="shared" si="7"/>
        <v>0</v>
      </c>
      <c r="L74" s="52"/>
      <c r="M74" s="380"/>
    </row>
    <row r="75" spans="2:13" s="43" customFormat="1" ht="15" customHeight="1" outlineLevel="1">
      <c r="B75" s="303" t="s">
        <v>892</v>
      </c>
      <c r="C75" s="47" t="s">
        <v>412</v>
      </c>
      <c r="D75" s="268">
        <v>8678</v>
      </c>
      <c r="E75" s="113">
        <f t="shared" si="6"/>
        <v>1163.2707774798928</v>
      </c>
      <c r="F75" s="74">
        <v>46108</v>
      </c>
      <c r="G75" s="43" t="s">
        <v>135</v>
      </c>
      <c r="H75" s="43">
        <f>IF(OR(G75="Sin pagar",G75="Pagar"),NETWORKDAYS($E$4,F75,'Festivos Guatemala'!$A$3:$A$29),0)</f>
        <v>0</v>
      </c>
      <c r="I75" s="43">
        <f>NETWORKDAYS($E$4,F75,'Festivos Guatemala'!$A$3:$A$15)</f>
        <v>20</v>
      </c>
      <c r="J75" s="75">
        <f t="shared" si="7"/>
        <v>0</v>
      </c>
      <c r="L75" s="52"/>
      <c r="M75" s="380"/>
    </row>
    <row r="76" spans="2:13" s="43" customFormat="1" ht="15" customHeight="1" outlineLevel="1">
      <c r="B76" s="303" t="s">
        <v>892</v>
      </c>
      <c r="C76" s="47" t="s">
        <v>413</v>
      </c>
      <c r="D76" s="268">
        <v>3943</v>
      </c>
      <c r="E76" s="113">
        <f t="shared" si="6"/>
        <v>528.55227882037536</v>
      </c>
      <c r="F76" s="74">
        <v>46108</v>
      </c>
      <c r="G76" s="43" t="s">
        <v>135</v>
      </c>
      <c r="H76" s="43">
        <f>IF(OR(G76="Sin pagar",G76="Pagar"),NETWORKDAYS($E$4,F76,'Festivos Guatemala'!$A$3:$A$29),0)</f>
        <v>0</v>
      </c>
      <c r="I76" s="43">
        <f>NETWORKDAYS($E$4,F76,'Festivos Guatemala'!$A$3:$A$15)</f>
        <v>20</v>
      </c>
      <c r="J76" s="75">
        <f t="shared" si="7"/>
        <v>0</v>
      </c>
      <c r="L76" s="52"/>
      <c r="M76" s="380"/>
    </row>
    <row r="77" spans="2:13" s="43" customFormat="1" ht="15" customHeight="1" outlineLevel="1">
      <c r="B77" s="303" t="s">
        <v>892</v>
      </c>
      <c r="C77" s="47" t="s">
        <v>415</v>
      </c>
      <c r="D77" s="268">
        <v>35307</v>
      </c>
      <c r="E77" s="113">
        <f t="shared" si="6"/>
        <v>4732.8418230563002</v>
      </c>
      <c r="F77" s="74">
        <v>46108</v>
      </c>
      <c r="G77" s="43" t="s">
        <v>135</v>
      </c>
      <c r="H77" s="43">
        <f>IF(OR(G77="Sin pagar",G77="Pagar"),NETWORKDAYS($E$4,F77,'Festivos Guatemala'!$A$3:$A$29),0)</f>
        <v>0</v>
      </c>
      <c r="I77" s="43">
        <f>NETWORKDAYS($E$4,F77,'Festivos Guatemala'!$A$3:$A$15)</f>
        <v>20</v>
      </c>
      <c r="J77" s="75">
        <f t="shared" si="7"/>
        <v>0</v>
      </c>
      <c r="L77" s="52"/>
      <c r="M77" s="380"/>
    </row>
    <row r="78" spans="2:13" s="43" customFormat="1" ht="15" customHeight="1" outlineLevel="1">
      <c r="B78" s="303" t="s">
        <v>892</v>
      </c>
      <c r="C78" s="47" t="s">
        <v>410</v>
      </c>
      <c r="D78" s="268">
        <v>3943</v>
      </c>
      <c r="E78" s="113">
        <f t="shared" si="6"/>
        <v>528.55227882037536</v>
      </c>
      <c r="F78" s="74">
        <v>46108</v>
      </c>
      <c r="G78" s="43" t="s">
        <v>135</v>
      </c>
      <c r="H78" s="43">
        <f>IF(OR(G78="Sin pagar",G78="Pagar"),NETWORKDAYS($E$4,F78,'Festivos Guatemala'!$A$3:$A$29),0)</f>
        <v>0</v>
      </c>
      <c r="I78" s="43">
        <f>NETWORKDAYS($E$4,F78,'Festivos Guatemala'!$A$3:$A$15)</f>
        <v>20</v>
      </c>
      <c r="J78" s="75">
        <f t="shared" si="7"/>
        <v>0</v>
      </c>
      <c r="L78" s="52"/>
      <c r="M78" s="380"/>
    </row>
    <row r="79" spans="2:13" s="43" customFormat="1" ht="15" customHeight="1" outlineLevel="1">
      <c r="B79" s="303" t="s">
        <v>892</v>
      </c>
      <c r="C79" s="47" t="s">
        <v>1491</v>
      </c>
      <c r="D79" s="268">
        <v>28450.01</v>
      </c>
      <c r="E79" s="113">
        <f t="shared" si="6"/>
        <v>3813.6742627345843</v>
      </c>
      <c r="F79" s="74">
        <v>46108</v>
      </c>
      <c r="G79" s="43" t="s">
        <v>135</v>
      </c>
      <c r="H79" s="43">
        <f>IF(OR(G79="Sin pagar",G79="Pagar"),NETWORKDAYS($E$4,F79,'Festivos Guatemala'!$A$3:$A$29),0)</f>
        <v>0</v>
      </c>
      <c r="I79" s="43">
        <f>NETWORKDAYS($E$4,F79,'Festivos Guatemala'!$A$3:$A$15)</f>
        <v>20</v>
      </c>
      <c r="J79" s="75">
        <f t="shared" si="7"/>
        <v>0</v>
      </c>
      <c r="L79" s="52"/>
      <c r="M79" s="380"/>
    </row>
    <row r="80" spans="2:13" s="43" customFormat="1" ht="15" customHeight="1" outlineLevel="1">
      <c r="B80" s="303" t="s">
        <v>892</v>
      </c>
      <c r="C80" s="47" t="s">
        <v>418</v>
      </c>
      <c r="D80" s="268">
        <v>33745</v>
      </c>
      <c r="E80" s="113">
        <f t="shared" si="6"/>
        <v>4523.4584450402144</v>
      </c>
      <c r="F80" s="74">
        <v>46108</v>
      </c>
      <c r="G80" s="43" t="s">
        <v>135</v>
      </c>
      <c r="H80" s="43">
        <f>IF(OR(G80="Sin pagar",G80="Pagar"),NETWORKDAYS($E$4,F80,'Festivos Guatemala'!$A$3:$A$29),0)</f>
        <v>0</v>
      </c>
      <c r="I80" s="43">
        <f>NETWORKDAYS($E$4,F80,'Festivos Guatemala'!$A$3:$A$15)</f>
        <v>20</v>
      </c>
      <c r="J80" s="75">
        <f t="shared" si="7"/>
        <v>0</v>
      </c>
      <c r="L80" s="52"/>
      <c r="M80" s="380"/>
    </row>
    <row r="81" spans="2:15" s="43" customFormat="1" ht="15" customHeight="1" outlineLevel="1" thickBot="1">
      <c r="B81" s="303" t="s">
        <v>892</v>
      </c>
      <c r="C81" s="47" t="s">
        <v>1691</v>
      </c>
      <c r="D81" s="268">
        <v>8796.74</v>
      </c>
      <c r="E81" s="113">
        <f t="shared" ref="E81" si="8">D81/$D$6</f>
        <v>1179.1876675603216</v>
      </c>
      <c r="F81" s="74">
        <v>46108</v>
      </c>
      <c r="G81" s="43" t="s">
        <v>135</v>
      </c>
      <c r="H81" s="43">
        <f>IF(OR(G81="Sin pagar",G81="Pagar"),NETWORKDAYS($E$4,F81,'Festivos Guatemala'!$A$3:$A$29),0)</f>
        <v>0</v>
      </c>
      <c r="I81" s="43">
        <f>NETWORKDAYS($E$4,F81,'Festivos Guatemala'!$A$3:$A$15)</f>
        <v>20</v>
      </c>
      <c r="J81" s="75">
        <f t="shared" ref="J81" si="9">H81</f>
        <v>0</v>
      </c>
      <c r="L81" s="52"/>
      <c r="M81" s="380"/>
    </row>
    <row r="82" spans="2:15" s="43" customFormat="1" ht="16.5" thickBot="1">
      <c r="B82" s="46"/>
      <c r="C82" s="73" t="s">
        <v>173</v>
      </c>
      <c r="D82" s="103">
        <f>SUBTOTAL(9,D83:D83)</f>
        <v>8387.4</v>
      </c>
      <c r="E82" s="112">
        <f>SUBTOTAL(9,E83:E83)</f>
        <v>1124.3163538873994</v>
      </c>
    </row>
    <row r="83" spans="2:15" s="43" customFormat="1" ht="15" customHeight="1" outlineLevel="1" thickBot="1">
      <c r="B83" s="46"/>
      <c r="C83" s="47" t="s">
        <v>1594</v>
      </c>
      <c r="D83" s="104">
        <v>8387.4</v>
      </c>
      <c r="E83" s="113">
        <f>D83/$D$6</f>
        <v>1124.3163538873994</v>
      </c>
      <c r="F83" s="74">
        <v>46111</v>
      </c>
      <c r="G83" s="43" t="s">
        <v>135</v>
      </c>
      <c r="H83" s="43">
        <f>IF(OR(G83="Sin pagar",G83="Pagar"),NETWORKDAYS($E$4,F83,'Festivos Guatemala'!$A$3:$A$29),0)</f>
        <v>0</v>
      </c>
      <c r="I83" s="43">
        <f>NETWORKDAYS($E$4,F83,'Festivos Guatemala'!$A$3:$A$15)</f>
        <v>21</v>
      </c>
      <c r="J83" s="75">
        <f t="shared" ref="J83" si="10">H83</f>
        <v>0</v>
      </c>
      <c r="K83" s="52"/>
      <c r="L83" s="54"/>
    </row>
    <row r="84" spans="2:15" s="43" customFormat="1" ht="16.5" thickBot="1">
      <c r="B84" s="87"/>
      <c r="C84" s="73" t="s">
        <v>149</v>
      </c>
      <c r="D84" s="103">
        <f>SUBTOTAL(9,D85:D86)</f>
        <v>3484.67</v>
      </c>
      <c r="E84" s="112">
        <f>SUBTOTAL(9,E85:E86)</f>
        <v>804.28954423592495</v>
      </c>
      <c r="L84" s="52"/>
    </row>
    <row r="85" spans="2:15" s="43" customFormat="1" ht="15" customHeight="1" outlineLevel="1">
      <c r="B85" s="311" t="s">
        <v>145</v>
      </c>
      <c r="C85" s="47" t="s">
        <v>1696</v>
      </c>
      <c r="D85" s="109">
        <v>3000</v>
      </c>
      <c r="E85" s="115">
        <f>$D$85/$D$6</f>
        <v>402.14477211796248</v>
      </c>
      <c r="F85" s="74">
        <v>46108</v>
      </c>
      <c r="G85" s="43" t="s">
        <v>135</v>
      </c>
      <c r="H85" s="43">
        <f>IF(OR(G85="Sin pagar",G85="Pagar"),NETWORKDAYS($E$4,F85,'Festivos Guatemala'!$A$3:$A$29),0)</f>
        <v>0</v>
      </c>
      <c r="I85" s="43">
        <f>NETWORKDAYS($E$4,F85,'Festivos Guatemala'!$A$3:$A$15)</f>
        <v>20</v>
      </c>
      <c r="J85" s="75">
        <f>H85</f>
        <v>0</v>
      </c>
      <c r="K85" s="52"/>
      <c r="L85" s="54"/>
      <c r="M85" s="297" t="s">
        <v>1619</v>
      </c>
    </row>
    <row r="86" spans="2:15" s="43" customFormat="1" ht="15" customHeight="1" outlineLevel="1" thickBot="1">
      <c r="B86" s="311" t="s">
        <v>145</v>
      </c>
      <c r="C86" s="47" t="s">
        <v>1716</v>
      </c>
      <c r="D86" s="109">
        <v>484.67</v>
      </c>
      <c r="E86" s="115">
        <f>$D$85/$D$6</f>
        <v>402.14477211796248</v>
      </c>
      <c r="F86" s="74">
        <v>46118</v>
      </c>
      <c r="G86" s="43" t="s">
        <v>135</v>
      </c>
      <c r="H86" s="43">
        <f>IF(OR(G86="Sin pagar",G86="Pagar"),NETWORKDAYS($E$4,F86,'Festivos Guatemala'!$A$3:$A$29),0)</f>
        <v>0</v>
      </c>
      <c r="I86" s="43">
        <f>NETWORKDAYS($E$4,F86,'Festivos Guatemala'!$A$3:$A$15)</f>
        <v>26</v>
      </c>
      <c r="J86" s="75">
        <f>H86</f>
        <v>0</v>
      </c>
      <c r="K86" s="52"/>
      <c r="L86" s="54"/>
      <c r="M86" s="297" t="s">
        <v>1619</v>
      </c>
    </row>
    <row r="87" spans="2:15" s="43" customFormat="1" ht="16.5" thickBot="1">
      <c r="B87" s="87"/>
      <c r="C87" s="73" t="s">
        <v>1144</v>
      </c>
      <c r="D87" s="103">
        <f>SUBTOTAL(9,D88:D92)</f>
        <v>227908.28</v>
      </c>
      <c r="E87" s="112">
        <f>SUBTOTAL(9,E88:E92)</f>
        <v>30550.707774798924</v>
      </c>
      <c r="L87" s="52"/>
    </row>
    <row r="88" spans="2:15" s="43" customFormat="1" ht="15" customHeight="1" outlineLevel="1">
      <c r="B88" s="267" t="s">
        <v>1035</v>
      </c>
      <c r="C88" s="47" t="s">
        <v>1623</v>
      </c>
      <c r="D88" s="109">
        <v>23013.59</v>
      </c>
      <c r="E88" s="113">
        <f t="shared" ref="E88:E92" si="11">D88/$D$6</f>
        <v>3084.9316353887398</v>
      </c>
      <c r="F88" s="74">
        <v>46090</v>
      </c>
      <c r="G88" s="43" t="s">
        <v>135</v>
      </c>
      <c r="H88" s="43">
        <f>IF(OR(G88="Sin pagar",G88="Pagar"),NETWORKDAYS($E$4,F88,'Festivos Guatemala'!$A$3:$A$29),0)</f>
        <v>0</v>
      </c>
      <c r="I88" s="43">
        <f>NETWORKDAYS($E$4,F88,'Festivos Guatemala'!$A$3:$A$15)</f>
        <v>6</v>
      </c>
      <c r="J88" s="75">
        <f t="shared" ref="J88" si="12">H88</f>
        <v>0</v>
      </c>
      <c r="L88" s="52"/>
      <c r="M88" s="381"/>
    </row>
    <row r="89" spans="2:15" s="43" customFormat="1" ht="15" customHeight="1" outlineLevel="1">
      <c r="B89" s="83" t="s">
        <v>1034</v>
      </c>
      <c r="C89" s="47" t="s">
        <v>1624</v>
      </c>
      <c r="D89" s="109">
        <v>43858.87</v>
      </c>
      <c r="E89" s="113">
        <f t="shared" si="11"/>
        <v>5879.2050938337807</v>
      </c>
      <c r="F89" s="74">
        <v>46091</v>
      </c>
      <c r="G89" s="43" t="s">
        <v>135</v>
      </c>
      <c r="H89" s="43">
        <f>IF(OR(G89="Sin pagar",G89="Pagar"),NETWORKDAYS($E$4,F89,'Festivos Guatemala'!$A$3:$A$29),0)</f>
        <v>0</v>
      </c>
      <c r="I89" s="43">
        <f>NETWORKDAYS($E$4,F89,'Festivos Guatemala'!$A$3:$A$15)</f>
        <v>7</v>
      </c>
      <c r="J89" s="75">
        <f>H89</f>
        <v>0</v>
      </c>
      <c r="L89" s="52"/>
      <c r="M89" s="379" t="s">
        <v>1381</v>
      </c>
    </row>
    <row r="90" spans="2:15" s="43" customFormat="1" ht="15" customHeight="1" outlineLevel="1">
      <c r="B90" s="303" t="s">
        <v>892</v>
      </c>
      <c r="C90" s="47" t="s">
        <v>844</v>
      </c>
      <c r="D90" s="109">
        <v>55056.24</v>
      </c>
      <c r="E90" s="113">
        <f t="shared" si="11"/>
        <v>7380.193029490616</v>
      </c>
      <c r="F90" s="74">
        <v>46090</v>
      </c>
      <c r="G90" s="43" t="s">
        <v>135</v>
      </c>
      <c r="H90" s="43">
        <f>IF(OR(G90="Sin pagar",G90="Pagar"),NETWORKDAYS($E$4,F90,'Festivos Guatemala'!$A$3:$A$29),0)</f>
        <v>0</v>
      </c>
      <c r="I90" s="43">
        <f>NETWORKDAYS($E$4,F90,'Festivos Guatemala'!$A$3:$A$15)</f>
        <v>6</v>
      </c>
      <c r="J90" s="75">
        <f t="shared" ref="J90" si="13">H90</f>
        <v>0</v>
      </c>
      <c r="L90" s="52"/>
      <c r="M90" s="381"/>
    </row>
    <row r="91" spans="2:15" s="43" customFormat="1" ht="15" customHeight="1" outlineLevel="1">
      <c r="B91" s="303" t="s">
        <v>892</v>
      </c>
      <c r="C91" s="47" t="s">
        <v>845</v>
      </c>
      <c r="D91" s="109">
        <v>55056.24</v>
      </c>
      <c r="E91" s="113">
        <f t="shared" si="11"/>
        <v>7380.193029490616</v>
      </c>
      <c r="F91" s="74">
        <v>46090</v>
      </c>
      <c r="G91" s="43" t="s">
        <v>135</v>
      </c>
      <c r="H91" s="43">
        <f>IF(OR(G91="Sin pagar",G91="Pagar"),NETWORKDAYS($E$4,F91,'Festivos Guatemala'!$A$3:$A$29),0)</f>
        <v>0</v>
      </c>
      <c r="I91" s="43">
        <f>NETWORKDAYS($E$4,F91,'Festivos Guatemala'!$A$3:$A$15)</f>
        <v>6</v>
      </c>
      <c r="J91" s="75">
        <f t="shared" ref="J91:J92" si="14">H91</f>
        <v>0</v>
      </c>
      <c r="L91" s="52"/>
      <c r="M91" s="380"/>
    </row>
    <row r="92" spans="2:15" s="43" customFormat="1" ht="15" customHeight="1" outlineLevel="1" thickBot="1">
      <c r="B92" s="83" t="s">
        <v>1034</v>
      </c>
      <c r="C92" s="47" t="s">
        <v>843</v>
      </c>
      <c r="D92" s="109">
        <v>50923.34</v>
      </c>
      <c r="E92" s="113">
        <f t="shared" si="11"/>
        <v>6826.1849865951735</v>
      </c>
      <c r="F92" s="74">
        <v>46118</v>
      </c>
      <c r="G92" s="43" t="s">
        <v>135</v>
      </c>
      <c r="H92" s="43">
        <f>IF(OR(G92="Sin pagar",G92="Pagar"),NETWORKDAYS($E$4,F92,'Festivos Guatemala'!$A$3:$A$29),0)</f>
        <v>0</v>
      </c>
      <c r="I92" s="43">
        <f>NETWORKDAYS($E$4,F92,'Festivos Guatemala'!$A$3:$A$15)</f>
        <v>26</v>
      </c>
      <c r="J92" s="75">
        <f t="shared" si="14"/>
        <v>0</v>
      </c>
      <c r="L92" s="52"/>
      <c r="M92" s="381"/>
    </row>
    <row r="93" spans="2:15" s="43" customFormat="1" ht="16.5" thickBot="1">
      <c r="B93" s="46"/>
      <c r="C93" s="73" t="s">
        <v>1682</v>
      </c>
      <c r="D93" s="103">
        <f>SUBTOTAL(9,D94:D94)</f>
        <v>5400</v>
      </c>
      <c r="E93" s="112">
        <f>SUBTOTAL(9,E94:E94)</f>
        <v>723.86058981233248</v>
      </c>
    </row>
    <row r="94" spans="2:15" s="43" customFormat="1" ht="15" customHeight="1" outlineLevel="1" thickBot="1">
      <c r="B94" s="46" t="s">
        <v>1683</v>
      </c>
      <c r="C94" s="47" t="s">
        <v>1684</v>
      </c>
      <c r="D94" s="109">
        <v>5400</v>
      </c>
      <c r="E94" s="115">
        <f>D94/$D$6</f>
        <v>723.86058981233248</v>
      </c>
      <c r="F94" s="74">
        <v>46106</v>
      </c>
      <c r="G94" s="43" t="s">
        <v>135</v>
      </c>
      <c r="H94" s="43">
        <f>IF(OR(G94="Sin pagar",G94="Pagar"),NETWORKDAYS($E$4,F94,'Festivos Guatemala'!$A$3:$A$29),0)</f>
        <v>0</v>
      </c>
      <c r="I94" s="43">
        <f>NETWORKDAYS($E$4,F94,'Festivos Guatemala'!$A$3:$A$15)</f>
        <v>18</v>
      </c>
      <c r="J94" s="75">
        <f>H94</f>
        <v>0</v>
      </c>
      <c r="K94" s="52"/>
      <c r="L94" s="54"/>
    </row>
    <row r="95" spans="2:15" s="43" customFormat="1" ht="16.5" thickBot="1">
      <c r="C95" s="332" t="s">
        <v>1107</v>
      </c>
      <c r="D95" s="333">
        <f>SUBTOTAL(9,D96:D106)</f>
        <v>481349.38000000006</v>
      </c>
      <c r="E95" s="334">
        <f>SUBTOTAL(9,E96:E106)</f>
        <v>64524.045576407516</v>
      </c>
      <c r="K95" s="52"/>
      <c r="L95" s="86"/>
      <c r="M95" s="109"/>
      <c r="N95" s="109"/>
      <c r="O95" s="113"/>
    </row>
    <row r="96" spans="2:15" s="43" customFormat="1" ht="15" customHeight="1" outlineLevel="1">
      <c r="B96" s="303" t="s">
        <v>892</v>
      </c>
      <c r="C96" s="47" t="s">
        <v>1108</v>
      </c>
      <c r="D96" s="109">
        <v>10512.86</v>
      </c>
      <c r="E96" s="115">
        <f t="shared" ref="E96:E105" si="15">D96/$D$6</f>
        <v>1409.230563002681</v>
      </c>
      <c r="F96" s="74">
        <v>46108</v>
      </c>
      <c r="G96" s="43" t="s">
        <v>135</v>
      </c>
      <c r="H96" s="43">
        <f>IF(OR(G96="Sin pagar",G96="Pagar"),NETWORKDAYS($E$4,F96,'Festivos Guatemala'!$A$3:$A$29),0)</f>
        <v>0</v>
      </c>
      <c r="I96" s="43">
        <f>NETWORKDAYS($E$4,F96,'Festivos Guatemala'!$A$3:$A$15)</f>
        <v>20</v>
      </c>
      <c r="J96" s="75">
        <f t="shared" ref="J96" si="16">H96</f>
        <v>0</v>
      </c>
      <c r="L96" s="52"/>
    </row>
    <row r="97" spans="2:12" s="43" customFormat="1" ht="15" customHeight="1" outlineLevel="1">
      <c r="B97" s="303" t="s">
        <v>892</v>
      </c>
      <c r="C97" s="47" t="s">
        <v>1109</v>
      </c>
      <c r="D97" s="109">
        <v>248570.73</v>
      </c>
      <c r="E97" s="115">
        <f t="shared" si="15"/>
        <v>33320.47319034853</v>
      </c>
      <c r="F97" s="74">
        <v>46108</v>
      </c>
      <c r="G97" s="43" t="s">
        <v>135</v>
      </c>
      <c r="H97" s="43">
        <f>IF(OR(G97="Sin pagar",G97="Pagar"),NETWORKDAYS($E$4,F97,'Festivos Guatemala'!$A$3:$A$29),0)</f>
        <v>0</v>
      </c>
      <c r="I97" s="43">
        <f>NETWORKDAYS($E$4,F97,'Festivos Guatemala'!$A$3:$A$15)</f>
        <v>20</v>
      </c>
      <c r="J97" s="75">
        <f>H97</f>
        <v>0</v>
      </c>
      <c r="L97" s="52"/>
    </row>
    <row r="98" spans="2:12" s="43" customFormat="1" ht="15" customHeight="1" outlineLevel="1">
      <c r="B98" s="303" t="s">
        <v>892</v>
      </c>
      <c r="C98" s="47" t="s">
        <v>1110</v>
      </c>
      <c r="D98" s="109">
        <v>26694.15</v>
      </c>
      <c r="E98" s="115">
        <f t="shared" si="15"/>
        <v>3578.3042895442363</v>
      </c>
      <c r="F98" s="74">
        <v>46108</v>
      </c>
      <c r="G98" s="43" t="s">
        <v>135</v>
      </c>
      <c r="H98" s="43">
        <f>IF(OR(G98="Sin pagar",G98="Pagar"),NETWORKDAYS($E$4,F98,'Festivos Guatemala'!$A$3:$A$29),0)</f>
        <v>0</v>
      </c>
      <c r="I98" s="43">
        <f>NETWORKDAYS($E$4,F98,'Festivos Guatemala'!$A$3:$A$15)</f>
        <v>20</v>
      </c>
      <c r="J98" s="75">
        <f>H98</f>
        <v>0</v>
      </c>
      <c r="L98" s="52"/>
    </row>
    <row r="99" spans="2:12" s="43" customFormat="1" ht="15" customHeight="1" outlineLevel="1">
      <c r="B99" s="303" t="s">
        <v>892</v>
      </c>
      <c r="C99" s="47" t="s">
        <v>1111</v>
      </c>
      <c r="D99" s="109">
        <v>15253.9</v>
      </c>
      <c r="E99" s="115">
        <f t="shared" si="15"/>
        <v>2044.7587131367293</v>
      </c>
      <c r="F99" s="74">
        <v>46108</v>
      </c>
      <c r="G99" s="43" t="s">
        <v>135</v>
      </c>
      <c r="H99" s="43">
        <f>IF(OR(G99="Sin pagar",G99="Pagar"),NETWORKDAYS($E$4,F99,'Festivos Guatemala'!$A$3:$A$29),0)</f>
        <v>0</v>
      </c>
      <c r="I99" s="43">
        <f>NETWORKDAYS($E$4,F99,'Festivos Guatemala'!$A$3:$A$15)</f>
        <v>20</v>
      </c>
      <c r="J99" s="75">
        <f t="shared" ref="J99:J105" si="17">H99</f>
        <v>0</v>
      </c>
      <c r="L99" s="52"/>
    </row>
    <row r="100" spans="2:12" s="43" customFormat="1" ht="15" customHeight="1" outlineLevel="1">
      <c r="B100" s="303" t="s">
        <v>892</v>
      </c>
      <c r="C100" s="47" t="s">
        <v>1193</v>
      </c>
      <c r="D100" s="109">
        <v>36458.85</v>
      </c>
      <c r="E100" s="115">
        <f t="shared" si="15"/>
        <v>4887.2453083109922</v>
      </c>
      <c r="F100" s="74">
        <v>46108</v>
      </c>
      <c r="G100" s="43" t="s">
        <v>135</v>
      </c>
      <c r="H100" s="43">
        <f>IF(OR(G100="Sin pagar",G100="Pagar"),NETWORKDAYS($E$4,F100,'Festivos Guatemala'!$A$3:$A$29),0)</f>
        <v>0</v>
      </c>
      <c r="I100" s="43">
        <f>NETWORKDAYS($E$4,F100,'Festivos Guatemala'!$A$3:$A$15)</f>
        <v>20</v>
      </c>
      <c r="J100" s="75">
        <f t="shared" si="17"/>
        <v>0</v>
      </c>
      <c r="L100" s="52"/>
    </row>
    <row r="101" spans="2:12" s="43" customFormat="1" ht="15" customHeight="1" outlineLevel="1">
      <c r="B101" s="303" t="s">
        <v>892</v>
      </c>
      <c r="C101" s="47" t="s">
        <v>1112</v>
      </c>
      <c r="D101" s="109">
        <v>16081.52</v>
      </c>
      <c r="E101" s="115">
        <f t="shared" si="15"/>
        <v>2155.6997319034854</v>
      </c>
      <c r="F101" s="74">
        <v>46108</v>
      </c>
      <c r="G101" s="43" t="s">
        <v>135</v>
      </c>
      <c r="H101" s="43">
        <f>IF(OR(G101="Sin pagar",G101="Pagar"),NETWORKDAYS($E$4,F101,'Festivos Guatemala'!$A$3:$A$29),0)</f>
        <v>0</v>
      </c>
      <c r="I101" s="43">
        <f>NETWORKDAYS($E$4,F101,'Festivos Guatemala'!$A$3:$A$15)</f>
        <v>20</v>
      </c>
      <c r="J101" s="75">
        <f t="shared" si="17"/>
        <v>0</v>
      </c>
      <c r="L101" s="52"/>
    </row>
    <row r="102" spans="2:12" s="43" customFormat="1" ht="15" customHeight="1" outlineLevel="1">
      <c r="B102" s="303" t="s">
        <v>892</v>
      </c>
      <c r="C102" s="47" t="s">
        <v>1301</v>
      </c>
      <c r="D102" s="109">
        <v>46799.56</v>
      </c>
      <c r="E102" s="115">
        <f t="shared" si="15"/>
        <v>6273.3994638069698</v>
      </c>
      <c r="F102" s="74">
        <v>46108</v>
      </c>
      <c r="G102" s="43" t="s">
        <v>135</v>
      </c>
      <c r="H102" s="43">
        <f>IF(OR(G102="Sin pagar",G102="Pagar"),NETWORKDAYS($E$4,F102,'Festivos Guatemala'!$A$3:$A$29),0)</f>
        <v>0</v>
      </c>
      <c r="I102" s="43">
        <f>NETWORKDAYS($E$4,F102,'Festivos Guatemala'!$A$3:$A$15)</f>
        <v>20</v>
      </c>
      <c r="J102" s="75">
        <f t="shared" si="17"/>
        <v>0</v>
      </c>
      <c r="L102" s="52"/>
    </row>
    <row r="103" spans="2:12" s="43" customFormat="1" ht="15" customHeight="1" outlineLevel="1">
      <c r="B103" s="267" t="s">
        <v>1494</v>
      </c>
      <c r="C103" s="47" t="s">
        <v>1693</v>
      </c>
      <c r="D103" s="109">
        <v>9518.65</v>
      </c>
      <c r="E103" s="115">
        <f t="shared" ref="E103" si="18">D103/$D$6</f>
        <v>1275.9584450402144</v>
      </c>
      <c r="F103" s="74">
        <v>46111</v>
      </c>
      <c r="G103" s="43" t="s">
        <v>135</v>
      </c>
      <c r="H103" s="43">
        <f>IF(OR(G103="Sin pagar",G103="Pagar"),NETWORKDAYS($E$4,F103,'Festivos Guatemala'!$A$3:$A$29),0)</f>
        <v>0</v>
      </c>
      <c r="I103" s="43">
        <f>NETWORKDAYS($E$4,F103,'Festivos Guatemala'!$A$3:$A$15)</f>
        <v>21</v>
      </c>
      <c r="J103" s="75">
        <f t="shared" ref="J103" si="19">H103</f>
        <v>0</v>
      </c>
      <c r="L103" s="52"/>
    </row>
    <row r="104" spans="2:12" s="43" customFormat="1" ht="15" customHeight="1" outlineLevel="1">
      <c r="B104" s="267" t="s">
        <v>1036</v>
      </c>
      <c r="C104" s="47" t="s">
        <v>1194</v>
      </c>
      <c r="D104" s="109">
        <v>25039.55</v>
      </c>
      <c r="E104" s="115">
        <f t="shared" si="15"/>
        <v>3356.5080428954425</v>
      </c>
      <c r="F104" s="74">
        <v>46111</v>
      </c>
      <c r="G104" s="43" t="s">
        <v>135</v>
      </c>
      <c r="H104" s="43">
        <f>IF(OR(G104="Sin pagar",G104="Pagar"),NETWORKDAYS($E$4,F104,'Festivos Guatemala'!$A$3:$A$29),0)</f>
        <v>0</v>
      </c>
      <c r="I104" s="43">
        <f>NETWORKDAYS($E$4,F104,'Festivos Guatemala'!$A$3:$A$15)</f>
        <v>21</v>
      </c>
      <c r="J104" s="75">
        <f t="shared" si="17"/>
        <v>0</v>
      </c>
      <c r="L104" s="52"/>
    </row>
    <row r="105" spans="2:12" s="43" customFormat="1" ht="15" customHeight="1" outlineLevel="1">
      <c r="B105" s="267" t="s">
        <v>1494</v>
      </c>
      <c r="C105" s="47" t="s">
        <v>1694</v>
      </c>
      <c r="D105" s="109">
        <v>30126.98</v>
      </c>
      <c r="E105" s="115">
        <f t="shared" si="15"/>
        <v>4038.4691689008041</v>
      </c>
      <c r="F105" s="74">
        <v>46111</v>
      </c>
      <c r="G105" s="43" t="s">
        <v>135</v>
      </c>
      <c r="H105" s="43">
        <f>IF(OR(G105="Sin pagar",G105="Pagar"),NETWORKDAYS($E$4,F105,'Festivos Guatemala'!$A$3:$A$29),0)</f>
        <v>0</v>
      </c>
      <c r="I105" s="43">
        <f>NETWORKDAYS($E$4,F105,'Festivos Guatemala'!$A$3:$A$15)</f>
        <v>21</v>
      </c>
      <c r="J105" s="75">
        <f t="shared" si="17"/>
        <v>0</v>
      </c>
      <c r="L105" s="52"/>
    </row>
    <row r="106" spans="2:12" s="43" customFormat="1" ht="15" customHeight="1" outlineLevel="1" thickBot="1">
      <c r="B106" s="267" t="s">
        <v>1494</v>
      </c>
      <c r="C106" s="47" t="s">
        <v>1695</v>
      </c>
      <c r="D106" s="109">
        <v>16292.63</v>
      </c>
      <c r="E106" s="115">
        <f t="shared" ref="E106" si="20">D106/$D$6</f>
        <v>2183.9986595174259</v>
      </c>
      <c r="F106" s="74">
        <v>46111</v>
      </c>
      <c r="G106" s="43" t="s">
        <v>135</v>
      </c>
      <c r="H106" s="43">
        <f>IF(OR(G106="Sin pagar",G106="Pagar"),NETWORKDAYS($E$4,F106,'Festivos Guatemala'!$A$3:$A$29),0)</f>
        <v>0</v>
      </c>
      <c r="I106" s="43">
        <f>NETWORKDAYS($E$4,F106,'Festivos Guatemala'!$A$3:$A$15)</f>
        <v>21</v>
      </c>
      <c r="J106" s="75">
        <f t="shared" ref="J106" si="21">H106</f>
        <v>0</v>
      </c>
      <c r="L106" s="52"/>
    </row>
    <row r="107" spans="2:12" s="43" customFormat="1" ht="16.5" thickBot="1">
      <c r="B107" s="46"/>
      <c r="C107" s="332" t="s">
        <v>155</v>
      </c>
      <c r="D107" s="333">
        <f>SUBTOTAL(9,D108:D108)</f>
        <v>42382.04</v>
      </c>
      <c r="E107" s="334">
        <f>SUBTOTAL(9,E108:E108)</f>
        <v>5681.2386058981238</v>
      </c>
      <c r="F107" s="74"/>
      <c r="J107" s="76"/>
    </row>
    <row r="108" spans="2:12" s="43" customFormat="1" ht="15" customHeight="1" outlineLevel="1" thickBot="1">
      <c r="B108" s="168">
        <v>6045958</v>
      </c>
      <c r="C108" s="78" t="s">
        <v>1620</v>
      </c>
      <c r="D108" s="104">
        <v>42382.04</v>
      </c>
      <c r="E108" s="115">
        <f>D108/$D$6</f>
        <v>5681.2386058981238</v>
      </c>
      <c r="F108" s="74">
        <v>46094</v>
      </c>
      <c r="G108" s="43" t="s">
        <v>135</v>
      </c>
      <c r="H108" s="43">
        <f>IF(OR(G108="Sin pagar",G108="Pagar"),NETWORKDAYS($E$4,F108,'Festivos Guatemala'!$A$3:$A$29),0)</f>
        <v>0</v>
      </c>
      <c r="I108" s="43">
        <f>NETWORKDAYS($E$4,F108,'Festivos Guatemala'!$A$3:$A$15)</f>
        <v>10</v>
      </c>
      <c r="J108" s="75">
        <f>H108</f>
        <v>0</v>
      </c>
      <c r="K108" s="52"/>
      <c r="L108" s="52"/>
    </row>
    <row r="109" spans="2:12" s="43" customFormat="1" ht="16.5" thickBot="1">
      <c r="B109" s="46"/>
      <c r="C109" s="332" t="s">
        <v>144</v>
      </c>
      <c r="D109" s="333">
        <f>SUBTOTAL(9,D110:D111)</f>
        <v>61668.869999999995</v>
      </c>
      <c r="E109" s="334">
        <f>SUBTOTAL(9,E110:E111)</f>
        <v>8266.6045576407505</v>
      </c>
      <c r="J109" s="76">
        <f t="shared" ref="J109" si="22">H109</f>
        <v>0</v>
      </c>
    </row>
    <row r="110" spans="2:12" s="43" customFormat="1" ht="15" customHeight="1" outlineLevel="1">
      <c r="B110" s="168">
        <v>50418510355</v>
      </c>
      <c r="C110" s="47" t="s">
        <v>1648</v>
      </c>
      <c r="D110" s="104">
        <v>10204.81</v>
      </c>
      <c r="E110" s="115">
        <f>D110/$D$6</f>
        <v>1367.9369973190348</v>
      </c>
      <c r="F110" s="74">
        <v>46094</v>
      </c>
      <c r="G110" s="43" t="s">
        <v>135</v>
      </c>
      <c r="H110" s="43">
        <f>IF(OR(G110="Sin pagar",G110="Pagar"),NETWORKDAYS($E$4,F110,'Festivos Guatemala'!$A$3:$A$29),0)</f>
        <v>0</v>
      </c>
      <c r="I110" s="43">
        <f>NETWORKDAYS($E$4,F110,'Festivos Guatemala'!$A$3:$A$15)</f>
        <v>10</v>
      </c>
      <c r="J110" s="75">
        <f>H110</f>
        <v>0</v>
      </c>
      <c r="K110" s="48"/>
      <c r="L110" s="57"/>
    </row>
    <row r="111" spans="2:12" s="43" customFormat="1" ht="15" customHeight="1" outlineLevel="1" thickBot="1">
      <c r="B111" s="168">
        <v>50522844868</v>
      </c>
      <c r="C111" s="47" t="s">
        <v>1712</v>
      </c>
      <c r="D111" s="104">
        <v>51464.06</v>
      </c>
      <c r="E111" s="115">
        <f>D111/$D$6</f>
        <v>6898.6675603217154</v>
      </c>
      <c r="F111" s="74">
        <v>46112</v>
      </c>
      <c r="G111" s="43" t="s">
        <v>135</v>
      </c>
      <c r="H111" s="43">
        <f>IF(OR(G111="Sin pagar",G111="Pagar"),NETWORKDAYS($E$4,F111,'Festivos Guatemala'!$A$3:$A$29),0)</f>
        <v>0</v>
      </c>
      <c r="I111" s="43">
        <f>NETWORKDAYS($E$4,F111,'Festivos Guatemala'!$A$3:$A$15)</f>
        <v>22</v>
      </c>
      <c r="J111" s="75">
        <f>H111</f>
        <v>0</v>
      </c>
      <c r="K111" s="48"/>
      <c r="L111" s="57"/>
    </row>
    <row r="112" spans="2:12" s="43" customFormat="1" ht="16.5" thickBot="1">
      <c r="B112" s="46"/>
      <c r="C112" s="332" t="s">
        <v>173</v>
      </c>
      <c r="D112" s="333">
        <f>SUBTOTAL(9,D113:D117)</f>
        <v>94342.246799999994</v>
      </c>
      <c r="E112" s="334">
        <f>SUBTOTAL(9,E113:E117)</f>
        <v>12646.413780160858</v>
      </c>
    </row>
    <row r="113" spans="1:16" s="43" customFormat="1" ht="15" customHeight="1" outlineLevel="1">
      <c r="B113" s="46"/>
      <c r="C113" s="47" t="s">
        <v>1201</v>
      </c>
      <c r="D113" s="104">
        <v>1395</v>
      </c>
      <c r="E113" s="115">
        <f t="shared" ref="E113:E115" si="23">D113/$D$6</f>
        <v>186.99731903485255</v>
      </c>
      <c r="F113" s="74">
        <v>46111</v>
      </c>
      <c r="G113" s="43" t="s">
        <v>135</v>
      </c>
      <c r="H113" s="43">
        <f>IF(OR(G113="Sin pagar",G113="Pagar"),NETWORKDAYS($E$4,F113,'Festivos Guatemala'!$A$3:$A$29),0)</f>
        <v>0</v>
      </c>
      <c r="I113" s="43">
        <f>NETWORKDAYS($E$4,F113,'Festivos Guatemala'!$A$3:$A$15)</f>
        <v>21</v>
      </c>
      <c r="J113" s="75">
        <f t="shared" ref="J113:J115" si="24">H113</f>
        <v>0</v>
      </c>
      <c r="K113" s="52"/>
      <c r="L113" s="54"/>
    </row>
    <row r="114" spans="1:16" s="43" customFormat="1" ht="15" customHeight="1" outlineLevel="1">
      <c r="B114" s="46"/>
      <c r="C114" s="47" t="s">
        <v>1507</v>
      </c>
      <c r="D114" s="104">
        <v>27977.1</v>
      </c>
      <c r="E114" s="115">
        <f>D114/$D$6</f>
        <v>3750.2815013404825</v>
      </c>
      <c r="F114" s="74">
        <v>46111</v>
      </c>
      <c r="G114" s="43" t="s">
        <v>135</v>
      </c>
      <c r="H114" s="43">
        <f>IF(OR(G114="Sin pagar",G114="Pagar"),NETWORKDAYS($E$4,F114,'Festivos Guatemala'!$A$3:$A$29),0)</f>
        <v>0</v>
      </c>
      <c r="I114" s="43">
        <f>NETWORKDAYS($E$4,F114,'Festivos Guatemala'!$A$3:$A$15)</f>
        <v>21</v>
      </c>
      <c r="J114" s="75">
        <f>H114</f>
        <v>0</v>
      </c>
      <c r="K114" s="52"/>
      <c r="L114" s="54"/>
    </row>
    <row r="115" spans="1:16" s="43" customFormat="1" ht="15" customHeight="1" outlineLevel="1">
      <c r="B115" s="46"/>
      <c r="C115" s="47" t="s">
        <v>1406</v>
      </c>
      <c r="D115" s="104">
        <v>1886.11</v>
      </c>
      <c r="E115" s="115">
        <f t="shared" si="23"/>
        <v>252.82975871313673</v>
      </c>
      <c r="F115" s="74">
        <v>46111</v>
      </c>
      <c r="G115" s="43" t="s">
        <v>135</v>
      </c>
      <c r="H115" s="43">
        <f>IF(OR(G115="Sin pagar",G115="Pagar"),NETWORKDAYS($E$4,F115,'Festivos Guatemala'!$A$3:$A$29),0)</f>
        <v>0</v>
      </c>
      <c r="I115" s="43">
        <f>NETWORKDAYS($E$4,F115,'Festivos Guatemala'!$A$3:$A$15)</f>
        <v>21</v>
      </c>
      <c r="J115" s="75">
        <f t="shared" si="24"/>
        <v>0</v>
      </c>
      <c r="K115" s="52"/>
      <c r="L115" s="54"/>
    </row>
    <row r="116" spans="1:16" s="43" customFormat="1" ht="15" customHeight="1" outlineLevel="1">
      <c r="B116" s="46"/>
      <c r="C116" s="47" t="s">
        <v>1703</v>
      </c>
      <c r="D116" s="104">
        <v>8595.6</v>
      </c>
      <c r="E116" s="115">
        <f>D116/$D$6</f>
        <v>1152.2252010723862</v>
      </c>
      <c r="F116" s="74">
        <v>46111</v>
      </c>
      <c r="G116" s="43" t="s">
        <v>135</v>
      </c>
      <c r="H116" s="43">
        <f>IF(OR(G116="Sin pagar",G116="Pagar"),NETWORKDAYS($E$4,F116,'Festivos Guatemala'!$A$3:$A$29),0)</f>
        <v>0</v>
      </c>
      <c r="I116" s="43">
        <f>NETWORKDAYS($E$4,F116,'Festivos Guatemala'!$A$3:$A$15)</f>
        <v>21</v>
      </c>
      <c r="J116" s="75">
        <f t="shared" ref="J116:J117" si="25">H116</f>
        <v>0</v>
      </c>
      <c r="K116" s="52"/>
      <c r="L116" s="54"/>
    </row>
    <row r="117" spans="1:16" s="43" customFormat="1" ht="15" customHeight="1" outlineLevel="1" thickBot="1">
      <c r="B117" s="46"/>
      <c r="C117" s="47" t="s">
        <v>1204</v>
      </c>
      <c r="D117" s="104">
        <f>E117*$D$6</f>
        <v>54488.436799999996</v>
      </c>
      <c r="E117" s="113">
        <v>7304.08</v>
      </c>
      <c r="F117" s="74">
        <v>46111</v>
      </c>
      <c r="G117" s="43" t="s">
        <v>135</v>
      </c>
      <c r="H117" s="43">
        <f>IF(OR(G117="Sin pagar",G117="Pagar"),NETWORKDAYS($E$4,F117,'Festivos Guatemala'!$A$3:$A$29),0)</f>
        <v>0</v>
      </c>
      <c r="I117" s="43">
        <f>NETWORKDAYS($E$4,F117,'Festivos Guatemala'!$A$3:$A$15)</f>
        <v>21</v>
      </c>
      <c r="J117" s="75">
        <f t="shared" si="25"/>
        <v>0</v>
      </c>
      <c r="K117" s="52"/>
      <c r="L117" s="54"/>
    </row>
    <row r="118" spans="1:16" s="43" customFormat="1" ht="16.5" thickBot="1">
      <c r="C118" s="332" t="s">
        <v>146</v>
      </c>
      <c r="D118" s="333">
        <f>SUBTOTAL(9,D119:D121)</f>
        <v>5694.18</v>
      </c>
      <c r="E118" s="334">
        <f>SUBTOTAL(9,E119:E121)</f>
        <v>763.2949061662199</v>
      </c>
      <c r="K118" s="49"/>
      <c r="L118" s="49"/>
      <c r="O118" s="49"/>
      <c r="P118" s="49"/>
    </row>
    <row r="119" spans="1:16" s="43" customFormat="1" ht="15" customHeight="1" outlineLevel="1">
      <c r="B119" s="186"/>
      <c r="C119" s="47" t="s">
        <v>1709</v>
      </c>
      <c r="D119" s="104">
        <v>499.91</v>
      </c>
      <c r="E119" s="115">
        <f>D119/$D$6</f>
        <v>67.012064343163544</v>
      </c>
      <c r="F119" s="74">
        <v>46111</v>
      </c>
      <c r="G119" s="43" t="s">
        <v>135</v>
      </c>
      <c r="H119" s="43">
        <f>IF(OR(G119="Sin pagar",G119="Pagar"),NETWORKDAYS($E$4,F119,'Festivos Guatemala'!$A$3:$A$29),0)</f>
        <v>0</v>
      </c>
      <c r="I119" s="43">
        <f>NETWORKDAYS($E$4,F119,'Festivos Guatemala'!$A$3:$A$15)</f>
        <v>21</v>
      </c>
      <c r="J119" s="75">
        <f t="shared" ref="J119:J121" si="26">H119</f>
        <v>0</v>
      </c>
      <c r="K119" s="49"/>
      <c r="L119" s="49"/>
      <c r="O119" s="49"/>
      <c r="P119" s="49"/>
    </row>
    <row r="120" spans="1:16" s="43" customFormat="1" ht="15" customHeight="1" outlineLevel="1">
      <c r="B120" s="369"/>
      <c r="C120" s="47" t="s">
        <v>1710</v>
      </c>
      <c r="D120" s="104">
        <v>1151.99</v>
      </c>
      <c r="E120" s="115">
        <f>D120/$D$6</f>
        <v>154.42225201072387</v>
      </c>
      <c r="F120" s="74">
        <v>46111</v>
      </c>
      <c r="G120" s="43" t="s">
        <v>135</v>
      </c>
      <c r="H120" s="43">
        <f>IF(OR(G120="Sin pagar",G120="Pagar"),NETWORKDAYS($E$4,F120,'Festivos Guatemala'!$A$3:$A$29),0)</f>
        <v>0</v>
      </c>
      <c r="I120" s="366">
        <f>NETWORKDAYS($E$4,F120,'Festivos Guatemala'!$A$3:$A$15)</f>
        <v>21</v>
      </c>
      <c r="J120" s="75">
        <f t="shared" si="26"/>
        <v>0</v>
      </c>
      <c r="K120" s="49"/>
      <c r="L120" s="49"/>
      <c r="O120" s="49"/>
      <c r="P120" s="49"/>
    </row>
    <row r="121" spans="1:16" s="43" customFormat="1" ht="15" customHeight="1" outlineLevel="1" thickBot="1">
      <c r="B121" s="369"/>
      <c r="C121" s="47" t="s">
        <v>1711</v>
      </c>
      <c r="D121" s="104">
        <v>4042.28</v>
      </c>
      <c r="E121" s="115">
        <f>D121/$D$6</f>
        <v>541.86058981233248</v>
      </c>
      <c r="F121" s="74">
        <v>46111</v>
      </c>
      <c r="G121" s="43" t="s">
        <v>135</v>
      </c>
      <c r="H121" s="43">
        <f>IF(OR(G121="Sin pagar",G121="Pagar"),NETWORKDAYS($E$4,F121,'Festivos Guatemala'!$A$3:$A$29),0)</f>
        <v>0</v>
      </c>
      <c r="I121" s="366">
        <f>NETWORKDAYS($E$4,F121,'Festivos Guatemala'!$A$3:$A$15)</f>
        <v>21</v>
      </c>
      <c r="J121" s="75">
        <f t="shared" si="26"/>
        <v>0</v>
      </c>
      <c r="K121" s="49"/>
      <c r="L121" s="49"/>
      <c r="O121" s="49"/>
      <c r="P121" s="49"/>
    </row>
    <row r="122" spans="1:16" s="43" customFormat="1" ht="16.5" thickBot="1">
      <c r="B122" s="46"/>
      <c r="C122" s="332" t="s">
        <v>149</v>
      </c>
      <c r="D122" s="333">
        <f>SUBTOTAL(9,D123:D123)</f>
        <v>0</v>
      </c>
      <c r="E122" s="334">
        <f>SUBTOTAL(9,E123:E123)</f>
        <v>0</v>
      </c>
      <c r="J122" s="76"/>
    </row>
    <row r="123" spans="1:16" s="43" customFormat="1" ht="15" customHeight="1" outlineLevel="1" thickBot="1">
      <c r="B123" s="311"/>
      <c r="C123" s="47"/>
      <c r="D123" s="104"/>
      <c r="E123" s="115">
        <f>D123/$D$6</f>
        <v>0</v>
      </c>
      <c r="F123" s="74">
        <v>46111</v>
      </c>
      <c r="G123" s="43" t="s">
        <v>135</v>
      </c>
      <c r="H123" s="43">
        <f>IF(OR(G123="Sin pagar",G123="Pagar"),NETWORKDAYS($E$4,F123,'Festivos Guatemala'!$A$3:$A$29),0)</f>
        <v>0</v>
      </c>
      <c r="I123" s="43">
        <f>NETWORKDAYS($E$4,F123,'Festivos Guatemala'!$A$3:$A$15)</f>
        <v>21</v>
      </c>
      <c r="J123" s="75">
        <f>H123</f>
        <v>0</v>
      </c>
      <c r="K123" s="52"/>
      <c r="L123" s="54"/>
    </row>
    <row r="124" spans="1:16" s="43" customFormat="1" ht="14.25" customHeight="1">
      <c r="B124" s="46"/>
      <c r="C124" s="88" t="s">
        <v>150</v>
      </c>
      <c r="D124" s="120">
        <f>SUBTOTAL(9,D38:D123)</f>
        <v>1485143.1490000002</v>
      </c>
      <c r="E124" s="116">
        <f>SUBTOTAL(9,E38:E123)</f>
        <v>199418.02667560318</v>
      </c>
      <c r="F124" s="404"/>
      <c r="K124" s="39"/>
      <c r="L124" s="39"/>
      <c r="N124" s="39"/>
      <c r="O124" s="39"/>
      <c r="P124" s="39"/>
    </row>
    <row r="125" spans="1:16" ht="15.75">
      <c r="A125" s="43"/>
      <c r="E125" s="117"/>
      <c r="F125" s="89"/>
      <c r="G125" s="89"/>
      <c r="H125" s="89"/>
      <c r="I125" s="89"/>
      <c r="J125" s="89"/>
    </row>
    <row r="126" spans="1:16" ht="15.75">
      <c r="A126" s="43"/>
      <c r="C126" s="90" t="s">
        <v>151</v>
      </c>
      <c r="D126" s="121">
        <f>D33-D124</f>
        <v>571830.11886177771</v>
      </c>
      <c r="E126" s="118">
        <f>E33-E124</f>
        <v>74319.256747317442</v>
      </c>
      <c r="F126" s="226"/>
      <c r="G126" s="227"/>
      <c r="J126" s="227"/>
    </row>
    <row r="127" spans="1:16" s="93" customFormat="1" ht="15.75">
      <c r="A127" s="43"/>
      <c r="B127" s="94"/>
      <c r="C127" s="90" t="s">
        <v>152</v>
      </c>
      <c r="D127" s="95">
        <f>IF($D$33=0,0,D126/$D$33)</f>
        <v>0.27799589221506738</v>
      </c>
      <c r="E127" s="95">
        <f>IF($E$33=0,0,E126/$E$33)</f>
        <v>0.2714984813833165</v>
      </c>
      <c r="F127" s="96"/>
      <c r="G127" s="92"/>
      <c r="J127" s="97"/>
      <c r="K127" s="39"/>
      <c r="L127" s="39"/>
      <c r="N127" s="39"/>
      <c r="O127" s="39"/>
      <c r="P127" s="39"/>
    </row>
    <row r="128" spans="1:16" ht="15.75" thickBot="1">
      <c r="A128" s="43"/>
      <c r="F128" s="96"/>
      <c r="G128" s="92"/>
    </row>
    <row r="129" spans="1:7" ht="15.75" thickBot="1">
      <c r="A129" s="43"/>
      <c r="C129" s="135" t="s">
        <v>184</v>
      </c>
      <c r="D129" s="136" t="s">
        <v>185</v>
      </c>
      <c r="E129" s="137" t="s">
        <v>191</v>
      </c>
      <c r="F129" s="137" t="s">
        <v>186</v>
      </c>
      <c r="G129" s="92"/>
    </row>
    <row r="130" spans="1:7">
      <c r="A130" s="43"/>
      <c r="C130" s="423">
        <v>46082</v>
      </c>
      <c r="D130" s="424">
        <v>46089</v>
      </c>
      <c r="E130" s="425">
        <f t="shared" ref="E130:E135" si="27">SUMIFS($D$38:$D$127,$F$38:$F$127,"&gt;="&amp;C130,$F$38:$F$127,"&lt;="&amp;D130,$G$38:$G$127,$D$148)</f>
        <v>0</v>
      </c>
      <c r="F130" s="426">
        <f t="shared" ref="F130:F135" si="28">SUMIFS($E$38:$E$127,$F$38:$F$127,"&gt;="&amp;C130,$F$38:$F$127,"&lt;="&amp;D130,$G$38:$G$127,$D$148)</f>
        <v>0</v>
      </c>
      <c r="G130" s="92" t="s">
        <v>1529</v>
      </c>
    </row>
    <row r="131" spans="1:7">
      <c r="A131" s="43"/>
      <c r="C131" s="191">
        <v>46090</v>
      </c>
      <c r="D131" s="192">
        <v>46096</v>
      </c>
      <c r="E131" s="193">
        <f t="shared" si="27"/>
        <v>0</v>
      </c>
      <c r="F131" s="194">
        <f t="shared" si="28"/>
        <v>0</v>
      </c>
      <c r="G131" s="92" t="s">
        <v>1399</v>
      </c>
    </row>
    <row r="132" spans="1:7">
      <c r="A132" s="43"/>
      <c r="C132" s="191">
        <v>46097</v>
      </c>
      <c r="D132" s="192">
        <v>46103</v>
      </c>
      <c r="E132" s="193">
        <f t="shared" si="27"/>
        <v>0</v>
      </c>
      <c r="F132" s="194">
        <f t="shared" si="28"/>
        <v>0</v>
      </c>
      <c r="G132" s="92" t="s">
        <v>1621</v>
      </c>
    </row>
    <row r="133" spans="1:7">
      <c r="A133" s="43"/>
      <c r="C133" s="191">
        <v>46104</v>
      </c>
      <c r="D133" s="192">
        <v>46110</v>
      </c>
      <c r="E133" s="193">
        <f t="shared" si="27"/>
        <v>0</v>
      </c>
      <c r="F133" s="194">
        <f t="shared" si="28"/>
        <v>0</v>
      </c>
      <c r="G133" s="92" t="s">
        <v>1326</v>
      </c>
    </row>
    <row r="134" spans="1:7">
      <c r="A134" s="43"/>
      <c r="C134" s="191">
        <v>46111</v>
      </c>
      <c r="D134" s="192">
        <v>46112</v>
      </c>
      <c r="E134" s="193">
        <f t="shared" si="27"/>
        <v>0</v>
      </c>
      <c r="F134" s="194">
        <f t="shared" si="28"/>
        <v>0</v>
      </c>
      <c r="G134" s="92" t="s">
        <v>1622</v>
      </c>
    </row>
    <row r="135" spans="1:7" ht="15.75" thickBot="1">
      <c r="A135" s="43"/>
      <c r="C135" s="195">
        <v>46113</v>
      </c>
      <c r="D135" s="196">
        <v>46124</v>
      </c>
      <c r="E135" s="197">
        <f t="shared" si="27"/>
        <v>0</v>
      </c>
      <c r="F135" s="198">
        <f t="shared" si="28"/>
        <v>0</v>
      </c>
      <c r="G135" s="92"/>
    </row>
    <row r="136" spans="1:7" ht="15.75">
      <c r="A136" s="43"/>
      <c r="C136" s="433" t="s">
        <v>187</v>
      </c>
      <c r="D136" s="433"/>
      <c r="E136" s="148">
        <f>SUM(E130:E135)</f>
        <v>0</v>
      </c>
      <c r="F136" s="144">
        <f>SUM(F130:F135)</f>
        <v>0</v>
      </c>
      <c r="G136" s="92"/>
    </row>
    <row r="137" spans="1:7">
      <c r="A137" s="43"/>
      <c r="F137" s="96"/>
      <c r="G137" s="92"/>
    </row>
    <row r="138" spans="1:7">
      <c r="A138" s="43"/>
      <c r="F138" s="96"/>
      <c r="G138" s="92"/>
    </row>
    <row r="139" spans="1:7">
      <c r="A139" s="43"/>
      <c r="C139" s="41"/>
      <c r="D139" s="41" t="s">
        <v>380</v>
      </c>
      <c r="E139" s="166">
        <f>'Caja QTQ'!$J$1108+('Caja USD'!$H$339*$D$6)</f>
        <v>571830.11886177782</v>
      </c>
      <c r="F139" s="153">
        <f>('Caja QTQ'!$H$1108/$D$6+'Caja USD'!$H$339)</f>
        <v>76652.830946619011</v>
      </c>
      <c r="G139" s="92"/>
    </row>
    <row r="140" spans="1:7">
      <c r="A140" s="43"/>
      <c r="C140" s="41"/>
      <c r="D140" s="146" t="s">
        <v>1403</v>
      </c>
      <c r="E140" s="201">
        <f>SUBTOTAL(9,E139:E139)</f>
        <v>571830.11886177782</v>
      </c>
      <c r="F140" s="397">
        <f>SUBTOTAL(9,F139:F139)</f>
        <v>76652.830946619011</v>
      </c>
      <c r="G140" s="92"/>
    </row>
    <row r="141" spans="1:7">
      <c r="A141" s="43"/>
      <c r="C141" s="41"/>
      <c r="E141" s="166"/>
      <c r="F141" s="153"/>
      <c r="G141" s="92"/>
    </row>
    <row r="142" spans="1:7">
      <c r="A142" s="43"/>
      <c r="C142" s="41"/>
      <c r="D142" s="200" t="s">
        <v>1613</v>
      </c>
      <c r="E142" s="166">
        <f>SUM(E130:E135)</f>
        <v>0</v>
      </c>
      <c r="F142" s="153">
        <f>SUM(F130:F135)</f>
        <v>0</v>
      </c>
      <c r="G142" s="92"/>
    </row>
    <row r="143" spans="1:7">
      <c r="A143" s="43"/>
      <c r="C143" s="41"/>
      <c r="D143" s="146" t="s">
        <v>969</v>
      </c>
      <c r="E143" s="201">
        <f>E140-E142</f>
        <v>571830.11886177782</v>
      </c>
      <c r="F143" s="173">
        <f>F140-F142</f>
        <v>76652.830946619011</v>
      </c>
      <c r="G143" s="92"/>
    </row>
    <row r="144" spans="1:7">
      <c r="A144" s="43"/>
      <c r="C144" s="41"/>
      <c r="E144" s="166"/>
      <c r="F144" s="153"/>
      <c r="G144" s="92"/>
    </row>
    <row r="145" spans="1:10">
      <c r="A145" s="43"/>
      <c r="D145" s="146"/>
      <c r="E145" s="298"/>
      <c r="F145" s="299"/>
      <c r="G145" s="92"/>
      <c r="J145" s="167"/>
    </row>
    <row r="146" spans="1:10">
      <c r="A146" s="43"/>
      <c r="D146" s="146"/>
      <c r="E146" s="298"/>
      <c r="F146" s="299"/>
      <c r="G146" s="92"/>
      <c r="J146" s="167"/>
    </row>
    <row r="147" spans="1:10">
      <c r="D147" s="43" t="s">
        <v>135</v>
      </c>
      <c r="E147" s="15">
        <f>SUMIFS($D$38:$D$138,$F$38:$F$138,"&gt;="&amp;C130,$F$38:$F$138,"&lt;="&amp;D135,$G$38:$G$138,$D$147)</f>
        <v>1485143.1490000002</v>
      </c>
      <c r="F147" s="153">
        <f>SUMIFS($E$38:$E$138,$F$38:$F$138,"&gt;="&amp;C130,$F$38:$F$138,"&lt;="&amp;D135,$G$38:$G$138,$D$147)</f>
        <v>199418.02667560318</v>
      </c>
    </row>
    <row r="148" spans="1:10">
      <c r="D148" s="43" t="s">
        <v>143</v>
      </c>
      <c r="E148" s="15">
        <f>SUMIFS($D$38:$D$138,$F$38:$F$138,"&gt;="&amp;C130,$F$38:$F$138,"&lt;="&amp;C136,$G$38:$G$138,$D$148)</f>
        <v>0</v>
      </c>
      <c r="F148" s="153">
        <f>SUMIFS($E$38:$E$138,$F$38:$F$138,"&gt;="&amp;C130,$F$38:$F$138,"&lt;="&amp;D135,$G$38:$G$138,$D$148)</f>
        <v>0</v>
      </c>
    </row>
    <row r="149" spans="1:10">
      <c r="D149" s="146" t="s">
        <v>189</v>
      </c>
      <c r="E149" s="152">
        <f>SUM(E147:E148)</f>
        <v>1485143.1490000002</v>
      </c>
      <c r="F149" s="145">
        <f>SUM(F147:F148)</f>
        <v>199418.02667560318</v>
      </c>
    </row>
    <row r="150" spans="1:10">
      <c r="D150" s="146" t="s">
        <v>190</v>
      </c>
      <c r="E150" s="152">
        <f>E149-D124</f>
        <v>0</v>
      </c>
      <c r="F150" s="145">
        <f>F149-E124</f>
        <v>0</v>
      </c>
    </row>
    <row r="153" spans="1:10">
      <c r="E153" s="166"/>
    </row>
    <row r="154" spans="1:10">
      <c r="D154" s="41" t="s">
        <v>373</v>
      </c>
      <c r="E154" s="166">
        <f>D126</f>
        <v>571830.11886177771</v>
      </c>
      <c r="F154" s="227"/>
    </row>
    <row r="155" spans="1:10">
      <c r="D155" s="41" t="s">
        <v>339</v>
      </c>
      <c r="E155" s="166">
        <f>('Caja QTQ'!$H$1108+('Caja USD'!$H$339*$D$6))</f>
        <v>571830.11886177782</v>
      </c>
      <c r="F155" s="227"/>
    </row>
    <row r="156" spans="1:10">
      <c r="D156" s="41" t="s">
        <v>444</v>
      </c>
      <c r="E156" s="166">
        <f>E155-E154</f>
        <v>0</v>
      </c>
      <c r="F156" s="227"/>
    </row>
    <row r="157" spans="1:10">
      <c r="D157" s="41" t="s">
        <v>674</v>
      </c>
      <c r="E157" s="166">
        <f>E156/$D$6</f>
        <v>0</v>
      </c>
      <c r="F157" s="227"/>
    </row>
    <row r="158" spans="1:10">
      <c r="E158" s="167"/>
      <c r="F158" s="227"/>
    </row>
    <row r="159" spans="1:10">
      <c r="D159" s="109"/>
      <c r="E159" s="264"/>
      <c r="F159" s="227"/>
    </row>
    <row r="160" spans="1:10">
      <c r="D160" s="109"/>
      <c r="E160" s="264"/>
      <c r="F160" s="227"/>
    </row>
    <row r="161" spans="4:6">
      <c r="D161" s="109"/>
      <c r="E161" s="264"/>
      <c r="F161" s="227"/>
    </row>
    <row r="162" spans="4:6">
      <c r="D162" s="109"/>
      <c r="E162" s="264"/>
      <c r="F162" s="227"/>
    </row>
    <row r="163" spans="4:6">
      <c r="E163" s="264"/>
      <c r="F163" s="227"/>
    </row>
    <row r="164" spans="4:6">
      <c r="E164" s="264"/>
      <c r="F164" s="227"/>
    </row>
    <row r="165" spans="4:6">
      <c r="E165" s="264"/>
      <c r="F165" s="227"/>
    </row>
    <row r="166" spans="4:6">
      <c r="E166" s="264"/>
      <c r="F166" s="227"/>
    </row>
    <row r="167" spans="4:6">
      <c r="E167" s="264"/>
      <c r="F167" s="227"/>
    </row>
    <row r="168" spans="4:6">
      <c r="E168" s="264"/>
      <c r="F168" s="227"/>
    </row>
    <row r="169" spans="4:6">
      <c r="E169" s="264"/>
      <c r="F169" s="227"/>
    </row>
    <row r="170" spans="4:6">
      <c r="E170" s="264"/>
      <c r="F170" s="227"/>
    </row>
    <row r="171" spans="4:6">
      <c r="E171" s="264"/>
      <c r="F171" s="227"/>
    </row>
    <row r="172" spans="4:6">
      <c r="E172" s="264"/>
      <c r="F172" s="227"/>
    </row>
    <row r="173" spans="4:6">
      <c r="D173" s="146"/>
    </row>
  </sheetData>
  <protectedRanges>
    <protectedRange sqref="F33:G33 D128:E128 D59:E59 F143 F139:F141 C139:C144 D137:E146" name="Presupuestos"/>
    <protectedRange sqref="D37:E37 D8:E8" name="Presupuestos_1"/>
    <protectedRange sqref="D46:E50" name="Presupuestos_13_1"/>
    <protectedRange sqref="D119:D121 D52:E55 D57" name="Presupuestos_14"/>
    <protectedRange sqref="E88 E64:E81 E96:E106 E92" name="Presupuestos_2_1_1_1"/>
    <protectedRange sqref="D94:E94 E119:E121 D123:E123 D83:E83 D113:E117 D85:E86" name="Presupuestos_6_1_1_1"/>
    <protectedRange sqref="D152 D159:D161 D88 D64:D81 D96:D106 D92" name="Presupuestos_5_2_1"/>
    <protectedRange sqref="E57" name="Presupuestos_13_1_1"/>
    <protectedRange sqref="E61:E62" name="Presupuestos_7_1_2"/>
    <protectedRange sqref="D61:D62" name="Presupuestos_7_1_1_1"/>
    <protectedRange sqref="D10:E11" name="Presupuestos_2"/>
    <protectedRange sqref="E90" name="Presupuestos_2_1_1_1_1"/>
    <protectedRange sqref="D90" name="Presupuestos_5_2_1_1"/>
    <protectedRange sqref="E91" name="Presupuestos_2_1_1_1_2"/>
    <protectedRange sqref="D91" name="Presupuestos_5_2_1_2"/>
    <protectedRange sqref="E89" name="Presupuestos_2_1_1_1_3"/>
    <protectedRange sqref="D89" name="Presupuestos_5_2_1_3"/>
    <protectedRange sqref="E157" name="Presupuestos_3_1_1"/>
  </protectedRanges>
  <autoFilter ref="B37:J123" xr:uid="{00000000-0009-0000-0000-000002000000}"/>
  <mergeCells count="4">
    <mergeCell ref="D7:E7"/>
    <mergeCell ref="B36:C36"/>
    <mergeCell ref="D36:E36"/>
    <mergeCell ref="C136:D136"/>
  </mergeCells>
  <conditionalFormatting sqref="J39 J41:J44 J46:J50 J52:J55 J57 J61:J62 J64:J88 J96:J106 J108 J110:J117 J119:J121">
    <cfRule type="cellIs" dxfId="16" priority="24" operator="between">
      <formula>1</formula>
      <formula>5</formula>
    </cfRule>
    <cfRule type="cellIs" dxfId="15" priority="25" operator="between">
      <formula>16</formula>
      <formula>60</formula>
    </cfRule>
  </conditionalFormatting>
  <conditionalFormatting sqref="J39 J41:J44 J46:J50 J52:J55 J57 J61:J62 J64:J94 J96:J106 J108 J110:J117 J119:J121">
    <cfRule type="cellIs" dxfId="14" priority="22" operator="lessThan">
      <formula>0</formula>
    </cfRule>
  </conditionalFormatting>
  <conditionalFormatting sqref="J59 J123">
    <cfRule type="cellIs" dxfId="13" priority="18" operator="lessThan">
      <formula>0</formula>
    </cfRule>
    <cfRule type="cellIs" dxfId="12" priority="20" operator="between">
      <formula>1</formula>
      <formula>5</formula>
    </cfRule>
    <cfRule type="cellIs" dxfId="11" priority="21" operator="between">
      <formula>16</formula>
      <formula>60</formula>
    </cfRule>
  </conditionalFormatting>
  <conditionalFormatting sqref="J64:J88 J39 J41:J44 J46:J50 J52:J55 J57 J61:J62 J96:J106 J108 J110:J117 J119:J121">
    <cfRule type="cellIs" dxfId="10" priority="23" operator="between">
      <formula>6</formula>
      <formula>15</formula>
    </cfRule>
  </conditionalFormatting>
  <conditionalFormatting sqref="J85:J86">
    <cfRule type="cellIs" dxfId="9" priority="15" operator="between">
      <formula>6</formula>
      <formula>15</formula>
    </cfRule>
    <cfRule type="cellIs" dxfId="8" priority="16" operator="between">
      <formula>1</formula>
      <formula>5</formula>
    </cfRule>
    <cfRule type="cellIs" dxfId="7" priority="17" operator="between">
      <formula>16</formula>
      <formula>60</formula>
    </cfRule>
  </conditionalFormatting>
  <conditionalFormatting sqref="J89:J94">
    <cfRule type="cellIs" dxfId="6" priority="1" operator="between">
      <formula>6</formula>
      <formula>15</formula>
    </cfRule>
    <cfRule type="cellIs" dxfId="5" priority="2" operator="between">
      <formula>1</formula>
      <formula>5</formula>
    </cfRule>
    <cfRule type="cellIs" dxfId="4" priority="3" operator="between">
      <formula>16</formula>
      <formula>60</formula>
    </cfRule>
  </conditionalFormatting>
  <conditionalFormatting sqref="J123 J59">
    <cfRule type="cellIs" dxfId="3" priority="19" operator="between">
      <formula>6</formula>
      <formula>15</formula>
    </cfRule>
  </conditionalFormatting>
  <conditionalFormatting sqref="J123">
    <cfRule type="cellIs" dxfId="2" priority="12" operator="between">
      <formula>6</formula>
      <formula>15</formula>
    </cfRule>
    <cfRule type="cellIs" dxfId="1" priority="13" operator="between">
      <formula>1</formula>
      <formula>5</formula>
    </cfRule>
    <cfRule type="cellIs" dxfId="0" priority="14" operator="between">
      <formula>16</formula>
      <formula>60</formula>
    </cfRule>
  </conditionalFormatting>
  <dataValidations count="3">
    <dataValidation type="list" allowBlank="1" showInputMessage="1" showErrorMessage="1" sqref="D147:D148 G59 G41:G44 G38:G39 G46:G50 G52:G55 G61:G62 G57 G110:G117 G119:G123 G96:G108 G64:G94" xr:uid="{0EFDC0AC-C778-45A1-8632-6DA1DC9E3EEA}">
      <formula1>"Cancelado,Pagar,Sin Pagar"</formula1>
    </dataValidation>
    <dataValidation type="list" allowBlank="1" showInputMessage="1" showErrorMessage="1" sqref="D36 D7" xr:uid="{B55652CF-3D23-48F3-88A1-479B3B75F77A}">
      <formula1>"ENERO,FEBRERO,MARZO,ABRIL,MAYO,JUNIO,JULIO,AGOSTO,SEPTIEMBRE,OCTUBRE,NOVIEMBRE,DICIEMBRE"</formula1>
    </dataValidation>
    <dataValidation type="list" allowBlank="1" showInputMessage="1" showErrorMessage="1" sqref="B12 B14:B32" xr:uid="{2E164735-B38E-4196-9D6E-3917FAC36F6A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45:J80 J39:J43 J82:J85 J87:J91 J93:J110 J112:J114 J116:J123 J81 J124 J115 J111 J92 J86" unlockedFormula="1"/>
    <ignoredError sqref="E83" formula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59E4-6DAE-4F7D-9FAD-6553A067EDCF}">
  <dimension ref="A1:S156"/>
  <sheetViews>
    <sheetView showGridLines="0" tabSelected="1" topLeftCell="A16" zoomScaleNormal="100" workbookViewId="0">
      <selection activeCell="D35" sqref="D35"/>
    </sheetView>
  </sheetViews>
  <sheetFormatPr baseColWidth="10" defaultColWidth="11.42578125" defaultRowHeight="15" outlineLevelRow="1"/>
  <cols>
    <col min="1" max="1" width="2.140625" style="39" customWidth="1"/>
    <col min="2" max="2" width="14.42578125" style="40" bestFit="1" customWidth="1"/>
    <col min="3" max="3" width="60.28515625" style="39" customWidth="1"/>
    <col min="4" max="4" width="27.7109375" style="41" bestFit="1" customWidth="1"/>
    <col min="5" max="5" width="24.42578125" style="41" customWidth="1"/>
    <col min="6" max="6" width="23.5703125" style="39" customWidth="1"/>
    <col min="7" max="7" width="16.85546875" style="39" customWidth="1"/>
    <col min="8" max="8" width="7.7109375" style="39" hidden="1" customWidth="1"/>
    <col min="9" max="9" width="12.140625" style="39" hidden="1" customWidth="1"/>
    <col min="10" max="10" width="16.5703125" style="39" customWidth="1"/>
    <col min="11" max="11" width="2.140625" style="39" customWidth="1"/>
    <col min="12" max="12" width="2.28515625" style="39" customWidth="1"/>
    <col min="13" max="13" width="16.42578125" style="39" bestFit="1" customWidth="1"/>
    <col min="14" max="14" width="16" style="39" bestFit="1" customWidth="1"/>
    <col min="15" max="15" width="26.140625" style="39" customWidth="1"/>
    <col min="16" max="16" width="19.28515625" style="39" bestFit="1" customWidth="1"/>
    <col min="17" max="17" width="15.28515625" style="39" bestFit="1" customWidth="1"/>
    <col min="18" max="18" width="14" style="39" bestFit="1" customWidth="1"/>
    <col min="19" max="19" width="13" style="39" bestFit="1" customWidth="1"/>
    <col min="20" max="16384" width="11.42578125" style="39"/>
  </cols>
  <sheetData>
    <row r="1" spans="2:10" hidden="1">
      <c r="D1" s="41">
        <v>42400</v>
      </c>
    </row>
    <row r="2" spans="2:10">
      <c r="D2" s="42"/>
      <c r="E2" s="42"/>
      <c r="I2" s="43"/>
    </row>
    <row r="3" spans="2:10">
      <c r="E3" s="15"/>
      <c r="I3" s="43"/>
    </row>
    <row r="4" spans="2:10" ht="15.75">
      <c r="B4" s="134"/>
      <c r="C4" s="134"/>
      <c r="D4" s="111" t="s">
        <v>139</v>
      </c>
      <c r="E4" s="66">
        <v>46113</v>
      </c>
      <c r="I4" s="43"/>
    </row>
    <row r="5" spans="2:10">
      <c r="D5" s="42"/>
      <c r="E5" s="42"/>
      <c r="I5" s="43"/>
    </row>
    <row r="6" spans="2:10">
      <c r="C6" s="98" t="s">
        <v>181</v>
      </c>
      <c r="D6" s="125">
        <v>7.46</v>
      </c>
      <c r="E6" s="42"/>
      <c r="I6" s="43"/>
    </row>
    <row r="7" spans="2:10" ht="15.75">
      <c r="C7" s="99"/>
      <c r="D7" s="432" t="s">
        <v>138</v>
      </c>
      <c r="E7" s="432"/>
      <c r="I7" s="43"/>
    </row>
    <row r="8" spans="2:10">
      <c r="D8" s="110" t="s">
        <v>168</v>
      </c>
      <c r="E8" s="110" t="s">
        <v>169</v>
      </c>
    </row>
    <row r="9" spans="2:10" s="44" customFormat="1" ht="15.75">
      <c r="C9" s="101" t="s">
        <v>133</v>
      </c>
      <c r="D9" s="126">
        <f>SUBTOTAL(9,D10:D11)</f>
        <v>571830.11886177782</v>
      </c>
      <c r="E9" s="122">
        <f>SUBTOTAL(9,E10:E11)</f>
        <v>76652.830946619011</v>
      </c>
      <c r="F9" s="45"/>
      <c r="I9" s="43"/>
    </row>
    <row r="10" spans="2:10" s="43" customFormat="1" outlineLevel="1">
      <c r="B10" s="46"/>
      <c r="C10" s="47" t="s">
        <v>153</v>
      </c>
      <c r="D10" s="15">
        <f>'Caja QTQ'!$J$1108</f>
        <v>523366.30346177786</v>
      </c>
      <c r="E10" s="25">
        <f>D10/$D$6</f>
        <v>70156.340946619021</v>
      </c>
      <c r="F10" s="49"/>
    </row>
    <row r="11" spans="2:10" s="43" customFormat="1" outlineLevel="1">
      <c r="B11" s="46"/>
      <c r="C11" s="47" t="s">
        <v>154</v>
      </c>
      <c r="D11" s="15">
        <f>E11*D6</f>
        <v>48463.815399999927</v>
      </c>
      <c r="E11" s="25">
        <f>'Caja USD'!$H$339</f>
        <v>6496.4899999999907</v>
      </c>
      <c r="F11" s="49"/>
    </row>
    <row r="12" spans="2:10" s="43" customFormat="1" ht="15.75">
      <c r="B12" s="46"/>
      <c r="C12" s="102" t="s">
        <v>134</v>
      </c>
      <c r="D12" s="127">
        <f>SUBTOTAL(9,D13:D28)</f>
        <v>1283858.2709263025</v>
      </c>
      <c r="E12" s="122">
        <f>SUBTOTAL(9,E13:E28)</f>
        <v>170485.91</v>
      </c>
      <c r="F12" s="128"/>
    </row>
    <row r="13" spans="2:10" s="43" customFormat="1" ht="15" customHeight="1" outlineLevel="1">
      <c r="B13" s="51" t="s">
        <v>143</v>
      </c>
      <c r="C13" s="427" t="s">
        <v>1719</v>
      </c>
      <c r="D13" s="373">
        <f>'Caja QTQ'!$D$1007</f>
        <v>21139.646490186733</v>
      </c>
      <c r="E13" s="429">
        <f>$D$13/'Diferencia en cambio'!$L$254</f>
        <v>2782.69</v>
      </c>
      <c r="F13" s="329"/>
      <c r="G13" s="208"/>
    </row>
    <row r="14" spans="2:10" s="43" customFormat="1" ht="15" customHeight="1" outlineLevel="1">
      <c r="B14" s="51" t="s">
        <v>143</v>
      </c>
      <c r="C14" s="47" t="s">
        <v>1720</v>
      </c>
      <c r="D14" s="373">
        <f>'Diferencia en cambio'!$I$255</f>
        <v>13397.15401662958</v>
      </c>
      <c r="E14" s="429">
        <f>$D$14/'Diferencia en cambio'!$L$255</f>
        <v>1780.4099999999999</v>
      </c>
      <c r="F14" s="128"/>
      <c r="G14" s="171"/>
      <c r="J14" s="372"/>
    </row>
    <row r="15" spans="2:10" s="43" customFormat="1" ht="15" customHeight="1" outlineLevel="1">
      <c r="B15" s="51" t="s">
        <v>143</v>
      </c>
      <c r="C15" s="47" t="s">
        <v>1721</v>
      </c>
      <c r="D15" s="373">
        <f>'Diferencia en cambio'!$I$256</f>
        <v>11023.845409710406</v>
      </c>
      <c r="E15" s="429">
        <f>$D$15/'Diferencia en cambio'!L256</f>
        <v>1465.01</v>
      </c>
      <c r="F15" s="329"/>
      <c r="G15" s="208"/>
    </row>
    <row r="16" spans="2:10" s="43" customFormat="1" ht="15" customHeight="1" outlineLevel="1">
      <c r="B16" s="51" t="s">
        <v>143</v>
      </c>
      <c r="C16" s="47" t="s">
        <v>1722</v>
      </c>
      <c r="D16" s="373">
        <f>'Diferencia en cambio'!$I$257</f>
        <v>25935.131188813913</v>
      </c>
      <c r="E16" s="429">
        <f>$D$16/'Diferencia en cambio'!$L$257</f>
        <v>3446.64</v>
      </c>
      <c r="F16" s="329"/>
      <c r="G16" s="208"/>
    </row>
    <row r="17" spans="1:19" s="43" customFormat="1" ht="15" customHeight="1" outlineLevel="1">
      <c r="B17" s="51" t="s">
        <v>143</v>
      </c>
      <c r="C17" s="47" t="s">
        <v>1723</v>
      </c>
      <c r="D17" s="373">
        <f>'Diferencia en cambio'!$I$258</f>
        <v>18343.5</v>
      </c>
      <c r="E17" s="429">
        <f>$D$17/'Diferencia en cambio'!$L$258</f>
        <v>2462.34</v>
      </c>
      <c r="F17" s="329"/>
      <c r="G17" s="208"/>
    </row>
    <row r="18" spans="1:19" s="43" customFormat="1" ht="15" customHeight="1" outlineLevel="1">
      <c r="B18" s="51" t="s">
        <v>143</v>
      </c>
      <c r="C18" s="47" t="s">
        <v>1724</v>
      </c>
      <c r="D18" s="373">
        <f>'Diferencia en cambio'!$I$259</f>
        <v>45067.429850134642</v>
      </c>
      <c r="E18" s="429">
        <f>$D$18/'Diferencia en cambio'!$L$259</f>
        <v>5989.22</v>
      </c>
      <c r="F18" s="329"/>
      <c r="G18" s="208"/>
    </row>
    <row r="19" spans="1:19" s="43" customFormat="1" ht="15" customHeight="1" outlineLevel="1">
      <c r="B19" s="51" t="s">
        <v>143</v>
      </c>
      <c r="C19" s="47" t="s">
        <v>1725</v>
      </c>
      <c r="D19" s="373">
        <f>'Diferencia en cambio'!$I$260</f>
        <v>12658.749534711451</v>
      </c>
      <c r="E19" s="429">
        <f>$D$19/'Diferencia en cambio'!$L$260</f>
        <v>1682.28</v>
      </c>
      <c r="F19" s="329"/>
      <c r="G19" s="208"/>
    </row>
    <row r="20" spans="1:19" s="43" customFormat="1" ht="15" customHeight="1" outlineLevel="1">
      <c r="B20" s="51" t="s">
        <v>143</v>
      </c>
      <c r="C20" s="47" t="s">
        <v>1726</v>
      </c>
      <c r="D20" s="373">
        <f>'Diferencia en cambio'!$I$261</f>
        <v>74652.09</v>
      </c>
      <c r="E20" s="429">
        <f>D20/'Diferencia en cambio'!$L$261</f>
        <v>9897.92</v>
      </c>
      <c r="F20" s="329"/>
      <c r="G20" s="208"/>
    </row>
    <row r="21" spans="1:19" s="43" customFormat="1" ht="15" customHeight="1" outlineLevel="1">
      <c r="B21" s="51" t="s">
        <v>143</v>
      </c>
      <c r="C21" s="47" t="s">
        <v>1727</v>
      </c>
      <c r="D21" s="373">
        <f>'Diferencia en cambio'!$I$262</f>
        <v>48605.373346173852</v>
      </c>
      <c r="E21" s="429">
        <f>$D$21/'Diferencia en cambio'!$L$262</f>
        <v>6642.37</v>
      </c>
      <c r="F21" s="329"/>
      <c r="G21" s="208"/>
    </row>
    <row r="22" spans="1:19" s="43" customFormat="1" ht="15" customHeight="1" outlineLevel="1">
      <c r="B22" s="51" t="s">
        <v>143</v>
      </c>
      <c r="C22" s="47" t="s">
        <v>1728</v>
      </c>
      <c r="D22" s="373">
        <f>'Diferencia en cambio'!$I$263</f>
        <v>12129.006745516586</v>
      </c>
      <c r="E22" s="429">
        <f>$D$22/'Diferencia en cambio'!$L$263</f>
        <v>1657.54</v>
      </c>
      <c r="F22" s="329"/>
      <c r="G22" s="208"/>
    </row>
    <row r="23" spans="1:19" s="43" customFormat="1" ht="15" customHeight="1" outlineLevel="1">
      <c r="B23" s="51" t="s">
        <v>143</v>
      </c>
      <c r="C23" s="47" t="s">
        <v>1729</v>
      </c>
      <c r="D23" s="373">
        <f>'Diferencia en cambio'!$I$264</f>
        <v>27254.299790058645</v>
      </c>
      <c r="E23" s="429">
        <f>$D$23/'Diferencia en cambio'!$L$264</f>
        <v>3724.55</v>
      </c>
      <c r="F23" s="329"/>
      <c r="G23" s="208"/>
    </row>
    <row r="24" spans="1:19" s="43" customFormat="1" ht="15" customHeight="1" outlineLevel="1">
      <c r="B24" s="51" t="s">
        <v>143</v>
      </c>
      <c r="C24" s="47" t="s">
        <v>1730</v>
      </c>
      <c r="D24" s="373">
        <f>'Diferencia en cambio'!$I$265</f>
        <v>19498.43535261491</v>
      </c>
      <c r="E24" s="429">
        <f>$D$24/'Diferencia en cambio'!$L$265</f>
        <v>2664.64</v>
      </c>
      <c r="F24" s="329"/>
      <c r="G24" s="208"/>
    </row>
    <row r="25" spans="1:19" s="43" customFormat="1" ht="15" customHeight="1" outlineLevel="1">
      <c r="B25" s="51" t="s">
        <v>143</v>
      </c>
      <c r="C25" s="428" t="s">
        <v>1731</v>
      </c>
      <c r="D25" s="373">
        <f>'Diferencia en cambio'!$I$266</f>
        <v>74486.183165472539</v>
      </c>
      <c r="E25" s="429">
        <f>$D$25/'Diferencia en cambio'!$L$266</f>
        <v>10179.219999999999</v>
      </c>
      <c r="F25" s="128"/>
      <c r="G25" s="171"/>
      <c r="J25" s="372"/>
    </row>
    <row r="26" spans="1:19" s="43" customFormat="1" ht="15" customHeight="1" outlineLevel="1">
      <c r="B26" s="51" t="s">
        <v>143</v>
      </c>
      <c r="C26" s="428" t="s">
        <v>1688</v>
      </c>
      <c r="D26" s="373">
        <f>'Diferencia en cambio'!$I$267</f>
        <v>140816.23603627936</v>
      </c>
      <c r="E26" s="429">
        <f>$D$26/'Diferencia en cambio'!$L$267</f>
        <v>19243.830000000002</v>
      </c>
      <c r="F26" s="329"/>
      <c r="G26" s="208"/>
    </row>
    <row r="27" spans="1:19" s="43" customFormat="1" ht="15" customHeight="1" outlineLevel="1">
      <c r="B27" s="51" t="s">
        <v>143</v>
      </c>
      <c r="C27" s="47" t="s">
        <v>1732</v>
      </c>
      <c r="D27" s="373">
        <f>'Diferencia en cambio'!I269</f>
        <v>29834.09</v>
      </c>
      <c r="E27" s="429">
        <f>D27/'Diferencia en cambio'!L269</f>
        <v>3993.19</v>
      </c>
      <c r="F27" s="329"/>
      <c r="G27" s="208"/>
    </row>
    <row r="28" spans="1:19" s="43" customFormat="1" ht="15" customHeight="1" outlineLevel="1">
      <c r="A28" s="50"/>
      <c r="B28" s="51" t="s">
        <v>143</v>
      </c>
      <c r="C28" s="47" t="s">
        <v>1733</v>
      </c>
      <c r="D28" s="373">
        <f>'Diferencia en cambio'!I270</f>
        <v>709017.1</v>
      </c>
      <c r="E28" s="429">
        <f>D28/'Diferencia en cambio'!L270</f>
        <v>92874.06</v>
      </c>
      <c r="F28" s="128"/>
      <c r="G28" s="184"/>
    </row>
    <row r="29" spans="1:19" s="43" customFormat="1" ht="15.75">
      <c r="B29" s="46"/>
      <c r="C29" s="276" t="s">
        <v>136</v>
      </c>
      <c r="D29" s="274">
        <f>SUBTOTAL(9,D9:D28)</f>
        <v>1855688.3897880805</v>
      </c>
      <c r="E29" s="275">
        <f>SUBTOTAL(9,E9:E28)</f>
        <v>247138.74094661901</v>
      </c>
      <c r="F29" s="56"/>
      <c r="G29" s="56"/>
      <c r="J29" s="52"/>
      <c r="K29" s="57"/>
      <c r="O29" s="58"/>
      <c r="P29" s="59"/>
      <c r="Q29" s="53"/>
    </row>
    <row r="30" spans="1:19" s="43" customFormat="1" ht="15.75">
      <c r="B30" s="46"/>
      <c r="C30" s="60"/>
      <c r="D30" s="61"/>
      <c r="E30" s="61"/>
      <c r="G30" s="62"/>
      <c r="O30" s="59"/>
      <c r="P30" s="59"/>
    </row>
    <row r="31" spans="1:19" s="43" customFormat="1" ht="15.75">
      <c r="B31" s="46"/>
      <c r="N31" s="63"/>
      <c r="O31" s="64"/>
      <c r="P31" s="65"/>
    </row>
    <row r="32" spans="1:19" s="43" customFormat="1" ht="15.75">
      <c r="B32" s="432" t="s">
        <v>137</v>
      </c>
      <c r="C32" s="432"/>
      <c r="D32" s="432" t="s">
        <v>138</v>
      </c>
      <c r="E32" s="432"/>
      <c r="K32" s="65"/>
      <c r="L32" s="65"/>
      <c r="N32" s="63"/>
      <c r="R32" s="52"/>
      <c r="S32" s="52"/>
    </row>
    <row r="33" spans="2:19" s="43" customFormat="1" ht="16.5" thickBot="1">
      <c r="B33" s="67" t="s">
        <v>81</v>
      </c>
      <c r="C33" s="68" t="s">
        <v>106</v>
      </c>
      <c r="D33" s="110" t="s">
        <v>168</v>
      </c>
      <c r="E33" s="110" t="s">
        <v>169</v>
      </c>
      <c r="F33" s="69" t="s">
        <v>140</v>
      </c>
      <c r="G33" s="63" t="s">
        <v>141</v>
      </c>
      <c r="H33" s="63"/>
      <c r="I33" s="63"/>
      <c r="J33" s="70" t="s">
        <v>142</v>
      </c>
      <c r="N33" s="71"/>
      <c r="R33" s="52"/>
      <c r="S33" s="72"/>
    </row>
    <row r="34" spans="2:19" s="43" customFormat="1" ht="16.5" thickBot="1">
      <c r="B34" s="46"/>
      <c r="C34" s="73" t="s">
        <v>155</v>
      </c>
      <c r="D34" s="103">
        <f>SUBTOTAL(9,D35:D35)</f>
        <v>95509.907999999996</v>
      </c>
      <c r="E34" s="112">
        <f>SUBTOTAL(9,E35:E35)</f>
        <v>12802.93672922252</v>
      </c>
      <c r="F34" s="74"/>
      <c r="J34" s="76"/>
    </row>
    <row r="35" spans="2:19" s="43" customFormat="1" ht="15.75" outlineLevel="1" thickBot="1">
      <c r="B35" s="374">
        <v>6046059</v>
      </c>
      <c r="C35" s="78" t="s">
        <v>767</v>
      </c>
      <c r="D35" s="109">
        <f>79591.59*1.2</f>
        <v>95509.907999999996</v>
      </c>
      <c r="E35" s="115">
        <f>D35/$D$6</f>
        <v>12802.93672922252</v>
      </c>
      <c r="F35" s="74">
        <v>46129</v>
      </c>
      <c r="G35" s="43" t="s">
        <v>143</v>
      </c>
      <c r="H35" s="43">
        <f>IF(OR(G35="Sin pagar",G35="Pagar"),NETWORKDAYS($E$4,F35,'Festivos Guatemala'!$A$3:$A$29),0)</f>
        <v>11</v>
      </c>
      <c r="I35" s="43">
        <f>NETWORKDAYS($E$4,F35,'Festivos Guatemala'!$A$3:$A$15)</f>
        <v>13</v>
      </c>
      <c r="J35" s="75">
        <f>H35</f>
        <v>11</v>
      </c>
      <c r="K35" s="52"/>
      <c r="L35" s="52"/>
    </row>
    <row r="36" spans="2:19" s="43" customFormat="1" ht="16.5" thickBot="1">
      <c r="B36" s="46"/>
      <c r="C36" s="73" t="s">
        <v>144</v>
      </c>
      <c r="D36" s="103">
        <f>SUBTOTAL(9,D37:D40)</f>
        <v>30870.398000000001</v>
      </c>
      <c r="E36" s="112">
        <f>SUBTOTAL(9,E37:E40)</f>
        <v>4138.1230563002682</v>
      </c>
      <c r="J36" s="76">
        <f t="shared" ref="J36:J46" si="0">H36</f>
        <v>0</v>
      </c>
    </row>
    <row r="37" spans="2:19" s="43" customFormat="1" outlineLevel="1">
      <c r="B37" s="374">
        <v>50405693423</v>
      </c>
      <c r="C37" s="47" t="s">
        <v>1738</v>
      </c>
      <c r="D37" s="109">
        <v>241.07</v>
      </c>
      <c r="E37" s="115">
        <f>D37/$D$6</f>
        <v>32.315013404825734</v>
      </c>
      <c r="F37" s="74">
        <v>46129</v>
      </c>
      <c r="G37" s="43" t="s">
        <v>143</v>
      </c>
      <c r="H37" s="43">
        <f>IF(OR(G37="Sin pagar",G37="Pagar"),NETWORKDAYS($E$4,F37,'Festivos Guatemala'!$A$3:$A$29),0)</f>
        <v>11</v>
      </c>
      <c r="I37" s="43">
        <f>NETWORKDAYS($E$4,F37,'Festivos Guatemala'!$A$3:$A$15)</f>
        <v>13</v>
      </c>
      <c r="J37" s="75">
        <f>H37</f>
        <v>11</v>
      </c>
      <c r="K37" s="48"/>
      <c r="L37" s="57"/>
    </row>
    <row r="38" spans="2:19" s="43" customFormat="1" outlineLevel="1">
      <c r="B38" s="374">
        <v>50405693423</v>
      </c>
      <c r="C38" s="47" t="s">
        <v>1737</v>
      </c>
      <c r="D38" s="109">
        <f>18662.49*1.2</f>
        <v>22394.988000000001</v>
      </c>
      <c r="E38" s="115">
        <f>D38/$D$6</f>
        <v>3002.0091152815016</v>
      </c>
      <c r="F38" s="74">
        <v>46129</v>
      </c>
      <c r="G38" s="43" t="s">
        <v>143</v>
      </c>
      <c r="H38" s="43">
        <f>IF(OR(G38="Sin pagar",G38="Pagar"),NETWORKDAYS($E$4,F38,'Festivos Guatemala'!$A$3:$A$29),0)</f>
        <v>11</v>
      </c>
      <c r="I38" s="43">
        <f>NETWORKDAYS($E$4,F38,'Festivos Guatemala'!$A$3:$A$15)</f>
        <v>13</v>
      </c>
      <c r="J38" s="75">
        <f>H38</f>
        <v>11</v>
      </c>
      <c r="K38" s="48"/>
      <c r="L38" s="57"/>
    </row>
    <row r="39" spans="2:19" s="43" customFormat="1" ht="14.25" customHeight="1" outlineLevel="1">
      <c r="B39" s="374">
        <v>50404858314</v>
      </c>
      <c r="C39" s="47" t="s">
        <v>1539</v>
      </c>
      <c r="D39" s="109">
        <f>4965.43*1.2</f>
        <v>5958.5160000000005</v>
      </c>
      <c r="E39" s="115">
        <f>D39/$D$6</f>
        <v>798.72868632707787</v>
      </c>
      <c r="F39" s="74">
        <v>46129</v>
      </c>
      <c r="G39" s="43" t="s">
        <v>143</v>
      </c>
      <c r="H39" s="43">
        <f>IF(OR(G39="Sin pagar",G39="Pagar"),NETWORKDAYS($E$4,F39,'Festivos Guatemala'!$A$3:$A$29),0)</f>
        <v>11</v>
      </c>
      <c r="I39" s="43">
        <f>NETWORKDAYS($E$4,F39,'Festivos Guatemala'!$A$3:$A$15)</f>
        <v>13</v>
      </c>
      <c r="J39" s="75">
        <f>H39</f>
        <v>11</v>
      </c>
      <c r="K39" s="48"/>
      <c r="L39" s="57"/>
    </row>
    <row r="40" spans="2:19" s="43" customFormat="1" ht="14.25" customHeight="1" outlineLevel="1" thickBot="1">
      <c r="B40" s="374">
        <v>50404870539</v>
      </c>
      <c r="C40" s="47" t="s">
        <v>1148</v>
      </c>
      <c r="D40" s="109">
        <f>1896.52*1.2</f>
        <v>2275.8240000000001</v>
      </c>
      <c r="E40" s="115">
        <f>D40/$D$6</f>
        <v>305.07024128686328</v>
      </c>
      <c r="F40" s="74">
        <v>46129</v>
      </c>
      <c r="G40" s="43" t="s">
        <v>143</v>
      </c>
      <c r="H40" s="43">
        <f>IF(OR(G40="Sin pagar",G40="Pagar"),NETWORKDAYS($E$4,F40,'Festivos Guatemala'!$A$3:$A$29),0)</f>
        <v>11</v>
      </c>
      <c r="I40" s="43">
        <f>NETWORKDAYS($E$4,F40,'Festivos Guatemala'!$A$3:$A$15)</f>
        <v>13</v>
      </c>
      <c r="J40" s="75">
        <f>H40</f>
        <v>11</v>
      </c>
      <c r="K40" s="48"/>
      <c r="L40" s="57"/>
    </row>
    <row r="41" spans="2:19" s="43" customFormat="1" ht="16.5" thickBot="1">
      <c r="B41" s="46"/>
      <c r="C41" s="73" t="s">
        <v>1065</v>
      </c>
      <c r="D41" s="103">
        <f>SUBTOTAL(9,D42:D46)</f>
        <v>19520.64</v>
      </c>
      <c r="E41" s="112">
        <f>SUBTOTAL(9,E42:E46)</f>
        <v>2616.7077747989279</v>
      </c>
      <c r="J41" s="76">
        <f t="shared" si="0"/>
        <v>0</v>
      </c>
      <c r="K41" s="52"/>
      <c r="L41" s="52"/>
    </row>
    <row r="42" spans="2:19" s="43" customFormat="1" ht="15" customHeight="1" outlineLevel="1">
      <c r="B42" s="356" t="s">
        <v>1630</v>
      </c>
      <c r="C42" s="47" t="s">
        <v>1395</v>
      </c>
      <c r="D42" s="109">
        <f>$E$42*$D$6</f>
        <v>11152.7</v>
      </c>
      <c r="E42" s="115">
        <v>1495</v>
      </c>
      <c r="F42" s="80">
        <v>46122</v>
      </c>
      <c r="G42" s="43" t="s">
        <v>143</v>
      </c>
      <c r="H42" s="43">
        <f>IF(OR(G42="Sin pagar",G42="Pagar"),NETWORKDAYS($E$4,F42,'Festivos Guatemala'!$A$3:$A$29),0)</f>
        <v>6</v>
      </c>
      <c r="I42" s="43">
        <f>NETWORKDAYS($E$4,F42,'Festivos Guatemala'!$A$3:$A$15)</f>
        <v>8</v>
      </c>
      <c r="J42" s="75">
        <f>H42</f>
        <v>6</v>
      </c>
      <c r="K42" s="48"/>
      <c r="L42" s="57"/>
    </row>
    <row r="43" spans="2:19" s="43" customFormat="1" ht="15" customHeight="1" outlineLevel="1">
      <c r="B43" s="412" t="s">
        <v>1734</v>
      </c>
      <c r="C43" s="47" t="s">
        <v>1666</v>
      </c>
      <c r="D43" s="109">
        <f>5473.2-200</f>
        <v>5273.2</v>
      </c>
      <c r="E43" s="115">
        <f>D43/$D$6</f>
        <v>706.8632707774799</v>
      </c>
      <c r="F43" s="80">
        <v>46136</v>
      </c>
      <c r="G43" s="43" t="s">
        <v>143</v>
      </c>
      <c r="H43" s="43">
        <f>IF(OR(G43="Sin pagar",G43="Pagar"),NETWORKDAYS($E$4,F43,'Festivos Guatemala'!$A$3:$A$29),0)</f>
        <v>16</v>
      </c>
      <c r="I43" s="43">
        <f>NETWORKDAYS($E$4,F43,'Festivos Guatemala'!$A$3:$A$15)</f>
        <v>18</v>
      </c>
      <c r="J43" s="75">
        <f>H43</f>
        <v>16</v>
      </c>
      <c r="K43" s="48"/>
      <c r="L43" s="57"/>
    </row>
    <row r="44" spans="2:19" s="43" customFormat="1" ht="15" customHeight="1" outlineLevel="1">
      <c r="B44" s="374">
        <v>1495813926</v>
      </c>
      <c r="C44" s="47" t="s">
        <v>1661</v>
      </c>
      <c r="D44" s="109">
        <v>800</v>
      </c>
      <c r="E44" s="115">
        <f>D44/$D$6</f>
        <v>107.23860589812332</v>
      </c>
      <c r="F44" s="80">
        <v>46136</v>
      </c>
      <c r="G44" s="43" t="s">
        <v>143</v>
      </c>
      <c r="H44" s="43">
        <f>IF(OR(G44="Sin pagar",G44="Pagar"),NETWORKDAYS($E$4,F44,'Festivos Guatemala'!$A$3:$A$29),0)</f>
        <v>16</v>
      </c>
      <c r="I44" s="43">
        <f>NETWORKDAYS($E$4,F44,'Festivos Guatemala'!$A$3:$A$15)</f>
        <v>18</v>
      </c>
      <c r="J44" s="75">
        <f t="shared" ref="J44" si="1">H44</f>
        <v>16</v>
      </c>
      <c r="K44" s="48"/>
      <c r="L44" s="57"/>
      <c r="M44" s="304" t="s">
        <v>379</v>
      </c>
    </row>
    <row r="45" spans="2:19" s="43" customFormat="1" ht="15" customHeight="1" outlineLevel="1">
      <c r="B45" s="374" t="s">
        <v>1662</v>
      </c>
      <c r="C45" s="47" t="s">
        <v>1616</v>
      </c>
      <c r="D45" s="109">
        <v>926.32</v>
      </c>
      <c r="E45" s="115">
        <f>D45/$D$6</f>
        <v>124.17158176943701</v>
      </c>
      <c r="F45" s="80">
        <v>46136</v>
      </c>
      <c r="G45" s="43" t="s">
        <v>143</v>
      </c>
      <c r="H45" s="43">
        <f>IF(OR(G45="Sin pagar",G45="Pagar"),NETWORKDAYS($E$4,F45,'Festivos Guatemala'!$A$3:$A$29),0)</f>
        <v>16</v>
      </c>
      <c r="I45" s="43">
        <f>NETWORKDAYS($E$4,F45,'Festivos Guatemala'!$A$3:$A$15)</f>
        <v>18</v>
      </c>
      <c r="J45" s="75">
        <f>H45</f>
        <v>16</v>
      </c>
      <c r="K45" s="48"/>
      <c r="L45" s="57"/>
      <c r="M45" s="304" t="s">
        <v>379</v>
      </c>
    </row>
    <row r="46" spans="2:19" s="43" customFormat="1" ht="15" customHeight="1" outlineLevel="1" thickBot="1">
      <c r="B46" s="374">
        <v>1380272196</v>
      </c>
      <c r="C46" s="47" t="s">
        <v>1617</v>
      </c>
      <c r="D46" s="109">
        <v>1368.42</v>
      </c>
      <c r="E46" s="115">
        <f>D46/$D$6</f>
        <v>183.4343163538874</v>
      </c>
      <c r="F46" s="80">
        <v>46136</v>
      </c>
      <c r="G46" s="43" t="s">
        <v>143</v>
      </c>
      <c r="H46" s="43">
        <f>IF(OR(G46="Sin pagar",G46="Pagar"),NETWORKDAYS($E$4,F46,'Festivos Guatemala'!$A$3:$A$29),0)</f>
        <v>16</v>
      </c>
      <c r="I46" s="43">
        <f>NETWORKDAYS($E$4,F46,'Festivos Guatemala'!$A$3:$A$15)</f>
        <v>18</v>
      </c>
      <c r="J46" s="75">
        <f t="shared" si="0"/>
        <v>16</v>
      </c>
      <c r="K46" s="48"/>
      <c r="L46" s="57"/>
      <c r="M46" s="304" t="s">
        <v>379</v>
      </c>
    </row>
    <row r="47" spans="2:19" s="43" customFormat="1" ht="16.5" thickBot="1">
      <c r="C47" s="73" t="s">
        <v>146</v>
      </c>
      <c r="D47" s="103">
        <f>SUBTOTAL(9,D48:D51)</f>
        <v>3921.5722000000001</v>
      </c>
      <c r="E47" s="112">
        <f>SUBTOTAL(9,E48:E51)</f>
        <v>525.67991957104562</v>
      </c>
      <c r="K47" s="49"/>
      <c r="L47" s="49"/>
      <c r="O47" s="49"/>
      <c r="P47" s="49"/>
    </row>
    <row r="48" spans="2:19" s="43" customFormat="1" ht="15" customHeight="1" outlineLevel="1">
      <c r="B48" s="186" t="s">
        <v>746</v>
      </c>
      <c r="C48" s="210" t="s">
        <v>272</v>
      </c>
      <c r="D48" s="104">
        <f>E48*$D$6</f>
        <v>410.82220000000001</v>
      </c>
      <c r="E48" s="270">
        <v>55.07</v>
      </c>
      <c r="F48" s="80">
        <v>46136</v>
      </c>
      <c r="G48" s="43" t="s">
        <v>143</v>
      </c>
      <c r="H48" s="43">
        <f>IF(OR(G48="Sin pagar",G48="Pagar"),NETWORKDAYS($E$4,F48,'Festivos Guatemala'!$A$3:$A$29),0)</f>
        <v>16</v>
      </c>
      <c r="I48" s="43">
        <f>NETWORKDAYS($E$4,F48,'Festivos Guatemala'!$A$3:$A$15)</f>
        <v>18</v>
      </c>
      <c r="J48" s="75">
        <f t="shared" ref="J48:J51" si="2">H48</f>
        <v>16</v>
      </c>
      <c r="K48" s="49"/>
      <c r="L48" s="49"/>
      <c r="O48" s="49"/>
      <c r="P48" s="49"/>
    </row>
    <row r="49" spans="2:16" s="43" customFormat="1" ht="15" customHeight="1" outlineLevel="1">
      <c r="B49" s="251" t="s">
        <v>745</v>
      </c>
      <c r="C49" s="209" t="s">
        <v>1608</v>
      </c>
      <c r="D49" s="268">
        <v>776.97</v>
      </c>
      <c r="E49" s="113">
        <f>D49/$D$6</f>
        <v>104.15147453083111</v>
      </c>
      <c r="F49" s="80">
        <v>46136</v>
      </c>
      <c r="G49" s="43" t="s">
        <v>143</v>
      </c>
      <c r="H49" s="43">
        <f>IF(OR(G49="Sin pagar",G49="Pagar"),NETWORKDAYS($E$4,F49,'Festivos Guatemala'!$A$3:$A$29),0)</f>
        <v>16</v>
      </c>
      <c r="I49" s="43">
        <f>NETWORKDAYS($E$4,F49,'Festivos Guatemala'!$A$3:$A$15)</f>
        <v>18</v>
      </c>
      <c r="J49" s="75">
        <f>H49</f>
        <v>16</v>
      </c>
      <c r="K49" s="49"/>
      <c r="L49" s="49"/>
      <c r="O49" s="49"/>
      <c r="P49" s="49"/>
    </row>
    <row r="50" spans="2:16" s="43" customFormat="1" ht="15" customHeight="1" outlineLevel="1">
      <c r="B50" s="251" t="s">
        <v>745</v>
      </c>
      <c r="C50" s="209" t="s">
        <v>825</v>
      </c>
      <c r="D50" s="268">
        <v>926.68</v>
      </c>
      <c r="E50" s="113">
        <f>D50/$D$6</f>
        <v>124.21983914209115</v>
      </c>
      <c r="F50" s="80">
        <v>46136</v>
      </c>
      <c r="G50" s="43" t="s">
        <v>143</v>
      </c>
      <c r="H50" s="43">
        <f>IF(OR(G50="Sin pagar",G50="Pagar"),NETWORKDAYS($E$4,F50,'Festivos Guatemala'!$A$3:$A$29),0)</f>
        <v>16</v>
      </c>
      <c r="I50" s="43">
        <f>NETWORKDAYS($E$4,F50,'Festivos Guatemala'!$A$3:$A$15)</f>
        <v>18</v>
      </c>
      <c r="J50" s="75">
        <f>H50</f>
        <v>16</v>
      </c>
      <c r="K50" s="49"/>
      <c r="L50" s="49"/>
      <c r="O50" s="49"/>
      <c r="P50" s="49"/>
    </row>
    <row r="51" spans="2:16" s="43" customFormat="1" ht="15" customHeight="1" outlineLevel="1" thickBot="1">
      <c r="B51" s="251" t="s">
        <v>745</v>
      </c>
      <c r="C51" s="209" t="s">
        <v>822</v>
      </c>
      <c r="D51" s="268">
        <v>1807.1</v>
      </c>
      <c r="E51" s="113">
        <f>D51/$D$6</f>
        <v>242.23860589812332</v>
      </c>
      <c r="F51" s="80">
        <v>46136</v>
      </c>
      <c r="G51" s="43" t="s">
        <v>143</v>
      </c>
      <c r="H51" s="43">
        <f>IF(OR(G51="Sin pagar",G51="Pagar"),NETWORKDAYS($E$4,F51,'Festivos Guatemala'!$A$3:$A$29),0)</f>
        <v>16</v>
      </c>
      <c r="I51" s="43">
        <f>NETWORKDAYS($E$4,F51,'Festivos Guatemala'!$A$3:$A$15)</f>
        <v>18</v>
      </c>
      <c r="J51" s="75">
        <f t="shared" si="2"/>
        <v>16</v>
      </c>
      <c r="K51" s="49"/>
      <c r="L51" s="49"/>
      <c r="O51" s="49"/>
      <c r="P51" s="49"/>
    </row>
    <row r="52" spans="2:16" s="43" customFormat="1" ht="16.5" thickBot="1">
      <c r="B52" s="82"/>
      <c r="C52" s="85" t="s">
        <v>162</v>
      </c>
      <c r="D52" s="119">
        <f>SUBTOTAL(9,D53:D53)</f>
        <v>13104</v>
      </c>
      <c r="E52" s="114">
        <f>SUBTOTAL(9,E53:E53)</f>
        <v>1680</v>
      </c>
      <c r="K52" s="52"/>
      <c r="M52" s="183"/>
      <c r="N52" s="183"/>
    </row>
    <row r="53" spans="2:16" s="43" customFormat="1" ht="15" customHeight="1" outlineLevel="1" thickBot="1">
      <c r="B53" s="46">
        <v>6813</v>
      </c>
      <c r="C53" s="47" t="s">
        <v>1618</v>
      </c>
      <c r="D53" s="104">
        <f>E53*7.8</f>
        <v>13104</v>
      </c>
      <c r="E53" s="115">
        <v>1680</v>
      </c>
      <c r="F53" s="74">
        <v>46122</v>
      </c>
      <c r="G53" s="43" t="s">
        <v>143</v>
      </c>
      <c r="H53" s="43">
        <f>IF(OR(G53="Sin pagar",G53="Pagar"),NETWORKDAYS($E$4,F53,'Festivos Guatemala'!$A$3:$A$29),0)</f>
        <v>6</v>
      </c>
      <c r="I53" s="43">
        <f>NETWORKDAYS($E$4,F53,'Festivos Guatemala'!$A$3:$A$15)</f>
        <v>8</v>
      </c>
      <c r="J53" s="75">
        <f t="shared" ref="J53" si="3">H53</f>
        <v>6</v>
      </c>
      <c r="M53" s="104"/>
      <c r="N53" s="49"/>
    </row>
    <row r="54" spans="2:16" s="43" customFormat="1" ht="16.5" thickBot="1">
      <c r="B54" s="46"/>
      <c r="C54" s="73" t="s">
        <v>147</v>
      </c>
      <c r="D54" s="103">
        <f>SUBTOTAL(9,D55:D55)</f>
        <v>0</v>
      </c>
      <c r="E54" s="112">
        <f>SUBTOTAL(9,E55:E55)</f>
        <v>0</v>
      </c>
    </row>
    <row r="55" spans="2:16" s="43" customFormat="1" ht="15.75" outlineLevel="1" thickBot="1">
      <c r="B55" s="46"/>
      <c r="C55" s="47"/>
      <c r="D55" s="104"/>
      <c r="E55" s="113"/>
      <c r="F55" s="74">
        <v>46142</v>
      </c>
      <c r="G55" s="43" t="s">
        <v>135</v>
      </c>
      <c r="H55" s="43">
        <f>IF(OR(G55="Sin pagar",G55="Pagar"),NETWORKDAYS($E$4,F55,'Festivos Guatemala'!$A$3:$A$29),0)</f>
        <v>0</v>
      </c>
      <c r="I55" s="43">
        <f>NETWORKDAYS($E$4,F55,'Festivos Guatemala'!$A$3:$A$15)</f>
        <v>22</v>
      </c>
      <c r="J55" s="75">
        <f>H55</f>
        <v>0</v>
      </c>
    </row>
    <row r="56" spans="2:16" s="43" customFormat="1" ht="15.75" customHeight="1" thickBot="1">
      <c r="C56" s="73" t="s">
        <v>148</v>
      </c>
      <c r="D56" s="119">
        <f>SUBTOTAL(9,D57:D58)</f>
        <v>559.5</v>
      </c>
      <c r="E56" s="114">
        <f>SUBTOTAL(9,E57:E58)</f>
        <v>75</v>
      </c>
    </row>
    <row r="57" spans="2:16" s="43" customFormat="1" ht="15" customHeight="1" outlineLevel="1">
      <c r="B57" s="46"/>
      <c r="C57" s="47" t="s">
        <v>1257</v>
      </c>
      <c r="D57" s="109">
        <f>E57*$D$6</f>
        <v>298.39999999999998</v>
      </c>
      <c r="E57" s="115">
        <f>40</f>
        <v>40</v>
      </c>
      <c r="F57" s="74">
        <v>46122</v>
      </c>
      <c r="G57" s="43" t="s">
        <v>143</v>
      </c>
      <c r="H57" s="43">
        <f>IF(OR(G57="Sin pagar",G57="Pagar"),NETWORKDAYS($E$4,F57,'Festivos Guatemala'!$A$3:$A$29),0)</f>
        <v>6</v>
      </c>
      <c r="I57" s="43">
        <f>NETWORKDAYS($E$4,F57,'Festivos Guatemala'!$A$3:$A$15)</f>
        <v>8</v>
      </c>
      <c r="J57" s="75">
        <f>H57</f>
        <v>6</v>
      </c>
    </row>
    <row r="58" spans="2:16" s="43" customFormat="1" ht="15" customHeight="1" outlineLevel="1" thickBot="1">
      <c r="B58" s="46"/>
      <c r="C58" s="47" t="s">
        <v>117</v>
      </c>
      <c r="D58" s="109">
        <f>E58*D6</f>
        <v>261.10000000000002</v>
      </c>
      <c r="E58" s="115">
        <f>35</f>
        <v>35</v>
      </c>
      <c r="F58" s="74">
        <v>46142</v>
      </c>
      <c r="G58" s="43" t="s">
        <v>143</v>
      </c>
      <c r="H58" s="43">
        <f>IF(OR(G58="Sin pagar",G58="Pagar"),NETWORKDAYS($E$4,F58,'Festivos Guatemala'!$A$3:$A$29),0)</f>
        <v>20</v>
      </c>
      <c r="I58" s="43">
        <f>NETWORKDAYS($E$4,F58,'Festivos Guatemala'!$A$3:$A$15)</f>
        <v>22</v>
      </c>
      <c r="J58" s="75">
        <f t="shared" ref="J58" si="4">H58</f>
        <v>20</v>
      </c>
    </row>
    <row r="59" spans="2:16" s="43" customFormat="1" ht="16.5" thickBot="1">
      <c r="C59" s="73" t="s">
        <v>164</v>
      </c>
      <c r="D59" s="119">
        <f>SUBTOTAL(9,D60:D77)</f>
        <v>403799.93</v>
      </c>
      <c r="E59" s="114">
        <f>SUBTOTAL(9,E60:E77)</f>
        <v>54128.67694369972</v>
      </c>
      <c r="K59" s="52"/>
      <c r="L59" s="86"/>
      <c r="M59" s="109"/>
      <c r="N59" s="109"/>
      <c r="O59" s="113"/>
    </row>
    <row r="60" spans="2:16" s="43" customFormat="1" ht="15" customHeight="1" outlineLevel="1">
      <c r="B60" s="83" t="s">
        <v>1034</v>
      </c>
      <c r="C60" s="47" t="s">
        <v>843</v>
      </c>
      <c r="D60" s="271">
        <v>18679.5</v>
      </c>
      <c r="E60" s="113">
        <f t="shared" ref="E60:E77" si="5">D60/$D$6</f>
        <v>2503.9544235924932</v>
      </c>
      <c r="F60" s="74">
        <v>46140</v>
      </c>
      <c r="G60" s="43" t="s">
        <v>143</v>
      </c>
      <c r="H60" s="43">
        <f>IF(OR(G60="Sin pagar",G60="Pagar"),NETWORKDAYS($E$4,F60,'Festivos Guatemala'!$A$3:$A$29),0)</f>
        <v>18</v>
      </c>
      <c r="I60" s="43">
        <f>NETWORKDAYS($E$4,F60,'Festivos Guatemala'!$A$3:$A$15)</f>
        <v>20</v>
      </c>
      <c r="J60" s="75">
        <f t="shared" ref="J60:J77" si="6">H60</f>
        <v>18</v>
      </c>
      <c r="L60" s="52"/>
      <c r="M60" s="381"/>
    </row>
    <row r="61" spans="2:16" s="43" customFormat="1" ht="15" customHeight="1" outlineLevel="1">
      <c r="B61" s="83" t="s">
        <v>1034</v>
      </c>
      <c r="C61" s="47" t="s">
        <v>886</v>
      </c>
      <c r="D61" s="271">
        <v>51034.74</v>
      </c>
      <c r="E61" s="113">
        <f>D61/$D$6</f>
        <v>6841.1179624664874</v>
      </c>
      <c r="F61" s="74">
        <v>46140</v>
      </c>
      <c r="G61" s="43" t="s">
        <v>143</v>
      </c>
      <c r="H61" s="43">
        <f>IF(OR(G61="Sin pagar",G61="Pagar"),NETWORKDAYS($E$4,F61,'Festivos Guatemala'!$A$3:$A$29),0)</f>
        <v>18</v>
      </c>
      <c r="I61" s="43">
        <f>NETWORKDAYS($E$4,F61,'Festivos Guatemala'!$A$3:$A$15)</f>
        <v>20</v>
      </c>
      <c r="J61" s="75">
        <f>H61</f>
        <v>18</v>
      </c>
      <c r="L61" s="52"/>
    </row>
    <row r="62" spans="2:16" s="43" customFormat="1" ht="15" customHeight="1" outlineLevel="1">
      <c r="B62" s="83" t="s">
        <v>1034</v>
      </c>
      <c r="C62" s="47" t="s">
        <v>176</v>
      </c>
      <c r="D62" s="271">
        <v>28786.83</v>
      </c>
      <c r="E62" s="113">
        <f t="shared" si="5"/>
        <v>3858.8243967828421</v>
      </c>
      <c r="F62" s="74">
        <v>46140</v>
      </c>
      <c r="G62" s="43" t="s">
        <v>143</v>
      </c>
      <c r="H62" s="43">
        <f>IF(OR(G62="Sin pagar",G62="Pagar"),NETWORKDAYS($E$4,F62,'Festivos Guatemala'!$A$3:$A$29),0)</f>
        <v>18</v>
      </c>
      <c r="I62" s="43">
        <f>NETWORKDAYS($E$4,F62,'Festivos Guatemala'!$A$3:$A$15)</f>
        <v>20</v>
      </c>
      <c r="J62" s="75">
        <f t="shared" si="6"/>
        <v>18</v>
      </c>
      <c r="L62" s="52"/>
      <c r="M62" s="381"/>
    </row>
    <row r="63" spans="2:16" s="43" customFormat="1" ht="15" customHeight="1" outlineLevel="1">
      <c r="B63" s="267" t="s">
        <v>1035</v>
      </c>
      <c r="C63" s="47" t="s">
        <v>944</v>
      </c>
      <c r="D63" s="271">
        <v>13622.51</v>
      </c>
      <c r="E63" s="113">
        <f t="shared" si="5"/>
        <v>1826.0737265415551</v>
      </c>
      <c r="F63" s="74">
        <v>46140</v>
      </c>
      <c r="G63" s="43" t="s">
        <v>143</v>
      </c>
      <c r="H63" s="43">
        <f>IF(OR(G63="Sin pagar",G63="Pagar"),NETWORKDAYS($E$4,F63,'Festivos Guatemala'!$A$3:$A$29),0)</f>
        <v>18</v>
      </c>
      <c r="I63" s="43">
        <f>NETWORKDAYS($E$4,F63,'Festivos Guatemala'!$A$3:$A$15)</f>
        <v>20</v>
      </c>
      <c r="J63" s="75">
        <f t="shared" si="6"/>
        <v>18</v>
      </c>
      <c r="L63" s="52"/>
      <c r="M63" s="381"/>
    </row>
    <row r="64" spans="2:16" s="43" customFormat="1" ht="15" customHeight="1" outlineLevel="1">
      <c r="B64" s="267" t="s">
        <v>1035</v>
      </c>
      <c r="C64" s="47" t="s">
        <v>1300</v>
      </c>
      <c r="D64" s="271">
        <v>65446.400000000001</v>
      </c>
      <c r="E64" s="113">
        <f>D64/$D$6</f>
        <v>8772.9758713136725</v>
      </c>
      <c r="F64" s="74">
        <v>46140</v>
      </c>
      <c r="G64" s="43" t="s">
        <v>143</v>
      </c>
      <c r="H64" s="43">
        <f>IF(OR(G64="Sin pagar",G64="Pagar"),NETWORKDAYS($E$4,F64,'Festivos Guatemala'!$A$3:$A$29),0)</f>
        <v>18</v>
      </c>
      <c r="I64" s="43">
        <f>NETWORKDAYS($E$4,F64,'Festivos Guatemala'!$A$3:$A$15)</f>
        <v>20</v>
      </c>
      <c r="J64" s="75">
        <f>H64</f>
        <v>18</v>
      </c>
      <c r="L64" s="52"/>
      <c r="M64" s="381"/>
    </row>
    <row r="65" spans="2:13" s="43" customFormat="1" ht="15" customHeight="1" outlineLevel="1">
      <c r="B65" s="267" t="s">
        <v>1035</v>
      </c>
      <c r="C65" s="47" t="s">
        <v>829</v>
      </c>
      <c r="D65" s="271">
        <v>34601.33</v>
      </c>
      <c r="E65" s="113">
        <f t="shared" si="5"/>
        <v>4638.2479892761394</v>
      </c>
      <c r="F65" s="74">
        <v>46140</v>
      </c>
      <c r="G65" s="43" t="s">
        <v>143</v>
      </c>
      <c r="H65" s="43">
        <f>IF(OR(G65="Sin pagar",G65="Pagar"),NETWORKDAYS($E$4,F65,'Festivos Guatemala'!$A$3:$A$29),0)</f>
        <v>18</v>
      </c>
      <c r="I65" s="43">
        <f>NETWORKDAYS($E$4,F65,'Festivos Guatemala'!$A$3:$A$15)</f>
        <v>20</v>
      </c>
      <c r="J65" s="75">
        <f t="shared" si="6"/>
        <v>18</v>
      </c>
      <c r="L65" s="52"/>
      <c r="M65" s="381"/>
    </row>
    <row r="66" spans="2:13" s="43" customFormat="1" ht="15" customHeight="1" outlineLevel="1">
      <c r="B66" s="267" t="s">
        <v>1036</v>
      </c>
      <c r="C66" s="47" t="s">
        <v>946</v>
      </c>
      <c r="D66" s="271">
        <v>9924.43</v>
      </c>
      <c r="E66" s="113">
        <f t="shared" si="5"/>
        <v>1330.3525469168901</v>
      </c>
      <c r="F66" s="74">
        <v>46140</v>
      </c>
      <c r="G66" s="43" t="s">
        <v>143</v>
      </c>
      <c r="H66" s="43">
        <f>IF(OR(G66="Sin pagar",G66="Pagar"),NETWORKDAYS($E$4,F66,'Festivos Guatemala'!$A$3:$A$29),0)</f>
        <v>18</v>
      </c>
      <c r="I66" s="43">
        <f>NETWORKDAYS($E$4,F66,'Festivos Guatemala'!$A$3:$A$15)</f>
        <v>20</v>
      </c>
      <c r="J66" s="75">
        <f t="shared" si="6"/>
        <v>18</v>
      </c>
      <c r="L66" s="52"/>
      <c r="M66" s="381"/>
    </row>
    <row r="67" spans="2:13" s="43" customFormat="1" ht="15" customHeight="1" outlineLevel="1">
      <c r="B67" s="301" t="s">
        <v>1037</v>
      </c>
      <c r="C67" s="47" t="s">
        <v>947</v>
      </c>
      <c r="D67" s="271">
        <v>9658.43</v>
      </c>
      <c r="E67" s="113">
        <f t="shared" si="5"/>
        <v>1294.6957104557641</v>
      </c>
      <c r="F67" s="74">
        <v>46140</v>
      </c>
      <c r="G67" s="43" t="s">
        <v>143</v>
      </c>
      <c r="H67" s="43">
        <f>IF(OR(G67="Sin pagar",G67="Pagar"),NETWORKDAYS($E$4,F67,'Festivos Guatemala'!$A$3:$A$29),0)</f>
        <v>18</v>
      </c>
      <c r="I67" s="43">
        <f>NETWORKDAYS($E$4,F67,'Festivos Guatemala'!$A$3:$A$15)</f>
        <v>20</v>
      </c>
      <c r="J67" s="75">
        <f t="shared" si="6"/>
        <v>18</v>
      </c>
      <c r="L67" s="52"/>
      <c r="M67" s="381"/>
    </row>
    <row r="68" spans="2:13" s="43" customFormat="1" ht="15" customHeight="1" outlineLevel="1">
      <c r="B68" s="303" t="s">
        <v>892</v>
      </c>
      <c r="C68" s="47" t="s">
        <v>417</v>
      </c>
      <c r="D68" s="268">
        <v>10731</v>
      </c>
      <c r="E68" s="113">
        <f t="shared" si="5"/>
        <v>1438.4718498659518</v>
      </c>
      <c r="F68" s="74">
        <v>46140</v>
      </c>
      <c r="G68" s="43" t="s">
        <v>143</v>
      </c>
      <c r="H68" s="43">
        <f>IF(OR(G68="Sin pagar",G68="Pagar"),NETWORKDAYS($E$4,F68,'Festivos Guatemala'!$A$3:$A$29),0)</f>
        <v>18</v>
      </c>
      <c r="I68" s="43">
        <f>NETWORKDAYS($E$4,F68,'Festivos Guatemala'!$A$3:$A$15)</f>
        <v>20</v>
      </c>
      <c r="J68" s="75">
        <f t="shared" si="6"/>
        <v>18</v>
      </c>
      <c r="L68" s="52"/>
      <c r="M68" s="380"/>
    </row>
    <row r="69" spans="2:13" s="43" customFormat="1" ht="15" customHeight="1" outlineLevel="1">
      <c r="B69" s="303" t="s">
        <v>892</v>
      </c>
      <c r="C69" s="47" t="s">
        <v>409</v>
      </c>
      <c r="D69" s="268">
        <v>14425</v>
      </c>
      <c r="E69" s="113">
        <f t="shared" si="5"/>
        <v>1933.6461126005363</v>
      </c>
      <c r="F69" s="74">
        <v>46140</v>
      </c>
      <c r="G69" s="43" t="s">
        <v>143</v>
      </c>
      <c r="H69" s="43">
        <f>IF(OR(G69="Sin pagar",G69="Pagar"),NETWORKDAYS($E$4,F69,'Festivos Guatemala'!$A$3:$A$29),0)</f>
        <v>18</v>
      </c>
      <c r="I69" s="43">
        <f>NETWORKDAYS($E$4,F69,'Festivos Guatemala'!$A$3:$A$15)</f>
        <v>20</v>
      </c>
      <c r="J69" s="75">
        <f t="shared" si="6"/>
        <v>18</v>
      </c>
      <c r="L69" s="52"/>
      <c r="M69" s="380"/>
    </row>
    <row r="70" spans="2:13" s="43" customFormat="1" ht="15" customHeight="1" outlineLevel="1">
      <c r="B70" s="303" t="s">
        <v>892</v>
      </c>
      <c r="C70" s="47" t="s">
        <v>1490</v>
      </c>
      <c r="D70" s="268">
        <v>24027.01</v>
      </c>
      <c r="E70" s="113">
        <f t="shared" si="5"/>
        <v>3220.7788203753348</v>
      </c>
      <c r="F70" s="74">
        <v>46140</v>
      </c>
      <c r="G70" s="43" t="s">
        <v>143</v>
      </c>
      <c r="H70" s="43">
        <f>IF(OR(G70="Sin pagar",G70="Pagar"),NETWORKDAYS($E$4,F70,'Festivos Guatemala'!$A$3:$A$29),0)</f>
        <v>18</v>
      </c>
      <c r="I70" s="43">
        <f>NETWORKDAYS($E$4,F70,'Festivos Guatemala'!$A$3:$A$15)</f>
        <v>20</v>
      </c>
      <c r="J70" s="75">
        <f t="shared" si="6"/>
        <v>18</v>
      </c>
      <c r="L70" s="52"/>
      <c r="M70" s="380"/>
    </row>
    <row r="71" spans="2:13" s="43" customFormat="1" ht="15" customHeight="1" outlineLevel="1">
      <c r="B71" s="303" t="s">
        <v>892</v>
      </c>
      <c r="C71" s="47" t="s">
        <v>412</v>
      </c>
      <c r="D71" s="268">
        <v>8678</v>
      </c>
      <c r="E71" s="113">
        <f t="shared" si="5"/>
        <v>1163.2707774798928</v>
      </c>
      <c r="F71" s="74">
        <v>46140</v>
      </c>
      <c r="G71" s="43" t="s">
        <v>143</v>
      </c>
      <c r="H71" s="43">
        <f>IF(OR(G71="Sin pagar",G71="Pagar"),NETWORKDAYS($E$4,F71,'Festivos Guatemala'!$A$3:$A$29),0)</f>
        <v>18</v>
      </c>
      <c r="I71" s="43">
        <f>NETWORKDAYS($E$4,F71,'Festivos Guatemala'!$A$3:$A$15)</f>
        <v>20</v>
      </c>
      <c r="J71" s="75">
        <f t="shared" si="6"/>
        <v>18</v>
      </c>
      <c r="L71" s="52"/>
      <c r="M71" s="380"/>
    </row>
    <row r="72" spans="2:13" s="43" customFormat="1" ht="15" customHeight="1" outlineLevel="1">
      <c r="B72" s="303" t="s">
        <v>892</v>
      </c>
      <c r="C72" s="47" t="s">
        <v>413</v>
      </c>
      <c r="D72" s="268">
        <v>3943</v>
      </c>
      <c r="E72" s="113">
        <f t="shared" si="5"/>
        <v>528.55227882037536</v>
      </c>
      <c r="F72" s="74">
        <v>46140</v>
      </c>
      <c r="G72" s="43" t="s">
        <v>143</v>
      </c>
      <c r="H72" s="43">
        <f>IF(OR(G72="Sin pagar",G72="Pagar"),NETWORKDAYS($E$4,F72,'Festivos Guatemala'!$A$3:$A$29),0)</f>
        <v>18</v>
      </c>
      <c r="I72" s="43">
        <f>NETWORKDAYS($E$4,F72,'Festivos Guatemala'!$A$3:$A$15)</f>
        <v>20</v>
      </c>
      <c r="J72" s="75">
        <f t="shared" si="6"/>
        <v>18</v>
      </c>
      <c r="L72" s="52"/>
      <c r="M72" s="380"/>
    </row>
    <row r="73" spans="2:13" s="43" customFormat="1" ht="15" customHeight="1" outlineLevel="1">
      <c r="B73" s="303" t="s">
        <v>892</v>
      </c>
      <c r="C73" s="47" t="s">
        <v>415</v>
      </c>
      <c r="D73" s="268">
        <v>35307</v>
      </c>
      <c r="E73" s="113">
        <f t="shared" si="5"/>
        <v>4732.8418230563002</v>
      </c>
      <c r="F73" s="74">
        <v>46140</v>
      </c>
      <c r="G73" s="43" t="s">
        <v>143</v>
      </c>
      <c r="H73" s="43">
        <f>IF(OR(G73="Sin pagar",G73="Pagar"),NETWORKDAYS($E$4,F73,'Festivos Guatemala'!$A$3:$A$29),0)</f>
        <v>18</v>
      </c>
      <c r="I73" s="43">
        <f>NETWORKDAYS($E$4,F73,'Festivos Guatemala'!$A$3:$A$15)</f>
        <v>20</v>
      </c>
      <c r="J73" s="75">
        <f t="shared" si="6"/>
        <v>18</v>
      </c>
      <c r="L73" s="52"/>
      <c r="M73" s="380"/>
    </row>
    <row r="74" spans="2:13" s="43" customFormat="1" ht="15" customHeight="1" outlineLevel="1">
      <c r="B74" s="303" t="s">
        <v>892</v>
      </c>
      <c r="C74" s="47" t="s">
        <v>410</v>
      </c>
      <c r="D74" s="268">
        <v>3943</v>
      </c>
      <c r="E74" s="113">
        <f t="shared" si="5"/>
        <v>528.55227882037536</v>
      </c>
      <c r="F74" s="74">
        <v>46140</v>
      </c>
      <c r="G74" s="43" t="s">
        <v>143</v>
      </c>
      <c r="H74" s="43">
        <f>IF(OR(G74="Sin pagar",G74="Pagar"),NETWORKDAYS($E$4,F74,'Festivos Guatemala'!$A$3:$A$29),0)</f>
        <v>18</v>
      </c>
      <c r="I74" s="43">
        <f>NETWORKDAYS($E$4,F74,'Festivos Guatemala'!$A$3:$A$15)</f>
        <v>20</v>
      </c>
      <c r="J74" s="75">
        <f t="shared" si="6"/>
        <v>18</v>
      </c>
      <c r="L74" s="52"/>
      <c r="M74" s="380"/>
    </row>
    <row r="75" spans="2:13" s="43" customFormat="1" ht="15" customHeight="1" outlineLevel="1">
      <c r="B75" s="303" t="s">
        <v>892</v>
      </c>
      <c r="C75" s="47" t="s">
        <v>1491</v>
      </c>
      <c r="D75" s="268">
        <v>28450.01</v>
      </c>
      <c r="E75" s="113">
        <f t="shared" si="5"/>
        <v>3813.6742627345843</v>
      </c>
      <c r="F75" s="74">
        <v>46140</v>
      </c>
      <c r="G75" s="43" t="s">
        <v>143</v>
      </c>
      <c r="H75" s="43">
        <f>IF(OR(G75="Sin pagar",G75="Pagar"),NETWORKDAYS($E$4,F75,'Festivos Guatemala'!$A$3:$A$29),0)</f>
        <v>18</v>
      </c>
      <c r="I75" s="43">
        <f>NETWORKDAYS($E$4,F75,'Festivos Guatemala'!$A$3:$A$15)</f>
        <v>20</v>
      </c>
      <c r="J75" s="75">
        <f t="shared" si="6"/>
        <v>18</v>
      </c>
      <c r="L75" s="52"/>
      <c r="M75" s="380"/>
    </row>
    <row r="76" spans="2:13" s="43" customFormat="1" ht="15" customHeight="1" outlineLevel="1">
      <c r="B76" s="303" t="s">
        <v>892</v>
      </c>
      <c r="C76" s="47" t="s">
        <v>418</v>
      </c>
      <c r="D76" s="268">
        <v>33745</v>
      </c>
      <c r="E76" s="113">
        <f t="shared" si="5"/>
        <v>4523.4584450402144</v>
      </c>
      <c r="F76" s="74">
        <v>46140</v>
      </c>
      <c r="G76" s="43" t="s">
        <v>143</v>
      </c>
      <c r="H76" s="43">
        <f>IF(OR(G76="Sin pagar",G76="Pagar"),NETWORKDAYS($E$4,F76,'Festivos Guatemala'!$A$3:$A$29),0)</f>
        <v>18</v>
      </c>
      <c r="I76" s="43">
        <f>NETWORKDAYS($E$4,F76,'Festivos Guatemala'!$A$3:$A$15)</f>
        <v>20</v>
      </c>
      <c r="J76" s="75">
        <f t="shared" si="6"/>
        <v>18</v>
      </c>
      <c r="L76" s="52"/>
      <c r="M76" s="380"/>
    </row>
    <row r="77" spans="2:13" s="43" customFormat="1" ht="15" customHeight="1" outlineLevel="1" thickBot="1">
      <c r="B77" s="303" t="s">
        <v>892</v>
      </c>
      <c r="C77" s="47" t="s">
        <v>1691</v>
      </c>
      <c r="D77" s="268">
        <v>8796.74</v>
      </c>
      <c r="E77" s="113">
        <f t="shared" si="5"/>
        <v>1179.1876675603216</v>
      </c>
      <c r="F77" s="74">
        <v>46140</v>
      </c>
      <c r="G77" s="43" t="s">
        <v>143</v>
      </c>
      <c r="H77" s="43">
        <f>IF(OR(G77="Sin pagar",G77="Pagar"),NETWORKDAYS($E$4,F77,'Festivos Guatemala'!$A$3:$A$29),0)</f>
        <v>18</v>
      </c>
      <c r="I77" s="43">
        <f>NETWORKDAYS($E$4,F77,'Festivos Guatemala'!$A$3:$A$15)</f>
        <v>20</v>
      </c>
      <c r="J77" s="75">
        <f t="shared" si="6"/>
        <v>18</v>
      </c>
      <c r="L77" s="52"/>
      <c r="M77" s="380"/>
    </row>
    <row r="78" spans="2:13" s="43" customFormat="1" ht="16.5" thickBot="1">
      <c r="B78" s="46"/>
      <c r="C78" s="73" t="s">
        <v>173</v>
      </c>
      <c r="D78" s="103">
        <f>SUBTOTAL(9,D79:D80)</f>
        <v>239647.4</v>
      </c>
      <c r="E78" s="112">
        <f>SUBTOTAL(9,E79:E80)</f>
        <v>32124.3163538874</v>
      </c>
    </row>
    <row r="79" spans="2:13" s="43" customFormat="1" ht="15" customHeight="1" outlineLevel="1">
      <c r="B79" s="46"/>
      <c r="C79" s="47" t="s">
        <v>1594</v>
      </c>
      <c r="D79" s="104">
        <v>8387.4</v>
      </c>
      <c r="E79" s="113">
        <f>D79/$D$6</f>
        <v>1124.3163538873994</v>
      </c>
      <c r="F79" s="74">
        <v>46142</v>
      </c>
      <c r="G79" s="43" t="s">
        <v>143</v>
      </c>
      <c r="H79" s="43">
        <f>IF(OR(G79="Sin pagar",G79="Pagar"),NETWORKDAYS($E$4,F79,'Festivos Guatemala'!$A$3:$A$29),0)</f>
        <v>20</v>
      </c>
      <c r="I79" s="43">
        <f>NETWORKDAYS($E$4,F79,'Festivos Guatemala'!$A$3:$A$15)</f>
        <v>22</v>
      </c>
      <c r="J79" s="75">
        <f t="shared" ref="J79" si="7">H79</f>
        <v>20</v>
      </c>
      <c r="K79" s="52"/>
      <c r="L79" s="54"/>
    </row>
    <row r="80" spans="2:13" s="43" customFormat="1" ht="15" customHeight="1" outlineLevel="1" thickBot="1">
      <c r="B80" s="46"/>
      <c r="C80" s="47" t="s">
        <v>1594</v>
      </c>
      <c r="D80" s="104">
        <f>E80*$D$6</f>
        <v>231260</v>
      </c>
      <c r="E80" s="113">
        <v>31000</v>
      </c>
      <c r="F80" s="74">
        <v>46129</v>
      </c>
      <c r="G80" s="43" t="s">
        <v>143</v>
      </c>
      <c r="H80" s="43">
        <f>IF(OR(G80="Sin pagar",G80="Pagar"),NETWORKDAYS($E$4,F80,'Festivos Guatemala'!$A$3:$A$29),0)</f>
        <v>11</v>
      </c>
      <c r="I80" s="43">
        <f>NETWORKDAYS($E$4,F80,'Festivos Guatemala'!$A$3:$A$15)</f>
        <v>13</v>
      </c>
      <c r="J80" s="75">
        <f t="shared" ref="J80" si="8">H80</f>
        <v>11</v>
      </c>
      <c r="K80" s="52"/>
      <c r="L80" s="54"/>
    </row>
    <row r="81" spans="2:15" s="43" customFormat="1" ht="16.5" thickBot="1">
      <c r="B81" s="87"/>
      <c r="C81" s="73" t="s">
        <v>149</v>
      </c>
      <c r="D81" s="103">
        <f>SUBTOTAL(9,D82:D82)</f>
        <v>11190</v>
      </c>
      <c r="E81" s="112">
        <f>SUBTOTAL(9,E82:E82)</f>
        <v>1500</v>
      </c>
      <c r="L81" s="52"/>
    </row>
    <row r="82" spans="2:15" s="43" customFormat="1" ht="15" customHeight="1" outlineLevel="1" thickBot="1">
      <c r="B82" s="311" t="s">
        <v>145</v>
      </c>
      <c r="C82" s="47" t="s">
        <v>1735</v>
      </c>
      <c r="D82" s="109">
        <f>E82*$D$6</f>
        <v>11190</v>
      </c>
      <c r="E82" s="115">
        <v>1500</v>
      </c>
      <c r="F82" s="74">
        <v>46140</v>
      </c>
      <c r="G82" s="43" t="s">
        <v>143</v>
      </c>
      <c r="H82" s="43">
        <f>IF(OR(G82="Sin pagar",G82="Pagar"),NETWORKDAYS($E$4,F82,'Festivos Guatemala'!$A$3:$A$29),0)</f>
        <v>18</v>
      </c>
      <c r="I82" s="43">
        <f>NETWORKDAYS($E$4,F82,'Festivos Guatemala'!$A$3:$A$15)</f>
        <v>20</v>
      </c>
      <c r="J82" s="75">
        <f>H82</f>
        <v>18</v>
      </c>
      <c r="K82" s="52"/>
      <c r="L82" s="54"/>
      <c r="M82" s="297" t="s">
        <v>1619</v>
      </c>
    </row>
    <row r="83" spans="2:15" s="43" customFormat="1" ht="16.5" thickBot="1">
      <c r="B83" s="87"/>
      <c r="C83" s="73" t="s">
        <v>1144</v>
      </c>
      <c r="D83" s="103">
        <f>SUBTOTAL(9,D84:D84)</f>
        <v>0</v>
      </c>
      <c r="E83" s="112">
        <f>SUBTOTAL(9,E84:E84)</f>
        <v>0</v>
      </c>
      <c r="L83" s="52"/>
    </row>
    <row r="84" spans="2:15" s="43" customFormat="1" ht="15" customHeight="1" outlineLevel="1" thickBot="1">
      <c r="B84" s="83"/>
      <c r="C84" s="47"/>
      <c r="D84" s="109">
        <v>0</v>
      </c>
      <c r="E84" s="113">
        <f t="shared" ref="E84" si="9">D84/$D$6</f>
        <v>0</v>
      </c>
      <c r="F84" s="74">
        <v>46142</v>
      </c>
      <c r="G84" s="43" t="s">
        <v>135</v>
      </c>
      <c r="H84" s="43">
        <f>IF(OR(G84="Sin pagar",G84="Pagar"),NETWORKDAYS($E$4,F84,'Festivos Guatemala'!$A$3:$A$29),0)</f>
        <v>0</v>
      </c>
      <c r="I84" s="43">
        <f>NETWORKDAYS($E$4,F84,'Festivos Guatemala'!$A$3:$A$15)</f>
        <v>22</v>
      </c>
      <c r="J84" s="75">
        <f t="shared" ref="J84" si="10">H84</f>
        <v>0</v>
      </c>
      <c r="L84" s="52"/>
      <c r="M84" s="381"/>
    </row>
    <row r="85" spans="2:15" s="43" customFormat="1" ht="16.5" thickBot="1">
      <c r="B85" s="46"/>
      <c r="C85" s="73" t="s">
        <v>1682</v>
      </c>
      <c r="D85" s="103">
        <f>SUBTOTAL(9,D86:D86)</f>
        <v>0</v>
      </c>
      <c r="E85" s="112">
        <f>SUBTOTAL(9,E86:E86)</f>
        <v>0</v>
      </c>
    </row>
    <row r="86" spans="2:15" s="43" customFormat="1" ht="15" customHeight="1" outlineLevel="1" thickBot="1">
      <c r="B86" s="46"/>
      <c r="C86" s="47"/>
      <c r="D86" s="109">
        <v>0</v>
      </c>
      <c r="E86" s="115">
        <f>D86/$D$6</f>
        <v>0</v>
      </c>
      <c r="F86" s="74">
        <v>46142</v>
      </c>
      <c r="G86" s="43" t="s">
        <v>135</v>
      </c>
      <c r="H86" s="43">
        <f>IF(OR(G86="Sin pagar",G86="Pagar"),NETWORKDAYS($E$4,F86,'Festivos Guatemala'!$A$3:$A$29),0)</f>
        <v>0</v>
      </c>
      <c r="I86" s="43">
        <f>NETWORKDAYS($E$4,F86,'Festivos Guatemala'!$A$3:$A$15)</f>
        <v>22</v>
      </c>
      <c r="J86" s="75">
        <f>H86</f>
        <v>0</v>
      </c>
      <c r="K86" s="52"/>
      <c r="L86" s="54"/>
    </row>
    <row r="87" spans="2:15" s="43" customFormat="1" ht="16.5" thickBot="1">
      <c r="C87" s="332" t="s">
        <v>1107</v>
      </c>
      <c r="D87" s="333">
        <f>SUBTOTAL(9,D88:D98)</f>
        <v>481349.38000000006</v>
      </c>
      <c r="E87" s="334">
        <f>SUBTOTAL(9,E88:E98)</f>
        <v>64524.045576407516</v>
      </c>
      <c r="K87" s="52"/>
      <c r="L87" s="86"/>
      <c r="M87" s="109"/>
      <c r="N87" s="109"/>
      <c r="O87" s="113"/>
    </row>
    <row r="88" spans="2:15" s="43" customFormat="1" ht="15" customHeight="1" outlineLevel="1">
      <c r="B88" s="303" t="s">
        <v>892</v>
      </c>
      <c r="C88" s="47" t="s">
        <v>1108</v>
      </c>
      <c r="D88" s="109">
        <v>10512.86</v>
      </c>
      <c r="E88" s="115">
        <f t="shared" ref="E88:E98" si="11">D88/$D$6</f>
        <v>1409.230563002681</v>
      </c>
      <c r="F88" s="74">
        <v>46140</v>
      </c>
      <c r="G88" s="43" t="s">
        <v>143</v>
      </c>
      <c r="H88" s="43">
        <f>IF(OR(G88="Sin pagar",G88="Pagar"),NETWORKDAYS($E$4,F88,'Festivos Guatemala'!$A$3:$A$29),0)</f>
        <v>18</v>
      </c>
      <c r="I88" s="43">
        <f>NETWORKDAYS($E$4,F88,'Festivos Guatemala'!$A$3:$A$15)</f>
        <v>20</v>
      </c>
      <c r="J88" s="75">
        <f t="shared" ref="J88" si="12">H88</f>
        <v>18</v>
      </c>
      <c r="L88" s="52"/>
    </row>
    <row r="89" spans="2:15" s="43" customFormat="1" ht="15" customHeight="1" outlineLevel="1">
      <c r="B89" s="303" t="s">
        <v>892</v>
      </c>
      <c r="C89" s="47" t="s">
        <v>1109</v>
      </c>
      <c r="D89" s="109">
        <v>248570.73</v>
      </c>
      <c r="E89" s="115">
        <f t="shared" si="11"/>
        <v>33320.47319034853</v>
      </c>
      <c r="F89" s="74">
        <v>46140</v>
      </c>
      <c r="G89" s="43" t="s">
        <v>143</v>
      </c>
      <c r="H89" s="43">
        <f>IF(OR(G89="Sin pagar",G89="Pagar"),NETWORKDAYS($E$4,F89,'Festivos Guatemala'!$A$3:$A$29),0)</f>
        <v>18</v>
      </c>
      <c r="I89" s="43">
        <f>NETWORKDAYS($E$4,F89,'Festivos Guatemala'!$A$3:$A$15)</f>
        <v>20</v>
      </c>
      <c r="J89" s="75">
        <f>H89</f>
        <v>18</v>
      </c>
      <c r="L89" s="52"/>
    </row>
    <row r="90" spans="2:15" s="43" customFormat="1" ht="15" customHeight="1" outlineLevel="1">
      <c r="B90" s="303" t="s">
        <v>892</v>
      </c>
      <c r="C90" s="47" t="s">
        <v>1110</v>
      </c>
      <c r="D90" s="109">
        <v>26694.15</v>
      </c>
      <c r="E90" s="115">
        <f t="shared" si="11"/>
        <v>3578.3042895442363</v>
      </c>
      <c r="F90" s="74">
        <v>46140</v>
      </c>
      <c r="G90" s="43" t="s">
        <v>143</v>
      </c>
      <c r="H90" s="43">
        <f>IF(OR(G90="Sin pagar",G90="Pagar"),NETWORKDAYS($E$4,F90,'Festivos Guatemala'!$A$3:$A$29),0)</f>
        <v>18</v>
      </c>
      <c r="I90" s="43">
        <f>NETWORKDAYS($E$4,F90,'Festivos Guatemala'!$A$3:$A$15)</f>
        <v>20</v>
      </c>
      <c r="J90" s="75">
        <f>H90</f>
        <v>18</v>
      </c>
      <c r="L90" s="52"/>
    </row>
    <row r="91" spans="2:15" s="43" customFormat="1" ht="15" customHeight="1" outlineLevel="1">
      <c r="B91" s="303" t="s">
        <v>892</v>
      </c>
      <c r="C91" s="47" t="s">
        <v>1111</v>
      </c>
      <c r="D91" s="109">
        <v>15253.9</v>
      </c>
      <c r="E91" s="115">
        <f t="shared" si="11"/>
        <v>2044.7587131367293</v>
      </c>
      <c r="F91" s="74">
        <v>46140</v>
      </c>
      <c r="G91" s="43" t="s">
        <v>143</v>
      </c>
      <c r="H91" s="43">
        <f>IF(OR(G91="Sin pagar",G91="Pagar"),NETWORKDAYS($E$4,F91,'Festivos Guatemala'!$A$3:$A$29),0)</f>
        <v>18</v>
      </c>
      <c r="I91" s="43">
        <f>NETWORKDAYS($E$4,F91,'Festivos Guatemala'!$A$3:$A$15)</f>
        <v>20</v>
      </c>
      <c r="J91" s="75">
        <f t="shared" ref="J91:J98" si="13">H91</f>
        <v>18</v>
      </c>
      <c r="L91" s="52"/>
    </row>
    <row r="92" spans="2:15" s="43" customFormat="1" ht="15" customHeight="1" outlineLevel="1">
      <c r="B92" s="303" t="s">
        <v>892</v>
      </c>
      <c r="C92" s="47" t="s">
        <v>1193</v>
      </c>
      <c r="D92" s="109">
        <v>36458.85</v>
      </c>
      <c r="E92" s="115">
        <f t="shared" si="11"/>
        <v>4887.2453083109922</v>
      </c>
      <c r="F92" s="74">
        <v>46140</v>
      </c>
      <c r="G92" s="43" t="s">
        <v>143</v>
      </c>
      <c r="H92" s="43">
        <f>IF(OR(G92="Sin pagar",G92="Pagar"),NETWORKDAYS($E$4,F92,'Festivos Guatemala'!$A$3:$A$29),0)</f>
        <v>18</v>
      </c>
      <c r="I92" s="43">
        <f>NETWORKDAYS($E$4,F92,'Festivos Guatemala'!$A$3:$A$15)</f>
        <v>20</v>
      </c>
      <c r="J92" s="75">
        <f t="shared" si="13"/>
        <v>18</v>
      </c>
      <c r="L92" s="52"/>
    </row>
    <row r="93" spans="2:15" s="43" customFormat="1" ht="15" customHeight="1" outlineLevel="1">
      <c r="B93" s="303" t="s">
        <v>892</v>
      </c>
      <c r="C93" s="47" t="s">
        <v>1112</v>
      </c>
      <c r="D93" s="109">
        <v>16081.52</v>
      </c>
      <c r="E93" s="115">
        <f t="shared" si="11"/>
        <v>2155.6997319034854</v>
      </c>
      <c r="F93" s="74">
        <v>46140</v>
      </c>
      <c r="G93" s="43" t="s">
        <v>143</v>
      </c>
      <c r="H93" s="43">
        <f>IF(OR(G93="Sin pagar",G93="Pagar"),NETWORKDAYS($E$4,F93,'Festivos Guatemala'!$A$3:$A$29),0)</f>
        <v>18</v>
      </c>
      <c r="I93" s="43">
        <f>NETWORKDAYS($E$4,F93,'Festivos Guatemala'!$A$3:$A$15)</f>
        <v>20</v>
      </c>
      <c r="J93" s="75">
        <f t="shared" si="13"/>
        <v>18</v>
      </c>
      <c r="L93" s="52"/>
    </row>
    <row r="94" spans="2:15" s="43" customFormat="1" ht="15" customHeight="1" outlineLevel="1">
      <c r="B94" s="303" t="s">
        <v>892</v>
      </c>
      <c r="C94" s="47" t="s">
        <v>1301</v>
      </c>
      <c r="D94" s="109">
        <v>46799.56</v>
      </c>
      <c r="E94" s="115">
        <f t="shared" si="11"/>
        <v>6273.3994638069698</v>
      </c>
      <c r="F94" s="74">
        <v>46140</v>
      </c>
      <c r="G94" s="43" t="s">
        <v>143</v>
      </c>
      <c r="H94" s="43">
        <f>IF(OR(G94="Sin pagar",G94="Pagar"),NETWORKDAYS($E$4,F94,'Festivos Guatemala'!$A$3:$A$29),0)</f>
        <v>18</v>
      </c>
      <c r="I94" s="43">
        <f>NETWORKDAYS($E$4,F94,'Festivos Guatemala'!$A$3:$A$15)</f>
        <v>20</v>
      </c>
      <c r="J94" s="75">
        <f t="shared" si="13"/>
        <v>18</v>
      </c>
      <c r="L94" s="52"/>
    </row>
    <row r="95" spans="2:15" s="43" customFormat="1" ht="15" customHeight="1" outlineLevel="1">
      <c r="B95" s="267" t="s">
        <v>1494</v>
      </c>
      <c r="C95" s="47" t="s">
        <v>1693</v>
      </c>
      <c r="D95" s="109">
        <v>9518.65</v>
      </c>
      <c r="E95" s="115">
        <f t="shared" si="11"/>
        <v>1275.9584450402144</v>
      </c>
      <c r="F95" s="74">
        <v>46140</v>
      </c>
      <c r="G95" s="43" t="s">
        <v>143</v>
      </c>
      <c r="H95" s="43">
        <f>IF(OR(G95="Sin pagar",G95="Pagar"),NETWORKDAYS($E$4,F95,'Festivos Guatemala'!$A$3:$A$29),0)</f>
        <v>18</v>
      </c>
      <c r="I95" s="43">
        <f>NETWORKDAYS($E$4,F95,'Festivos Guatemala'!$A$3:$A$15)</f>
        <v>20</v>
      </c>
      <c r="J95" s="75">
        <f t="shared" si="13"/>
        <v>18</v>
      </c>
      <c r="L95" s="52"/>
    </row>
    <row r="96" spans="2:15" s="43" customFormat="1" ht="15" customHeight="1" outlineLevel="1">
      <c r="B96" s="267" t="s">
        <v>1036</v>
      </c>
      <c r="C96" s="47" t="s">
        <v>1194</v>
      </c>
      <c r="D96" s="109">
        <v>25039.55</v>
      </c>
      <c r="E96" s="115">
        <f t="shared" si="11"/>
        <v>3356.5080428954425</v>
      </c>
      <c r="F96" s="74">
        <v>46140</v>
      </c>
      <c r="G96" s="43" t="s">
        <v>143</v>
      </c>
      <c r="H96" s="43">
        <f>IF(OR(G96="Sin pagar",G96="Pagar"),NETWORKDAYS($E$4,F96,'Festivos Guatemala'!$A$3:$A$29),0)</f>
        <v>18</v>
      </c>
      <c r="I96" s="43">
        <f>NETWORKDAYS($E$4,F96,'Festivos Guatemala'!$A$3:$A$15)</f>
        <v>20</v>
      </c>
      <c r="J96" s="75">
        <f t="shared" si="13"/>
        <v>18</v>
      </c>
      <c r="L96" s="52"/>
    </row>
    <row r="97" spans="2:16" s="43" customFormat="1" ht="15" customHeight="1" outlineLevel="1">
      <c r="B97" s="267" t="s">
        <v>1494</v>
      </c>
      <c r="C97" s="47" t="s">
        <v>1694</v>
      </c>
      <c r="D97" s="109">
        <v>30126.98</v>
      </c>
      <c r="E97" s="115">
        <f t="shared" si="11"/>
        <v>4038.4691689008041</v>
      </c>
      <c r="F97" s="74">
        <v>46140</v>
      </c>
      <c r="G97" s="43" t="s">
        <v>143</v>
      </c>
      <c r="H97" s="43">
        <f>IF(OR(G97="Sin pagar",G97="Pagar"),NETWORKDAYS($E$4,F97,'Festivos Guatemala'!$A$3:$A$29),0)</f>
        <v>18</v>
      </c>
      <c r="I97" s="43">
        <f>NETWORKDAYS($E$4,F97,'Festivos Guatemala'!$A$3:$A$15)</f>
        <v>20</v>
      </c>
      <c r="J97" s="75">
        <f t="shared" si="13"/>
        <v>18</v>
      </c>
      <c r="L97" s="52"/>
    </row>
    <row r="98" spans="2:16" s="43" customFormat="1" ht="15" customHeight="1" outlineLevel="1" thickBot="1">
      <c r="B98" s="267" t="s">
        <v>1494</v>
      </c>
      <c r="C98" s="47" t="s">
        <v>1695</v>
      </c>
      <c r="D98" s="109">
        <v>16292.63</v>
      </c>
      <c r="E98" s="115">
        <f t="shared" si="11"/>
        <v>2183.9986595174259</v>
      </c>
      <c r="F98" s="74">
        <v>46140</v>
      </c>
      <c r="G98" s="43" t="s">
        <v>143</v>
      </c>
      <c r="H98" s="43">
        <f>IF(OR(G98="Sin pagar",G98="Pagar"),NETWORKDAYS($E$4,F98,'Festivos Guatemala'!$A$3:$A$29),0)</f>
        <v>18</v>
      </c>
      <c r="I98" s="43">
        <f>NETWORKDAYS($E$4,F98,'Festivos Guatemala'!$A$3:$A$15)</f>
        <v>20</v>
      </c>
      <c r="J98" s="75">
        <f t="shared" si="13"/>
        <v>18</v>
      </c>
      <c r="L98" s="52"/>
    </row>
    <row r="99" spans="2:16" s="43" customFormat="1" ht="16.5" thickBot="1">
      <c r="B99" s="46"/>
      <c r="C99" s="332" t="s">
        <v>155</v>
      </c>
      <c r="D99" s="333">
        <f>SUBTOTAL(9,D100:D100)</f>
        <v>88143.78</v>
      </c>
      <c r="E99" s="334">
        <f>SUBTOTAL(9,E100:E100)</f>
        <v>11815.520107238606</v>
      </c>
      <c r="F99" s="74"/>
      <c r="J99" s="76"/>
    </row>
    <row r="100" spans="2:16" s="43" customFormat="1" ht="15" customHeight="1" outlineLevel="1" thickBot="1">
      <c r="B100" s="168">
        <v>6045958</v>
      </c>
      <c r="C100" s="78" t="s">
        <v>1620</v>
      </c>
      <c r="D100" s="109">
        <v>88143.78</v>
      </c>
      <c r="E100" s="115">
        <f>D100/$D$6</f>
        <v>11815.520107238606</v>
      </c>
      <c r="F100" s="74">
        <v>46129</v>
      </c>
      <c r="G100" s="43" t="s">
        <v>143</v>
      </c>
      <c r="H100" s="43">
        <f>IF(OR(G100="Sin pagar",G100="Pagar"),NETWORKDAYS($E$4,F100,'Festivos Guatemala'!$A$3:$A$29),0)</f>
        <v>11</v>
      </c>
      <c r="I100" s="43">
        <f>NETWORKDAYS($E$4,F100,'Festivos Guatemala'!$A$3:$A$15)</f>
        <v>13</v>
      </c>
      <c r="J100" s="75">
        <f>H100</f>
        <v>11</v>
      </c>
      <c r="K100" s="52"/>
      <c r="L100" s="52"/>
    </row>
    <row r="101" spans="2:16" s="43" customFormat="1" ht="16.5" thickBot="1">
      <c r="B101" s="46"/>
      <c r="C101" s="332" t="s">
        <v>144</v>
      </c>
      <c r="D101" s="333">
        <f>SUBTOTAL(9,D102:D103)</f>
        <v>85315.936999999991</v>
      </c>
      <c r="E101" s="334">
        <f>SUBTOTAL(9,E102:E103)</f>
        <v>11436.452680965147</v>
      </c>
      <c r="J101" s="76">
        <f t="shared" ref="J101" si="14">H101</f>
        <v>0</v>
      </c>
    </row>
    <row r="102" spans="2:16" s="43" customFormat="1" ht="15" customHeight="1" outlineLevel="1">
      <c r="B102" s="374">
        <v>50418510355</v>
      </c>
      <c r="C102" s="47" t="s">
        <v>1648</v>
      </c>
      <c r="D102" s="109">
        <f>10204.81*1.3</f>
        <v>13266.253000000001</v>
      </c>
      <c r="E102" s="115">
        <f>D102/$D$6</f>
        <v>1778.3180965147453</v>
      </c>
      <c r="F102" s="74">
        <v>46129</v>
      </c>
      <c r="G102" s="43" t="s">
        <v>143</v>
      </c>
      <c r="H102" s="43">
        <f>IF(OR(G102="Sin pagar",G102="Pagar"),NETWORKDAYS($E$4,F102,'Festivos Guatemala'!$A$3:$A$29),0)</f>
        <v>11</v>
      </c>
      <c r="I102" s="43">
        <f>NETWORKDAYS($E$4,F102,'Festivos Guatemala'!$A$3:$A$15)</f>
        <v>13</v>
      </c>
      <c r="J102" s="75">
        <f>H102</f>
        <v>11</v>
      </c>
      <c r="K102" s="48"/>
      <c r="L102" s="57"/>
    </row>
    <row r="103" spans="2:16" s="43" customFormat="1" ht="15" customHeight="1" outlineLevel="1" thickBot="1">
      <c r="B103" s="374">
        <v>50522844868</v>
      </c>
      <c r="C103" s="47" t="s">
        <v>1712</v>
      </c>
      <c r="D103" s="109">
        <f>51464.06*1.4</f>
        <v>72049.683999999994</v>
      </c>
      <c r="E103" s="115">
        <f>D103/$D$6</f>
        <v>9658.1345844504012</v>
      </c>
      <c r="F103" s="74">
        <v>46129</v>
      </c>
      <c r="G103" s="43" t="s">
        <v>143</v>
      </c>
      <c r="H103" s="43">
        <f>IF(OR(G103="Sin pagar",G103="Pagar"),NETWORKDAYS($E$4,F103,'Festivos Guatemala'!$A$3:$A$29),0)</f>
        <v>11</v>
      </c>
      <c r="I103" s="43">
        <f>NETWORKDAYS($E$4,F103,'Festivos Guatemala'!$A$3:$A$15)</f>
        <v>13</v>
      </c>
      <c r="J103" s="75">
        <f>H103</f>
        <v>11</v>
      </c>
      <c r="K103" s="48"/>
      <c r="L103" s="57"/>
    </row>
    <row r="104" spans="2:16" s="43" customFormat="1" ht="16.5" thickBot="1">
      <c r="B104" s="46"/>
      <c r="C104" s="332" t="s">
        <v>173</v>
      </c>
      <c r="D104" s="333">
        <f>SUBTOTAL(9,D105:D109)</f>
        <v>94342.246799999994</v>
      </c>
      <c r="E104" s="334">
        <f>SUBTOTAL(9,E105:E109)</f>
        <v>12646.413780160858</v>
      </c>
    </row>
    <row r="105" spans="2:16" s="43" customFormat="1" ht="15" customHeight="1" outlineLevel="1">
      <c r="B105" s="46"/>
      <c r="C105" s="47" t="s">
        <v>1201</v>
      </c>
      <c r="D105" s="257">
        <v>1395</v>
      </c>
      <c r="E105" s="430">
        <f t="shared" ref="E105:E107" si="15">D105/$D$6</f>
        <v>186.99731903485255</v>
      </c>
      <c r="F105" s="74">
        <v>46140</v>
      </c>
      <c r="G105" s="43" t="s">
        <v>143</v>
      </c>
      <c r="H105" s="43">
        <f>IF(OR(G105="Sin pagar",G105="Pagar"),NETWORKDAYS($E$4,F105,'Festivos Guatemala'!$A$3:$A$29),0)</f>
        <v>18</v>
      </c>
      <c r="I105" s="43">
        <f>NETWORKDAYS($E$4,F105,'Festivos Guatemala'!$A$3:$A$15)</f>
        <v>20</v>
      </c>
      <c r="J105" s="75">
        <f t="shared" ref="J105:J109" si="16">H105</f>
        <v>18</v>
      </c>
      <c r="K105" s="52"/>
      <c r="L105" s="54"/>
    </row>
    <row r="106" spans="2:16" s="43" customFormat="1" ht="15" customHeight="1" outlineLevel="1">
      <c r="B106" s="46"/>
      <c r="C106" s="47" t="s">
        <v>1507</v>
      </c>
      <c r="D106" s="257">
        <v>27977.1</v>
      </c>
      <c r="E106" s="430">
        <f>D106/$D$6</f>
        <v>3750.2815013404825</v>
      </c>
      <c r="F106" s="74">
        <v>46140</v>
      </c>
      <c r="G106" s="43" t="s">
        <v>143</v>
      </c>
      <c r="H106" s="43">
        <f>IF(OR(G106="Sin pagar",G106="Pagar"),NETWORKDAYS($E$4,F106,'Festivos Guatemala'!$A$3:$A$29),0)</f>
        <v>18</v>
      </c>
      <c r="I106" s="43">
        <f>NETWORKDAYS($E$4,F106,'Festivos Guatemala'!$A$3:$A$15)</f>
        <v>20</v>
      </c>
      <c r="J106" s="75">
        <f>H106</f>
        <v>18</v>
      </c>
      <c r="K106" s="52"/>
      <c r="L106" s="54"/>
    </row>
    <row r="107" spans="2:16" s="43" customFormat="1" ht="15" customHeight="1" outlineLevel="1">
      <c r="B107" s="46"/>
      <c r="C107" s="47" t="s">
        <v>1406</v>
      </c>
      <c r="D107" s="257">
        <v>1886.11</v>
      </c>
      <c r="E107" s="430">
        <f t="shared" si="15"/>
        <v>252.82975871313673</v>
      </c>
      <c r="F107" s="74">
        <v>46140</v>
      </c>
      <c r="G107" s="43" t="s">
        <v>143</v>
      </c>
      <c r="H107" s="43">
        <f>IF(OR(G107="Sin pagar",G107="Pagar"),NETWORKDAYS($E$4,F107,'Festivos Guatemala'!$A$3:$A$29),0)</f>
        <v>18</v>
      </c>
      <c r="I107" s="43">
        <f>NETWORKDAYS($E$4,F107,'Festivos Guatemala'!$A$3:$A$15)</f>
        <v>20</v>
      </c>
      <c r="J107" s="75">
        <f t="shared" si="16"/>
        <v>18</v>
      </c>
      <c r="K107" s="52"/>
      <c r="L107" s="54"/>
    </row>
    <row r="108" spans="2:16" s="43" customFormat="1" ht="15" customHeight="1" outlineLevel="1">
      <c r="B108" s="46"/>
      <c r="C108" s="47" t="s">
        <v>1703</v>
      </c>
      <c r="D108" s="257">
        <v>8595.6</v>
      </c>
      <c r="E108" s="430">
        <f>D108/$D$6</f>
        <v>1152.2252010723862</v>
      </c>
      <c r="F108" s="74">
        <v>46140</v>
      </c>
      <c r="G108" s="43" t="s">
        <v>143</v>
      </c>
      <c r="H108" s="43">
        <f>IF(OR(G108="Sin pagar",G108="Pagar"),NETWORKDAYS($E$4,F108,'Festivos Guatemala'!$A$3:$A$29),0)</f>
        <v>18</v>
      </c>
      <c r="I108" s="43">
        <f>NETWORKDAYS($E$4,F108,'Festivos Guatemala'!$A$3:$A$15)</f>
        <v>20</v>
      </c>
      <c r="J108" s="75">
        <f t="shared" si="16"/>
        <v>18</v>
      </c>
      <c r="K108" s="52"/>
      <c r="L108" s="54"/>
    </row>
    <row r="109" spans="2:16" s="43" customFormat="1" ht="15" customHeight="1" outlineLevel="1" thickBot="1">
      <c r="B109" s="46"/>
      <c r="C109" s="47" t="s">
        <v>1204</v>
      </c>
      <c r="D109" s="257">
        <f>E109*$D$6</f>
        <v>54488.436799999996</v>
      </c>
      <c r="E109" s="430">
        <v>7304.08</v>
      </c>
      <c r="F109" s="74">
        <v>46140</v>
      </c>
      <c r="G109" s="43" t="s">
        <v>143</v>
      </c>
      <c r="H109" s="43">
        <f>IF(OR(G109="Sin pagar",G109="Pagar"),NETWORKDAYS($E$4,F109,'Festivos Guatemala'!$A$3:$A$29),0)</f>
        <v>18</v>
      </c>
      <c r="I109" s="43">
        <f>NETWORKDAYS($E$4,F109,'Festivos Guatemala'!$A$3:$A$15)</f>
        <v>20</v>
      </c>
      <c r="J109" s="75">
        <f t="shared" si="16"/>
        <v>18</v>
      </c>
      <c r="K109" s="52"/>
      <c r="L109" s="54"/>
    </row>
    <row r="110" spans="2:16" s="43" customFormat="1" ht="16.5" thickBot="1">
      <c r="C110" s="332" t="s">
        <v>146</v>
      </c>
      <c r="D110" s="333">
        <f>SUBTOTAL(9,D111:D113)</f>
        <v>5694.18</v>
      </c>
      <c r="E110" s="334">
        <f>SUBTOTAL(9,E111:E113)</f>
        <v>763.2949061662199</v>
      </c>
      <c r="K110" s="49"/>
      <c r="L110" s="49"/>
      <c r="O110" s="49"/>
      <c r="P110" s="49"/>
    </row>
    <row r="111" spans="2:16" s="43" customFormat="1" ht="15" customHeight="1" outlineLevel="1">
      <c r="B111" s="186"/>
      <c r="C111" s="47" t="s">
        <v>1709</v>
      </c>
      <c r="D111" s="257">
        <v>499.91</v>
      </c>
      <c r="E111" s="430">
        <f>D111/$D$6</f>
        <v>67.012064343163544</v>
      </c>
      <c r="F111" s="74">
        <v>46142</v>
      </c>
      <c r="G111" s="43" t="s">
        <v>143</v>
      </c>
      <c r="H111" s="43">
        <f>IF(OR(G111="Sin pagar",G111="Pagar"),NETWORKDAYS($E$4,F111,'Festivos Guatemala'!$A$3:$A$29),0)</f>
        <v>20</v>
      </c>
      <c r="I111" s="43">
        <f>NETWORKDAYS($E$4,F111,'Festivos Guatemala'!$A$3:$A$15)</f>
        <v>22</v>
      </c>
      <c r="J111" s="75">
        <f t="shared" ref="J111:J113" si="17">H111</f>
        <v>20</v>
      </c>
      <c r="K111" s="49"/>
      <c r="L111" s="49"/>
      <c r="O111" s="49"/>
      <c r="P111" s="49"/>
    </row>
    <row r="112" spans="2:16" s="43" customFormat="1" ht="15" customHeight="1" outlineLevel="1">
      <c r="B112" s="369"/>
      <c r="C112" s="47" t="s">
        <v>1710</v>
      </c>
      <c r="D112" s="257">
        <v>1151.99</v>
      </c>
      <c r="E112" s="430">
        <f>D112/$D$6</f>
        <v>154.42225201072387</v>
      </c>
      <c r="F112" s="74">
        <v>46142</v>
      </c>
      <c r="G112" s="43" t="s">
        <v>143</v>
      </c>
      <c r="H112" s="43">
        <f>IF(OR(G112="Sin pagar",G112="Pagar"),NETWORKDAYS($E$4,F112,'Festivos Guatemala'!$A$3:$A$29),0)</f>
        <v>20</v>
      </c>
      <c r="I112" s="366">
        <f>NETWORKDAYS($E$4,F112,'Festivos Guatemala'!$A$3:$A$15)</f>
        <v>22</v>
      </c>
      <c r="J112" s="75">
        <f t="shared" si="17"/>
        <v>20</v>
      </c>
      <c r="K112" s="49"/>
      <c r="L112" s="49"/>
      <c r="O112" s="49"/>
      <c r="P112" s="49"/>
    </row>
    <row r="113" spans="1:16" s="43" customFormat="1" ht="15" customHeight="1" outlineLevel="1" thickBot="1">
      <c r="B113" s="369"/>
      <c r="C113" s="47" t="s">
        <v>1711</v>
      </c>
      <c r="D113" s="257">
        <v>4042.28</v>
      </c>
      <c r="E113" s="430">
        <f>D113/$D$6</f>
        <v>541.86058981233248</v>
      </c>
      <c r="F113" s="74">
        <v>46142</v>
      </c>
      <c r="G113" s="43" t="s">
        <v>143</v>
      </c>
      <c r="H113" s="43">
        <f>IF(OR(G113="Sin pagar",G113="Pagar"),NETWORKDAYS($E$4,F113,'Festivos Guatemala'!$A$3:$A$29),0)</f>
        <v>20</v>
      </c>
      <c r="I113" s="366">
        <f>NETWORKDAYS($E$4,F113,'Festivos Guatemala'!$A$3:$A$15)</f>
        <v>22</v>
      </c>
      <c r="J113" s="75">
        <f t="shared" si="17"/>
        <v>20</v>
      </c>
      <c r="K113" s="49"/>
      <c r="L113" s="49"/>
      <c r="O113" s="49"/>
      <c r="P113" s="49"/>
    </row>
    <row r="114" spans="1:16" s="43" customFormat="1" ht="16.5" thickBot="1">
      <c r="B114" s="46"/>
      <c r="C114" s="332" t="s">
        <v>149</v>
      </c>
      <c r="D114" s="333">
        <f>SUBTOTAL(9,D115:D115)</f>
        <v>0</v>
      </c>
      <c r="E114" s="334">
        <f>SUBTOTAL(9,E115:E115)</f>
        <v>0</v>
      </c>
      <c r="J114" s="76"/>
    </row>
    <row r="115" spans="1:16" s="43" customFormat="1" ht="15" customHeight="1" outlineLevel="1" thickBot="1">
      <c r="B115" s="311"/>
      <c r="C115" s="47"/>
      <c r="D115" s="104"/>
      <c r="E115" s="115">
        <f>D115/$D$6</f>
        <v>0</v>
      </c>
      <c r="F115" s="74">
        <v>46142</v>
      </c>
      <c r="G115" s="43" t="s">
        <v>135</v>
      </c>
      <c r="H115" s="43">
        <f>IF(OR(G115="Sin pagar",G115="Pagar"),NETWORKDAYS($E$4,F115,'Festivos Guatemala'!$A$3:$A$29),0)</f>
        <v>0</v>
      </c>
      <c r="I115" s="43">
        <f>NETWORKDAYS($E$4,F115,'Festivos Guatemala'!$A$3:$A$15)</f>
        <v>22</v>
      </c>
      <c r="J115" s="75">
        <f>H115</f>
        <v>0</v>
      </c>
      <c r="K115" s="52"/>
      <c r="L115" s="54"/>
    </row>
    <row r="116" spans="1:16" s="43" customFormat="1" ht="14.25" customHeight="1">
      <c r="B116" s="46"/>
      <c r="C116" s="88" t="s">
        <v>150</v>
      </c>
      <c r="D116" s="120">
        <f>SUBTOTAL(9,D34:D115)</f>
        <v>1572968.872</v>
      </c>
      <c r="E116" s="116">
        <f>SUBTOTAL(9,E34:E115)</f>
        <v>210777.1678284182</v>
      </c>
      <c r="F116" s="404"/>
      <c r="K116" s="39"/>
      <c r="L116" s="39"/>
      <c r="N116" s="39"/>
      <c r="O116" s="39"/>
      <c r="P116" s="39"/>
    </row>
    <row r="117" spans="1:16" ht="15.75">
      <c r="A117" s="43"/>
      <c r="E117" s="117"/>
      <c r="F117" s="89"/>
      <c r="G117" s="89"/>
      <c r="H117" s="89"/>
      <c r="I117" s="89"/>
      <c r="J117" s="89"/>
    </row>
    <row r="118" spans="1:16" ht="15.75">
      <c r="A118" s="43"/>
      <c r="C118" s="90" t="s">
        <v>151</v>
      </c>
      <c r="D118" s="121">
        <f>D29-D116</f>
        <v>282719.5177880805</v>
      </c>
      <c r="E118" s="118">
        <f>E29-E116</f>
        <v>36361.573118200817</v>
      </c>
      <c r="F118" s="226"/>
      <c r="G118" s="227"/>
      <c r="J118" s="227"/>
    </row>
    <row r="119" spans="1:16" s="93" customFormat="1" ht="15.75">
      <c r="A119" s="43"/>
      <c r="B119" s="94"/>
      <c r="C119" s="90" t="s">
        <v>152</v>
      </c>
      <c r="D119" s="95">
        <f>IF($D$29=0,0,D118/$D$29)</f>
        <v>0.1523529054467852</v>
      </c>
      <c r="E119" s="95">
        <f>IF($E$29=0,0,E118/$E$29)</f>
        <v>0.14713020297394316</v>
      </c>
      <c r="F119" s="96"/>
      <c r="G119" s="92"/>
      <c r="J119" s="97"/>
      <c r="K119" s="39"/>
      <c r="L119" s="39"/>
      <c r="N119" s="39"/>
      <c r="O119" s="39"/>
      <c r="P119" s="39"/>
    </row>
    <row r="120" spans="1:16" ht="15.75" thickBot="1">
      <c r="A120" s="43"/>
      <c r="F120" s="96"/>
      <c r="G120" s="92"/>
    </row>
    <row r="121" spans="1:16" ht="15.75" thickBot="1">
      <c r="A121" s="43"/>
      <c r="C121" s="135" t="s">
        <v>184</v>
      </c>
      <c r="D121" s="136" t="s">
        <v>185</v>
      </c>
      <c r="E121" s="137" t="s">
        <v>191</v>
      </c>
      <c r="F121" s="137" t="s">
        <v>186</v>
      </c>
      <c r="G121" s="92"/>
    </row>
    <row r="122" spans="1:16">
      <c r="A122" s="43"/>
      <c r="C122" s="423">
        <v>46113</v>
      </c>
      <c r="D122" s="424">
        <v>46124</v>
      </c>
      <c r="E122" s="425">
        <f>SUMIFS($D$34:$D$119,$F$34:$F$119,"&gt;="&amp;C122,$F$34:$F$119,"&lt;="&amp;D122,$G$34:$G$119,$D$138)</f>
        <v>24555.100000000002</v>
      </c>
      <c r="F122" s="426">
        <f>SUMIFS($E$34:$E$119,$F$34:$F$119,"&gt;="&amp;C122,$F$34:$F$119,"&lt;="&amp;D122,$G$34:$G$119,$D$138)</f>
        <v>3215</v>
      </c>
      <c r="G122" s="92" t="s">
        <v>1529</v>
      </c>
    </row>
    <row r="123" spans="1:16">
      <c r="A123" s="43"/>
      <c r="C123" s="191">
        <v>46125</v>
      </c>
      <c r="D123" s="192">
        <v>46131</v>
      </c>
      <c r="E123" s="193">
        <f>SUMIFS($D$34:$D$119,$F$34:$F$119,"&gt;="&amp;C123,$F$34:$F$119,"&lt;="&amp;D123,$G$34:$G$119,$D$138)</f>
        <v>531100.02300000004</v>
      </c>
      <c r="F123" s="194">
        <f>SUMIFS($E$34:$E$119,$F$34:$F$119,"&gt;="&amp;C123,$F$34:$F$119,"&lt;="&amp;D123,$G$34:$G$119,$D$138)</f>
        <v>71193.032573726538</v>
      </c>
      <c r="G123" s="92" t="s">
        <v>1399</v>
      </c>
    </row>
    <row r="124" spans="1:16">
      <c r="A124" s="43"/>
      <c r="C124" s="191">
        <v>46132</v>
      </c>
      <c r="D124" s="192">
        <v>46138</v>
      </c>
      <c r="E124" s="193">
        <f>SUMIFS($D$34:$D$119,$F$34:$F$119,"&gt;="&amp;C124,$F$34:$F$119,"&lt;="&amp;D124,$G$34:$G$119,$D$138)</f>
        <v>12289.512199999999</v>
      </c>
      <c r="F124" s="194">
        <f>SUMIFS($E$34:$E$119,$F$34:$F$119,"&gt;="&amp;C124,$F$34:$F$119,"&lt;="&amp;D124,$G$34:$G$119,$D$138)</f>
        <v>1647.3876943699731</v>
      </c>
      <c r="G124" s="92" t="s">
        <v>1621</v>
      </c>
    </row>
    <row r="125" spans="1:16">
      <c r="A125" s="43"/>
      <c r="C125" s="191">
        <v>46139</v>
      </c>
      <c r="D125" s="192">
        <v>46142</v>
      </c>
      <c r="E125" s="193">
        <f>SUMIFS($D$34:$D$119,$F$34:$F$119,"&gt;="&amp;C125,$F$34:$F$119,"&lt;="&amp;D125,$G$34:$G$119,$D$138)</f>
        <v>1005024.2368000001</v>
      </c>
      <c r="F125" s="194">
        <f>SUMIFS($E$34:$E$119,$F$34:$F$119,"&gt;="&amp;C125,$F$34:$F$119,"&lt;="&amp;D125,$G$34:$G$119,$D$138)</f>
        <v>134721.7475603217</v>
      </c>
      <c r="G125" s="92" t="s">
        <v>1326</v>
      </c>
    </row>
    <row r="126" spans="1:16" ht="15.75">
      <c r="A126" s="43"/>
      <c r="C126" s="433" t="s">
        <v>187</v>
      </c>
      <c r="D126" s="433"/>
      <c r="E126" s="148">
        <f>SUM(E122:E125)</f>
        <v>1572968.872</v>
      </c>
      <c r="F126" s="144">
        <f>SUM(F122:F125)</f>
        <v>210777.1678284182</v>
      </c>
      <c r="G126" s="92"/>
    </row>
    <row r="127" spans="1:16">
      <c r="A127" s="43"/>
      <c r="F127" s="96"/>
      <c r="G127" s="92"/>
    </row>
    <row r="128" spans="1:16">
      <c r="A128" s="43"/>
      <c r="F128" s="96"/>
      <c r="G128" s="92"/>
    </row>
    <row r="129" spans="1:10">
      <c r="A129" s="43"/>
      <c r="C129" s="41"/>
      <c r="D129" s="41" t="s">
        <v>380</v>
      </c>
      <c r="E129" s="166">
        <f>'Caja QTQ'!$H$1108+('Caja USD'!$H$354*$D$6)</f>
        <v>571830.11886177782</v>
      </c>
      <c r="F129" s="153">
        <f>('Caja QTQ'!$H$1108/$D$6+'Caja USD'!$H$354)</f>
        <v>76652.830946619011</v>
      </c>
      <c r="G129" s="92"/>
    </row>
    <row r="130" spans="1:10">
      <c r="A130" s="43"/>
      <c r="C130" s="41"/>
      <c r="D130" s="146" t="s">
        <v>1403</v>
      </c>
      <c r="E130" s="201">
        <f>SUBTOTAL(9,E129:E129)</f>
        <v>571830.11886177782</v>
      </c>
      <c r="F130" s="397">
        <f>SUBTOTAL(9,F129:F129)</f>
        <v>76652.830946619011</v>
      </c>
      <c r="G130" s="92"/>
    </row>
    <row r="131" spans="1:10">
      <c r="A131" s="43"/>
      <c r="C131" s="41"/>
      <c r="E131" s="166"/>
      <c r="F131" s="153"/>
      <c r="G131" s="92"/>
    </row>
    <row r="132" spans="1:10">
      <c r="A132" s="43"/>
      <c r="C132" s="41"/>
      <c r="D132" s="200" t="s">
        <v>1736</v>
      </c>
      <c r="E132" s="166">
        <f>SUM(E122:E124)</f>
        <v>567944.63520000002</v>
      </c>
      <c r="F132" s="153">
        <f>SUM(F122:F124)</f>
        <v>76055.42026809651</v>
      </c>
      <c r="G132" s="92"/>
    </row>
    <row r="133" spans="1:10">
      <c r="A133" s="43"/>
      <c r="C133" s="41"/>
      <c r="D133" s="146" t="s">
        <v>969</v>
      </c>
      <c r="E133" s="201">
        <f>E130-E132</f>
        <v>3885.4836617778055</v>
      </c>
      <c r="F133" s="173">
        <f>F130-F132</f>
        <v>597.41067852250126</v>
      </c>
      <c r="G133" s="92"/>
    </row>
    <row r="134" spans="1:10">
      <c r="A134" s="43"/>
      <c r="C134" s="41"/>
      <c r="E134" s="166"/>
      <c r="F134" s="153"/>
      <c r="G134" s="92"/>
    </row>
    <row r="135" spans="1:10">
      <c r="A135" s="43"/>
      <c r="D135" s="146"/>
      <c r="E135" s="298"/>
      <c r="F135" s="299"/>
      <c r="G135" s="92"/>
      <c r="J135" s="167"/>
    </row>
    <row r="136" spans="1:10">
      <c r="A136" s="43"/>
      <c r="D136" s="146"/>
      <c r="E136" s="298"/>
      <c r="F136" s="299"/>
      <c r="G136" s="92"/>
      <c r="J136" s="167"/>
    </row>
    <row r="137" spans="1:10">
      <c r="D137" s="43" t="s">
        <v>135</v>
      </c>
      <c r="E137" s="15">
        <f>SUMIFS($D$34:$D$128,$F$34:$F$128,"&gt;="&amp;C122,$F$34:$F$128,"&lt;="&amp;$D$125,$G$34:$G$128,$D$137)</f>
        <v>0</v>
      </c>
      <c r="F137" s="153">
        <f>SUMIFS($E$34:$E$128,$F$34:$F$128,"&gt;="&amp;C122,$F$34:$F$128,"&lt;="&amp;$D$125,$G$34:$G$128,$D$137)</f>
        <v>0</v>
      </c>
    </row>
    <row r="138" spans="1:10">
      <c r="D138" s="43" t="s">
        <v>143</v>
      </c>
      <c r="E138" s="15">
        <f>SUMIFS($D$34:$D$128,$F$34:$F$128,"&gt;="&amp;C122,$F$34:$F$128,"&lt;="&amp;D125,$G$34:$G$128,$D$138)</f>
        <v>1572968.872</v>
      </c>
      <c r="F138" s="153">
        <f>SUMIFS($E$34:$E$128,$F$34:$F$128,"&gt;="&amp;C122,$F$34:$F$128,"&lt;="&amp;$D$125,$G$34:$G$128,$D$138)</f>
        <v>210777.1678284182</v>
      </c>
    </row>
    <row r="139" spans="1:10">
      <c r="D139" s="146" t="s">
        <v>189</v>
      </c>
      <c r="E139" s="152">
        <f>SUM(E137:E138)</f>
        <v>1572968.872</v>
      </c>
      <c r="F139" s="145">
        <f>SUM(F137:F138)</f>
        <v>210777.1678284182</v>
      </c>
    </row>
    <row r="140" spans="1:10">
      <c r="D140" s="146" t="s">
        <v>190</v>
      </c>
      <c r="E140" s="152">
        <f>E139-D116</f>
        <v>0</v>
      </c>
      <c r="F140" s="145">
        <f>F139-E116</f>
        <v>0</v>
      </c>
    </row>
    <row r="143" spans="1:10">
      <c r="E143" s="166"/>
    </row>
    <row r="144" spans="1:10">
      <c r="E144" s="166"/>
      <c r="F144" s="227"/>
    </row>
    <row r="145" spans="4:6">
      <c r="E145" s="166"/>
      <c r="F145" s="227"/>
    </row>
    <row r="146" spans="4:6">
      <c r="E146" s="166"/>
      <c r="F146" s="227"/>
    </row>
    <row r="147" spans="4:6">
      <c r="E147" s="166"/>
      <c r="F147" s="227"/>
    </row>
    <row r="148" spans="4:6">
      <c r="E148" s="167"/>
      <c r="F148" s="227"/>
    </row>
    <row r="149" spans="4:6">
      <c r="D149" s="109"/>
      <c r="E149" s="264"/>
      <c r="F149" s="227"/>
    </row>
    <row r="150" spans="4:6">
      <c r="D150" s="109"/>
      <c r="E150" s="264"/>
      <c r="F150" s="227"/>
    </row>
    <row r="151" spans="4:6">
      <c r="D151" s="109"/>
      <c r="E151" s="264"/>
      <c r="F151" s="227"/>
    </row>
    <row r="152" spans="4:6">
      <c r="D152" s="109"/>
      <c r="E152" s="264"/>
      <c r="F152" s="227"/>
    </row>
    <row r="154" spans="4:6">
      <c r="E154" s="264"/>
      <c r="F154" s="92"/>
    </row>
    <row r="155" spans="4:6">
      <c r="E155" s="264"/>
      <c r="F155" s="92"/>
    </row>
    <row r="156" spans="4:6">
      <c r="E156" s="264"/>
      <c r="F156" s="92"/>
    </row>
  </sheetData>
  <protectedRanges>
    <protectedRange sqref="F29:G29 D120:E120 D55:E55 F133 F129:F131 C129:C134 D127:E136" name="Presupuestos"/>
    <protectedRange sqref="D33:E33 D8:E8" name="Presupuestos_1"/>
    <protectedRange sqref="D42:E46" name="Presupuestos_13_1"/>
    <protectedRange sqref="D111:D113 D48:E51 D53" name="Presupuestos_14"/>
    <protectedRange sqref="E84 E60:E77 E88:E98" name="Presupuestos_2_1_1_1"/>
    <protectedRange sqref="D86:E86 E111:E113 D115:E115 D105:E109 D82:E82 D79:E80" name="Presupuestos_6_1_1_1"/>
    <protectedRange sqref="D142 D149:D151 D84 D60:D77 D88:D98" name="Presupuestos_5_2_1"/>
    <protectedRange sqref="E53" name="Presupuestos_13_1_1"/>
    <protectedRange sqref="E57:E58" name="Presupuestos_7_1_2"/>
    <protectedRange sqref="D57:D58" name="Presupuestos_7_1_1_1"/>
    <protectedRange sqref="D10:E11" name="Presupuestos_2"/>
    <protectedRange sqref="E147" name="Presupuestos_3_1_1"/>
  </protectedRanges>
  <autoFilter ref="B33:J115" xr:uid="{00000000-0009-0000-0000-000002000000}"/>
  <mergeCells count="4">
    <mergeCell ref="D7:E7"/>
    <mergeCell ref="B32:C32"/>
    <mergeCell ref="D32:E32"/>
    <mergeCell ref="C126:D126"/>
  </mergeCells>
  <conditionalFormatting sqref="J35 J37:J40 J42:J46 J48:J51 J53 J57:J58 J60:J83 J88:J98 J100 J102:J109 J111:J113">
    <cfRule type="cellIs" dxfId="30" priority="16" operator="between">
      <formula>1</formula>
      <formula>5</formula>
    </cfRule>
    <cfRule type="cellIs" dxfId="29" priority="17" operator="between">
      <formula>16</formula>
      <formula>60</formula>
    </cfRule>
  </conditionalFormatting>
  <conditionalFormatting sqref="J35 J37:J40 J42:J46 J48:J51 J53 J57:J58 J60:J86 J88:J98 J100 J102:J109 J111:J113">
    <cfRule type="cellIs" dxfId="28" priority="14" operator="lessThan">
      <formula>0</formula>
    </cfRule>
  </conditionalFormatting>
  <conditionalFormatting sqref="J55 J115">
    <cfRule type="cellIs" dxfId="27" priority="10" operator="lessThan">
      <formula>0</formula>
    </cfRule>
    <cfRule type="cellIs" dxfId="26" priority="12" operator="between">
      <formula>1</formula>
      <formula>5</formula>
    </cfRule>
    <cfRule type="cellIs" dxfId="25" priority="13" operator="between">
      <formula>16</formula>
      <formula>60</formula>
    </cfRule>
  </conditionalFormatting>
  <conditionalFormatting sqref="J60:J83 J35 J37:J40 J42:J46 J48:J51 J53 J57:J58 J88:J98 J100 J102:J109 J111:J113">
    <cfRule type="cellIs" dxfId="24" priority="15" operator="between">
      <formula>6</formula>
      <formula>15</formula>
    </cfRule>
  </conditionalFormatting>
  <conditionalFormatting sqref="J82 J84:J86">
    <cfRule type="cellIs" dxfId="23" priority="7" operator="between">
      <formula>6</formula>
      <formula>15</formula>
    </cfRule>
    <cfRule type="cellIs" dxfId="22" priority="8" operator="between">
      <formula>1</formula>
      <formula>5</formula>
    </cfRule>
    <cfRule type="cellIs" dxfId="21" priority="9" operator="between">
      <formula>16</formula>
      <formula>60</formula>
    </cfRule>
  </conditionalFormatting>
  <conditionalFormatting sqref="J115 J55">
    <cfRule type="cellIs" dxfId="20" priority="11" operator="between">
      <formula>6</formula>
      <formula>15</formula>
    </cfRule>
  </conditionalFormatting>
  <conditionalFormatting sqref="J115">
    <cfRule type="cellIs" dxfId="19" priority="4" operator="between">
      <formula>6</formula>
      <formula>15</formula>
    </cfRule>
    <cfRule type="cellIs" dxfId="18" priority="5" operator="between">
      <formula>1</formula>
      <formula>5</formula>
    </cfRule>
    <cfRule type="cellIs" dxfId="17" priority="6" operator="between">
      <formula>16</formula>
      <formula>60</formula>
    </cfRule>
  </conditionalFormatting>
  <dataValidations count="3">
    <dataValidation type="list" allowBlank="1" showInputMessage="1" showErrorMessage="1" sqref="D32 D7" xr:uid="{8DE2408A-9F73-4335-9E85-B30351F90B98}">
      <formula1>"ENERO,FEBRERO,MARZO,ABRIL,MAYO,JUNIO,JULIO,AGOSTO,SEPTIEMBRE,OCTUBRE,NOVIEMBRE,DICIEMBRE"</formula1>
    </dataValidation>
    <dataValidation type="list" allowBlank="1" showInputMessage="1" showErrorMessage="1" sqref="D137:D138 G55 G48:G51 G34:G35 G37:G40 G42:G46 G57:G58 G53 G88:G100 G102:G109 G111:G115 G60:G86" xr:uid="{05BCAD50-F22B-4ADC-A777-2847E5337EA0}">
      <formula1>"Cancelado,Pagar,Sin Pagar"</formula1>
    </dataValidation>
    <dataValidation type="list" allowBlank="1" showInputMessage="1" showErrorMessage="1" sqref="B13:B28" xr:uid="{54FE54D3-3424-4F8B-A9C6-B5C4A60E23C1}">
      <formula1>"Pagado, Sin Pagar"</formula1>
    </dataValidation>
  </dataValidations>
  <pageMargins left="0.7" right="0.7" top="0.75" bottom="0.75" header="0.3" footer="0.3"/>
  <pageSetup paperSize="9" orientation="portrait" r:id="rId1"/>
  <ignoredErrors>
    <ignoredError sqref="J81:J115 J38:J79 J35:J36" unlockedFormula="1"/>
  </ignoredError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291"/>
  <sheetViews>
    <sheetView showGridLines="0" topLeftCell="A251" zoomScale="98" zoomScaleNormal="98" workbookViewId="0">
      <selection activeCell="C267" sqref="C267"/>
    </sheetView>
  </sheetViews>
  <sheetFormatPr baseColWidth="10" defaultColWidth="11.42578125" defaultRowHeight="15"/>
  <cols>
    <col min="1" max="1" width="1.85546875" customWidth="1"/>
    <col min="2" max="2" width="10.7109375" bestFit="1" customWidth="1"/>
    <col min="3" max="3" width="46.7109375" customWidth="1"/>
    <col min="4" max="4" width="13.140625" bestFit="1" customWidth="1"/>
    <col min="5" max="5" width="15.7109375" bestFit="1" customWidth="1"/>
    <col min="6" max="6" width="14.140625" bestFit="1" customWidth="1"/>
    <col min="9" max="9" width="13.42578125" customWidth="1"/>
    <col min="10" max="10" width="13.42578125" bestFit="1" customWidth="1"/>
    <col min="11" max="11" width="17.5703125" bestFit="1" customWidth="1"/>
    <col min="12" max="12" width="14" bestFit="1" customWidth="1"/>
    <col min="13" max="13" width="13.140625" bestFit="1" customWidth="1"/>
  </cols>
  <sheetData>
    <row r="1" spans="2:14" ht="15.75" thickBot="1"/>
    <row r="2" spans="2:14" ht="37.5">
      <c r="B2" s="313" t="s">
        <v>2</v>
      </c>
      <c r="C2" s="313" t="s">
        <v>81</v>
      </c>
      <c r="D2" s="313" t="s">
        <v>82</v>
      </c>
      <c r="E2" s="314" t="s">
        <v>672</v>
      </c>
      <c r="F2" s="315" t="s">
        <v>83</v>
      </c>
      <c r="G2" s="315" t="s">
        <v>84</v>
      </c>
      <c r="H2" s="315" t="s">
        <v>2</v>
      </c>
      <c r="I2" s="314" t="s">
        <v>673</v>
      </c>
      <c r="J2" s="314" t="s">
        <v>444</v>
      </c>
      <c r="K2" s="314" t="s">
        <v>674</v>
      </c>
    </row>
    <row r="3" spans="2:14" ht="15" customHeight="1">
      <c r="B3" s="316">
        <v>45294</v>
      </c>
      <c r="C3" s="317" t="s">
        <v>86</v>
      </c>
      <c r="D3" s="318">
        <v>7.58</v>
      </c>
      <c r="E3" s="319">
        <v>18236.571749999999</v>
      </c>
      <c r="F3" s="320">
        <f>E3/D3</f>
        <v>2405.8801781002635</v>
      </c>
      <c r="G3" s="321" t="s">
        <v>87</v>
      </c>
      <c r="H3" s="316">
        <v>45303</v>
      </c>
      <c r="I3" s="319">
        <f>'Caja QTQ'!D7</f>
        <v>18270.77</v>
      </c>
      <c r="J3" s="322">
        <f t="shared" ref="J3:J66" si="0">I3-E3</f>
        <v>34.198250000001281</v>
      </c>
      <c r="K3" s="323">
        <f>J3/L3</f>
        <v>4.5031978291402286</v>
      </c>
      <c r="L3" s="182">
        <f t="shared" ref="L3" si="1">I3/F3</f>
        <v>7.5942144443897481</v>
      </c>
      <c r="M3" s="182">
        <f>L3-D3</f>
        <v>1.421444438974806E-2</v>
      </c>
    </row>
    <row r="4" spans="2:14" ht="30">
      <c r="B4" s="157">
        <v>45302</v>
      </c>
      <c r="C4" s="158" t="s">
        <v>88</v>
      </c>
      <c r="D4" s="159">
        <v>7.58</v>
      </c>
      <c r="E4" s="160">
        <v>272017</v>
      </c>
      <c r="F4" s="161">
        <f t="shared" ref="F4:F13" si="2">E4/D4</f>
        <v>35886.147757255938</v>
      </c>
      <c r="G4" s="162" t="s">
        <v>87</v>
      </c>
      <c r="H4" s="163">
        <f>'Caja QTQ'!B8</f>
        <v>45322</v>
      </c>
      <c r="I4" s="160">
        <f>'Caja QTQ'!D8</f>
        <v>277361.37</v>
      </c>
      <c r="J4" s="164">
        <f t="shared" si="0"/>
        <v>5344.3699999999953</v>
      </c>
      <c r="K4" s="324">
        <f t="shared" ref="K4:K67" si="3">J4/L4</f>
        <v>691.47643555930574</v>
      </c>
      <c r="L4" s="182">
        <f t="shared" ref="L4:L67" si="4">I4/F4</f>
        <v>7.7289257090549484</v>
      </c>
      <c r="M4" s="182">
        <f t="shared" ref="M4:M67" si="5">L4-D4</f>
        <v>0.14892570905494829</v>
      </c>
    </row>
    <row r="5" spans="2:14" ht="30">
      <c r="B5" s="157">
        <v>45329</v>
      </c>
      <c r="C5" s="158" t="s">
        <v>89</v>
      </c>
      <c r="D5" s="159">
        <v>7.58</v>
      </c>
      <c r="E5" s="160">
        <v>221227.41899999999</v>
      </c>
      <c r="F5" s="161">
        <f>E5/D5</f>
        <v>29185.675329815302</v>
      </c>
      <c r="G5" s="162" t="s">
        <v>87</v>
      </c>
      <c r="H5" s="163">
        <v>45352</v>
      </c>
      <c r="I5" s="160">
        <f>'Caja QTQ'!D35</f>
        <v>225566.58</v>
      </c>
      <c r="J5" s="164">
        <f t="shared" si="0"/>
        <v>4339.1609999999928</v>
      </c>
      <c r="K5" s="324">
        <f t="shared" si="3"/>
        <v>561.43664611041447</v>
      </c>
      <c r="L5" s="182">
        <f t="shared" si="4"/>
        <v>7.7286743394135966</v>
      </c>
      <c r="M5" s="182">
        <f t="shared" si="5"/>
        <v>0.14867433941359653</v>
      </c>
    </row>
    <row r="6" spans="2:14">
      <c r="B6" s="157">
        <v>45331</v>
      </c>
      <c r="C6" s="158" t="s">
        <v>90</v>
      </c>
      <c r="D6" s="159">
        <v>7.58</v>
      </c>
      <c r="E6" s="160">
        <v>22553.336350000001</v>
      </c>
      <c r="F6" s="161">
        <f t="shared" si="2"/>
        <v>2975.3741886543539</v>
      </c>
      <c r="G6" s="162" t="s">
        <v>87</v>
      </c>
      <c r="H6" s="163">
        <f>'Caja QTQ'!B22</f>
        <v>45335</v>
      </c>
      <c r="I6" s="160">
        <f>'Caja QTQ'!D22</f>
        <v>22574.81</v>
      </c>
      <c r="J6" s="164">
        <f t="shared" si="0"/>
        <v>21.473649999999907</v>
      </c>
      <c r="K6" s="324">
        <f t="shared" si="3"/>
        <v>2.8302406065077528</v>
      </c>
      <c r="L6" s="182">
        <f t="shared" si="4"/>
        <v>7.5872171258599614</v>
      </c>
      <c r="M6" s="182">
        <f t="shared" si="5"/>
        <v>7.2171258599613708E-3</v>
      </c>
    </row>
    <row r="7" spans="2:14" ht="30">
      <c r="B7" s="157">
        <v>45350</v>
      </c>
      <c r="C7" s="158" t="s">
        <v>64</v>
      </c>
      <c r="D7" s="159">
        <v>7.58</v>
      </c>
      <c r="E7" s="160">
        <v>17460.693099999997</v>
      </c>
      <c r="F7" s="161">
        <f t="shared" si="2"/>
        <v>2303.5215171503955</v>
      </c>
      <c r="G7" s="162" t="s">
        <v>87</v>
      </c>
      <c r="H7" s="163">
        <v>45362</v>
      </c>
      <c r="I7" s="160">
        <v>17468.75</v>
      </c>
      <c r="J7" s="164">
        <f t="shared" si="0"/>
        <v>8.0569000000032247</v>
      </c>
      <c r="K7" s="324">
        <f t="shared" si="3"/>
        <v>1.0624253316085266</v>
      </c>
      <c r="L7" s="182">
        <f t="shared" si="4"/>
        <v>7.5834976447756253</v>
      </c>
      <c r="M7" s="182">
        <f t="shared" si="5"/>
        <v>3.4976447756251972E-3</v>
      </c>
    </row>
    <row r="8" spans="2:14" ht="30">
      <c r="B8" s="157">
        <v>45362</v>
      </c>
      <c r="C8" s="158" t="s">
        <v>114</v>
      </c>
      <c r="D8" s="159">
        <v>7.58</v>
      </c>
      <c r="E8" s="160">
        <v>283077.8</v>
      </c>
      <c r="F8" s="161">
        <f t="shared" si="2"/>
        <v>37345.356200527705</v>
      </c>
      <c r="G8" s="162" t="s">
        <v>87</v>
      </c>
      <c r="H8" s="163">
        <v>45371</v>
      </c>
      <c r="I8" s="160">
        <v>288657.58</v>
      </c>
      <c r="J8" s="164">
        <f t="shared" si="0"/>
        <v>5579.7800000000279</v>
      </c>
      <c r="K8" s="324">
        <f t="shared" si="3"/>
        <v>721.88948449086809</v>
      </c>
      <c r="L8" s="182">
        <f t="shared" si="4"/>
        <v>7.7294102766094692</v>
      </c>
      <c r="M8" s="182">
        <f t="shared" si="5"/>
        <v>0.14941027660946915</v>
      </c>
      <c r="N8" s="12"/>
    </row>
    <row r="9" spans="2:14" ht="30">
      <c r="B9" s="157">
        <v>45362</v>
      </c>
      <c r="C9" s="158" t="s">
        <v>116</v>
      </c>
      <c r="D9" s="159">
        <v>7.58</v>
      </c>
      <c r="E9" s="160">
        <v>7191.53</v>
      </c>
      <c r="F9" s="161">
        <f t="shared" si="2"/>
        <v>948.75065963060683</v>
      </c>
      <c r="G9" s="162" t="s">
        <v>87</v>
      </c>
      <c r="H9" s="163">
        <v>45366</v>
      </c>
      <c r="I9" s="160">
        <v>7172.5</v>
      </c>
      <c r="J9" s="164">
        <f t="shared" si="0"/>
        <v>-19.029999999999745</v>
      </c>
      <c r="K9" s="324">
        <f t="shared" si="3"/>
        <v>-2.517215064868624</v>
      </c>
      <c r="L9" s="182">
        <f t="shared" si="4"/>
        <v>7.5599420429310591</v>
      </c>
      <c r="M9" s="182">
        <f t="shared" si="5"/>
        <v>-2.0057957068940979E-2</v>
      </c>
    </row>
    <row r="10" spans="2:14">
      <c r="B10" s="157">
        <v>45362</v>
      </c>
      <c r="C10" s="158" t="s">
        <v>115</v>
      </c>
      <c r="D10" s="159">
        <v>7.58</v>
      </c>
      <c r="E10" s="160">
        <v>11948.3</v>
      </c>
      <c r="F10" s="161">
        <f t="shared" si="2"/>
        <v>1576.2928759894457</v>
      </c>
      <c r="G10" s="162" t="s">
        <v>87</v>
      </c>
      <c r="H10" s="163">
        <v>45383</v>
      </c>
      <c r="I10" s="160">
        <v>11926.09</v>
      </c>
      <c r="J10" s="164">
        <f t="shared" si="0"/>
        <v>-22.209999999999127</v>
      </c>
      <c r="K10" s="324">
        <f t="shared" si="3"/>
        <v>-2.9355358525488415</v>
      </c>
      <c r="L10" s="182">
        <f t="shared" si="4"/>
        <v>7.5659099788254407</v>
      </c>
      <c r="M10" s="182">
        <f t="shared" si="5"/>
        <v>-1.4090021174559375E-2</v>
      </c>
    </row>
    <row r="11" spans="2:14" ht="30">
      <c r="B11" s="157">
        <v>45372</v>
      </c>
      <c r="C11" s="158" t="s">
        <v>249</v>
      </c>
      <c r="D11" s="159">
        <v>7.55</v>
      </c>
      <c r="E11" s="160">
        <v>76895.929999999993</v>
      </c>
      <c r="F11" s="161">
        <f t="shared" si="2"/>
        <v>10184.891390728477</v>
      </c>
      <c r="G11" s="162" t="s">
        <v>87</v>
      </c>
      <c r="H11" s="163">
        <v>45377</v>
      </c>
      <c r="I11" s="160">
        <v>77876.160000000003</v>
      </c>
      <c r="J11" s="164">
        <f t="shared" si="0"/>
        <v>980.23000000001048</v>
      </c>
      <c r="K11" s="324">
        <f t="shared" si="3"/>
        <v>128.19759073808828</v>
      </c>
      <c r="L11" s="182">
        <f t="shared" si="4"/>
        <v>7.6462435398076343</v>
      </c>
      <c r="M11" s="182">
        <f t="shared" si="5"/>
        <v>9.6243539807634448E-2</v>
      </c>
    </row>
    <row r="12" spans="2:14" ht="30">
      <c r="B12" s="157">
        <v>45390</v>
      </c>
      <c r="C12" s="158" t="s">
        <v>249</v>
      </c>
      <c r="D12" s="159">
        <v>7.55</v>
      </c>
      <c r="E12" s="160">
        <v>46149.770000000004</v>
      </c>
      <c r="F12" s="161">
        <f t="shared" ref="F12" si="6">E12/D12</f>
        <v>6112.5523178807953</v>
      </c>
      <c r="G12" s="162" t="s">
        <v>87</v>
      </c>
      <c r="H12" s="163">
        <v>45405</v>
      </c>
      <c r="I12" s="160">
        <v>46356.30000000009</v>
      </c>
      <c r="J12" s="164">
        <f t="shared" si="0"/>
        <v>206.53000000008615</v>
      </c>
      <c r="K12" s="324">
        <f t="shared" si="3"/>
        <v>27.233093025380473</v>
      </c>
      <c r="L12" s="182">
        <f t="shared" si="4"/>
        <v>7.5837878498636213</v>
      </c>
      <c r="M12" s="182">
        <f t="shared" si="5"/>
        <v>3.3787849863621489E-2</v>
      </c>
    </row>
    <row r="13" spans="2:14" ht="30">
      <c r="B13" s="157">
        <v>45390</v>
      </c>
      <c r="C13" s="158" t="s">
        <v>197</v>
      </c>
      <c r="D13" s="159">
        <v>7.55</v>
      </c>
      <c r="E13" s="160">
        <v>362565.52500000002</v>
      </c>
      <c r="F13" s="161">
        <f t="shared" si="2"/>
        <v>48021.923841059608</v>
      </c>
      <c r="G13" s="162" t="s">
        <v>87</v>
      </c>
      <c r="H13" s="163">
        <v>45405</v>
      </c>
      <c r="I13" s="160">
        <v>371170.87</v>
      </c>
      <c r="J13" s="164">
        <f t="shared" si="0"/>
        <v>8605.3449999999721</v>
      </c>
      <c r="K13" s="324">
        <f t="shared" si="3"/>
        <v>1113.3557496471685</v>
      </c>
      <c r="L13" s="182">
        <f t="shared" si="4"/>
        <v>7.729196173574417</v>
      </c>
      <c r="M13" s="182">
        <f t="shared" si="5"/>
        <v>0.17919617357441719</v>
      </c>
    </row>
    <row r="14" spans="2:14">
      <c r="B14" s="157">
        <v>45390</v>
      </c>
      <c r="C14" s="158" t="s">
        <v>252</v>
      </c>
      <c r="D14" s="159">
        <v>7.55</v>
      </c>
      <c r="E14" s="160">
        <v>7191.5339999999997</v>
      </c>
      <c r="F14" s="161">
        <f t="shared" ref="F14:F18" si="7">E14/D14</f>
        <v>952.52105960264896</v>
      </c>
      <c r="G14" s="162" t="s">
        <v>87</v>
      </c>
      <c r="H14" s="163">
        <v>45393</v>
      </c>
      <c r="I14" s="160">
        <v>7181.2</v>
      </c>
      <c r="J14" s="164">
        <f t="shared" si="0"/>
        <v>-10.333999999999833</v>
      </c>
      <c r="K14" s="324">
        <f t="shared" si="3"/>
        <v>-1.370711389452127</v>
      </c>
      <c r="L14" s="182">
        <f t="shared" si="4"/>
        <v>7.5391508960397049</v>
      </c>
      <c r="M14" s="182">
        <f t="shared" si="5"/>
        <v>-1.0849103960294926E-2</v>
      </c>
    </row>
    <row r="15" spans="2:14">
      <c r="B15" s="157">
        <v>45390</v>
      </c>
      <c r="C15" s="158" t="s">
        <v>208</v>
      </c>
      <c r="D15" s="159">
        <v>7.55</v>
      </c>
      <c r="E15" s="160">
        <v>13275.885</v>
      </c>
      <c r="F15" s="161">
        <f t="shared" si="7"/>
        <v>1758.3953642384106</v>
      </c>
      <c r="G15" s="162" t="s">
        <v>87</v>
      </c>
      <c r="H15" s="163">
        <v>45397</v>
      </c>
      <c r="I15" s="160">
        <v>13290.7</v>
      </c>
      <c r="J15" s="164">
        <f t="shared" si="0"/>
        <v>14.815000000000509</v>
      </c>
      <c r="K15" s="324">
        <f t="shared" si="3"/>
        <v>1.9600643548641492</v>
      </c>
      <c r="L15" s="182">
        <f t="shared" si="4"/>
        <v>7.5584252951874777</v>
      </c>
      <c r="M15" s="182">
        <f t="shared" si="5"/>
        <v>8.4252951874779214E-3</v>
      </c>
    </row>
    <row r="16" spans="2:14" ht="30">
      <c r="B16" s="169">
        <v>45420</v>
      </c>
      <c r="C16" s="158" t="s">
        <v>248</v>
      </c>
      <c r="D16" s="159">
        <v>7.55</v>
      </c>
      <c r="E16" s="160">
        <v>41021.85</v>
      </c>
      <c r="F16" s="161">
        <f>E16/D16</f>
        <v>5433.3576158940396</v>
      </c>
      <c r="G16" s="162" t="s">
        <v>87</v>
      </c>
      <c r="H16" s="163">
        <v>45410</v>
      </c>
      <c r="I16" s="160">
        <v>41146.97</v>
      </c>
      <c r="J16" s="164">
        <f t="shared" si="0"/>
        <v>125.12000000000262</v>
      </c>
      <c r="K16" s="324">
        <f t="shared" si="3"/>
        <v>16.521792610748165</v>
      </c>
      <c r="L16" s="182">
        <f t="shared" si="4"/>
        <v>7.573028117942024</v>
      </c>
      <c r="M16" s="182">
        <f t="shared" si="5"/>
        <v>2.3028117942024195E-2</v>
      </c>
    </row>
    <row r="17" spans="2:14" ht="30">
      <c r="B17" s="169">
        <v>45420</v>
      </c>
      <c r="C17" s="158" t="s">
        <v>250</v>
      </c>
      <c r="D17" s="159">
        <v>7.55</v>
      </c>
      <c r="E17" s="160">
        <v>265280.83</v>
      </c>
      <c r="F17" s="161">
        <f t="shared" si="7"/>
        <v>35136.533774834439</v>
      </c>
      <c r="G17" s="162" t="s">
        <v>87</v>
      </c>
      <c r="H17" s="163">
        <v>45428</v>
      </c>
      <c r="I17" s="160">
        <v>269107.59999999998</v>
      </c>
      <c r="J17" s="164">
        <f t="shared" si="0"/>
        <v>3826.7699999999604</v>
      </c>
      <c r="K17" s="324">
        <f t="shared" si="3"/>
        <v>499.64933488880212</v>
      </c>
      <c r="L17" s="182">
        <f t="shared" si="4"/>
        <v>7.6589114260536642</v>
      </c>
      <c r="M17" s="182">
        <f t="shared" si="5"/>
        <v>0.10891142605366433</v>
      </c>
    </row>
    <row r="18" spans="2:14">
      <c r="B18" s="169">
        <v>45420</v>
      </c>
      <c r="C18" s="158" t="s">
        <v>251</v>
      </c>
      <c r="D18" s="159">
        <v>7.55</v>
      </c>
      <c r="E18" s="160">
        <v>7191.53</v>
      </c>
      <c r="F18" s="161">
        <f t="shared" si="7"/>
        <v>952.52052980132453</v>
      </c>
      <c r="G18" s="162" t="s">
        <v>87</v>
      </c>
      <c r="H18" s="163">
        <v>45425</v>
      </c>
      <c r="I18" s="160">
        <v>7197.2642727906114</v>
      </c>
      <c r="J18" s="164">
        <f t="shared" si="0"/>
        <v>5.7342727906116124</v>
      </c>
      <c r="K18" s="324">
        <f t="shared" si="3"/>
        <v>0.75890120878122136</v>
      </c>
      <c r="L18" s="182">
        <f t="shared" si="4"/>
        <v>7.556020104146004</v>
      </c>
      <c r="M18" s="182">
        <f t="shared" si="5"/>
        <v>6.0201041460041793E-3</v>
      </c>
    </row>
    <row r="19" spans="2:14">
      <c r="B19" s="169">
        <v>45420</v>
      </c>
      <c r="C19" s="158" t="s">
        <v>253</v>
      </c>
      <c r="D19" s="159">
        <v>7.55</v>
      </c>
      <c r="E19" s="160">
        <v>13275.89</v>
      </c>
      <c r="F19" s="161">
        <f t="shared" ref="F19:F23" si="8">E19/D19</f>
        <v>1758.3960264900661</v>
      </c>
      <c r="G19" s="162" t="s">
        <v>87</v>
      </c>
      <c r="H19" s="163">
        <v>45425</v>
      </c>
      <c r="I19" s="160">
        <v>13286.47572720939</v>
      </c>
      <c r="J19" s="164">
        <f t="shared" si="0"/>
        <v>10.585727209390825</v>
      </c>
      <c r="K19" s="324">
        <f t="shared" si="3"/>
        <v>1.4009659931400147</v>
      </c>
      <c r="L19" s="182">
        <f t="shared" si="4"/>
        <v>7.5560201041460049</v>
      </c>
      <c r="M19" s="182">
        <f t="shared" si="5"/>
        <v>6.0201041460050675E-3</v>
      </c>
      <c r="N19" s="170"/>
    </row>
    <row r="20" spans="2:14" ht="30">
      <c r="B20" s="169">
        <v>45450</v>
      </c>
      <c r="C20" s="158" t="s">
        <v>300</v>
      </c>
      <c r="D20" s="159">
        <v>7.55</v>
      </c>
      <c r="E20" s="160">
        <v>41021.037499999999</v>
      </c>
      <c r="F20" s="161">
        <f t="shared" si="8"/>
        <v>5433.25</v>
      </c>
      <c r="G20" s="162" t="s">
        <v>87</v>
      </c>
      <c r="H20" s="163">
        <v>45470</v>
      </c>
      <c r="I20" s="160">
        <v>41200.239999999998</v>
      </c>
      <c r="J20" s="164">
        <f t="shared" si="0"/>
        <v>179.20249999999942</v>
      </c>
      <c r="K20" s="324">
        <f t="shared" si="3"/>
        <v>23.632192024245416</v>
      </c>
      <c r="L20" s="182">
        <f t="shared" si="4"/>
        <v>7.5829825610822246</v>
      </c>
      <c r="M20" s="182">
        <f t="shared" si="5"/>
        <v>3.2982561082224748E-2</v>
      </c>
      <c r="N20" s="170"/>
    </row>
    <row r="21" spans="2:14" ht="30">
      <c r="B21" s="169">
        <v>45450</v>
      </c>
      <c r="C21" s="158" t="s">
        <v>301</v>
      </c>
      <c r="D21" s="159">
        <v>7.55</v>
      </c>
      <c r="E21" s="160">
        <v>335456.76799999998</v>
      </c>
      <c r="F21" s="161">
        <f t="shared" si="8"/>
        <v>44431.360000000001</v>
      </c>
      <c r="G21" s="162" t="s">
        <v>87</v>
      </c>
      <c r="H21" s="163">
        <v>45455</v>
      </c>
      <c r="I21" s="160">
        <v>341220.02480000001</v>
      </c>
      <c r="J21" s="164">
        <f t="shared" si="0"/>
        <v>5763.2568000000319</v>
      </c>
      <c r="K21" s="324">
        <f t="shared" si="3"/>
        <v>750.45225673182529</v>
      </c>
      <c r="L21" s="182">
        <f t="shared" si="4"/>
        <v>7.6797114650553127</v>
      </c>
      <c r="M21" s="182">
        <f t="shared" si="5"/>
        <v>0.12971146505531284</v>
      </c>
      <c r="N21" s="170"/>
    </row>
    <row r="22" spans="2:14">
      <c r="B22" s="169">
        <v>45450</v>
      </c>
      <c r="C22" s="158" t="s">
        <v>302</v>
      </c>
      <c r="D22" s="159">
        <v>7.55</v>
      </c>
      <c r="E22" s="160">
        <v>9241.5020000000004</v>
      </c>
      <c r="F22" s="161">
        <f t="shared" si="8"/>
        <v>1224.0400000000002</v>
      </c>
      <c r="G22" s="162" t="s">
        <v>87</v>
      </c>
      <c r="H22" s="163">
        <v>45455</v>
      </c>
      <c r="I22" s="160">
        <v>9387.8071999999993</v>
      </c>
      <c r="J22" s="164">
        <f t="shared" si="0"/>
        <v>146.30519999999888</v>
      </c>
      <c r="K22" s="324">
        <f t="shared" si="3"/>
        <v>19.076171164656927</v>
      </c>
      <c r="L22" s="182">
        <f t="shared" si="4"/>
        <v>7.6695264860625452</v>
      </c>
      <c r="M22" s="182">
        <f t="shared" si="5"/>
        <v>0.11952648606254535</v>
      </c>
      <c r="N22" s="170"/>
    </row>
    <row r="23" spans="2:14">
      <c r="B23" s="169">
        <v>45450</v>
      </c>
      <c r="C23" s="158" t="s">
        <v>303</v>
      </c>
      <c r="D23" s="159">
        <v>7.55</v>
      </c>
      <c r="E23" s="160">
        <v>15605.774499999998</v>
      </c>
      <c r="F23" s="161">
        <f t="shared" si="8"/>
        <v>2066.9899999999998</v>
      </c>
      <c r="G23" s="162" t="s">
        <v>87</v>
      </c>
      <c r="H23" s="163">
        <v>45455</v>
      </c>
      <c r="I23" s="160">
        <v>15861.7232</v>
      </c>
      <c r="J23" s="164">
        <f t="shared" si="0"/>
        <v>255.94870000000265</v>
      </c>
      <c r="K23" s="324">
        <f t="shared" si="3"/>
        <v>33.353463349619254</v>
      </c>
      <c r="L23" s="182">
        <f t="shared" si="4"/>
        <v>7.67382677226305</v>
      </c>
      <c r="M23" s="182">
        <f t="shared" si="5"/>
        <v>0.12382677226305017</v>
      </c>
      <c r="N23" s="170"/>
    </row>
    <row r="24" spans="2:14" ht="30">
      <c r="B24" s="169">
        <v>45450</v>
      </c>
      <c r="C24" s="158" t="s">
        <v>304</v>
      </c>
      <c r="D24" s="159">
        <v>7.55</v>
      </c>
      <c r="E24" s="160">
        <v>42882.565500000004</v>
      </c>
      <c r="F24" s="161">
        <f t="shared" ref="F24:F50" si="9">E24/D24</f>
        <v>5679.81</v>
      </c>
      <c r="G24" s="162" t="s">
        <v>87</v>
      </c>
      <c r="H24" s="163">
        <v>45469</v>
      </c>
      <c r="I24" s="160">
        <v>43071.81</v>
      </c>
      <c r="J24" s="164">
        <f t="shared" si="0"/>
        <v>189.24449999999342</v>
      </c>
      <c r="K24" s="324">
        <f t="shared" si="3"/>
        <v>24.955366480883036</v>
      </c>
      <c r="L24" s="182">
        <f t="shared" si="4"/>
        <v>7.5833188081995688</v>
      </c>
      <c r="M24" s="182">
        <f t="shared" si="5"/>
        <v>3.3318808199569006E-2</v>
      </c>
      <c r="N24" s="170"/>
    </row>
    <row r="25" spans="2:14" ht="30">
      <c r="B25" s="169">
        <v>45478</v>
      </c>
      <c r="C25" s="158" t="s">
        <v>345</v>
      </c>
      <c r="D25" s="159">
        <v>7.55</v>
      </c>
      <c r="E25" s="160">
        <v>41021.85</v>
      </c>
      <c r="F25" s="161">
        <f t="shared" si="9"/>
        <v>5433.3576158940396</v>
      </c>
      <c r="G25" s="162" t="s">
        <v>87</v>
      </c>
      <c r="H25" s="163">
        <v>45495</v>
      </c>
      <c r="I25" s="160">
        <v>41329.252369087997</v>
      </c>
      <c r="J25" s="164">
        <f t="shared" si="0"/>
        <v>307.40236908799852</v>
      </c>
      <c r="K25" s="324">
        <f t="shared" si="3"/>
        <v>40.412707888163617</v>
      </c>
      <c r="L25" s="182">
        <f t="shared" si="4"/>
        <v>7.6065768702926464</v>
      </c>
      <c r="M25" s="182">
        <f t="shared" si="5"/>
        <v>5.6576870292646575E-2</v>
      </c>
      <c r="N25" s="170"/>
    </row>
    <row r="26" spans="2:14" ht="30">
      <c r="B26" s="169">
        <v>45478</v>
      </c>
      <c r="C26" s="158" t="s">
        <v>344</v>
      </c>
      <c r="D26" s="159">
        <v>7.55</v>
      </c>
      <c r="E26" s="160">
        <v>280114.3</v>
      </c>
      <c r="F26" s="161">
        <f t="shared" si="9"/>
        <v>37101.231788079473</v>
      </c>
      <c r="G26" s="162" t="s">
        <v>87</v>
      </c>
      <c r="H26" s="163">
        <v>45485</v>
      </c>
      <c r="I26" s="160">
        <v>284899.12</v>
      </c>
      <c r="J26" s="164">
        <f t="shared" si="0"/>
        <v>4784.820000000007</v>
      </c>
      <c r="K26" s="324">
        <f t="shared" si="3"/>
        <v>623.10728051472643</v>
      </c>
      <c r="L26" s="182">
        <f t="shared" si="4"/>
        <v>7.6789666075598415</v>
      </c>
      <c r="M26" s="182">
        <f t="shared" si="5"/>
        <v>0.12896660755984168</v>
      </c>
      <c r="N26" s="170"/>
    </row>
    <row r="27" spans="2:14">
      <c r="B27" s="169">
        <v>45478</v>
      </c>
      <c r="C27" s="158" t="s">
        <v>346</v>
      </c>
      <c r="D27" s="159">
        <v>7.55</v>
      </c>
      <c r="E27" s="160">
        <v>7191.53</v>
      </c>
      <c r="F27" s="161">
        <f t="shared" si="9"/>
        <v>952.52052980132453</v>
      </c>
      <c r="G27" s="162" t="s">
        <v>87</v>
      </c>
      <c r="H27" s="163">
        <v>45488</v>
      </c>
      <c r="I27" s="160">
        <v>7197.2642727906114</v>
      </c>
      <c r="J27" s="164">
        <f t="shared" si="0"/>
        <v>5.7342727906116124</v>
      </c>
      <c r="K27" s="324">
        <f t="shared" si="3"/>
        <v>0.75890120878122136</v>
      </c>
      <c r="L27" s="182">
        <f t="shared" si="4"/>
        <v>7.556020104146004</v>
      </c>
      <c r="M27" s="182">
        <f t="shared" si="5"/>
        <v>6.0201041460041793E-3</v>
      </c>
      <c r="N27" s="12"/>
    </row>
    <row r="28" spans="2:14">
      <c r="B28" s="169">
        <v>45478</v>
      </c>
      <c r="C28" s="158" t="s">
        <v>347</v>
      </c>
      <c r="D28" s="159">
        <v>7.55</v>
      </c>
      <c r="E28" s="160">
        <v>13275.89</v>
      </c>
      <c r="F28" s="161">
        <f t="shared" si="9"/>
        <v>1758.3960264900661</v>
      </c>
      <c r="G28" s="162" t="s">
        <v>87</v>
      </c>
      <c r="H28" s="163">
        <v>45488</v>
      </c>
      <c r="I28" s="160">
        <v>13286.47572720939</v>
      </c>
      <c r="J28" s="164">
        <f t="shared" si="0"/>
        <v>10.585727209390825</v>
      </c>
      <c r="K28" s="324">
        <f t="shared" si="3"/>
        <v>1.4009659931400147</v>
      </c>
      <c r="L28" s="182">
        <f t="shared" si="4"/>
        <v>7.5560201041460049</v>
      </c>
      <c r="M28" s="182">
        <f t="shared" si="5"/>
        <v>6.0201041460050675E-3</v>
      </c>
      <c r="N28" s="170"/>
    </row>
    <row r="29" spans="2:14" ht="30">
      <c r="B29" s="169">
        <v>45478</v>
      </c>
      <c r="C29" s="158" t="s">
        <v>348</v>
      </c>
      <c r="D29" s="159">
        <v>7.55</v>
      </c>
      <c r="E29" s="160">
        <v>42882.8</v>
      </c>
      <c r="F29" s="161">
        <f t="shared" si="9"/>
        <v>5679.8410596026497</v>
      </c>
      <c r="G29" s="162" t="s">
        <v>87</v>
      </c>
      <c r="H29" s="163">
        <v>45495</v>
      </c>
      <c r="I29" s="160">
        <v>43204.147630911997</v>
      </c>
      <c r="J29" s="164">
        <f t="shared" si="0"/>
        <v>321.3476309119942</v>
      </c>
      <c r="K29" s="324">
        <f t="shared" si="3"/>
        <v>42.246024248701374</v>
      </c>
      <c r="L29" s="182">
        <f t="shared" si="4"/>
        <v>7.6065768702926473</v>
      </c>
      <c r="M29" s="182">
        <f t="shared" si="5"/>
        <v>5.6576870292647463E-2</v>
      </c>
      <c r="N29" s="170"/>
    </row>
    <row r="30" spans="2:14" ht="30">
      <c r="B30" s="169">
        <v>45510</v>
      </c>
      <c r="C30" s="158" t="s">
        <v>396</v>
      </c>
      <c r="D30" s="159">
        <v>7.58</v>
      </c>
      <c r="E30" s="160">
        <v>41025.24</v>
      </c>
      <c r="F30" s="228">
        <f t="shared" si="9"/>
        <v>5412.3007915567277</v>
      </c>
      <c r="G30" s="162" t="s">
        <v>87</v>
      </c>
      <c r="H30" s="163">
        <v>45526</v>
      </c>
      <c r="I30" s="160">
        <v>41118.30054545556</v>
      </c>
      <c r="J30" s="164">
        <f t="shared" si="0"/>
        <v>93.060545455562533</v>
      </c>
      <c r="K30" s="324">
        <f t="shared" si="3"/>
        <v>12.249330763926922</v>
      </c>
      <c r="L30" s="182">
        <f t="shared" si="4"/>
        <v>7.5971942671036947</v>
      </c>
      <c r="M30" s="182">
        <f t="shared" si="5"/>
        <v>1.7194267103694649E-2</v>
      </c>
      <c r="N30" s="170"/>
    </row>
    <row r="31" spans="2:14" ht="30">
      <c r="B31" s="169">
        <v>45510</v>
      </c>
      <c r="C31" s="158" t="s">
        <v>397</v>
      </c>
      <c r="D31" s="159">
        <v>7.58</v>
      </c>
      <c r="E31" s="160">
        <v>217784.52</v>
      </c>
      <c r="F31" s="228">
        <f t="shared" si="9"/>
        <v>28731.467018469655</v>
      </c>
      <c r="G31" s="162" t="s">
        <v>87</v>
      </c>
      <c r="H31" s="163">
        <v>45518</v>
      </c>
      <c r="I31" s="160">
        <v>220045.98351379536</v>
      </c>
      <c r="J31" s="164">
        <f t="shared" si="0"/>
        <v>2261.4635137953737</v>
      </c>
      <c r="K31" s="324">
        <f t="shared" si="3"/>
        <v>295.27993795901654</v>
      </c>
      <c r="L31" s="182">
        <f t="shared" si="4"/>
        <v>7.6587103391672144</v>
      </c>
      <c r="M31" s="182">
        <f t="shared" si="5"/>
        <v>7.8710339167214372E-2</v>
      </c>
      <c r="N31" s="170"/>
    </row>
    <row r="32" spans="2:14">
      <c r="B32" s="169">
        <v>45510</v>
      </c>
      <c r="C32" s="158" t="s">
        <v>398</v>
      </c>
      <c r="D32" s="159">
        <v>7.58</v>
      </c>
      <c r="E32" s="160">
        <v>7191.53</v>
      </c>
      <c r="F32" s="228">
        <f t="shared" si="9"/>
        <v>948.75065963060683</v>
      </c>
      <c r="G32" s="162" t="s">
        <v>87</v>
      </c>
      <c r="H32" s="163">
        <v>45518</v>
      </c>
      <c r="I32" s="160">
        <v>7266.2064862046427</v>
      </c>
      <c r="J32" s="164">
        <f t="shared" si="0"/>
        <v>74.67648620464297</v>
      </c>
      <c r="K32" s="324">
        <f t="shared" si="3"/>
        <v>9.7505301672974714</v>
      </c>
      <c r="L32" s="182">
        <f t="shared" si="4"/>
        <v>7.6587103391672136</v>
      </c>
      <c r="M32" s="182">
        <f t="shared" si="5"/>
        <v>7.8710339167213483E-2</v>
      </c>
      <c r="N32" s="170"/>
    </row>
    <row r="33" spans="2:15">
      <c r="B33" s="169">
        <v>45510</v>
      </c>
      <c r="C33" s="158" t="s">
        <v>399</v>
      </c>
      <c r="D33" s="159">
        <v>7.58</v>
      </c>
      <c r="E33" s="160">
        <v>13275.89</v>
      </c>
      <c r="F33" s="228">
        <f t="shared" si="9"/>
        <v>1751.4366754617413</v>
      </c>
      <c r="G33" s="162" t="s">
        <v>87</v>
      </c>
      <c r="H33" s="163">
        <v>45517</v>
      </c>
      <c r="I33" s="160">
        <v>13203.01</v>
      </c>
      <c r="J33" s="164">
        <f t="shared" si="0"/>
        <v>-72.8799999999992</v>
      </c>
      <c r="K33" s="324">
        <f t="shared" si="3"/>
        <v>-9.6678488395941748</v>
      </c>
      <c r="L33" s="182">
        <f t="shared" si="4"/>
        <v>7.5383884470269047</v>
      </c>
      <c r="M33" s="182">
        <f t="shared" si="5"/>
        <v>-4.1611552973095378E-2</v>
      </c>
      <c r="N33" s="170"/>
    </row>
    <row r="34" spans="2:15" ht="30">
      <c r="B34" s="169">
        <v>45510</v>
      </c>
      <c r="C34" s="158" t="s">
        <v>400</v>
      </c>
      <c r="D34" s="159">
        <v>7.58</v>
      </c>
      <c r="E34" s="160">
        <v>42886.19</v>
      </c>
      <c r="F34" s="228">
        <f t="shared" si="9"/>
        <v>5657.8087071240107</v>
      </c>
      <c r="G34" s="162" t="s">
        <v>87</v>
      </c>
      <c r="H34" s="163">
        <v>45526</v>
      </c>
      <c r="I34" s="160">
        <v>42983.471874131894</v>
      </c>
      <c r="J34" s="164">
        <f t="shared" si="0"/>
        <v>97.281874131891527</v>
      </c>
      <c r="K34" s="324">
        <f t="shared" si="3"/>
        <v>12.804973877412595</v>
      </c>
      <c r="L34" s="182">
        <f t="shared" si="4"/>
        <v>7.5971942671036938</v>
      </c>
      <c r="M34" s="182">
        <f t="shared" si="5"/>
        <v>1.7194267103693761E-2</v>
      </c>
      <c r="N34" s="170"/>
    </row>
    <row r="35" spans="2:15" ht="30">
      <c r="B35" s="169">
        <v>45510</v>
      </c>
      <c r="C35" s="158" t="s">
        <v>407</v>
      </c>
      <c r="D35" s="159">
        <v>7.58</v>
      </c>
      <c r="E35" s="160">
        <v>6888.3045000000002</v>
      </c>
      <c r="F35" s="228">
        <f t="shared" si="9"/>
        <v>908.74729551451185</v>
      </c>
      <c r="G35" s="162" t="s">
        <v>87</v>
      </c>
      <c r="H35" s="163">
        <v>45528</v>
      </c>
      <c r="I35" s="160">
        <v>6832.27</v>
      </c>
      <c r="J35" s="164">
        <f t="shared" si="0"/>
        <v>-56.034499999999753</v>
      </c>
      <c r="K35" s="324">
        <f t="shared" si="3"/>
        <v>-7.4530427413594138</v>
      </c>
      <c r="L35" s="182">
        <f t="shared" si="4"/>
        <v>7.518338743590677</v>
      </c>
      <c r="M35" s="182">
        <f t="shared" si="5"/>
        <v>-6.1661256409323073E-2</v>
      </c>
      <c r="N35" s="12"/>
      <c r="O35" s="12">
        <f>I35/L35</f>
        <v>908.74729551451185</v>
      </c>
    </row>
    <row r="36" spans="2:15">
      <c r="B36" s="169">
        <v>45510</v>
      </c>
      <c r="C36" s="158" t="s">
        <v>408</v>
      </c>
      <c r="D36" s="159">
        <v>7.58</v>
      </c>
      <c r="E36" s="160">
        <v>18761.28</v>
      </c>
      <c r="F36" s="228">
        <f t="shared" si="9"/>
        <v>2475.1029023746701</v>
      </c>
      <c r="G36" s="162" t="s">
        <v>87</v>
      </c>
      <c r="H36" s="163">
        <v>45526</v>
      </c>
      <c r="I36" s="160">
        <v>18803.837580412554</v>
      </c>
      <c r="J36" s="164">
        <f t="shared" si="0"/>
        <v>42.557580412554671</v>
      </c>
      <c r="K36" s="324">
        <f t="shared" si="3"/>
        <v>5.6017496612968758</v>
      </c>
      <c r="L36" s="182">
        <f t="shared" si="4"/>
        <v>7.5971942671036921</v>
      </c>
      <c r="M36" s="182">
        <f t="shared" si="5"/>
        <v>1.7194267103691985E-2</v>
      </c>
      <c r="N36" s="12"/>
    </row>
    <row r="37" spans="2:15" ht="30">
      <c r="B37" s="169">
        <v>45541</v>
      </c>
      <c r="C37" s="158" t="s">
        <v>460</v>
      </c>
      <c r="D37" s="159">
        <v>7.58</v>
      </c>
      <c r="E37" s="160">
        <v>41024.1728</v>
      </c>
      <c r="F37" s="228">
        <f t="shared" si="9"/>
        <v>5412.16</v>
      </c>
      <c r="G37" s="162" t="s">
        <v>87</v>
      </c>
      <c r="H37" s="163">
        <v>45555</v>
      </c>
      <c r="I37" s="160">
        <v>41117.35701250258</v>
      </c>
      <c r="J37" s="164">
        <f t="shared" si="0"/>
        <v>93.184212502579612</v>
      </c>
      <c r="K37" s="324">
        <f t="shared" si="3"/>
        <v>12.265571140299945</v>
      </c>
      <c r="L37" s="182">
        <f t="shared" si="4"/>
        <v>7.5972175642446977</v>
      </c>
      <c r="M37" s="182">
        <f t="shared" si="5"/>
        <v>1.721756424469767E-2</v>
      </c>
      <c r="N37" s="12"/>
    </row>
    <row r="38" spans="2:15" ht="30">
      <c r="B38" s="169">
        <v>45540</v>
      </c>
      <c r="C38" s="158" t="s">
        <v>461</v>
      </c>
      <c r="D38" s="159">
        <v>7.58</v>
      </c>
      <c r="E38" s="160">
        <v>225375.60940000002</v>
      </c>
      <c r="F38" s="228">
        <f t="shared" si="9"/>
        <v>29732.93</v>
      </c>
      <c r="G38" s="162" t="s">
        <v>87</v>
      </c>
      <c r="H38" s="163">
        <v>45552</v>
      </c>
      <c r="I38" s="160">
        <v>226530.02737696387</v>
      </c>
      <c r="J38" s="164">
        <f t="shared" si="0"/>
        <v>1154.4179769638577</v>
      </c>
      <c r="K38" s="324">
        <f t="shared" si="3"/>
        <v>151.52176202534847</v>
      </c>
      <c r="L38" s="182">
        <f t="shared" si="4"/>
        <v>7.6188262433928937</v>
      </c>
      <c r="M38" s="182">
        <f t="shared" si="5"/>
        <v>3.8826243392893645E-2</v>
      </c>
      <c r="N38" s="12"/>
    </row>
    <row r="39" spans="2:15">
      <c r="B39" s="169">
        <v>45540</v>
      </c>
      <c r="C39" s="158" t="s">
        <v>462</v>
      </c>
      <c r="D39" s="159">
        <v>7.58</v>
      </c>
      <c r="E39" s="160">
        <v>7191.5249999999996</v>
      </c>
      <c r="F39" s="228">
        <f t="shared" si="9"/>
        <v>948.74999999999989</v>
      </c>
      <c r="G39" s="162" t="s">
        <v>87</v>
      </c>
      <c r="H39" s="163">
        <v>45552</v>
      </c>
      <c r="I39" s="160">
        <v>7228.3613984190069</v>
      </c>
      <c r="J39" s="164">
        <f t="shared" si="0"/>
        <v>36.83639841900731</v>
      </c>
      <c r="K39" s="324">
        <f t="shared" si="3"/>
        <v>4.83491777371247</v>
      </c>
      <c r="L39" s="182">
        <f t="shared" si="4"/>
        <v>7.6188262433928937</v>
      </c>
      <c r="M39" s="182">
        <f t="shared" si="5"/>
        <v>3.8826243392893645E-2</v>
      </c>
      <c r="N39" s="12"/>
    </row>
    <row r="40" spans="2:15">
      <c r="B40" s="169">
        <v>45540</v>
      </c>
      <c r="C40" s="158" t="s">
        <v>463</v>
      </c>
      <c r="D40" s="159">
        <v>7.58</v>
      </c>
      <c r="E40" s="160">
        <v>13474.8902</v>
      </c>
      <c r="F40" s="228">
        <f t="shared" si="9"/>
        <v>1777.69</v>
      </c>
      <c r="G40" s="162" t="s">
        <v>87</v>
      </c>
      <c r="H40" s="163">
        <v>45552</v>
      </c>
      <c r="I40" s="160">
        <v>13543.911224617113</v>
      </c>
      <c r="J40" s="164">
        <f t="shared" si="0"/>
        <v>69.021024617113653</v>
      </c>
      <c r="K40" s="324">
        <f t="shared" si="3"/>
        <v>9.0592727031895794</v>
      </c>
      <c r="L40" s="182">
        <f t="shared" si="4"/>
        <v>7.6188262433928937</v>
      </c>
      <c r="M40" s="182">
        <f t="shared" si="5"/>
        <v>3.8826243392893645E-2</v>
      </c>
      <c r="N40" s="12"/>
    </row>
    <row r="41" spans="2:15" ht="30">
      <c r="B41" s="169">
        <v>45540</v>
      </c>
      <c r="C41" s="158" t="s">
        <v>464</v>
      </c>
      <c r="D41" s="159">
        <v>7.58</v>
      </c>
      <c r="E41" s="160">
        <v>43729.929600000003</v>
      </c>
      <c r="F41" s="228">
        <f t="shared" si="9"/>
        <v>5769.1200000000008</v>
      </c>
      <c r="G41" s="162" t="s">
        <v>87</v>
      </c>
      <c r="H41" s="163">
        <v>45555</v>
      </c>
      <c r="I41" s="160">
        <v>43829.259794235368</v>
      </c>
      <c r="J41" s="164">
        <f t="shared" si="0"/>
        <v>99.330194235364615</v>
      </c>
      <c r="K41" s="324">
        <f t="shared" si="3"/>
        <v>13.074549122148232</v>
      </c>
      <c r="L41" s="182">
        <f t="shared" si="4"/>
        <v>7.597217564244696</v>
      </c>
      <c r="M41" s="182">
        <f t="shared" si="5"/>
        <v>1.7217564244695893E-2</v>
      </c>
      <c r="N41" s="170"/>
    </row>
    <row r="42" spans="2:15" ht="30">
      <c r="B42" s="169">
        <v>45540</v>
      </c>
      <c r="C42" s="158" t="s">
        <v>465</v>
      </c>
      <c r="D42" s="159">
        <v>7.58</v>
      </c>
      <c r="E42" s="160">
        <v>6888.3249999999998</v>
      </c>
      <c r="F42" s="228">
        <f t="shared" si="9"/>
        <v>908.75</v>
      </c>
      <c r="G42" s="162" t="s">
        <v>87</v>
      </c>
      <c r="H42" s="163">
        <v>45552</v>
      </c>
      <c r="I42" s="160">
        <v>6832.27</v>
      </c>
      <c r="J42" s="164">
        <f t="shared" si="0"/>
        <v>-56.054999999999382</v>
      </c>
      <c r="K42" s="324">
        <f t="shared" si="3"/>
        <v>-7.4557915963507639</v>
      </c>
      <c r="L42" s="182">
        <f t="shared" si="4"/>
        <v>7.5183163686382395</v>
      </c>
      <c r="M42" s="182">
        <f t="shared" si="5"/>
        <v>-6.1683631361760582E-2</v>
      </c>
      <c r="N42" s="170"/>
    </row>
    <row r="43" spans="2:15">
      <c r="B43" s="169">
        <v>45540</v>
      </c>
      <c r="C43" s="158" t="s">
        <v>466</v>
      </c>
      <c r="D43" s="159">
        <v>7.58</v>
      </c>
      <c r="E43" s="160">
        <v>18761.257999999998</v>
      </c>
      <c r="F43" s="228">
        <f t="shared" si="9"/>
        <v>2475.1</v>
      </c>
      <c r="G43" s="162" t="s">
        <v>87</v>
      </c>
      <c r="H43" s="163">
        <v>45555</v>
      </c>
      <c r="I43" s="160">
        <v>18803.873193262047</v>
      </c>
      <c r="J43" s="164">
        <f t="shared" si="0"/>
        <v>42.615193262048706</v>
      </c>
      <c r="K43" s="324">
        <f t="shared" si="3"/>
        <v>5.609315897784934</v>
      </c>
      <c r="L43" s="182">
        <f t="shared" si="4"/>
        <v>7.597217564244696</v>
      </c>
      <c r="M43" s="182">
        <f t="shared" si="5"/>
        <v>1.7217564244695893E-2</v>
      </c>
      <c r="N43" s="170"/>
    </row>
    <row r="44" spans="2:15" ht="30">
      <c r="B44" s="169">
        <v>45569</v>
      </c>
      <c r="C44" s="212" t="s">
        <v>525</v>
      </c>
      <c r="D44" s="159">
        <v>7.58</v>
      </c>
      <c r="E44" s="160">
        <v>41025.24</v>
      </c>
      <c r="F44" s="228">
        <f t="shared" si="9"/>
        <v>5412.3007915567277</v>
      </c>
      <c r="G44" s="162" t="s">
        <v>87</v>
      </c>
      <c r="H44" s="163">
        <v>45583</v>
      </c>
      <c r="I44" s="160">
        <v>41118.425976283725</v>
      </c>
      <c r="J44" s="164">
        <f t="shared" si="0"/>
        <v>93.185976283726632</v>
      </c>
      <c r="K44" s="324">
        <f t="shared" si="3"/>
        <v>12.265803498735561</v>
      </c>
      <c r="L44" s="182">
        <f t="shared" si="4"/>
        <v>7.5972174422436201</v>
      </c>
      <c r="M44" s="182">
        <f t="shared" si="5"/>
        <v>1.7217442243619985E-2</v>
      </c>
      <c r="N44" s="170"/>
    </row>
    <row r="45" spans="2:15" ht="30">
      <c r="B45" s="169">
        <v>45569</v>
      </c>
      <c r="C45" s="212" t="s">
        <v>526</v>
      </c>
      <c r="D45" s="159">
        <v>7.58</v>
      </c>
      <c r="E45" s="160">
        <v>252291.85800000001</v>
      </c>
      <c r="F45" s="228">
        <f t="shared" si="9"/>
        <v>33283.886279683378</v>
      </c>
      <c r="G45" s="162" t="s">
        <v>87</v>
      </c>
      <c r="H45" s="163">
        <v>45581</v>
      </c>
      <c r="I45" s="160">
        <v>254916.3</v>
      </c>
      <c r="J45" s="164">
        <f t="shared" si="0"/>
        <v>2624.4419999999809</v>
      </c>
      <c r="K45" s="324">
        <f t="shared" si="3"/>
        <v>342.66788383333733</v>
      </c>
      <c r="L45" s="182">
        <f t="shared" si="4"/>
        <v>7.6588502273426515</v>
      </c>
      <c r="M45" s="182">
        <f t="shared" si="5"/>
        <v>7.8850227342651458E-2</v>
      </c>
      <c r="N45" s="170"/>
    </row>
    <row r="46" spans="2:15" ht="30">
      <c r="B46" s="169">
        <v>45569</v>
      </c>
      <c r="C46" s="212" t="s">
        <v>527</v>
      </c>
      <c r="D46" s="159">
        <v>7.58</v>
      </c>
      <c r="E46" s="160">
        <v>7191.5339999999997</v>
      </c>
      <c r="F46" s="228">
        <f t="shared" si="9"/>
        <v>948.75118733509225</v>
      </c>
      <c r="G46" s="162" t="s">
        <v>87</v>
      </c>
      <c r="H46" s="163">
        <v>45580</v>
      </c>
      <c r="I46" s="160">
        <v>7162.6735059050907</v>
      </c>
      <c r="J46" s="164">
        <f t="shared" si="0"/>
        <v>-28.860494094908972</v>
      </c>
      <c r="K46" s="324">
        <f t="shared" si="3"/>
        <v>-3.822794382160287</v>
      </c>
      <c r="L46" s="182">
        <f t="shared" si="4"/>
        <v>7.549580544951966</v>
      </c>
      <c r="M46" s="182">
        <f t="shared" si="5"/>
        <v>-3.0419455048034116E-2</v>
      </c>
      <c r="N46" s="170"/>
    </row>
    <row r="47" spans="2:15" ht="30">
      <c r="B47" s="169">
        <v>45569</v>
      </c>
      <c r="C47" s="212" t="s">
        <v>529</v>
      </c>
      <c r="D47" s="159">
        <v>7.58</v>
      </c>
      <c r="E47" s="160">
        <v>13474.902000000002</v>
      </c>
      <c r="F47" s="228">
        <f t="shared" si="9"/>
        <v>1777.6915567282324</v>
      </c>
      <c r="G47" s="162" t="s">
        <v>87</v>
      </c>
      <c r="H47" s="163">
        <v>45580</v>
      </c>
      <c r="I47" s="160">
        <v>13420.825591600838</v>
      </c>
      <c r="J47" s="164">
        <f t="shared" si="0"/>
        <v>-54.076408399163483</v>
      </c>
      <c r="K47" s="324">
        <f t="shared" si="3"/>
        <v>-7.1628361439658681</v>
      </c>
      <c r="L47" s="182">
        <f t="shared" si="4"/>
        <v>7.5495805449519668</v>
      </c>
      <c r="M47" s="182">
        <f t="shared" si="5"/>
        <v>-3.0419455048033228E-2</v>
      </c>
      <c r="N47" s="170"/>
    </row>
    <row r="48" spans="2:15" ht="30">
      <c r="B48" s="169">
        <v>45569</v>
      </c>
      <c r="C48" s="158" t="s">
        <v>528</v>
      </c>
      <c r="D48" s="159">
        <v>7.58</v>
      </c>
      <c r="E48" s="160">
        <v>43729.75</v>
      </c>
      <c r="F48" s="228">
        <f t="shared" si="9"/>
        <v>5769.0963060686017</v>
      </c>
      <c r="G48" s="162" t="s">
        <v>87</v>
      </c>
      <c r="H48" s="163">
        <v>45583</v>
      </c>
      <c r="I48" s="160">
        <v>43829.079082447621</v>
      </c>
      <c r="J48" s="164">
        <f t="shared" si="0"/>
        <v>99.329082447620749</v>
      </c>
      <c r="K48" s="324">
        <f t="shared" si="3"/>
        <v>13.07440299066743</v>
      </c>
      <c r="L48" s="182">
        <f t="shared" si="4"/>
        <v>7.5972174422436201</v>
      </c>
      <c r="M48" s="182">
        <f t="shared" si="5"/>
        <v>1.7217442243619985E-2</v>
      </c>
      <c r="N48" s="170"/>
    </row>
    <row r="49" spans="2:14" ht="30">
      <c r="B49" s="169">
        <v>45569</v>
      </c>
      <c r="C49" s="212" t="s">
        <v>530</v>
      </c>
      <c r="D49" s="159">
        <v>7.58</v>
      </c>
      <c r="E49" s="160">
        <v>6888.3045000000002</v>
      </c>
      <c r="F49" s="228">
        <f t="shared" si="9"/>
        <v>908.74729551451185</v>
      </c>
      <c r="G49" s="162" t="s">
        <v>87</v>
      </c>
      <c r="H49" s="163">
        <v>45580</v>
      </c>
      <c r="I49" s="164">
        <v>6860.6609024940735</v>
      </c>
      <c r="J49" s="164">
        <f t="shared" si="0"/>
        <v>-27.643597505926664</v>
      </c>
      <c r="K49" s="324">
        <f t="shared" si="3"/>
        <v>-3.6616070709266864</v>
      </c>
      <c r="L49" s="182">
        <f t="shared" si="4"/>
        <v>7.549580544951966</v>
      </c>
      <c r="M49" s="182">
        <f t="shared" si="5"/>
        <v>-3.0419455048034116E-2</v>
      </c>
      <c r="N49" s="170"/>
    </row>
    <row r="50" spans="2:14">
      <c r="B50" s="169">
        <v>45569</v>
      </c>
      <c r="C50" s="158" t="s">
        <v>531</v>
      </c>
      <c r="D50" s="159">
        <v>7.58</v>
      </c>
      <c r="E50" s="160">
        <v>18761.28</v>
      </c>
      <c r="F50" s="228">
        <f t="shared" si="9"/>
        <v>2475.1029023746701</v>
      </c>
      <c r="G50" s="162" t="s">
        <v>87</v>
      </c>
      <c r="H50" s="163">
        <v>45583</v>
      </c>
      <c r="I50" s="160">
        <v>18803.894941268652</v>
      </c>
      <c r="J50" s="164">
        <f t="shared" si="0"/>
        <v>42.614941268653638</v>
      </c>
      <c r="K50" s="324">
        <f t="shared" si="3"/>
        <v>5.6092828186932255</v>
      </c>
      <c r="L50" s="182">
        <f t="shared" si="4"/>
        <v>7.5972174422436209</v>
      </c>
      <c r="M50" s="182">
        <f t="shared" si="5"/>
        <v>1.7217442243620873E-2</v>
      </c>
      <c r="N50" s="170"/>
    </row>
    <row r="51" spans="2:14" ht="30">
      <c r="B51" s="169">
        <v>45603</v>
      </c>
      <c r="C51" s="212" t="s">
        <v>565</v>
      </c>
      <c r="D51" s="159">
        <v>7.59</v>
      </c>
      <c r="E51" s="160">
        <f>F51*D51</f>
        <v>41026.226999999999</v>
      </c>
      <c r="F51" s="228">
        <v>5405.3</v>
      </c>
      <c r="G51" s="162" t="s">
        <v>87</v>
      </c>
      <c r="H51" s="163">
        <v>45615</v>
      </c>
      <c r="I51" s="160">
        <v>41067.208471898179</v>
      </c>
      <c r="J51" s="164">
        <f t="shared" si="0"/>
        <v>40.981471898179734</v>
      </c>
      <c r="K51" s="324">
        <f t="shared" si="3"/>
        <v>5.3940152811412192</v>
      </c>
      <c r="L51" s="182">
        <f t="shared" si="4"/>
        <v>7.5975817201447056</v>
      </c>
      <c r="M51" s="182">
        <f t="shared" si="5"/>
        <v>7.5817201447057059E-3</v>
      </c>
      <c r="N51" s="170"/>
    </row>
    <row r="52" spans="2:14" ht="30">
      <c r="B52" s="169">
        <v>45603</v>
      </c>
      <c r="C52" s="212" t="s">
        <v>566</v>
      </c>
      <c r="D52" s="159">
        <v>7.59</v>
      </c>
      <c r="E52" s="160">
        <f t="shared" ref="E52:E71" si="10">F52*D52</f>
        <v>403540.4142</v>
      </c>
      <c r="F52" s="228">
        <v>53167.38</v>
      </c>
      <c r="G52" s="162" t="s">
        <v>87</v>
      </c>
      <c r="H52" s="163">
        <v>45610</v>
      </c>
      <c r="I52" s="160">
        <v>408290.82323863456</v>
      </c>
      <c r="J52" s="164">
        <f t="shared" si="0"/>
        <v>4750.4090386345633</v>
      </c>
      <c r="K52" s="324">
        <f t="shared" si="3"/>
        <v>618.59534463477337</v>
      </c>
      <c r="L52" s="182">
        <f t="shared" si="4"/>
        <v>7.6793481875284169</v>
      </c>
      <c r="M52" s="182">
        <f t="shared" si="5"/>
        <v>8.9348187528417E-2</v>
      </c>
      <c r="N52" s="170"/>
    </row>
    <row r="53" spans="2:14" ht="30">
      <c r="B53" s="169">
        <v>45603</v>
      </c>
      <c r="C53" s="212" t="s">
        <v>567</v>
      </c>
      <c r="D53" s="159">
        <v>7.59</v>
      </c>
      <c r="E53" s="160">
        <f t="shared" si="10"/>
        <v>11803.892100000001</v>
      </c>
      <c r="F53" s="228">
        <v>1555.19</v>
      </c>
      <c r="G53" s="162" t="s">
        <v>87</v>
      </c>
      <c r="H53" s="163">
        <v>45610</v>
      </c>
      <c r="I53" s="160">
        <v>11942.845507762318</v>
      </c>
      <c r="J53" s="164">
        <f t="shared" si="0"/>
        <v>138.95340776231751</v>
      </c>
      <c r="K53" s="324">
        <f t="shared" si="3"/>
        <v>18.09442733538032</v>
      </c>
      <c r="L53" s="182">
        <f t="shared" si="4"/>
        <v>7.6793481875284169</v>
      </c>
      <c r="M53" s="182">
        <f t="shared" si="5"/>
        <v>8.9348187528417E-2</v>
      </c>
      <c r="N53" s="170"/>
    </row>
    <row r="54" spans="2:14" ht="30">
      <c r="B54" s="169">
        <v>45603</v>
      </c>
      <c r="C54" s="212" t="s">
        <v>568</v>
      </c>
      <c r="D54" s="159">
        <v>7.59</v>
      </c>
      <c r="E54" s="160">
        <f t="shared" si="10"/>
        <v>22041.132299999997</v>
      </c>
      <c r="F54" s="228">
        <v>2903.97</v>
      </c>
      <c r="G54" s="162" t="s">
        <v>87</v>
      </c>
      <c r="H54" s="163">
        <v>45610</v>
      </c>
      <c r="I54" s="160">
        <v>22300.596756136893</v>
      </c>
      <c r="J54" s="164">
        <f t="shared" si="0"/>
        <v>259.46445613689502</v>
      </c>
      <c r="K54" s="324">
        <f t="shared" si="3"/>
        <v>33.787301968971299</v>
      </c>
      <c r="L54" s="182">
        <f t="shared" si="4"/>
        <v>7.679348187528416</v>
      </c>
      <c r="M54" s="182">
        <f t="shared" si="5"/>
        <v>8.9348187528416112E-2</v>
      </c>
      <c r="N54" s="170"/>
    </row>
    <row r="55" spans="2:14" ht="30">
      <c r="B55" s="169">
        <v>45603</v>
      </c>
      <c r="C55" s="158" t="s">
        <v>569</v>
      </c>
      <c r="D55" s="159">
        <v>7.59</v>
      </c>
      <c r="E55" s="160">
        <f t="shared" si="10"/>
        <v>43725.99</v>
      </c>
      <c r="F55" s="228">
        <v>5761</v>
      </c>
      <c r="G55" s="162" t="s">
        <v>87</v>
      </c>
      <c r="H55" s="163">
        <v>45615</v>
      </c>
      <c r="I55" s="160">
        <v>43769.668289753645</v>
      </c>
      <c r="J55" s="164">
        <f t="shared" si="0"/>
        <v>43.678289753646823</v>
      </c>
      <c r="K55" s="324">
        <f t="shared" si="3"/>
        <v>5.748972681377742</v>
      </c>
      <c r="L55" s="182">
        <f t="shared" si="4"/>
        <v>7.5975817201447047</v>
      </c>
      <c r="M55" s="182">
        <f t="shared" si="5"/>
        <v>7.5817201447048177E-3</v>
      </c>
      <c r="N55" s="170"/>
    </row>
    <row r="56" spans="2:14" ht="30">
      <c r="B56" s="169">
        <v>45603</v>
      </c>
      <c r="C56" s="212" t="s">
        <v>570</v>
      </c>
      <c r="D56" s="159">
        <v>7.59</v>
      </c>
      <c r="E56" s="160">
        <f t="shared" si="10"/>
        <v>8848.6496999999999</v>
      </c>
      <c r="F56" s="228">
        <v>1165.83</v>
      </c>
      <c r="G56" s="162" t="s">
        <v>87</v>
      </c>
      <c r="H56" s="163">
        <v>45610</v>
      </c>
      <c r="I56" s="160">
        <v>8952.8144974662537</v>
      </c>
      <c r="J56" s="164">
        <f t="shared" si="0"/>
        <v>104.16479746625373</v>
      </c>
      <c r="K56" s="324">
        <f t="shared" si="3"/>
        <v>13.564275889381046</v>
      </c>
      <c r="L56" s="182">
        <f t="shared" si="4"/>
        <v>7.6793481875284169</v>
      </c>
      <c r="M56" s="182">
        <f t="shared" si="5"/>
        <v>8.9348187528417E-2</v>
      </c>
      <c r="N56" s="170"/>
    </row>
    <row r="57" spans="2:14">
      <c r="B57" s="169">
        <v>45603</v>
      </c>
      <c r="C57" s="158" t="s">
        <v>571</v>
      </c>
      <c r="D57" s="159">
        <v>7.59</v>
      </c>
      <c r="E57" s="160">
        <f t="shared" si="10"/>
        <v>18764.908800000001</v>
      </c>
      <c r="F57" s="228">
        <v>2472.3200000000002</v>
      </c>
      <c r="G57" s="162" t="s">
        <v>87</v>
      </c>
      <c r="H57" s="163">
        <v>45615</v>
      </c>
      <c r="I57" s="160">
        <v>18783.653238348161</v>
      </c>
      <c r="J57" s="164">
        <f t="shared" si="0"/>
        <v>18.744438348159747</v>
      </c>
      <c r="K57" s="324">
        <f t="shared" si="3"/>
        <v>2.4671585036669712</v>
      </c>
      <c r="L57" s="182">
        <f t="shared" si="4"/>
        <v>7.5975817201447065</v>
      </c>
      <c r="M57" s="182">
        <f t="shared" si="5"/>
        <v>7.5817201447065941E-3</v>
      </c>
      <c r="N57" s="170"/>
    </row>
    <row r="58" spans="2:14" ht="30">
      <c r="B58" s="169">
        <v>45630</v>
      </c>
      <c r="C58" s="212" t="s">
        <v>612</v>
      </c>
      <c r="D58" s="159">
        <v>7.59</v>
      </c>
      <c r="E58" s="160">
        <f>F58*D58</f>
        <v>41026.44</v>
      </c>
      <c r="F58" s="228">
        <v>5405.328063241107</v>
      </c>
      <c r="G58" s="229" t="s">
        <v>87</v>
      </c>
      <c r="H58" s="163">
        <v>45609</v>
      </c>
      <c r="I58" s="160">
        <v>40957.379952033611</v>
      </c>
      <c r="J58" s="164">
        <f t="shared" si="0"/>
        <v>-69.060047966391721</v>
      </c>
      <c r="K58" s="324">
        <f t="shared" si="3"/>
        <v>-9.1141624722745345</v>
      </c>
      <c r="L58" s="182">
        <f t="shared" si="4"/>
        <v>7.577223708319198</v>
      </c>
      <c r="M58" s="182">
        <f t="shared" si="5"/>
        <v>-1.2776291680801855E-2</v>
      </c>
      <c r="N58" s="170"/>
    </row>
    <row r="59" spans="2:14" ht="30">
      <c r="B59" s="169">
        <v>45630</v>
      </c>
      <c r="C59" s="212" t="s">
        <v>613</v>
      </c>
      <c r="D59" s="159">
        <v>7.59</v>
      </c>
      <c r="E59" s="160">
        <f t="shared" si="10"/>
        <v>214093.5588</v>
      </c>
      <c r="F59" s="228">
        <v>28207.32</v>
      </c>
      <c r="G59" s="162" t="s">
        <v>87</v>
      </c>
      <c r="H59" s="163">
        <v>45632</v>
      </c>
      <c r="I59" s="160">
        <v>215164.75338521143</v>
      </c>
      <c r="J59" s="164">
        <f t="shared" si="0"/>
        <v>1071.1945852114295</v>
      </c>
      <c r="K59" s="324">
        <f t="shared" si="3"/>
        <v>140.42973104071055</v>
      </c>
      <c r="L59" s="182">
        <f t="shared" si="4"/>
        <v>7.6279757660497856</v>
      </c>
      <c r="M59" s="182">
        <f t="shared" si="5"/>
        <v>3.7975766049785697E-2</v>
      </c>
      <c r="N59" s="170"/>
    </row>
    <row r="60" spans="2:14" ht="30">
      <c r="B60" s="169">
        <v>45630</v>
      </c>
      <c r="C60" s="212" t="s">
        <v>614</v>
      </c>
      <c r="D60" s="159">
        <v>7.59</v>
      </c>
      <c r="E60" s="160">
        <f t="shared" si="10"/>
        <v>7877.4332999999988</v>
      </c>
      <c r="F60" s="228">
        <v>1037.8699999999999</v>
      </c>
      <c r="G60" s="162" t="s">
        <v>87</v>
      </c>
      <c r="H60" s="163">
        <v>45632</v>
      </c>
      <c r="I60" s="160">
        <v>7916.8472083100896</v>
      </c>
      <c r="J60" s="164">
        <f t="shared" si="0"/>
        <v>39.413908310090846</v>
      </c>
      <c r="K60" s="324">
        <f t="shared" si="3"/>
        <v>5.1670206512076655</v>
      </c>
      <c r="L60" s="182">
        <f t="shared" si="4"/>
        <v>7.6279757660497847</v>
      </c>
      <c r="M60" s="182">
        <f t="shared" si="5"/>
        <v>3.7975766049784809E-2</v>
      </c>
      <c r="N60" s="170"/>
    </row>
    <row r="61" spans="2:14" ht="30">
      <c r="B61" s="169">
        <v>45630</v>
      </c>
      <c r="C61" s="212" t="s">
        <v>615</v>
      </c>
      <c r="D61" s="159">
        <v>7.59</v>
      </c>
      <c r="E61" s="160">
        <f t="shared" si="10"/>
        <v>13474.906499999999</v>
      </c>
      <c r="F61" s="228">
        <v>1775.35</v>
      </c>
      <c r="G61" s="162" t="s">
        <v>87</v>
      </c>
      <c r="H61" s="163">
        <v>45635</v>
      </c>
      <c r="I61" s="160">
        <v>13366.14</v>
      </c>
      <c r="J61" s="164">
        <f t="shared" si="0"/>
        <v>-108.76649999999972</v>
      </c>
      <c r="K61" s="324">
        <f t="shared" si="3"/>
        <v>-14.446848961255794</v>
      </c>
      <c r="L61" s="182">
        <f t="shared" si="4"/>
        <v>7.5287351789787929</v>
      </c>
      <c r="M61" s="182">
        <f t="shared" si="5"/>
        <v>-6.1264821021207005E-2</v>
      </c>
      <c r="N61" s="170"/>
    </row>
    <row r="62" spans="2:14" ht="30">
      <c r="B62" s="169">
        <v>45630</v>
      </c>
      <c r="C62" s="158" t="s">
        <v>616</v>
      </c>
      <c r="D62" s="159">
        <v>7.59</v>
      </c>
      <c r="E62" s="160">
        <f t="shared" si="10"/>
        <v>43731.16</v>
      </c>
      <c r="F62" s="228">
        <v>5761.68115942029</v>
      </c>
      <c r="G62" s="229" t="s">
        <v>87</v>
      </c>
      <c r="H62" s="163">
        <v>45609</v>
      </c>
      <c r="I62" s="160">
        <v>43657.547080935467</v>
      </c>
      <c r="J62" s="164">
        <f t="shared" si="0"/>
        <v>-73.612919064536982</v>
      </c>
      <c r="K62" s="324">
        <f t="shared" si="3"/>
        <v>-9.7150251725728722</v>
      </c>
      <c r="L62" s="182">
        <f t="shared" si="4"/>
        <v>7.577223708319198</v>
      </c>
      <c r="M62" s="182">
        <f t="shared" si="5"/>
        <v>-1.2776291680801855E-2</v>
      </c>
      <c r="N62" s="170"/>
    </row>
    <row r="63" spans="2:14" ht="30">
      <c r="B63" s="169">
        <v>45630</v>
      </c>
      <c r="C63" s="212" t="s">
        <v>617</v>
      </c>
      <c r="D63" s="159">
        <v>7.59</v>
      </c>
      <c r="E63" s="160">
        <f t="shared" si="10"/>
        <v>6888.3045000000002</v>
      </c>
      <c r="F63" s="228">
        <v>907.55000000000007</v>
      </c>
      <c r="G63" s="162" t="s">
        <v>87</v>
      </c>
      <c r="H63" s="163">
        <v>45632</v>
      </c>
      <c r="I63" s="160">
        <v>6922.7694064784828</v>
      </c>
      <c r="J63" s="164">
        <f t="shared" si="0"/>
        <v>34.46490647848259</v>
      </c>
      <c r="K63" s="324">
        <f t="shared" si="3"/>
        <v>4.5182244327357832</v>
      </c>
      <c r="L63" s="182">
        <f t="shared" si="4"/>
        <v>7.6279757660497847</v>
      </c>
      <c r="M63" s="182">
        <f t="shared" si="5"/>
        <v>3.7975766049784809E-2</v>
      </c>
      <c r="N63" s="170"/>
    </row>
    <row r="64" spans="2:14">
      <c r="B64" s="169">
        <v>45630</v>
      </c>
      <c r="C64" s="158" t="s">
        <v>618</v>
      </c>
      <c r="D64" s="159">
        <v>7.59</v>
      </c>
      <c r="E64" s="160">
        <f t="shared" si="10"/>
        <v>18764.88</v>
      </c>
      <c r="F64" s="228">
        <v>2472.316205533597</v>
      </c>
      <c r="G64" s="229" t="s">
        <v>87</v>
      </c>
      <c r="H64" s="163">
        <v>45609</v>
      </c>
      <c r="I64" s="160">
        <v>18733.292967030928</v>
      </c>
      <c r="J64" s="164">
        <f t="shared" si="0"/>
        <v>-31.587032969073334</v>
      </c>
      <c r="K64" s="324">
        <f t="shared" si="3"/>
        <v>-4.168681589061868</v>
      </c>
      <c r="L64" s="182">
        <f t="shared" si="4"/>
        <v>7.5772237083191971</v>
      </c>
      <c r="M64" s="182">
        <f t="shared" si="5"/>
        <v>-1.2776291680802743E-2</v>
      </c>
      <c r="N64" s="170"/>
    </row>
    <row r="65" spans="2:16" ht="30">
      <c r="B65" s="169">
        <v>45666</v>
      </c>
      <c r="C65" s="212" t="s">
        <v>646</v>
      </c>
      <c r="D65" s="159">
        <v>7.59</v>
      </c>
      <c r="E65" s="160">
        <f>F65*D65</f>
        <v>41026.226999999999</v>
      </c>
      <c r="F65" s="228">
        <v>5405.3</v>
      </c>
      <c r="G65" s="229" t="s">
        <v>87</v>
      </c>
      <c r="H65" s="163">
        <v>45679</v>
      </c>
      <c r="I65" s="160">
        <v>40957.155418215203</v>
      </c>
      <c r="J65" s="164">
        <f t="shared" si="0"/>
        <v>-69.071581784795853</v>
      </c>
      <c r="K65" s="324">
        <f t="shared" si="3"/>
        <v>-9.1156872885589344</v>
      </c>
      <c r="L65" s="182">
        <f t="shared" si="4"/>
        <v>7.577221508189222</v>
      </c>
      <c r="M65" s="182">
        <f t="shared" si="5"/>
        <v>-1.2778491810777837E-2</v>
      </c>
      <c r="N65" s="170"/>
    </row>
    <row r="66" spans="2:16" ht="30">
      <c r="B66" s="169">
        <v>45666</v>
      </c>
      <c r="C66" s="158" t="s">
        <v>647</v>
      </c>
      <c r="D66" s="159">
        <v>7.59</v>
      </c>
      <c r="E66" s="160">
        <f>F66*D66</f>
        <v>43730.923499999997</v>
      </c>
      <c r="F66" s="228">
        <v>5761.65</v>
      </c>
      <c r="G66" s="229" t="s">
        <v>87</v>
      </c>
      <c r="H66" s="163">
        <v>45679</v>
      </c>
      <c r="I66" s="160">
        <v>43657.298302658426</v>
      </c>
      <c r="J66" s="164">
        <f t="shared" si="0"/>
        <v>-73.625197341571038</v>
      </c>
      <c r="K66" s="324">
        <f t="shared" si="3"/>
        <v>-9.7166484128778929</v>
      </c>
      <c r="L66" s="182">
        <f t="shared" si="4"/>
        <v>7.577221508189222</v>
      </c>
      <c r="M66" s="182">
        <f t="shared" si="5"/>
        <v>-1.2778491810777837E-2</v>
      </c>
      <c r="N66" s="170"/>
    </row>
    <row r="67" spans="2:16" ht="30">
      <c r="B67" s="169">
        <v>45666</v>
      </c>
      <c r="C67" s="158" t="s">
        <v>647</v>
      </c>
      <c r="D67" s="159">
        <v>7.59</v>
      </c>
      <c r="E67" s="160">
        <f t="shared" si="10"/>
        <v>18764.908800000001</v>
      </c>
      <c r="F67" s="228">
        <v>2472.3200000000002</v>
      </c>
      <c r="G67" s="229" t="s">
        <v>87</v>
      </c>
      <c r="H67" s="163">
        <v>45679</v>
      </c>
      <c r="I67" s="160">
        <v>18733.316279126379</v>
      </c>
      <c r="J67" s="164">
        <f t="shared" ref="J67:J130" si="11">I67-E67</f>
        <v>-31.592520873622561</v>
      </c>
      <c r="K67" s="324">
        <f t="shared" si="3"/>
        <v>-4.1694070629291176</v>
      </c>
      <c r="L67" s="182">
        <f t="shared" si="4"/>
        <v>7.577221508189222</v>
      </c>
      <c r="M67" s="182">
        <f t="shared" si="5"/>
        <v>-1.2778491810777837E-2</v>
      </c>
      <c r="N67" s="170"/>
    </row>
    <row r="68" spans="2:16" ht="30">
      <c r="B68" s="169">
        <v>45670</v>
      </c>
      <c r="C68" s="212" t="s">
        <v>650</v>
      </c>
      <c r="D68" s="159">
        <v>7.59</v>
      </c>
      <c r="E68" s="160">
        <f t="shared" si="10"/>
        <v>278755.88070000004</v>
      </c>
      <c r="F68" s="228">
        <v>36726.730000000003</v>
      </c>
      <c r="G68" s="229" t="s">
        <v>87</v>
      </c>
      <c r="H68" s="163">
        <v>45672</v>
      </c>
      <c r="I68" s="160">
        <f>280556.652685547*$P$69</f>
        <v>280556.65268554701</v>
      </c>
      <c r="J68" s="164">
        <f t="shared" si="11"/>
        <v>1800.7719855469768</v>
      </c>
      <c r="K68" s="324">
        <f t="shared" ref="K68:K131" si="12">J68/L68</f>
        <v>235.73301816825807</v>
      </c>
      <c r="L68" s="182">
        <f t="shared" ref="L68:L131" si="13">I68/F68</f>
        <v>7.6390316449503395</v>
      </c>
      <c r="M68" s="182">
        <f t="shared" ref="M68:M131" si="14">L68-D68</f>
        <v>4.9031644950339626E-2</v>
      </c>
      <c r="N68" s="170"/>
    </row>
    <row r="69" spans="2:16" ht="30">
      <c r="B69" s="169">
        <v>45670</v>
      </c>
      <c r="C69" s="212" t="s">
        <v>651</v>
      </c>
      <c r="D69" s="159">
        <v>7.59</v>
      </c>
      <c r="E69" s="160">
        <f t="shared" si="10"/>
        <v>7191.5249999999996</v>
      </c>
      <c r="F69" s="228">
        <v>947.5</v>
      </c>
      <c r="G69" s="229" t="s">
        <v>87</v>
      </c>
      <c r="H69" s="163">
        <v>45672</v>
      </c>
      <c r="I69" s="160">
        <f>7237.98248359045*P69</f>
        <v>7237.9824835904501</v>
      </c>
      <c r="J69" s="164">
        <f t="shared" si="11"/>
        <v>46.457483590450465</v>
      </c>
      <c r="K69" s="324">
        <f t="shared" si="12"/>
        <v>6.0815932895317202</v>
      </c>
      <c r="L69" s="182">
        <f t="shared" si="13"/>
        <v>7.639031644950343</v>
      </c>
      <c r="M69" s="182">
        <f t="shared" si="14"/>
        <v>4.9031644950343178E-2</v>
      </c>
      <c r="N69" s="170"/>
      <c r="P69" s="100">
        <v>1</v>
      </c>
    </row>
    <row r="70" spans="2:16" ht="30">
      <c r="B70" s="169">
        <v>45670</v>
      </c>
      <c r="C70" s="212" t="s">
        <v>652</v>
      </c>
      <c r="D70" s="159">
        <v>7.59</v>
      </c>
      <c r="E70" s="160">
        <f t="shared" si="10"/>
        <v>13474.906499999999</v>
      </c>
      <c r="F70" s="228">
        <v>1775.35</v>
      </c>
      <c r="G70" s="229" t="s">
        <v>87</v>
      </c>
      <c r="H70" s="163">
        <v>45672</v>
      </c>
      <c r="I70" s="160">
        <f>13561.9548308626*P69</f>
        <v>13561.9548308626</v>
      </c>
      <c r="J70" s="164">
        <f t="shared" si="11"/>
        <v>87.048330862600778</v>
      </c>
      <c r="K70" s="324">
        <f t="shared" si="12"/>
        <v>11.395204904032907</v>
      </c>
      <c r="L70" s="182">
        <f t="shared" si="13"/>
        <v>7.6390316449503484</v>
      </c>
      <c r="M70" s="182">
        <f t="shared" si="14"/>
        <v>4.9031644950348507E-2</v>
      </c>
      <c r="N70" s="170"/>
    </row>
    <row r="71" spans="2:16" ht="30">
      <c r="B71" s="169">
        <v>45670</v>
      </c>
      <c r="C71" s="212" t="s">
        <v>653</v>
      </c>
      <c r="D71" s="159">
        <v>7.59</v>
      </c>
      <c r="E71" s="160">
        <f t="shared" si="10"/>
        <v>18207.195599999999</v>
      </c>
      <c r="F71" s="228">
        <v>2398.84</v>
      </c>
      <c r="G71" s="229" t="s">
        <v>87</v>
      </c>
      <c r="H71" s="163">
        <v>45673</v>
      </c>
      <c r="I71" s="160">
        <f>18049.55*P69</f>
        <v>18049.55</v>
      </c>
      <c r="J71" s="164">
        <f t="shared" si="11"/>
        <v>-157.64559999999983</v>
      </c>
      <c r="K71" s="324">
        <f t="shared" si="12"/>
        <v>-20.951578909391074</v>
      </c>
      <c r="L71" s="182">
        <f t="shared" si="13"/>
        <v>7.5242825699087881</v>
      </c>
      <c r="M71" s="182">
        <f t="shared" si="14"/>
        <v>-6.5717430091211781E-2</v>
      </c>
      <c r="N71" s="170"/>
    </row>
    <row r="72" spans="2:16" ht="30">
      <c r="B72" s="169">
        <v>45695</v>
      </c>
      <c r="C72" s="212" t="s">
        <v>690</v>
      </c>
      <c r="D72" s="159">
        <v>7.59</v>
      </c>
      <c r="E72" s="160">
        <v>42618.490000000005</v>
      </c>
      <c r="F72" s="228">
        <f>E72/D72</f>
        <v>5615.0843214756269</v>
      </c>
      <c r="G72" s="229" t="s">
        <v>87</v>
      </c>
      <c r="H72" s="163">
        <v>45709</v>
      </c>
      <c r="I72" s="160">
        <v>42561.727374701208</v>
      </c>
      <c r="J72" s="164">
        <f t="shared" si="11"/>
        <v>-56.762625298797502</v>
      </c>
      <c r="K72" s="324">
        <f t="shared" si="12"/>
        <v>-7.4885806338425462</v>
      </c>
      <c r="L72" s="182">
        <f t="shared" si="13"/>
        <v>7.5798910466790845</v>
      </c>
      <c r="M72" s="182">
        <f t="shared" si="14"/>
        <v>-1.0108953320915326E-2</v>
      </c>
      <c r="N72" s="170"/>
    </row>
    <row r="73" spans="2:16" ht="30">
      <c r="B73" s="169">
        <v>45695</v>
      </c>
      <c r="C73" s="158" t="s">
        <v>691</v>
      </c>
      <c r="D73" s="159">
        <v>7.59</v>
      </c>
      <c r="E73" s="160">
        <v>43731.4</v>
      </c>
      <c r="F73" s="228">
        <f t="shared" ref="F73:F94" si="15">E73/D73</f>
        <v>5761.71277997365</v>
      </c>
      <c r="G73" s="229" t="s">
        <v>87</v>
      </c>
      <c r="H73" s="163">
        <v>45709</v>
      </c>
      <c r="I73" s="160">
        <v>43673.155114458728</v>
      </c>
      <c r="J73" s="164">
        <f t="shared" si="11"/>
        <v>-58.244885541273106</v>
      </c>
      <c r="K73" s="324">
        <f t="shared" si="12"/>
        <v>-7.6841322893145625</v>
      </c>
      <c r="L73" s="182">
        <f t="shared" si="13"/>
        <v>7.5798910466790845</v>
      </c>
      <c r="M73" s="182">
        <f t="shared" si="14"/>
        <v>-1.0108953320915326E-2</v>
      </c>
      <c r="N73" s="182"/>
    </row>
    <row r="74" spans="2:16">
      <c r="B74" s="169">
        <v>45695</v>
      </c>
      <c r="C74" s="158" t="s">
        <v>618</v>
      </c>
      <c r="D74" s="159">
        <v>7.59</v>
      </c>
      <c r="E74" s="160">
        <v>18764.849999999999</v>
      </c>
      <c r="F74" s="228">
        <f t="shared" si="15"/>
        <v>2472.3122529644265</v>
      </c>
      <c r="G74" s="229" t="s">
        <v>87</v>
      </c>
      <c r="H74" s="163">
        <v>45709</v>
      </c>
      <c r="I74" s="160">
        <v>18739.857510840055</v>
      </c>
      <c r="J74" s="164">
        <f t="shared" si="11"/>
        <v>-24.992489159943943</v>
      </c>
      <c r="K74" s="324">
        <f t="shared" si="12"/>
        <v>-3.2972095516984634</v>
      </c>
      <c r="L74" s="182">
        <f t="shared" si="13"/>
        <v>7.5798910466790854</v>
      </c>
      <c r="M74" s="182">
        <f t="shared" si="14"/>
        <v>-1.0108953320914438E-2</v>
      </c>
      <c r="N74" s="182"/>
    </row>
    <row r="75" spans="2:16" ht="30">
      <c r="B75" s="169">
        <v>45695</v>
      </c>
      <c r="C75" s="212" t="s">
        <v>692</v>
      </c>
      <c r="D75" s="159">
        <v>7.59</v>
      </c>
      <c r="E75" s="160">
        <v>393512.73389999999</v>
      </c>
      <c r="F75" s="228">
        <f t="shared" si="15"/>
        <v>51846.21</v>
      </c>
      <c r="G75" s="229" t="s">
        <v>87</v>
      </c>
      <c r="H75" s="163">
        <v>45709</v>
      </c>
      <c r="I75" s="160">
        <v>397103.67</v>
      </c>
      <c r="J75" s="164">
        <f t="shared" si="11"/>
        <v>3590.9360999999917</v>
      </c>
      <c r="K75" s="324">
        <f t="shared" si="12"/>
        <v>468.83582601284087</v>
      </c>
      <c r="L75" s="182">
        <f t="shared" si="13"/>
        <v>7.6592613037674306</v>
      </c>
      <c r="M75" s="182">
        <f t="shared" si="14"/>
        <v>6.9261303767430782E-2</v>
      </c>
      <c r="N75" s="170"/>
    </row>
    <row r="76" spans="2:16" ht="30">
      <c r="B76" s="169">
        <v>45695</v>
      </c>
      <c r="C76" s="212" t="s">
        <v>693</v>
      </c>
      <c r="D76" s="159">
        <v>7.59</v>
      </c>
      <c r="E76" s="160">
        <v>7191.5339999999997</v>
      </c>
      <c r="F76" s="228">
        <f t="shared" si="15"/>
        <v>947.50118577075091</v>
      </c>
      <c r="G76" s="229" t="s">
        <v>87</v>
      </c>
      <c r="H76" s="163">
        <v>45707</v>
      </c>
      <c r="I76" s="160">
        <v>7156.1190345219893</v>
      </c>
      <c r="J76" s="164">
        <f t="shared" si="11"/>
        <v>-35.414965478010345</v>
      </c>
      <c r="K76" s="324">
        <f t="shared" si="12"/>
        <v>-4.6890949720886592</v>
      </c>
      <c r="L76" s="182">
        <f t="shared" si="13"/>
        <v>7.552622774504286</v>
      </c>
      <c r="M76" s="182">
        <f t="shared" si="14"/>
        <v>-3.7377225495713873E-2</v>
      </c>
      <c r="N76" s="170"/>
    </row>
    <row r="77" spans="2:16" ht="30">
      <c r="B77" s="169">
        <v>45695</v>
      </c>
      <c r="C77" s="212" t="s">
        <v>694</v>
      </c>
      <c r="D77" s="159">
        <v>7.59</v>
      </c>
      <c r="E77" s="160">
        <v>13474.902000000002</v>
      </c>
      <c r="F77" s="228">
        <f t="shared" si="15"/>
        <v>1775.3494071146247</v>
      </c>
      <c r="G77" s="229" t="s">
        <v>87</v>
      </c>
      <c r="H77" s="163">
        <v>45707</v>
      </c>
      <c r="I77" s="160">
        <v>13408.544364876596</v>
      </c>
      <c r="J77" s="164">
        <f t="shared" si="11"/>
        <v>-66.357635123405998</v>
      </c>
      <c r="K77" s="324">
        <f t="shared" si="12"/>
        <v>-8.786038586146832</v>
      </c>
      <c r="L77" s="182">
        <f t="shared" si="13"/>
        <v>7.552622774504286</v>
      </c>
      <c r="M77" s="182">
        <f t="shared" si="14"/>
        <v>-3.7377225495713873E-2</v>
      </c>
      <c r="N77" s="170"/>
    </row>
    <row r="78" spans="2:16" ht="30">
      <c r="B78" s="169">
        <v>45695</v>
      </c>
      <c r="C78" s="212" t="s">
        <v>695</v>
      </c>
      <c r="D78" s="159">
        <v>7.59</v>
      </c>
      <c r="E78" s="160">
        <v>18207.178499999998</v>
      </c>
      <c r="F78" s="228">
        <f t="shared" si="15"/>
        <v>2398.8377470355731</v>
      </c>
      <c r="G78" s="229" t="s">
        <v>87</v>
      </c>
      <c r="H78" s="163">
        <v>45707</v>
      </c>
      <c r="I78" s="160">
        <v>18117.516600601419</v>
      </c>
      <c r="J78" s="164">
        <f t="shared" si="11"/>
        <v>-89.661899398579408</v>
      </c>
      <c r="K78" s="324">
        <f t="shared" si="12"/>
        <v>-11.871624212618556</v>
      </c>
      <c r="L78" s="182">
        <f t="shared" si="13"/>
        <v>7.5526227745042851</v>
      </c>
      <c r="M78" s="182">
        <f t="shared" si="14"/>
        <v>-3.7377225495714761E-2</v>
      </c>
      <c r="N78" s="170"/>
    </row>
    <row r="79" spans="2:16" ht="30">
      <c r="B79" s="169">
        <v>45723</v>
      </c>
      <c r="C79" s="212" t="s">
        <v>734</v>
      </c>
      <c r="D79" s="159">
        <v>7.59</v>
      </c>
      <c r="E79" s="160">
        <v>41822.370000000003</v>
      </c>
      <c r="F79" s="228">
        <f t="shared" si="15"/>
        <v>5510.1936758893289</v>
      </c>
      <c r="G79" s="229" t="s">
        <v>87</v>
      </c>
      <c r="H79" s="163">
        <v>45737</v>
      </c>
      <c r="I79" s="160">
        <v>41752.070453277702</v>
      </c>
      <c r="J79" s="164">
        <f t="shared" si="11"/>
        <v>-70.299546722300875</v>
      </c>
      <c r="K79" s="324">
        <f t="shared" si="12"/>
        <v>-9.2777223635073423</v>
      </c>
      <c r="L79" s="182">
        <f t="shared" si="13"/>
        <v>7.5772419100203479</v>
      </c>
      <c r="M79" s="182">
        <f t="shared" si="14"/>
        <v>-1.2758089979651999E-2</v>
      </c>
      <c r="N79" s="170"/>
    </row>
    <row r="80" spans="2:16" ht="30">
      <c r="B80" s="169">
        <v>45723</v>
      </c>
      <c r="C80" s="158" t="s">
        <v>735</v>
      </c>
      <c r="D80" s="159">
        <v>7.59</v>
      </c>
      <c r="E80" s="160">
        <v>43749.2</v>
      </c>
      <c r="F80" s="228">
        <f t="shared" si="15"/>
        <v>5764.0579710144921</v>
      </c>
      <c r="G80" s="229" t="s">
        <v>87</v>
      </c>
      <c r="H80" s="163">
        <v>45737</v>
      </c>
      <c r="I80" s="160">
        <v>43675.661629757866</v>
      </c>
      <c r="J80" s="164">
        <f t="shared" si="11"/>
        <v>-73.53837024213135</v>
      </c>
      <c r="K80" s="324">
        <f t="shared" si="12"/>
        <v>-9.7051633187112891</v>
      </c>
      <c r="L80" s="182">
        <f t="shared" si="13"/>
        <v>7.5772419100203487</v>
      </c>
      <c r="M80" s="182">
        <f t="shared" si="14"/>
        <v>-1.275808997965111E-2</v>
      </c>
      <c r="N80" s="170"/>
    </row>
    <row r="81" spans="2:14">
      <c r="B81" s="169">
        <v>45723</v>
      </c>
      <c r="C81" s="158" t="s">
        <v>736</v>
      </c>
      <c r="D81" s="159">
        <v>7.59</v>
      </c>
      <c r="E81" s="160">
        <v>18764.91</v>
      </c>
      <c r="F81" s="228">
        <f t="shared" si="15"/>
        <v>2472.320158102767</v>
      </c>
      <c r="G81" s="229" t="s">
        <v>87</v>
      </c>
      <c r="H81" s="163">
        <v>45737</v>
      </c>
      <c r="I81" s="160">
        <v>18733.36791696442</v>
      </c>
      <c r="J81" s="164">
        <f t="shared" si="11"/>
        <v>-31.542083035579708</v>
      </c>
      <c r="K81" s="324">
        <f t="shared" si="12"/>
        <v>-4.1627393463402047</v>
      </c>
      <c r="L81" s="182">
        <f t="shared" si="13"/>
        <v>7.5772419100203487</v>
      </c>
      <c r="M81" s="182">
        <f t="shared" si="14"/>
        <v>-1.275808997965111E-2</v>
      </c>
      <c r="N81" s="170"/>
    </row>
    <row r="82" spans="2:14" ht="30">
      <c r="B82" s="169">
        <v>45723</v>
      </c>
      <c r="C82" s="212" t="s">
        <v>737</v>
      </c>
      <c r="D82" s="159">
        <v>7.59</v>
      </c>
      <c r="E82" s="160">
        <v>299314.96000000002</v>
      </c>
      <c r="F82" s="228">
        <f t="shared" si="15"/>
        <v>39435.436100131759</v>
      </c>
      <c r="G82" s="229" t="s">
        <v>87</v>
      </c>
      <c r="H82" s="163">
        <v>45736</v>
      </c>
      <c r="I82" s="160">
        <v>301647.27054760716</v>
      </c>
      <c r="J82" s="164">
        <f t="shared" si="11"/>
        <v>2332.310547607136</v>
      </c>
      <c r="K82" s="324">
        <f t="shared" si="12"/>
        <v>304.91137346892901</v>
      </c>
      <c r="L82" s="182">
        <f t="shared" si="13"/>
        <v>7.6491425067973147</v>
      </c>
      <c r="M82" s="182">
        <f t="shared" si="14"/>
        <v>5.9142506797314809E-2</v>
      </c>
      <c r="N82" s="170"/>
    </row>
    <row r="83" spans="2:14" ht="30">
      <c r="B83" s="169">
        <v>45723</v>
      </c>
      <c r="C83" s="212" t="s">
        <v>738</v>
      </c>
      <c r="D83" s="159">
        <v>7.59</v>
      </c>
      <c r="E83" s="160">
        <v>7191.53</v>
      </c>
      <c r="F83" s="228">
        <f t="shared" si="15"/>
        <v>947.50065876152826</v>
      </c>
      <c r="G83" s="229" t="s">
        <v>87</v>
      </c>
      <c r="H83" s="163">
        <v>45736</v>
      </c>
      <c r="I83" s="160">
        <v>7247.5675641512644</v>
      </c>
      <c r="J83" s="164">
        <f t="shared" si="11"/>
        <v>56.037564151264633</v>
      </c>
      <c r="K83" s="324">
        <f t="shared" si="12"/>
        <v>7.3259929595333784</v>
      </c>
      <c r="L83" s="182">
        <f t="shared" si="13"/>
        <v>7.6491425067973156</v>
      </c>
      <c r="M83" s="182">
        <f t="shared" si="14"/>
        <v>5.9142506797315697E-2</v>
      </c>
      <c r="N83" s="170"/>
    </row>
    <row r="84" spans="2:14" ht="30">
      <c r="B84" s="169">
        <v>45723</v>
      </c>
      <c r="C84" s="212" t="s">
        <v>739</v>
      </c>
      <c r="D84" s="159">
        <v>7.59</v>
      </c>
      <c r="E84" s="160">
        <v>13474.9</v>
      </c>
      <c r="F84" s="228">
        <f t="shared" si="15"/>
        <v>1775.3491436100132</v>
      </c>
      <c r="G84" s="229" t="s">
        <v>87</v>
      </c>
      <c r="H84" s="163">
        <v>45736</v>
      </c>
      <c r="I84" s="160">
        <v>13579.898598793563</v>
      </c>
      <c r="J84" s="164">
        <f t="shared" si="11"/>
        <v>104.99859879356336</v>
      </c>
      <c r="K84" s="324">
        <f t="shared" si="12"/>
        <v>13.726845682409195</v>
      </c>
      <c r="L84" s="182">
        <f t="shared" si="13"/>
        <v>7.6491425067973147</v>
      </c>
      <c r="M84" s="182">
        <f t="shared" si="14"/>
        <v>5.9142506797314809E-2</v>
      </c>
      <c r="N84" s="170"/>
    </row>
    <row r="85" spans="2:14" ht="30">
      <c r="B85" s="169">
        <v>45723</v>
      </c>
      <c r="C85" s="212" t="s">
        <v>740</v>
      </c>
      <c r="D85" s="159">
        <v>7.59</v>
      </c>
      <c r="E85" s="160">
        <v>18207.18</v>
      </c>
      <c r="F85" s="228">
        <f t="shared" si="15"/>
        <v>2398.8379446640315</v>
      </c>
      <c r="G85" s="229" t="s">
        <v>87</v>
      </c>
      <c r="H85" s="163">
        <v>45736</v>
      </c>
      <c r="I85" s="160">
        <v>18349.053289447951</v>
      </c>
      <c r="J85" s="164">
        <f t="shared" si="11"/>
        <v>141.87328944795081</v>
      </c>
      <c r="K85" s="324">
        <f t="shared" si="12"/>
        <v>18.547607045087325</v>
      </c>
      <c r="L85" s="182">
        <f t="shared" si="13"/>
        <v>7.6491425067973156</v>
      </c>
      <c r="M85" s="182">
        <f t="shared" si="14"/>
        <v>5.9142506797315697E-2</v>
      </c>
      <c r="N85" s="170"/>
    </row>
    <row r="86" spans="2:14" ht="30">
      <c r="B86" s="169">
        <v>45754</v>
      </c>
      <c r="C86" s="212" t="s">
        <v>777</v>
      </c>
      <c r="D86" s="159">
        <v>7.59</v>
      </c>
      <c r="E86" s="160">
        <v>41822.370000000003</v>
      </c>
      <c r="F86" s="228">
        <f t="shared" si="15"/>
        <v>5510.1936758893289</v>
      </c>
      <c r="G86" s="229" t="s">
        <v>87</v>
      </c>
      <c r="H86" s="163">
        <v>45768</v>
      </c>
      <c r="I86" s="160">
        <v>41866.21809350988</v>
      </c>
      <c r="J86" s="164">
        <f t="shared" si="11"/>
        <v>43.848093509877799</v>
      </c>
      <c r="K86" s="324">
        <f t="shared" si="12"/>
        <v>5.7710368540641435</v>
      </c>
      <c r="L86" s="182">
        <f t="shared" si="13"/>
        <v>7.5979576319978985</v>
      </c>
      <c r="M86" s="182">
        <f t="shared" si="14"/>
        <v>7.9576319978986731E-3</v>
      </c>
      <c r="N86" s="170"/>
    </row>
    <row r="87" spans="2:14" ht="30">
      <c r="B87" s="169">
        <v>45754</v>
      </c>
      <c r="C87" s="212" t="s">
        <v>778</v>
      </c>
      <c r="D87" s="159">
        <v>7.59</v>
      </c>
      <c r="E87" s="160">
        <v>36918.063600000001</v>
      </c>
      <c r="F87" s="228">
        <f t="shared" si="15"/>
        <v>4864.04</v>
      </c>
      <c r="G87" s="229" t="s">
        <v>87</v>
      </c>
      <c r="H87" s="163">
        <v>45768</v>
      </c>
      <c r="I87" s="160">
        <v>36956.769840343062</v>
      </c>
      <c r="J87" s="164">
        <f t="shared" si="11"/>
        <v>38.706240343060927</v>
      </c>
      <c r="K87" s="324">
        <f t="shared" si="12"/>
        <v>5.0942953643297741</v>
      </c>
      <c r="L87" s="182">
        <f t="shared" si="13"/>
        <v>7.5979576319978994</v>
      </c>
      <c r="M87" s="182">
        <f t="shared" si="14"/>
        <v>7.9576319978995613E-3</v>
      </c>
      <c r="N87" s="170"/>
    </row>
    <row r="88" spans="2:14" ht="30">
      <c r="B88" s="169">
        <v>45754</v>
      </c>
      <c r="C88" s="158" t="s">
        <v>779</v>
      </c>
      <c r="D88" s="159">
        <v>7.59</v>
      </c>
      <c r="E88" s="160">
        <v>43749.2</v>
      </c>
      <c r="F88" s="228">
        <f t="shared" si="15"/>
        <v>5764.0579710144921</v>
      </c>
      <c r="G88" s="229" t="s">
        <v>87</v>
      </c>
      <c r="H88" s="163">
        <v>45768</v>
      </c>
      <c r="I88" s="160">
        <v>43795.068252147896</v>
      </c>
      <c r="J88" s="164">
        <f t="shared" si="11"/>
        <v>45.868252147898602</v>
      </c>
      <c r="K88" s="324">
        <f t="shared" si="12"/>
        <v>6.0369186522875404</v>
      </c>
      <c r="L88" s="182">
        <f t="shared" si="13"/>
        <v>7.5979576319979012</v>
      </c>
      <c r="M88" s="182">
        <f t="shared" si="14"/>
        <v>7.9576319979013377E-3</v>
      </c>
      <c r="N88" s="170"/>
    </row>
    <row r="89" spans="2:14">
      <c r="B89" s="169">
        <v>45754</v>
      </c>
      <c r="C89" s="158" t="s">
        <v>770</v>
      </c>
      <c r="D89" s="159">
        <v>7.59</v>
      </c>
      <c r="E89" s="160">
        <v>18764.91</v>
      </c>
      <c r="F89" s="228">
        <f t="shared" si="15"/>
        <v>2472.320158102767</v>
      </c>
      <c r="G89" s="229" t="s">
        <v>87</v>
      </c>
      <c r="H89" s="163">
        <v>45768</v>
      </c>
      <c r="I89" s="160">
        <v>18784.583813999172</v>
      </c>
      <c r="J89" s="164">
        <f t="shared" si="11"/>
        <v>19.673813999172125</v>
      </c>
      <c r="K89" s="324">
        <f t="shared" si="12"/>
        <v>2.5893555810732853</v>
      </c>
      <c r="L89" s="182">
        <f t="shared" si="13"/>
        <v>7.5979576319978994</v>
      </c>
      <c r="M89" s="182">
        <f t="shared" si="14"/>
        <v>7.9576319978995613E-3</v>
      </c>
      <c r="N89" s="170"/>
    </row>
    <row r="90" spans="2:14" ht="30">
      <c r="B90" s="169">
        <v>45754</v>
      </c>
      <c r="C90" s="212" t="s">
        <v>771</v>
      </c>
      <c r="D90" s="159">
        <v>7.59</v>
      </c>
      <c r="E90" s="160">
        <v>272710.29389999999</v>
      </c>
      <c r="F90" s="228">
        <f t="shared" si="15"/>
        <v>35930.21</v>
      </c>
      <c r="G90" s="229" t="s">
        <v>87</v>
      </c>
      <c r="H90" s="163">
        <v>45770</v>
      </c>
      <c r="I90" s="160">
        <v>274828.83779682359</v>
      </c>
      <c r="J90" s="164">
        <f t="shared" si="11"/>
        <v>2118.5438968235976</v>
      </c>
      <c r="K90" s="324">
        <f t="shared" si="12"/>
        <v>276.97139687853371</v>
      </c>
      <c r="L90" s="182">
        <f t="shared" si="13"/>
        <v>7.6489627474157151</v>
      </c>
      <c r="M90" s="182">
        <f t="shared" si="14"/>
        <v>5.8962747415715278E-2</v>
      </c>
      <c r="N90" s="170"/>
    </row>
    <row r="91" spans="2:14" ht="30">
      <c r="B91" s="169">
        <v>45754</v>
      </c>
      <c r="C91" s="212" t="s">
        <v>772</v>
      </c>
      <c r="D91" s="159">
        <v>7.59</v>
      </c>
      <c r="E91" s="160">
        <v>7191.5249999999996</v>
      </c>
      <c r="F91" s="228">
        <f t="shared" si="15"/>
        <v>947.5</v>
      </c>
      <c r="G91" s="229" t="s">
        <v>87</v>
      </c>
      <c r="H91" s="163">
        <v>45770</v>
      </c>
      <c r="I91" s="160">
        <v>7247.3922031763886</v>
      </c>
      <c r="J91" s="164">
        <f t="shared" si="11"/>
        <v>55.867203176389012</v>
      </c>
      <c r="K91" s="324">
        <f t="shared" si="12"/>
        <v>7.3038927003879532</v>
      </c>
      <c r="L91" s="182">
        <f t="shared" si="13"/>
        <v>7.6489627474157134</v>
      </c>
      <c r="M91" s="182">
        <f t="shared" si="14"/>
        <v>5.8962747415713501E-2</v>
      </c>
      <c r="N91" s="170"/>
    </row>
    <row r="92" spans="2:14" ht="30">
      <c r="B92" s="169">
        <v>45754</v>
      </c>
      <c r="C92" s="212" t="s">
        <v>773</v>
      </c>
      <c r="D92" s="159">
        <v>7.59</v>
      </c>
      <c r="E92" s="160">
        <v>13474.906499999999</v>
      </c>
      <c r="F92" s="228">
        <f t="shared" si="15"/>
        <v>1775.35</v>
      </c>
      <c r="G92" s="229" t="s">
        <v>87</v>
      </c>
      <c r="H92" s="163">
        <v>45769</v>
      </c>
      <c r="I92" s="160">
        <v>13405.570584472678</v>
      </c>
      <c r="J92" s="164">
        <f t="shared" si="11"/>
        <v>-69.335915527321049</v>
      </c>
      <c r="K92" s="324">
        <f t="shared" si="12"/>
        <v>-9.1824153888688436</v>
      </c>
      <c r="L92" s="182">
        <f t="shared" si="13"/>
        <v>7.5509452133228256</v>
      </c>
      <c r="M92" s="182">
        <f t="shared" si="14"/>
        <v>-3.9054786677174214E-2</v>
      </c>
      <c r="N92" s="170"/>
    </row>
    <row r="93" spans="2:14" ht="30">
      <c r="B93" s="169">
        <v>45754</v>
      </c>
      <c r="C93" s="212" t="s">
        <v>774</v>
      </c>
      <c r="D93" s="159">
        <v>7.59</v>
      </c>
      <c r="E93" s="160">
        <v>18207.195599999999</v>
      </c>
      <c r="F93" s="228">
        <f t="shared" si="15"/>
        <v>2398.84</v>
      </c>
      <c r="G93" s="229" t="s">
        <v>87</v>
      </c>
      <c r="H93" s="163">
        <v>45769</v>
      </c>
      <c r="I93" s="160">
        <v>18113.509415527325</v>
      </c>
      <c r="J93" s="164">
        <f t="shared" si="11"/>
        <v>-93.686184472673631</v>
      </c>
      <c r="K93" s="324">
        <f t="shared" si="12"/>
        <v>-12.407212848978762</v>
      </c>
      <c r="L93" s="182">
        <f t="shared" si="13"/>
        <v>7.5509452133228248</v>
      </c>
      <c r="M93" s="182">
        <f t="shared" si="14"/>
        <v>-3.9054786677175102E-2</v>
      </c>
      <c r="N93" s="170"/>
    </row>
    <row r="94" spans="2:14" ht="30">
      <c r="B94" s="169">
        <v>45771</v>
      </c>
      <c r="C94" s="212" t="s">
        <v>794</v>
      </c>
      <c r="D94" s="159">
        <v>7.59</v>
      </c>
      <c r="E94" s="160">
        <v>8168.81</v>
      </c>
      <c r="F94" s="228">
        <f t="shared" si="15"/>
        <v>1076.2595520421607</v>
      </c>
      <c r="G94" s="229" t="s">
        <v>87</v>
      </c>
      <c r="H94" s="163">
        <v>45777</v>
      </c>
      <c r="I94" s="160">
        <v>8098.73</v>
      </c>
      <c r="J94" s="164">
        <f t="shared" si="11"/>
        <v>-70.080000000000837</v>
      </c>
      <c r="K94" s="324">
        <f t="shared" si="12"/>
        <v>-9.3130984002572657</v>
      </c>
      <c r="L94" s="182">
        <f t="shared" si="13"/>
        <v>7.5248855953315106</v>
      </c>
      <c r="M94" s="182">
        <f t="shared" si="14"/>
        <v>-6.5114404668489279E-2</v>
      </c>
      <c r="N94" s="170"/>
    </row>
    <row r="95" spans="2:14" ht="30">
      <c r="B95" s="169">
        <v>45784</v>
      </c>
      <c r="C95" s="212" t="s">
        <v>861</v>
      </c>
      <c r="D95" s="159">
        <v>7.58</v>
      </c>
      <c r="E95" s="160">
        <v>41821.17</v>
      </c>
      <c r="F95" s="228">
        <f>E95/D95</f>
        <v>5517.3047493403692</v>
      </c>
      <c r="G95" s="229" t="s">
        <v>87</v>
      </c>
      <c r="H95" s="163">
        <v>45799</v>
      </c>
      <c r="I95" s="160">
        <v>41696.514763957872</v>
      </c>
      <c r="J95" s="164">
        <f t="shared" si="11"/>
        <v>-124.65523604212649</v>
      </c>
      <c r="K95" s="324">
        <f t="shared" si="12"/>
        <v>-16.494446352141264</v>
      </c>
      <c r="L95" s="182">
        <f t="shared" si="13"/>
        <v>7.5574064979722158</v>
      </c>
      <c r="M95" s="182">
        <f t="shared" si="14"/>
        <v>-2.2593502027784318E-2</v>
      </c>
      <c r="N95" s="170"/>
    </row>
    <row r="96" spans="2:14" ht="30">
      <c r="B96" s="169">
        <v>45784</v>
      </c>
      <c r="C96" s="158" t="s">
        <v>807</v>
      </c>
      <c r="D96" s="159">
        <v>7.58</v>
      </c>
      <c r="E96" s="160">
        <v>50023.409999999996</v>
      </c>
      <c r="F96" s="228">
        <f>E96/D96</f>
        <v>6599.3944591029021</v>
      </c>
      <c r="G96" s="229" t="s">
        <v>87</v>
      </c>
      <c r="H96" s="163">
        <v>45799</v>
      </c>
      <c r="I96" s="160">
        <v>49874.306567906111</v>
      </c>
      <c r="J96" s="164">
        <f t="shared" si="11"/>
        <v>-149.1034320938852</v>
      </c>
      <c r="K96" s="324">
        <f t="shared" si="12"/>
        <v>-19.729444503731838</v>
      </c>
      <c r="L96" s="182">
        <f t="shared" si="13"/>
        <v>7.5574064979722158</v>
      </c>
      <c r="M96" s="182">
        <f t="shared" si="14"/>
        <v>-2.2593502027784318E-2</v>
      </c>
      <c r="N96" s="170"/>
    </row>
    <row r="97" spans="2:14">
      <c r="B97" s="169">
        <v>45784</v>
      </c>
      <c r="C97" s="158" t="s">
        <v>808</v>
      </c>
      <c r="D97" s="159">
        <v>7.58</v>
      </c>
      <c r="E97" s="160">
        <v>18761.310000000001</v>
      </c>
      <c r="F97" s="228">
        <f>E97/D97</f>
        <v>2475.1068601583115</v>
      </c>
      <c r="G97" s="229" t="s">
        <v>87</v>
      </c>
      <c r="H97" s="163">
        <v>45799</v>
      </c>
      <c r="I97" s="160">
        <v>18705.388668136035</v>
      </c>
      <c r="J97" s="164">
        <f t="shared" si="11"/>
        <v>-55.92133186396677</v>
      </c>
      <c r="K97" s="324">
        <f t="shared" si="12"/>
        <v>-7.3995400246065151</v>
      </c>
      <c r="L97" s="182">
        <f t="shared" si="13"/>
        <v>7.5574064979722166</v>
      </c>
      <c r="M97" s="182">
        <f t="shared" si="14"/>
        <v>-2.259350202778343E-2</v>
      </c>
      <c r="N97" s="170"/>
    </row>
    <row r="98" spans="2:14" ht="30">
      <c r="B98" s="169">
        <v>45779</v>
      </c>
      <c r="C98" s="212" t="s">
        <v>816</v>
      </c>
      <c r="D98" s="159">
        <v>7.59</v>
      </c>
      <c r="E98" s="160">
        <v>4515.8715000000002</v>
      </c>
      <c r="F98" s="228">
        <f t="shared" ref="F98" si="16">E98/D98</f>
        <v>594.97648221343877</v>
      </c>
      <c r="G98" s="229" t="s">
        <v>87</v>
      </c>
      <c r="H98" s="163">
        <v>45819</v>
      </c>
      <c r="I98" s="160">
        <v>4460.17</v>
      </c>
      <c r="J98" s="164">
        <f t="shared" si="11"/>
        <v>-55.701500000000124</v>
      </c>
      <c r="K98" s="324">
        <f t="shared" si="12"/>
        <v>-7.430452768394912</v>
      </c>
      <c r="L98" s="182">
        <f t="shared" si="13"/>
        <v>7.4963803332313592</v>
      </c>
      <c r="M98" s="182">
        <f t="shared" si="14"/>
        <v>-9.3619666768640641E-2</v>
      </c>
      <c r="N98" s="170"/>
    </row>
    <row r="99" spans="2:14" ht="30">
      <c r="B99" s="169">
        <v>45790</v>
      </c>
      <c r="C99" s="212" t="s">
        <v>811</v>
      </c>
      <c r="D99" s="159">
        <v>7.58</v>
      </c>
      <c r="E99" s="160">
        <v>258689</v>
      </c>
      <c r="F99" s="228">
        <f t="shared" ref="F99:F104" si="17">E99/D99</f>
        <v>34127.836411609496</v>
      </c>
      <c r="G99" s="229" t="s">
        <v>87</v>
      </c>
      <c r="H99" s="163">
        <v>45800</v>
      </c>
      <c r="I99" s="160">
        <v>259973.61140949561</v>
      </c>
      <c r="J99" s="164">
        <f t="shared" si="11"/>
        <v>1284.6114094956138</v>
      </c>
      <c r="K99" s="324">
        <f t="shared" si="12"/>
        <v>168.63637735407517</v>
      </c>
      <c r="L99" s="182">
        <f t="shared" si="13"/>
        <v>7.6176411617191953</v>
      </c>
      <c r="M99" s="182">
        <f t="shared" si="14"/>
        <v>3.7641161719195182E-2</v>
      </c>
      <c r="N99" s="170"/>
    </row>
    <row r="100" spans="2:14" ht="30">
      <c r="B100" s="169">
        <v>45790</v>
      </c>
      <c r="C100" s="212" t="s">
        <v>812</v>
      </c>
      <c r="D100" s="159">
        <v>7.58</v>
      </c>
      <c r="E100" s="160">
        <v>10139.66</v>
      </c>
      <c r="F100" s="228">
        <f t="shared" si="17"/>
        <v>1337.6860158311345</v>
      </c>
      <c r="G100" s="229" t="s">
        <v>87</v>
      </c>
      <c r="H100" s="163">
        <v>45800</v>
      </c>
      <c r="I100" s="160">
        <v>10190.012055651405</v>
      </c>
      <c r="J100" s="164">
        <f t="shared" si="11"/>
        <v>50.352055651404953</v>
      </c>
      <c r="K100" s="324">
        <f t="shared" si="12"/>
        <v>6.60992748049597</v>
      </c>
      <c r="L100" s="182">
        <f t="shared" si="13"/>
        <v>7.6176411617191953</v>
      </c>
      <c r="M100" s="182">
        <f t="shared" si="14"/>
        <v>3.7641161719195182E-2</v>
      </c>
      <c r="N100" s="170"/>
    </row>
    <row r="101" spans="2:14" ht="30">
      <c r="B101" s="169">
        <v>45790</v>
      </c>
      <c r="C101" s="212" t="s">
        <v>813</v>
      </c>
      <c r="D101" s="159">
        <v>7.58</v>
      </c>
      <c r="E101" s="160">
        <v>13474.902000000002</v>
      </c>
      <c r="F101" s="228">
        <f t="shared" si="17"/>
        <v>1777.6915567282324</v>
      </c>
      <c r="G101" s="229" t="s">
        <v>87</v>
      </c>
      <c r="H101" s="163">
        <v>45821</v>
      </c>
      <c r="I101" s="160">
        <v>13432.01309270721</v>
      </c>
      <c r="J101" s="164">
        <f t="shared" si="11"/>
        <v>-42.888907292792283</v>
      </c>
      <c r="K101" s="324">
        <f t="shared" si="12"/>
        <v>-5.6762339230515142</v>
      </c>
      <c r="L101" s="182">
        <f t="shared" si="13"/>
        <v>7.555873819543967</v>
      </c>
      <c r="M101" s="182">
        <f t="shared" si="14"/>
        <v>-2.4126180456033097E-2</v>
      </c>
      <c r="N101" s="170"/>
    </row>
    <row r="102" spans="2:14" ht="30">
      <c r="B102" s="169">
        <v>45790</v>
      </c>
      <c r="C102" s="212" t="s">
        <v>814</v>
      </c>
      <c r="D102" s="159">
        <v>7.58</v>
      </c>
      <c r="E102" s="160">
        <v>18207.178499999998</v>
      </c>
      <c r="F102" s="228">
        <f t="shared" si="17"/>
        <v>2402.002440633245</v>
      </c>
      <c r="G102" s="229" t="s">
        <v>87</v>
      </c>
      <c r="H102" s="163">
        <v>45800</v>
      </c>
      <c r="I102" s="160">
        <v>18297.592662317773</v>
      </c>
      <c r="J102" s="164">
        <f t="shared" si="11"/>
        <v>90.414162317774753</v>
      </c>
      <c r="K102" s="324">
        <f t="shared" si="12"/>
        <v>11.869049801417733</v>
      </c>
      <c r="L102" s="182">
        <f t="shared" si="13"/>
        <v>7.6176411617191944</v>
      </c>
      <c r="M102" s="182">
        <f t="shared" si="14"/>
        <v>3.7641161719194294E-2</v>
      </c>
      <c r="N102" s="170"/>
    </row>
    <row r="103" spans="2:14" ht="30">
      <c r="B103" s="169">
        <v>45790</v>
      </c>
      <c r="C103" s="212" t="s">
        <v>815</v>
      </c>
      <c r="D103" s="159">
        <v>7.58</v>
      </c>
      <c r="E103" s="160">
        <v>24506.432999999997</v>
      </c>
      <c r="F103" s="228">
        <f t="shared" si="17"/>
        <v>3233.0386543535615</v>
      </c>
      <c r="G103" s="229" t="s">
        <v>87</v>
      </c>
      <c r="H103" s="163">
        <v>45800</v>
      </c>
      <c r="I103" s="160">
        <v>24628.128330832926</v>
      </c>
      <c r="J103" s="164">
        <f t="shared" si="11"/>
        <v>121.69533083292845</v>
      </c>
      <c r="K103" s="324">
        <f t="shared" si="12"/>
        <v>15.975461202410266</v>
      </c>
      <c r="L103" s="182">
        <f t="shared" si="13"/>
        <v>7.6176411617191944</v>
      </c>
      <c r="M103" s="182">
        <f t="shared" si="14"/>
        <v>3.7641161719194294E-2</v>
      </c>
      <c r="N103" s="170"/>
    </row>
    <row r="104" spans="2:14" ht="30">
      <c r="B104" s="169">
        <v>45790</v>
      </c>
      <c r="C104" s="212" t="s">
        <v>817</v>
      </c>
      <c r="D104" s="159">
        <v>7.58</v>
      </c>
      <c r="E104" s="160">
        <v>46036.514999999999</v>
      </c>
      <c r="F104" s="228">
        <f t="shared" si="17"/>
        <v>6073.4188654353557</v>
      </c>
      <c r="G104" s="229" t="s">
        <v>87</v>
      </c>
      <c r="H104" s="163">
        <v>45800</v>
      </c>
      <c r="I104" s="160">
        <v>46265.125541702255</v>
      </c>
      <c r="J104" s="164">
        <f t="shared" si="11"/>
        <v>228.61054170225543</v>
      </c>
      <c r="K104" s="324">
        <f t="shared" si="12"/>
        <v>30.010673494452348</v>
      </c>
      <c r="L104" s="182">
        <f t="shared" si="13"/>
        <v>7.6176411617191944</v>
      </c>
      <c r="M104" s="182">
        <f t="shared" si="14"/>
        <v>3.7641161719194294E-2</v>
      </c>
      <c r="N104" s="170"/>
    </row>
    <row r="105" spans="2:14" ht="30">
      <c r="B105" s="169">
        <v>45797</v>
      </c>
      <c r="C105" s="212" t="s">
        <v>830</v>
      </c>
      <c r="D105" s="159">
        <v>7.58</v>
      </c>
      <c r="E105" s="160">
        <v>14913.85</v>
      </c>
      <c r="F105" s="228">
        <f t="shared" ref="F105:F109" si="18">E105/D105</f>
        <v>1967.5263852242745</v>
      </c>
      <c r="G105" s="229" t="s">
        <v>87</v>
      </c>
      <c r="H105" s="163">
        <v>45813</v>
      </c>
      <c r="I105" s="160">
        <v>14758.23</v>
      </c>
      <c r="J105" s="164">
        <f t="shared" si="11"/>
        <v>-155.6200000000008</v>
      </c>
      <c r="K105" s="324">
        <f t="shared" si="12"/>
        <v>-20.746827774645276</v>
      </c>
      <c r="L105" s="182">
        <f t="shared" si="13"/>
        <v>7.5009057620936241</v>
      </c>
      <c r="M105" s="182">
        <f t="shared" si="14"/>
        <v>-7.909423790637593E-2</v>
      </c>
      <c r="N105" s="170"/>
    </row>
    <row r="106" spans="2:14" ht="30">
      <c r="B106" s="169">
        <v>45800</v>
      </c>
      <c r="C106" s="263" t="s">
        <v>849</v>
      </c>
      <c r="D106" s="159">
        <v>7.58</v>
      </c>
      <c r="E106" s="160">
        <v>55991.26</v>
      </c>
      <c r="F106" s="228">
        <f t="shared" si="18"/>
        <v>7386.7097625329816</v>
      </c>
      <c r="G106" s="229" t="s">
        <v>87</v>
      </c>
      <c r="H106" s="163">
        <v>45821</v>
      </c>
      <c r="I106" s="160">
        <v>55813.046907292781</v>
      </c>
      <c r="J106" s="164">
        <f t="shared" si="11"/>
        <v>-178.21309270722122</v>
      </c>
      <c r="K106" s="324">
        <f t="shared" si="12"/>
        <v>-23.586033457342364</v>
      </c>
      <c r="L106" s="182">
        <f t="shared" si="13"/>
        <v>7.5558738195439661</v>
      </c>
      <c r="M106" s="182">
        <f t="shared" si="14"/>
        <v>-2.4126180456033985E-2</v>
      </c>
      <c r="N106" s="170"/>
    </row>
    <row r="107" spans="2:14" ht="30">
      <c r="B107" s="169">
        <v>45817</v>
      </c>
      <c r="C107" s="212" t="s">
        <v>912</v>
      </c>
      <c r="D107" s="159">
        <v>7.56</v>
      </c>
      <c r="E107" s="160">
        <v>41818.064399999996</v>
      </c>
      <c r="F107" s="228">
        <f t="shared" si="18"/>
        <v>5531.49</v>
      </c>
      <c r="G107" s="229" t="s">
        <v>87</v>
      </c>
      <c r="H107" s="163">
        <v>45832</v>
      </c>
      <c r="I107" s="160">
        <v>41917.185226392874</v>
      </c>
      <c r="J107" s="164">
        <f t="shared" si="11"/>
        <v>99.120826392878371</v>
      </c>
      <c r="K107" s="324">
        <f t="shared" si="12"/>
        <v>13.080216551342247</v>
      </c>
      <c r="L107" s="182">
        <f t="shared" si="13"/>
        <v>7.5779193718858524</v>
      </c>
      <c r="M107" s="182">
        <f t="shared" si="14"/>
        <v>1.7919371885852797E-2</v>
      </c>
      <c r="N107" s="266"/>
    </row>
    <row r="108" spans="2:14" ht="30">
      <c r="B108" s="169">
        <v>45817</v>
      </c>
      <c r="C108" s="158" t="s">
        <v>807</v>
      </c>
      <c r="D108" s="159">
        <v>7.56</v>
      </c>
      <c r="E108" s="160">
        <v>50020.361999999994</v>
      </c>
      <c r="F108" s="228">
        <f t="shared" si="18"/>
        <v>6616.45</v>
      </c>
      <c r="G108" s="229" t="s">
        <v>87</v>
      </c>
      <c r="H108" s="163">
        <v>45832</v>
      </c>
      <c r="I108" s="160">
        <v>50138.924628114153</v>
      </c>
      <c r="J108" s="164">
        <f t="shared" si="11"/>
        <v>118.56262811415945</v>
      </c>
      <c r="K108" s="324">
        <f t="shared" si="12"/>
        <v>15.645802270479129</v>
      </c>
      <c r="L108" s="182">
        <f t="shared" si="13"/>
        <v>7.5779193718858533</v>
      </c>
      <c r="M108" s="182">
        <f t="shared" si="14"/>
        <v>1.7919371885853685E-2</v>
      </c>
      <c r="N108" s="266"/>
    </row>
    <row r="109" spans="2:14">
      <c r="B109" s="169">
        <v>45817</v>
      </c>
      <c r="C109" s="158" t="s">
        <v>913</v>
      </c>
      <c r="D109" s="159">
        <v>7.56</v>
      </c>
      <c r="E109" s="160">
        <v>18754.167600000001</v>
      </c>
      <c r="F109" s="228">
        <f t="shared" si="18"/>
        <v>2480.71</v>
      </c>
      <c r="G109" s="229" t="s">
        <v>87</v>
      </c>
      <c r="H109" s="163">
        <v>45832</v>
      </c>
      <c r="I109" s="160">
        <v>18798.620365030954</v>
      </c>
      <c r="J109" s="164">
        <f t="shared" si="11"/>
        <v>44.452765030953742</v>
      </c>
      <c r="K109" s="324">
        <f t="shared" si="12"/>
        <v>5.8660910534194768</v>
      </c>
      <c r="L109" s="182">
        <f t="shared" si="13"/>
        <v>7.5779193718858533</v>
      </c>
      <c r="M109" s="182">
        <f t="shared" si="14"/>
        <v>1.7919371885853685E-2</v>
      </c>
      <c r="N109" s="266"/>
    </row>
    <row r="110" spans="2:14" ht="30">
      <c r="B110" s="169">
        <v>45817</v>
      </c>
      <c r="C110" s="212" t="s">
        <v>914</v>
      </c>
      <c r="D110" s="159">
        <v>7.56</v>
      </c>
      <c r="E110" s="160">
        <v>27099.575999999997</v>
      </c>
      <c r="F110" s="228">
        <f t="shared" ref="F110:F126" si="19">E110/D110</f>
        <v>3584.6</v>
      </c>
      <c r="G110" s="229" t="s">
        <v>87</v>
      </c>
      <c r="H110" s="163">
        <v>45832</v>
      </c>
      <c r="I110" s="160">
        <v>27163.809780462027</v>
      </c>
      <c r="J110" s="164">
        <f t="shared" si="11"/>
        <v>64.233780462029245</v>
      </c>
      <c r="K110" s="324">
        <f t="shared" si="12"/>
        <v>8.4764402086853998</v>
      </c>
      <c r="L110" s="182">
        <f t="shared" si="13"/>
        <v>7.5779193718858524</v>
      </c>
      <c r="M110" s="182">
        <f t="shared" si="14"/>
        <v>1.7919371885852797E-2</v>
      </c>
      <c r="N110" s="266"/>
    </row>
    <row r="111" spans="2:14" ht="30">
      <c r="B111" s="169">
        <v>45821</v>
      </c>
      <c r="C111" s="212" t="s">
        <v>864</v>
      </c>
      <c r="D111" s="159">
        <v>7.56</v>
      </c>
      <c r="E111" s="160">
        <v>451094.31359999994</v>
      </c>
      <c r="F111" s="228">
        <f t="shared" si="19"/>
        <v>59668.56</v>
      </c>
      <c r="G111" s="229" t="s">
        <v>87</v>
      </c>
      <c r="H111" s="163">
        <v>45828</v>
      </c>
      <c r="I111" s="160">
        <v>456437.27203268558</v>
      </c>
      <c r="J111" s="164">
        <f t="shared" si="11"/>
        <v>5342.958432685642</v>
      </c>
      <c r="K111" s="324">
        <f t="shared" si="12"/>
        <v>698.46757780854364</v>
      </c>
      <c r="L111" s="182">
        <f t="shared" si="13"/>
        <v>7.6495439479800682</v>
      </c>
      <c r="M111" s="182">
        <f t="shared" si="14"/>
        <v>8.9543947980068594E-2</v>
      </c>
      <c r="N111" s="170"/>
    </row>
    <row r="112" spans="2:14" ht="30">
      <c r="B112" s="169">
        <v>45821</v>
      </c>
      <c r="C112" s="212" t="s">
        <v>865</v>
      </c>
      <c r="D112" s="159">
        <v>7.56</v>
      </c>
      <c r="E112" s="160">
        <v>19183.953599999997</v>
      </c>
      <c r="F112" s="228">
        <f t="shared" si="19"/>
        <v>2537.56</v>
      </c>
      <c r="G112" s="229" t="s">
        <v>87</v>
      </c>
      <c r="H112" s="163">
        <v>45828</v>
      </c>
      <c r="I112" s="160">
        <v>19411.176740636303</v>
      </c>
      <c r="J112" s="164">
        <f t="shared" si="11"/>
        <v>227.2231406363062</v>
      </c>
      <c r="K112" s="324">
        <f t="shared" si="12"/>
        <v>29.704142126839667</v>
      </c>
      <c r="L112" s="182">
        <f t="shared" si="13"/>
        <v>7.6495439479800691</v>
      </c>
      <c r="M112" s="182">
        <f t="shared" si="14"/>
        <v>8.9543947980069483E-2</v>
      </c>
      <c r="N112" s="170"/>
    </row>
    <row r="113" spans="2:14" ht="30">
      <c r="B113" s="169">
        <v>45821</v>
      </c>
      <c r="C113" s="212" t="s">
        <v>866</v>
      </c>
      <c r="D113" s="159">
        <v>7.56</v>
      </c>
      <c r="E113" s="160">
        <v>28778.651999999998</v>
      </c>
      <c r="F113" s="228">
        <f t="shared" si="19"/>
        <v>3806.7</v>
      </c>
      <c r="G113" s="229" t="s">
        <v>87</v>
      </c>
      <c r="H113" s="163">
        <v>45828</v>
      </c>
      <c r="I113" s="160">
        <v>29119.51894677573</v>
      </c>
      <c r="J113" s="164">
        <f t="shared" si="11"/>
        <v>340.86694677573178</v>
      </c>
      <c r="K113" s="324">
        <f t="shared" si="12"/>
        <v>44.560427274326692</v>
      </c>
      <c r="L113" s="182">
        <f t="shared" si="13"/>
        <v>7.64954394798007</v>
      </c>
      <c r="M113" s="182">
        <f t="shared" si="14"/>
        <v>8.9543947980070371E-2</v>
      </c>
      <c r="N113" s="170"/>
    </row>
    <row r="114" spans="2:14" ht="30">
      <c r="B114" s="169">
        <v>45821</v>
      </c>
      <c r="C114" s="212" t="s">
        <v>867</v>
      </c>
      <c r="D114" s="159">
        <v>7.56</v>
      </c>
      <c r="E114" s="160">
        <v>32806.393199999999</v>
      </c>
      <c r="F114" s="228">
        <f t="shared" si="19"/>
        <v>4339.47</v>
      </c>
      <c r="G114" s="229" t="s">
        <v>87</v>
      </c>
      <c r="H114" s="163">
        <v>45828</v>
      </c>
      <c r="I114" s="160">
        <v>33194.966475941073</v>
      </c>
      <c r="J114" s="164">
        <f t="shared" si="11"/>
        <v>388.57327594107483</v>
      </c>
      <c r="K114" s="324">
        <f t="shared" si="12"/>
        <v>50.796920520167888</v>
      </c>
      <c r="L114" s="182">
        <f t="shared" si="13"/>
        <v>7.6495439479800691</v>
      </c>
      <c r="M114" s="182">
        <f t="shared" si="14"/>
        <v>8.9543947980069483E-2</v>
      </c>
      <c r="N114" s="170"/>
    </row>
    <row r="115" spans="2:14" ht="30">
      <c r="B115" s="169">
        <v>45821</v>
      </c>
      <c r="C115" s="212" t="s">
        <v>815</v>
      </c>
      <c r="D115" s="159">
        <v>7.56</v>
      </c>
      <c r="E115" s="160">
        <v>28690.426800000001</v>
      </c>
      <c r="F115" s="228">
        <f t="shared" si="19"/>
        <v>3795.03</v>
      </c>
      <c r="G115" s="229" t="s">
        <v>87</v>
      </c>
      <c r="H115" s="163">
        <v>45828</v>
      </c>
      <c r="I115" s="160">
        <v>29030.248768902802</v>
      </c>
      <c r="J115" s="164">
        <f t="shared" si="11"/>
        <v>339.82196890280102</v>
      </c>
      <c r="K115" s="324">
        <f t="shared" si="12"/>
        <v>44.423820715813271</v>
      </c>
      <c r="L115" s="182">
        <f t="shared" si="13"/>
        <v>7.6495439479800691</v>
      </c>
      <c r="M115" s="182">
        <f t="shared" si="14"/>
        <v>8.9543947980069483E-2</v>
      </c>
      <c r="N115" s="170"/>
    </row>
    <row r="116" spans="2:14" ht="30">
      <c r="B116" s="169">
        <v>45821</v>
      </c>
      <c r="C116" s="263" t="s">
        <v>884</v>
      </c>
      <c r="D116" s="159">
        <v>7.56</v>
      </c>
      <c r="E116" s="160">
        <v>53009.8128</v>
      </c>
      <c r="F116" s="228">
        <f t="shared" si="19"/>
        <v>7011.88</v>
      </c>
      <c r="G116" s="229" t="s">
        <v>87</v>
      </c>
      <c r="H116" s="163">
        <v>45846</v>
      </c>
      <c r="I116" s="160">
        <v>52901.94</v>
      </c>
      <c r="J116" s="164">
        <f t="shared" si="11"/>
        <v>-107.87279999999737</v>
      </c>
      <c r="K116" s="324">
        <f t="shared" si="12"/>
        <v>-14.297984702715658</v>
      </c>
      <c r="L116" s="182">
        <f t="shared" si="13"/>
        <v>7.5446157093390074</v>
      </c>
      <c r="M116" s="182">
        <f t="shared" si="14"/>
        <v>-1.5384290660992228E-2</v>
      </c>
      <c r="N116" s="170"/>
    </row>
    <row r="117" spans="2:14" ht="30">
      <c r="B117" s="169">
        <v>45821</v>
      </c>
      <c r="C117" s="263" t="s">
        <v>883</v>
      </c>
      <c r="D117" s="159">
        <v>7.56</v>
      </c>
      <c r="E117" s="160">
        <v>73452.355199999991</v>
      </c>
      <c r="F117" s="228">
        <f>E117/D117</f>
        <v>9715.92</v>
      </c>
      <c r="G117" s="229" t="s">
        <v>87</v>
      </c>
      <c r="H117" s="163">
        <v>45828</v>
      </c>
      <c r="I117" s="160">
        <v>74322.357035058507</v>
      </c>
      <c r="J117" s="164">
        <f t="shared" si="11"/>
        <v>870.00183505851601</v>
      </c>
      <c r="K117" s="324">
        <f t="shared" si="12"/>
        <v>113.73251019601605</v>
      </c>
      <c r="L117" s="182">
        <f t="shared" si="13"/>
        <v>7.6495439479800682</v>
      </c>
      <c r="M117" s="182">
        <f t="shared" si="14"/>
        <v>8.9543947980068594E-2</v>
      </c>
      <c r="N117" s="170"/>
    </row>
    <row r="118" spans="2:14" ht="30">
      <c r="B118" s="169">
        <v>45827</v>
      </c>
      <c r="C118" s="212" t="s">
        <v>866</v>
      </c>
      <c r="D118" s="159">
        <v>7.56</v>
      </c>
      <c r="E118" s="160">
        <v>5187.1400000000003</v>
      </c>
      <c r="F118" s="228">
        <f>E118/D118</f>
        <v>686.12962962962968</v>
      </c>
      <c r="G118" s="229" t="s">
        <v>87</v>
      </c>
      <c r="H118" s="163">
        <v>45834</v>
      </c>
      <c r="I118" s="160">
        <v>5149.34</v>
      </c>
      <c r="J118" s="164">
        <f t="shared" si="11"/>
        <v>-37.800000000000182</v>
      </c>
      <c r="K118" s="324">
        <f t="shared" si="12"/>
        <v>-5.0367037329056004</v>
      </c>
      <c r="L118" s="182">
        <f t="shared" si="13"/>
        <v>7.5049083695446814</v>
      </c>
      <c r="M118" s="182">
        <f t="shared" si="14"/>
        <v>-5.5091630455318175E-2</v>
      </c>
      <c r="N118" s="170"/>
    </row>
    <row r="119" spans="2:14" ht="30">
      <c r="B119" s="169">
        <v>45821</v>
      </c>
      <c r="C119" s="263" t="s">
        <v>882</v>
      </c>
      <c r="D119" s="159">
        <v>7.56</v>
      </c>
      <c r="E119" s="160">
        <v>63007.156800000004</v>
      </c>
      <c r="F119" s="228">
        <f t="shared" si="19"/>
        <v>8334.2800000000007</v>
      </c>
      <c r="G119" s="229" t="s">
        <v>87</v>
      </c>
      <c r="H119" s="163">
        <v>45839</v>
      </c>
      <c r="I119" s="160">
        <v>63313.168344087608</v>
      </c>
      <c r="J119" s="164">
        <f t="shared" si="11"/>
        <v>306.0115440876034</v>
      </c>
      <c r="K119" s="324">
        <f t="shared" si="12"/>
        <v>40.282076515234053</v>
      </c>
      <c r="L119" s="182">
        <f t="shared" si="13"/>
        <v>7.5967172142149773</v>
      </c>
      <c r="M119" s="182">
        <f t="shared" si="14"/>
        <v>3.6717214214977645E-2</v>
      </c>
      <c r="N119" s="170"/>
    </row>
    <row r="120" spans="2:14" ht="30">
      <c r="B120" s="169">
        <v>45827</v>
      </c>
      <c r="C120" s="263" t="s">
        <v>885</v>
      </c>
      <c r="D120" s="159">
        <v>7.56</v>
      </c>
      <c r="E120" s="160">
        <v>24481.61</v>
      </c>
      <c r="F120" s="228">
        <f t="shared" si="19"/>
        <v>3238.3082010582011</v>
      </c>
      <c r="G120" s="229" t="s">
        <v>87</v>
      </c>
      <c r="H120" s="163">
        <v>45839</v>
      </c>
      <c r="I120" s="160">
        <v>24600.511655912374</v>
      </c>
      <c r="J120" s="164">
        <f t="shared" si="11"/>
        <v>118.90165591237383</v>
      </c>
      <c r="K120" s="324">
        <f t="shared" si="12"/>
        <v>15.651715413321563</v>
      </c>
      <c r="L120" s="182">
        <f t="shared" si="13"/>
        <v>7.5967172142149781</v>
      </c>
      <c r="M120" s="182">
        <f t="shared" si="14"/>
        <v>3.6717214214978533E-2</v>
      </c>
      <c r="N120" s="170"/>
    </row>
    <row r="121" spans="2:14" ht="30">
      <c r="B121" s="169">
        <v>45828</v>
      </c>
      <c r="C121" s="212" t="s">
        <v>914</v>
      </c>
      <c r="D121" s="159">
        <v>7.56</v>
      </c>
      <c r="E121" s="160">
        <v>2569.2660000000001</v>
      </c>
      <c r="F121" s="228">
        <f t="shared" si="19"/>
        <v>339.85</v>
      </c>
      <c r="G121" s="229" t="s">
        <v>87</v>
      </c>
      <c r="H121" s="163">
        <v>45834</v>
      </c>
      <c r="I121" s="160">
        <v>2518.0700000000002</v>
      </c>
      <c r="J121" s="164">
        <f t="shared" si="11"/>
        <v>-51.195999999999913</v>
      </c>
      <c r="K121" s="324">
        <f t="shared" si="12"/>
        <v>-6.909641352305524</v>
      </c>
      <c r="L121" s="182">
        <f t="shared" si="13"/>
        <v>7.409357069295277</v>
      </c>
      <c r="M121" s="182">
        <f t="shared" si="14"/>
        <v>-0.15064293070472257</v>
      </c>
      <c r="N121" s="170"/>
    </row>
    <row r="122" spans="2:14" ht="30">
      <c r="B122" s="169">
        <v>45845</v>
      </c>
      <c r="C122" s="212" t="s">
        <v>915</v>
      </c>
      <c r="D122" s="159">
        <v>7.56</v>
      </c>
      <c r="E122" s="160">
        <v>41818.7448</v>
      </c>
      <c r="F122" s="228">
        <f t="shared" si="19"/>
        <v>5531.58</v>
      </c>
      <c r="G122" s="229" t="s">
        <v>87</v>
      </c>
      <c r="H122" s="163">
        <v>45863</v>
      </c>
      <c r="I122" s="160">
        <v>41313.655460567963</v>
      </c>
      <c r="J122" s="164">
        <f t="shared" si="11"/>
        <v>-505.08933943203738</v>
      </c>
      <c r="K122" s="324">
        <f t="shared" si="12"/>
        <v>-67.627569070525894</v>
      </c>
      <c r="L122" s="182">
        <f t="shared" si="13"/>
        <v>7.4686898608657861</v>
      </c>
      <c r="M122" s="182">
        <f t="shared" si="14"/>
        <v>-9.1310139134213486E-2</v>
      </c>
      <c r="N122" s="170"/>
    </row>
    <row r="123" spans="2:14" ht="30">
      <c r="B123" s="169">
        <v>45845</v>
      </c>
      <c r="C123" s="158" t="s">
        <v>916</v>
      </c>
      <c r="D123" s="159">
        <v>7.56</v>
      </c>
      <c r="E123" s="160">
        <v>50021.042399999998</v>
      </c>
      <c r="F123" s="228">
        <f t="shared" si="19"/>
        <v>6616.54</v>
      </c>
      <c r="G123" s="229" t="s">
        <v>87</v>
      </c>
      <c r="H123" s="163">
        <v>45863</v>
      </c>
      <c r="I123" s="160">
        <v>49416.885212012909</v>
      </c>
      <c r="J123" s="164">
        <f t="shared" si="11"/>
        <v>-604.15718798708986</v>
      </c>
      <c r="K123" s="324">
        <f t="shared" si="12"/>
        <v>-80.891990327879896</v>
      </c>
      <c r="L123" s="182">
        <f t="shared" si="13"/>
        <v>7.4686898608657861</v>
      </c>
      <c r="M123" s="182">
        <f t="shared" si="14"/>
        <v>-9.1310139134213486E-2</v>
      </c>
      <c r="N123" s="170"/>
    </row>
    <row r="124" spans="2:14">
      <c r="B124" s="169">
        <v>45845</v>
      </c>
      <c r="C124" s="158" t="s">
        <v>917</v>
      </c>
      <c r="D124" s="159">
        <v>7.56</v>
      </c>
      <c r="E124" s="160">
        <v>18753.940799999997</v>
      </c>
      <c r="F124" s="228">
        <f t="shared" si="19"/>
        <v>2480.6799999999998</v>
      </c>
      <c r="G124" s="229" t="s">
        <v>87</v>
      </c>
      <c r="H124" s="163">
        <v>45863</v>
      </c>
      <c r="I124" s="160">
        <v>18527.429564052534</v>
      </c>
      <c r="J124" s="164">
        <f t="shared" si="11"/>
        <v>-226.51123594746241</v>
      </c>
      <c r="K124" s="324">
        <f t="shared" si="12"/>
        <v>-30.328108432287316</v>
      </c>
      <c r="L124" s="182">
        <f t="shared" si="13"/>
        <v>7.4686898608657852</v>
      </c>
      <c r="M124" s="182">
        <f t="shared" si="14"/>
        <v>-9.1310139134214374E-2</v>
      </c>
      <c r="N124" s="170"/>
    </row>
    <row r="125" spans="2:14" ht="30">
      <c r="B125" s="169">
        <v>45845</v>
      </c>
      <c r="C125" s="212" t="s">
        <v>918</v>
      </c>
      <c r="D125" s="159">
        <v>7.56</v>
      </c>
      <c r="E125" s="160">
        <v>30946.179599999996</v>
      </c>
      <c r="F125" s="228">
        <f t="shared" si="19"/>
        <v>4093.41</v>
      </c>
      <c r="G125" s="229" t="s">
        <v>87</v>
      </c>
      <c r="H125" s="163">
        <v>45863</v>
      </c>
      <c r="I125" s="160">
        <v>30572.409763366613</v>
      </c>
      <c r="J125" s="164">
        <f t="shared" si="11"/>
        <v>-373.76983663338251</v>
      </c>
      <c r="K125" s="324">
        <f t="shared" si="12"/>
        <v>-50.044899921718581</v>
      </c>
      <c r="L125" s="182">
        <f t="shared" si="13"/>
        <v>7.4686898608657852</v>
      </c>
      <c r="M125" s="182">
        <f t="shared" si="14"/>
        <v>-9.1310139134214374E-2</v>
      </c>
      <c r="N125" s="170"/>
    </row>
    <row r="126" spans="2:14" ht="30">
      <c r="B126" s="169">
        <v>45853</v>
      </c>
      <c r="C126" s="212" t="s">
        <v>1026</v>
      </c>
      <c r="D126" s="159">
        <v>7.56</v>
      </c>
      <c r="E126" s="160">
        <v>11808.72</v>
      </c>
      <c r="F126" s="228">
        <f t="shared" si="19"/>
        <v>1562</v>
      </c>
      <c r="G126" s="229" t="s">
        <v>87</v>
      </c>
      <c r="H126" s="163">
        <v>45889</v>
      </c>
      <c r="I126" s="160">
        <v>11868.808844526066</v>
      </c>
      <c r="J126" s="164">
        <f t="shared" si="11"/>
        <v>60.088844526066168</v>
      </c>
      <c r="K126" s="324">
        <f t="shared" si="12"/>
        <v>7.908019783552529</v>
      </c>
      <c r="L126" s="182">
        <f t="shared" si="13"/>
        <v>7.5984691706312839</v>
      </c>
      <c r="M126" s="182">
        <f t="shared" si="14"/>
        <v>3.84691706312843E-2</v>
      </c>
      <c r="N126" s="170"/>
    </row>
    <row r="127" spans="2:14" ht="30">
      <c r="B127" s="169">
        <v>45853</v>
      </c>
      <c r="C127" s="212" t="s">
        <v>921</v>
      </c>
      <c r="D127" s="159">
        <v>7.56</v>
      </c>
      <c r="E127" s="160">
        <v>232222.872</v>
      </c>
      <c r="F127" s="296">
        <f t="shared" ref="F127:F136" si="20">E127/D127</f>
        <v>30717.311111111114</v>
      </c>
      <c r="G127" s="229" t="s">
        <v>87</v>
      </c>
      <c r="H127" s="163">
        <v>45887</v>
      </c>
      <c r="I127" s="160">
        <v>234032.34089987481</v>
      </c>
      <c r="J127" s="164">
        <f t="shared" si="11"/>
        <v>1809.4688998748024</v>
      </c>
      <c r="K127" s="324">
        <f t="shared" si="12"/>
        <v>237.49717209859352</v>
      </c>
      <c r="L127" s="182">
        <f t="shared" si="13"/>
        <v>7.6189071384969065</v>
      </c>
      <c r="M127" s="182">
        <f t="shared" si="14"/>
        <v>5.8907138496906875E-2</v>
      </c>
      <c r="N127" s="266"/>
    </row>
    <row r="128" spans="2:14" ht="30">
      <c r="B128" s="169">
        <v>45853</v>
      </c>
      <c r="C128" s="212" t="s">
        <v>921</v>
      </c>
      <c r="D128" s="159">
        <v>7.56</v>
      </c>
      <c r="E128" s="160">
        <v>31363.794000000002</v>
      </c>
      <c r="F128" s="296">
        <f t="shared" si="20"/>
        <v>4148.6500000000005</v>
      </c>
      <c r="G128" s="229" t="s">
        <v>87</v>
      </c>
      <c r="H128" s="163">
        <v>45887</v>
      </c>
      <c r="I128" s="160">
        <v>31608.179100125195</v>
      </c>
      <c r="J128" s="164">
        <f t="shared" si="11"/>
        <v>244.38510012519328</v>
      </c>
      <c r="K128" s="324">
        <f t="shared" si="12"/>
        <v>32.076135813542244</v>
      </c>
      <c r="L128" s="182">
        <f t="shared" si="13"/>
        <v>7.6189071384969065</v>
      </c>
      <c r="M128" s="182">
        <f t="shared" si="14"/>
        <v>5.8907138496906875E-2</v>
      </c>
      <c r="N128" s="266"/>
    </row>
    <row r="129" spans="2:16" ht="30">
      <c r="B129" s="169">
        <v>45853</v>
      </c>
      <c r="C129" s="212" t="s">
        <v>922</v>
      </c>
      <c r="D129" s="159">
        <v>7.56</v>
      </c>
      <c r="E129" s="160">
        <v>25737.8835</v>
      </c>
      <c r="F129" s="228">
        <f t="shared" si="20"/>
        <v>3404.4819444444447</v>
      </c>
      <c r="G129" s="229" t="s">
        <v>87</v>
      </c>
      <c r="H129" s="163">
        <v>45861</v>
      </c>
      <c r="I129" s="160">
        <v>25902.886270187279</v>
      </c>
      <c r="J129" s="164">
        <f t="shared" si="11"/>
        <v>165.00277018727866</v>
      </c>
      <c r="K129" s="324">
        <f t="shared" si="12"/>
        <v>21.68673197366607</v>
      </c>
      <c r="L129" s="182">
        <f t="shared" si="13"/>
        <v>7.6084663372812225</v>
      </c>
      <c r="M129" s="182">
        <f t="shared" si="14"/>
        <v>4.8466337281222849E-2</v>
      </c>
      <c r="N129" s="266"/>
    </row>
    <row r="130" spans="2:16" ht="30">
      <c r="B130" s="169">
        <v>45853</v>
      </c>
      <c r="C130" s="212" t="s">
        <v>923</v>
      </c>
      <c r="D130" s="159">
        <v>7.56</v>
      </c>
      <c r="E130" s="160">
        <v>25567.752</v>
      </c>
      <c r="F130" s="228">
        <f t="shared" si="20"/>
        <v>3381.9777777777781</v>
      </c>
      <c r="G130" s="229" t="s">
        <v>87</v>
      </c>
      <c r="H130" s="163">
        <v>45861</v>
      </c>
      <c r="I130" s="160">
        <v>25731.695679824221</v>
      </c>
      <c r="J130" s="164">
        <f t="shared" si="11"/>
        <v>163.94367982422045</v>
      </c>
      <c r="K130" s="324">
        <f t="shared" si="12"/>
        <v>21.547506579885692</v>
      </c>
      <c r="L130" s="182">
        <f t="shared" si="13"/>
        <v>7.608475682158959</v>
      </c>
      <c r="M130" s="182">
        <f t="shared" si="14"/>
        <v>4.8475682158959366E-2</v>
      </c>
      <c r="N130" s="266"/>
    </row>
    <row r="131" spans="2:16" ht="30">
      <c r="B131" s="169">
        <v>45853</v>
      </c>
      <c r="C131" s="212" t="s">
        <v>924</v>
      </c>
      <c r="D131" s="159">
        <v>7.56</v>
      </c>
      <c r="E131" s="160">
        <v>18207.178499999998</v>
      </c>
      <c r="F131" s="228">
        <f t="shared" si="20"/>
        <v>2408.3569444444443</v>
      </c>
      <c r="G131" s="229" t="s">
        <v>87</v>
      </c>
      <c r="H131" s="163">
        <v>45861</v>
      </c>
      <c r="I131" s="160">
        <v>18323.860368927275</v>
      </c>
      <c r="J131" s="164">
        <f t="shared" ref="J131:J152" si="21">I131-E131</f>
        <v>116.68186892727681</v>
      </c>
      <c r="K131" s="324">
        <f t="shared" si="12"/>
        <v>15.335829004585165</v>
      </c>
      <c r="L131" s="182">
        <f t="shared" si="13"/>
        <v>7.6084487439440558</v>
      </c>
      <c r="M131" s="182">
        <f t="shared" si="14"/>
        <v>4.8448743944056183E-2</v>
      </c>
      <c r="N131" s="266"/>
    </row>
    <row r="132" spans="2:16" ht="30">
      <c r="B132" s="169">
        <v>45853</v>
      </c>
      <c r="C132" s="212" t="s">
        <v>925</v>
      </c>
      <c r="D132" s="159">
        <v>7.56</v>
      </c>
      <c r="E132" s="160">
        <v>37622.906999999999</v>
      </c>
      <c r="F132" s="228">
        <f t="shared" si="20"/>
        <v>4976.5749999999998</v>
      </c>
      <c r="G132" s="229" t="s">
        <v>87</v>
      </c>
      <c r="H132" s="163">
        <v>45863</v>
      </c>
      <c r="I132" s="160">
        <v>37436</v>
      </c>
      <c r="J132" s="164">
        <f t="shared" si="21"/>
        <v>-186.90699999999924</v>
      </c>
      <c r="K132" s="324">
        <f t="shared" ref="K132:K152" si="22">J132/L132</f>
        <v>-24.846583596671554</v>
      </c>
      <c r="L132" s="182">
        <f t="shared" ref="L132:L152" si="23">I132/F132</f>
        <v>7.522442643786138</v>
      </c>
      <c r="M132" s="182">
        <f t="shared" ref="M132:M152" si="24">L132-D132</f>
        <v>-3.7557356213861581E-2</v>
      </c>
      <c r="N132" s="266"/>
    </row>
    <row r="133" spans="2:16" ht="30">
      <c r="B133" s="169">
        <v>45853</v>
      </c>
      <c r="C133" s="263" t="s">
        <v>926</v>
      </c>
      <c r="D133" s="159">
        <v>7.56</v>
      </c>
      <c r="E133" s="160">
        <v>45158.693999999996</v>
      </c>
      <c r="F133" s="228">
        <f t="shared" si="20"/>
        <v>5973.3722222222223</v>
      </c>
      <c r="G133" s="229" t="s">
        <v>87</v>
      </c>
      <c r="H133" s="163">
        <v>45861</v>
      </c>
      <c r="I133" s="160">
        <v>45448.286607238479</v>
      </c>
      <c r="J133" s="164">
        <f t="shared" si="21"/>
        <v>289.59260723848274</v>
      </c>
      <c r="K133" s="324">
        <f t="shared" si="22"/>
        <v>38.061818496888137</v>
      </c>
      <c r="L133" s="182">
        <f t="shared" si="23"/>
        <v>7.6084805896008172</v>
      </c>
      <c r="M133" s="182">
        <f t="shared" si="24"/>
        <v>4.8480589600817581E-2</v>
      </c>
      <c r="N133" s="266"/>
    </row>
    <row r="134" spans="2:16" ht="30">
      <c r="B134" s="169">
        <v>45853</v>
      </c>
      <c r="C134" s="263" t="s">
        <v>927</v>
      </c>
      <c r="D134" s="159">
        <v>7.56</v>
      </c>
      <c r="E134" s="160">
        <v>73806.347999999998</v>
      </c>
      <c r="F134" s="228">
        <f t="shared" si="20"/>
        <v>9762.7444444444445</v>
      </c>
      <c r="G134" s="229" t="s">
        <v>87</v>
      </c>
      <c r="H134" s="163">
        <v>45861</v>
      </c>
      <c r="I134" s="160">
        <v>74279.521073822776</v>
      </c>
      <c r="J134" s="164">
        <f t="shared" si="21"/>
        <v>473.17307382277795</v>
      </c>
      <c r="K134" s="324">
        <f t="shared" si="22"/>
        <v>62.190328248521745</v>
      </c>
      <c r="L134" s="182">
        <f t="shared" si="23"/>
        <v>7.6084672190812119</v>
      </c>
      <c r="M134" s="182">
        <f t="shared" si="24"/>
        <v>4.846721908121232E-2</v>
      </c>
      <c r="N134" s="266"/>
    </row>
    <row r="135" spans="2:16" ht="30">
      <c r="B135" s="169">
        <v>45861</v>
      </c>
      <c r="C135" s="263" t="s">
        <v>978</v>
      </c>
      <c r="D135" s="159">
        <v>7.56</v>
      </c>
      <c r="E135" s="160">
        <v>7692.72</v>
      </c>
      <c r="F135" s="296">
        <f t="shared" ref="F135" si="25">E135/D135</f>
        <v>1017.5555555555557</v>
      </c>
      <c r="G135" s="229" t="s">
        <v>87</v>
      </c>
      <c r="H135" s="163">
        <v>45877</v>
      </c>
      <c r="I135" s="160">
        <v>7615.5074052362834</v>
      </c>
      <c r="J135" s="164">
        <f t="shared" si="21"/>
        <v>-77.212594763716879</v>
      </c>
      <c r="K135" s="324">
        <f t="shared" si="22"/>
        <v>-10.316857509278755</v>
      </c>
      <c r="L135" s="182">
        <f t="shared" si="23"/>
        <v>7.4841195290594609</v>
      </c>
      <c r="M135" s="182">
        <f t="shared" si="24"/>
        <v>-7.5880470940538736E-2</v>
      </c>
      <c r="N135" s="266"/>
    </row>
    <row r="136" spans="2:16" ht="30">
      <c r="B136" s="169">
        <v>45853</v>
      </c>
      <c r="C136" s="212" t="s">
        <v>928</v>
      </c>
      <c r="D136" s="159">
        <v>7.56</v>
      </c>
      <c r="E136" s="160">
        <v>10147.494000000001</v>
      </c>
      <c r="F136" s="296">
        <f t="shared" si="20"/>
        <v>1342.2611111111112</v>
      </c>
      <c r="G136" s="229" t="s">
        <v>87</v>
      </c>
      <c r="H136" s="163">
        <v>45877</v>
      </c>
      <c r="I136" s="160">
        <v>10045.64259476372</v>
      </c>
      <c r="J136" s="164">
        <f t="shared" si="21"/>
        <v>-101.8514052362807</v>
      </c>
      <c r="K136" s="324">
        <f t="shared" si="22"/>
        <v>-13.609003015092208</v>
      </c>
      <c r="L136" s="182">
        <f t="shared" si="23"/>
        <v>7.4841195290594626</v>
      </c>
      <c r="M136" s="182">
        <f t="shared" si="24"/>
        <v>-7.5880470940536959E-2</v>
      </c>
      <c r="N136" s="266"/>
    </row>
    <row r="137" spans="2:16" ht="30">
      <c r="B137" s="169">
        <v>45853</v>
      </c>
      <c r="C137" s="263" t="s">
        <v>930</v>
      </c>
      <c r="D137" s="159">
        <v>7.56</v>
      </c>
      <c r="E137" s="160">
        <f>F137*D137</f>
        <v>120181.5468</v>
      </c>
      <c r="F137" s="228">
        <v>15897.03</v>
      </c>
      <c r="G137" s="229" t="s">
        <v>87</v>
      </c>
      <c r="H137" s="163">
        <v>45861</v>
      </c>
      <c r="I137" s="160">
        <v>120779.43</v>
      </c>
      <c r="J137" s="164">
        <f t="shared" si="21"/>
        <v>597.88319999999658</v>
      </c>
      <c r="K137" s="324">
        <f t="shared" si="22"/>
        <v>78.693591838411123</v>
      </c>
      <c r="L137" s="182">
        <f t="shared" si="23"/>
        <v>7.5976097421971263</v>
      </c>
      <c r="M137" s="182">
        <f t="shared" si="24"/>
        <v>3.760974219712665E-2</v>
      </c>
      <c r="N137" s="170"/>
    </row>
    <row r="138" spans="2:16" ht="30">
      <c r="B138" s="169">
        <v>45862</v>
      </c>
      <c r="C138" s="263" t="s">
        <v>980</v>
      </c>
      <c r="D138" s="159">
        <v>7.56</v>
      </c>
      <c r="E138" s="160">
        <f>F138*D138</f>
        <v>1594.6307999999997</v>
      </c>
      <c r="F138" s="228">
        <f>270.45-59.52</f>
        <v>210.92999999999998</v>
      </c>
      <c r="G138" s="229" t="s">
        <v>87</v>
      </c>
      <c r="H138" s="163">
        <v>45869</v>
      </c>
      <c r="I138" s="160">
        <v>1556.83</v>
      </c>
      <c r="J138" s="164">
        <f t="shared" si="21"/>
        <v>-37.800799999999754</v>
      </c>
      <c r="K138" s="324">
        <f t="shared" si="22"/>
        <v>-5.1215114970805722</v>
      </c>
      <c r="L138" s="182">
        <f t="shared" si="23"/>
        <v>7.3807898354904475</v>
      </c>
      <c r="M138" s="182">
        <f t="shared" si="24"/>
        <v>-0.17921016450955207</v>
      </c>
      <c r="N138" s="170"/>
      <c r="O138" s="12"/>
      <c r="P138" s="12"/>
    </row>
    <row r="139" spans="2:16" ht="30">
      <c r="B139" s="169">
        <v>45870</v>
      </c>
      <c r="C139" s="212" t="s">
        <v>1012</v>
      </c>
      <c r="D139" s="159">
        <v>7.56</v>
      </c>
      <c r="E139" s="160">
        <v>41818.769999999997</v>
      </c>
      <c r="F139" s="228">
        <f>E139/D139</f>
        <v>5531.583333333333</v>
      </c>
      <c r="G139" s="229" t="s">
        <v>87</v>
      </c>
      <c r="H139" s="163">
        <v>45889</v>
      </c>
      <c r="I139" s="160">
        <v>42031.565423111169</v>
      </c>
      <c r="J139" s="164">
        <f t="shared" si="21"/>
        <v>212.79542311117257</v>
      </c>
      <c r="K139" s="324">
        <f t="shared" si="22"/>
        <v>28.005038690377869</v>
      </c>
      <c r="L139" s="182">
        <f t="shared" si="23"/>
        <v>7.5984691706312848</v>
      </c>
      <c r="M139" s="182">
        <f t="shared" si="24"/>
        <v>3.8469170631285188E-2</v>
      </c>
      <c r="N139" s="170"/>
      <c r="O139" s="12"/>
      <c r="P139" s="12"/>
    </row>
    <row r="140" spans="2:16" ht="30">
      <c r="B140" s="169">
        <v>45870</v>
      </c>
      <c r="C140" s="158" t="s">
        <v>1013</v>
      </c>
      <c r="D140" s="159">
        <v>7.56</v>
      </c>
      <c r="E140" s="160">
        <v>50021.009999999995</v>
      </c>
      <c r="F140" s="228">
        <f>E140/D140</f>
        <v>6616.5357142857138</v>
      </c>
      <c r="G140" s="229" t="s">
        <v>87</v>
      </c>
      <c r="H140" s="163">
        <v>45889</v>
      </c>
      <c r="I140" s="160">
        <v>50275.542641380838</v>
      </c>
      <c r="J140" s="164">
        <f t="shared" si="21"/>
        <v>254.53264138084342</v>
      </c>
      <c r="K140" s="324">
        <f t="shared" si="22"/>
        <v>33.497884332364379</v>
      </c>
      <c r="L140" s="182">
        <f t="shared" si="23"/>
        <v>7.5984691706312839</v>
      </c>
      <c r="M140" s="182">
        <f t="shared" si="24"/>
        <v>3.84691706312843E-2</v>
      </c>
      <c r="N140" s="170"/>
      <c r="O140" s="12"/>
      <c r="P140" s="12"/>
    </row>
    <row r="141" spans="2:16">
      <c r="B141" s="169">
        <v>45870</v>
      </c>
      <c r="C141" s="158" t="s">
        <v>1014</v>
      </c>
      <c r="D141" s="159">
        <v>7.56</v>
      </c>
      <c r="E141" s="160">
        <v>18753.93</v>
      </c>
      <c r="F141" s="228">
        <f>E141/D141</f>
        <v>2480.6785714285716</v>
      </c>
      <c r="G141" s="229" t="s">
        <v>87</v>
      </c>
      <c r="H141" s="163">
        <v>45889</v>
      </c>
      <c r="I141" s="160">
        <v>18849.359647245659</v>
      </c>
      <c r="J141" s="164">
        <f t="shared" si="21"/>
        <v>95.429647245658998</v>
      </c>
      <c r="K141" s="324">
        <f t="shared" si="22"/>
        <v>12.559062240392119</v>
      </c>
      <c r="L141" s="182">
        <f t="shared" si="23"/>
        <v>7.5984691706312848</v>
      </c>
      <c r="M141" s="182">
        <f t="shared" si="24"/>
        <v>3.8469170631285188E-2</v>
      </c>
      <c r="N141" s="170"/>
      <c r="O141" s="12"/>
      <c r="P141" s="12"/>
    </row>
    <row r="142" spans="2:16" ht="30">
      <c r="B142" s="169">
        <v>45870</v>
      </c>
      <c r="C142" s="212" t="s">
        <v>1015</v>
      </c>
      <c r="D142" s="159">
        <v>7.56</v>
      </c>
      <c r="E142" s="160">
        <v>28030.940000000002</v>
      </c>
      <c r="F142" s="228">
        <f>E142/D142</f>
        <v>3707.796296296297</v>
      </c>
      <c r="G142" s="229" t="s">
        <v>87</v>
      </c>
      <c r="H142" s="163">
        <v>45889</v>
      </c>
      <c r="I142" s="160">
        <v>28173.575848388267</v>
      </c>
      <c r="J142" s="164">
        <f t="shared" si="21"/>
        <v>142.635848388265</v>
      </c>
      <c r="K142" s="324">
        <f t="shared" si="22"/>
        <v>18.771655867153406</v>
      </c>
      <c r="L142" s="182">
        <f t="shared" si="23"/>
        <v>7.598469170631283</v>
      </c>
      <c r="M142" s="182">
        <f t="shared" si="24"/>
        <v>3.8469170631283411E-2</v>
      </c>
      <c r="N142" s="170"/>
      <c r="O142" s="12"/>
      <c r="P142" s="12"/>
    </row>
    <row r="143" spans="2:16" ht="30">
      <c r="B143" s="169">
        <v>45870</v>
      </c>
      <c r="C143" s="212" t="s">
        <v>1016</v>
      </c>
      <c r="D143" s="159">
        <v>7.56</v>
      </c>
      <c r="E143" s="160">
        <v>20093.8</v>
      </c>
      <c r="F143" s="228">
        <f>E143/D143</f>
        <v>2657.9100529100529</v>
      </c>
      <c r="G143" s="229" t="s">
        <v>87</v>
      </c>
      <c r="H143" s="163">
        <v>45889</v>
      </c>
      <c r="I143" s="160">
        <v>20196.047595348002</v>
      </c>
      <c r="J143" s="164">
        <f t="shared" si="21"/>
        <v>102.24759534800251</v>
      </c>
      <c r="K143" s="324">
        <f t="shared" si="22"/>
        <v>13.456341409293069</v>
      </c>
      <c r="L143" s="182">
        <f t="shared" si="23"/>
        <v>7.5984691706312839</v>
      </c>
      <c r="M143" s="182">
        <f t="shared" si="24"/>
        <v>3.84691706312843E-2</v>
      </c>
      <c r="N143" s="170"/>
      <c r="O143" s="12"/>
      <c r="P143" s="12"/>
    </row>
    <row r="144" spans="2:16" ht="30">
      <c r="B144" s="169">
        <v>45880</v>
      </c>
      <c r="C144" s="212" t="s">
        <v>1004</v>
      </c>
      <c r="D144" s="159">
        <v>7.56</v>
      </c>
      <c r="E144" s="160">
        <v>229038.663</v>
      </c>
      <c r="F144" s="296">
        <f t="shared" ref="F144:F151" si="26">E144/D144</f>
        <v>30296.119444444445</v>
      </c>
      <c r="G144" s="229" t="s">
        <v>87</v>
      </c>
      <c r="H144" s="163">
        <v>45890</v>
      </c>
      <c r="I144" s="160">
        <v>230212.51</v>
      </c>
      <c r="J144" s="164">
        <f t="shared" si="21"/>
        <v>1173.8470000000088</v>
      </c>
      <c r="K144" s="324">
        <f t="shared" si="22"/>
        <v>154.47904599755697</v>
      </c>
      <c r="L144" s="182">
        <f t="shared" si="23"/>
        <v>7.5987457872996753</v>
      </c>
      <c r="M144" s="182">
        <f t="shared" si="24"/>
        <v>3.8745787299675705E-2</v>
      </c>
      <c r="N144" s="170"/>
      <c r="O144" s="12"/>
      <c r="P144" s="12"/>
    </row>
    <row r="145" spans="2:16" ht="30">
      <c r="B145" s="169">
        <v>45880</v>
      </c>
      <c r="C145" s="212" t="s">
        <v>1005</v>
      </c>
      <c r="D145" s="159">
        <v>7.56</v>
      </c>
      <c r="E145" s="160">
        <v>10139.661</v>
      </c>
      <c r="F145" s="228">
        <f t="shared" si="26"/>
        <v>1341.2250000000001</v>
      </c>
      <c r="G145" s="229" t="s">
        <v>87</v>
      </c>
      <c r="H145" s="163">
        <v>45889</v>
      </c>
      <c r="I145" s="160">
        <v>10190.521799620337</v>
      </c>
      <c r="J145" s="164">
        <f t="shared" si="21"/>
        <v>50.860799620337275</v>
      </c>
      <c r="K145" s="324">
        <f t="shared" si="22"/>
        <v>6.6940415134903439</v>
      </c>
      <c r="L145" s="182">
        <f t="shared" si="23"/>
        <v>7.5979211538856912</v>
      </c>
      <c r="M145" s="182">
        <f t="shared" si="24"/>
        <v>3.7921153885691616E-2</v>
      </c>
      <c r="N145" s="170"/>
      <c r="O145" s="12"/>
      <c r="P145" s="12"/>
    </row>
    <row r="146" spans="2:16" ht="30">
      <c r="B146" s="169">
        <v>45880</v>
      </c>
      <c r="C146" s="212" t="s">
        <v>1006</v>
      </c>
      <c r="D146" s="159">
        <v>7.56</v>
      </c>
      <c r="E146" s="160">
        <v>25766.443500000001</v>
      </c>
      <c r="F146" s="228">
        <f t="shared" si="26"/>
        <v>3408.2597222222225</v>
      </c>
      <c r="G146" s="229" t="s">
        <v>87</v>
      </c>
      <c r="H146" s="163">
        <v>45889</v>
      </c>
      <c r="I146" s="160">
        <v>25895.688641408797</v>
      </c>
      <c r="J146" s="164">
        <f t="shared" si="21"/>
        <v>129.24514140879546</v>
      </c>
      <c r="K146" s="324">
        <f t="shared" si="22"/>
        <v>17.010592606991917</v>
      </c>
      <c r="L146" s="182">
        <f t="shared" si="23"/>
        <v>7.5979211538856921</v>
      </c>
      <c r="M146" s="182">
        <f t="shared" si="24"/>
        <v>3.7921153885692505E-2</v>
      </c>
      <c r="N146" s="170"/>
      <c r="O146" s="12"/>
      <c r="P146" s="12"/>
    </row>
    <row r="147" spans="2:16" ht="30">
      <c r="B147" s="169">
        <v>45880</v>
      </c>
      <c r="C147" s="212" t="s">
        <v>1007</v>
      </c>
      <c r="D147" s="159">
        <v>7.56</v>
      </c>
      <c r="E147" s="160">
        <v>18207.178499999998</v>
      </c>
      <c r="F147" s="228">
        <f t="shared" si="26"/>
        <v>2408.3569444444443</v>
      </c>
      <c r="G147" s="229" t="s">
        <v>87</v>
      </c>
      <c r="H147" s="163">
        <v>45889</v>
      </c>
      <c r="I147" s="160">
        <v>18298.506174301951</v>
      </c>
      <c r="J147" s="164">
        <f t="shared" si="21"/>
        <v>91.327674301952356</v>
      </c>
      <c r="K147" s="324">
        <f t="shared" si="22"/>
        <v>12.020087133339887</v>
      </c>
      <c r="L147" s="182">
        <f t="shared" si="23"/>
        <v>7.5979211538856921</v>
      </c>
      <c r="M147" s="182">
        <f t="shared" si="24"/>
        <v>3.7921153885692505E-2</v>
      </c>
      <c r="N147" s="170"/>
      <c r="O147" s="12"/>
      <c r="P147" s="12"/>
    </row>
    <row r="148" spans="2:16" ht="30">
      <c r="B148" s="169">
        <v>45880</v>
      </c>
      <c r="C148" s="212" t="s">
        <v>1008</v>
      </c>
      <c r="D148" s="159">
        <v>7.56</v>
      </c>
      <c r="E148" s="160">
        <v>25936.690500000001</v>
      </c>
      <c r="F148" s="228">
        <f t="shared" si="26"/>
        <v>3430.7791666666672</v>
      </c>
      <c r="G148" s="229" t="s">
        <v>87</v>
      </c>
      <c r="H148" s="163">
        <v>45889</v>
      </c>
      <c r="I148" s="160">
        <v>26066.789604726993</v>
      </c>
      <c r="J148" s="164">
        <f t="shared" si="21"/>
        <v>130.09910472699266</v>
      </c>
      <c r="K148" s="324">
        <f t="shared" si="22"/>
        <v>17.12298694498271</v>
      </c>
      <c r="L148" s="182">
        <f t="shared" si="23"/>
        <v>7.5979211538856912</v>
      </c>
      <c r="M148" s="182">
        <f t="shared" si="24"/>
        <v>3.7921153885691616E-2</v>
      </c>
      <c r="N148" s="170"/>
      <c r="O148" s="12"/>
      <c r="P148" s="12"/>
    </row>
    <row r="149" spans="2:16" ht="30">
      <c r="B149" s="169">
        <v>45880</v>
      </c>
      <c r="C149" s="263" t="s">
        <v>1009</v>
      </c>
      <c r="D149" s="159">
        <v>7.56</v>
      </c>
      <c r="E149" s="160">
        <v>45158.693999999996</v>
      </c>
      <c r="F149" s="228">
        <f t="shared" si="26"/>
        <v>5973.3722222222223</v>
      </c>
      <c r="G149" s="229" t="s">
        <v>87</v>
      </c>
      <c r="H149" s="163">
        <v>45889</v>
      </c>
      <c r="I149" s="160">
        <v>45385.211167255409</v>
      </c>
      <c r="J149" s="164">
        <f t="shared" si="21"/>
        <v>226.51716725541337</v>
      </c>
      <c r="K149" s="324">
        <f t="shared" si="22"/>
        <v>29.813045261672539</v>
      </c>
      <c r="L149" s="182">
        <f t="shared" si="23"/>
        <v>7.5979211538856921</v>
      </c>
      <c r="M149" s="182">
        <f t="shared" si="24"/>
        <v>3.7921153885692505E-2</v>
      </c>
      <c r="N149" s="170"/>
      <c r="O149" s="12"/>
      <c r="P149" s="12"/>
    </row>
    <row r="150" spans="2:16" ht="30">
      <c r="B150" s="169">
        <v>45880</v>
      </c>
      <c r="C150" s="263" t="s">
        <v>1010</v>
      </c>
      <c r="D150" s="159">
        <v>7.56</v>
      </c>
      <c r="E150" s="160">
        <v>99184.785000000003</v>
      </c>
      <c r="F150" s="228">
        <f t="shared" si="26"/>
        <v>13119.680555555557</v>
      </c>
      <c r="G150" s="229" t="s">
        <v>87</v>
      </c>
      <c r="H150" s="163">
        <v>45908</v>
      </c>
      <c r="I150" s="160">
        <v>99409.27</v>
      </c>
      <c r="J150" s="164">
        <f t="shared" si="21"/>
        <v>224.48500000000058</v>
      </c>
      <c r="K150" s="324">
        <f t="shared" si="22"/>
        <v>29.626728870596242</v>
      </c>
      <c r="L150" s="182">
        <f t="shared" si="23"/>
        <v>7.5771105538011696</v>
      </c>
      <c r="M150" s="182">
        <f t="shared" si="24"/>
        <v>1.7110553801169992E-2</v>
      </c>
      <c r="N150" s="170"/>
      <c r="O150" s="12"/>
      <c r="P150" s="12"/>
    </row>
    <row r="151" spans="2:16" ht="30">
      <c r="B151" s="169">
        <v>45880</v>
      </c>
      <c r="C151" s="212" t="s">
        <v>1011</v>
      </c>
      <c r="D151" s="159">
        <v>7.56</v>
      </c>
      <c r="E151" s="160">
        <v>12684.3675</v>
      </c>
      <c r="F151" s="228">
        <f t="shared" si="26"/>
        <v>1677.8263888888889</v>
      </c>
      <c r="G151" s="229" t="s">
        <v>87</v>
      </c>
      <c r="H151" s="163">
        <v>45889</v>
      </c>
      <c r="I151" s="160">
        <v>12747.992612686532</v>
      </c>
      <c r="J151" s="164">
        <f t="shared" si="21"/>
        <v>63.625112686531793</v>
      </c>
      <c r="K151" s="324">
        <f t="shared" si="22"/>
        <v>8.3740159180242273</v>
      </c>
      <c r="L151" s="182">
        <f t="shared" si="23"/>
        <v>7.597921153885693</v>
      </c>
      <c r="M151" s="182">
        <f t="shared" si="24"/>
        <v>3.7921153885693393E-2</v>
      </c>
      <c r="N151" s="170"/>
    </row>
    <row r="152" spans="2:16" ht="30">
      <c r="B152" s="169">
        <v>45880</v>
      </c>
      <c r="C152" s="263" t="s">
        <v>930</v>
      </c>
      <c r="D152" s="159">
        <v>7.56</v>
      </c>
      <c r="E152" s="160">
        <v>120181.52000000002</v>
      </c>
      <c r="F152" s="228">
        <f>E152/D152</f>
        <v>15897.026455026458</v>
      </c>
      <c r="G152" s="229" t="s">
        <v>87</v>
      </c>
      <c r="H152" s="163">
        <v>45888</v>
      </c>
      <c r="I152" s="160">
        <v>120143.75</v>
      </c>
      <c r="J152" s="164">
        <f t="shared" si="21"/>
        <v>-37.770000000018626</v>
      </c>
      <c r="K152" s="324">
        <f t="shared" si="22"/>
        <v>-4.9976023655549744</v>
      </c>
      <c r="L152" s="182">
        <f t="shared" si="23"/>
        <v>7.5576240839689817</v>
      </c>
      <c r="M152" s="182">
        <f t="shared" si="24"/>
        <v>-2.3759160310179439E-3</v>
      </c>
      <c r="N152" s="170"/>
    </row>
    <row r="153" spans="2:16">
      <c r="B153" s="157">
        <v>45894</v>
      </c>
      <c r="C153" s="158" t="s">
        <v>1014</v>
      </c>
      <c r="D153" s="159">
        <v>7.56</v>
      </c>
      <c r="E153" s="160">
        <f>F153*D153</f>
        <v>6365.0663999999997</v>
      </c>
      <c r="F153" s="161">
        <v>841.94</v>
      </c>
      <c r="G153" s="162" t="s">
        <v>87</v>
      </c>
      <c r="H153" s="163">
        <v>45896</v>
      </c>
      <c r="I153" s="160">
        <v>6277.05</v>
      </c>
      <c r="J153" s="164">
        <f t="shared" ref="J153" si="27">I153-E153</f>
        <v>-88.016399999999521</v>
      </c>
      <c r="K153" s="324">
        <f t="shared" ref="K153" si="28">J153/L153</f>
        <v>-11.805629685282035</v>
      </c>
      <c r="L153" s="182">
        <f t="shared" ref="L153:L164" si="29">I153/F153</f>
        <v>7.4554600090267709</v>
      </c>
      <c r="M153" s="182">
        <f t="shared" ref="M153:M164" si="30">L153-D153</f>
        <v>-0.10453999097322875</v>
      </c>
      <c r="N153" s="170"/>
    </row>
    <row r="154" spans="2:16">
      <c r="B154" s="339">
        <v>45905</v>
      </c>
      <c r="C154" s="212" t="s">
        <v>1081</v>
      </c>
      <c r="D154" s="159">
        <v>7.56</v>
      </c>
      <c r="E154" s="160">
        <v>41818.769999999997</v>
      </c>
      <c r="F154" s="228">
        <f>E154/D154</f>
        <v>5531.583333333333</v>
      </c>
      <c r="G154" s="229" t="s">
        <v>87</v>
      </c>
      <c r="H154" s="163">
        <v>45923</v>
      </c>
      <c r="I154" s="340">
        <v>41919.027475615381</v>
      </c>
      <c r="J154" s="164">
        <f t="shared" ref="J154:J160" si="31">I154-E154</f>
        <v>100.25747561538446</v>
      </c>
      <c r="K154" s="324">
        <f>IFERROR(J154/L154,0)</f>
        <v>13.22985323260991</v>
      </c>
      <c r="L154" s="182">
        <f t="shared" si="29"/>
        <v>7.5781245530572106</v>
      </c>
      <c r="M154" s="182">
        <f t="shared" si="30"/>
        <v>1.8124553057210946E-2</v>
      </c>
      <c r="N154" s="170"/>
      <c r="O154" s="12"/>
      <c r="P154" s="12"/>
    </row>
    <row r="155" spans="2:16">
      <c r="B155" s="339">
        <v>45905</v>
      </c>
      <c r="C155" s="158" t="s">
        <v>1082</v>
      </c>
      <c r="D155" s="159">
        <v>7.56</v>
      </c>
      <c r="E155" s="160">
        <v>50021.009999999995</v>
      </c>
      <c r="F155" s="228">
        <f>E155/D155</f>
        <v>6616.5357142857138</v>
      </c>
      <c r="G155" s="229" t="s">
        <v>87</v>
      </c>
      <c r="H155" s="163">
        <v>45923</v>
      </c>
      <c r="I155" s="340">
        <v>50140.9317526085</v>
      </c>
      <c r="J155" s="164">
        <f t="shared" si="31"/>
        <v>119.9217526085049</v>
      </c>
      <c r="K155" s="324">
        <f>IFERROR(J155/L155,0)</f>
        <v>15.824727050721984</v>
      </c>
      <c r="L155" s="182">
        <f t="shared" si="29"/>
        <v>7.5781245530572114</v>
      </c>
      <c r="M155" s="182">
        <f t="shared" si="30"/>
        <v>1.8124553057211834E-2</v>
      </c>
      <c r="N155" s="170"/>
      <c r="O155" s="12"/>
      <c r="P155" s="12"/>
    </row>
    <row r="156" spans="2:16">
      <c r="B156" s="339">
        <v>45905</v>
      </c>
      <c r="C156" s="158" t="s">
        <v>1073</v>
      </c>
      <c r="D156" s="159">
        <v>7.56</v>
      </c>
      <c r="E156" s="160">
        <v>12502.619999999999</v>
      </c>
      <c r="F156" s="228">
        <f>E156/D156</f>
        <v>1653.7857142857142</v>
      </c>
      <c r="G156" s="229" t="s">
        <v>87</v>
      </c>
      <c r="H156" s="163">
        <v>45923</v>
      </c>
      <c r="I156" s="340">
        <v>12532.59412692383</v>
      </c>
      <c r="J156" s="164">
        <f t="shared" si="31"/>
        <v>29.974126923831136</v>
      </c>
      <c r="K156" s="324">
        <f>IFERROR(J156/L156,0)</f>
        <v>3.9553489407532627</v>
      </c>
      <c r="L156" s="182">
        <f t="shared" si="29"/>
        <v>7.5781245530572123</v>
      </c>
      <c r="M156" s="182">
        <f t="shared" si="30"/>
        <v>1.8124553057212722E-2</v>
      </c>
      <c r="N156" s="170"/>
      <c r="O156" s="12"/>
      <c r="P156" s="12"/>
    </row>
    <row r="157" spans="2:16">
      <c r="B157" s="339">
        <v>45905</v>
      </c>
      <c r="C157" s="212" t="s">
        <v>1083</v>
      </c>
      <c r="D157" s="159">
        <v>7.56</v>
      </c>
      <c r="E157" s="160">
        <v>28239.940000000002</v>
      </c>
      <c r="F157" s="228">
        <f>E157/D157</f>
        <v>3735.4417989417993</v>
      </c>
      <c r="G157" s="229" t="s">
        <v>87</v>
      </c>
      <c r="H157" s="163">
        <v>45923</v>
      </c>
      <c r="I157" s="340">
        <v>28307.643213077048</v>
      </c>
      <c r="J157" s="164">
        <f t="shared" si="31"/>
        <v>67.703213077045802</v>
      </c>
      <c r="K157" s="324">
        <f>IFERROR(J157/L157,0)</f>
        <v>8.9340327680062437</v>
      </c>
      <c r="L157" s="182">
        <f t="shared" si="29"/>
        <v>7.5781245530572114</v>
      </c>
      <c r="M157" s="182">
        <f t="shared" si="30"/>
        <v>1.8124553057211834E-2</v>
      </c>
      <c r="N157" s="170"/>
      <c r="O157" s="12"/>
      <c r="P157" s="12"/>
    </row>
    <row r="158" spans="2:16">
      <c r="B158" s="339">
        <v>45905</v>
      </c>
      <c r="C158" s="212" t="s">
        <v>1084</v>
      </c>
      <c r="D158" s="159">
        <v>7.56</v>
      </c>
      <c r="E158" s="160">
        <v>20093.8</v>
      </c>
      <c r="F158" s="228">
        <f>E158/D158</f>
        <v>2657.9100529100529</v>
      </c>
      <c r="G158" s="229" t="s">
        <v>87</v>
      </c>
      <c r="H158" s="163">
        <v>45923</v>
      </c>
      <c r="I158" s="340">
        <v>20141.973431775263</v>
      </c>
      <c r="J158" s="164">
        <f t="shared" si="31"/>
        <v>48.173431775263452</v>
      </c>
      <c r="K158" s="324">
        <f>IFERROR(J158/L158,0)</f>
        <v>6.3569068359834553</v>
      </c>
      <c r="L158" s="182">
        <f t="shared" si="29"/>
        <v>7.5781245530572114</v>
      </c>
      <c r="M158" s="182">
        <f t="shared" si="30"/>
        <v>1.8124553057211834E-2</v>
      </c>
      <c r="N158" s="170"/>
      <c r="O158" s="12"/>
      <c r="P158" s="12"/>
    </row>
    <row r="159" spans="2:16">
      <c r="B159" s="342">
        <v>45910</v>
      </c>
      <c r="C159" s="212" t="s">
        <v>1074</v>
      </c>
      <c r="D159" s="159">
        <v>7.56</v>
      </c>
      <c r="E159" s="160">
        <v>237974.67749999999</v>
      </c>
      <c r="F159" s="228">
        <f t="shared" ref="F159:F165" si="32">E159/D159</f>
        <v>31478.131944444445</v>
      </c>
      <c r="G159" s="229" t="s">
        <v>87</v>
      </c>
      <c r="H159" s="163">
        <v>45925</v>
      </c>
      <c r="I159" s="341">
        <v>239524.46716739738</v>
      </c>
      <c r="J159" s="164">
        <f t="shared" si="31"/>
        <v>1549.7896673973883</v>
      </c>
      <c r="K159" s="324">
        <f t="shared" ref="K159:K165" si="33">IFERROR(J159/L159,0)</f>
        <v>203.67223529768867</v>
      </c>
      <c r="L159" s="182">
        <f t="shared" si="29"/>
        <v>7.6092338513013598</v>
      </c>
      <c r="M159" s="182">
        <f t="shared" si="30"/>
        <v>4.9233851301360154E-2</v>
      </c>
      <c r="N159" s="170"/>
      <c r="O159" s="12"/>
      <c r="P159" s="12"/>
    </row>
    <row r="160" spans="2:16">
      <c r="B160" s="342">
        <v>45910</v>
      </c>
      <c r="C160" s="212" t="s">
        <v>1075</v>
      </c>
      <c r="D160" s="159">
        <v>7.56</v>
      </c>
      <c r="E160" s="160">
        <v>10139.6988</v>
      </c>
      <c r="F160" s="228">
        <f t="shared" si="32"/>
        <v>1341.23</v>
      </c>
      <c r="G160" s="229" t="s">
        <v>87</v>
      </c>
      <c r="H160" s="163">
        <v>45925</v>
      </c>
      <c r="I160" s="341">
        <v>10205.732718380923</v>
      </c>
      <c r="J160" s="164">
        <f t="shared" si="31"/>
        <v>66.033918380922842</v>
      </c>
      <c r="K160" s="324">
        <f t="shared" si="33"/>
        <v>8.6781297133652249</v>
      </c>
      <c r="L160" s="182">
        <f t="shared" si="29"/>
        <v>7.6092338513013598</v>
      </c>
      <c r="M160" s="182">
        <f t="shared" si="30"/>
        <v>4.9233851301360154E-2</v>
      </c>
      <c r="N160" s="170"/>
      <c r="O160" s="12"/>
      <c r="P160" s="12"/>
    </row>
    <row r="161" spans="2:16">
      <c r="B161" s="344">
        <v>45910</v>
      </c>
      <c r="C161" s="212" t="s">
        <v>1076</v>
      </c>
      <c r="D161" s="159">
        <v>7.56</v>
      </c>
      <c r="E161" s="160">
        <v>25766.445599999999</v>
      </c>
      <c r="F161" s="228">
        <f t="shared" si="32"/>
        <v>3408.26</v>
      </c>
      <c r="G161" s="229" t="s">
        <v>87</v>
      </c>
      <c r="H161" s="163">
        <v>45926</v>
      </c>
      <c r="I161" s="343">
        <v>25820.841656874491</v>
      </c>
      <c r="J161" s="164">
        <f>I161-E161*0</f>
        <v>25820.841656874491</v>
      </c>
      <c r="K161" s="324">
        <f t="shared" si="33"/>
        <v>3408.26</v>
      </c>
      <c r="L161" s="182">
        <f t="shared" si="29"/>
        <v>7.5759600666834368</v>
      </c>
      <c r="M161" s="182">
        <f t="shared" si="30"/>
        <v>1.5960066683437191E-2</v>
      </c>
      <c r="N161" s="170"/>
      <c r="O161" s="12"/>
      <c r="P161" s="12"/>
    </row>
    <row r="162" spans="2:16">
      <c r="B162" s="342">
        <v>45910</v>
      </c>
      <c r="C162" s="212" t="s">
        <v>1077</v>
      </c>
      <c r="D162" s="159">
        <v>7.56</v>
      </c>
      <c r="E162" s="160">
        <v>18207.126</v>
      </c>
      <c r="F162" s="228">
        <f t="shared" si="32"/>
        <v>2408.3500000000004</v>
      </c>
      <c r="G162" s="229" t="s">
        <v>87</v>
      </c>
      <c r="H162" s="163">
        <v>45925</v>
      </c>
      <c r="I162" s="341">
        <f>18325.6983457816+0.3</f>
        <v>18325.998345781598</v>
      </c>
      <c r="J162" s="164">
        <f t="shared" ref="J162:J168" si="34">I162-E162</f>
        <v>118.87234578159769</v>
      </c>
      <c r="K162" s="324">
        <f t="shared" si="33"/>
        <v>15.62186182500721</v>
      </c>
      <c r="L162" s="182">
        <f t="shared" si="29"/>
        <v>7.6093584179133416</v>
      </c>
      <c r="M162" s="182">
        <f t="shared" si="30"/>
        <v>4.9358417913341945E-2</v>
      </c>
      <c r="N162" s="170"/>
      <c r="O162" s="12"/>
      <c r="P162" s="12"/>
    </row>
    <row r="163" spans="2:16">
      <c r="B163" s="344">
        <v>45910</v>
      </c>
      <c r="C163" s="263" t="s">
        <v>1078</v>
      </c>
      <c r="D163" s="159">
        <v>7.56</v>
      </c>
      <c r="E163" s="160">
        <v>45158.752800000002</v>
      </c>
      <c r="F163" s="228">
        <f t="shared" si="32"/>
        <v>5973.380000000001</v>
      </c>
      <c r="G163" s="325" t="s">
        <v>87</v>
      </c>
      <c r="H163" s="163">
        <v>45926</v>
      </c>
      <c r="I163" s="343">
        <v>45254.088343125513</v>
      </c>
      <c r="J163" s="164">
        <f t="shared" si="34"/>
        <v>95.335543125511322</v>
      </c>
      <c r="K163" s="324">
        <f t="shared" si="33"/>
        <v>12.583955338514185</v>
      </c>
      <c r="L163" s="182">
        <f t="shared" si="29"/>
        <v>7.5759600666834368</v>
      </c>
      <c r="M163" s="182">
        <f t="shared" si="30"/>
        <v>1.5960066683437191E-2</v>
      </c>
      <c r="N163" s="170"/>
      <c r="O163" s="12"/>
      <c r="P163" s="12"/>
    </row>
    <row r="164" spans="2:16">
      <c r="B164" s="342">
        <v>45910</v>
      </c>
      <c r="C164" s="263" t="s">
        <v>1079</v>
      </c>
      <c r="D164" s="159">
        <v>7.56</v>
      </c>
      <c r="E164" s="160">
        <v>99184.780799999993</v>
      </c>
      <c r="F164" s="228">
        <f t="shared" si="32"/>
        <v>13119.68</v>
      </c>
      <c r="G164" s="229" t="s">
        <v>87</v>
      </c>
      <c r="H164" s="163">
        <v>45925</v>
      </c>
      <c r="I164" s="341">
        <v>99830.713174241435</v>
      </c>
      <c r="J164" s="164">
        <f t="shared" si="34"/>
        <v>645.93237424144172</v>
      </c>
      <c r="K164" s="324">
        <f t="shared" si="33"/>
        <v>84.887964657699655</v>
      </c>
      <c r="L164" s="182">
        <f t="shared" si="29"/>
        <v>7.6092338513013607</v>
      </c>
      <c r="M164" s="182">
        <f t="shared" si="30"/>
        <v>4.9233851301361042E-2</v>
      </c>
      <c r="N164" s="170"/>
      <c r="O164" s="12"/>
      <c r="P164" s="12"/>
    </row>
    <row r="165" spans="2:16">
      <c r="B165" s="342">
        <v>45910</v>
      </c>
      <c r="C165" s="212" t="s">
        <v>1080</v>
      </c>
      <c r="D165" s="159">
        <v>7.56</v>
      </c>
      <c r="E165" s="160">
        <v>13080.4632</v>
      </c>
      <c r="F165" s="228">
        <f t="shared" si="32"/>
        <v>1730.22</v>
      </c>
      <c r="G165" s="229" t="s">
        <v>87</v>
      </c>
      <c r="H165" s="163">
        <v>45925</v>
      </c>
      <c r="I165" s="341">
        <v>13165.648594198641</v>
      </c>
      <c r="J165" s="164">
        <f t="shared" si="34"/>
        <v>85.185394198641006</v>
      </c>
      <c r="K165" s="324">
        <f t="shared" si="33"/>
        <v>11.19500279046783</v>
      </c>
      <c r="L165" s="182">
        <f t="shared" ref="L165:L166" si="35">I165/F165</f>
        <v>7.6092338513013607</v>
      </c>
      <c r="M165" s="182">
        <f t="shared" ref="M165:M167" si="36">L165-D165</f>
        <v>4.9233851301361042E-2</v>
      </c>
      <c r="N165" s="170"/>
    </row>
    <row r="166" spans="2:16">
      <c r="B166" s="169">
        <v>45910</v>
      </c>
      <c r="C166" s="263" t="s">
        <v>1092</v>
      </c>
      <c r="D166" s="159">
        <v>7.56</v>
      </c>
      <c r="E166" s="160">
        <v>120181.52000000002</v>
      </c>
      <c r="F166" s="228">
        <f>E166/D166</f>
        <v>15897.026455026458</v>
      </c>
      <c r="G166" s="325" t="s">
        <v>87</v>
      </c>
      <c r="H166" s="163">
        <v>45916</v>
      </c>
      <c r="I166" s="160">
        <v>120779.43</v>
      </c>
      <c r="J166" s="164">
        <f t="shared" si="34"/>
        <v>597.90999999997439</v>
      </c>
      <c r="K166" s="324">
        <f>IFERROR(J166/L166,0)</f>
        <v>78.697101714459677</v>
      </c>
      <c r="L166" s="182">
        <f t="shared" si="35"/>
        <v>7.5976114364338194</v>
      </c>
      <c r="M166" s="182">
        <f t="shared" si="36"/>
        <v>3.7611436433819811E-2</v>
      </c>
      <c r="N166" s="170"/>
    </row>
    <row r="167" spans="2:16" ht="30">
      <c r="B167" s="169">
        <v>45916</v>
      </c>
      <c r="C167" s="263" t="s">
        <v>1138</v>
      </c>
      <c r="D167" s="159">
        <v>7.56</v>
      </c>
      <c r="E167" s="160">
        <f>F167*D167</f>
        <v>10884.056399999999</v>
      </c>
      <c r="F167" s="228">
        <v>1439.69</v>
      </c>
      <c r="G167" s="325" t="s">
        <v>87</v>
      </c>
      <c r="H167" s="163">
        <v>45924</v>
      </c>
      <c r="I167" s="160">
        <v>10846.26</v>
      </c>
      <c r="J167" s="164">
        <f t="shared" ref="J167" si="37">I167-E167</f>
        <v>-37.796399999999267</v>
      </c>
      <c r="K167" s="324">
        <f>IFERROR(J167/L167,0)</f>
        <v>-5.0169458519341177</v>
      </c>
      <c r="L167" s="182">
        <f t="shared" ref="L167" si="38">I167/F167</f>
        <v>7.5337468482798382</v>
      </c>
      <c r="M167" s="182">
        <f t="shared" si="36"/>
        <v>-2.6253151720161405E-2</v>
      </c>
      <c r="N167" s="170"/>
    </row>
    <row r="168" spans="2:16">
      <c r="B168" s="346">
        <v>45923</v>
      </c>
      <c r="C168" s="263" t="s">
        <v>1129</v>
      </c>
      <c r="D168" s="159">
        <v>7.56</v>
      </c>
      <c r="E168" s="160">
        <f>F168*D168</f>
        <v>118493.0208</v>
      </c>
      <c r="F168" s="228">
        <v>15673.68</v>
      </c>
      <c r="G168" s="325" t="s">
        <v>87</v>
      </c>
      <c r="H168" s="163">
        <v>45926</v>
      </c>
      <c r="I168" s="345">
        <v>118768.59</v>
      </c>
      <c r="J168" s="164">
        <f t="shared" si="34"/>
        <v>275.56919999999809</v>
      </c>
      <c r="K168" s="324">
        <f>IFERROR(J168/L168,0)</f>
        <v>36.366378169985602</v>
      </c>
      <c r="L168" s="182">
        <f t="shared" ref="L168" si="39">I168/F168</f>
        <v>7.5775816528090401</v>
      </c>
      <c r="M168" s="182">
        <f t="shared" ref="M168:M174" si="40">L168-D168</f>
        <v>1.7581652809040449E-2</v>
      </c>
      <c r="N168" s="170"/>
    </row>
    <row r="169" spans="2:16" ht="30">
      <c r="B169" s="169">
        <v>45930</v>
      </c>
      <c r="C169" s="263" t="s">
        <v>1156</v>
      </c>
      <c r="D169" s="159">
        <v>7.56</v>
      </c>
      <c r="E169" s="160">
        <f>F169*D169</f>
        <v>11102.4648</v>
      </c>
      <c r="F169" s="228">
        <v>1468.58</v>
      </c>
      <c r="G169" s="325" t="s">
        <v>87</v>
      </c>
      <c r="H169" s="163">
        <v>45939</v>
      </c>
      <c r="I169" s="160">
        <v>10991.49</v>
      </c>
      <c r="J169" s="164">
        <f t="shared" ref="J169:J174" si="41">I169-E169</f>
        <v>-110.97479999999996</v>
      </c>
      <c r="K169" s="324">
        <f>IFERROR(J169/L169,0)</f>
        <v>-14.827413916038674</v>
      </c>
      <c r="L169" s="182">
        <f t="shared" ref="L169:L174" si="42">I169/F169</f>
        <v>7.4844339429925508</v>
      </c>
      <c r="M169" s="182">
        <f t="shared" si="40"/>
        <v>-7.5566057007448784E-2</v>
      </c>
      <c r="N169" s="170"/>
    </row>
    <row r="170" spans="2:16">
      <c r="B170" s="169">
        <v>45939</v>
      </c>
      <c r="C170" s="263" t="s">
        <v>1159</v>
      </c>
      <c r="D170" s="159">
        <v>7.56</v>
      </c>
      <c r="E170" s="160">
        <f>F170*D170</f>
        <v>38934</v>
      </c>
      <c r="F170" s="228">
        <v>5150</v>
      </c>
      <c r="G170" s="325" t="s">
        <v>87</v>
      </c>
      <c r="H170" s="163">
        <v>45944</v>
      </c>
      <c r="I170" s="160">
        <v>38690.400000000001</v>
      </c>
      <c r="J170" s="164">
        <f t="shared" si="41"/>
        <v>-243.59999999999854</v>
      </c>
      <c r="K170" s="324">
        <f t="shared" ref="K170" si="43">IFERROR(J170/L170,0)</f>
        <v>-32.425097698653737</v>
      </c>
      <c r="L170" s="182">
        <f t="shared" si="42"/>
        <v>7.5126990291262139</v>
      </c>
      <c r="M170" s="182">
        <f t="shared" si="40"/>
        <v>-4.7300970873785708E-2</v>
      </c>
      <c r="N170" s="266"/>
      <c r="O170" s="12"/>
      <c r="P170" s="12"/>
    </row>
    <row r="171" spans="2:16">
      <c r="B171" s="339">
        <v>45937</v>
      </c>
      <c r="C171" s="158" t="s">
        <v>1166</v>
      </c>
      <c r="D171" s="159">
        <v>7.55</v>
      </c>
      <c r="E171" s="160">
        <v>50019.807000000001</v>
      </c>
      <c r="F171" s="228">
        <f>E171/D171</f>
        <v>6625.14</v>
      </c>
      <c r="G171" s="229" t="s">
        <v>87</v>
      </c>
      <c r="H171" s="163">
        <v>45952</v>
      </c>
      <c r="I171" s="160">
        <v>49870.579598971439</v>
      </c>
      <c r="J171" s="164">
        <f t="shared" si="41"/>
        <v>-149.22740102856187</v>
      </c>
      <c r="K171" s="324">
        <f t="shared" ref="K171:K183" si="44">IFERROR(J171/L171,0)</f>
        <v>-19.824362010638374</v>
      </c>
      <c r="L171" s="182">
        <f t="shared" si="42"/>
        <v>7.5274755852663393</v>
      </c>
      <c r="M171" s="182">
        <f t="shared" si="40"/>
        <v>-2.2524414733660514E-2</v>
      </c>
      <c r="N171" s="170"/>
      <c r="O171" s="12"/>
      <c r="P171" s="12"/>
    </row>
    <row r="172" spans="2:16">
      <c r="B172" s="339">
        <v>45937</v>
      </c>
      <c r="C172" s="158" t="s">
        <v>1167</v>
      </c>
      <c r="D172" s="159">
        <v>7.55</v>
      </c>
      <c r="E172" s="160">
        <v>12500.233</v>
      </c>
      <c r="F172" s="228">
        <f>E172/D172</f>
        <v>1655.66</v>
      </c>
      <c r="G172" s="229" t="s">
        <v>87</v>
      </c>
      <c r="H172" s="163">
        <v>45952</v>
      </c>
      <c r="I172" s="160">
        <v>12462.940227502069</v>
      </c>
      <c r="J172" s="164">
        <f t="shared" si="41"/>
        <v>-37.292772497930855</v>
      </c>
      <c r="K172" s="324">
        <f t="shared" si="44"/>
        <v>-4.9542203193491128</v>
      </c>
      <c r="L172" s="182">
        <f t="shared" si="42"/>
        <v>7.5274755852663402</v>
      </c>
      <c r="M172" s="182">
        <f t="shared" si="40"/>
        <v>-2.2524414733659626E-2</v>
      </c>
      <c r="N172" s="170"/>
      <c r="O172" s="12"/>
      <c r="P172" s="12"/>
    </row>
    <row r="173" spans="2:16">
      <c r="B173" s="339">
        <v>45937</v>
      </c>
      <c r="C173" s="212" t="s">
        <v>1168</v>
      </c>
      <c r="D173" s="159">
        <v>7.55</v>
      </c>
      <c r="E173" s="160">
        <v>29989.203999999998</v>
      </c>
      <c r="F173" s="228">
        <f>E173/D173</f>
        <v>3972.08</v>
      </c>
      <c r="G173" s="229" t="s">
        <v>87</v>
      </c>
      <c r="H173" s="163">
        <v>45952</v>
      </c>
      <c r="I173" s="160">
        <v>29899.735222724721</v>
      </c>
      <c r="J173" s="164">
        <f t="shared" si="41"/>
        <v>-89.468777275276807</v>
      </c>
      <c r="K173" s="324">
        <f t="shared" si="44"/>
        <v>-11.885628357320165</v>
      </c>
      <c r="L173" s="182">
        <f t="shared" si="42"/>
        <v>7.5274755852663393</v>
      </c>
      <c r="M173" s="182">
        <f t="shared" si="40"/>
        <v>-2.2524414733660514E-2</v>
      </c>
      <c r="N173" s="170"/>
      <c r="O173" s="12"/>
      <c r="P173" s="12"/>
    </row>
    <row r="174" spans="2:16">
      <c r="B174" s="339">
        <v>45937</v>
      </c>
      <c r="C174" s="212" t="s">
        <v>1169</v>
      </c>
      <c r="D174" s="159">
        <v>7.55</v>
      </c>
      <c r="E174" s="160">
        <v>20092.588499999998</v>
      </c>
      <c r="F174" s="228">
        <f>E174/D174</f>
        <v>2661.27</v>
      </c>
      <c r="G174" s="229" t="s">
        <v>87</v>
      </c>
      <c r="H174" s="163">
        <v>45952</v>
      </c>
      <c r="I174" s="160">
        <v>20032.64495080175</v>
      </c>
      <c r="J174" s="164">
        <f t="shared" si="41"/>
        <v>-59.943549198247638</v>
      </c>
      <c r="K174" s="324">
        <f t="shared" si="44"/>
        <v>-7.9633003812826981</v>
      </c>
      <c r="L174" s="182">
        <f t="shared" si="42"/>
        <v>7.5274755852663393</v>
      </c>
      <c r="M174" s="182">
        <f t="shared" si="40"/>
        <v>-2.2524414733660514E-2</v>
      </c>
      <c r="N174" s="170"/>
      <c r="O174" s="12"/>
      <c r="P174" s="12"/>
    </row>
    <row r="175" spans="2:16">
      <c r="B175" s="339">
        <v>45937</v>
      </c>
      <c r="C175" s="212" t="s">
        <v>1165</v>
      </c>
      <c r="D175" s="159">
        <v>7.55</v>
      </c>
      <c r="E175" s="160">
        <v>6384.268</v>
      </c>
      <c r="F175" s="228">
        <f>E175/D175</f>
        <v>845.5984105960265</v>
      </c>
      <c r="G175" s="229" t="s">
        <v>87</v>
      </c>
      <c r="H175" s="163">
        <v>45960</v>
      </c>
      <c r="I175" s="358">
        <v>6372.49</v>
      </c>
      <c r="J175" s="164">
        <f t="shared" ref="J175:J183" si="45">I175-E175</f>
        <v>-11.778000000000247</v>
      </c>
      <c r="K175" s="324">
        <f t="shared" si="44"/>
        <v>-1.5628832811036517</v>
      </c>
      <c r="L175" s="182">
        <f t="shared" ref="L175:L183" si="46">I175/F175</f>
        <v>7.536071402391002</v>
      </c>
      <c r="M175" s="182">
        <f>L175-D175</f>
        <v>-1.3928597608997784E-2</v>
      </c>
      <c r="N175" s="170"/>
      <c r="O175" s="12"/>
      <c r="P175" s="12"/>
    </row>
    <row r="176" spans="2:16">
      <c r="B176" s="342">
        <v>45945</v>
      </c>
      <c r="C176" s="212" t="s">
        <v>1170</v>
      </c>
      <c r="D176" s="159">
        <v>7.55</v>
      </c>
      <c r="E176" s="160">
        <v>418813.147</v>
      </c>
      <c r="F176" s="228">
        <f t="shared" ref="F176:F183" si="47">E176/D176</f>
        <v>55471.94</v>
      </c>
      <c r="G176" s="229" t="s">
        <v>87</v>
      </c>
      <c r="H176" s="163">
        <v>45952</v>
      </c>
      <c r="I176" s="160">
        <v>422666.13341886736</v>
      </c>
      <c r="J176" s="164">
        <f t="shared" si="45"/>
        <v>3852.9864188673673</v>
      </c>
      <c r="K176" s="324">
        <f t="shared" si="44"/>
        <v>505.67721080319865</v>
      </c>
      <c r="L176" s="182">
        <f t="shared" si="46"/>
        <v>7.6194582958315022</v>
      </c>
      <c r="M176" s="182">
        <f t="shared" ref="M176:M183" si="48">L176-D176</f>
        <v>6.9458295831502426E-2</v>
      </c>
      <c r="N176" s="266"/>
      <c r="O176" s="12"/>
      <c r="P176" s="12"/>
    </row>
    <row r="177" spans="2:16">
      <c r="B177" s="342">
        <v>45945</v>
      </c>
      <c r="C177" s="212" t="s">
        <v>1171</v>
      </c>
      <c r="D177" s="159">
        <v>7.55</v>
      </c>
      <c r="E177" s="160">
        <v>10139.65</v>
      </c>
      <c r="F177" s="228">
        <f t="shared" si="47"/>
        <v>1343</v>
      </c>
      <c r="G177" s="229" t="s">
        <v>87</v>
      </c>
      <c r="H177" s="163">
        <v>45952</v>
      </c>
      <c r="I177" s="160">
        <v>10232.932491301708</v>
      </c>
      <c r="J177" s="164">
        <f t="shared" si="45"/>
        <v>93.282491301708433</v>
      </c>
      <c r="K177" s="324">
        <f t="shared" si="44"/>
        <v>12.242667087336374</v>
      </c>
      <c r="L177" s="182">
        <f t="shared" si="46"/>
        <v>7.6194582958315022</v>
      </c>
      <c r="M177" s="182">
        <f t="shared" si="48"/>
        <v>6.9458295831502426E-2</v>
      </c>
      <c r="N177" s="266"/>
      <c r="O177" s="12"/>
      <c r="P177" s="12"/>
    </row>
    <row r="178" spans="2:16">
      <c r="B178" s="342">
        <v>45945</v>
      </c>
      <c r="C178" s="212" t="s">
        <v>1172</v>
      </c>
      <c r="D178" s="159">
        <v>7.55</v>
      </c>
      <c r="E178" s="160">
        <v>25987.703999999998</v>
      </c>
      <c r="F178" s="228">
        <f t="shared" si="47"/>
        <v>3442.08</v>
      </c>
      <c r="G178" s="229" t="s">
        <v>87</v>
      </c>
      <c r="H178" s="163">
        <v>45952</v>
      </c>
      <c r="I178" s="160">
        <v>26226.785010915697</v>
      </c>
      <c r="J178" s="164">
        <f t="shared" si="45"/>
        <v>239.08101091569915</v>
      </c>
      <c r="K178" s="324">
        <f t="shared" si="44"/>
        <v>31.377691383453989</v>
      </c>
      <c r="L178" s="182">
        <f t="shared" si="46"/>
        <v>7.6194582958315022</v>
      </c>
      <c r="M178" s="182">
        <f t="shared" si="48"/>
        <v>6.9458295831502426E-2</v>
      </c>
      <c r="N178" s="266"/>
      <c r="O178" s="12"/>
      <c r="P178" s="12"/>
    </row>
    <row r="179" spans="2:16">
      <c r="B179" s="342">
        <v>45945</v>
      </c>
      <c r="C179" s="212" t="s">
        <v>1173</v>
      </c>
      <c r="D179" s="159">
        <v>7.55</v>
      </c>
      <c r="E179" s="160">
        <v>18207.202499999999</v>
      </c>
      <c r="F179" s="228">
        <f t="shared" si="47"/>
        <v>2411.5500000000002</v>
      </c>
      <c r="G179" s="229" t="s">
        <v>87</v>
      </c>
      <c r="H179" s="163">
        <v>45952</v>
      </c>
      <c r="I179" s="160">
        <v>18374.704653312459</v>
      </c>
      <c r="J179" s="164">
        <f t="shared" si="45"/>
        <v>167.50215331246</v>
      </c>
      <c r="K179" s="324">
        <f t="shared" si="44"/>
        <v>21.9834726838912</v>
      </c>
      <c r="L179" s="182">
        <f t="shared" si="46"/>
        <v>7.6194582958315014</v>
      </c>
      <c r="M179" s="182">
        <f t="shared" si="48"/>
        <v>6.9458295831501538E-2</v>
      </c>
      <c r="N179" s="266"/>
      <c r="O179" s="12"/>
      <c r="P179" s="12"/>
    </row>
    <row r="180" spans="2:16">
      <c r="B180" s="342">
        <v>45945</v>
      </c>
      <c r="C180" s="263" t="s">
        <v>1174</v>
      </c>
      <c r="D180" s="159">
        <v>7.55</v>
      </c>
      <c r="E180" s="160">
        <v>45158.663999999997</v>
      </c>
      <c r="F180" s="228">
        <f t="shared" si="47"/>
        <v>5981.28</v>
      </c>
      <c r="G180" s="229" t="s">
        <v>87</v>
      </c>
      <c r="H180" s="163">
        <v>45952</v>
      </c>
      <c r="I180" s="160">
        <v>45574.113515691046</v>
      </c>
      <c r="J180" s="164">
        <f t="shared" si="45"/>
        <v>415.44951569104887</v>
      </c>
      <c r="K180" s="324">
        <f t="shared" si="44"/>
        <v>54.524809974789861</v>
      </c>
      <c r="L180" s="182">
        <f t="shared" si="46"/>
        <v>7.6194582958315022</v>
      </c>
      <c r="M180" s="182">
        <f t="shared" si="48"/>
        <v>6.9458295831502426E-2</v>
      </c>
      <c r="N180" s="266"/>
      <c r="O180" s="12"/>
      <c r="P180" s="12"/>
    </row>
    <row r="181" spans="2:16">
      <c r="B181" s="342">
        <v>45945</v>
      </c>
      <c r="C181" s="263" t="s">
        <v>1175</v>
      </c>
      <c r="D181" s="159">
        <v>7.55</v>
      </c>
      <c r="E181" s="160">
        <v>101151.57799999999</v>
      </c>
      <c r="F181" s="228">
        <f t="shared" si="47"/>
        <v>13397.56</v>
      </c>
      <c r="G181" s="229" t="s">
        <v>87</v>
      </c>
      <c r="H181" s="163">
        <v>45954</v>
      </c>
      <c r="I181" s="160">
        <v>101515.6</v>
      </c>
      <c r="J181" s="164">
        <f t="shared" si="45"/>
        <v>364.02200000001176</v>
      </c>
      <c r="K181" s="324">
        <f t="shared" si="44"/>
        <v>48.041942187409198</v>
      </c>
      <c r="L181" s="182">
        <f t="shared" si="46"/>
        <v>7.5771707684085765</v>
      </c>
      <c r="M181" s="182">
        <f t="shared" si="48"/>
        <v>2.7170768408576684E-2</v>
      </c>
      <c r="N181" s="266"/>
      <c r="O181" s="12"/>
      <c r="P181" s="12"/>
    </row>
    <row r="182" spans="2:16">
      <c r="B182" s="342">
        <v>45945</v>
      </c>
      <c r="C182" s="212" t="s">
        <v>1176</v>
      </c>
      <c r="D182" s="159">
        <v>7.55</v>
      </c>
      <c r="E182" s="160">
        <v>12684.377499999999</v>
      </c>
      <c r="F182" s="228">
        <f t="shared" si="47"/>
        <v>1680.05</v>
      </c>
      <c r="G182" s="229" t="s">
        <v>87</v>
      </c>
      <c r="H182" s="163">
        <v>45952</v>
      </c>
      <c r="I182" s="160">
        <v>12801.070909911716</v>
      </c>
      <c r="J182" s="164">
        <f t="shared" si="45"/>
        <v>116.69340991171703</v>
      </c>
      <c r="K182" s="324">
        <f t="shared" si="44"/>
        <v>15.31518454212924</v>
      </c>
      <c r="L182" s="182">
        <f t="shared" si="46"/>
        <v>7.6194582958315022</v>
      </c>
      <c r="M182" s="182">
        <f t="shared" si="48"/>
        <v>6.9458295831502426E-2</v>
      </c>
      <c r="N182" s="266"/>
      <c r="O182" s="12"/>
      <c r="P182" s="12"/>
    </row>
    <row r="183" spans="2:16">
      <c r="B183" s="169">
        <v>45944</v>
      </c>
      <c r="C183" s="263" t="s">
        <v>1092</v>
      </c>
      <c r="D183" s="159">
        <v>7.55</v>
      </c>
      <c r="E183" s="160">
        <v>120178.333</v>
      </c>
      <c r="F183" s="228">
        <f t="shared" si="47"/>
        <v>15917.66</v>
      </c>
      <c r="G183" s="229" t="s">
        <v>87</v>
      </c>
      <c r="H183" s="163">
        <v>45947</v>
      </c>
      <c r="I183" s="160">
        <v>120458.84</v>
      </c>
      <c r="J183" s="164">
        <f t="shared" si="45"/>
        <v>280.50699999999779</v>
      </c>
      <c r="K183" s="324">
        <f t="shared" si="44"/>
        <v>37.066727967992762</v>
      </c>
      <c r="L183" s="182">
        <f t="shared" si="46"/>
        <v>7.5676223766558648</v>
      </c>
      <c r="M183" s="182">
        <f t="shared" si="48"/>
        <v>1.7622376655864969E-2</v>
      </c>
      <c r="N183" s="266"/>
      <c r="O183" s="12"/>
      <c r="P183" s="12"/>
    </row>
    <row r="184" spans="2:16">
      <c r="B184" s="169">
        <v>45952</v>
      </c>
      <c r="C184" s="263" t="s">
        <v>1178</v>
      </c>
      <c r="D184" s="159">
        <v>7.55</v>
      </c>
      <c r="E184" s="160">
        <f>F184*D184</f>
        <v>230116.90299999999</v>
      </c>
      <c r="F184" s="228">
        <v>30479.06</v>
      </c>
      <c r="G184" s="229" t="s">
        <v>87</v>
      </c>
      <c r="H184" s="163">
        <v>45958</v>
      </c>
      <c r="I184" s="160">
        <f>209623.84+21275.28</f>
        <v>230899.12</v>
      </c>
      <c r="J184" s="164">
        <f t="shared" ref="J184" si="49">I184-E184</f>
        <v>782.21700000000419</v>
      </c>
      <c r="K184" s="324">
        <f t="shared" ref="K184" si="50">IFERROR(J184/L184,0)</f>
        <v>103.25391831731592</v>
      </c>
      <c r="L184" s="182">
        <f t="shared" ref="L184" si="51">I184/F184</f>
        <v>7.5756640788790728</v>
      </c>
      <c r="M184" s="182">
        <f t="shared" ref="M184" si="52">L184-D184</f>
        <v>2.566407887907296E-2</v>
      </c>
      <c r="N184" s="266"/>
      <c r="O184" s="12"/>
      <c r="P184" s="12"/>
    </row>
    <row r="185" spans="2:16">
      <c r="B185" s="169">
        <v>45967</v>
      </c>
      <c r="C185" s="263" t="s">
        <v>1259</v>
      </c>
      <c r="D185" s="159">
        <v>7.55</v>
      </c>
      <c r="E185" s="160">
        <f>F185*D185</f>
        <v>38882.5</v>
      </c>
      <c r="F185" s="228">
        <v>5150</v>
      </c>
      <c r="G185" s="229" t="s">
        <v>87</v>
      </c>
      <c r="H185" s="163">
        <v>45972</v>
      </c>
      <c r="I185" s="160">
        <v>38638.949999999997</v>
      </c>
      <c r="J185" s="164">
        <f t="shared" ref="J185" si="53">I185-E185</f>
        <v>-243.55000000000291</v>
      </c>
      <c r="K185" s="324">
        <f t="shared" ref="K185" si="54">IFERROR(J185/L185,0)</f>
        <v>-32.46160933462258</v>
      </c>
      <c r="L185" s="182">
        <f t="shared" ref="L185" si="55">I185/F185</f>
        <v>7.5027087378640775</v>
      </c>
      <c r="M185" s="182">
        <f t="shared" ref="M185:M186" si="56">L185-D185</f>
        <v>-4.7291262135922274E-2</v>
      </c>
      <c r="N185" s="266"/>
      <c r="O185" s="12"/>
      <c r="P185" s="12"/>
    </row>
    <row r="186" spans="2:16">
      <c r="B186" s="362">
        <v>45968</v>
      </c>
      <c r="C186" s="263" t="s">
        <v>1274</v>
      </c>
      <c r="D186" s="159">
        <v>7.54</v>
      </c>
      <c r="E186" s="160">
        <f>F186*D186</f>
        <v>120175.159</v>
      </c>
      <c r="F186" s="228">
        <v>15938.35</v>
      </c>
      <c r="G186" s="229" t="s">
        <v>87</v>
      </c>
      <c r="H186" s="163">
        <v>45979</v>
      </c>
      <c r="I186" s="160">
        <v>121412.13</v>
      </c>
      <c r="J186" s="164">
        <f t="shared" ref="J186" si="57">I186-E186</f>
        <v>1236.971000000005</v>
      </c>
      <c r="K186" s="324">
        <f t="shared" ref="K186" si="58">IFERROR(J186/L186,0)</f>
        <v>162.38308921728066</v>
      </c>
      <c r="L186" s="182">
        <f t="shared" ref="L186" si="59">I186/F186</f>
        <v>7.6176097274812014</v>
      </c>
      <c r="M186" s="182">
        <f t="shared" si="56"/>
        <v>7.7609727481201318E-2</v>
      </c>
      <c r="N186" s="266"/>
      <c r="O186" s="12"/>
      <c r="P186" s="12"/>
    </row>
    <row r="187" spans="2:16">
      <c r="B187" s="339">
        <v>45974</v>
      </c>
      <c r="C187" s="158" t="s">
        <v>1269</v>
      </c>
      <c r="D187" s="159">
        <v>7.54</v>
      </c>
      <c r="E187" s="160">
        <f t="shared" ref="E187:E199" si="60">F187*D187</f>
        <v>50018.625800000002</v>
      </c>
      <c r="F187" s="228">
        <v>6633.77</v>
      </c>
      <c r="G187" s="229" t="s">
        <v>87</v>
      </c>
      <c r="H187" s="163">
        <v>45989</v>
      </c>
      <c r="I187" s="160">
        <v>50408.410087439443</v>
      </c>
      <c r="J187" s="164">
        <f t="shared" ref="J187:J192" si="61">I187-E187</f>
        <v>389.78428743944096</v>
      </c>
      <c r="K187" s="324">
        <f t="shared" ref="K187:K192" si="62">IFERROR(J187/L187,0)</f>
        <v>51.295791872861393</v>
      </c>
      <c r="L187" s="182">
        <f t="shared" ref="L187:L192" si="63">I187/F187</f>
        <v>7.5987575824063001</v>
      </c>
      <c r="M187" s="182">
        <f t="shared" ref="M187:M192" si="64">L187-D187</f>
        <v>5.8757582406300024E-2</v>
      </c>
      <c r="N187" s="170"/>
      <c r="O187" s="12"/>
      <c r="P187" s="12"/>
    </row>
    <row r="188" spans="2:16">
      <c r="B188" s="339">
        <v>45974</v>
      </c>
      <c r="C188" s="158" t="s">
        <v>1270</v>
      </c>
      <c r="D188" s="159">
        <v>7.54</v>
      </c>
      <c r="E188" s="160">
        <f t="shared" si="60"/>
        <v>12497.3992</v>
      </c>
      <c r="F188" s="228">
        <v>1657.48</v>
      </c>
      <c r="G188" s="229" t="s">
        <v>87</v>
      </c>
      <c r="H188" s="163">
        <v>45989</v>
      </c>
      <c r="I188" s="160">
        <v>12594.788717686795</v>
      </c>
      <c r="J188" s="164">
        <f t="shared" si="61"/>
        <v>97.389517686795443</v>
      </c>
      <c r="K188" s="324">
        <f t="shared" si="62"/>
        <v>12.816505412975035</v>
      </c>
      <c r="L188" s="182">
        <f t="shared" si="63"/>
        <v>7.5987575824063009</v>
      </c>
      <c r="M188" s="182">
        <f t="shared" si="64"/>
        <v>5.8757582406300912E-2</v>
      </c>
      <c r="N188" s="170"/>
      <c r="O188" s="12"/>
      <c r="P188" s="12"/>
    </row>
    <row r="189" spans="2:16">
      <c r="B189" s="339">
        <v>45974</v>
      </c>
      <c r="C189" s="158" t="s">
        <v>1271</v>
      </c>
      <c r="D189" s="159">
        <v>7.54</v>
      </c>
      <c r="E189" s="160">
        <f t="shared" si="60"/>
        <v>28028.517400000001</v>
      </c>
      <c r="F189" s="228">
        <v>3717.31</v>
      </c>
      <c r="G189" s="229" t="s">
        <v>87</v>
      </c>
      <c r="H189" s="163">
        <v>45989</v>
      </c>
      <c r="I189" s="160">
        <v>28246.937548654765</v>
      </c>
      <c r="J189" s="164">
        <f t="shared" si="61"/>
        <v>218.42014865476449</v>
      </c>
      <c r="K189" s="324">
        <f t="shared" si="62"/>
        <v>28.744192229593054</v>
      </c>
      <c r="L189" s="182">
        <f t="shared" si="63"/>
        <v>7.5987575824063009</v>
      </c>
      <c r="M189" s="182">
        <f t="shared" si="64"/>
        <v>5.8757582406300912E-2</v>
      </c>
      <c r="N189" s="170"/>
      <c r="O189" s="12"/>
      <c r="P189" s="12"/>
    </row>
    <row r="190" spans="2:16">
      <c r="B190" s="339">
        <v>45974</v>
      </c>
      <c r="C190" s="158" t="s">
        <v>1272</v>
      </c>
      <c r="D190" s="159">
        <v>7.54</v>
      </c>
      <c r="E190" s="160">
        <f t="shared" si="60"/>
        <v>20091.385599999998</v>
      </c>
      <c r="F190" s="228">
        <v>2664.64</v>
      </c>
      <c r="G190" s="229" t="s">
        <v>87</v>
      </c>
      <c r="H190" s="163">
        <v>45989</v>
      </c>
      <c r="I190" s="160">
        <v>20247.953404383119</v>
      </c>
      <c r="J190" s="164">
        <f t="shared" si="61"/>
        <v>156.56780438312126</v>
      </c>
      <c r="K190" s="324">
        <f t="shared" si="62"/>
        <v>20.604395216611309</v>
      </c>
      <c r="L190" s="182">
        <f t="shared" si="63"/>
        <v>7.5987575824062992</v>
      </c>
      <c r="M190" s="182">
        <f t="shared" si="64"/>
        <v>5.8757582406299136E-2</v>
      </c>
      <c r="N190" s="170"/>
      <c r="O190" s="12"/>
      <c r="P190" s="12"/>
    </row>
    <row r="191" spans="2:16">
      <c r="B191" s="339">
        <v>45974</v>
      </c>
      <c r="C191" s="158" t="s">
        <v>1273</v>
      </c>
      <c r="D191" s="159">
        <v>7.54</v>
      </c>
      <c r="E191" s="160">
        <f t="shared" si="60"/>
        <v>18274.019399999997</v>
      </c>
      <c r="F191" s="228">
        <v>2423.6099999999997</v>
      </c>
      <c r="G191" s="229" t="s">
        <v>87</v>
      </c>
      <c r="H191" s="163">
        <v>45989</v>
      </c>
      <c r="I191" s="160">
        <v>18416.424864295732</v>
      </c>
      <c r="J191" s="164">
        <f t="shared" si="61"/>
        <v>142.40546429573442</v>
      </c>
      <c r="K191" s="324">
        <f t="shared" si="62"/>
        <v>18.740624733897462</v>
      </c>
      <c r="L191" s="182">
        <f t="shared" si="63"/>
        <v>7.5987575824063009</v>
      </c>
      <c r="M191" s="182">
        <f t="shared" si="64"/>
        <v>5.8757582406300912E-2</v>
      </c>
      <c r="N191" s="170"/>
      <c r="O191" s="12"/>
      <c r="P191" s="12"/>
    </row>
    <row r="192" spans="2:16">
      <c r="B192" s="339">
        <v>45974</v>
      </c>
      <c r="C192" s="361" t="s">
        <v>1309</v>
      </c>
      <c r="D192" s="159">
        <v>7.54</v>
      </c>
      <c r="E192" s="160">
        <f t="shared" si="60"/>
        <v>101680.67</v>
      </c>
      <c r="F192" s="228">
        <v>13485.5</v>
      </c>
      <c r="G192" s="229" t="s">
        <v>87</v>
      </c>
      <c r="H192" s="163">
        <v>45989</v>
      </c>
      <c r="I192" s="160">
        <v>102473.04537754015</v>
      </c>
      <c r="J192" s="164">
        <f t="shared" si="61"/>
        <v>792.37537754015648</v>
      </c>
      <c r="K192" s="324">
        <f t="shared" si="62"/>
        <v>104.27696487841304</v>
      </c>
      <c r="L192" s="182">
        <f t="shared" si="63"/>
        <v>7.5987575824063001</v>
      </c>
      <c r="M192" s="182">
        <f t="shared" si="64"/>
        <v>5.8757582406300024E-2</v>
      </c>
      <c r="N192" s="170"/>
      <c r="O192" s="12"/>
      <c r="P192" s="12"/>
    </row>
    <row r="193" spans="2:16">
      <c r="B193" s="342">
        <v>45980</v>
      </c>
      <c r="C193" s="212" t="s">
        <v>1170</v>
      </c>
      <c r="D193" s="159">
        <v>7.54</v>
      </c>
      <c r="E193" s="160">
        <f>F193*D193</f>
        <v>420282.84220000001</v>
      </c>
      <c r="F193" s="228">
        <v>55740.43</v>
      </c>
      <c r="G193" s="229" t="s">
        <v>87</v>
      </c>
      <c r="H193" s="163">
        <v>45986</v>
      </c>
      <c r="I193" s="160">
        <v>425268.22375714133</v>
      </c>
      <c r="J193" s="164">
        <f t="shared" ref="J193" si="65">I193-E193</f>
        <v>4985.3815571413143</v>
      </c>
      <c r="K193" s="324">
        <f t="shared" ref="K193" si="66">IFERROR(J193/L193,0)</f>
        <v>653.44010247005906</v>
      </c>
      <c r="L193" s="182">
        <f t="shared" ref="L193" si="67">I193/F193</f>
        <v>7.6294392375003444</v>
      </c>
      <c r="M193" s="182">
        <f t="shared" ref="M193" si="68">L193-D193</f>
        <v>8.9439237500344326E-2</v>
      </c>
      <c r="N193" s="266"/>
      <c r="O193" s="12"/>
      <c r="P193" s="12"/>
    </row>
    <row r="194" spans="2:16">
      <c r="B194" s="342">
        <v>45982</v>
      </c>
      <c r="C194" s="212" t="s">
        <v>1171</v>
      </c>
      <c r="D194" s="159">
        <v>7.54</v>
      </c>
      <c r="E194" s="160">
        <v>23935.506000000001</v>
      </c>
      <c r="F194" s="160">
        <v>3174.48</v>
      </c>
      <c r="G194" s="229" t="s">
        <v>87</v>
      </c>
      <c r="H194" s="163">
        <v>45987</v>
      </c>
      <c r="I194" s="160">
        <v>23739.41</v>
      </c>
      <c r="J194" s="164">
        <f t="shared" ref="J194" si="69">I194-E194</f>
        <v>-196.09600000000137</v>
      </c>
      <c r="K194" s="324">
        <f t="shared" ref="K194" si="70">IFERROR(J194/L194,0)</f>
        <v>-26.22233787950098</v>
      </c>
      <c r="L194" s="182">
        <f t="shared" ref="L194" si="71">I194/F194</f>
        <v>7.4782043043270079</v>
      </c>
      <c r="M194" s="182">
        <f t="shared" ref="M194" si="72">L194-D194</f>
        <v>-6.1795695672992146E-2</v>
      </c>
      <c r="N194" s="266"/>
      <c r="O194" s="12"/>
      <c r="P194" s="12"/>
    </row>
    <row r="195" spans="2:16">
      <c r="B195" s="342">
        <v>45979</v>
      </c>
      <c r="C195" s="212" t="s">
        <v>1172</v>
      </c>
      <c r="D195" s="159">
        <v>7.54</v>
      </c>
      <c r="E195" s="160">
        <f t="shared" si="60"/>
        <v>42295.4038</v>
      </c>
      <c r="F195" s="228">
        <v>5609.47</v>
      </c>
      <c r="G195" s="229" t="s">
        <v>87</v>
      </c>
      <c r="H195" s="163">
        <v>45986</v>
      </c>
      <c r="I195" s="160">
        <v>42797.11051958106</v>
      </c>
      <c r="J195" s="164">
        <f t="shared" ref="J195:J196" si="73">I195-E195</f>
        <v>501.70671958105959</v>
      </c>
      <c r="K195" s="324">
        <f t="shared" ref="K195:K196" si="74">IFERROR(J195/L195,0)</f>
        <v>65.759317816578516</v>
      </c>
      <c r="L195" s="182">
        <f t="shared" ref="L195:L196" si="75">I195/F195</f>
        <v>7.6294392375003444</v>
      </c>
      <c r="M195" s="182">
        <f t="shared" ref="M195:M196" si="76">L195-D195</f>
        <v>8.9439237500344326E-2</v>
      </c>
      <c r="N195" s="266"/>
      <c r="O195" s="12"/>
      <c r="P195" s="12"/>
    </row>
    <row r="196" spans="2:16">
      <c r="B196" s="342">
        <v>45979</v>
      </c>
      <c r="C196" s="212" t="s">
        <v>1173</v>
      </c>
      <c r="D196" s="159">
        <v>7.54</v>
      </c>
      <c r="E196" s="160">
        <f t="shared" si="60"/>
        <v>33296.790800000002</v>
      </c>
      <c r="F196" s="228">
        <v>4416.0200000000004</v>
      </c>
      <c r="G196" s="229" t="s">
        <v>87</v>
      </c>
      <c r="H196" s="163">
        <v>45986</v>
      </c>
      <c r="I196" s="160">
        <v>33691.75626158627</v>
      </c>
      <c r="J196" s="164">
        <f t="shared" si="73"/>
        <v>394.96546158626734</v>
      </c>
      <c r="K196" s="324">
        <f t="shared" si="74"/>
        <v>51.768609630564548</v>
      </c>
      <c r="L196" s="182">
        <f t="shared" si="75"/>
        <v>7.6294392375003435</v>
      </c>
      <c r="M196" s="182">
        <f t="shared" si="76"/>
        <v>8.9439237500343438E-2</v>
      </c>
      <c r="N196" s="266"/>
      <c r="O196" s="12"/>
      <c r="P196" s="12"/>
    </row>
    <row r="197" spans="2:16">
      <c r="B197" s="342">
        <v>45979</v>
      </c>
      <c r="C197" s="263" t="s">
        <v>1174</v>
      </c>
      <c r="D197" s="159">
        <v>7.54</v>
      </c>
      <c r="E197" s="160">
        <f t="shared" si="60"/>
        <v>69513.371200000009</v>
      </c>
      <c r="F197" s="228">
        <v>9219.2800000000007</v>
      </c>
      <c r="G197" s="229" t="s">
        <v>87</v>
      </c>
      <c r="H197" s="163">
        <v>45986</v>
      </c>
      <c r="I197" s="160">
        <v>69708.449052574186</v>
      </c>
      <c r="J197" s="164">
        <f t="shared" ref="J197:J198" si="77">I197-E197</f>
        <v>195.07785257417709</v>
      </c>
      <c r="K197" s="324">
        <f t="shared" ref="K197:K198" si="78">IFERROR(J197/L197,0)</f>
        <v>25.799990806331753</v>
      </c>
      <c r="L197" s="182">
        <f t="shared" ref="L197" si="79">I197/F197</f>
        <v>7.5611597708903711</v>
      </c>
      <c r="M197" s="182">
        <f t="shared" ref="M197" si="80">L197-D197</f>
        <v>2.1159770890371021E-2</v>
      </c>
      <c r="N197" s="266"/>
      <c r="O197" s="12"/>
      <c r="P197" s="12"/>
    </row>
    <row r="198" spans="2:16">
      <c r="B198" s="342">
        <v>45979</v>
      </c>
      <c r="C198" s="263" t="s">
        <v>1175</v>
      </c>
      <c r="D198" s="159">
        <v>7.54</v>
      </c>
      <c r="E198" s="160">
        <f t="shared" si="60"/>
        <v>17094.386399999999</v>
      </c>
      <c r="F198" s="228">
        <v>2267.16</v>
      </c>
      <c r="G198" s="229" t="s">
        <v>87</v>
      </c>
      <c r="H198" s="163">
        <v>45986</v>
      </c>
      <c r="I198" s="160">
        <v>17297.159461691277</v>
      </c>
      <c r="J198" s="164">
        <f t="shared" si="77"/>
        <v>202.77306169127769</v>
      </c>
      <c r="K198" s="324">
        <f t="shared" si="78"/>
        <v>26.577715003562023</v>
      </c>
      <c r="L198" s="182">
        <f t="shared" ref="L198:L199" si="81">I198/F198</f>
        <v>7.6294392375003435</v>
      </c>
      <c r="M198" s="182">
        <f t="shared" ref="M198:M199" si="82">L198-D198</f>
        <v>8.9439237500343438E-2</v>
      </c>
      <c r="N198" s="266"/>
      <c r="O198" s="12"/>
      <c r="P198" s="12"/>
    </row>
    <row r="199" spans="2:16">
      <c r="B199" s="342">
        <v>45979</v>
      </c>
      <c r="C199" s="212" t="s">
        <v>1176</v>
      </c>
      <c r="D199" s="159">
        <v>7.54</v>
      </c>
      <c r="E199" s="160">
        <f t="shared" si="60"/>
        <v>143177.43700000001</v>
      </c>
      <c r="F199" s="228">
        <v>18989.05</v>
      </c>
      <c r="G199" s="229" t="s">
        <v>87</v>
      </c>
      <c r="H199" s="163">
        <v>45986</v>
      </c>
      <c r="I199" s="160">
        <v>143579.2409474258</v>
      </c>
      <c r="J199" s="164">
        <f t="shared" ref="J199" si="83">I199-E199</f>
        <v>401.80394742579665</v>
      </c>
      <c r="K199" s="324">
        <f t="shared" ref="K199" si="84">IFERROR(J199/L199,0)</f>
        <v>53.14051806876207</v>
      </c>
      <c r="L199" s="182">
        <f t="shared" si="81"/>
        <v>7.5611597708903711</v>
      </c>
      <c r="M199" s="182">
        <f t="shared" si="82"/>
        <v>2.1159770890371021E-2</v>
      </c>
      <c r="N199" s="266"/>
      <c r="O199" s="12"/>
      <c r="P199" s="12"/>
    </row>
    <row r="200" spans="2:16">
      <c r="B200" s="169">
        <v>45982</v>
      </c>
      <c r="C200" s="263" t="s">
        <v>1275</v>
      </c>
      <c r="D200" s="159">
        <v>7.54</v>
      </c>
      <c r="E200" s="160">
        <v>308274.25719999999</v>
      </c>
      <c r="F200" s="228">
        <f>E200/D200</f>
        <v>40885.18</v>
      </c>
      <c r="G200" s="229" t="s">
        <v>87</v>
      </c>
      <c r="H200" s="163">
        <v>45987</v>
      </c>
      <c r="I200" s="160">
        <v>311098.25</v>
      </c>
      <c r="J200" s="164">
        <f t="shared" ref="J200:J216" si="85">I200-E200</f>
        <v>2823.9928000000073</v>
      </c>
      <c r="K200" s="324">
        <f t="shared" ref="K200:K213" si="86">IFERROR(J200/L200,0)</f>
        <v>371.13501585658003</v>
      </c>
      <c r="L200" s="182">
        <f t="shared" ref="L200:L213" si="87">I200/F200</f>
        <v>7.6090713065223143</v>
      </c>
      <c r="M200" s="182">
        <f t="shared" ref="M200:M213" si="88">L200-D200</f>
        <v>6.9071306522314302E-2</v>
      </c>
      <c r="N200" s="266"/>
      <c r="O200" s="12"/>
      <c r="P200" s="12"/>
    </row>
    <row r="201" spans="2:16">
      <c r="B201" s="169">
        <v>45994</v>
      </c>
      <c r="C201" s="158" t="s">
        <v>1336</v>
      </c>
      <c r="D201" s="159">
        <v>7.54</v>
      </c>
      <c r="E201" s="160">
        <f t="shared" ref="E201:E206" si="89">F201*D201</f>
        <v>50018.625800000002</v>
      </c>
      <c r="F201" s="228">
        <v>6633.77</v>
      </c>
      <c r="G201" s="229" t="s">
        <v>87</v>
      </c>
      <c r="H201" s="163">
        <v>46009</v>
      </c>
      <c r="I201" s="160">
        <v>50276.328001827205</v>
      </c>
      <c r="J201" s="164">
        <f t="shared" si="85"/>
        <v>257.70220182720368</v>
      </c>
      <c r="K201" s="324">
        <f t="shared" si="86"/>
        <v>34.002824059726855</v>
      </c>
      <c r="L201" s="182">
        <f t="shared" si="87"/>
        <v>7.5788470208987047</v>
      </c>
      <c r="M201" s="182">
        <f t="shared" si="88"/>
        <v>3.8847020898704621E-2</v>
      </c>
      <c r="N201" s="170"/>
      <c r="O201" s="12"/>
      <c r="P201" s="12"/>
    </row>
    <row r="202" spans="2:16">
      <c r="B202" s="169">
        <v>45994</v>
      </c>
      <c r="C202" s="158" t="s">
        <v>1337</v>
      </c>
      <c r="D202" s="159">
        <v>7.54</v>
      </c>
      <c r="E202" s="160">
        <f t="shared" si="89"/>
        <v>12497.8516</v>
      </c>
      <c r="F202" s="228">
        <v>1657.54</v>
      </c>
      <c r="G202" s="229" t="s">
        <v>87</v>
      </c>
      <c r="H202" s="163">
        <v>46009</v>
      </c>
      <c r="I202" s="160">
        <v>12562.24209102044</v>
      </c>
      <c r="J202" s="164">
        <f t="shared" si="85"/>
        <v>64.390491020440095</v>
      </c>
      <c r="K202" s="324">
        <f t="shared" si="86"/>
        <v>8.4960800558294718</v>
      </c>
      <c r="L202" s="182">
        <f t="shared" si="87"/>
        <v>7.5788470208987055</v>
      </c>
      <c r="M202" s="182">
        <f t="shared" si="88"/>
        <v>3.8847020898705509E-2</v>
      </c>
      <c r="N202" s="170"/>
      <c r="O202" s="12"/>
      <c r="P202" s="12"/>
    </row>
    <row r="203" spans="2:16">
      <c r="B203" s="169">
        <v>45994</v>
      </c>
      <c r="C203" s="158" t="s">
        <v>1338</v>
      </c>
      <c r="D203" s="159">
        <v>7.54</v>
      </c>
      <c r="E203" s="160">
        <f t="shared" si="89"/>
        <v>28028.517400000001</v>
      </c>
      <c r="F203" s="228">
        <v>3717.31</v>
      </c>
      <c r="G203" s="229" t="s">
        <v>87</v>
      </c>
      <c r="H203" s="163">
        <v>46009</v>
      </c>
      <c r="I203" s="160">
        <v>28172.923819256965</v>
      </c>
      <c r="J203" s="164">
        <f t="shared" si="85"/>
        <v>144.406419256964</v>
      </c>
      <c r="K203" s="324">
        <f t="shared" si="86"/>
        <v>19.0538770420834</v>
      </c>
      <c r="L203" s="182">
        <f t="shared" si="87"/>
        <v>7.5788470208987047</v>
      </c>
      <c r="M203" s="182">
        <f t="shared" si="88"/>
        <v>3.8847020898704621E-2</v>
      </c>
      <c r="N203" s="170"/>
      <c r="O203" s="12"/>
      <c r="P203" s="12"/>
    </row>
    <row r="204" spans="2:16">
      <c r="B204" s="169">
        <v>45994</v>
      </c>
      <c r="C204" s="158" t="s">
        <v>1335</v>
      </c>
      <c r="D204" s="159">
        <v>7.54</v>
      </c>
      <c r="E204" s="160">
        <f t="shared" si="89"/>
        <v>20091.385599999998</v>
      </c>
      <c r="F204" s="228">
        <v>2664.64</v>
      </c>
      <c r="G204" s="229" t="s">
        <v>87</v>
      </c>
      <c r="H204" s="163">
        <v>46009</v>
      </c>
      <c r="I204" s="160">
        <v>20194.89892576752</v>
      </c>
      <c r="J204" s="164">
        <f t="shared" si="85"/>
        <v>103.51332576752247</v>
      </c>
      <c r="K204" s="324">
        <f t="shared" si="86"/>
        <v>13.658189099487563</v>
      </c>
      <c r="L204" s="182">
        <f t="shared" si="87"/>
        <v>7.5788470208987038</v>
      </c>
      <c r="M204" s="182">
        <f t="shared" si="88"/>
        <v>3.8847020898703732E-2</v>
      </c>
      <c r="N204" s="170"/>
      <c r="O204" s="12"/>
      <c r="P204" s="12"/>
    </row>
    <row r="205" spans="2:16">
      <c r="B205" s="169">
        <v>45994</v>
      </c>
      <c r="C205" s="158" t="s">
        <v>1339</v>
      </c>
      <c r="D205" s="159">
        <v>7.54</v>
      </c>
      <c r="E205" s="160">
        <f t="shared" si="89"/>
        <v>41816.387599999995</v>
      </c>
      <c r="F205" s="228">
        <v>5545.94</v>
      </c>
      <c r="G205" s="229" t="s">
        <v>87</v>
      </c>
      <c r="H205" s="163">
        <v>46009</v>
      </c>
      <c r="I205" s="160">
        <v>42031.830847082958</v>
      </c>
      <c r="J205" s="164">
        <f t="shared" si="85"/>
        <v>215.44324708296335</v>
      </c>
      <c r="K205" s="324">
        <f t="shared" si="86"/>
        <v>28.426915926509352</v>
      </c>
      <c r="L205" s="182">
        <f t="shared" si="87"/>
        <v>7.5788470208987047</v>
      </c>
      <c r="M205" s="182">
        <f t="shared" si="88"/>
        <v>3.8847020898704621E-2</v>
      </c>
      <c r="N205" s="170"/>
      <c r="O205" s="12"/>
      <c r="P205" s="12"/>
    </row>
    <row r="206" spans="2:16">
      <c r="B206" s="169">
        <v>45994</v>
      </c>
      <c r="C206" s="158" t="s">
        <v>1340</v>
      </c>
      <c r="D206" s="159">
        <v>7.54</v>
      </c>
      <c r="E206" s="160">
        <f t="shared" si="89"/>
        <v>95386.881200000003</v>
      </c>
      <c r="F206" s="228">
        <v>12650.78</v>
      </c>
      <c r="G206" s="229" t="s">
        <v>87</v>
      </c>
      <c r="H206" s="163">
        <v>46009</v>
      </c>
      <c r="I206" s="160">
        <v>95878.32631504492</v>
      </c>
      <c r="J206" s="164">
        <f t="shared" si="85"/>
        <v>491.44511504491675</v>
      </c>
      <c r="K206" s="324">
        <f t="shared" si="86"/>
        <v>64.8443112375477</v>
      </c>
      <c r="L206" s="182">
        <f t="shared" si="87"/>
        <v>7.5788470208987047</v>
      </c>
      <c r="M206" s="182">
        <f t="shared" si="88"/>
        <v>3.8847020898704621E-2</v>
      </c>
      <c r="N206" s="170"/>
      <c r="O206" s="12"/>
      <c r="P206" s="12"/>
    </row>
    <row r="207" spans="2:16">
      <c r="B207" s="169">
        <v>46013</v>
      </c>
      <c r="C207" s="212" t="s">
        <v>1341</v>
      </c>
      <c r="D207" s="159">
        <v>7.54</v>
      </c>
      <c r="E207" s="160">
        <f>F207*D207</f>
        <v>1972769.5207999998</v>
      </c>
      <c r="F207" s="228">
        <v>261640.52</v>
      </c>
      <c r="G207" s="229" t="s">
        <v>87</v>
      </c>
      <c r="H207" s="163">
        <v>45673</v>
      </c>
      <c r="I207" s="160">
        <v>2001473.48</v>
      </c>
      <c r="J207" s="164">
        <f t="shared" si="85"/>
        <v>28703.959200000158</v>
      </c>
      <c r="K207" s="324">
        <f t="shared" si="86"/>
        <v>3752.2949397994648</v>
      </c>
      <c r="L207" s="182">
        <f t="shared" si="87"/>
        <v>7.6497076217399353</v>
      </c>
      <c r="M207" s="182">
        <f t="shared" si="88"/>
        <v>0.10970762173993531</v>
      </c>
      <c r="N207" s="266"/>
      <c r="O207" s="12"/>
      <c r="P207" s="12"/>
    </row>
    <row r="208" spans="2:16">
      <c r="B208" s="169">
        <v>46006</v>
      </c>
      <c r="C208" s="212" t="s">
        <v>1342</v>
      </c>
      <c r="D208" s="159">
        <v>7.54</v>
      </c>
      <c r="E208" s="160">
        <f>F208*D208</f>
        <v>11046.1754</v>
      </c>
      <c r="F208" s="228">
        <v>1465.01</v>
      </c>
      <c r="G208" s="229" t="s">
        <v>87</v>
      </c>
      <c r="H208" s="163">
        <v>46010</v>
      </c>
      <c r="I208" s="160">
        <v>11102.885994089998</v>
      </c>
      <c r="J208" s="164">
        <f t="shared" si="85"/>
        <v>56.710594089998267</v>
      </c>
      <c r="K208" s="324">
        <f t="shared" si="86"/>
        <v>7.4828821526233993</v>
      </c>
      <c r="L208" s="182">
        <f t="shared" si="87"/>
        <v>7.5787100389007573</v>
      </c>
      <c r="M208" s="182">
        <f t="shared" si="88"/>
        <v>3.8710038900757304E-2</v>
      </c>
      <c r="N208" s="266"/>
      <c r="O208" s="12"/>
      <c r="P208" s="12"/>
    </row>
    <row r="209" spans="2:16">
      <c r="B209" s="169">
        <v>46006</v>
      </c>
      <c r="C209" s="212" t="s">
        <v>1343</v>
      </c>
      <c r="D209" s="159">
        <v>7.54</v>
      </c>
      <c r="E209" s="160">
        <f t="shared" ref="E209:E213" si="90">F209*D209</f>
        <v>27183.8112</v>
      </c>
      <c r="F209" s="228">
        <v>3605.28</v>
      </c>
      <c r="G209" s="229" t="s">
        <v>87</v>
      </c>
      <c r="H209" s="163">
        <v>46010</v>
      </c>
      <c r="I209" s="160">
        <v>27323.371729048122</v>
      </c>
      <c r="J209" s="164">
        <f t="shared" si="85"/>
        <v>139.56052904812168</v>
      </c>
      <c r="K209" s="324">
        <f t="shared" si="86"/>
        <v>18.414813118825172</v>
      </c>
      <c r="L209" s="182">
        <f t="shared" si="87"/>
        <v>7.5787100389007565</v>
      </c>
      <c r="M209" s="182">
        <f t="shared" si="88"/>
        <v>3.8710038900756416E-2</v>
      </c>
      <c r="N209" s="266"/>
      <c r="O209" s="12"/>
      <c r="P209" s="12"/>
    </row>
    <row r="210" spans="2:16">
      <c r="B210" s="169">
        <v>46006</v>
      </c>
      <c r="C210" s="212" t="s">
        <v>1344</v>
      </c>
      <c r="D210" s="159">
        <v>7.54</v>
      </c>
      <c r="E210" s="160">
        <f t="shared" si="90"/>
        <v>18207.215</v>
      </c>
      <c r="F210" s="228">
        <v>2414.75</v>
      </c>
      <c r="G210" s="229" t="s">
        <v>87</v>
      </c>
      <c r="H210" s="163">
        <v>46010</v>
      </c>
      <c r="I210" s="160">
        <v>18300.690066435604</v>
      </c>
      <c r="J210" s="164">
        <f t="shared" si="85"/>
        <v>93.475066435603367</v>
      </c>
      <c r="K210" s="324">
        <f t="shared" si="86"/>
        <v>12.333901937903052</v>
      </c>
      <c r="L210" s="182">
        <f t="shared" si="87"/>
        <v>7.5787100389007573</v>
      </c>
      <c r="M210" s="182">
        <f t="shared" si="88"/>
        <v>3.8710038900757304E-2</v>
      </c>
      <c r="N210" s="266"/>
      <c r="O210" s="12"/>
      <c r="P210" s="12"/>
    </row>
    <row r="211" spans="2:16">
      <c r="B211" s="169">
        <v>46006</v>
      </c>
      <c r="C211" s="263" t="s">
        <v>1345</v>
      </c>
      <c r="D211" s="159">
        <v>7.54</v>
      </c>
      <c r="E211" s="160">
        <f t="shared" si="90"/>
        <v>45158.718800000002</v>
      </c>
      <c r="F211" s="228">
        <v>5989.22</v>
      </c>
      <c r="G211" s="229" t="s">
        <v>87</v>
      </c>
      <c r="H211" s="163">
        <v>46010</v>
      </c>
      <c r="I211" s="160">
        <v>45390.561739185199</v>
      </c>
      <c r="J211" s="164">
        <f t="shared" si="85"/>
        <v>231.84293918519688</v>
      </c>
      <c r="K211" s="324">
        <f t="shared" si="86"/>
        <v>30.59134575609442</v>
      </c>
      <c r="L211" s="182">
        <f t="shared" si="87"/>
        <v>7.5787100389007582</v>
      </c>
      <c r="M211" s="182">
        <f t="shared" si="88"/>
        <v>3.8710038900758192E-2</v>
      </c>
      <c r="N211" s="266"/>
      <c r="O211" s="12"/>
      <c r="P211" s="12"/>
    </row>
    <row r="212" spans="2:16">
      <c r="B212" s="169">
        <v>46006</v>
      </c>
      <c r="C212" s="263" t="s">
        <v>1346</v>
      </c>
      <c r="D212" s="159">
        <v>7.54</v>
      </c>
      <c r="E212" s="160">
        <f t="shared" si="90"/>
        <v>107224.68120000001</v>
      </c>
      <c r="F212" s="228">
        <v>14220.78</v>
      </c>
      <c r="G212" s="229" t="s">
        <v>87</v>
      </c>
      <c r="H212" s="163">
        <v>46010</v>
      </c>
      <c r="I212" s="160">
        <v>107775.16814699912</v>
      </c>
      <c r="J212" s="164">
        <f t="shared" si="85"/>
        <v>550.48694699910993</v>
      </c>
      <c r="K212" s="324">
        <f t="shared" si="86"/>
        <v>72.63596894108835</v>
      </c>
      <c r="L212" s="182">
        <f t="shared" si="87"/>
        <v>7.5787100389007573</v>
      </c>
      <c r="M212" s="182">
        <f t="shared" si="88"/>
        <v>3.8710038900757304E-2</v>
      </c>
      <c r="N212" s="266"/>
      <c r="O212" s="12"/>
      <c r="P212" s="12"/>
    </row>
    <row r="213" spans="2:16">
      <c r="B213" s="169">
        <v>46006</v>
      </c>
      <c r="C213" s="212" t="s">
        <v>1347</v>
      </c>
      <c r="D213" s="159">
        <v>7.54</v>
      </c>
      <c r="E213" s="160">
        <f t="shared" si="90"/>
        <v>12684.3912</v>
      </c>
      <c r="F213" s="228">
        <v>1682.28</v>
      </c>
      <c r="G213" s="229" t="s">
        <v>87</v>
      </c>
      <c r="H213" s="163">
        <v>46010</v>
      </c>
      <c r="I213" s="160">
        <v>12749.512324241967</v>
      </c>
      <c r="J213" s="164">
        <f t="shared" si="85"/>
        <v>65.121124241966754</v>
      </c>
      <c r="K213" s="324">
        <f t="shared" si="86"/>
        <v>8.5926396322997665</v>
      </c>
      <c r="L213" s="182">
        <f t="shared" si="87"/>
        <v>7.5787100389007582</v>
      </c>
      <c r="M213" s="182">
        <f t="shared" si="88"/>
        <v>3.8710038900758192E-2</v>
      </c>
      <c r="N213" s="266"/>
      <c r="O213" s="12"/>
      <c r="P213" s="12"/>
    </row>
    <row r="214" spans="2:16" ht="15" customHeight="1">
      <c r="B214" s="169">
        <v>46002</v>
      </c>
      <c r="C214" s="263" t="s">
        <v>1348</v>
      </c>
      <c r="D214" s="159">
        <v>7.54</v>
      </c>
      <c r="E214" s="160">
        <f>F214*D214</f>
        <v>117358.8936</v>
      </c>
      <c r="F214" s="228">
        <f>23414.11-7849.27</f>
        <v>15564.84</v>
      </c>
      <c r="G214" s="229" t="s">
        <v>87</v>
      </c>
      <c r="H214" s="163">
        <v>46007</v>
      </c>
      <c r="I214" s="160">
        <v>117321.19</v>
      </c>
      <c r="J214" s="164">
        <f t="shared" ref="J214" si="91">I214-E214</f>
        <v>-37.703599999993457</v>
      </c>
      <c r="K214" s="324">
        <f t="shared" ref="K214" si="92">IFERROR(J214/L214,0)</f>
        <v>-5.0020844608198924</v>
      </c>
      <c r="L214" s="182">
        <f t="shared" ref="L214" si="93">I214/F214</f>
        <v>7.5375776429439689</v>
      </c>
      <c r="M214" s="182">
        <f t="shared" ref="M214" si="94">L214-D214</f>
        <v>-2.4223570560311103E-3</v>
      </c>
      <c r="N214" s="266"/>
      <c r="O214" s="12"/>
      <c r="P214" s="12"/>
    </row>
    <row r="215" spans="2:16">
      <c r="B215" s="169">
        <v>45994</v>
      </c>
      <c r="C215" s="263" t="s">
        <v>1274</v>
      </c>
      <c r="D215" s="159">
        <v>7.54</v>
      </c>
      <c r="E215" s="160">
        <f>F215*D215</f>
        <v>120175.0836</v>
      </c>
      <c r="F215" s="228">
        <v>15938.34</v>
      </c>
      <c r="G215" s="229" t="s">
        <v>87</v>
      </c>
      <c r="H215" s="163">
        <v>46007</v>
      </c>
      <c r="I215" s="160">
        <v>121412.05</v>
      </c>
      <c r="J215" s="164">
        <f t="shared" si="85"/>
        <v>1236.9664000000048</v>
      </c>
      <c r="K215" s="324">
        <f t="shared" ref="K215:K232" si="95">IFERROR(J215/L215,0)</f>
        <v>162.38249046759424</v>
      </c>
      <c r="L215" s="182">
        <f t="shared" ref="L215:L232" si="96">I215/F215</f>
        <v>7.617609487562695</v>
      </c>
      <c r="M215" s="182">
        <f t="shared" ref="M215:M232" si="97">L215-D215</f>
        <v>7.7609487562694923E-2</v>
      </c>
      <c r="N215" s="266"/>
      <c r="O215" s="12"/>
      <c r="P215" s="12"/>
    </row>
    <row r="216" spans="2:16" ht="15" customHeight="1">
      <c r="B216" s="169">
        <v>46013</v>
      </c>
      <c r="C216" s="263" t="s">
        <v>1379</v>
      </c>
      <c r="D216" s="159">
        <v>7.54</v>
      </c>
      <c r="E216" s="160">
        <f>F216*D216</f>
        <v>383963.49160000001</v>
      </c>
      <c r="F216" s="228">
        <v>50923.54</v>
      </c>
      <c r="G216" s="229" t="s">
        <v>87</v>
      </c>
      <c r="H216" s="163">
        <v>46015</v>
      </c>
      <c r="I216" s="160">
        <v>387994.35</v>
      </c>
      <c r="J216" s="164">
        <f t="shared" si="85"/>
        <v>4030.8583999999682</v>
      </c>
      <c r="K216" s="324">
        <f t="shared" si="95"/>
        <v>529.04270118040222</v>
      </c>
      <c r="L216" s="182">
        <f t="shared" si="96"/>
        <v>7.6191551097979433</v>
      </c>
      <c r="M216" s="182">
        <f t="shared" si="97"/>
        <v>7.9155109797943268E-2</v>
      </c>
      <c r="N216" s="266"/>
      <c r="O216" s="12"/>
      <c r="P216" s="12"/>
    </row>
    <row r="217" spans="2:16" ht="15" customHeight="1">
      <c r="B217" s="169">
        <v>46028</v>
      </c>
      <c r="C217" s="263" t="s">
        <v>1442</v>
      </c>
      <c r="D217" s="159">
        <v>7.54</v>
      </c>
      <c r="E217" s="160">
        <f>F217*D217</f>
        <v>14833.5928</v>
      </c>
      <c r="F217" s="228">
        <v>1967.32</v>
      </c>
      <c r="G217" s="229" t="s">
        <v>87</v>
      </c>
      <c r="H217" s="163">
        <v>46030</v>
      </c>
      <c r="I217" s="160">
        <v>14817.347312753996</v>
      </c>
      <c r="J217" s="164">
        <f t="shared" ref="J217:J218" si="98">I217-E217</f>
        <v>-16.245487246003904</v>
      </c>
      <c r="K217" s="324">
        <f t="shared" ref="K217:K218" si="99">IFERROR(J217/L217,0)</f>
        <v>-2.1569361434417376</v>
      </c>
      <c r="L217" s="182">
        <f t="shared" ref="L217:L218" si="100">I217/F217</f>
        <v>7.5317423259835703</v>
      </c>
      <c r="M217" s="182"/>
      <c r="N217" s="266"/>
      <c r="O217" s="12"/>
      <c r="P217" s="12"/>
    </row>
    <row r="218" spans="2:16" ht="15" customHeight="1">
      <c r="B218" s="169">
        <v>46029</v>
      </c>
      <c r="C218" s="263" t="s">
        <v>1443</v>
      </c>
      <c r="D218" s="159">
        <v>7.54</v>
      </c>
      <c r="E218" s="160">
        <f>F218*D218</f>
        <v>50566.482200000006</v>
      </c>
      <c r="F218" s="228">
        <v>6706.43</v>
      </c>
      <c r="G218" s="229" t="s">
        <v>87</v>
      </c>
      <c r="H218" s="163">
        <v>46030</v>
      </c>
      <c r="I218" s="160">
        <v>50511.102687245999</v>
      </c>
      <c r="J218" s="164">
        <f t="shared" si="98"/>
        <v>-55.37951275400701</v>
      </c>
      <c r="K218" s="324">
        <f t="shared" si="99"/>
        <v>-7.3528156377515206</v>
      </c>
      <c r="L218" s="182">
        <f t="shared" si="100"/>
        <v>7.5317423259835703</v>
      </c>
      <c r="M218" s="182"/>
      <c r="N218" s="266"/>
      <c r="O218" s="12"/>
      <c r="P218" s="12"/>
    </row>
    <row r="219" spans="2:16">
      <c r="B219" s="169">
        <v>46035</v>
      </c>
      <c r="C219" s="158" t="s">
        <v>1441</v>
      </c>
      <c r="D219" s="159">
        <v>7.54</v>
      </c>
      <c r="E219" s="160">
        <f t="shared" ref="E219:E222" si="101">F219*D219</f>
        <v>50083.469799999999</v>
      </c>
      <c r="F219" s="228">
        <v>6642.37</v>
      </c>
      <c r="G219" s="229" t="s">
        <v>87</v>
      </c>
      <c r="H219" s="163">
        <v>46043</v>
      </c>
      <c r="I219" s="403">
        <v>47499.870434189237</v>
      </c>
      <c r="J219" s="164">
        <f t="shared" ref="J219:J222" si="102">I219-E219</f>
        <v>-2583.5993658107618</v>
      </c>
      <c r="K219" s="324">
        <f t="shared" si="95"/>
        <v>-361.28988905890162</v>
      </c>
      <c r="L219" s="182">
        <f t="shared" si="96"/>
        <v>7.1510425396641919</v>
      </c>
      <c r="M219" s="182">
        <f t="shared" si="97"/>
        <v>-0.38895746033580814</v>
      </c>
      <c r="N219" s="170"/>
      <c r="O219" s="12"/>
      <c r="P219" s="12"/>
    </row>
    <row r="220" spans="2:16" ht="15" customHeight="1">
      <c r="B220" s="169">
        <v>46035</v>
      </c>
      <c r="C220" s="158" t="s">
        <v>1429</v>
      </c>
      <c r="D220" s="159">
        <v>7.54</v>
      </c>
      <c r="E220" s="160">
        <f t="shared" si="101"/>
        <v>12497.8516</v>
      </c>
      <c r="F220" s="228">
        <v>1657.54</v>
      </c>
      <c r="G220" s="229" t="s">
        <v>87</v>
      </c>
      <c r="H220" s="163">
        <v>46043</v>
      </c>
      <c r="I220" s="403">
        <v>11853.139051194983</v>
      </c>
      <c r="J220" s="164">
        <f t="shared" si="102"/>
        <v>-644.71254880501692</v>
      </c>
      <c r="K220" s="324">
        <f t="shared" si="95"/>
        <v>-90.156441557861612</v>
      </c>
      <c r="L220" s="182">
        <f t="shared" si="96"/>
        <v>7.151042539664191</v>
      </c>
      <c r="M220" s="182">
        <f t="shared" si="97"/>
        <v>-0.38895746033580902</v>
      </c>
      <c r="N220" s="170"/>
      <c r="O220" s="12"/>
      <c r="P220" s="12"/>
    </row>
    <row r="221" spans="2:16" ht="15" customHeight="1">
      <c r="B221" s="169">
        <v>46035</v>
      </c>
      <c r="C221" s="158" t="s">
        <v>1430</v>
      </c>
      <c r="D221" s="159">
        <v>7.54</v>
      </c>
      <c r="E221" s="160">
        <f t="shared" si="101"/>
        <v>28083.107</v>
      </c>
      <c r="F221" s="228">
        <v>3724.55</v>
      </c>
      <c r="G221" s="229" t="s">
        <v>87</v>
      </c>
      <c r="H221" s="163">
        <v>46043</v>
      </c>
      <c r="I221" s="403">
        <v>26634.415491106265</v>
      </c>
      <c r="J221" s="164">
        <f t="shared" si="102"/>
        <v>-1448.6915088937349</v>
      </c>
      <c r="K221" s="324">
        <f t="shared" si="95"/>
        <v>-202.58465823107306</v>
      </c>
      <c r="L221" s="182">
        <f t="shared" si="96"/>
        <v>7.151042539664191</v>
      </c>
      <c r="M221" s="182">
        <f t="shared" si="97"/>
        <v>-0.38895746033580902</v>
      </c>
      <c r="N221" s="170"/>
      <c r="O221" s="12"/>
      <c r="P221" s="12"/>
    </row>
    <row r="222" spans="2:16" ht="15" customHeight="1">
      <c r="B222" s="169">
        <v>46035</v>
      </c>
      <c r="C222" s="158" t="s">
        <v>1431</v>
      </c>
      <c r="D222" s="159">
        <v>7.54</v>
      </c>
      <c r="E222" s="160">
        <f t="shared" si="101"/>
        <v>20091.385599999998</v>
      </c>
      <c r="F222" s="228">
        <v>2664.64</v>
      </c>
      <c r="G222" s="229" t="s">
        <v>87</v>
      </c>
      <c r="H222" s="163">
        <v>46043</v>
      </c>
      <c r="I222" s="403">
        <v>19054.953992890787</v>
      </c>
      <c r="J222" s="164">
        <f t="shared" si="102"/>
        <v>-1036.4316071092107</v>
      </c>
      <c r="K222" s="324">
        <f t="shared" si="95"/>
        <v>-144.9343366873442</v>
      </c>
      <c r="L222" s="182">
        <f t="shared" si="96"/>
        <v>7.1510425396641901</v>
      </c>
      <c r="M222" s="182">
        <f t="shared" si="97"/>
        <v>-0.38895746033580991</v>
      </c>
      <c r="N222" s="170"/>
      <c r="O222" s="12"/>
      <c r="P222" s="12"/>
    </row>
    <row r="223" spans="2:16" ht="15" customHeight="1">
      <c r="B223" s="169">
        <v>46035</v>
      </c>
      <c r="C223" s="158" t="s">
        <v>1432</v>
      </c>
      <c r="D223" s="159">
        <v>7.54</v>
      </c>
      <c r="E223" s="160">
        <f>F223*D223</f>
        <v>54882.981399999997</v>
      </c>
      <c r="F223" s="402">
        <f>7278.91</f>
        <v>7278.91</v>
      </c>
      <c r="G223" s="229" t="s">
        <v>87</v>
      </c>
      <c r="H223" s="163">
        <v>46043</v>
      </c>
      <c r="I223" s="403">
        <v>69889.11</v>
      </c>
      <c r="J223" s="164">
        <f t="shared" ref="J223:J235" si="103">I223-E223</f>
        <v>15006.128600000004</v>
      </c>
      <c r="K223" s="324">
        <f t="shared" si="95"/>
        <v>1562.8795319875446</v>
      </c>
      <c r="L223" s="182">
        <f t="shared" si="96"/>
        <v>9.6015900732389881</v>
      </c>
      <c r="M223" s="182">
        <f t="shared" si="97"/>
        <v>2.061590073238988</v>
      </c>
      <c r="N223" s="170"/>
      <c r="O223" s="12"/>
      <c r="P223" s="12"/>
    </row>
    <row r="224" spans="2:16" ht="30">
      <c r="B224" s="169">
        <v>46035</v>
      </c>
      <c r="C224" s="158" t="s">
        <v>1439</v>
      </c>
      <c r="D224" s="159">
        <v>7.54</v>
      </c>
      <c r="E224" s="160">
        <f t="shared" ref="E224" si="104">F224*D224</f>
        <v>128642.27740000001</v>
      </c>
      <c r="F224" s="228">
        <v>17061.310000000001</v>
      </c>
      <c r="G224" s="229" t="s">
        <v>87</v>
      </c>
      <c r="H224" s="163">
        <v>46043</v>
      </c>
      <c r="I224" s="403">
        <v>122006.15359239807</v>
      </c>
      <c r="J224" s="164">
        <f t="shared" si="103"/>
        <v>-6636.1238076019363</v>
      </c>
      <c r="K224" s="324">
        <f t="shared" si="95"/>
        <v>-927.99389330909571</v>
      </c>
      <c r="L224" s="182">
        <f t="shared" si="96"/>
        <v>7.151042539664191</v>
      </c>
      <c r="M224" s="182">
        <f t="shared" si="97"/>
        <v>-0.38895746033580902</v>
      </c>
      <c r="N224" s="170"/>
      <c r="O224" s="12"/>
      <c r="P224" s="12"/>
    </row>
    <row r="225" spans="2:16" ht="30">
      <c r="B225" s="169">
        <v>46036</v>
      </c>
      <c r="C225" s="401" t="s">
        <v>1428</v>
      </c>
      <c r="D225" s="159">
        <v>7.54</v>
      </c>
      <c r="E225" s="160">
        <f>F225*D225</f>
        <v>329309.3492</v>
      </c>
      <c r="F225" s="228">
        <v>43674.98</v>
      </c>
      <c r="G225" s="229" t="s">
        <v>87</v>
      </c>
      <c r="H225" s="163">
        <v>45677</v>
      </c>
      <c r="I225" s="160">
        <v>333163.8</v>
      </c>
      <c r="J225" s="164">
        <f t="shared" si="103"/>
        <v>3854.4507999999914</v>
      </c>
      <c r="K225" s="324">
        <f t="shared" si="95"/>
        <v>505.28617335071709</v>
      </c>
      <c r="L225" s="182">
        <f t="shared" si="96"/>
        <v>7.6282530638823411</v>
      </c>
      <c r="M225" s="182">
        <f t="shared" si="97"/>
        <v>8.825306388234111E-2</v>
      </c>
      <c r="N225" s="266"/>
      <c r="O225" s="12"/>
      <c r="P225" s="12"/>
    </row>
    <row r="226" spans="2:16">
      <c r="B226" s="169">
        <v>46036</v>
      </c>
      <c r="C226" s="398" t="s">
        <v>1427</v>
      </c>
      <c r="D226" s="159">
        <v>7.54</v>
      </c>
      <c r="E226" s="160">
        <f>F226*D226</f>
        <v>46557.916599999997</v>
      </c>
      <c r="F226" s="228">
        <v>6174.79</v>
      </c>
      <c r="G226" s="229" t="s">
        <v>87</v>
      </c>
      <c r="H226" s="163">
        <v>45677</v>
      </c>
      <c r="I226" s="160">
        <v>47100.124821340258</v>
      </c>
      <c r="J226" s="164">
        <f t="shared" ref="J226" si="105">I226-E226</f>
        <v>542.20822134026093</v>
      </c>
      <c r="K226" s="324">
        <f t="shared" ref="K226" si="106">IFERROR(J226/L226,0)</f>
        <v>71.083079200942976</v>
      </c>
      <c r="L226" s="182">
        <f t="shared" ref="L226" si="107">I226/F226</f>
        <v>7.6278099856578541</v>
      </c>
      <c r="M226" s="182">
        <f t="shared" ref="M226" si="108">L226-D226</f>
        <v>8.7809985657854028E-2</v>
      </c>
      <c r="N226" s="266"/>
      <c r="O226" s="12"/>
      <c r="P226" s="12"/>
    </row>
    <row r="227" spans="2:16">
      <c r="B227" s="169">
        <v>46037</v>
      </c>
      <c r="C227" s="398" t="s">
        <v>1433</v>
      </c>
      <c r="D227" s="159">
        <v>7.54</v>
      </c>
      <c r="E227" s="160">
        <f>F227*D227</f>
        <v>11046.1754</v>
      </c>
      <c r="F227" s="228">
        <v>1465.01</v>
      </c>
      <c r="G227" s="229" t="s">
        <v>87</v>
      </c>
      <c r="H227" s="163">
        <v>45677</v>
      </c>
      <c r="I227" s="160">
        <v>11174.817907088613</v>
      </c>
      <c r="J227" s="164">
        <f t="shared" si="103"/>
        <v>128.64250708861255</v>
      </c>
      <c r="K227" s="324">
        <f t="shared" si="95"/>
        <v>16.864933359705063</v>
      </c>
      <c r="L227" s="182">
        <f t="shared" si="96"/>
        <v>7.6278099856578541</v>
      </c>
      <c r="M227" s="182">
        <f t="shared" si="97"/>
        <v>8.7809985657854028E-2</v>
      </c>
      <c r="N227" s="266"/>
      <c r="O227" s="12"/>
      <c r="P227" s="12"/>
    </row>
    <row r="228" spans="2:16">
      <c r="B228" s="169">
        <v>46037</v>
      </c>
      <c r="C228" s="398" t="s">
        <v>1434</v>
      </c>
      <c r="D228" s="159">
        <v>7.54</v>
      </c>
      <c r="E228" s="160">
        <f t="shared" ref="E228:E232" si="109">F228*D228</f>
        <v>25987.6656</v>
      </c>
      <c r="F228" s="228">
        <v>3446.64</v>
      </c>
      <c r="G228" s="229" t="s">
        <v>87</v>
      </c>
      <c r="H228" s="163">
        <v>45677</v>
      </c>
      <c r="I228" s="160">
        <v>26290.315008967784</v>
      </c>
      <c r="J228" s="164">
        <f t="shared" si="103"/>
        <v>302.64940896778353</v>
      </c>
      <c r="K228" s="324">
        <f t="shared" si="95"/>
        <v>39.677103852460711</v>
      </c>
      <c r="L228" s="182">
        <f t="shared" si="96"/>
        <v>7.6278099856578541</v>
      </c>
      <c r="M228" s="182">
        <f t="shared" si="97"/>
        <v>8.7809985657854028E-2</v>
      </c>
      <c r="N228" s="266"/>
      <c r="O228" s="12"/>
      <c r="P228" s="12"/>
    </row>
    <row r="229" spans="2:16">
      <c r="B229" s="169">
        <v>46037</v>
      </c>
      <c r="C229" s="398" t="s">
        <v>1435</v>
      </c>
      <c r="D229" s="159">
        <v>7.54</v>
      </c>
      <c r="E229" s="160">
        <f t="shared" si="109"/>
        <v>18566.043600000001</v>
      </c>
      <c r="F229" s="228">
        <v>2462.34</v>
      </c>
      <c r="G229" s="229" t="s">
        <v>87</v>
      </c>
      <c r="H229" s="163">
        <v>45677</v>
      </c>
      <c r="I229" s="160">
        <v>18782.261640084762</v>
      </c>
      <c r="J229" s="164">
        <f t="shared" si="103"/>
        <v>216.21804008476101</v>
      </c>
      <c r="K229" s="324">
        <f t="shared" si="95"/>
        <v>28.346018122017163</v>
      </c>
      <c r="L229" s="182">
        <f t="shared" si="96"/>
        <v>7.6278099856578541</v>
      </c>
      <c r="M229" s="182">
        <f t="shared" si="97"/>
        <v>8.7809985657854028E-2</v>
      </c>
      <c r="N229" s="266"/>
      <c r="O229" s="12"/>
      <c r="P229" s="12"/>
    </row>
    <row r="230" spans="2:16">
      <c r="B230" s="169">
        <v>46037</v>
      </c>
      <c r="C230" s="399" t="s">
        <v>1436</v>
      </c>
      <c r="D230" s="159">
        <v>7.54</v>
      </c>
      <c r="E230" s="160">
        <f t="shared" si="109"/>
        <v>45654.624599999996</v>
      </c>
      <c r="F230" s="228">
        <v>6054.99</v>
      </c>
      <c r="G230" s="229" t="s">
        <v>87</v>
      </c>
      <c r="H230" s="163">
        <v>45677</v>
      </c>
      <c r="I230" s="160">
        <v>46186.313185058447</v>
      </c>
      <c r="J230" s="164">
        <f t="shared" si="103"/>
        <v>531.68858505845128</v>
      </c>
      <c r="K230" s="324">
        <f t="shared" si="95"/>
        <v>69.703963006178142</v>
      </c>
      <c r="L230" s="182">
        <f t="shared" si="96"/>
        <v>7.6278099856578541</v>
      </c>
      <c r="M230" s="182">
        <f t="shared" si="97"/>
        <v>8.7809985657854028E-2</v>
      </c>
      <c r="N230" s="266"/>
      <c r="O230" s="12"/>
      <c r="P230" s="12"/>
    </row>
    <row r="231" spans="2:16">
      <c r="B231" s="169">
        <v>46037</v>
      </c>
      <c r="C231" s="399" t="s">
        <v>1437</v>
      </c>
      <c r="D231" s="159">
        <v>7.54</v>
      </c>
      <c r="E231" s="160">
        <f t="shared" si="109"/>
        <v>100624.7684</v>
      </c>
      <c r="F231" s="228">
        <v>13345.46</v>
      </c>
      <c r="G231" s="229" t="s">
        <v>87</v>
      </c>
      <c r="H231" s="163">
        <v>45677</v>
      </c>
      <c r="I231" s="160">
        <v>101796.63305119747</v>
      </c>
      <c r="J231" s="164">
        <f t="shared" si="103"/>
        <v>1171.8646511974657</v>
      </c>
      <c r="K231" s="324">
        <f t="shared" si="95"/>
        <v>153.63055102327633</v>
      </c>
      <c r="L231" s="182">
        <f t="shared" si="96"/>
        <v>7.627809985657855</v>
      </c>
      <c r="M231" s="182">
        <f t="shared" si="97"/>
        <v>8.7809985657854916E-2</v>
      </c>
      <c r="N231" s="266"/>
      <c r="O231" s="12"/>
      <c r="P231" s="12"/>
    </row>
    <row r="232" spans="2:16">
      <c r="B232" s="169">
        <v>46037</v>
      </c>
      <c r="C232" s="398" t="s">
        <v>1438</v>
      </c>
      <c r="D232" s="159">
        <v>7.54</v>
      </c>
      <c r="E232" s="160">
        <f t="shared" si="109"/>
        <v>14266.7356</v>
      </c>
      <c r="F232" s="228">
        <v>1892.14</v>
      </c>
      <c r="G232" s="229" t="s">
        <v>87</v>
      </c>
      <c r="H232" s="163">
        <v>45677</v>
      </c>
      <c r="I232" s="160">
        <v>14432.884386262653</v>
      </c>
      <c r="J232" s="164">
        <f t="shared" si="103"/>
        <v>166.14878626265272</v>
      </c>
      <c r="K232" s="324">
        <f t="shared" si="95"/>
        <v>21.781977602359397</v>
      </c>
      <c r="L232" s="182">
        <f t="shared" si="96"/>
        <v>7.6278099856578541</v>
      </c>
      <c r="M232" s="182">
        <f t="shared" si="97"/>
        <v>8.7809985657854028E-2</v>
      </c>
      <c r="N232" s="266"/>
      <c r="O232" s="12"/>
      <c r="P232" s="12"/>
    </row>
    <row r="233" spans="2:16">
      <c r="B233" s="169">
        <v>46041</v>
      </c>
      <c r="C233" s="263" t="s">
        <v>1440</v>
      </c>
      <c r="D233" s="159">
        <v>7.54</v>
      </c>
      <c r="E233" s="160">
        <v>136499.65</v>
      </c>
      <c r="F233" s="228">
        <v>19467.22</v>
      </c>
      <c r="G233" s="229" t="s">
        <v>87</v>
      </c>
      <c r="H233" s="163">
        <v>45683</v>
      </c>
      <c r="I233" s="160">
        <v>136499.65</v>
      </c>
      <c r="J233" s="164">
        <f t="shared" si="103"/>
        <v>0</v>
      </c>
      <c r="K233" s="324">
        <f t="shared" ref="K233:K235" si="110">IFERROR(J233/L233,0)</f>
        <v>0</v>
      </c>
      <c r="L233" s="182">
        <f t="shared" ref="L233:L234" si="111">I233/F233</f>
        <v>7.0117690147848526</v>
      </c>
      <c r="M233" s="182">
        <f t="shared" ref="M233:M234" si="112">L233-D233</f>
        <v>-0.52823098521514744</v>
      </c>
      <c r="N233" s="266"/>
      <c r="O233" s="12"/>
      <c r="P233" s="12"/>
    </row>
    <row r="234" spans="2:16" ht="15" customHeight="1">
      <c r="B234" s="169">
        <v>46048</v>
      </c>
      <c r="C234" s="263" t="s">
        <v>1488</v>
      </c>
      <c r="D234" s="159">
        <v>7.54</v>
      </c>
      <c r="E234" s="160">
        <f>F234*D234</f>
        <v>458526.32540000003</v>
      </c>
      <c r="F234" s="228">
        <v>60812.51</v>
      </c>
      <c r="G234" s="229" t="s">
        <v>87</v>
      </c>
      <c r="H234" s="163">
        <v>46050</v>
      </c>
      <c r="I234" s="160">
        <v>462707.18</v>
      </c>
      <c r="J234" s="164">
        <f t="shared" si="103"/>
        <v>4180.8545999999624</v>
      </c>
      <c r="K234" s="324">
        <f t="shared" si="110"/>
        <v>549.47982905958736</v>
      </c>
      <c r="L234" s="182">
        <f t="shared" si="111"/>
        <v>7.6087499101747316</v>
      </c>
      <c r="M234" s="182">
        <f t="shared" si="112"/>
        <v>6.8749910174731532E-2</v>
      </c>
      <c r="N234" s="266"/>
      <c r="O234" s="12"/>
      <c r="P234" s="12"/>
    </row>
    <row r="235" spans="2:16" ht="30">
      <c r="B235" s="169">
        <v>46052</v>
      </c>
      <c r="C235" s="263" t="s">
        <v>1534</v>
      </c>
      <c r="D235" s="159">
        <v>7.54</v>
      </c>
      <c r="E235" s="160">
        <f t="shared" ref="E235" si="113">F235*D235</f>
        <v>8668.8134000000009</v>
      </c>
      <c r="F235" s="228">
        <v>1149.71</v>
      </c>
      <c r="G235" s="229" t="s">
        <v>87</v>
      </c>
      <c r="H235" s="163">
        <v>46056</v>
      </c>
      <c r="I235" s="160">
        <v>8536.43</v>
      </c>
      <c r="J235" s="164">
        <f t="shared" si="103"/>
        <v>-132.38340000000062</v>
      </c>
      <c r="K235" s="324">
        <f t="shared" si="110"/>
        <v>-17.829762419887555</v>
      </c>
      <c r="L235" s="182">
        <f t="shared" ref="L235:L242" si="114">I235/F235</f>
        <v>7.4248549634255596</v>
      </c>
      <c r="M235" s="182">
        <f t="shared" ref="M235:M242" si="115">L235-D235</f>
        <v>-0.11514503657444042</v>
      </c>
      <c r="N235" s="170"/>
      <c r="O235" s="12"/>
      <c r="P235" s="12"/>
    </row>
    <row r="236" spans="2:16" ht="15" customHeight="1">
      <c r="B236" s="169">
        <v>46057</v>
      </c>
      <c r="C236" s="263" t="s">
        <v>1537</v>
      </c>
      <c r="D236" s="159">
        <v>7.54</v>
      </c>
      <c r="E236" s="160">
        <f>F236*D236</f>
        <v>38762.235200000003</v>
      </c>
      <c r="F236" s="228">
        <v>5140.88</v>
      </c>
      <c r="G236" s="229" t="s">
        <v>87</v>
      </c>
      <c r="H236" s="163">
        <v>46063</v>
      </c>
      <c r="I236" s="160">
        <v>38892.15</v>
      </c>
      <c r="J236" s="164">
        <f t="shared" ref="J236:J242" si="116">I236-E236</f>
        <v>129.91479999999865</v>
      </c>
      <c r="K236" s="324">
        <f t="shared" ref="K236:K242" si="117">IFERROR(J236/L236,0)</f>
        <v>17.172524456066149</v>
      </c>
      <c r="L236" s="182">
        <f t="shared" si="114"/>
        <v>7.5652709263783633</v>
      </c>
      <c r="M236" s="182">
        <f t="shared" si="115"/>
        <v>2.5270926378363257E-2</v>
      </c>
      <c r="N236" s="266"/>
      <c r="O236" s="12"/>
      <c r="P236" s="12"/>
    </row>
    <row r="237" spans="2:16" ht="15" customHeight="1">
      <c r="B237" s="169">
        <v>46064</v>
      </c>
      <c r="C237" s="408" t="s">
        <v>1557</v>
      </c>
      <c r="D237" s="159">
        <v>7.54</v>
      </c>
      <c r="E237" s="160">
        <f>F237*D237</f>
        <v>75587.293600000005</v>
      </c>
      <c r="F237" s="228">
        <v>10024.84</v>
      </c>
      <c r="G237" s="229" t="s">
        <v>87</v>
      </c>
      <c r="H237" s="163">
        <v>46073</v>
      </c>
      <c r="I237" s="160">
        <v>76371.940472617964</v>
      </c>
      <c r="J237" s="164">
        <f>I237-E237</f>
        <v>784.64687261795916</v>
      </c>
      <c r="K237" s="324">
        <f>IFERROR(J237/L237,0)</f>
        <v>102.99541043239101</v>
      </c>
      <c r="L237" s="182">
        <f>I237/F237</f>
        <v>7.6182702639262034</v>
      </c>
      <c r="M237" s="182">
        <f>L237-D237</f>
        <v>7.8270263926203398E-2</v>
      </c>
      <c r="N237" s="170"/>
      <c r="O237" s="12"/>
      <c r="P237" s="12"/>
    </row>
    <row r="238" spans="2:16">
      <c r="B238" s="169">
        <v>46064</v>
      </c>
      <c r="C238" s="408" t="s">
        <v>1558</v>
      </c>
      <c r="D238" s="159">
        <v>7.54</v>
      </c>
      <c r="E238" s="160">
        <f t="shared" ref="E238:E242" si="118">F238*D238</f>
        <v>50083.469799999999</v>
      </c>
      <c r="F238" s="228">
        <v>6642.37</v>
      </c>
      <c r="G238" s="229" t="s">
        <v>87</v>
      </c>
      <c r="H238" s="163">
        <v>46073</v>
      </c>
      <c r="I238" s="160">
        <v>50603.369852995493</v>
      </c>
      <c r="J238" s="164">
        <f t="shared" si="116"/>
        <v>519.90005299549375</v>
      </c>
      <c r="K238" s="324">
        <f t="shared" si="117"/>
        <v>68.24384472907299</v>
      </c>
      <c r="L238" s="182">
        <f t="shared" si="114"/>
        <v>7.6182702639262034</v>
      </c>
      <c r="M238" s="182">
        <f t="shared" si="115"/>
        <v>7.8270263926203398E-2</v>
      </c>
      <c r="N238" s="170"/>
      <c r="O238" s="12"/>
      <c r="P238" s="12"/>
    </row>
    <row r="239" spans="2:16" ht="15" customHeight="1">
      <c r="B239" s="169">
        <v>46064</v>
      </c>
      <c r="C239" s="408" t="s">
        <v>1559</v>
      </c>
      <c r="D239" s="159">
        <v>7.54</v>
      </c>
      <c r="E239" s="160">
        <f t="shared" si="118"/>
        <v>12497.8516</v>
      </c>
      <c r="F239" s="228">
        <v>1657.54</v>
      </c>
      <c r="G239" s="229" t="s">
        <v>87</v>
      </c>
      <c r="H239" s="163">
        <v>46073</v>
      </c>
      <c r="I239" s="160">
        <v>12627.587693268239</v>
      </c>
      <c r="J239" s="164">
        <f t="shared" si="116"/>
        <v>129.73609326823862</v>
      </c>
      <c r="K239" s="324">
        <f t="shared" si="117"/>
        <v>17.029599735068594</v>
      </c>
      <c r="L239" s="182">
        <f t="shared" si="114"/>
        <v>7.6182702639262034</v>
      </c>
      <c r="M239" s="182">
        <f t="shared" si="115"/>
        <v>7.8270263926203398E-2</v>
      </c>
      <c r="N239" s="170"/>
      <c r="O239" s="12"/>
      <c r="P239" s="12"/>
    </row>
    <row r="240" spans="2:16" ht="15" customHeight="1">
      <c r="B240" s="169">
        <v>46064</v>
      </c>
      <c r="C240" s="408" t="s">
        <v>1560</v>
      </c>
      <c r="D240" s="159">
        <v>7.54</v>
      </c>
      <c r="E240" s="160">
        <f t="shared" si="118"/>
        <v>28083.107</v>
      </c>
      <c r="F240" s="228">
        <v>3724.55</v>
      </c>
      <c r="G240" s="229" t="s">
        <v>87</v>
      </c>
      <c r="H240" s="163">
        <v>46073</v>
      </c>
      <c r="I240" s="160">
        <v>28374.62851150634</v>
      </c>
      <c r="J240" s="164">
        <f t="shared" si="116"/>
        <v>291.52151150634018</v>
      </c>
      <c r="K240" s="324">
        <f t="shared" si="117"/>
        <v>38.26610259375331</v>
      </c>
      <c r="L240" s="182">
        <f t="shared" si="114"/>
        <v>7.6182702639262025</v>
      </c>
      <c r="M240" s="182">
        <f t="shared" si="115"/>
        <v>7.827026392620251E-2</v>
      </c>
      <c r="N240" s="170"/>
      <c r="O240" s="12"/>
      <c r="P240" s="12"/>
    </row>
    <row r="241" spans="2:16" ht="15" customHeight="1">
      <c r="B241" s="169">
        <v>46064</v>
      </c>
      <c r="C241" s="408" t="s">
        <v>1561</v>
      </c>
      <c r="D241" s="159">
        <v>7.54</v>
      </c>
      <c r="E241" s="160">
        <f t="shared" si="118"/>
        <v>20091.385599999998</v>
      </c>
      <c r="F241" s="228">
        <v>2664.64</v>
      </c>
      <c r="G241" s="229" t="s">
        <v>87</v>
      </c>
      <c r="H241" s="163">
        <v>46073</v>
      </c>
      <c r="I241" s="160">
        <v>20299.947676068317</v>
      </c>
      <c r="J241" s="164">
        <f t="shared" si="116"/>
        <v>208.56207606831958</v>
      </c>
      <c r="K241" s="324">
        <f t="shared" si="117"/>
        <v>27.376565656366413</v>
      </c>
      <c r="L241" s="182">
        <f t="shared" si="114"/>
        <v>7.6182702639262034</v>
      </c>
      <c r="M241" s="182">
        <f t="shared" si="115"/>
        <v>7.8270263926203398E-2</v>
      </c>
      <c r="N241" s="170"/>
      <c r="O241" s="12"/>
      <c r="P241" s="12"/>
    </row>
    <row r="242" spans="2:16" ht="30">
      <c r="B242" s="169">
        <v>46064</v>
      </c>
      <c r="C242" s="408" t="s">
        <v>1562</v>
      </c>
      <c r="D242" s="159">
        <v>7.54</v>
      </c>
      <c r="E242" s="160">
        <f t="shared" si="118"/>
        <v>136711.133</v>
      </c>
      <c r="F242" s="228">
        <v>18131.45</v>
      </c>
      <c r="G242" s="229" t="s">
        <v>87</v>
      </c>
      <c r="H242" s="163">
        <v>46073</v>
      </c>
      <c r="I242" s="160">
        <v>138130.28637686477</v>
      </c>
      <c r="J242" s="164">
        <f t="shared" si="116"/>
        <v>1419.1533768647641</v>
      </c>
      <c r="K242" s="324">
        <f t="shared" si="117"/>
        <v>186.28288675773229</v>
      </c>
      <c r="L242" s="182">
        <f t="shared" si="114"/>
        <v>7.6182702639262034</v>
      </c>
      <c r="M242" s="182">
        <f t="shared" si="115"/>
        <v>7.8270263926203398E-2</v>
      </c>
      <c r="N242" s="170"/>
      <c r="O242" s="12"/>
      <c r="P242" s="12"/>
    </row>
    <row r="243" spans="2:16" ht="30">
      <c r="B243" s="169">
        <v>46064</v>
      </c>
      <c r="C243" s="408" t="s">
        <v>1563</v>
      </c>
      <c r="D243" s="159">
        <v>7.54</v>
      </c>
      <c r="E243" s="160">
        <f t="shared" ref="E243" si="119">F243*D243</f>
        <v>8444.2722000000012</v>
      </c>
      <c r="F243" s="228">
        <v>1119.93</v>
      </c>
      <c r="G243" s="229" t="s">
        <v>87</v>
      </c>
      <c r="H243" s="163">
        <v>46073</v>
      </c>
      <c r="I243" s="160">
        <v>8531.9294166788732</v>
      </c>
      <c r="J243" s="164">
        <f t="shared" ref="J243" si="120">I243-E243</f>
        <v>87.657216678871919</v>
      </c>
      <c r="K243" s="324">
        <f t="shared" ref="K243" si="121">IFERROR(J243/L243,0)</f>
        <v>11.506183640391921</v>
      </c>
      <c r="L243" s="182">
        <f t="shared" ref="L243" si="122">I243/F243</f>
        <v>7.6182702639262034</v>
      </c>
      <c r="M243" s="182">
        <f t="shared" ref="M243" si="123">L243-D243</f>
        <v>7.8270263926203398E-2</v>
      </c>
      <c r="N243" s="170"/>
      <c r="O243" s="12"/>
      <c r="P243" s="12"/>
    </row>
    <row r="244" spans="2:16">
      <c r="B244" s="169">
        <v>46065</v>
      </c>
      <c r="C244" s="212" t="s">
        <v>1564</v>
      </c>
      <c r="D244" s="159">
        <v>7.54</v>
      </c>
      <c r="E244" s="160">
        <f t="shared" ref="E244:E249" si="124">F244*D244</f>
        <v>12684.3912</v>
      </c>
      <c r="F244" s="228">
        <v>1682.28</v>
      </c>
      <c r="G244" s="229" t="s">
        <v>87</v>
      </c>
      <c r="H244" s="163">
        <v>46070</v>
      </c>
      <c r="I244" s="160">
        <v>12508.65</v>
      </c>
      <c r="J244" s="164">
        <f t="shared" ref="J244:J249" si="125">I244-E244</f>
        <v>-175.74120000000039</v>
      </c>
      <c r="K244" s="324">
        <f t="shared" ref="K244:K249" si="126">IFERROR(J244/L244,0)</f>
        <v>-23.635316835629794</v>
      </c>
      <c r="L244" s="182">
        <f t="shared" ref="L244:L249" si="127">I244/F244</f>
        <v>7.4355339182537987</v>
      </c>
      <c r="M244" s="182">
        <f t="shared" ref="M244:M249" si="128">L244-D244</f>
        <v>-0.10446608174620131</v>
      </c>
      <c r="N244" s="266"/>
      <c r="O244" s="12"/>
      <c r="P244" s="12"/>
    </row>
    <row r="245" spans="2:16">
      <c r="B245" s="169">
        <v>46065</v>
      </c>
      <c r="C245" s="212" t="s">
        <v>1565</v>
      </c>
      <c r="D245" s="159">
        <v>7.54</v>
      </c>
      <c r="E245" s="160">
        <f t="shared" si="124"/>
        <v>40535.266199999998</v>
      </c>
      <c r="F245" s="228">
        <v>5376.03</v>
      </c>
      <c r="G245" s="229" t="s">
        <v>87</v>
      </c>
      <c r="H245" s="163">
        <v>46072</v>
      </c>
      <c r="I245" s="160">
        <v>40674.51</v>
      </c>
      <c r="J245" s="164">
        <f t="shared" si="125"/>
        <v>139.24380000000383</v>
      </c>
      <c r="K245" s="324">
        <f t="shared" si="126"/>
        <v>18.404126960939923</v>
      </c>
      <c r="L245" s="182">
        <f t="shared" si="127"/>
        <v>7.565900859928238</v>
      </c>
      <c r="M245" s="182">
        <f t="shared" si="128"/>
        <v>2.5900859928237985E-2</v>
      </c>
      <c r="N245" s="266"/>
      <c r="O245" s="12"/>
      <c r="P245" s="12"/>
    </row>
    <row r="246" spans="2:16">
      <c r="B246" s="169">
        <v>46065</v>
      </c>
      <c r="C246" s="212" t="s">
        <v>1566</v>
      </c>
      <c r="D246" s="159">
        <v>7.54</v>
      </c>
      <c r="E246" s="160">
        <f t="shared" si="124"/>
        <v>11046.1754</v>
      </c>
      <c r="F246" s="228">
        <v>1465.01</v>
      </c>
      <c r="G246" s="229" t="s">
        <v>87</v>
      </c>
      <c r="H246" s="163">
        <v>46071</v>
      </c>
      <c r="I246" s="160">
        <v>11068.0366590389</v>
      </c>
      <c r="J246" s="164">
        <f t="shared" si="125"/>
        <v>21.861259038900243</v>
      </c>
      <c r="K246" s="324">
        <f t="shared" si="126"/>
        <v>2.8936444729268112</v>
      </c>
      <c r="L246" s="182">
        <f t="shared" si="127"/>
        <v>7.5549222592602785</v>
      </c>
      <c r="M246" s="182">
        <f t="shared" si="128"/>
        <v>1.4922259260278459E-2</v>
      </c>
      <c r="N246" s="266"/>
      <c r="O246" s="12"/>
      <c r="P246" s="12"/>
    </row>
    <row r="247" spans="2:16">
      <c r="B247" s="169">
        <v>46065</v>
      </c>
      <c r="C247" s="212" t="s">
        <v>1567</v>
      </c>
      <c r="D247" s="159">
        <v>7.54</v>
      </c>
      <c r="E247" s="160">
        <f t="shared" si="124"/>
        <v>25987.6656</v>
      </c>
      <c r="F247" s="228">
        <v>3446.64</v>
      </c>
      <c r="G247" s="229" t="s">
        <v>87</v>
      </c>
      <c r="H247" s="163">
        <v>46071</v>
      </c>
      <c r="I247" s="160">
        <v>26039.097255656849</v>
      </c>
      <c r="J247" s="164">
        <f t="shared" si="125"/>
        <v>51.431655656848307</v>
      </c>
      <c r="K247" s="324">
        <f t="shared" si="126"/>
        <v>6.8077015079549081</v>
      </c>
      <c r="L247" s="182">
        <f t="shared" si="127"/>
        <v>7.5549222592602794</v>
      </c>
      <c r="M247" s="182">
        <f t="shared" si="128"/>
        <v>1.4922259260279347E-2</v>
      </c>
      <c r="N247" s="266"/>
      <c r="O247" s="12"/>
      <c r="P247" s="12"/>
    </row>
    <row r="248" spans="2:16">
      <c r="B248" s="169">
        <v>46065</v>
      </c>
      <c r="C248" s="212" t="s">
        <v>1568</v>
      </c>
      <c r="D248" s="159">
        <v>7.54</v>
      </c>
      <c r="E248" s="160">
        <f t="shared" si="124"/>
        <v>18566.043600000001</v>
      </c>
      <c r="F248" s="228">
        <v>2462.34</v>
      </c>
      <c r="G248" s="229" t="s">
        <v>87</v>
      </c>
      <c r="H248" s="163">
        <v>46071</v>
      </c>
      <c r="I248" s="160">
        <v>18602.787275866955</v>
      </c>
      <c r="J248" s="164">
        <f t="shared" si="125"/>
        <v>36.743675866953708</v>
      </c>
      <c r="K248" s="324">
        <f t="shared" si="126"/>
        <v>4.8635412259756823</v>
      </c>
      <c r="L248" s="182">
        <f t="shared" si="127"/>
        <v>7.5549222592602785</v>
      </c>
      <c r="M248" s="182">
        <f t="shared" si="128"/>
        <v>1.4922259260278459E-2</v>
      </c>
      <c r="N248" s="266"/>
      <c r="O248" s="12"/>
      <c r="P248" s="12"/>
    </row>
    <row r="249" spans="2:16" ht="30">
      <c r="B249" s="169">
        <v>46065</v>
      </c>
      <c r="C249" s="263" t="s">
        <v>1569</v>
      </c>
      <c r="D249" s="159">
        <v>7.54</v>
      </c>
      <c r="E249" s="160">
        <f t="shared" si="124"/>
        <v>45158.718800000002</v>
      </c>
      <c r="F249" s="228">
        <v>5989.22</v>
      </c>
      <c r="G249" s="229" t="s">
        <v>87</v>
      </c>
      <c r="H249" s="163">
        <v>46071</v>
      </c>
      <c r="I249" s="160">
        <v>45248.091493606844</v>
      </c>
      <c r="J249" s="164">
        <f t="shared" si="125"/>
        <v>89.372693606841494</v>
      </c>
      <c r="K249" s="324">
        <f t="shared" si="126"/>
        <v>11.829730411493633</v>
      </c>
      <c r="L249" s="182">
        <f t="shared" si="127"/>
        <v>7.5549222592602776</v>
      </c>
      <c r="M249" s="182">
        <f t="shared" si="128"/>
        <v>1.4922259260277571E-2</v>
      </c>
      <c r="N249" s="266"/>
      <c r="O249" s="12"/>
      <c r="P249" s="12"/>
    </row>
    <row r="250" spans="2:16">
      <c r="B250" s="169">
        <v>46065</v>
      </c>
      <c r="C250" s="263" t="s">
        <v>1570</v>
      </c>
      <c r="D250" s="159">
        <v>7.54</v>
      </c>
      <c r="E250" s="160">
        <f t="shared" ref="E250" si="129">F250*D250</f>
        <v>11501.3652</v>
      </c>
      <c r="F250" s="228">
        <v>1525.38</v>
      </c>
      <c r="G250" s="229" t="s">
        <v>87</v>
      </c>
      <c r="H250" s="163">
        <v>46071</v>
      </c>
      <c r="I250" s="160">
        <v>11524.127315830445</v>
      </c>
      <c r="J250" s="164">
        <f t="shared" ref="J250:J252" si="130">I250-E250</f>
        <v>22.7621158304446</v>
      </c>
      <c r="K250" s="324">
        <f t="shared" ref="K250:K252" si="131">IFERROR(J250/L250,0)</f>
        <v>3.0128855134868449</v>
      </c>
      <c r="L250" s="182">
        <f t="shared" ref="L250:L252" si="132">I250/F250</f>
        <v>7.5549222592602785</v>
      </c>
      <c r="M250" s="182">
        <f t="shared" ref="M250:M252" si="133">L250-D250</f>
        <v>1.4922259260278459E-2</v>
      </c>
      <c r="N250" s="266"/>
      <c r="O250" s="12"/>
      <c r="P250" s="12"/>
    </row>
    <row r="251" spans="2:16" ht="15" customHeight="1">
      <c r="B251" s="169">
        <v>46071</v>
      </c>
      <c r="C251" s="263" t="s">
        <v>1591</v>
      </c>
      <c r="D251" s="159">
        <v>7.54</v>
      </c>
      <c r="E251" s="160">
        <f t="shared" ref="E251:E267" si="134">F251*D251</f>
        <v>436801.32339999999</v>
      </c>
      <c r="F251" s="228">
        <v>57931.21</v>
      </c>
      <c r="G251" s="229" t="s">
        <v>87</v>
      </c>
      <c r="H251" s="163">
        <v>46071</v>
      </c>
      <c r="I251" s="160">
        <v>432166.83</v>
      </c>
      <c r="J251" s="164">
        <f t="shared" si="130"/>
        <v>-4634.4933999999776</v>
      </c>
      <c r="K251" s="324">
        <f t="shared" si="131"/>
        <v>-621.24575918751725</v>
      </c>
      <c r="L251" s="182">
        <f t="shared" si="132"/>
        <v>7.4600000586902988</v>
      </c>
      <c r="M251" s="182">
        <f t="shared" si="133"/>
        <v>-7.9999941309701228E-2</v>
      </c>
      <c r="N251" s="266"/>
      <c r="O251" s="12"/>
      <c r="P251" s="12"/>
    </row>
    <row r="252" spans="2:16">
      <c r="B252" s="169">
        <v>46076</v>
      </c>
      <c r="C252" s="263" t="s">
        <v>1592</v>
      </c>
      <c r="D252" s="159">
        <v>7.54</v>
      </c>
      <c r="E252" s="160">
        <f t="shared" si="134"/>
        <v>76757.878599999996</v>
      </c>
      <c r="F252" s="228">
        <v>10180.09</v>
      </c>
      <c r="G252" s="229" t="s">
        <v>87</v>
      </c>
      <c r="H252" s="163">
        <v>46083</v>
      </c>
      <c r="I252" s="160">
        <v>76987.58</v>
      </c>
      <c r="J252" s="164">
        <f t="shared" si="130"/>
        <v>229.70140000000538</v>
      </c>
      <c r="K252" s="324">
        <f t="shared" si="131"/>
        <v>30.373482646500314</v>
      </c>
      <c r="L252" s="182">
        <f t="shared" si="132"/>
        <v>7.5625637887287835</v>
      </c>
      <c r="M252" s="182">
        <f t="shared" si="133"/>
        <v>2.2563788728783507E-2</v>
      </c>
      <c r="N252" s="266"/>
      <c r="O252" s="12"/>
      <c r="P252" s="12"/>
    </row>
    <row r="253" spans="2:16" ht="15" customHeight="1">
      <c r="B253" s="169">
        <v>46087</v>
      </c>
      <c r="C253" s="263" t="s">
        <v>1628</v>
      </c>
      <c r="D253" s="159">
        <v>7.54</v>
      </c>
      <c r="E253" s="160">
        <f t="shared" si="134"/>
        <v>160263.98179999998</v>
      </c>
      <c r="F253" s="228">
        <v>21255.17</v>
      </c>
      <c r="G253" s="229" t="s">
        <v>87</v>
      </c>
      <c r="H253" s="163">
        <v>46090</v>
      </c>
      <c r="I253" s="160">
        <v>161472.09350981328</v>
      </c>
      <c r="J253" s="164">
        <f t="shared" ref="J253" si="135">I253-E253</f>
        <v>1208.1117098132963</v>
      </c>
      <c r="K253" s="324">
        <f t="shared" ref="K253" si="136">IFERROR(J253/L253,0)</f>
        <v>159.02822099418495</v>
      </c>
      <c r="L253" s="182">
        <f t="shared" ref="L253" si="137">I253/F253</f>
        <v>7.5968384872863064</v>
      </c>
      <c r="M253" s="182">
        <f t="shared" ref="M253" si="138">L253-D253</f>
        <v>5.6838487286306361E-2</v>
      </c>
      <c r="N253" s="266"/>
      <c r="O253" s="12"/>
      <c r="P253" s="12"/>
    </row>
    <row r="254" spans="2:16" ht="15" customHeight="1">
      <c r="B254" s="169">
        <v>46087</v>
      </c>
      <c r="C254" s="263" t="s">
        <v>1629</v>
      </c>
      <c r="D254" s="159">
        <v>7.54</v>
      </c>
      <c r="E254" s="160">
        <f t="shared" si="134"/>
        <v>20981.482599999999</v>
      </c>
      <c r="F254" s="228">
        <v>2782.69</v>
      </c>
      <c r="G254" s="229" t="s">
        <v>87</v>
      </c>
      <c r="H254" s="163">
        <v>46090</v>
      </c>
      <c r="I254" s="160">
        <v>21139.646490186733</v>
      </c>
      <c r="J254" s="164">
        <f t="shared" ref="J254" si="139">I254-E254</f>
        <v>158.16389018673362</v>
      </c>
      <c r="K254" s="324">
        <f t="shared" ref="K254" si="140">IFERROR(J254/L254,0)</f>
        <v>20.819698938108122</v>
      </c>
      <c r="L254" s="182">
        <f t="shared" ref="L254" si="141">I254/F254</f>
        <v>7.5968384872863064</v>
      </c>
      <c r="M254" s="182">
        <f t="shared" ref="M254" si="142">L254-D254</f>
        <v>5.6838487286306361E-2</v>
      </c>
      <c r="N254" s="266"/>
      <c r="O254" s="12"/>
      <c r="P254" s="12"/>
    </row>
    <row r="255" spans="2:16" ht="15" customHeight="1">
      <c r="B255" s="169">
        <v>46092</v>
      </c>
      <c r="C255" s="263" t="s">
        <v>1676</v>
      </c>
      <c r="D255" s="418">
        <v>7.54</v>
      </c>
      <c r="E255" s="419">
        <f t="shared" si="134"/>
        <v>13424.291399999998</v>
      </c>
      <c r="F255" s="228">
        <f>6201.96-4421.55</f>
        <v>1780.4099999999999</v>
      </c>
      <c r="G255" s="229" t="s">
        <v>87</v>
      </c>
      <c r="H255" s="163">
        <v>46099</v>
      </c>
      <c r="I255" s="160">
        <v>13397.15401662958</v>
      </c>
      <c r="J255" s="164">
        <f t="shared" ref="J255:J258" si="143">I255-E255</f>
        <v>-27.13738337041832</v>
      </c>
      <c r="K255" s="324">
        <f t="shared" ref="K255:K258" si="144">IFERROR(J255/L255,0)</f>
        <v>-3.6064128744473152</v>
      </c>
      <c r="L255" s="182">
        <f t="shared" ref="L255:L258" si="145">I255/F255</f>
        <v>7.5247577898515408</v>
      </c>
      <c r="M255" s="182">
        <f t="shared" ref="M255:M258" si="146">L255-D255</f>
        <v>-1.5242210148459279E-2</v>
      </c>
      <c r="N255" s="266"/>
      <c r="O255" s="12"/>
      <c r="P255" s="12"/>
    </row>
    <row r="256" spans="2:16" ht="15" customHeight="1">
      <c r="B256" s="169">
        <v>46092</v>
      </c>
      <c r="C256" s="263" t="s">
        <v>1677</v>
      </c>
      <c r="D256" s="418">
        <v>7.54</v>
      </c>
      <c r="E256" s="419">
        <f t="shared" si="134"/>
        <v>11046.1754</v>
      </c>
      <c r="F256" s="228">
        <v>1465.01</v>
      </c>
      <c r="G256" s="229" t="s">
        <v>87</v>
      </c>
      <c r="H256" s="163">
        <v>46099</v>
      </c>
      <c r="I256" s="160">
        <v>11023.845409710406</v>
      </c>
      <c r="J256" s="164">
        <f t="shared" si="143"/>
        <v>-22.329990289594207</v>
      </c>
      <c r="K256" s="324">
        <f t="shared" si="144"/>
        <v>-2.9675360873023879</v>
      </c>
      <c r="L256" s="182">
        <f t="shared" si="145"/>
        <v>7.5247577898515408</v>
      </c>
      <c r="M256" s="182">
        <f t="shared" si="146"/>
        <v>-1.5242210148459279E-2</v>
      </c>
      <c r="N256" s="266"/>
      <c r="O256" s="12"/>
      <c r="P256" s="12"/>
    </row>
    <row r="257" spans="2:16" ht="15" customHeight="1">
      <c r="B257" s="169">
        <v>46092</v>
      </c>
      <c r="C257" s="263" t="s">
        <v>1678</v>
      </c>
      <c r="D257" s="418">
        <v>7.54</v>
      </c>
      <c r="E257" s="419">
        <f t="shared" si="134"/>
        <v>25987.6656</v>
      </c>
      <c r="F257" s="228">
        <v>3446.64</v>
      </c>
      <c r="G257" s="229" t="s">
        <v>87</v>
      </c>
      <c r="H257" s="163">
        <v>46099</v>
      </c>
      <c r="I257" s="160">
        <v>25935.131188813913</v>
      </c>
      <c r="J257" s="164">
        <f t="shared" si="143"/>
        <v>-52.5344111860868</v>
      </c>
      <c r="K257" s="324">
        <f t="shared" si="144"/>
        <v>-6.9815418187863392</v>
      </c>
      <c r="L257" s="182">
        <f t="shared" si="145"/>
        <v>7.5247577898515408</v>
      </c>
      <c r="M257" s="182">
        <f t="shared" si="146"/>
        <v>-1.5242210148459279E-2</v>
      </c>
      <c r="N257" s="266"/>
      <c r="O257" s="12"/>
      <c r="P257" s="12"/>
    </row>
    <row r="258" spans="2:16" ht="15" customHeight="1">
      <c r="B258" s="169">
        <v>46092</v>
      </c>
      <c r="C258" s="263" t="s">
        <v>1679</v>
      </c>
      <c r="D258" s="418">
        <v>7.54</v>
      </c>
      <c r="E258" s="419">
        <f t="shared" si="134"/>
        <v>18566.043600000001</v>
      </c>
      <c r="F258" s="228">
        <v>2462.34</v>
      </c>
      <c r="G258" s="229" t="s">
        <v>87</v>
      </c>
      <c r="H258" s="163">
        <v>46099</v>
      </c>
      <c r="I258" s="160">
        <v>18343.5</v>
      </c>
      <c r="J258" s="164">
        <f t="shared" si="143"/>
        <v>-222.54360000000088</v>
      </c>
      <c r="K258" s="324">
        <f t="shared" si="144"/>
        <v>-29.873143512634023</v>
      </c>
      <c r="L258" s="182">
        <f t="shared" si="145"/>
        <v>7.4496210921318742</v>
      </c>
      <c r="M258" s="182">
        <f t="shared" si="146"/>
        <v>-9.0378907868125857E-2</v>
      </c>
      <c r="N258" s="266"/>
      <c r="O258" s="12"/>
      <c r="P258" s="12"/>
    </row>
    <row r="259" spans="2:16" ht="15" customHeight="1">
      <c r="B259" s="169">
        <v>46092</v>
      </c>
      <c r="C259" s="263" t="s">
        <v>1639</v>
      </c>
      <c r="D259" s="418">
        <v>7.54</v>
      </c>
      <c r="E259" s="419">
        <f t="shared" si="134"/>
        <v>45158.718800000002</v>
      </c>
      <c r="F259" s="228">
        <v>5989.22</v>
      </c>
      <c r="G259" s="229" t="s">
        <v>87</v>
      </c>
      <c r="H259" s="163">
        <v>46099</v>
      </c>
      <c r="I259" s="160">
        <v>45067.429850134642</v>
      </c>
      <c r="J259" s="164">
        <f t="shared" ref="J259:J268" si="147">I259-E259</f>
        <v>-91.288949865360337</v>
      </c>
      <c r="K259" s="324">
        <f t="shared" ref="K259:K268" si="148">IFERROR(J259/L259,0)</f>
        <v>-12.131812400457534</v>
      </c>
      <c r="L259" s="182">
        <f t="shared" ref="L259:L261" si="149">I259/F259</f>
        <v>7.5247577898515399</v>
      </c>
      <c r="M259" s="182">
        <f t="shared" ref="M259:M261" si="150">L259-D259</f>
        <v>-1.5242210148460167E-2</v>
      </c>
      <c r="N259" s="266"/>
      <c r="O259" s="12"/>
      <c r="P259" s="12"/>
    </row>
    <row r="260" spans="2:16" ht="15" customHeight="1">
      <c r="B260" s="169">
        <v>46092</v>
      </c>
      <c r="C260" s="263" t="s">
        <v>1680</v>
      </c>
      <c r="D260" s="418">
        <v>7.54</v>
      </c>
      <c r="E260" s="419">
        <f t="shared" si="134"/>
        <v>12684.3912</v>
      </c>
      <c r="F260" s="228">
        <v>1682.28</v>
      </c>
      <c r="G260" s="229" t="s">
        <v>87</v>
      </c>
      <c r="H260" s="163">
        <v>46099</v>
      </c>
      <c r="I260" s="160">
        <v>12658.749534711451</v>
      </c>
      <c r="J260" s="164">
        <f t="shared" si="147"/>
        <v>-25.64166528854912</v>
      </c>
      <c r="K260" s="324">
        <f t="shared" si="148"/>
        <v>-3.407639953957244</v>
      </c>
      <c r="L260" s="182">
        <f t="shared" si="149"/>
        <v>7.5247577898515416</v>
      </c>
      <c r="M260" s="182">
        <f t="shared" si="150"/>
        <v>-1.5242210148458391E-2</v>
      </c>
      <c r="N260" s="266"/>
      <c r="O260" s="12"/>
      <c r="P260" s="12"/>
    </row>
    <row r="261" spans="2:16" ht="15" customHeight="1">
      <c r="B261" s="169">
        <v>46092</v>
      </c>
      <c r="C261" s="263" t="s">
        <v>1641</v>
      </c>
      <c r="D261" s="159">
        <v>7.54</v>
      </c>
      <c r="E261" s="160">
        <f t="shared" si="134"/>
        <v>74630.316800000001</v>
      </c>
      <c r="F261" s="228">
        <v>9897.92</v>
      </c>
      <c r="G261" s="229" t="s">
        <v>87</v>
      </c>
      <c r="H261" s="163">
        <v>46106</v>
      </c>
      <c r="I261" s="160">
        <v>74652.09</v>
      </c>
      <c r="J261" s="164">
        <f t="shared" si="147"/>
        <v>21.773199999995995</v>
      </c>
      <c r="K261" s="324">
        <f t="shared" si="148"/>
        <v>2.8868500767220362</v>
      </c>
      <c r="L261" s="182">
        <f t="shared" si="149"/>
        <v>7.5421997753063268</v>
      </c>
      <c r="M261" s="182">
        <f t="shared" si="150"/>
        <v>2.1997753063267567E-3</v>
      </c>
      <c r="N261" s="266"/>
      <c r="O261" s="12"/>
      <c r="P261" s="12"/>
    </row>
    <row r="262" spans="2:16" ht="15" customHeight="1">
      <c r="B262" s="169">
        <v>46087</v>
      </c>
      <c r="C262" s="263" t="s">
        <v>1642</v>
      </c>
      <c r="D262" s="159">
        <v>7.54</v>
      </c>
      <c r="E262" s="160">
        <f t="shared" si="134"/>
        <v>50083.469799999999</v>
      </c>
      <c r="F262" s="228">
        <v>6642.37</v>
      </c>
      <c r="G262" s="229" t="s">
        <v>87</v>
      </c>
      <c r="H262" s="163">
        <v>46104</v>
      </c>
      <c r="I262" s="160">
        <v>48605.373346173852</v>
      </c>
      <c r="J262" s="164">
        <f t="shared" si="147"/>
        <v>-1478.0964538261469</v>
      </c>
      <c r="K262" s="324">
        <f t="shared" si="148"/>
        <v>-201.99543519757879</v>
      </c>
      <c r="L262" s="182">
        <f t="shared" ref="L262:L268" si="151">I262/F262</f>
        <v>7.3174745378793791</v>
      </c>
      <c r="M262" s="182">
        <f t="shared" ref="M262:M268" si="152">L262-D262</f>
        <v>-0.22252546212062096</v>
      </c>
      <c r="N262" s="266"/>
      <c r="O262" s="12"/>
      <c r="P262" s="12"/>
    </row>
    <row r="263" spans="2:16" ht="15" customHeight="1">
      <c r="B263" s="169">
        <v>46087</v>
      </c>
      <c r="C263" s="263" t="s">
        <v>1643</v>
      </c>
      <c r="D263" s="159">
        <v>7.54</v>
      </c>
      <c r="E263" s="160">
        <f t="shared" si="134"/>
        <v>12497.8516</v>
      </c>
      <c r="F263" s="228">
        <v>1657.54</v>
      </c>
      <c r="G263" s="229" t="s">
        <v>87</v>
      </c>
      <c r="H263" s="163">
        <v>46104</v>
      </c>
      <c r="I263" s="160">
        <v>12129.006745516586</v>
      </c>
      <c r="J263" s="164">
        <f t="shared" si="147"/>
        <v>-368.84485448341366</v>
      </c>
      <c r="K263" s="324">
        <f t="shared" si="148"/>
        <v>-50.406031831619565</v>
      </c>
      <c r="L263" s="182">
        <f t="shared" si="151"/>
        <v>7.3174745378793791</v>
      </c>
      <c r="M263" s="182">
        <f t="shared" si="152"/>
        <v>-0.22252546212062096</v>
      </c>
      <c r="N263" s="266"/>
      <c r="O263" s="12"/>
      <c r="P263" s="12"/>
    </row>
    <row r="264" spans="2:16" ht="15" customHeight="1">
      <c r="B264" s="169">
        <v>46087</v>
      </c>
      <c r="C264" s="263" t="s">
        <v>1644</v>
      </c>
      <c r="D264" s="159">
        <v>7.54</v>
      </c>
      <c r="E264" s="160">
        <f t="shared" si="134"/>
        <v>28083.107</v>
      </c>
      <c r="F264" s="228">
        <v>3724.55</v>
      </c>
      <c r="G264" s="229" t="s">
        <v>87</v>
      </c>
      <c r="H264" s="163">
        <v>46104</v>
      </c>
      <c r="I264" s="160">
        <v>27254.299790058645</v>
      </c>
      <c r="J264" s="164">
        <f t="shared" si="147"/>
        <v>-828.80720994135481</v>
      </c>
      <c r="K264" s="324">
        <f t="shared" si="148"/>
        <v>-113.2641057582067</v>
      </c>
      <c r="L264" s="182">
        <f t="shared" si="151"/>
        <v>7.31747453787938</v>
      </c>
      <c r="M264" s="182">
        <f t="shared" si="152"/>
        <v>-0.22252546212062008</v>
      </c>
      <c r="N264" s="266"/>
      <c r="O264" s="12"/>
      <c r="P264" s="12"/>
    </row>
    <row r="265" spans="2:16" ht="15" customHeight="1">
      <c r="B265" s="169">
        <v>46087</v>
      </c>
      <c r="C265" s="263" t="s">
        <v>1645</v>
      </c>
      <c r="D265" s="159">
        <v>7.54</v>
      </c>
      <c r="E265" s="160">
        <f t="shared" si="134"/>
        <v>20091.385599999998</v>
      </c>
      <c r="F265" s="228">
        <v>2664.64</v>
      </c>
      <c r="G265" s="229" t="s">
        <v>87</v>
      </c>
      <c r="H265" s="163">
        <v>46104</v>
      </c>
      <c r="I265" s="160">
        <v>19498.43535261491</v>
      </c>
      <c r="J265" s="164">
        <f t="shared" si="147"/>
        <v>-592.95024738508801</v>
      </c>
      <c r="K265" s="324">
        <f t="shared" si="148"/>
        <v>-81.032088914781014</v>
      </c>
      <c r="L265" s="182">
        <f t="shared" si="151"/>
        <v>7.31747453787938</v>
      </c>
      <c r="M265" s="182">
        <f t="shared" si="152"/>
        <v>-0.22252546212062008</v>
      </c>
      <c r="N265" s="266"/>
      <c r="O265" s="12"/>
      <c r="P265" s="12"/>
    </row>
    <row r="266" spans="2:16" ht="15" customHeight="1">
      <c r="B266" s="169">
        <v>46087</v>
      </c>
      <c r="C266" s="263" t="s">
        <v>1557</v>
      </c>
      <c r="D266" s="159">
        <v>7.54</v>
      </c>
      <c r="E266" s="160">
        <f t="shared" si="134"/>
        <v>76751.318799999994</v>
      </c>
      <c r="F266" s="228">
        <v>10179.219999999999</v>
      </c>
      <c r="G266" s="229" t="s">
        <v>87</v>
      </c>
      <c r="H266" s="163">
        <v>46104</v>
      </c>
      <c r="I266" s="160">
        <v>74486.183165472539</v>
      </c>
      <c r="J266" s="164">
        <f t="shared" si="147"/>
        <v>-2265.1356345274544</v>
      </c>
      <c r="K266" s="324">
        <f t="shared" si="148"/>
        <v>-309.55155672928322</v>
      </c>
      <c r="L266" s="182">
        <f t="shared" si="151"/>
        <v>7.31747453787938</v>
      </c>
      <c r="M266" s="182">
        <f t="shared" si="152"/>
        <v>-0.22252546212062008</v>
      </c>
      <c r="N266" s="266"/>
      <c r="O266" s="12"/>
      <c r="P266" s="12"/>
    </row>
    <row r="267" spans="2:16" ht="15" customHeight="1">
      <c r="B267" s="169">
        <v>46087</v>
      </c>
      <c r="C267" s="158" t="s">
        <v>1655</v>
      </c>
      <c r="D267" s="159">
        <v>7.54</v>
      </c>
      <c r="E267" s="160">
        <f t="shared" si="134"/>
        <v>145098.47820000001</v>
      </c>
      <c r="F267" s="228">
        <v>19243.830000000002</v>
      </c>
      <c r="G267" s="229" t="s">
        <v>87</v>
      </c>
      <c r="H267" s="163">
        <v>46104</v>
      </c>
      <c r="I267" s="160">
        <v>140816.23603627936</v>
      </c>
      <c r="J267" s="164">
        <f t="shared" si="147"/>
        <v>-4282.2421637206571</v>
      </c>
      <c r="K267" s="324">
        <f t="shared" si="148"/>
        <v>-585.20766168072794</v>
      </c>
      <c r="L267" s="182">
        <f t="shared" si="151"/>
        <v>7.31747453787938</v>
      </c>
      <c r="M267" s="182">
        <f t="shared" si="152"/>
        <v>-0.22252546212062008</v>
      </c>
      <c r="N267" s="266"/>
      <c r="O267" s="12"/>
      <c r="P267" s="12"/>
    </row>
    <row r="268" spans="2:16" ht="15" customHeight="1">
      <c r="B268" s="169">
        <v>46087</v>
      </c>
      <c r="C268" s="158" t="s">
        <v>1667</v>
      </c>
      <c r="D268" s="159">
        <v>7.54</v>
      </c>
      <c r="E268" s="160">
        <f t="shared" ref="E268:E270" si="153">F268*D268</f>
        <v>13217.9216</v>
      </c>
      <c r="F268" s="228">
        <v>1753.04</v>
      </c>
      <c r="G268" s="229" t="s">
        <v>87</v>
      </c>
      <c r="H268" s="163">
        <v>46104</v>
      </c>
      <c r="I268" s="160">
        <v>12827.825563884069</v>
      </c>
      <c r="J268" s="164">
        <f t="shared" si="147"/>
        <v>-390.09603611593047</v>
      </c>
      <c r="K268" s="324">
        <f t="shared" si="148"/>
        <v>-53.310200684207793</v>
      </c>
      <c r="L268" s="182">
        <f t="shared" si="151"/>
        <v>7.3174745378793808</v>
      </c>
      <c r="M268" s="182">
        <f t="shared" si="152"/>
        <v>-0.22252546212061919</v>
      </c>
      <c r="N268" s="266"/>
      <c r="O268" s="12"/>
      <c r="P268" s="12"/>
    </row>
    <row r="269" spans="2:16" ht="15" customHeight="1">
      <c r="B269" s="169">
        <v>46105</v>
      </c>
      <c r="C269" s="263" t="s">
        <v>1681</v>
      </c>
      <c r="D269" s="159">
        <v>7.54</v>
      </c>
      <c r="E269" s="160">
        <f t="shared" si="153"/>
        <v>30108.652600000001</v>
      </c>
      <c r="F269" s="228">
        <v>3993.19</v>
      </c>
      <c r="G269" s="229" t="s">
        <v>87</v>
      </c>
      <c r="H269" s="163">
        <v>46114</v>
      </c>
      <c r="I269" s="160">
        <v>29834.09</v>
      </c>
      <c r="J269" s="164">
        <f t="shared" ref="J269:J270" si="154">I269-E269</f>
        <v>-274.56260000000111</v>
      </c>
      <c r="K269" s="324">
        <f t="shared" ref="K269:K270" si="155">IFERROR(J269/L269,0)</f>
        <v>-36.749256595190417</v>
      </c>
      <c r="L269" s="182">
        <f t="shared" ref="L269:L270" si="156">I269/F269</f>
        <v>7.471242289998723</v>
      </c>
      <c r="M269" s="182">
        <f t="shared" ref="M269:M270" si="157">L269-D269</f>
        <v>-6.8757710001277061E-2</v>
      </c>
      <c r="N269" s="266"/>
      <c r="O269" s="12"/>
      <c r="P269" s="12"/>
    </row>
    <row r="270" spans="2:16" ht="15" customHeight="1">
      <c r="B270" s="169">
        <v>46197</v>
      </c>
      <c r="C270" s="263" t="s">
        <v>1690</v>
      </c>
      <c r="D270" s="159">
        <v>7.54</v>
      </c>
      <c r="E270" s="160">
        <f t="shared" si="153"/>
        <v>700270.41240000003</v>
      </c>
      <c r="F270" s="228">
        <v>92874.06</v>
      </c>
      <c r="G270" s="229" t="s">
        <v>87</v>
      </c>
      <c r="H270" s="163">
        <v>46107</v>
      </c>
      <c r="I270" s="160">
        <v>709017.1</v>
      </c>
      <c r="J270" s="164">
        <f t="shared" si="154"/>
        <v>8746.6875999999465</v>
      </c>
      <c r="K270" s="324">
        <f t="shared" si="155"/>
        <v>1145.7274993278033</v>
      </c>
      <c r="L270" s="182">
        <f t="shared" si="156"/>
        <v>7.6341779394590912</v>
      </c>
      <c r="M270" s="182">
        <f t="shared" si="157"/>
        <v>9.4177939459091142E-2</v>
      </c>
      <c r="N270" s="266"/>
      <c r="O270" s="12"/>
      <c r="P270" s="12"/>
    </row>
    <row r="271" spans="2:16" s="28" customFormat="1">
      <c r="B271" s="27"/>
      <c r="C271" s="443" t="s">
        <v>1675</v>
      </c>
      <c r="D271" s="443"/>
      <c r="E271" s="23">
        <f>SUM(E3:E270)</f>
        <v>19949708.764800001</v>
      </c>
      <c r="F271" s="23">
        <f>SUM(F3:F269)</f>
        <v>2548511.3280251762</v>
      </c>
      <c r="H271" s="29"/>
      <c r="I271" s="23">
        <f>SUM(I3:I270)</f>
        <v>20096624.077761769</v>
      </c>
      <c r="J271" s="23">
        <f>SUM(J3:J269)</f>
        <v>163935.07096177933</v>
      </c>
      <c r="K271" s="231">
        <f>SUM(K3:K269)</f>
        <v>20856.64061956757</v>
      </c>
      <c r="L271" s="327">
        <f>J271/L153</f>
        <v>21988.592355574754</v>
      </c>
      <c r="M271" s="214"/>
      <c r="P271" s="12"/>
    </row>
    <row r="272" spans="2:16" ht="6.75" customHeight="1">
      <c r="B272" s="2"/>
      <c r="C272" s="389"/>
      <c r="D272" s="389"/>
      <c r="E272" s="390"/>
      <c r="F272" s="390"/>
      <c r="H272" s="26"/>
      <c r="I272" s="390"/>
      <c r="J272" s="390"/>
      <c r="K272" s="391"/>
      <c r="L272" s="392"/>
      <c r="M272" s="30"/>
      <c r="P272" s="12"/>
    </row>
    <row r="273" spans="2:12">
      <c r="B273" s="27"/>
      <c r="C273" s="443" t="s">
        <v>91</v>
      </c>
      <c r="D273" s="443"/>
      <c r="E273" s="23">
        <f>SUMIF($G$3:$G$270,C273,E3:E270)</f>
        <v>0</v>
      </c>
      <c r="F273" s="25"/>
      <c r="H273" s="26"/>
      <c r="I273" s="230" t="s">
        <v>580</v>
      </c>
      <c r="J273" s="230" t="s">
        <v>580</v>
      </c>
      <c r="K273" s="230" t="s">
        <v>581</v>
      </c>
      <c r="L273" s="328" t="s">
        <v>581</v>
      </c>
    </row>
    <row r="274" spans="2:12">
      <c r="B274" s="27"/>
      <c r="C274" s="443" t="s">
        <v>87</v>
      </c>
      <c r="D274" s="443"/>
      <c r="E274" s="23">
        <f>SUMIF($G$3:$G$270,C274,E3:E270)</f>
        <v>19949708.764800001</v>
      </c>
      <c r="F274" s="25"/>
      <c r="H274" s="26"/>
      <c r="I274" s="230"/>
      <c r="J274" s="230"/>
      <c r="K274" s="230"/>
      <c r="L274" s="328"/>
    </row>
    <row r="275" spans="2:12">
      <c r="C275" s="449" t="s">
        <v>1071</v>
      </c>
      <c r="D275" s="449"/>
      <c r="E275" s="326">
        <f>SUM(E273:E274)</f>
        <v>19949708.764800001</v>
      </c>
    </row>
    <row r="277" spans="2:12">
      <c r="F277" s="10"/>
      <c r="I277" s="24"/>
      <c r="J277" s="10"/>
      <c r="K277" s="10"/>
    </row>
    <row r="282" spans="2:12">
      <c r="E282" s="160">
        <v>50083.469799999999</v>
      </c>
      <c r="F282" s="170">
        <f>E282/$E$289</f>
        <v>0.14482377593987944</v>
      </c>
      <c r="G282" s="12">
        <f>$E$291*F282</f>
        <v>48605.373346173852</v>
      </c>
    </row>
    <row r="283" spans="2:12">
      <c r="E283" s="160">
        <v>12497.8516</v>
      </c>
      <c r="F283" s="170">
        <f t="shared" ref="F283:F288" si="158">E283/$E$289</f>
        <v>3.613939024345042E-2</v>
      </c>
      <c r="G283" s="12">
        <f t="shared" ref="G283:G288" si="159">$E$291*F283</f>
        <v>12129.006745516586</v>
      </c>
    </row>
    <row r="284" spans="2:12">
      <c r="E284" s="160">
        <v>28083.107</v>
      </c>
      <c r="F284" s="170">
        <f t="shared" si="158"/>
        <v>8.1206466167479077E-2</v>
      </c>
      <c r="G284" s="12">
        <f t="shared" si="159"/>
        <v>27254.299790058645</v>
      </c>
    </row>
    <row r="285" spans="2:12">
      <c r="E285" s="160">
        <v>20091.385599999998</v>
      </c>
      <c r="F285" s="170">
        <f t="shared" si="158"/>
        <v>5.8097219263672506E-2</v>
      </c>
      <c r="G285" s="12">
        <f t="shared" si="159"/>
        <v>19498.43535261491</v>
      </c>
    </row>
    <row r="286" spans="2:12">
      <c r="E286" s="160">
        <v>76751.318799999994</v>
      </c>
      <c r="F286" s="170">
        <f t="shared" si="158"/>
        <v>0.22193781384095429</v>
      </c>
      <c r="G286" s="12">
        <f t="shared" si="159"/>
        <v>74486.183165472539</v>
      </c>
    </row>
    <row r="287" spans="2:12">
      <c r="E287" s="160">
        <v>145098.47820000001</v>
      </c>
      <c r="F287" s="170">
        <f t="shared" si="158"/>
        <v>0.41957375517249573</v>
      </c>
      <c r="G287" s="12">
        <f t="shared" si="159"/>
        <v>140816.23603627936</v>
      </c>
    </row>
    <row r="288" spans="2:12">
      <c r="E288" s="160">
        <v>13217.9216</v>
      </c>
      <c r="F288" s="170">
        <f t="shared" si="158"/>
        <v>3.8221579372068444E-2</v>
      </c>
      <c r="G288" s="12">
        <f t="shared" si="159"/>
        <v>12827.825563884069</v>
      </c>
    </row>
    <row r="289" spans="5:7">
      <c r="E289" s="219">
        <f>SUM(E282:E288)</f>
        <v>345823.53260000004</v>
      </c>
      <c r="F289" s="420">
        <f>SUM(F282:F288)</f>
        <v>1</v>
      </c>
      <c r="G289" s="12">
        <f>SUM(G282:G288)</f>
        <v>335617.35999999993</v>
      </c>
    </row>
    <row r="291" spans="5:7">
      <c r="E291" s="15">
        <v>335617.36</v>
      </c>
    </row>
  </sheetData>
  <autoFilter ref="B2:N277" xr:uid="{00000000-0001-0000-0400-000000000000}"/>
  <mergeCells count="4">
    <mergeCell ref="C273:D273"/>
    <mergeCell ref="C274:D274"/>
    <mergeCell ref="C271:D271"/>
    <mergeCell ref="C275:D275"/>
  </mergeCells>
  <dataValidations count="2">
    <dataValidation type="list" allowBlank="1" showInputMessage="1" showErrorMessage="1" sqref="P69" xr:uid="{B7E23606-603F-42F0-B00C-D8DABF64C869}">
      <formula1>"0,1"</formula1>
    </dataValidation>
    <dataValidation type="list" allowBlank="1" showInputMessage="1" showErrorMessage="1" sqref="G3:G274" xr:uid="{00000000-0002-0000-0400-000000000000}">
      <formula1>"SIN PAGAR, PAGADO"</formula1>
    </dataValidation>
  </dataValidations>
  <pageMargins left="0.7" right="0.7" top="0.75" bottom="0.75" header="0.3" footer="0.3"/>
  <pageSetup orientation="portrait" r:id="rId1"/>
  <ignoredErrors>
    <ignoredError sqref="K139:K143" evalError="1"/>
    <ignoredError sqref="J161:J162 J164:J166" formula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133D-3686-45DA-9146-4EAC3DDD16CA}">
  <dimension ref="B1:J27"/>
  <sheetViews>
    <sheetView showGridLines="0" topLeftCell="A13" workbookViewId="0">
      <selection activeCell="D28" sqref="D28"/>
    </sheetView>
  </sheetViews>
  <sheetFormatPr baseColWidth="10" defaultColWidth="11.5703125" defaultRowHeight="15"/>
  <cols>
    <col min="1" max="1" width="2.42578125" customWidth="1"/>
    <col min="3" max="3" width="77.140625" bestFit="1" customWidth="1"/>
    <col min="4" max="4" width="14.5703125" bestFit="1" customWidth="1"/>
    <col min="9" max="9" width="9.42578125" customWidth="1"/>
  </cols>
  <sheetData>
    <row r="1" spans="2:10">
      <c r="B1" t="s">
        <v>2</v>
      </c>
      <c r="C1" t="s">
        <v>968</v>
      </c>
      <c r="D1" s="1" t="s">
        <v>965</v>
      </c>
      <c r="E1" s="1" t="s">
        <v>970</v>
      </c>
      <c r="F1" s="1" t="s">
        <v>967</v>
      </c>
      <c r="H1" s="1" t="s">
        <v>966</v>
      </c>
      <c r="J1" s="1" t="s">
        <v>971</v>
      </c>
    </row>
    <row r="2" spans="2:10">
      <c r="B2" s="2">
        <v>45853</v>
      </c>
      <c r="C2" s="281" t="s">
        <v>957</v>
      </c>
      <c r="D2" s="282">
        <v>30717.31</v>
      </c>
      <c r="E2" s="282"/>
      <c r="F2" s="282"/>
      <c r="G2" s="282">
        <v>7.56</v>
      </c>
      <c r="H2" s="282">
        <f t="shared" ref="H2:H11" si="0">+G2*D2</f>
        <v>232222.86360000001</v>
      </c>
    </row>
    <row r="3" spans="2:10">
      <c r="B3" s="2">
        <v>45853</v>
      </c>
      <c r="C3" t="s">
        <v>958</v>
      </c>
      <c r="D3" s="282">
        <v>3404.48</v>
      </c>
      <c r="E3" s="284">
        <v>45861</v>
      </c>
      <c r="F3" s="282">
        <f t="shared" ref="F3:F8" si="1">D3</f>
        <v>3404.48</v>
      </c>
      <c r="G3" s="282">
        <v>7.56</v>
      </c>
      <c r="H3" s="282">
        <f t="shared" si="0"/>
        <v>25737.8688</v>
      </c>
      <c r="I3" s="282">
        <f>J3/F3</f>
        <v>7.608470682802448</v>
      </c>
      <c r="J3" s="282">
        <v>25902.886270187279</v>
      </c>
    </row>
    <row r="4" spans="2:10">
      <c r="B4" s="2">
        <v>45853</v>
      </c>
      <c r="C4" t="s">
        <v>959</v>
      </c>
      <c r="D4" s="282">
        <v>3381.98</v>
      </c>
      <c r="E4" s="284">
        <v>45861</v>
      </c>
      <c r="F4" s="282">
        <f t="shared" si="1"/>
        <v>3381.98</v>
      </c>
      <c r="G4" s="282">
        <v>7.56</v>
      </c>
      <c r="H4" s="282">
        <f t="shared" si="0"/>
        <v>25567.768799999998</v>
      </c>
      <c r="I4" s="282">
        <f>J4/F4</f>
        <v>7.6084706828024471</v>
      </c>
      <c r="J4" s="282">
        <v>25731.695679824221</v>
      </c>
    </row>
    <row r="5" spans="2:10">
      <c r="B5" s="2">
        <v>45853</v>
      </c>
      <c r="C5" t="s">
        <v>960</v>
      </c>
      <c r="D5" s="282">
        <v>2408.35</v>
      </c>
      <c r="E5" s="284">
        <v>45861</v>
      </c>
      <c r="F5" s="282">
        <f t="shared" si="1"/>
        <v>2408.35</v>
      </c>
      <c r="G5" s="282">
        <v>7.56</v>
      </c>
      <c r="H5" s="282">
        <f t="shared" si="0"/>
        <v>18207.125999999997</v>
      </c>
      <c r="I5" s="282">
        <f>J5/F5</f>
        <v>7.608470682802448</v>
      </c>
      <c r="J5" s="282">
        <v>18323.860368927275</v>
      </c>
    </row>
    <row r="6" spans="2:10">
      <c r="B6" s="2">
        <v>45853</v>
      </c>
      <c r="C6" t="s">
        <v>961</v>
      </c>
      <c r="D6" s="282">
        <v>4976.58</v>
      </c>
      <c r="E6" s="284">
        <v>45863</v>
      </c>
      <c r="F6" s="282">
        <f t="shared" si="1"/>
        <v>4976.58</v>
      </c>
      <c r="G6" s="282">
        <v>7.56</v>
      </c>
      <c r="H6" s="282">
        <f t="shared" si="0"/>
        <v>37622.944799999997</v>
      </c>
      <c r="I6" s="282">
        <v>7.5224350859425551</v>
      </c>
      <c r="J6" s="282">
        <f>I6*F6</f>
        <v>37436</v>
      </c>
    </row>
    <row r="7" spans="2:10">
      <c r="B7" s="2">
        <v>45853</v>
      </c>
      <c r="C7" t="s">
        <v>962</v>
      </c>
      <c r="D7" s="282">
        <v>5973.38</v>
      </c>
      <c r="E7" s="284">
        <v>45861</v>
      </c>
      <c r="F7" s="282">
        <f t="shared" si="1"/>
        <v>5973.38</v>
      </c>
      <c r="G7" s="282">
        <v>7.56</v>
      </c>
      <c r="H7" s="282">
        <f t="shared" si="0"/>
        <v>45158.752800000002</v>
      </c>
      <c r="I7" s="282">
        <f>J7/F7</f>
        <v>7.6084706828024462</v>
      </c>
      <c r="J7" s="282">
        <v>45448.286607238479</v>
      </c>
    </row>
    <row r="8" spans="2:10">
      <c r="B8" s="2">
        <v>45853</v>
      </c>
      <c r="C8" s="283" t="s">
        <v>963</v>
      </c>
      <c r="D8" s="282">
        <v>9762.74</v>
      </c>
      <c r="E8" s="284">
        <v>45861</v>
      </c>
      <c r="F8" s="282">
        <f t="shared" si="1"/>
        <v>9762.74</v>
      </c>
      <c r="G8" s="282">
        <v>7.56</v>
      </c>
      <c r="H8" s="282">
        <f t="shared" si="0"/>
        <v>73806.314399999988</v>
      </c>
      <c r="I8" s="282">
        <f>J8/F8</f>
        <v>7.6084706828024489</v>
      </c>
      <c r="J8" s="282">
        <v>74279.521073822776</v>
      </c>
    </row>
    <row r="9" spans="2:10">
      <c r="B9" s="2">
        <v>45853</v>
      </c>
      <c r="C9" s="285" t="s">
        <v>964</v>
      </c>
      <c r="D9" s="282">
        <v>1342.26</v>
      </c>
      <c r="E9" s="282"/>
      <c r="F9" s="282"/>
      <c r="G9" s="282">
        <v>7.56</v>
      </c>
      <c r="H9" s="282">
        <f t="shared" si="0"/>
        <v>10147.4856</v>
      </c>
    </row>
    <row r="10" spans="2:10">
      <c r="B10" s="2">
        <v>45855</v>
      </c>
      <c r="C10" s="281" t="s">
        <v>957</v>
      </c>
      <c r="D10" s="282">
        <v>4148.6499999999996</v>
      </c>
      <c r="E10" s="282"/>
      <c r="F10" s="282"/>
      <c r="G10" s="282">
        <v>7.56</v>
      </c>
      <c r="H10" s="282">
        <f t="shared" si="0"/>
        <v>31363.793999999994</v>
      </c>
    </row>
    <row r="11" spans="2:10">
      <c r="B11" s="2">
        <v>45861</v>
      </c>
      <c r="C11" t="s">
        <v>963</v>
      </c>
      <c r="D11" s="282">
        <v>1017.56</v>
      </c>
      <c r="E11" s="282"/>
      <c r="F11" s="282"/>
      <c r="G11" s="282">
        <v>7.56</v>
      </c>
      <c r="H11" s="282">
        <f t="shared" si="0"/>
        <v>7692.7535999999991</v>
      </c>
    </row>
    <row r="12" spans="2:10">
      <c r="B12" s="450" t="s">
        <v>969</v>
      </c>
      <c r="C12" s="450"/>
      <c r="D12" s="219">
        <f>SUM(D2:D11)</f>
        <v>67133.289999999994</v>
      </c>
      <c r="E12" s="219"/>
      <c r="F12" s="219">
        <f>SUM(F2:F11)</f>
        <v>29907.510000000002</v>
      </c>
      <c r="J12" s="12">
        <f>SUM(J3:J11)</f>
        <v>227122.25000000003</v>
      </c>
    </row>
    <row r="14" spans="2:10">
      <c r="J14" s="12">
        <f>J3+J4+J5+J7+J8</f>
        <v>189686.25000000003</v>
      </c>
    </row>
    <row r="15" spans="2:10">
      <c r="C15" t="s">
        <v>957</v>
      </c>
      <c r="D15" s="12">
        <f>D2+D10</f>
        <v>34865.96</v>
      </c>
      <c r="J15" s="12">
        <v>189686.25</v>
      </c>
    </row>
    <row r="16" spans="2:10">
      <c r="C16" s="283" t="s">
        <v>964</v>
      </c>
      <c r="D16" s="12">
        <f>D9</f>
        <v>1342.26</v>
      </c>
    </row>
    <row r="17" spans="2:6">
      <c r="C17" t="s">
        <v>963</v>
      </c>
      <c r="D17" s="12">
        <f>D11</f>
        <v>1017.56</v>
      </c>
    </row>
    <row r="18" spans="2:6">
      <c r="C18" s="9" t="s">
        <v>972</v>
      </c>
      <c r="D18" s="219">
        <f>SUM(D15:D17)</f>
        <v>37225.78</v>
      </c>
    </row>
    <row r="20" spans="2:6">
      <c r="B20" s="450" t="s">
        <v>976</v>
      </c>
      <c r="C20" s="450"/>
      <c r="D20" s="450"/>
    </row>
    <row r="21" spans="2:6" ht="3.75" customHeight="1" thickBot="1"/>
    <row r="22" spans="2:6" ht="15.75" thickBot="1">
      <c r="B22" s="286" t="s">
        <v>973</v>
      </c>
      <c r="C22" s="286" t="s">
        <v>974</v>
      </c>
      <c r="D22" s="286" t="s">
        <v>975</v>
      </c>
    </row>
    <row r="23" spans="2:6">
      <c r="B23" s="287">
        <v>45853</v>
      </c>
      <c r="C23" s="288" t="s">
        <v>957</v>
      </c>
      <c r="D23" s="292">
        <v>30717.31</v>
      </c>
    </row>
    <row r="24" spans="2:6" ht="15.75" thickBot="1">
      <c r="B24" s="289">
        <v>45855</v>
      </c>
      <c r="C24" s="162" t="s">
        <v>957</v>
      </c>
      <c r="D24" s="293">
        <v>4148.6499999999996</v>
      </c>
    </row>
    <row r="25" spans="2:6" hidden="1">
      <c r="B25" s="289">
        <v>45853</v>
      </c>
      <c r="C25" s="158" t="s">
        <v>964</v>
      </c>
      <c r="D25" s="293">
        <f>1342.26*0</f>
        <v>0</v>
      </c>
      <c r="F25" t="s">
        <v>998</v>
      </c>
    </row>
    <row r="26" spans="2:6" ht="15.75" hidden="1" thickBot="1">
      <c r="B26" s="290">
        <v>45861</v>
      </c>
      <c r="C26" s="291" t="s">
        <v>963</v>
      </c>
      <c r="D26" s="294">
        <f>1017.56*0</f>
        <v>0</v>
      </c>
      <c r="F26" t="s">
        <v>998</v>
      </c>
    </row>
    <row r="27" spans="2:6" ht="15.75" thickBot="1">
      <c r="B27" s="451" t="s">
        <v>969</v>
      </c>
      <c r="C27" s="451"/>
      <c r="D27" s="295">
        <f>SUM(D23:D26)</f>
        <v>34865.96</v>
      </c>
    </row>
  </sheetData>
  <autoFilter ref="B1:J12" xr:uid="{20A7133D-3686-45DA-9146-4EAC3DDD16CA}"/>
  <mergeCells count="3">
    <mergeCell ref="B12:C12"/>
    <mergeCell ref="B27:C27"/>
    <mergeCell ref="B20:D2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02E7-7F9E-43A8-9B2A-DD2AEDEBD14A}">
  <dimension ref="A2:D34"/>
  <sheetViews>
    <sheetView topLeftCell="A10" workbookViewId="0">
      <selection activeCell="A30" sqref="A30"/>
    </sheetView>
  </sheetViews>
  <sheetFormatPr baseColWidth="10" defaultColWidth="11.42578125" defaultRowHeight="15"/>
  <cols>
    <col min="1" max="16384" width="11.42578125" style="130"/>
  </cols>
  <sheetData>
    <row r="2" spans="1:3">
      <c r="A2" s="129" t="s">
        <v>180</v>
      </c>
    </row>
    <row r="3" spans="1:3">
      <c r="A3" s="131">
        <v>45658</v>
      </c>
    </row>
    <row r="4" spans="1:3">
      <c r="A4" s="131">
        <v>45744</v>
      </c>
    </row>
    <row r="5" spans="1:3">
      <c r="A5" s="131">
        <v>45745</v>
      </c>
    </row>
    <row r="6" spans="1:3">
      <c r="A6" s="131">
        <v>45808</v>
      </c>
    </row>
    <row r="7" spans="1:3">
      <c r="A7" s="131">
        <v>45778</v>
      </c>
    </row>
    <row r="8" spans="1:3">
      <c r="A8" s="131">
        <v>45838</v>
      </c>
    </row>
    <row r="9" spans="1:3">
      <c r="A9" s="131">
        <v>45884</v>
      </c>
    </row>
    <row r="10" spans="1:3">
      <c r="A10" s="131">
        <v>45915</v>
      </c>
    </row>
    <row r="11" spans="1:3">
      <c r="A11" s="131">
        <v>45950</v>
      </c>
    </row>
    <row r="12" spans="1:3">
      <c r="A12" s="131">
        <v>45962</v>
      </c>
    </row>
    <row r="13" spans="1:3">
      <c r="A13" s="131">
        <v>46015</v>
      </c>
    </row>
    <row r="14" spans="1:3">
      <c r="A14" s="131">
        <v>46016</v>
      </c>
    </row>
    <row r="15" spans="1:3">
      <c r="A15" s="131">
        <v>46022</v>
      </c>
    </row>
    <row r="16" spans="1:3">
      <c r="A16" s="131">
        <v>46023</v>
      </c>
      <c r="C16" s="131"/>
    </row>
    <row r="17" spans="1:4">
      <c r="A17" s="131">
        <v>46114</v>
      </c>
      <c r="C17" s="131"/>
    </row>
    <row r="18" spans="1:4">
      <c r="A18" s="131">
        <v>46115</v>
      </c>
      <c r="C18" s="131"/>
    </row>
    <row r="19" spans="1:4">
      <c r="A19" s="132">
        <v>46117</v>
      </c>
      <c r="C19" s="132"/>
    </row>
    <row r="20" spans="1:4">
      <c r="A20" s="132">
        <v>46117</v>
      </c>
      <c r="C20" s="132"/>
      <c r="D20" s="133"/>
    </row>
    <row r="21" spans="1:4">
      <c r="A21" s="132">
        <v>46143</v>
      </c>
      <c r="C21" s="132"/>
      <c r="D21" s="133"/>
    </row>
    <row r="22" spans="1:4">
      <c r="A22" s="132">
        <v>46203</v>
      </c>
      <c r="C22" s="132"/>
      <c r="D22" s="133"/>
    </row>
    <row r="23" spans="1:4">
      <c r="A23" s="132">
        <v>46249</v>
      </c>
      <c r="C23" s="132"/>
      <c r="D23" s="133"/>
    </row>
    <row r="24" spans="1:4">
      <c r="A24" s="132">
        <v>46280</v>
      </c>
      <c r="C24" s="132"/>
      <c r="D24" s="133"/>
    </row>
    <row r="25" spans="1:4">
      <c r="A25" s="132">
        <v>46315</v>
      </c>
      <c r="C25" s="132"/>
      <c r="D25" s="133"/>
    </row>
    <row r="26" spans="1:4">
      <c r="A26" s="132">
        <v>46327</v>
      </c>
      <c r="C26" s="132"/>
      <c r="D26" s="133"/>
    </row>
    <row r="27" spans="1:4">
      <c r="A27" s="132">
        <v>46380</v>
      </c>
      <c r="C27" s="132"/>
      <c r="D27" s="133"/>
    </row>
    <row r="28" spans="1:4">
      <c r="A28" s="132">
        <v>46381</v>
      </c>
      <c r="C28" s="132"/>
      <c r="D28" s="133"/>
    </row>
    <row r="29" spans="1:4">
      <c r="A29" s="132">
        <v>46387</v>
      </c>
      <c r="C29" s="132"/>
      <c r="D29" s="133"/>
    </row>
    <row r="30" spans="1:4">
      <c r="C30" s="132"/>
      <c r="D30" s="133"/>
    </row>
    <row r="31" spans="1:4">
      <c r="C31" s="132"/>
      <c r="D31" s="133"/>
    </row>
    <row r="32" spans="1:4">
      <c r="C32" s="132"/>
      <c r="D32" s="133"/>
    </row>
    <row r="33" spans="3:4">
      <c r="C33" s="132"/>
      <c r="D33" s="133"/>
    </row>
    <row r="34" spans="3:4">
      <c r="C34" s="132"/>
      <c r="D34" s="1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Hoja1</vt:lpstr>
      <vt:lpstr>RESUMEN</vt:lpstr>
      <vt:lpstr>Caja USD</vt:lpstr>
      <vt:lpstr>Caja QTQ</vt:lpstr>
      <vt:lpstr>Flujo Caja Noviembre 2025</vt:lpstr>
      <vt:lpstr>Flujo Caja Diciembre 2025</vt:lpstr>
      <vt:lpstr>RECURSOS</vt:lpstr>
      <vt:lpstr>Flujo caja Abril</vt:lpstr>
      <vt:lpstr>Flujo caja Mayo</vt:lpstr>
      <vt:lpstr>Flujo caja Junio </vt:lpstr>
      <vt:lpstr>Flujo caja Julio</vt:lpstr>
      <vt:lpstr>Flujo caja Agosto</vt:lpstr>
      <vt:lpstr>Flujo caja Septiembre</vt:lpstr>
      <vt:lpstr>Flujo caja Octubre</vt:lpstr>
      <vt:lpstr>Flujo caja Noviembre </vt:lpstr>
      <vt:lpstr>Flujo caja Diciembre</vt:lpstr>
      <vt:lpstr>Flujo caja Enero 25</vt:lpstr>
      <vt:lpstr>Flujo Caja Febrero 25</vt:lpstr>
      <vt:lpstr>Flujo Caja Marzo </vt:lpstr>
      <vt:lpstr>Flujo Caja Abril 2025</vt:lpstr>
      <vt:lpstr>Flujo Caja Mayo 2025</vt:lpstr>
      <vt:lpstr>Flujo Caja Junio 2025</vt:lpstr>
      <vt:lpstr>Flujo Caja Julio 2025 </vt:lpstr>
      <vt:lpstr>Flujo Caja Agosto 2025</vt:lpstr>
      <vt:lpstr>Flujo Caja Septiembre 2025</vt:lpstr>
      <vt:lpstr>Flujo Caja Octubre 2025</vt:lpstr>
      <vt:lpstr>Flujo Caja Enero 2026</vt:lpstr>
      <vt:lpstr>Flujo Caja Febrero 2026</vt:lpstr>
      <vt:lpstr>Flujo Caja Marzo 2026</vt:lpstr>
      <vt:lpstr>Flujo Caja Abril 2026</vt:lpstr>
      <vt:lpstr>Diferencia en cambio</vt:lpstr>
      <vt:lpstr>Estado Cartera Julio</vt:lpstr>
      <vt:lpstr>Festivos Guatemala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>Alfonso Fonseca</cp:lastModifiedBy>
  <cp:revision/>
  <cp:lastPrinted>2025-12-23T17:56:27Z</cp:lastPrinted>
  <dcterms:created xsi:type="dcterms:W3CDTF">2023-04-24T18:39:37Z</dcterms:created>
  <dcterms:modified xsi:type="dcterms:W3CDTF">2026-04-09T22:28:06Z</dcterms:modified>
  <cp:category/>
  <cp:contentStatus/>
</cp:coreProperties>
</file>
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comments1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ristian\Documents\SYP\Documentos automatizacion 2\TESORERIA\Flujo de caja\"/>
    </mc:Choice>
  </mc:AlternateContent>
  <xr:revisionPtr revIDLastSave="0" documentId="8_{7A2D6552-3348-477A-8FEE-B02F43CC206D}" xr6:coauthVersionLast="47" xr6:coauthVersionMax="47" xr10:uidLastSave="{00000000-0000-0000-0000-000000000000}"/>
  <bookViews>
    <workbookView xWindow="-108" yWindow="-108" windowWidth="23256" windowHeight="12456" activeTab="1" xr2:uid="{9E3A252D-BDCA-46D9-8EDE-2EBB05F1023D}"/>
  </bookViews>
  <sheets>
    <sheet name="BAC SAN JOSE COLONES  " sheetId="7" r:id="rId1"/>
    <sheet name="BAC SAN JOSE USD" sheetId="1" r:id="rId2"/>
    <sheet name="FLUJO CAJA ABRIL" sheetId="10" state="hidden" r:id="rId3"/>
    <sheet name="FLUJO CAJA MAYO" sheetId="14" state="hidden" r:id="rId4"/>
    <sheet name="FLUJO CAJA JUNIO " sheetId="15" state="hidden" r:id="rId5"/>
    <sheet name="FLUJO CAJA JULIO " sheetId="17" state="hidden" r:id="rId6"/>
    <sheet name="FLUJO CAJA AGOSTO" sheetId="19" state="hidden" r:id="rId7"/>
    <sheet name="FLUJO CAJA SEPTIEMBRE" sheetId="20" state="hidden" r:id="rId8"/>
    <sheet name="FLUJO CAJA OCTUBRE " sheetId="21" state="hidden" r:id="rId9"/>
    <sheet name="FLUJO CAJA NOVIEMBRE" sheetId="22" state="hidden" r:id="rId10"/>
    <sheet name="FLUJO CAJA DICIEMBRE" sheetId="23" state="hidden" r:id="rId11"/>
    <sheet name="FLUJO CAJA ENERO" sheetId="24" state="hidden" r:id="rId12"/>
    <sheet name="FLUJO CAJA FEBRERO" sheetId="25" state="hidden" r:id="rId13"/>
    <sheet name="FLUJO CAJA MARZO" sheetId="26" state="hidden" r:id="rId14"/>
    <sheet name="FLUJO CAJA ABRIL 2025" sheetId="28" state="hidden" r:id="rId15"/>
    <sheet name="FLUJO CAJA MAYO 2025" sheetId="29" state="hidden" r:id="rId16"/>
    <sheet name="FLUJO CAJA JUNIO 2025 " sheetId="30" state="hidden" r:id="rId17"/>
    <sheet name="FLUJO CAJA JULIO 2025" sheetId="31" state="hidden" r:id="rId18"/>
    <sheet name="FLUJO CAJA AGOSTO 2025" sheetId="32" state="hidden" r:id="rId19"/>
    <sheet name="FLUJO CAJA SEPTIEMBRE 2025" sheetId="33" state="hidden" r:id="rId20"/>
    <sheet name="FLUJO CAJA OCTUBRE 2025" sheetId="34" state="hidden" r:id="rId21"/>
    <sheet name="FLUJO CAJA NOVIEMBRE 2025" sheetId="35" state="hidden" r:id="rId22"/>
    <sheet name="FLUJO CAJA DICIEMBRE 2025" sheetId="37" state="hidden" r:id="rId23"/>
    <sheet name="FLUJO CAJA ENERO 2026" sheetId="38" r:id="rId24"/>
    <sheet name="FLUJO CAJA FEBRERO 2026" sheetId="39" r:id="rId25"/>
    <sheet name="FLUJO CAJA MARZO 2026 " sheetId="42" r:id="rId26"/>
    <sheet name="FLUJO CAJA ABRIL 2026" sheetId="41" r:id="rId27"/>
    <sheet name="DIFERENCIA CAMBI" sheetId="12" r:id="rId28"/>
    <sheet name="CONVERSIONES" sheetId="13" r:id="rId29"/>
    <sheet name="CRUCE CTAS" sheetId="27" state="hidden" r:id="rId30"/>
    <sheet name="Facturación Alejo 2025" sheetId="18" state="hidden" r:id="rId31"/>
    <sheet name="Festivos CR" sheetId="11" state="hidden" r:id="rId32"/>
    <sheet name="Calculos" sheetId="8" state="hidden" r:id="rId33"/>
  </sheets>
  <definedNames>
    <definedName name="_xlnm._FilterDatabase" localSheetId="0" hidden="1">'BAC SAN JOSE COLONES  '!$A$2:$N$2</definedName>
    <definedName name="_xlnm._FilterDatabase" localSheetId="27" hidden="1">'DIFERENCIA CAMBI'!$B$3:$T$187</definedName>
    <definedName name="_xlnm._FilterDatabase" localSheetId="2" hidden="1">'FLUJO CAJA ABRIL'!$A$21:$S$45</definedName>
    <definedName name="_xlnm._FilterDatabase" localSheetId="14" hidden="1">'FLUJO CAJA ABRIL 2025'!$A$20:$S$45</definedName>
    <definedName name="_xlnm._FilterDatabase" localSheetId="26" hidden="1">'FLUJO CAJA ABRIL 2026'!$A$24:$S$69</definedName>
    <definedName name="_xlnm._FilterDatabase" localSheetId="6" hidden="1">'FLUJO CAJA AGOSTO'!$A$22:$S$50</definedName>
    <definedName name="_xlnm._FilterDatabase" localSheetId="18" hidden="1">'FLUJO CAJA AGOSTO 2025'!$A$29:$S$66</definedName>
    <definedName name="_xlnm._FilterDatabase" localSheetId="10" hidden="1">'FLUJO CAJA DICIEMBRE'!$A$23:$S$58</definedName>
    <definedName name="_xlnm._FilterDatabase" localSheetId="22" hidden="1">'FLUJO CAJA DICIEMBRE 2025'!$A$24:$S$83</definedName>
    <definedName name="_xlnm._FilterDatabase" localSheetId="11" hidden="1">'FLUJO CAJA ENERO'!$A$18:$S$45</definedName>
    <definedName name="_xlnm._FilterDatabase" localSheetId="23" hidden="1">'FLUJO CAJA ENERO 2026'!$A$26:$S$67</definedName>
    <definedName name="_xlnm._FilterDatabase" localSheetId="12" hidden="1">'FLUJO CAJA FEBRERO'!$A$19:$S$44</definedName>
    <definedName name="_xlnm._FilterDatabase" localSheetId="24" hidden="1">'FLUJO CAJA FEBRERO 2026'!$A$23:$S$70</definedName>
    <definedName name="_xlnm._FilterDatabase" localSheetId="5" hidden="1">'FLUJO CAJA JULIO '!$A$21:$S$47</definedName>
    <definedName name="_xlnm._FilterDatabase" localSheetId="17" hidden="1">'FLUJO CAJA JULIO 2025'!$A$23:$S$54</definedName>
    <definedName name="_xlnm._FilterDatabase" localSheetId="4" hidden="1">'FLUJO CAJA JUNIO '!$A$22:$S$48</definedName>
    <definedName name="_xlnm._FilterDatabase" localSheetId="16" hidden="1">'FLUJO CAJA JUNIO 2025 '!$A$22:$S$46</definedName>
    <definedName name="_xlnm._FilterDatabase" localSheetId="13" hidden="1">'FLUJO CAJA MARZO'!$A$19:$S$46</definedName>
    <definedName name="_xlnm._FilterDatabase" localSheetId="25" hidden="1">'FLUJO CAJA MARZO 2026 '!$A$24:$S$70</definedName>
    <definedName name="_xlnm._FilterDatabase" localSheetId="3" hidden="1">'FLUJO CAJA MAYO'!$A$22:$S$47</definedName>
    <definedName name="_xlnm._FilterDatabase" localSheetId="15" hidden="1">'FLUJO CAJA MAYO 2025'!$A$19:$S$46</definedName>
    <definedName name="_xlnm._FilterDatabase" localSheetId="9" hidden="1">'FLUJO CAJA NOVIEMBRE'!$A$22:$S$49</definedName>
    <definedName name="_xlnm._FilterDatabase" localSheetId="21" hidden="1">'FLUJO CAJA NOVIEMBRE 2025'!$A$25:$S$63</definedName>
    <definedName name="_xlnm._FilterDatabase" localSheetId="8" hidden="1">'FLUJO CAJA OCTUBRE '!$A$23:$S$49</definedName>
    <definedName name="_xlnm._FilterDatabase" localSheetId="20" hidden="1">'FLUJO CAJA OCTUBRE 2025'!$A$23:$S$61</definedName>
    <definedName name="_xlnm._FilterDatabase" localSheetId="7" hidden="1">'FLUJO CAJA SEPTIEMBRE'!$A$21:$S$51</definedName>
    <definedName name="_xlnm._FilterDatabase" localSheetId="19" hidden="1">'FLUJO CAJA SEPTIEMBRE 2025'!$A$22:$S$67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6" i="12" l="1"/>
  <c r="F196" i="12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F145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F165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F247" i="7"/>
  <c r="G247" i="7"/>
  <c r="F248" i="7"/>
  <c r="G248" i="7"/>
  <c r="F249" i="7"/>
  <c r="G249" i="7"/>
  <c r="F250" i="7"/>
  <c r="G250" i="7"/>
  <c r="F251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H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I366" i="7"/>
  <c r="G367" i="7"/>
  <c r="E368" i="7"/>
  <c r="G368" i="7"/>
  <c r="G369" i="7"/>
  <c r="G370" i="7"/>
  <c r="G371" i="7"/>
  <c r="G372" i="7"/>
  <c r="G373" i="7"/>
  <c r="G374" i="7"/>
  <c r="G375" i="7"/>
  <c r="G376" i="7"/>
  <c r="F377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F431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F468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F481" i="7"/>
  <c r="G481" i="7"/>
  <c r="G482" i="7"/>
  <c r="G483" i="7"/>
  <c r="G484" i="7"/>
  <c r="G485" i="7"/>
  <c r="F486" i="7"/>
  <c r="G486" i="7"/>
  <c r="F487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J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H600" i="7"/>
  <c r="E601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F207" i="1"/>
  <c r="G207" i="1"/>
  <c r="F208" i="1"/>
  <c r="G208" i="1"/>
  <c r="G209" i="1"/>
  <c r="G210" i="1"/>
  <c r="G211" i="1"/>
  <c r="G212" i="1"/>
  <c r="G213" i="1"/>
  <c r="F214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F253" i="1"/>
  <c r="G253" i="1"/>
  <c r="F254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F324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F387" i="1"/>
  <c r="G387" i="1"/>
  <c r="F388" i="1"/>
  <c r="G388" i="1"/>
  <c r="G389" i="1"/>
  <c r="G390" i="1"/>
  <c r="F391" i="1"/>
  <c r="G391" i="1"/>
  <c r="F392" i="1"/>
  <c r="G392" i="1"/>
  <c r="F393" i="1"/>
  <c r="G393" i="1"/>
  <c r="F394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F417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E431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F498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F535" i="1"/>
  <c r="G535" i="1"/>
  <c r="F536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F587" i="1"/>
  <c r="G587" i="1"/>
  <c r="F588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D9" i="10"/>
  <c r="E9" i="10"/>
  <c r="D10" i="10"/>
  <c r="E10" i="10"/>
  <c r="D11" i="10"/>
  <c r="E11" i="10"/>
  <c r="D12" i="10"/>
  <c r="E12" i="10"/>
  <c r="D13" i="10"/>
  <c r="D14" i="10"/>
  <c r="D15" i="10"/>
  <c r="D16" i="10"/>
  <c r="D17" i="10"/>
  <c r="E17" i="10"/>
  <c r="D22" i="10"/>
  <c r="E22" i="10"/>
  <c r="E23" i="10"/>
  <c r="H23" i="10"/>
  <c r="I23" i="10"/>
  <c r="J23" i="10"/>
  <c r="D24" i="10"/>
  <c r="E24" i="10"/>
  <c r="J24" i="10"/>
  <c r="E25" i="10"/>
  <c r="H25" i="10"/>
  <c r="I25" i="10"/>
  <c r="J25" i="10"/>
  <c r="E26" i="10"/>
  <c r="H26" i="10"/>
  <c r="I26" i="10"/>
  <c r="J26" i="10"/>
  <c r="D27" i="10"/>
  <c r="E27" i="10"/>
  <c r="J27" i="10"/>
  <c r="E28" i="10"/>
  <c r="H28" i="10"/>
  <c r="I28" i="10"/>
  <c r="J28" i="10"/>
  <c r="E29" i="10"/>
  <c r="H29" i="10"/>
  <c r="I29" i="10"/>
  <c r="J29" i="10"/>
  <c r="D30" i="10"/>
  <c r="E30" i="10"/>
  <c r="E31" i="10"/>
  <c r="H31" i="10"/>
  <c r="I31" i="10"/>
  <c r="J31" i="10"/>
  <c r="D32" i="10"/>
  <c r="E32" i="10"/>
  <c r="D33" i="10"/>
  <c r="E33" i="10"/>
  <c r="H33" i="10"/>
  <c r="I33" i="10"/>
  <c r="J33" i="10"/>
  <c r="D34" i="10"/>
  <c r="E34" i="10"/>
  <c r="H34" i="10"/>
  <c r="I34" i="10"/>
  <c r="J34" i="10"/>
  <c r="D35" i="10"/>
  <c r="E35" i="10"/>
  <c r="D36" i="10"/>
  <c r="H36" i="10"/>
  <c r="I36" i="10"/>
  <c r="J36" i="10"/>
  <c r="D37" i="10"/>
  <c r="E37" i="10"/>
  <c r="E38" i="10"/>
  <c r="H38" i="10"/>
  <c r="I38" i="10"/>
  <c r="J38" i="10"/>
  <c r="D39" i="10"/>
  <c r="H39" i="10"/>
  <c r="I39" i="10"/>
  <c r="J39" i="10"/>
  <c r="E40" i="10"/>
  <c r="H40" i="10"/>
  <c r="I40" i="10"/>
  <c r="J40" i="10"/>
  <c r="E41" i="10"/>
  <c r="H41" i="10"/>
  <c r="I41" i="10"/>
  <c r="J41" i="10"/>
  <c r="E42" i="10"/>
  <c r="H42" i="10"/>
  <c r="I42" i="10"/>
  <c r="J42" i="10"/>
  <c r="D43" i="10"/>
  <c r="H43" i="10"/>
  <c r="I43" i="10"/>
  <c r="J43" i="10"/>
  <c r="D44" i="10"/>
  <c r="E44" i="10"/>
  <c r="E45" i="10"/>
  <c r="H45" i="10"/>
  <c r="I45" i="10"/>
  <c r="J45" i="10"/>
  <c r="D46" i="10"/>
  <c r="E46" i="10"/>
  <c r="D48" i="10"/>
  <c r="E48" i="10"/>
  <c r="D49" i="10"/>
  <c r="E49" i="10"/>
  <c r="E54" i="10"/>
  <c r="F54" i="10"/>
  <c r="E55" i="10"/>
  <c r="F55" i="10"/>
  <c r="E56" i="10"/>
  <c r="F56" i="10"/>
  <c r="E57" i="10"/>
  <c r="F57" i="10"/>
  <c r="E58" i="10"/>
  <c r="F58" i="10"/>
  <c r="E59" i="10"/>
  <c r="F59" i="10"/>
  <c r="E60" i="10"/>
  <c r="F60" i="10"/>
  <c r="E63" i="10"/>
  <c r="F63" i="10"/>
  <c r="E64" i="10"/>
  <c r="F64" i="10"/>
  <c r="E65" i="10"/>
  <c r="F65" i="10"/>
  <c r="E68" i="10"/>
  <c r="F68" i="10"/>
  <c r="E69" i="10"/>
  <c r="F69" i="10"/>
  <c r="E70" i="10"/>
  <c r="F70" i="10"/>
  <c r="E71" i="10"/>
  <c r="F71" i="10"/>
  <c r="E75" i="10"/>
  <c r="E77" i="10"/>
  <c r="D9" i="14"/>
  <c r="E9" i="14"/>
  <c r="D10" i="14"/>
  <c r="E10" i="14"/>
  <c r="D11" i="14"/>
  <c r="E11" i="14"/>
  <c r="D12" i="14"/>
  <c r="E12" i="14"/>
  <c r="D13" i="14"/>
  <c r="E13" i="14"/>
  <c r="D14" i="14"/>
  <c r="E14" i="14"/>
  <c r="D15" i="14"/>
  <c r="E15" i="14"/>
  <c r="D16" i="14"/>
  <c r="E16" i="14"/>
  <c r="D17" i="14"/>
  <c r="E17" i="14"/>
  <c r="D18" i="14"/>
  <c r="E18" i="14"/>
  <c r="D23" i="14"/>
  <c r="E23" i="14"/>
  <c r="E24" i="14"/>
  <c r="H24" i="14"/>
  <c r="I24" i="14"/>
  <c r="J24" i="14"/>
  <c r="D25" i="14"/>
  <c r="E25" i="14"/>
  <c r="J25" i="14"/>
  <c r="E26" i="14"/>
  <c r="H26" i="14"/>
  <c r="I26" i="14"/>
  <c r="J26" i="14"/>
  <c r="E27" i="14"/>
  <c r="H27" i="14"/>
  <c r="I27" i="14"/>
  <c r="J27" i="14"/>
  <c r="D28" i="14"/>
  <c r="E28" i="14"/>
  <c r="J28" i="14"/>
  <c r="E29" i="14"/>
  <c r="H29" i="14"/>
  <c r="I29" i="14"/>
  <c r="J29" i="14"/>
  <c r="D30" i="14"/>
  <c r="E30" i="14"/>
  <c r="E31" i="14"/>
  <c r="H31" i="14"/>
  <c r="I31" i="14"/>
  <c r="J31" i="14"/>
  <c r="D32" i="14"/>
  <c r="E32" i="14"/>
  <c r="D33" i="14"/>
  <c r="E33" i="14"/>
  <c r="H33" i="14"/>
  <c r="I33" i="14"/>
  <c r="J33" i="14"/>
  <c r="D34" i="14"/>
  <c r="E34" i="14"/>
  <c r="H34" i="14"/>
  <c r="I34" i="14"/>
  <c r="J34" i="14"/>
  <c r="D35" i="14"/>
  <c r="E35" i="14"/>
  <c r="H35" i="14"/>
  <c r="I35" i="14"/>
  <c r="J35" i="14"/>
  <c r="D36" i="14"/>
  <c r="E36" i="14"/>
  <c r="D37" i="14"/>
  <c r="E37" i="14"/>
  <c r="H37" i="14"/>
  <c r="I37" i="14"/>
  <c r="J37" i="14"/>
  <c r="D38" i="14"/>
  <c r="E38" i="14"/>
  <c r="E39" i="14"/>
  <c r="H39" i="14"/>
  <c r="I39" i="14"/>
  <c r="J39" i="14"/>
  <c r="D40" i="14"/>
  <c r="H40" i="14"/>
  <c r="I40" i="14"/>
  <c r="J40" i="14"/>
  <c r="E41" i="14"/>
  <c r="H41" i="14"/>
  <c r="I41" i="14"/>
  <c r="J41" i="14"/>
  <c r="E42" i="14"/>
  <c r="H42" i="14"/>
  <c r="I42" i="14"/>
  <c r="J42" i="14"/>
  <c r="E43" i="14"/>
  <c r="H43" i="14"/>
  <c r="I43" i="14"/>
  <c r="J43" i="14"/>
  <c r="E44" i="14"/>
  <c r="H44" i="14"/>
  <c r="I44" i="14"/>
  <c r="J44" i="14"/>
  <c r="D45" i="14"/>
  <c r="H45" i="14"/>
  <c r="I45" i="14"/>
  <c r="J45" i="14"/>
  <c r="D46" i="14"/>
  <c r="E46" i="14"/>
  <c r="E47" i="14"/>
  <c r="H47" i="14"/>
  <c r="I47" i="14"/>
  <c r="D48" i="14"/>
  <c r="E48" i="14"/>
  <c r="D50" i="14"/>
  <c r="E50" i="14"/>
  <c r="D51" i="14"/>
  <c r="E51" i="14"/>
  <c r="E56" i="14"/>
  <c r="F56" i="14"/>
  <c r="E57" i="14"/>
  <c r="F57" i="14"/>
  <c r="E58" i="14"/>
  <c r="F58" i="14"/>
  <c r="E59" i="14"/>
  <c r="F59" i="14"/>
  <c r="E60" i="14"/>
  <c r="F60" i="14"/>
  <c r="E61" i="14"/>
  <c r="F61" i="14"/>
  <c r="E64" i="14"/>
  <c r="F64" i="14"/>
  <c r="E65" i="14"/>
  <c r="F65" i="14"/>
  <c r="E66" i="14"/>
  <c r="F66" i="14"/>
  <c r="E69" i="14"/>
  <c r="F69" i="14"/>
  <c r="E70" i="14"/>
  <c r="F70" i="14"/>
  <c r="E71" i="14"/>
  <c r="F71" i="14"/>
  <c r="E72" i="14"/>
  <c r="F72" i="14"/>
  <c r="E78" i="14"/>
  <c r="F78" i="14"/>
  <c r="E79" i="14"/>
  <c r="E80" i="14"/>
  <c r="D9" i="15"/>
  <c r="E9" i="15"/>
  <c r="D10" i="15"/>
  <c r="E10" i="15"/>
  <c r="D11" i="15"/>
  <c r="E11" i="15"/>
  <c r="D12" i="15"/>
  <c r="E12" i="15"/>
  <c r="D13" i="15"/>
  <c r="E13" i="15"/>
  <c r="D14" i="15"/>
  <c r="E14" i="15"/>
  <c r="D15" i="15"/>
  <c r="E15" i="15"/>
  <c r="D16" i="15"/>
  <c r="E16" i="15"/>
  <c r="D17" i="15"/>
  <c r="E17" i="15"/>
  <c r="D18" i="15"/>
  <c r="E18" i="15"/>
  <c r="D23" i="15"/>
  <c r="E23" i="15"/>
  <c r="E24" i="15"/>
  <c r="H24" i="15"/>
  <c r="I24" i="15"/>
  <c r="J24" i="15"/>
  <c r="D25" i="15"/>
  <c r="E25" i="15"/>
  <c r="J25" i="15"/>
  <c r="E26" i="15"/>
  <c r="H26" i="15"/>
  <c r="I26" i="15"/>
  <c r="J26" i="15"/>
  <c r="E27" i="15"/>
  <c r="H27" i="15"/>
  <c r="I27" i="15"/>
  <c r="J27" i="15"/>
  <c r="D28" i="15"/>
  <c r="E28" i="15"/>
  <c r="J28" i="15"/>
  <c r="E29" i="15"/>
  <c r="H29" i="15"/>
  <c r="I29" i="15"/>
  <c r="J29" i="15"/>
  <c r="D30" i="15"/>
  <c r="E30" i="15"/>
  <c r="E31" i="15"/>
  <c r="H31" i="15"/>
  <c r="I31" i="15"/>
  <c r="J31" i="15"/>
  <c r="D32" i="15"/>
  <c r="E32" i="15"/>
  <c r="D33" i="15"/>
  <c r="E33" i="15"/>
  <c r="H33" i="15"/>
  <c r="I33" i="15"/>
  <c r="J33" i="15"/>
  <c r="D34" i="15"/>
  <c r="E34" i="15"/>
  <c r="H34" i="15"/>
  <c r="I34" i="15"/>
  <c r="J34" i="15"/>
  <c r="D35" i="15"/>
  <c r="E35" i="15"/>
  <c r="H35" i="15"/>
  <c r="I35" i="15"/>
  <c r="J35" i="15"/>
  <c r="D36" i="15"/>
  <c r="E36" i="15"/>
  <c r="H36" i="15"/>
  <c r="I36" i="15"/>
  <c r="J36" i="15"/>
  <c r="D37" i="15"/>
  <c r="E37" i="15"/>
  <c r="E38" i="15"/>
  <c r="H38" i="15"/>
  <c r="I38" i="15"/>
  <c r="J38" i="15"/>
  <c r="D39" i="15"/>
  <c r="E39" i="15"/>
  <c r="E40" i="15"/>
  <c r="H40" i="15"/>
  <c r="I40" i="15"/>
  <c r="J40" i="15"/>
  <c r="D41" i="15"/>
  <c r="H41" i="15"/>
  <c r="I41" i="15"/>
  <c r="J41" i="15"/>
  <c r="E42" i="15"/>
  <c r="H42" i="15"/>
  <c r="I42" i="15"/>
  <c r="J42" i="15"/>
  <c r="E43" i="15"/>
  <c r="H43" i="15"/>
  <c r="I43" i="15"/>
  <c r="J43" i="15"/>
  <c r="E44" i="15"/>
  <c r="H44" i="15"/>
  <c r="I44" i="15"/>
  <c r="J44" i="15"/>
  <c r="E45" i="15"/>
  <c r="H45" i="15"/>
  <c r="I45" i="15"/>
  <c r="J45" i="15"/>
  <c r="D46" i="15"/>
  <c r="H46" i="15"/>
  <c r="I46" i="15"/>
  <c r="J46" i="15"/>
  <c r="D47" i="15"/>
  <c r="E47" i="15"/>
  <c r="E48" i="15"/>
  <c r="H48" i="15"/>
  <c r="I48" i="15"/>
  <c r="D49" i="15"/>
  <c r="E49" i="15"/>
  <c r="D51" i="15"/>
  <c r="E51" i="15"/>
  <c r="D52" i="15"/>
  <c r="E52" i="15"/>
  <c r="E57" i="15"/>
  <c r="F57" i="15"/>
  <c r="E58" i="15"/>
  <c r="F58" i="15"/>
  <c r="E59" i="15"/>
  <c r="F59" i="15"/>
  <c r="E60" i="15"/>
  <c r="F60" i="15"/>
  <c r="E61" i="15"/>
  <c r="F61" i="15"/>
  <c r="E64" i="15"/>
  <c r="F64" i="15"/>
  <c r="E65" i="15"/>
  <c r="F65" i="15"/>
  <c r="E66" i="15"/>
  <c r="F66" i="15"/>
  <c r="E69" i="15"/>
  <c r="F69" i="15"/>
  <c r="E70" i="15"/>
  <c r="F70" i="15"/>
  <c r="E71" i="15"/>
  <c r="F71" i="15"/>
  <c r="E72" i="15"/>
  <c r="F72" i="15"/>
  <c r="E75" i="15"/>
  <c r="E76" i="15"/>
  <c r="E77" i="15"/>
  <c r="F77" i="15"/>
  <c r="D9" i="17"/>
  <c r="E9" i="17"/>
  <c r="D10" i="17"/>
  <c r="E10" i="17"/>
  <c r="D11" i="17"/>
  <c r="E11" i="17"/>
  <c r="D12" i="17"/>
  <c r="E12" i="17"/>
  <c r="D13" i="17"/>
  <c r="E13" i="17"/>
  <c r="D14" i="17"/>
  <c r="E14" i="17"/>
  <c r="D15" i="17"/>
  <c r="E15" i="17"/>
  <c r="D16" i="17"/>
  <c r="E16" i="17"/>
  <c r="D17" i="17"/>
  <c r="E17" i="17"/>
  <c r="D22" i="17"/>
  <c r="E22" i="17"/>
  <c r="E23" i="17"/>
  <c r="H23" i="17"/>
  <c r="I23" i="17"/>
  <c r="J23" i="17"/>
  <c r="D24" i="17"/>
  <c r="E24" i="17"/>
  <c r="J24" i="17"/>
  <c r="E25" i="17"/>
  <c r="H25" i="17"/>
  <c r="I25" i="17"/>
  <c r="J25" i="17"/>
  <c r="E26" i="17"/>
  <c r="H26" i="17"/>
  <c r="I26" i="17"/>
  <c r="J26" i="17"/>
  <c r="D27" i="17"/>
  <c r="E27" i="17"/>
  <c r="J27" i="17"/>
  <c r="E28" i="17"/>
  <c r="H28" i="17"/>
  <c r="I28" i="17"/>
  <c r="J28" i="17"/>
  <c r="D29" i="17"/>
  <c r="E29" i="17"/>
  <c r="E30" i="17"/>
  <c r="H30" i="17"/>
  <c r="I30" i="17"/>
  <c r="J30" i="17"/>
  <c r="D31" i="17"/>
  <c r="E31" i="17"/>
  <c r="D32" i="17"/>
  <c r="E32" i="17"/>
  <c r="H32" i="17"/>
  <c r="I32" i="17"/>
  <c r="J32" i="17"/>
  <c r="D33" i="17"/>
  <c r="E33" i="17"/>
  <c r="H33" i="17"/>
  <c r="I33" i="17"/>
  <c r="J33" i="17"/>
  <c r="D34" i="17"/>
  <c r="E34" i="17"/>
  <c r="H34" i="17"/>
  <c r="I34" i="17"/>
  <c r="J34" i="17"/>
  <c r="D35" i="17"/>
  <c r="E35" i="17"/>
  <c r="H35" i="17"/>
  <c r="I35" i="17"/>
  <c r="J35" i="17"/>
  <c r="D36" i="17"/>
  <c r="E36" i="17"/>
  <c r="E37" i="17"/>
  <c r="H37" i="17"/>
  <c r="I37" i="17"/>
  <c r="J37" i="17"/>
  <c r="D38" i="17"/>
  <c r="E38" i="17"/>
  <c r="E39" i="17"/>
  <c r="H39" i="17"/>
  <c r="I39" i="17"/>
  <c r="J39" i="17"/>
  <c r="D40" i="17"/>
  <c r="H40" i="17"/>
  <c r="I40" i="17"/>
  <c r="J40" i="17"/>
  <c r="E41" i="17"/>
  <c r="H41" i="17"/>
  <c r="I41" i="17"/>
  <c r="J41" i="17"/>
  <c r="E42" i="17"/>
  <c r="H42" i="17"/>
  <c r="I42" i="17"/>
  <c r="J42" i="17"/>
  <c r="E43" i="17"/>
  <c r="H43" i="17"/>
  <c r="I43" i="17"/>
  <c r="J43" i="17"/>
  <c r="E44" i="17"/>
  <c r="H44" i="17"/>
  <c r="I44" i="17"/>
  <c r="J44" i="17"/>
  <c r="D45" i="17"/>
  <c r="H45" i="17"/>
  <c r="I45" i="17"/>
  <c r="J45" i="17"/>
  <c r="D46" i="17"/>
  <c r="E46" i="17"/>
  <c r="E47" i="17"/>
  <c r="H47" i="17"/>
  <c r="I47" i="17"/>
  <c r="D48" i="17"/>
  <c r="E48" i="17"/>
  <c r="D50" i="17"/>
  <c r="E50" i="17"/>
  <c r="D51" i="17"/>
  <c r="E51" i="17"/>
  <c r="E56" i="17"/>
  <c r="F56" i="17"/>
  <c r="E57" i="17"/>
  <c r="F57" i="17"/>
  <c r="E58" i="17"/>
  <c r="F58" i="17"/>
  <c r="E59" i="17"/>
  <c r="F59" i="17"/>
  <c r="E60" i="17"/>
  <c r="F60" i="17"/>
  <c r="E61" i="17"/>
  <c r="F61" i="17"/>
  <c r="E64" i="17"/>
  <c r="F64" i="17"/>
  <c r="E65" i="17"/>
  <c r="F65" i="17"/>
  <c r="E66" i="17"/>
  <c r="F66" i="17"/>
  <c r="E69" i="17"/>
  <c r="F69" i="17"/>
  <c r="E70" i="17"/>
  <c r="F70" i="17"/>
  <c r="E71" i="17"/>
  <c r="F71" i="17"/>
  <c r="E72" i="17"/>
  <c r="F72" i="17"/>
  <c r="E75" i="17"/>
  <c r="E76" i="17"/>
  <c r="E77" i="17"/>
  <c r="D9" i="19"/>
  <c r="E9" i="19"/>
  <c r="D10" i="19"/>
  <c r="E10" i="19"/>
  <c r="D11" i="19"/>
  <c r="E11" i="19"/>
  <c r="D12" i="19"/>
  <c r="E12" i="19"/>
  <c r="D13" i="19"/>
  <c r="E13" i="19"/>
  <c r="D14" i="19"/>
  <c r="E14" i="19"/>
  <c r="D15" i="19"/>
  <c r="E15" i="19"/>
  <c r="D16" i="19"/>
  <c r="E16" i="19"/>
  <c r="D17" i="19"/>
  <c r="E17" i="19"/>
  <c r="D18" i="19"/>
  <c r="E18" i="19"/>
  <c r="D23" i="19"/>
  <c r="E23" i="19"/>
  <c r="E24" i="19"/>
  <c r="H24" i="19"/>
  <c r="I24" i="19"/>
  <c r="J24" i="19"/>
  <c r="D25" i="19"/>
  <c r="E25" i="19"/>
  <c r="J25" i="19"/>
  <c r="E26" i="19"/>
  <c r="H26" i="19"/>
  <c r="I26" i="19"/>
  <c r="J26" i="19"/>
  <c r="E27" i="19"/>
  <c r="H27" i="19"/>
  <c r="I27" i="19"/>
  <c r="J27" i="19"/>
  <c r="D28" i="19"/>
  <c r="E28" i="19"/>
  <c r="J28" i="19"/>
  <c r="E29" i="19"/>
  <c r="H29" i="19"/>
  <c r="I29" i="19"/>
  <c r="J29" i="19"/>
  <c r="D30" i="19"/>
  <c r="E30" i="19"/>
  <c r="E31" i="19"/>
  <c r="H31" i="19"/>
  <c r="I31" i="19"/>
  <c r="J31" i="19"/>
  <c r="D32" i="19"/>
  <c r="E32" i="19"/>
  <c r="D33" i="19"/>
  <c r="E33" i="19"/>
  <c r="H33" i="19"/>
  <c r="I33" i="19"/>
  <c r="J33" i="19"/>
  <c r="N33" i="19"/>
  <c r="D34" i="19"/>
  <c r="E34" i="19"/>
  <c r="H34" i="19"/>
  <c r="I34" i="19"/>
  <c r="J34" i="19"/>
  <c r="N34" i="19"/>
  <c r="D35" i="19"/>
  <c r="E35" i="19"/>
  <c r="H35" i="19"/>
  <c r="I35" i="19"/>
  <c r="J35" i="19"/>
  <c r="N35" i="19"/>
  <c r="D36" i="19"/>
  <c r="H36" i="19"/>
  <c r="I36" i="19"/>
  <c r="J36" i="19"/>
  <c r="D37" i="19"/>
  <c r="E37" i="19"/>
  <c r="H37" i="19"/>
  <c r="I37" i="19"/>
  <c r="J37" i="19"/>
  <c r="D38" i="19"/>
  <c r="E38" i="19"/>
  <c r="H38" i="19"/>
  <c r="I38" i="19"/>
  <c r="J38" i="19"/>
  <c r="D39" i="19"/>
  <c r="E39" i="19"/>
  <c r="M39" i="19"/>
  <c r="N39" i="19"/>
  <c r="P39" i="19"/>
  <c r="E40" i="19"/>
  <c r="H40" i="19"/>
  <c r="I40" i="19"/>
  <c r="J40" i="19"/>
  <c r="D41" i="19"/>
  <c r="E41" i="19"/>
  <c r="E42" i="19"/>
  <c r="H42" i="19"/>
  <c r="I42" i="19"/>
  <c r="J42" i="19"/>
  <c r="D43" i="19"/>
  <c r="H43" i="19"/>
  <c r="I43" i="19"/>
  <c r="J43" i="19"/>
  <c r="E44" i="19"/>
  <c r="H44" i="19"/>
  <c r="I44" i="19"/>
  <c r="J44" i="19"/>
  <c r="E45" i="19"/>
  <c r="H45" i="19"/>
  <c r="I45" i="19"/>
  <c r="J45" i="19"/>
  <c r="E46" i="19"/>
  <c r="H46" i="19"/>
  <c r="I46" i="19"/>
  <c r="J46" i="19"/>
  <c r="E47" i="19"/>
  <c r="H47" i="19"/>
  <c r="I47" i="19"/>
  <c r="J47" i="19"/>
  <c r="D48" i="19"/>
  <c r="H48" i="19"/>
  <c r="I48" i="19"/>
  <c r="J48" i="19"/>
  <c r="D49" i="19"/>
  <c r="E49" i="19"/>
  <c r="E50" i="19"/>
  <c r="H50" i="19"/>
  <c r="I50" i="19"/>
  <c r="D51" i="19"/>
  <c r="E51" i="19"/>
  <c r="D53" i="19"/>
  <c r="E53" i="19"/>
  <c r="D54" i="19"/>
  <c r="E54" i="19"/>
  <c r="E59" i="19"/>
  <c r="F59" i="19"/>
  <c r="E60" i="19"/>
  <c r="F60" i="19"/>
  <c r="E61" i="19"/>
  <c r="F61" i="19"/>
  <c r="E62" i="19"/>
  <c r="F62" i="19"/>
  <c r="E63" i="19"/>
  <c r="F63" i="19"/>
  <c r="E64" i="19"/>
  <c r="F64" i="19"/>
  <c r="E67" i="19"/>
  <c r="F67" i="19"/>
  <c r="E68" i="19"/>
  <c r="F68" i="19"/>
  <c r="E69" i="19"/>
  <c r="F69" i="19"/>
  <c r="G69" i="19"/>
  <c r="E72" i="19"/>
  <c r="F72" i="19"/>
  <c r="E73" i="19"/>
  <c r="F73" i="19"/>
  <c r="E74" i="19"/>
  <c r="F74" i="19"/>
  <c r="E75" i="19"/>
  <c r="F75" i="19"/>
  <c r="E78" i="19"/>
  <c r="E79" i="19"/>
  <c r="E80" i="19"/>
  <c r="E81" i="19"/>
  <c r="D9" i="20"/>
  <c r="E9" i="20"/>
  <c r="D10" i="20"/>
  <c r="E10" i="20"/>
  <c r="D11" i="20"/>
  <c r="E11" i="20"/>
  <c r="D12" i="20"/>
  <c r="E12" i="20"/>
  <c r="D13" i="20"/>
  <c r="E13" i="20"/>
  <c r="D14" i="20"/>
  <c r="E14" i="20"/>
  <c r="D15" i="20"/>
  <c r="E15" i="20"/>
  <c r="D16" i="20"/>
  <c r="E16" i="20"/>
  <c r="D17" i="20"/>
  <c r="E17" i="20"/>
  <c r="D22" i="20"/>
  <c r="E22" i="20"/>
  <c r="E23" i="20"/>
  <c r="H23" i="20"/>
  <c r="I23" i="20"/>
  <c r="J23" i="20"/>
  <c r="D24" i="20"/>
  <c r="E24" i="20"/>
  <c r="J24" i="20"/>
  <c r="E25" i="20"/>
  <c r="H25" i="20"/>
  <c r="I25" i="20"/>
  <c r="J25" i="20"/>
  <c r="E26" i="20"/>
  <c r="H26" i="20"/>
  <c r="I26" i="20"/>
  <c r="J26" i="20"/>
  <c r="D27" i="20"/>
  <c r="E27" i="20"/>
  <c r="J27" i="20"/>
  <c r="E28" i="20"/>
  <c r="H28" i="20"/>
  <c r="I28" i="20"/>
  <c r="J28" i="20"/>
  <c r="D29" i="20"/>
  <c r="E29" i="20"/>
  <c r="E30" i="20"/>
  <c r="H30" i="20"/>
  <c r="I30" i="20"/>
  <c r="J30" i="20"/>
  <c r="E31" i="20"/>
  <c r="H31" i="20"/>
  <c r="I31" i="20"/>
  <c r="J31" i="20"/>
  <c r="D32" i="20"/>
  <c r="E32" i="20"/>
  <c r="D33" i="20"/>
  <c r="E33" i="20"/>
  <c r="H33" i="20"/>
  <c r="I33" i="20"/>
  <c r="J33" i="20"/>
  <c r="N33" i="20"/>
  <c r="D34" i="20"/>
  <c r="E34" i="20"/>
  <c r="H34" i="20"/>
  <c r="I34" i="20"/>
  <c r="J34" i="20"/>
  <c r="N34" i="20"/>
  <c r="D35" i="20"/>
  <c r="E35" i="20"/>
  <c r="H35" i="20"/>
  <c r="I35" i="20"/>
  <c r="J35" i="20"/>
  <c r="N35" i="20"/>
  <c r="D36" i="20"/>
  <c r="H36" i="20"/>
  <c r="I36" i="20"/>
  <c r="J36" i="20"/>
  <c r="D37" i="20"/>
  <c r="E37" i="20"/>
  <c r="H37" i="20"/>
  <c r="I37" i="20"/>
  <c r="J37" i="20"/>
  <c r="D38" i="20"/>
  <c r="E38" i="20"/>
  <c r="H38" i="20"/>
  <c r="I38" i="20"/>
  <c r="J38" i="20"/>
  <c r="D39" i="20"/>
  <c r="E39" i="20"/>
  <c r="H39" i="20"/>
  <c r="I39" i="20"/>
  <c r="J39" i="20"/>
  <c r="D40" i="20"/>
  <c r="E40" i="20"/>
  <c r="M40" i="20"/>
  <c r="N40" i="20"/>
  <c r="P40" i="20"/>
  <c r="D41" i="20"/>
  <c r="E41" i="20"/>
  <c r="H41" i="20"/>
  <c r="I41" i="20"/>
  <c r="J41" i="20"/>
  <c r="D42" i="20"/>
  <c r="E42" i="20"/>
  <c r="E43" i="20"/>
  <c r="H43" i="20"/>
  <c r="I43" i="20"/>
  <c r="J43" i="20"/>
  <c r="D44" i="20"/>
  <c r="H44" i="20"/>
  <c r="I44" i="20"/>
  <c r="J44" i="20"/>
  <c r="E45" i="20"/>
  <c r="H45" i="20"/>
  <c r="I45" i="20"/>
  <c r="J45" i="20"/>
  <c r="E46" i="20"/>
  <c r="H46" i="20"/>
  <c r="I46" i="20"/>
  <c r="J46" i="20"/>
  <c r="E47" i="20"/>
  <c r="H47" i="20"/>
  <c r="I47" i="20"/>
  <c r="J47" i="20"/>
  <c r="E48" i="20"/>
  <c r="H48" i="20"/>
  <c r="I48" i="20"/>
  <c r="J48" i="20"/>
  <c r="D49" i="20"/>
  <c r="H49" i="20"/>
  <c r="I49" i="20"/>
  <c r="J49" i="20"/>
  <c r="D50" i="20"/>
  <c r="E50" i="20"/>
  <c r="E51" i="20"/>
  <c r="H51" i="20"/>
  <c r="I51" i="20"/>
  <c r="D52" i="20"/>
  <c r="E52" i="20"/>
  <c r="D54" i="20"/>
  <c r="E54" i="20"/>
  <c r="D55" i="20"/>
  <c r="E55" i="20"/>
  <c r="E60" i="20"/>
  <c r="F60" i="20"/>
  <c r="E61" i="20"/>
  <c r="F61" i="20"/>
  <c r="E62" i="20"/>
  <c r="F62" i="20"/>
  <c r="E63" i="20"/>
  <c r="F63" i="20"/>
  <c r="E64" i="20"/>
  <c r="F64" i="20"/>
  <c r="E67" i="20"/>
  <c r="F67" i="20"/>
  <c r="E68" i="20"/>
  <c r="F68" i="20"/>
  <c r="E69" i="20"/>
  <c r="F69" i="20"/>
  <c r="E72" i="20"/>
  <c r="F72" i="20"/>
  <c r="E73" i="20"/>
  <c r="F73" i="20"/>
  <c r="E74" i="20"/>
  <c r="F74" i="20"/>
  <c r="E75" i="20"/>
  <c r="F75" i="20"/>
  <c r="E78" i="20"/>
  <c r="E79" i="20"/>
  <c r="E80" i="20"/>
  <c r="F80" i="20"/>
  <c r="D9" i="21"/>
  <c r="E9" i="21"/>
  <c r="D10" i="21"/>
  <c r="E10" i="21"/>
  <c r="D11" i="21"/>
  <c r="E11" i="21"/>
  <c r="D12" i="21"/>
  <c r="D13" i="21"/>
  <c r="E13" i="21"/>
  <c r="D14" i="21"/>
  <c r="E14" i="21"/>
  <c r="D15" i="21"/>
  <c r="E15" i="21"/>
  <c r="D16" i="21"/>
  <c r="E16" i="21"/>
  <c r="D17" i="21"/>
  <c r="E17" i="21"/>
  <c r="D18" i="21"/>
  <c r="E18" i="21"/>
  <c r="D19" i="21"/>
  <c r="E19" i="21"/>
  <c r="D24" i="21"/>
  <c r="E24" i="21"/>
  <c r="E25" i="21"/>
  <c r="H25" i="21"/>
  <c r="I25" i="21"/>
  <c r="J25" i="21"/>
  <c r="D26" i="21"/>
  <c r="E26" i="21"/>
  <c r="J26" i="21"/>
  <c r="E27" i="21"/>
  <c r="H27" i="21"/>
  <c r="I27" i="21"/>
  <c r="J27" i="21"/>
  <c r="E28" i="21"/>
  <c r="H28" i="21"/>
  <c r="I28" i="21"/>
  <c r="J28" i="21"/>
  <c r="D29" i="21"/>
  <c r="E29" i="21"/>
  <c r="J29" i="21"/>
  <c r="E30" i="21"/>
  <c r="H30" i="21"/>
  <c r="I30" i="21"/>
  <c r="J30" i="21"/>
  <c r="D31" i="21"/>
  <c r="E31" i="21"/>
  <c r="E32" i="21"/>
  <c r="H32" i="21"/>
  <c r="I32" i="21"/>
  <c r="J32" i="21"/>
  <c r="D33" i="21"/>
  <c r="E33" i="21"/>
  <c r="D34" i="21"/>
  <c r="E34" i="21"/>
  <c r="H34" i="21"/>
  <c r="I34" i="21"/>
  <c r="J34" i="21"/>
  <c r="D35" i="21"/>
  <c r="E35" i="21"/>
  <c r="H35" i="21"/>
  <c r="I35" i="21"/>
  <c r="J35" i="21"/>
  <c r="D36" i="21"/>
  <c r="E36" i="21"/>
  <c r="H36" i="21"/>
  <c r="I36" i="21"/>
  <c r="J36" i="21"/>
  <c r="D37" i="21"/>
  <c r="E37" i="21"/>
  <c r="D38" i="21"/>
  <c r="E38" i="21"/>
  <c r="H38" i="21"/>
  <c r="I38" i="21"/>
  <c r="J38" i="21"/>
  <c r="D39" i="21"/>
  <c r="E39" i="21"/>
  <c r="E40" i="21"/>
  <c r="H40" i="21"/>
  <c r="I40" i="21"/>
  <c r="J40" i="21"/>
  <c r="D41" i="21"/>
  <c r="H41" i="21"/>
  <c r="I41" i="21"/>
  <c r="J41" i="21"/>
  <c r="E42" i="21"/>
  <c r="H42" i="21"/>
  <c r="I42" i="21"/>
  <c r="J42" i="21"/>
  <c r="E43" i="21"/>
  <c r="H43" i="21"/>
  <c r="I43" i="21"/>
  <c r="J43" i="21"/>
  <c r="E44" i="21"/>
  <c r="H44" i="21"/>
  <c r="I44" i="21"/>
  <c r="J44" i="21"/>
  <c r="E45" i="21"/>
  <c r="H45" i="21"/>
  <c r="I45" i="21"/>
  <c r="J45" i="21"/>
  <c r="D46" i="21"/>
  <c r="H46" i="21"/>
  <c r="I46" i="21"/>
  <c r="J46" i="21"/>
  <c r="D47" i="21"/>
  <c r="E47" i="21"/>
  <c r="D48" i="21"/>
  <c r="E48" i="21"/>
  <c r="E49" i="21"/>
  <c r="H49" i="21"/>
  <c r="I49" i="21"/>
  <c r="D50" i="21"/>
  <c r="E50" i="21"/>
  <c r="D52" i="21"/>
  <c r="E52" i="21"/>
  <c r="D53" i="21"/>
  <c r="E53" i="21"/>
  <c r="E58" i="21"/>
  <c r="F58" i="21"/>
  <c r="E59" i="21"/>
  <c r="F59" i="21"/>
  <c r="E60" i="21"/>
  <c r="F60" i="21"/>
  <c r="E61" i="21"/>
  <c r="F61" i="21"/>
  <c r="E62" i="21"/>
  <c r="F62" i="21"/>
  <c r="E63" i="21"/>
  <c r="F63" i="21"/>
  <c r="E66" i="21"/>
  <c r="F66" i="21"/>
  <c r="E67" i="21"/>
  <c r="F67" i="21"/>
  <c r="E68" i="21"/>
  <c r="F68" i="21"/>
  <c r="J68" i="21"/>
  <c r="F70" i="21"/>
  <c r="F71" i="21"/>
  <c r="F72" i="21"/>
  <c r="D9" i="22"/>
  <c r="E9" i="22"/>
  <c r="D10" i="22"/>
  <c r="E10" i="22"/>
  <c r="D11" i="22"/>
  <c r="E11" i="22"/>
  <c r="D12" i="22"/>
  <c r="E12" i="22"/>
  <c r="D13" i="22"/>
  <c r="E13" i="22"/>
  <c r="D14" i="22"/>
  <c r="E14" i="22"/>
  <c r="D15" i="22"/>
  <c r="E15" i="22"/>
  <c r="D16" i="22"/>
  <c r="E16" i="22"/>
  <c r="E17" i="22"/>
  <c r="D18" i="22"/>
  <c r="E18" i="22"/>
  <c r="D23" i="22"/>
  <c r="E23" i="22"/>
  <c r="E24" i="22"/>
  <c r="H24" i="22"/>
  <c r="I24" i="22"/>
  <c r="J24" i="22"/>
  <c r="D25" i="22"/>
  <c r="E25" i="22"/>
  <c r="J25" i="22"/>
  <c r="E26" i="22"/>
  <c r="H26" i="22"/>
  <c r="I26" i="22"/>
  <c r="J26" i="22"/>
  <c r="E27" i="22"/>
  <c r="H27" i="22"/>
  <c r="I27" i="22"/>
  <c r="J27" i="22"/>
  <c r="D28" i="22"/>
  <c r="E28" i="22"/>
  <c r="J28" i="22"/>
  <c r="E29" i="22"/>
  <c r="H29" i="22"/>
  <c r="I29" i="22"/>
  <c r="J29" i="22"/>
  <c r="D30" i="22"/>
  <c r="E30" i="22"/>
  <c r="E31" i="22"/>
  <c r="H31" i="22"/>
  <c r="I31" i="22"/>
  <c r="J31" i="22"/>
  <c r="D32" i="22"/>
  <c r="E32" i="22"/>
  <c r="D33" i="22"/>
  <c r="E33" i="22"/>
  <c r="H33" i="22"/>
  <c r="I33" i="22"/>
  <c r="J33" i="22"/>
  <c r="D34" i="22"/>
  <c r="E34" i="22"/>
  <c r="H34" i="22"/>
  <c r="I34" i="22"/>
  <c r="J34" i="22"/>
  <c r="D35" i="22"/>
  <c r="E35" i="22"/>
  <c r="H35" i="22"/>
  <c r="I35" i="22"/>
  <c r="J35" i="22"/>
  <c r="D36" i="22"/>
  <c r="H36" i="22"/>
  <c r="I36" i="22"/>
  <c r="J36" i="22"/>
  <c r="D37" i="22"/>
  <c r="E37" i="22"/>
  <c r="E38" i="22"/>
  <c r="H38" i="22"/>
  <c r="I38" i="22"/>
  <c r="J38" i="22"/>
  <c r="D39" i="22"/>
  <c r="E39" i="22"/>
  <c r="E40" i="22"/>
  <c r="H40" i="22"/>
  <c r="I40" i="22"/>
  <c r="J40" i="22"/>
  <c r="D41" i="22"/>
  <c r="H41" i="22"/>
  <c r="I41" i="22"/>
  <c r="J41" i="22"/>
  <c r="E42" i="22"/>
  <c r="H42" i="22"/>
  <c r="I42" i="22"/>
  <c r="J42" i="22"/>
  <c r="E43" i="22"/>
  <c r="H43" i="22"/>
  <c r="I43" i="22"/>
  <c r="J43" i="22"/>
  <c r="E44" i="22"/>
  <c r="H44" i="22"/>
  <c r="I44" i="22"/>
  <c r="J44" i="22"/>
  <c r="E45" i="22"/>
  <c r="H45" i="22"/>
  <c r="I45" i="22"/>
  <c r="J45" i="22"/>
  <c r="D46" i="22"/>
  <c r="E46" i="22"/>
  <c r="H46" i="22"/>
  <c r="I46" i="22"/>
  <c r="J46" i="22"/>
  <c r="D47" i="22"/>
  <c r="E47" i="22"/>
  <c r="H47" i="22"/>
  <c r="I47" i="22"/>
  <c r="J47" i="22"/>
  <c r="D48" i="22"/>
  <c r="E48" i="22"/>
  <c r="E49" i="22"/>
  <c r="H49" i="22"/>
  <c r="I49" i="22"/>
  <c r="D50" i="22"/>
  <c r="E50" i="22"/>
  <c r="D52" i="22"/>
  <c r="E52" i="22"/>
  <c r="D53" i="22"/>
  <c r="E53" i="22"/>
  <c r="E58" i="22"/>
  <c r="F58" i="22"/>
  <c r="E59" i="22"/>
  <c r="F59" i="22"/>
  <c r="E60" i="22"/>
  <c r="F60" i="22"/>
  <c r="E61" i="22"/>
  <c r="F61" i="22"/>
  <c r="E62" i="22"/>
  <c r="F62" i="22"/>
  <c r="E65" i="22"/>
  <c r="F65" i="22"/>
  <c r="E66" i="22"/>
  <c r="F66" i="22"/>
  <c r="E67" i="22"/>
  <c r="F67" i="22"/>
  <c r="E70" i="22"/>
  <c r="F70" i="22"/>
  <c r="E71" i="22"/>
  <c r="F71" i="22"/>
  <c r="E72" i="22"/>
  <c r="F72" i="22"/>
  <c r="E73" i="22"/>
  <c r="F73" i="22"/>
  <c r="F76" i="22"/>
  <c r="F77" i="22"/>
  <c r="F78" i="22"/>
  <c r="D9" i="23"/>
  <c r="E9" i="23"/>
  <c r="D10" i="23"/>
  <c r="E10" i="23"/>
  <c r="D11" i="23"/>
  <c r="E11" i="23"/>
  <c r="D12" i="23"/>
  <c r="E12" i="23"/>
  <c r="D13" i="23"/>
  <c r="E13" i="23"/>
  <c r="D14" i="23"/>
  <c r="E14" i="23"/>
  <c r="D15" i="23"/>
  <c r="E15" i="23"/>
  <c r="D16" i="23"/>
  <c r="E16" i="23"/>
  <c r="D17" i="23"/>
  <c r="E17" i="23"/>
  <c r="D18" i="23"/>
  <c r="E18" i="23"/>
  <c r="D19" i="23"/>
  <c r="E19" i="23"/>
  <c r="D24" i="23"/>
  <c r="E24" i="23"/>
  <c r="E25" i="23"/>
  <c r="H25" i="23"/>
  <c r="I25" i="23"/>
  <c r="J25" i="23"/>
  <c r="D26" i="23"/>
  <c r="E26" i="23"/>
  <c r="J26" i="23"/>
  <c r="E27" i="23"/>
  <c r="H27" i="23"/>
  <c r="I27" i="23"/>
  <c r="J27" i="23"/>
  <c r="E28" i="23"/>
  <c r="H28" i="23"/>
  <c r="I28" i="23"/>
  <c r="J28" i="23"/>
  <c r="D29" i="23"/>
  <c r="E29" i="23"/>
  <c r="J29" i="23"/>
  <c r="E30" i="23"/>
  <c r="H30" i="23"/>
  <c r="I30" i="23"/>
  <c r="J30" i="23"/>
  <c r="D31" i="23"/>
  <c r="E31" i="23"/>
  <c r="E32" i="23"/>
  <c r="H32" i="23"/>
  <c r="I32" i="23"/>
  <c r="J32" i="23"/>
  <c r="E33" i="23"/>
  <c r="H33" i="23"/>
  <c r="I33" i="23"/>
  <c r="J33" i="23"/>
  <c r="D34" i="23"/>
  <c r="E34" i="23"/>
  <c r="D35" i="23"/>
  <c r="E35" i="23"/>
  <c r="H35" i="23"/>
  <c r="I35" i="23"/>
  <c r="J35" i="23"/>
  <c r="D36" i="23"/>
  <c r="E36" i="23"/>
  <c r="H36" i="23"/>
  <c r="I36" i="23"/>
  <c r="J36" i="23"/>
  <c r="D37" i="23"/>
  <c r="E37" i="23"/>
  <c r="E38" i="23"/>
  <c r="H38" i="23"/>
  <c r="I38" i="23"/>
  <c r="J38" i="23"/>
  <c r="D39" i="23"/>
  <c r="E39" i="23"/>
  <c r="D40" i="23"/>
  <c r="H40" i="23"/>
  <c r="I40" i="23"/>
  <c r="J40" i="23"/>
  <c r="E41" i="23"/>
  <c r="H41" i="23"/>
  <c r="I41" i="23"/>
  <c r="J41" i="23"/>
  <c r="D42" i="23"/>
  <c r="H42" i="23"/>
  <c r="I42" i="23"/>
  <c r="J42" i="23"/>
  <c r="E43" i="23"/>
  <c r="H43" i="23"/>
  <c r="I43" i="23"/>
  <c r="J43" i="23"/>
  <c r="E44" i="23"/>
  <c r="H44" i="23"/>
  <c r="I44" i="23"/>
  <c r="J44" i="23"/>
  <c r="E45" i="23"/>
  <c r="H45" i="23"/>
  <c r="I45" i="23"/>
  <c r="J45" i="23"/>
  <c r="E46" i="23"/>
  <c r="H46" i="23"/>
  <c r="I46" i="23"/>
  <c r="J46" i="23"/>
  <c r="D47" i="23"/>
  <c r="H47" i="23"/>
  <c r="I47" i="23"/>
  <c r="J47" i="23"/>
  <c r="D48" i="23"/>
  <c r="H48" i="23"/>
  <c r="I48" i="23"/>
  <c r="J48" i="23"/>
  <c r="D49" i="23"/>
  <c r="E49" i="23"/>
  <c r="H49" i="23"/>
  <c r="I49" i="23"/>
  <c r="J49" i="23"/>
  <c r="D50" i="23"/>
  <c r="H50" i="23"/>
  <c r="I50" i="23"/>
  <c r="J50" i="23"/>
  <c r="D51" i="23"/>
  <c r="E51" i="23"/>
  <c r="H51" i="23"/>
  <c r="I51" i="23"/>
  <c r="J51" i="23"/>
  <c r="D52" i="23"/>
  <c r="E52" i="23"/>
  <c r="H52" i="23"/>
  <c r="I52" i="23"/>
  <c r="J52" i="23"/>
  <c r="D53" i="23"/>
  <c r="E53" i="23"/>
  <c r="H53" i="23"/>
  <c r="I53" i="23"/>
  <c r="J53" i="23"/>
  <c r="D54" i="23"/>
  <c r="E54" i="23"/>
  <c r="H54" i="23"/>
  <c r="I54" i="23"/>
  <c r="J54" i="23"/>
  <c r="D55" i="23"/>
  <c r="H55" i="23"/>
  <c r="I55" i="23"/>
  <c r="J55" i="23"/>
  <c r="D56" i="23"/>
  <c r="H56" i="23"/>
  <c r="I56" i="23"/>
  <c r="J56" i="23"/>
  <c r="D57" i="23"/>
  <c r="E57" i="23"/>
  <c r="E58" i="23"/>
  <c r="H58" i="23"/>
  <c r="I58" i="23"/>
  <c r="D59" i="23"/>
  <c r="E59" i="23"/>
  <c r="D61" i="23"/>
  <c r="E61" i="23"/>
  <c r="D62" i="23"/>
  <c r="E62" i="23"/>
  <c r="E67" i="23"/>
  <c r="F67" i="23"/>
  <c r="E68" i="23"/>
  <c r="F68" i="23"/>
  <c r="E69" i="23"/>
  <c r="F69" i="23"/>
  <c r="E70" i="23"/>
  <c r="F70" i="23"/>
  <c r="E71" i="23"/>
  <c r="F71" i="23"/>
  <c r="E72" i="23"/>
  <c r="F72" i="23"/>
  <c r="E75" i="23"/>
  <c r="F75" i="23"/>
  <c r="E76" i="23"/>
  <c r="F76" i="23"/>
  <c r="E77" i="23"/>
  <c r="F77" i="23"/>
  <c r="E80" i="23"/>
  <c r="F80" i="23"/>
  <c r="E81" i="23"/>
  <c r="F81" i="23"/>
  <c r="E82" i="23"/>
  <c r="F82" i="23"/>
  <c r="E83" i="23"/>
  <c r="F83" i="23"/>
  <c r="E85" i="23"/>
  <c r="E86" i="23"/>
  <c r="E87" i="23"/>
  <c r="D9" i="24"/>
  <c r="E9" i="24"/>
  <c r="D10" i="24"/>
  <c r="E10" i="24"/>
  <c r="D11" i="24"/>
  <c r="E11" i="24"/>
  <c r="D12" i="24"/>
  <c r="E12" i="24"/>
  <c r="D13" i="24"/>
  <c r="E13" i="24"/>
  <c r="D14" i="24"/>
  <c r="E14" i="24"/>
  <c r="D19" i="24"/>
  <c r="E19" i="24"/>
  <c r="E20" i="24"/>
  <c r="H20" i="24"/>
  <c r="I20" i="24"/>
  <c r="J20" i="24"/>
  <c r="D21" i="24"/>
  <c r="E21" i="24"/>
  <c r="J21" i="24"/>
  <c r="E22" i="24"/>
  <c r="H22" i="24"/>
  <c r="I22" i="24"/>
  <c r="J22" i="24"/>
  <c r="D23" i="24"/>
  <c r="E23" i="24"/>
  <c r="H23" i="24"/>
  <c r="I23" i="24"/>
  <c r="J23" i="24"/>
  <c r="E24" i="24"/>
  <c r="H24" i="24"/>
  <c r="I24" i="24"/>
  <c r="J24" i="24"/>
  <c r="D25" i="24"/>
  <c r="E25" i="24"/>
  <c r="J25" i="24"/>
  <c r="E26" i="24"/>
  <c r="H26" i="24"/>
  <c r="I26" i="24"/>
  <c r="J26" i="24"/>
  <c r="E27" i="24"/>
  <c r="H27" i="24"/>
  <c r="I27" i="24"/>
  <c r="J27" i="24"/>
  <c r="D28" i="24"/>
  <c r="E28" i="24"/>
  <c r="D29" i="24"/>
  <c r="E29" i="24"/>
  <c r="H29" i="24"/>
  <c r="I29" i="24"/>
  <c r="J29" i="24"/>
  <c r="E30" i="24"/>
  <c r="H30" i="24"/>
  <c r="I30" i="24"/>
  <c r="J30" i="24"/>
  <c r="D31" i="24"/>
  <c r="E31" i="24"/>
  <c r="D32" i="24"/>
  <c r="E32" i="24"/>
  <c r="H32" i="24"/>
  <c r="I32" i="24"/>
  <c r="J32" i="24"/>
  <c r="D33" i="24"/>
  <c r="E33" i="24"/>
  <c r="H33" i="24"/>
  <c r="I33" i="24"/>
  <c r="J33" i="24"/>
  <c r="D34" i="24"/>
  <c r="E34" i="24"/>
  <c r="E35" i="24"/>
  <c r="H35" i="24"/>
  <c r="I35" i="24"/>
  <c r="J35" i="24"/>
  <c r="D36" i="24"/>
  <c r="E36" i="24"/>
  <c r="E37" i="24"/>
  <c r="H37" i="24"/>
  <c r="I37" i="24"/>
  <c r="J37" i="24"/>
  <c r="D38" i="24"/>
  <c r="H38" i="24"/>
  <c r="I38" i="24"/>
  <c r="J38" i="24"/>
  <c r="E39" i="24"/>
  <c r="H39" i="24"/>
  <c r="I39" i="24"/>
  <c r="J39" i="24"/>
  <c r="E40" i="24"/>
  <c r="H40" i="24"/>
  <c r="I40" i="24"/>
  <c r="J40" i="24"/>
  <c r="E41" i="24"/>
  <c r="H41" i="24"/>
  <c r="I41" i="24"/>
  <c r="J41" i="24"/>
  <c r="E42" i="24"/>
  <c r="H42" i="24"/>
  <c r="I42" i="24"/>
  <c r="J42" i="24"/>
  <c r="D43" i="24"/>
  <c r="H43" i="24"/>
  <c r="I43" i="24"/>
  <c r="J43" i="24"/>
  <c r="D44" i="24"/>
  <c r="E44" i="24"/>
  <c r="E45" i="24"/>
  <c r="H45" i="24"/>
  <c r="I45" i="24"/>
  <c r="D46" i="24"/>
  <c r="E46" i="24"/>
  <c r="D48" i="24"/>
  <c r="E48" i="24"/>
  <c r="D49" i="24"/>
  <c r="E49" i="24"/>
  <c r="E54" i="24"/>
  <c r="F54" i="24"/>
  <c r="E55" i="24"/>
  <c r="F55" i="24"/>
  <c r="E56" i="24"/>
  <c r="F56" i="24"/>
  <c r="E57" i="24"/>
  <c r="F57" i="24"/>
  <c r="E58" i="24"/>
  <c r="F58" i="24"/>
  <c r="E59" i="24"/>
  <c r="F59" i="24"/>
  <c r="E62" i="24"/>
  <c r="F62" i="24"/>
  <c r="E63" i="24"/>
  <c r="F63" i="24"/>
  <c r="E64" i="24"/>
  <c r="F64" i="24"/>
  <c r="E67" i="24"/>
  <c r="F67" i="24"/>
  <c r="E68" i="24"/>
  <c r="F68" i="24"/>
  <c r="E69" i="24"/>
  <c r="F69" i="24"/>
  <c r="E70" i="24"/>
  <c r="F70" i="24"/>
  <c r="E73" i="24"/>
  <c r="E74" i="24"/>
  <c r="E75" i="24"/>
  <c r="E76" i="24"/>
  <c r="D9" i="25"/>
  <c r="E9" i="25"/>
  <c r="D10" i="25"/>
  <c r="E10" i="25"/>
  <c r="E11" i="25"/>
  <c r="D12" i="25"/>
  <c r="E12" i="25"/>
  <c r="D13" i="25"/>
  <c r="E13" i="25"/>
  <c r="D14" i="25"/>
  <c r="E14" i="25"/>
  <c r="D15" i="25"/>
  <c r="E15" i="25"/>
  <c r="D20" i="25"/>
  <c r="E20" i="25"/>
  <c r="E21" i="25"/>
  <c r="H21" i="25"/>
  <c r="I21" i="25"/>
  <c r="J21" i="25"/>
  <c r="D22" i="25"/>
  <c r="E22" i="25"/>
  <c r="J22" i="25"/>
  <c r="E23" i="25"/>
  <c r="H23" i="25"/>
  <c r="I23" i="25"/>
  <c r="J23" i="25"/>
  <c r="E24" i="25"/>
  <c r="H24" i="25"/>
  <c r="I24" i="25"/>
  <c r="J24" i="25"/>
  <c r="D25" i="25"/>
  <c r="E25" i="25"/>
  <c r="J25" i="25"/>
  <c r="E26" i="25"/>
  <c r="H26" i="25"/>
  <c r="I26" i="25"/>
  <c r="J26" i="25"/>
  <c r="E27" i="25"/>
  <c r="H27" i="25"/>
  <c r="I27" i="25"/>
  <c r="J27" i="25"/>
  <c r="D28" i="25"/>
  <c r="E28" i="25"/>
  <c r="D29" i="25"/>
  <c r="E29" i="25"/>
  <c r="H29" i="25"/>
  <c r="I29" i="25"/>
  <c r="J29" i="25"/>
  <c r="D30" i="25"/>
  <c r="E30" i="25"/>
  <c r="D31" i="25"/>
  <c r="E31" i="25"/>
  <c r="H31" i="25"/>
  <c r="I31" i="25"/>
  <c r="J31" i="25"/>
  <c r="D32" i="25"/>
  <c r="E32" i="25"/>
  <c r="H32" i="25"/>
  <c r="I32" i="25"/>
  <c r="J32" i="25"/>
  <c r="D33" i="25"/>
  <c r="E33" i="25"/>
  <c r="E34" i="25"/>
  <c r="H34" i="25"/>
  <c r="I34" i="25"/>
  <c r="J34" i="25"/>
  <c r="D35" i="25"/>
  <c r="E35" i="25"/>
  <c r="E36" i="25"/>
  <c r="H36" i="25"/>
  <c r="I36" i="25"/>
  <c r="J36" i="25"/>
  <c r="D37" i="25"/>
  <c r="H37" i="25"/>
  <c r="I37" i="25"/>
  <c r="J37" i="25"/>
  <c r="E38" i="25"/>
  <c r="H38" i="25"/>
  <c r="I38" i="25"/>
  <c r="J38" i="25"/>
  <c r="E39" i="25"/>
  <c r="H39" i="25"/>
  <c r="I39" i="25"/>
  <c r="J39" i="25"/>
  <c r="E40" i="25"/>
  <c r="H40" i="25"/>
  <c r="I40" i="25"/>
  <c r="J40" i="25"/>
  <c r="E41" i="25"/>
  <c r="H41" i="25"/>
  <c r="I41" i="25"/>
  <c r="J41" i="25"/>
  <c r="D42" i="25"/>
  <c r="H42" i="25"/>
  <c r="I42" i="25"/>
  <c r="J42" i="25"/>
  <c r="D43" i="25"/>
  <c r="E43" i="25"/>
  <c r="E44" i="25"/>
  <c r="H44" i="25"/>
  <c r="I44" i="25"/>
  <c r="D45" i="25"/>
  <c r="E45" i="25"/>
  <c r="D47" i="25"/>
  <c r="E47" i="25"/>
  <c r="D48" i="25"/>
  <c r="E48" i="25"/>
  <c r="E53" i="25"/>
  <c r="F53" i="25"/>
  <c r="E54" i="25"/>
  <c r="F54" i="25"/>
  <c r="E55" i="25"/>
  <c r="F55" i="25"/>
  <c r="E56" i="25"/>
  <c r="F56" i="25"/>
  <c r="E57" i="25"/>
  <c r="F57" i="25"/>
  <c r="E60" i="25"/>
  <c r="F60" i="25"/>
  <c r="E61" i="25"/>
  <c r="F61" i="25"/>
  <c r="E62" i="25"/>
  <c r="F62" i="25"/>
  <c r="E65" i="25"/>
  <c r="F65" i="25"/>
  <c r="E66" i="25"/>
  <c r="F66" i="25"/>
  <c r="E67" i="25"/>
  <c r="F67" i="25"/>
  <c r="E68" i="25"/>
  <c r="F68" i="25"/>
  <c r="E71" i="25"/>
  <c r="E72" i="25"/>
  <c r="E73" i="25"/>
  <c r="E74" i="25"/>
  <c r="D9" i="26"/>
  <c r="E9" i="26"/>
  <c r="D10" i="26"/>
  <c r="E10" i="26"/>
  <c r="D11" i="26"/>
  <c r="E11" i="26"/>
  <c r="D12" i="26"/>
  <c r="E12" i="26"/>
  <c r="D13" i="26"/>
  <c r="D14" i="26"/>
  <c r="D15" i="26"/>
  <c r="E15" i="26"/>
  <c r="D20" i="26"/>
  <c r="E20" i="26"/>
  <c r="E21" i="26"/>
  <c r="H21" i="26"/>
  <c r="I21" i="26"/>
  <c r="J21" i="26"/>
  <c r="D22" i="26"/>
  <c r="E22" i="26"/>
  <c r="J22" i="26"/>
  <c r="E23" i="26"/>
  <c r="H23" i="26"/>
  <c r="I23" i="26"/>
  <c r="J23" i="26"/>
  <c r="E24" i="26"/>
  <c r="H24" i="26"/>
  <c r="I24" i="26"/>
  <c r="J24" i="26"/>
  <c r="E25" i="26"/>
  <c r="H25" i="26"/>
  <c r="I25" i="26"/>
  <c r="J25" i="26"/>
  <c r="D26" i="26"/>
  <c r="E26" i="26"/>
  <c r="J26" i="26"/>
  <c r="E27" i="26"/>
  <c r="H27" i="26"/>
  <c r="I27" i="26"/>
  <c r="J27" i="26"/>
  <c r="E28" i="26"/>
  <c r="H28" i="26"/>
  <c r="I28" i="26"/>
  <c r="J28" i="26"/>
  <c r="D29" i="26"/>
  <c r="E29" i="26"/>
  <c r="D30" i="26"/>
  <c r="E30" i="26"/>
  <c r="H30" i="26"/>
  <c r="I30" i="26"/>
  <c r="J30" i="26"/>
  <c r="D31" i="26"/>
  <c r="E31" i="26"/>
  <c r="D32" i="26"/>
  <c r="E32" i="26"/>
  <c r="H32" i="26"/>
  <c r="I32" i="26"/>
  <c r="J32" i="26"/>
  <c r="D33" i="26"/>
  <c r="E33" i="26"/>
  <c r="D34" i="26"/>
  <c r="E34" i="26"/>
  <c r="H34" i="26"/>
  <c r="I34" i="26"/>
  <c r="J34" i="26"/>
  <c r="D35" i="26"/>
  <c r="E35" i="26"/>
  <c r="E36" i="26"/>
  <c r="H36" i="26"/>
  <c r="I36" i="26"/>
  <c r="J36" i="26"/>
  <c r="D37" i="26"/>
  <c r="H37" i="26"/>
  <c r="I37" i="26"/>
  <c r="J37" i="26"/>
  <c r="E38" i="26"/>
  <c r="H38" i="26"/>
  <c r="I38" i="26"/>
  <c r="J38" i="26"/>
  <c r="E39" i="26"/>
  <c r="H39" i="26"/>
  <c r="I39" i="26"/>
  <c r="J39" i="26"/>
  <c r="E40" i="26"/>
  <c r="H40" i="26"/>
  <c r="I40" i="26"/>
  <c r="J40" i="26"/>
  <c r="E41" i="26"/>
  <c r="H41" i="26"/>
  <c r="I41" i="26"/>
  <c r="J41" i="26"/>
  <c r="D42" i="26"/>
  <c r="H42" i="26"/>
  <c r="I42" i="26"/>
  <c r="J42" i="26"/>
  <c r="D43" i="26"/>
  <c r="H43" i="26"/>
  <c r="I43" i="26"/>
  <c r="J43" i="26"/>
  <c r="E44" i="26"/>
  <c r="H44" i="26"/>
  <c r="I44" i="26"/>
  <c r="J44" i="26"/>
  <c r="D45" i="26"/>
  <c r="E45" i="26"/>
  <c r="E46" i="26"/>
  <c r="H46" i="26"/>
  <c r="I46" i="26"/>
  <c r="D47" i="26"/>
  <c r="E47" i="26"/>
  <c r="D49" i="26"/>
  <c r="E49" i="26"/>
  <c r="D50" i="26"/>
  <c r="E50" i="26"/>
  <c r="E55" i="26"/>
  <c r="F55" i="26"/>
  <c r="E56" i="26"/>
  <c r="F56" i="26"/>
  <c r="E57" i="26"/>
  <c r="F57" i="26"/>
  <c r="E58" i="26"/>
  <c r="F58" i="26"/>
  <c r="E59" i="26"/>
  <c r="F59" i="26"/>
  <c r="E62" i="26"/>
  <c r="F62" i="26"/>
  <c r="E63" i="26"/>
  <c r="F63" i="26"/>
  <c r="E64" i="26"/>
  <c r="F64" i="26"/>
  <c r="E67" i="26"/>
  <c r="F67" i="26"/>
  <c r="E68" i="26"/>
  <c r="F68" i="26"/>
  <c r="E69" i="26"/>
  <c r="F69" i="26"/>
  <c r="E70" i="26"/>
  <c r="F70" i="26"/>
  <c r="E73" i="26"/>
  <c r="E74" i="26"/>
  <c r="E75" i="26"/>
  <c r="E76" i="26"/>
  <c r="D9" i="28"/>
  <c r="E9" i="28"/>
  <c r="D10" i="28"/>
  <c r="E10" i="28"/>
  <c r="D11" i="28"/>
  <c r="E11" i="28"/>
  <c r="D15" i="28"/>
  <c r="E15" i="28"/>
  <c r="D21" i="28"/>
  <c r="E21" i="28"/>
  <c r="E22" i="28"/>
  <c r="H22" i="28"/>
  <c r="I22" i="28"/>
  <c r="J22" i="28"/>
  <c r="D23" i="28"/>
  <c r="E23" i="28"/>
  <c r="J23" i="28"/>
  <c r="E24" i="28"/>
  <c r="H24" i="28"/>
  <c r="I24" i="28"/>
  <c r="J24" i="28"/>
  <c r="E25" i="28"/>
  <c r="H25" i="28"/>
  <c r="I25" i="28"/>
  <c r="J25" i="28"/>
  <c r="D26" i="28"/>
  <c r="E26" i="28"/>
  <c r="J26" i="28"/>
  <c r="E27" i="28"/>
  <c r="H27" i="28"/>
  <c r="I27" i="28"/>
  <c r="J27" i="28"/>
  <c r="D28" i="28"/>
  <c r="E28" i="28"/>
  <c r="D29" i="28"/>
  <c r="E29" i="28"/>
  <c r="H29" i="28"/>
  <c r="I29" i="28"/>
  <c r="J29" i="28"/>
  <c r="D30" i="28"/>
  <c r="E30" i="28"/>
  <c r="D31" i="28"/>
  <c r="E31" i="28"/>
  <c r="H31" i="28"/>
  <c r="I31" i="28"/>
  <c r="J31" i="28"/>
  <c r="D32" i="28"/>
  <c r="E32" i="28"/>
  <c r="D33" i="28"/>
  <c r="H33" i="28"/>
  <c r="I33" i="28"/>
  <c r="J33" i="28"/>
  <c r="D34" i="28"/>
  <c r="E34" i="28"/>
  <c r="E35" i="28"/>
  <c r="H35" i="28"/>
  <c r="I35" i="28"/>
  <c r="J35" i="28"/>
  <c r="D36" i="28"/>
  <c r="H36" i="28"/>
  <c r="I36" i="28"/>
  <c r="J36" i="28"/>
  <c r="E37" i="28"/>
  <c r="H37" i="28"/>
  <c r="I37" i="28"/>
  <c r="J37" i="28"/>
  <c r="E38" i="28"/>
  <c r="H38" i="28"/>
  <c r="I38" i="28"/>
  <c r="J38" i="28"/>
  <c r="E39" i="28"/>
  <c r="H39" i="28"/>
  <c r="I39" i="28"/>
  <c r="J39" i="28"/>
  <c r="E40" i="28"/>
  <c r="H40" i="28"/>
  <c r="I40" i="28"/>
  <c r="J40" i="28"/>
  <c r="D41" i="28"/>
  <c r="H41" i="28"/>
  <c r="I41" i="28"/>
  <c r="J41" i="28"/>
  <c r="D42" i="28"/>
  <c r="H42" i="28"/>
  <c r="I42" i="28"/>
  <c r="J42" i="28"/>
  <c r="E43" i="28"/>
  <c r="H43" i="28"/>
  <c r="I43" i="28"/>
  <c r="J43" i="28"/>
  <c r="D44" i="28"/>
  <c r="E44" i="28"/>
  <c r="E45" i="28"/>
  <c r="H45" i="28"/>
  <c r="I45" i="28"/>
  <c r="D46" i="28"/>
  <c r="E46" i="28"/>
  <c r="E54" i="28"/>
  <c r="F54" i="28"/>
  <c r="E55" i="28"/>
  <c r="F55" i="28"/>
  <c r="F59" i="28"/>
  <c r="E56" i="28"/>
  <c r="F56" i="28"/>
  <c r="E57" i="28"/>
  <c r="F57" i="28"/>
  <c r="E58" i="28"/>
  <c r="E59" i="28"/>
  <c r="F58" i="28"/>
  <c r="E62" i="28"/>
  <c r="F62" i="28"/>
  <c r="E67" i="28"/>
  <c r="F67" i="28"/>
  <c r="F69" i="28"/>
  <c r="F70" i="28"/>
  <c r="E68" i="28"/>
  <c r="F68" i="28"/>
  <c r="E75" i="28"/>
  <c r="D9" i="29"/>
  <c r="E9" i="29"/>
  <c r="D10" i="29"/>
  <c r="E10" i="29"/>
  <c r="D11" i="29"/>
  <c r="E11" i="29"/>
  <c r="D12" i="29"/>
  <c r="E12" i="29"/>
  <c r="D13" i="29"/>
  <c r="E13" i="29"/>
  <c r="D14" i="29"/>
  <c r="E14" i="29"/>
  <c r="D15" i="29"/>
  <c r="E15" i="29"/>
  <c r="D20" i="29"/>
  <c r="E20" i="29"/>
  <c r="E21" i="29"/>
  <c r="H21" i="29"/>
  <c r="I21" i="29"/>
  <c r="J21" i="29"/>
  <c r="D22" i="29"/>
  <c r="E22" i="29"/>
  <c r="J22" i="29"/>
  <c r="E23" i="29"/>
  <c r="H23" i="29"/>
  <c r="I23" i="29"/>
  <c r="J23" i="29"/>
  <c r="H24" i="29"/>
  <c r="I24" i="29"/>
  <c r="J24" i="29"/>
  <c r="D25" i="29"/>
  <c r="E25" i="29"/>
  <c r="J25" i="29"/>
  <c r="E26" i="29"/>
  <c r="H26" i="29"/>
  <c r="I26" i="29"/>
  <c r="J26" i="29"/>
  <c r="E27" i="29"/>
  <c r="H27" i="29"/>
  <c r="I27" i="29"/>
  <c r="J27" i="29"/>
  <c r="D28" i="29"/>
  <c r="E28" i="29"/>
  <c r="D29" i="29"/>
  <c r="E29" i="29"/>
  <c r="H29" i="29"/>
  <c r="I29" i="29"/>
  <c r="J29" i="29"/>
  <c r="D30" i="29"/>
  <c r="E30" i="29"/>
  <c r="D31" i="29"/>
  <c r="E31" i="29"/>
  <c r="H31" i="29"/>
  <c r="I31" i="29"/>
  <c r="J31" i="29"/>
  <c r="D32" i="29"/>
  <c r="E32" i="29"/>
  <c r="D33" i="29"/>
  <c r="H33" i="29"/>
  <c r="I33" i="29"/>
  <c r="J33" i="29"/>
  <c r="D34" i="29"/>
  <c r="E34" i="29"/>
  <c r="E35" i="29"/>
  <c r="H35" i="29"/>
  <c r="I35" i="29"/>
  <c r="J35" i="29"/>
  <c r="E36" i="29"/>
  <c r="H36" i="29"/>
  <c r="I36" i="29"/>
  <c r="J36" i="29"/>
  <c r="D37" i="29"/>
  <c r="H37" i="29"/>
  <c r="I37" i="29"/>
  <c r="J37" i="29"/>
  <c r="E38" i="29"/>
  <c r="H38" i="29"/>
  <c r="I38" i="29"/>
  <c r="J38" i="29"/>
  <c r="E39" i="29"/>
  <c r="H39" i="29"/>
  <c r="I39" i="29"/>
  <c r="J39" i="29"/>
  <c r="E40" i="29"/>
  <c r="H40" i="29"/>
  <c r="I40" i="29"/>
  <c r="J40" i="29"/>
  <c r="D41" i="29"/>
  <c r="H41" i="29"/>
  <c r="I41" i="29"/>
  <c r="J41" i="29"/>
  <c r="D42" i="29"/>
  <c r="H42" i="29"/>
  <c r="I42" i="29"/>
  <c r="J42" i="29"/>
  <c r="E43" i="29"/>
  <c r="H43" i="29"/>
  <c r="I43" i="29"/>
  <c r="J43" i="29"/>
  <c r="D44" i="29"/>
  <c r="E44" i="29"/>
  <c r="D45" i="29"/>
  <c r="H45" i="29"/>
  <c r="I45" i="29"/>
  <c r="J45" i="29"/>
  <c r="M45" i="29"/>
  <c r="E46" i="29"/>
  <c r="H46" i="29"/>
  <c r="I46" i="29"/>
  <c r="J46" i="29"/>
  <c r="D47" i="29"/>
  <c r="E47" i="29"/>
  <c r="D49" i="29"/>
  <c r="E49" i="29"/>
  <c r="D50" i="29"/>
  <c r="E50" i="29"/>
  <c r="E55" i="29"/>
  <c r="F55" i="29"/>
  <c r="E56" i="29"/>
  <c r="F56" i="29"/>
  <c r="E57" i="29"/>
  <c r="F57" i="29"/>
  <c r="E58" i="29"/>
  <c r="F58" i="29"/>
  <c r="E59" i="29"/>
  <c r="F59" i="29"/>
  <c r="E60" i="29"/>
  <c r="F60" i="29"/>
  <c r="E63" i="29"/>
  <c r="F63" i="29"/>
  <c r="E64" i="29"/>
  <c r="F64" i="29"/>
  <c r="E65" i="29"/>
  <c r="F65" i="29"/>
  <c r="E68" i="29"/>
  <c r="F68" i="29"/>
  <c r="E69" i="29"/>
  <c r="F69" i="29"/>
  <c r="E70" i="29"/>
  <c r="F70" i="29"/>
  <c r="E71" i="29"/>
  <c r="F71" i="29"/>
  <c r="E74" i="29"/>
  <c r="E75" i="29"/>
  <c r="E76" i="29"/>
  <c r="E77" i="29"/>
  <c r="D9" i="30"/>
  <c r="E9" i="30"/>
  <c r="D10" i="30"/>
  <c r="E10" i="30"/>
  <c r="D11" i="30"/>
  <c r="E11" i="30"/>
  <c r="D12" i="30"/>
  <c r="E12" i="30"/>
  <c r="D13" i="30"/>
  <c r="E13" i="30"/>
  <c r="D14" i="30"/>
  <c r="E14" i="30"/>
  <c r="D15" i="30"/>
  <c r="E15" i="30"/>
  <c r="D16" i="30"/>
  <c r="E16" i="30"/>
  <c r="D17" i="30"/>
  <c r="D18" i="30"/>
  <c r="E18" i="30"/>
  <c r="D23" i="30"/>
  <c r="E23" i="30"/>
  <c r="E24" i="30"/>
  <c r="H24" i="30"/>
  <c r="I24" i="30"/>
  <c r="J24" i="30"/>
  <c r="D25" i="30"/>
  <c r="E25" i="30"/>
  <c r="J25" i="30"/>
  <c r="E26" i="30"/>
  <c r="H26" i="30"/>
  <c r="I26" i="30"/>
  <c r="J26" i="30"/>
  <c r="E27" i="30"/>
  <c r="H27" i="30"/>
  <c r="I27" i="30"/>
  <c r="J27" i="30"/>
  <c r="D28" i="30"/>
  <c r="E28" i="30"/>
  <c r="J28" i="30"/>
  <c r="E29" i="30"/>
  <c r="H29" i="30"/>
  <c r="I29" i="30"/>
  <c r="J29" i="30"/>
  <c r="D30" i="30"/>
  <c r="E30" i="30"/>
  <c r="D31" i="30"/>
  <c r="E31" i="30"/>
  <c r="H31" i="30"/>
  <c r="I31" i="30"/>
  <c r="J31" i="30"/>
  <c r="D32" i="30"/>
  <c r="E32" i="30"/>
  <c r="D33" i="30"/>
  <c r="E33" i="30"/>
  <c r="H33" i="30"/>
  <c r="I33" i="30"/>
  <c r="J33" i="30"/>
  <c r="D34" i="30"/>
  <c r="E34" i="30"/>
  <c r="H35" i="30"/>
  <c r="I35" i="30"/>
  <c r="J35" i="30"/>
  <c r="D36" i="30"/>
  <c r="E36" i="30"/>
  <c r="D37" i="30"/>
  <c r="H37" i="30"/>
  <c r="I37" i="30"/>
  <c r="J37" i="30"/>
  <c r="D38" i="30"/>
  <c r="H38" i="30"/>
  <c r="I38" i="30"/>
  <c r="J38" i="30"/>
  <c r="D39" i="30"/>
  <c r="H39" i="30"/>
  <c r="I39" i="30"/>
  <c r="J39" i="30"/>
  <c r="D40" i="30"/>
  <c r="E40" i="30"/>
  <c r="H40" i="30"/>
  <c r="I40" i="30"/>
  <c r="J40" i="30"/>
  <c r="E41" i="30"/>
  <c r="H41" i="30"/>
  <c r="I41" i="30"/>
  <c r="J41" i="30"/>
  <c r="E42" i="30"/>
  <c r="H42" i="30"/>
  <c r="I42" i="30"/>
  <c r="J42" i="30"/>
  <c r="E43" i="30"/>
  <c r="H43" i="30"/>
  <c r="I43" i="30"/>
  <c r="J43" i="30"/>
  <c r="E44" i="30"/>
  <c r="H44" i="30"/>
  <c r="I44" i="30"/>
  <c r="J44" i="30"/>
  <c r="D45" i="30"/>
  <c r="E45" i="30"/>
  <c r="E46" i="30"/>
  <c r="H46" i="30"/>
  <c r="I46" i="30"/>
  <c r="J46" i="30"/>
  <c r="D47" i="30"/>
  <c r="E47" i="30"/>
  <c r="D49" i="30"/>
  <c r="E49" i="30"/>
  <c r="D50" i="30"/>
  <c r="E50" i="30"/>
  <c r="E55" i="30"/>
  <c r="F55" i="30"/>
  <c r="E56" i="30"/>
  <c r="F56" i="30"/>
  <c r="E57" i="30"/>
  <c r="F57" i="30"/>
  <c r="E58" i="30"/>
  <c r="F58" i="30"/>
  <c r="E59" i="30"/>
  <c r="F59" i="30"/>
  <c r="E62" i="30"/>
  <c r="F62" i="30"/>
  <c r="E63" i="30"/>
  <c r="F63" i="30"/>
  <c r="E64" i="30"/>
  <c r="F64" i="30"/>
  <c r="E67" i="30"/>
  <c r="F67" i="30"/>
  <c r="E68" i="30"/>
  <c r="F68" i="30"/>
  <c r="E69" i="30"/>
  <c r="F69" i="30"/>
  <c r="E70" i="30"/>
  <c r="F70" i="30"/>
  <c r="E74" i="30"/>
  <c r="E75" i="30"/>
  <c r="E76" i="30"/>
  <c r="E77" i="30"/>
  <c r="D9" i="31"/>
  <c r="E9" i="31"/>
  <c r="D10" i="31"/>
  <c r="E10" i="31"/>
  <c r="D11" i="31"/>
  <c r="E11" i="31"/>
  <c r="E12" i="31"/>
  <c r="D14" i="31"/>
  <c r="E14" i="31"/>
  <c r="D15" i="31"/>
  <c r="E15" i="31"/>
  <c r="D16" i="31"/>
  <c r="E16" i="31"/>
  <c r="E17" i="31"/>
  <c r="D17" i="31"/>
  <c r="D24" i="31"/>
  <c r="E24" i="31"/>
  <c r="E25" i="31"/>
  <c r="H25" i="31"/>
  <c r="I25" i="31"/>
  <c r="J25" i="31"/>
  <c r="D26" i="31"/>
  <c r="E26" i="31"/>
  <c r="J26" i="31"/>
  <c r="E27" i="31"/>
  <c r="H27" i="31"/>
  <c r="I27" i="31"/>
  <c r="J27" i="31"/>
  <c r="E28" i="31"/>
  <c r="H28" i="31"/>
  <c r="I28" i="31"/>
  <c r="J28" i="31"/>
  <c r="E29" i="31"/>
  <c r="H29" i="31"/>
  <c r="I29" i="31"/>
  <c r="J29" i="31"/>
  <c r="D30" i="31"/>
  <c r="E30" i="31"/>
  <c r="J30" i="31"/>
  <c r="D31" i="31"/>
  <c r="H31" i="31"/>
  <c r="I31" i="31"/>
  <c r="J31" i="31"/>
  <c r="D32" i="31"/>
  <c r="E32" i="31"/>
  <c r="D33" i="31"/>
  <c r="E33" i="31"/>
  <c r="H33" i="31"/>
  <c r="I33" i="31"/>
  <c r="J33" i="31"/>
  <c r="D34" i="31"/>
  <c r="E34" i="31"/>
  <c r="D35" i="31"/>
  <c r="E35" i="31"/>
  <c r="H35" i="31"/>
  <c r="I35" i="31"/>
  <c r="J35" i="31"/>
  <c r="D36" i="31"/>
  <c r="E36" i="31"/>
  <c r="H37" i="31"/>
  <c r="I37" i="31"/>
  <c r="J37" i="31"/>
  <c r="D38" i="31"/>
  <c r="E38" i="31"/>
  <c r="D39" i="31"/>
  <c r="H39" i="31"/>
  <c r="I39" i="31"/>
  <c r="J39" i="31"/>
  <c r="D40" i="31"/>
  <c r="H40" i="31"/>
  <c r="I40" i="31"/>
  <c r="J40" i="31"/>
  <c r="D41" i="31"/>
  <c r="H41" i="31"/>
  <c r="I41" i="31"/>
  <c r="J41" i="31"/>
  <c r="D42" i="31"/>
  <c r="H42" i="31"/>
  <c r="I42" i="31"/>
  <c r="J42" i="31"/>
  <c r="D43" i="31"/>
  <c r="H43" i="31"/>
  <c r="I43" i="31"/>
  <c r="J43" i="31"/>
  <c r="D44" i="31"/>
  <c r="H44" i="31"/>
  <c r="I44" i="31"/>
  <c r="J44" i="31"/>
  <c r="D45" i="31"/>
  <c r="H45" i="31"/>
  <c r="I45" i="31"/>
  <c r="J45" i="31"/>
  <c r="E46" i="31"/>
  <c r="H46" i="31"/>
  <c r="I46" i="31"/>
  <c r="J46" i="31"/>
  <c r="E47" i="31"/>
  <c r="H47" i="31"/>
  <c r="I47" i="31"/>
  <c r="J47" i="31"/>
  <c r="E48" i="31"/>
  <c r="H48" i="31"/>
  <c r="I48" i="31"/>
  <c r="J48" i="31"/>
  <c r="E49" i="31"/>
  <c r="H49" i="31"/>
  <c r="I49" i="31"/>
  <c r="J49" i="31"/>
  <c r="E50" i="31"/>
  <c r="H50" i="31"/>
  <c r="I50" i="31"/>
  <c r="J50" i="31"/>
  <c r="E51" i="31"/>
  <c r="H51" i="31"/>
  <c r="I51" i="31"/>
  <c r="J51" i="31"/>
  <c r="E52" i="31"/>
  <c r="H52" i="31"/>
  <c r="I52" i="31"/>
  <c r="J52" i="31"/>
  <c r="D53" i="31"/>
  <c r="E53" i="31"/>
  <c r="D54" i="31"/>
  <c r="E54" i="31"/>
  <c r="H54" i="31"/>
  <c r="I54" i="31"/>
  <c r="J54" i="31"/>
  <c r="D55" i="31"/>
  <c r="H55" i="31"/>
  <c r="I55" i="31"/>
  <c r="J55" i="31"/>
  <c r="E56" i="31"/>
  <c r="H56" i="31"/>
  <c r="I56" i="31"/>
  <c r="J56" i="31"/>
  <c r="D57" i="31"/>
  <c r="E57" i="31"/>
  <c r="E65" i="31"/>
  <c r="F65" i="31"/>
  <c r="E66" i="31"/>
  <c r="E71" i="31"/>
  <c r="F66" i="31"/>
  <c r="E67" i="31"/>
  <c r="F67" i="31"/>
  <c r="F75" i="31"/>
  <c r="F76" i="31"/>
  <c r="E68" i="31"/>
  <c r="F68" i="31"/>
  <c r="E69" i="31"/>
  <c r="F69" i="31"/>
  <c r="E70" i="31"/>
  <c r="F70" i="31"/>
  <c r="F71" i="31"/>
  <c r="E74" i="31"/>
  <c r="F74" i="31"/>
  <c r="E79" i="31"/>
  <c r="F79" i="31"/>
  <c r="E80" i="31"/>
  <c r="F80" i="31"/>
  <c r="F81" i="31"/>
  <c r="F82" i="31"/>
  <c r="E87" i="31"/>
  <c r="D9" i="32"/>
  <c r="E9" i="32"/>
  <c r="D10" i="32"/>
  <c r="E10" i="32"/>
  <c r="D11" i="32"/>
  <c r="E11" i="32"/>
  <c r="D13" i="32"/>
  <c r="E13" i="32"/>
  <c r="D14" i="32"/>
  <c r="E14" i="32"/>
  <c r="E15" i="32"/>
  <c r="D15" i="32"/>
  <c r="D16" i="32"/>
  <c r="D17" i="32"/>
  <c r="E17" i="32"/>
  <c r="G17" i="32"/>
  <c r="G18" i="32"/>
  <c r="E19" i="32"/>
  <c r="D19" i="32"/>
  <c r="G19" i="32"/>
  <c r="E20" i="32"/>
  <c r="E21" i="32"/>
  <c r="D21" i="32"/>
  <c r="E22" i="32"/>
  <c r="D22" i="32"/>
  <c r="D23" i="32"/>
  <c r="D24" i="32"/>
  <c r="E24" i="32"/>
  <c r="D30" i="32"/>
  <c r="E30" i="32"/>
  <c r="E31" i="32"/>
  <c r="H31" i="32"/>
  <c r="I31" i="32"/>
  <c r="J31" i="32"/>
  <c r="D32" i="32"/>
  <c r="E32" i="32"/>
  <c r="J32" i="32"/>
  <c r="E33" i="32"/>
  <c r="H33" i="32"/>
  <c r="I33" i="32"/>
  <c r="J33" i="32"/>
  <c r="E34" i="32"/>
  <c r="H34" i="32"/>
  <c r="I34" i="32"/>
  <c r="J34" i="32"/>
  <c r="D35" i="32"/>
  <c r="E35" i="32"/>
  <c r="J35" i="32"/>
  <c r="D36" i="32"/>
  <c r="H36" i="32"/>
  <c r="I36" i="32"/>
  <c r="J36" i="32"/>
  <c r="D37" i="32"/>
  <c r="E37" i="32"/>
  <c r="D38" i="32"/>
  <c r="E38" i="32"/>
  <c r="H38" i="32"/>
  <c r="I38" i="32"/>
  <c r="J38" i="32"/>
  <c r="D39" i="32"/>
  <c r="E39" i="32"/>
  <c r="D40" i="32"/>
  <c r="E40" i="32"/>
  <c r="H40" i="32"/>
  <c r="I40" i="32"/>
  <c r="J40" i="32"/>
  <c r="D41" i="32"/>
  <c r="E41" i="32"/>
  <c r="D42" i="32"/>
  <c r="H42" i="32"/>
  <c r="I42" i="32"/>
  <c r="J42" i="32"/>
  <c r="D43" i="32"/>
  <c r="E43" i="32"/>
  <c r="E44" i="32"/>
  <c r="H44" i="32"/>
  <c r="I44" i="32"/>
  <c r="J44" i="32"/>
  <c r="D45" i="32"/>
  <c r="H45" i="32"/>
  <c r="I45" i="32"/>
  <c r="J45" i="32"/>
  <c r="D46" i="32"/>
  <c r="H46" i="32"/>
  <c r="I46" i="32"/>
  <c r="J46" i="32"/>
  <c r="D47" i="32"/>
  <c r="H47" i="32"/>
  <c r="I47" i="32"/>
  <c r="J47" i="32"/>
  <c r="D48" i="32"/>
  <c r="H48" i="32"/>
  <c r="I48" i="32"/>
  <c r="J48" i="32"/>
  <c r="D49" i="32"/>
  <c r="H49" i="32"/>
  <c r="I49" i="32"/>
  <c r="J49" i="32"/>
  <c r="D50" i="32"/>
  <c r="H50" i="32"/>
  <c r="I50" i="32"/>
  <c r="J50" i="32"/>
  <c r="D51" i="32"/>
  <c r="H51" i="32"/>
  <c r="I51" i="32"/>
  <c r="J51" i="32"/>
  <c r="D52" i="32"/>
  <c r="H52" i="32"/>
  <c r="I52" i="32"/>
  <c r="J52" i="32"/>
  <c r="E53" i="32"/>
  <c r="H53" i="32"/>
  <c r="I53" i="32"/>
  <c r="J53" i="32"/>
  <c r="E54" i="32"/>
  <c r="H54" i="32"/>
  <c r="I54" i="32"/>
  <c r="J54" i="32"/>
  <c r="E55" i="32"/>
  <c r="H55" i="32"/>
  <c r="I55" i="32"/>
  <c r="J55" i="32"/>
  <c r="E56" i="32"/>
  <c r="H56" i="32"/>
  <c r="I56" i="32"/>
  <c r="J56" i="32"/>
  <c r="E57" i="32"/>
  <c r="H57" i="32"/>
  <c r="I57" i="32"/>
  <c r="J57" i="32"/>
  <c r="E58" i="32"/>
  <c r="H58" i="32"/>
  <c r="I58" i="32"/>
  <c r="J58" i="32"/>
  <c r="D59" i="32"/>
  <c r="E59" i="32"/>
  <c r="E60" i="32"/>
  <c r="H60" i="32"/>
  <c r="I60" i="32"/>
  <c r="J60" i="32"/>
  <c r="N60" i="32"/>
  <c r="D61" i="32"/>
  <c r="E61" i="32"/>
  <c r="E62" i="32"/>
  <c r="H62" i="32"/>
  <c r="I62" i="32"/>
  <c r="J62" i="32"/>
  <c r="N62" i="32"/>
  <c r="E63" i="32"/>
  <c r="H63" i="32"/>
  <c r="I63" i="32"/>
  <c r="J63" i="32"/>
  <c r="E64" i="32"/>
  <c r="H64" i="32"/>
  <c r="I64" i="32"/>
  <c r="J64" i="32"/>
  <c r="D65" i="32"/>
  <c r="E65" i="32"/>
  <c r="D66" i="32"/>
  <c r="E66" i="32"/>
  <c r="H66" i="32"/>
  <c r="I66" i="32"/>
  <c r="J66" i="32"/>
  <c r="D67" i="32"/>
  <c r="E67" i="32"/>
  <c r="H67" i="32"/>
  <c r="I67" i="32"/>
  <c r="J67" i="32"/>
  <c r="D68" i="32"/>
  <c r="H68" i="32"/>
  <c r="I68" i="32"/>
  <c r="J68" i="32"/>
  <c r="D69" i="32"/>
  <c r="H69" i="32"/>
  <c r="I69" i="32"/>
  <c r="J69" i="32"/>
  <c r="D70" i="32"/>
  <c r="E70" i="32"/>
  <c r="H70" i="32"/>
  <c r="I70" i="32"/>
  <c r="J70" i="32"/>
  <c r="D71" i="32"/>
  <c r="E71" i="32"/>
  <c r="E79" i="32"/>
  <c r="F79" i="32"/>
  <c r="E80" i="32"/>
  <c r="F80" i="32"/>
  <c r="E81" i="32"/>
  <c r="F81" i="32"/>
  <c r="E82" i="32"/>
  <c r="F82" i="32"/>
  <c r="E83" i="32"/>
  <c r="F83" i="32"/>
  <c r="E84" i="32"/>
  <c r="F84" i="32"/>
  <c r="E85" i="32"/>
  <c r="F85" i="32"/>
  <c r="E89" i="32"/>
  <c r="F89" i="32"/>
  <c r="F90" i="32"/>
  <c r="F91" i="32"/>
  <c r="E94" i="32"/>
  <c r="E96" i="32"/>
  <c r="E97" i="32"/>
  <c r="F94" i="32"/>
  <c r="E95" i="32"/>
  <c r="F95" i="32"/>
  <c r="E102" i="32"/>
  <c r="D9" i="33"/>
  <c r="E9" i="33"/>
  <c r="D10" i="33"/>
  <c r="E10" i="33"/>
  <c r="D11" i="33"/>
  <c r="E11" i="33"/>
  <c r="D12" i="33"/>
  <c r="E12" i="33"/>
  <c r="D13" i="33"/>
  <c r="E13" i="33"/>
  <c r="D14" i="33"/>
  <c r="G14" i="33"/>
  <c r="D15" i="33"/>
  <c r="D16" i="33"/>
  <c r="D17" i="33"/>
  <c r="D18" i="33"/>
  <c r="E18" i="33"/>
  <c r="D23" i="33"/>
  <c r="E23" i="33"/>
  <c r="E24" i="33"/>
  <c r="H24" i="33"/>
  <c r="I24" i="33"/>
  <c r="J24" i="33"/>
  <c r="D25" i="33"/>
  <c r="E25" i="33"/>
  <c r="J25" i="33"/>
  <c r="E26" i="33"/>
  <c r="H26" i="33"/>
  <c r="I26" i="33"/>
  <c r="J26" i="33"/>
  <c r="E27" i="33"/>
  <c r="H27" i="33"/>
  <c r="I27" i="33"/>
  <c r="J27" i="33"/>
  <c r="E28" i="33"/>
  <c r="H28" i="33"/>
  <c r="I28" i="33"/>
  <c r="J28" i="33"/>
  <c r="E29" i="33"/>
  <c r="H29" i="33"/>
  <c r="I29" i="33"/>
  <c r="J29" i="33"/>
  <c r="E30" i="33"/>
  <c r="H30" i="33"/>
  <c r="I30" i="33"/>
  <c r="J30" i="33"/>
  <c r="E31" i="33"/>
  <c r="H31" i="33"/>
  <c r="I31" i="33"/>
  <c r="J31" i="33"/>
  <c r="E32" i="33"/>
  <c r="H32" i="33"/>
  <c r="I32" i="33"/>
  <c r="J32" i="33"/>
  <c r="E33" i="33"/>
  <c r="H33" i="33"/>
  <c r="I33" i="33"/>
  <c r="J33" i="33"/>
  <c r="D34" i="33"/>
  <c r="E34" i="33"/>
  <c r="J34" i="33"/>
  <c r="E35" i="33"/>
  <c r="H35" i="33"/>
  <c r="I35" i="33"/>
  <c r="J35" i="33"/>
  <c r="D36" i="33"/>
  <c r="H36" i="33"/>
  <c r="I36" i="33"/>
  <c r="J36" i="33"/>
  <c r="D37" i="33"/>
  <c r="E37" i="33"/>
  <c r="D38" i="33"/>
  <c r="E38" i="33"/>
  <c r="H38" i="33"/>
  <c r="I38" i="33"/>
  <c r="J38" i="33"/>
  <c r="E39" i="33"/>
  <c r="H39" i="33"/>
  <c r="I39" i="33"/>
  <c r="J39" i="33"/>
  <c r="E40" i="33"/>
  <c r="H40" i="33"/>
  <c r="I40" i="33"/>
  <c r="J40" i="33"/>
  <c r="E41" i="33"/>
  <c r="H41" i="33"/>
  <c r="I41" i="33"/>
  <c r="J41" i="33"/>
  <c r="D42" i="33"/>
  <c r="E42" i="33"/>
  <c r="D43" i="33"/>
  <c r="E43" i="33"/>
  <c r="H43" i="33"/>
  <c r="I43" i="33"/>
  <c r="J43" i="33"/>
  <c r="D44" i="33"/>
  <c r="E44" i="33"/>
  <c r="E45" i="33"/>
  <c r="H45" i="33"/>
  <c r="I45" i="33"/>
  <c r="J45" i="33"/>
  <c r="D46" i="33"/>
  <c r="E46" i="33"/>
  <c r="D47" i="33"/>
  <c r="H47" i="33"/>
  <c r="I47" i="33"/>
  <c r="J47" i="33"/>
  <c r="D48" i="33"/>
  <c r="H48" i="33"/>
  <c r="I48" i="33"/>
  <c r="J48" i="33"/>
  <c r="D49" i="33"/>
  <c r="H49" i="33"/>
  <c r="I49" i="33"/>
  <c r="J49" i="33"/>
  <c r="D50" i="33"/>
  <c r="H50" i="33"/>
  <c r="I50" i="33"/>
  <c r="J50" i="33"/>
  <c r="D51" i="33"/>
  <c r="H51" i="33"/>
  <c r="I51" i="33"/>
  <c r="J51" i="33"/>
  <c r="D52" i="33"/>
  <c r="H52" i="33"/>
  <c r="I52" i="33"/>
  <c r="J52" i="33"/>
  <c r="D53" i="33"/>
  <c r="H53" i="33"/>
  <c r="I53" i="33"/>
  <c r="J53" i="33"/>
  <c r="E54" i="33"/>
  <c r="H54" i="33"/>
  <c r="I54" i="33"/>
  <c r="J54" i="33"/>
  <c r="E55" i="33"/>
  <c r="H55" i="33"/>
  <c r="I55" i="33"/>
  <c r="J55" i="33"/>
  <c r="E56" i="33"/>
  <c r="H56" i="33"/>
  <c r="I56" i="33"/>
  <c r="J56" i="33"/>
  <c r="E57" i="33"/>
  <c r="H57" i="33"/>
  <c r="I57" i="33"/>
  <c r="J57" i="33"/>
  <c r="E58" i="33"/>
  <c r="H58" i="33"/>
  <c r="I58" i="33"/>
  <c r="J58" i="33"/>
  <c r="E59" i="33"/>
  <c r="H59" i="33"/>
  <c r="I59" i="33"/>
  <c r="J59" i="33"/>
  <c r="E60" i="33"/>
  <c r="H60" i="33"/>
  <c r="I60" i="33"/>
  <c r="J60" i="33"/>
  <c r="D61" i="33"/>
  <c r="E61" i="33"/>
  <c r="H62" i="33"/>
  <c r="I62" i="33"/>
  <c r="J62" i="33"/>
  <c r="D63" i="33"/>
  <c r="E63" i="33"/>
  <c r="D64" i="33"/>
  <c r="H64" i="33"/>
  <c r="I64" i="33"/>
  <c r="J64" i="33"/>
  <c r="D65" i="33"/>
  <c r="E65" i="33"/>
  <c r="D66" i="33"/>
  <c r="E66" i="33"/>
  <c r="H66" i="33"/>
  <c r="I66" i="33"/>
  <c r="J66" i="33"/>
  <c r="D67" i="33"/>
  <c r="E67" i="33"/>
  <c r="H67" i="33"/>
  <c r="I67" i="33"/>
  <c r="J67" i="33"/>
  <c r="E68" i="33"/>
  <c r="H68" i="33"/>
  <c r="I68" i="33"/>
  <c r="J68" i="33"/>
  <c r="D69" i="33"/>
  <c r="E69" i="33"/>
  <c r="D71" i="33"/>
  <c r="E71" i="33"/>
  <c r="D72" i="33"/>
  <c r="E72" i="33"/>
  <c r="E77" i="33"/>
  <c r="F77" i="33"/>
  <c r="E78" i="33"/>
  <c r="F78" i="33"/>
  <c r="E79" i="33"/>
  <c r="F79" i="33"/>
  <c r="E80" i="33"/>
  <c r="F80" i="33"/>
  <c r="E81" i="33"/>
  <c r="F81" i="33"/>
  <c r="E82" i="33"/>
  <c r="F82" i="33"/>
  <c r="E83" i="33"/>
  <c r="F83" i="33"/>
  <c r="E84" i="33"/>
  <c r="F84" i="33"/>
  <c r="E85" i="33"/>
  <c r="F85" i="33"/>
  <c r="E86" i="33"/>
  <c r="F86" i="33"/>
  <c r="E90" i="33"/>
  <c r="F90" i="33"/>
  <c r="E91" i="33"/>
  <c r="F91" i="33"/>
  <c r="E92" i="33"/>
  <c r="F92" i="33"/>
  <c r="E95" i="33"/>
  <c r="F95" i="33"/>
  <c r="E96" i="33"/>
  <c r="F96" i="33"/>
  <c r="E97" i="33"/>
  <c r="F97" i="33"/>
  <c r="E98" i="33"/>
  <c r="F98" i="33"/>
  <c r="E102" i="33"/>
  <c r="E103" i="33"/>
  <c r="E104" i="33"/>
  <c r="E105" i="33"/>
  <c r="D9" i="34"/>
  <c r="E9" i="34"/>
  <c r="D10" i="34"/>
  <c r="E10" i="34"/>
  <c r="D11" i="34"/>
  <c r="E11" i="34"/>
  <c r="D12" i="34"/>
  <c r="E12" i="34"/>
  <c r="D13" i="34"/>
  <c r="E13" i="34"/>
  <c r="D14" i="34"/>
  <c r="D15" i="34"/>
  <c r="G15" i="34"/>
  <c r="D16" i="34"/>
  <c r="D17" i="34"/>
  <c r="G17" i="34"/>
  <c r="D18" i="34"/>
  <c r="D19" i="34"/>
  <c r="E19" i="34"/>
  <c r="G19" i="34"/>
  <c r="D24" i="34"/>
  <c r="E24" i="34"/>
  <c r="E25" i="34"/>
  <c r="H25" i="34"/>
  <c r="I25" i="34"/>
  <c r="J25" i="34"/>
  <c r="D26" i="34"/>
  <c r="E26" i="34"/>
  <c r="J26" i="34"/>
  <c r="E27" i="34"/>
  <c r="H27" i="34"/>
  <c r="I27" i="34"/>
  <c r="J27" i="34"/>
  <c r="E28" i="34"/>
  <c r="H28" i="34"/>
  <c r="I28" i="34"/>
  <c r="J28" i="34"/>
  <c r="D29" i="34"/>
  <c r="E29" i="34"/>
  <c r="J29" i="34"/>
  <c r="E30" i="34"/>
  <c r="H30" i="34"/>
  <c r="I30" i="34"/>
  <c r="J30" i="34"/>
  <c r="D31" i="34"/>
  <c r="H31" i="34"/>
  <c r="I31" i="34"/>
  <c r="J31" i="34"/>
  <c r="D32" i="34"/>
  <c r="E32" i="34"/>
  <c r="D33" i="34"/>
  <c r="E33" i="34"/>
  <c r="H33" i="34"/>
  <c r="I33" i="34"/>
  <c r="J33" i="34"/>
  <c r="E34" i="34"/>
  <c r="H34" i="34"/>
  <c r="I34" i="34"/>
  <c r="J34" i="34"/>
  <c r="D35" i="34"/>
  <c r="E35" i="34"/>
  <c r="D36" i="34"/>
  <c r="E36" i="34"/>
  <c r="H36" i="34"/>
  <c r="I36" i="34"/>
  <c r="J36" i="34"/>
  <c r="D37" i="34"/>
  <c r="E37" i="34"/>
  <c r="D38" i="34"/>
  <c r="H38" i="34"/>
  <c r="I38" i="34"/>
  <c r="J38" i="34"/>
  <c r="D39" i="34"/>
  <c r="E39" i="34"/>
  <c r="D40" i="34"/>
  <c r="H40" i="34"/>
  <c r="I40" i="34"/>
  <c r="J40" i="34"/>
  <c r="D41" i="34"/>
  <c r="H41" i="34"/>
  <c r="I41" i="34"/>
  <c r="J41" i="34"/>
  <c r="D42" i="34"/>
  <c r="H42" i="34"/>
  <c r="I42" i="34"/>
  <c r="J42" i="34"/>
  <c r="D43" i="34"/>
  <c r="H43" i="34"/>
  <c r="I43" i="34"/>
  <c r="J43" i="34"/>
  <c r="D44" i="34"/>
  <c r="H44" i="34"/>
  <c r="I44" i="34"/>
  <c r="J44" i="34"/>
  <c r="D45" i="34"/>
  <c r="H45" i="34"/>
  <c r="I45" i="34"/>
  <c r="J45" i="34"/>
  <c r="D46" i="34"/>
  <c r="H46" i="34"/>
  <c r="I46" i="34"/>
  <c r="J46" i="34"/>
  <c r="E47" i="34"/>
  <c r="H47" i="34"/>
  <c r="I47" i="34"/>
  <c r="J47" i="34"/>
  <c r="E48" i="34"/>
  <c r="H48" i="34"/>
  <c r="I48" i="34"/>
  <c r="J48" i="34"/>
  <c r="E49" i="34"/>
  <c r="H49" i="34"/>
  <c r="I49" i="34"/>
  <c r="J49" i="34"/>
  <c r="M49" i="34"/>
  <c r="E50" i="34"/>
  <c r="H50" i="34"/>
  <c r="I50" i="34"/>
  <c r="J50" i="34"/>
  <c r="M50" i="34"/>
  <c r="E51" i="34"/>
  <c r="H51" i="34"/>
  <c r="I51" i="34"/>
  <c r="J51" i="34"/>
  <c r="E52" i="34"/>
  <c r="H52" i="34"/>
  <c r="I52" i="34"/>
  <c r="J52" i="34"/>
  <c r="E53" i="34"/>
  <c r="H53" i="34"/>
  <c r="I53" i="34"/>
  <c r="J53" i="34"/>
  <c r="D54" i="34"/>
  <c r="E54" i="34"/>
  <c r="D55" i="34"/>
  <c r="H55" i="34"/>
  <c r="I55" i="34"/>
  <c r="J55" i="34"/>
  <c r="E56" i="34"/>
  <c r="H56" i="34"/>
  <c r="I56" i="34"/>
  <c r="J56" i="34"/>
  <c r="D57" i="34"/>
  <c r="E57" i="34"/>
  <c r="E58" i="34"/>
  <c r="H58" i="34"/>
  <c r="I58" i="34"/>
  <c r="J58" i="34"/>
  <c r="D59" i="34"/>
  <c r="E59" i="34"/>
  <c r="D60" i="34"/>
  <c r="H60" i="34"/>
  <c r="I60" i="34"/>
  <c r="J60" i="34"/>
  <c r="D61" i="34"/>
  <c r="H61" i="34"/>
  <c r="I61" i="34"/>
  <c r="J61" i="34"/>
  <c r="D62" i="34"/>
  <c r="E62" i="34"/>
  <c r="D64" i="34"/>
  <c r="E64" i="34"/>
  <c r="D65" i="34"/>
  <c r="E65" i="34"/>
  <c r="E70" i="34"/>
  <c r="F70" i="34"/>
  <c r="E71" i="34"/>
  <c r="F71" i="34"/>
  <c r="E72" i="34"/>
  <c r="F72" i="34"/>
  <c r="E73" i="34"/>
  <c r="F73" i="34"/>
  <c r="E74" i="34"/>
  <c r="F74" i="34"/>
  <c r="E75" i="34"/>
  <c r="F75" i="34"/>
  <c r="E76" i="34"/>
  <c r="F76" i="34"/>
  <c r="E80" i="34"/>
  <c r="F80" i="34"/>
  <c r="E81" i="34"/>
  <c r="F81" i="34"/>
  <c r="E82" i="34"/>
  <c r="F82" i="34"/>
  <c r="E85" i="34"/>
  <c r="F85" i="34"/>
  <c r="E86" i="34"/>
  <c r="F86" i="34"/>
  <c r="E87" i="34"/>
  <c r="F87" i="34"/>
  <c r="E88" i="34"/>
  <c r="F88" i="34"/>
  <c r="E91" i="34"/>
  <c r="E93" i="34"/>
  <c r="E94" i="34"/>
  <c r="D9" i="35"/>
  <c r="E9" i="35"/>
  <c r="D10" i="35"/>
  <c r="E10" i="35"/>
  <c r="D11" i="35"/>
  <c r="E11" i="35"/>
  <c r="D12" i="35"/>
  <c r="D13" i="35"/>
  <c r="E13" i="35"/>
  <c r="D14" i="35"/>
  <c r="E14" i="35"/>
  <c r="D15" i="35"/>
  <c r="D16" i="35"/>
  <c r="D17" i="35"/>
  <c r="D18" i="35"/>
  <c r="E18" i="35"/>
  <c r="D19" i="35"/>
  <c r="D20" i="35"/>
  <c r="E20" i="35"/>
  <c r="D21" i="35"/>
  <c r="E21" i="35"/>
  <c r="G21" i="35"/>
  <c r="D26" i="35"/>
  <c r="E26" i="35"/>
  <c r="D27" i="35"/>
  <c r="E27" i="35"/>
  <c r="H27" i="35"/>
  <c r="I27" i="35"/>
  <c r="J27" i="35"/>
  <c r="D28" i="35"/>
  <c r="E28" i="35"/>
  <c r="J28" i="35"/>
  <c r="E29" i="35"/>
  <c r="H29" i="35"/>
  <c r="I29" i="35"/>
  <c r="J29" i="35"/>
  <c r="H30" i="35"/>
  <c r="I30" i="35"/>
  <c r="J30" i="35"/>
  <c r="D31" i="35"/>
  <c r="E31" i="35"/>
  <c r="J31" i="35"/>
  <c r="D32" i="35"/>
  <c r="H32" i="35"/>
  <c r="I32" i="35"/>
  <c r="J32" i="35"/>
  <c r="D33" i="35"/>
  <c r="E33" i="35"/>
  <c r="D34" i="35"/>
  <c r="E34" i="35"/>
  <c r="H34" i="35"/>
  <c r="I34" i="35"/>
  <c r="J34" i="35"/>
  <c r="E35" i="35"/>
  <c r="H35" i="35"/>
  <c r="I35" i="35"/>
  <c r="J35" i="35"/>
  <c r="D36" i="35"/>
  <c r="E36" i="35"/>
  <c r="D37" i="35"/>
  <c r="H37" i="35"/>
  <c r="I37" i="35"/>
  <c r="J37" i="35"/>
  <c r="E38" i="35"/>
  <c r="H38" i="35"/>
  <c r="I38" i="35"/>
  <c r="J38" i="35"/>
  <c r="D39" i="35"/>
  <c r="E39" i="35"/>
  <c r="D40" i="35"/>
  <c r="H40" i="35"/>
  <c r="I40" i="35"/>
  <c r="J40" i="35"/>
  <c r="D41" i="35"/>
  <c r="E41" i="35"/>
  <c r="H41" i="35"/>
  <c r="I41" i="35"/>
  <c r="J41" i="35"/>
  <c r="D42" i="35"/>
  <c r="E42" i="35"/>
  <c r="D43" i="35"/>
  <c r="H43" i="35"/>
  <c r="I43" i="35"/>
  <c r="J43" i="35"/>
  <c r="P43" i="35"/>
  <c r="D44" i="35"/>
  <c r="H44" i="35"/>
  <c r="I44" i="35"/>
  <c r="J44" i="35"/>
  <c r="P44" i="35"/>
  <c r="D45" i="35"/>
  <c r="H45" i="35"/>
  <c r="I45" i="35"/>
  <c r="J45" i="35"/>
  <c r="P45" i="35"/>
  <c r="D46" i="35"/>
  <c r="H46" i="35"/>
  <c r="I46" i="35"/>
  <c r="P46" i="35"/>
  <c r="D47" i="35"/>
  <c r="H47" i="35"/>
  <c r="I47" i="35"/>
  <c r="J47" i="35"/>
  <c r="P47" i="35"/>
  <c r="D48" i="35"/>
  <c r="H48" i="35"/>
  <c r="I48" i="35"/>
  <c r="P48" i="35"/>
  <c r="D49" i="35"/>
  <c r="H49" i="35"/>
  <c r="I49" i="35"/>
  <c r="J49" i="35"/>
  <c r="P49" i="35"/>
  <c r="E50" i="35"/>
  <c r="H50" i="35"/>
  <c r="I50" i="35"/>
  <c r="J50" i="35"/>
  <c r="P50" i="35"/>
  <c r="Q50" i="35"/>
  <c r="E51" i="35"/>
  <c r="H51" i="35"/>
  <c r="I51" i="35"/>
  <c r="J51" i="35"/>
  <c r="P51" i="35"/>
  <c r="Q51" i="35"/>
  <c r="E52" i="35"/>
  <c r="H52" i="35"/>
  <c r="I52" i="35"/>
  <c r="J52" i="35"/>
  <c r="P52" i="35"/>
  <c r="Q52" i="35"/>
  <c r="E53" i="35"/>
  <c r="H53" i="35"/>
  <c r="I53" i="35"/>
  <c r="J53" i="35"/>
  <c r="P53" i="35"/>
  <c r="Q53" i="35"/>
  <c r="E54" i="35"/>
  <c r="H54" i="35"/>
  <c r="I54" i="35"/>
  <c r="P54" i="35"/>
  <c r="Q54" i="35"/>
  <c r="E55" i="35"/>
  <c r="H55" i="35"/>
  <c r="I55" i="35"/>
  <c r="P55" i="35"/>
  <c r="Q55" i="35"/>
  <c r="S55" i="35"/>
  <c r="D56" i="35"/>
  <c r="E56" i="35"/>
  <c r="D57" i="35"/>
  <c r="H57" i="35"/>
  <c r="I57" i="35"/>
  <c r="J57" i="35"/>
  <c r="E58" i="35"/>
  <c r="H58" i="35"/>
  <c r="I58" i="35"/>
  <c r="J58" i="35"/>
  <c r="D59" i="35"/>
  <c r="E59" i="35"/>
  <c r="E60" i="35"/>
  <c r="H60" i="35"/>
  <c r="I60" i="35"/>
  <c r="J60" i="35"/>
  <c r="D61" i="35"/>
  <c r="E61" i="35"/>
  <c r="D62" i="35"/>
  <c r="H62" i="35"/>
  <c r="I62" i="35"/>
  <c r="J62" i="35"/>
  <c r="E63" i="35"/>
  <c r="H63" i="35"/>
  <c r="I63" i="35"/>
  <c r="J63" i="35"/>
  <c r="D64" i="35"/>
  <c r="E64" i="35"/>
  <c r="H64" i="35"/>
  <c r="I64" i="35"/>
  <c r="J64" i="35"/>
  <c r="D65" i="35"/>
  <c r="E65" i="35"/>
  <c r="D67" i="35"/>
  <c r="E67" i="35"/>
  <c r="D68" i="35"/>
  <c r="E68" i="35"/>
  <c r="E73" i="35"/>
  <c r="F73" i="35"/>
  <c r="E74" i="35"/>
  <c r="F74" i="35"/>
  <c r="E75" i="35"/>
  <c r="F75" i="35"/>
  <c r="E76" i="35"/>
  <c r="F76" i="35"/>
  <c r="E77" i="35"/>
  <c r="F77" i="35"/>
  <c r="E78" i="35"/>
  <c r="F78" i="35"/>
  <c r="E79" i="35"/>
  <c r="F79" i="35"/>
  <c r="E80" i="35"/>
  <c r="F80" i="35"/>
  <c r="E81" i="35"/>
  <c r="F81" i="35"/>
  <c r="E85" i="35"/>
  <c r="F85" i="35"/>
  <c r="E86" i="35"/>
  <c r="F86" i="35"/>
  <c r="E87" i="35"/>
  <c r="F87" i="35"/>
  <c r="E90" i="35"/>
  <c r="F90" i="35"/>
  <c r="E91" i="35"/>
  <c r="F91" i="35"/>
  <c r="E92" i="35"/>
  <c r="F92" i="35"/>
  <c r="E93" i="35"/>
  <c r="F93" i="35"/>
  <c r="D9" i="37"/>
  <c r="E9" i="37"/>
  <c r="D10" i="37"/>
  <c r="E10" i="37"/>
  <c r="D11" i="37"/>
  <c r="E11" i="37"/>
  <c r="D12" i="37"/>
  <c r="E12" i="37"/>
  <c r="D13" i="37"/>
  <c r="E13" i="37"/>
  <c r="D14" i="37"/>
  <c r="D15" i="37"/>
  <c r="D16" i="37"/>
  <c r="D17" i="37"/>
  <c r="D18" i="37"/>
  <c r="D19" i="37"/>
  <c r="E19" i="37"/>
  <c r="D20" i="37"/>
  <c r="E20" i="37"/>
  <c r="G20" i="37"/>
  <c r="D25" i="37"/>
  <c r="E25" i="37"/>
  <c r="E26" i="37"/>
  <c r="H26" i="37"/>
  <c r="I26" i="37"/>
  <c r="J26" i="37"/>
  <c r="D27" i="37"/>
  <c r="E27" i="37"/>
  <c r="J27" i="37"/>
  <c r="E28" i="37"/>
  <c r="H28" i="37"/>
  <c r="I28" i="37"/>
  <c r="J28" i="37"/>
  <c r="H29" i="37"/>
  <c r="I29" i="37"/>
  <c r="J29" i="37"/>
  <c r="D30" i="37"/>
  <c r="E30" i="37"/>
  <c r="J30" i="37"/>
  <c r="D31" i="37"/>
  <c r="H31" i="37"/>
  <c r="I31" i="37"/>
  <c r="J31" i="37"/>
  <c r="E32" i="37"/>
  <c r="H32" i="37"/>
  <c r="I32" i="37"/>
  <c r="J32" i="37"/>
  <c r="D33" i="37"/>
  <c r="E33" i="37"/>
  <c r="E34" i="37"/>
  <c r="H34" i="37"/>
  <c r="I34" i="37"/>
  <c r="J34" i="37"/>
  <c r="D35" i="37"/>
  <c r="E35" i="37"/>
  <c r="H35" i="37"/>
  <c r="I35" i="37"/>
  <c r="J35" i="37"/>
  <c r="E36" i="37"/>
  <c r="H36" i="37"/>
  <c r="I36" i="37"/>
  <c r="J36" i="37"/>
  <c r="D37" i="37"/>
  <c r="E37" i="37"/>
  <c r="D38" i="37"/>
  <c r="H38" i="37"/>
  <c r="I38" i="37"/>
  <c r="J38" i="37"/>
  <c r="D39" i="37"/>
  <c r="E39" i="37"/>
  <c r="D40" i="37"/>
  <c r="H40" i="37"/>
  <c r="I40" i="37"/>
  <c r="J40" i="37"/>
  <c r="D41" i="37"/>
  <c r="H41" i="37"/>
  <c r="I41" i="37"/>
  <c r="J41" i="37"/>
  <c r="D42" i="37"/>
  <c r="H42" i="37"/>
  <c r="I42" i="37"/>
  <c r="J42" i="37"/>
  <c r="D43" i="37"/>
  <c r="E43" i="37"/>
  <c r="H43" i="37"/>
  <c r="I43" i="37"/>
  <c r="J43" i="37"/>
  <c r="D44" i="37"/>
  <c r="E44" i="37"/>
  <c r="D45" i="37"/>
  <c r="H45" i="37"/>
  <c r="I45" i="37"/>
  <c r="J45" i="37"/>
  <c r="D46" i="37"/>
  <c r="H46" i="37"/>
  <c r="I46" i="37"/>
  <c r="J46" i="37"/>
  <c r="D47" i="37"/>
  <c r="H47" i="37"/>
  <c r="I47" i="37"/>
  <c r="J47" i="37"/>
  <c r="D48" i="37"/>
  <c r="H48" i="37"/>
  <c r="I48" i="37"/>
  <c r="J48" i="37"/>
  <c r="D49" i="37"/>
  <c r="H49" i="37"/>
  <c r="I49" i="37"/>
  <c r="J49" i="37"/>
  <c r="D50" i="37"/>
  <c r="H50" i="37"/>
  <c r="I50" i="37"/>
  <c r="J50" i="37"/>
  <c r="D51" i="37"/>
  <c r="H51" i="37"/>
  <c r="I51" i="37"/>
  <c r="J51" i="37"/>
  <c r="E52" i="37"/>
  <c r="H52" i="37"/>
  <c r="I52" i="37"/>
  <c r="J52" i="37"/>
  <c r="E53" i="37"/>
  <c r="H53" i="37"/>
  <c r="I53" i="37"/>
  <c r="J53" i="37"/>
  <c r="E54" i="37"/>
  <c r="H54" i="37"/>
  <c r="I54" i="37"/>
  <c r="J54" i="37"/>
  <c r="E55" i="37"/>
  <c r="H55" i="37"/>
  <c r="I55" i="37"/>
  <c r="J55" i="37"/>
  <c r="E56" i="37"/>
  <c r="H56" i="37"/>
  <c r="I56" i="37"/>
  <c r="J56" i="37"/>
  <c r="E57" i="37"/>
  <c r="H57" i="37"/>
  <c r="I57" i="37"/>
  <c r="J57" i="37"/>
  <c r="D58" i="37"/>
  <c r="E58" i="37"/>
  <c r="D59" i="37"/>
  <c r="H59" i="37"/>
  <c r="I59" i="37"/>
  <c r="J59" i="37"/>
  <c r="D60" i="37"/>
  <c r="H60" i="37"/>
  <c r="I60" i="37"/>
  <c r="J60" i="37"/>
  <c r="D61" i="37"/>
  <c r="H61" i="37"/>
  <c r="I61" i="37"/>
  <c r="J61" i="37"/>
  <c r="D62" i="37"/>
  <c r="H62" i="37"/>
  <c r="I62" i="37"/>
  <c r="J62" i="37"/>
  <c r="D63" i="37"/>
  <c r="H63" i="37"/>
  <c r="I63" i="37"/>
  <c r="J63" i="37"/>
  <c r="D64" i="37"/>
  <c r="H64" i="37"/>
  <c r="I64" i="37"/>
  <c r="J64" i="37"/>
  <c r="D65" i="37"/>
  <c r="H65" i="37"/>
  <c r="I65" i="37"/>
  <c r="J65" i="37"/>
  <c r="E66" i="37"/>
  <c r="H66" i="37"/>
  <c r="I66" i="37"/>
  <c r="J66" i="37"/>
  <c r="E67" i="37"/>
  <c r="H67" i="37"/>
  <c r="I67" i="37"/>
  <c r="J67" i="37"/>
  <c r="E68" i="37"/>
  <c r="H68" i="37"/>
  <c r="I68" i="37"/>
  <c r="J68" i="37"/>
  <c r="E69" i="37"/>
  <c r="H69" i="37"/>
  <c r="I69" i="37"/>
  <c r="J69" i="37"/>
  <c r="E70" i="37"/>
  <c r="H70" i="37"/>
  <c r="I70" i="37"/>
  <c r="J70" i="37"/>
  <c r="E71" i="37"/>
  <c r="H71" i="37"/>
  <c r="I71" i="37"/>
  <c r="J71" i="37"/>
  <c r="D72" i="37"/>
  <c r="E72" i="37"/>
  <c r="D73" i="37"/>
  <c r="H73" i="37"/>
  <c r="I73" i="37"/>
  <c r="J73" i="37"/>
  <c r="E74" i="37"/>
  <c r="H74" i="37"/>
  <c r="I74" i="37"/>
  <c r="J74" i="37"/>
  <c r="E75" i="37"/>
  <c r="H75" i="37"/>
  <c r="I75" i="37"/>
  <c r="J75" i="37"/>
  <c r="D76" i="37"/>
  <c r="E76" i="37"/>
  <c r="E77" i="37"/>
  <c r="H77" i="37"/>
  <c r="I77" i="37"/>
  <c r="J77" i="37"/>
  <c r="D78" i="37"/>
  <c r="E78" i="37"/>
  <c r="D79" i="37"/>
  <c r="H79" i="37"/>
  <c r="I79" i="37"/>
  <c r="J79" i="37"/>
  <c r="E80" i="37"/>
  <c r="H80" i="37"/>
  <c r="I80" i="37"/>
  <c r="J80" i="37"/>
  <c r="D81" i="37"/>
  <c r="H81" i="37"/>
  <c r="I81" i="37"/>
  <c r="J81" i="37"/>
  <c r="D82" i="37"/>
  <c r="H82" i="37"/>
  <c r="I82" i="37"/>
  <c r="J82" i="37"/>
  <c r="D83" i="37"/>
  <c r="H83" i="37"/>
  <c r="I83" i="37"/>
  <c r="J83" i="37"/>
  <c r="D84" i="37"/>
  <c r="E84" i="37"/>
  <c r="D86" i="37"/>
  <c r="E86" i="37"/>
  <c r="D87" i="37"/>
  <c r="E87" i="37"/>
  <c r="E92" i="37"/>
  <c r="F92" i="37"/>
  <c r="E93" i="37"/>
  <c r="F93" i="37"/>
  <c r="E94" i="37"/>
  <c r="F94" i="37"/>
  <c r="E95" i="37"/>
  <c r="F95" i="37"/>
  <c r="E96" i="37"/>
  <c r="F96" i="37"/>
  <c r="E97" i="37"/>
  <c r="F97" i="37"/>
  <c r="E98" i="37"/>
  <c r="F98" i="37"/>
  <c r="E99" i="37"/>
  <c r="F99" i="37"/>
  <c r="E100" i="37"/>
  <c r="F100" i="37"/>
  <c r="E101" i="37"/>
  <c r="F101" i="37"/>
  <c r="E102" i="37"/>
  <c r="F102" i="37"/>
  <c r="E103" i="37"/>
  <c r="F103" i="37"/>
  <c r="E104" i="37"/>
  <c r="F104" i="37"/>
  <c r="E105" i="37"/>
  <c r="F105" i="37"/>
  <c r="E109" i="37"/>
  <c r="F109" i="37"/>
  <c r="E110" i="37"/>
  <c r="F110" i="37"/>
  <c r="E111" i="37"/>
  <c r="F111" i="37"/>
  <c r="E114" i="37"/>
  <c r="F114" i="37"/>
  <c r="E115" i="37"/>
  <c r="F115" i="37"/>
  <c r="E116" i="37"/>
  <c r="F116" i="37"/>
  <c r="E117" i="37"/>
  <c r="F117" i="37"/>
  <c r="E121" i="37"/>
  <c r="E122" i="37"/>
  <c r="E123" i="37"/>
  <c r="E124" i="37"/>
  <c r="D9" i="38"/>
  <c r="E9" i="38"/>
  <c r="D10" i="38"/>
  <c r="E10" i="38"/>
  <c r="D11" i="38"/>
  <c r="E11" i="38"/>
  <c r="D12" i="38"/>
  <c r="E12" i="38"/>
  <c r="D13" i="38"/>
  <c r="E13" i="38"/>
  <c r="D14" i="38"/>
  <c r="E14" i="38"/>
  <c r="D15" i="38"/>
  <c r="F15" i="38"/>
  <c r="D16" i="38"/>
  <c r="D17" i="38"/>
  <c r="D18" i="38"/>
  <c r="D19" i="38"/>
  <c r="D21" i="38"/>
  <c r="F21" i="38"/>
  <c r="D22" i="38"/>
  <c r="E22" i="38"/>
  <c r="G22" i="38"/>
  <c r="D27" i="38"/>
  <c r="E27" i="38"/>
  <c r="E28" i="38"/>
  <c r="H28" i="38"/>
  <c r="I28" i="38"/>
  <c r="J28" i="38"/>
  <c r="D29" i="38"/>
  <c r="E29" i="38"/>
  <c r="J29" i="38"/>
  <c r="E30" i="38"/>
  <c r="H30" i="38"/>
  <c r="I30" i="38"/>
  <c r="J30" i="38"/>
  <c r="E31" i="38"/>
  <c r="H31" i="38"/>
  <c r="I31" i="38"/>
  <c r="J31" i="38"/>
  <c r="E32" i="38"/>
  <c r="H32" i="38"/>
  <c r="I32" i="38"/>
  <c r="J32" i="38"/>
  <c r="E33" i="38"/>
  <c r="H33" i="38"/>
  <c r="I33" i="38"/>
  <c r="J33" i="38"/>
  <c r="D34" i="38"/>
  <c r="E34" i="38"/>
  <c r="J34" i="38"/>
  <c r="D35" i="38"/>
  <c r="H35" i="38"/>
  <c r="I35" i="38"/>
  <c r="J35" i="38"/>
  <c r="D36" i="38"/>
  <c r="E36" i="38"/>
  <c r="E37" i="38"/>
  <c r="H37" i="38"/>
  <c r="I37" i="38"/>
  <c r="J37" i="38"/>
  <c r="E38" i="38"/>
  <c r="H38" i="38"/>
  <c r="I38" i="38"/>
  <c r="J38" i="38"/>
  <c r="D39" i="38"/>
  <c r="E39" i="38"/>
  <c r="D40" i="38"/>
  <c r="H40" i="38"/>
  <c r="I40" i="38"/>
  <c r="J40" i="38"/>
  <c r="D41" i="38"/>
  <c r="E41" i="38"/>
  <c r="D42" i="38"/>
  <c r="H42" i="38"/>
  <c r="I42" i="38"/>
  <c r="J42" i="38"/>
  <c r="D43" i="38"/>
  <c r="E43" i="38"/>
  <c r="D44" i="38"/>
  <c r="H44" i="38"/>
  <c r="I44" i="38"/>
  <c r="J44" i="38"/>
  <c r="D45" i="38"/>
  <c r="H45" i="38"/>
  <c r="I45" i="38"/>
  <c r="J45" i="38"/>
  <c r="D46" i="38"/>
  <c r="H46" i="38"/>
  <c r="I46" i="38"/>
  <c r="J46" i="38"/>
  <c r="D47" i="38"/>
  <c r="H47" i="38"/>
  <c r="I47" i="38"/>
  <c r="J47" i="38"/>
  <c r="D48" i="38"/>
  <c r="H48" i="38"/>
  <c r="I48" i="38"/>
  <c r="J48" i="38"/>
  <c r="D49" i="38"/>
  <c r="H49" i="38"/>
  <c r="I49" i="38"/>
  <c r="J49" i="38"/>
  <c r="D50" i="38"/>
  <c r="H50" i="38"/>
  <c r="I50" i="38"/>
  <c r="J50" i="38"/>
  <c r="D51" i="38"/>
  <c r="H51" i="38"/>
  <c r="I51" i="38"/>
  <c r="J51" i="38"/>
  <c r="E52" i="38"/>
  <c r="H52" i="38"/>
  <c r="I52" i="38"/>
  <c r="J52" i="38"/>
  <c r="E53" i="38"/>
  <c r="H53" i="38"/>
  <c r="I53" i="38"/>
  <c r="J53" i="38"/>
  <c r="E54" i="38"/>
  <c r="H54" i="38"/>
  <c r="I54" i="38"/>
  <c r="J54" i="38"/>
  <c r="E55" i="38"/>
  <c r="H55" i="38"/>
  <c r="I55" i="38"/>
  <c r="J55" i="38"/>
  <c r="E56" i="38"/>
  <c r="H56" i="38"/>
  <c r="I56" i="38"/>
  <c r="J56" i="38"/>
  <c r="E57" i="38"/>
  <c r="H57" i="38"/>
  <c r="I57" i="38"/>
  <c r="J57" i="38"/>
  <c r="E58" i="38"/>
  <c r="H58" i="38"/>
  <c r="I58" i="38"/>
  <c r="J58" i="38"/>
  <c r="E59" i="38"/>
  <c r="H59" i="38"/>
  <c r="I59" i="38"/>
  <c r="J59" i="38"/>
  <c r="E60" i="38"/>
  <c r="H60" i="38"/>
  <c r="I60" i="38"/>
  <c r="J60" i="38"/>
  <c r="E61" i="38"/>
  <c r="H61" i="38"/>
  <c r="I61" i="38"/>
  <c r="J61" i="38"/>
  <c r="D62" i="38"/>
  <c r="E62" i="38"/>
  <c r="D63" i="38"/>
  <c r="H63" i="38"/>
  <c r="I63" i="38"/>
  <c r="J63" i="38"/>
  <c r="D64" i="38"/>
  <c r="E64" i="38"/>
  <c r="E65" i="38"/>
  <c r="H65" i="38"/>
  <c r="I65" i="38"/>
  <c r="J65" i="38"/>
  <c r="D66" i="38"/>
  <c r="E66" i="38"/>
  <c r="D67" i="38"/>
  <c r="E67" i="38"/>
  <c r="H67" i="38"/>
  <c r="I67" i="38"/>
  <c r="J67" i="38"/>
  <c r="D68" i="38"/>
  <c r="E68" i="38"/>
  <c r="D70" i="38"/>
  <c r="E70" i="38"/>
  <c r="D71" i="38"/>
  <c r="E71" i="38"/>
  <c r="E76" i="38"/>
  <c r="F76" i="38"/>
  <c r="E77" i="38"/>
  <c r="F77" i="38"/>
  <c r="E78" i="38"/>
  <c r="F78" i="38"/>
  <c r="E79" i="38"/>
  <c r="F79" i="38"/>
  <c r="E80" i="38"/>
  <c r="F80" i="38"/>
  <c r="E81" i="38"/>
  <c r="F81" i="38"/>
  <c r="E82" i="38"/>
  <c r="F82" i="38"/>
  <c r="E83" i="38"/>
  <c r="F83" i="38"/>
  <c r="E87" i="38"/>
  <c r="F87" i="38"/>
  <c r="E88" i="38"/>
  <c r="F88" i="38"/>
  <c r="E89" i="38"/>
  <c r="F89" i="38"/>
  <c r="E90" i="38"/>
  <c r="F90" i="38"/>
  <c r="E93" i="38"/>
  <c r="F93" i="38"/>
  <c r="E94" i="38"/>
  <c r="F94" i="38"/>
  <c r="E95" i="38"/>
  <c r="F95" i="38"/>
  <c r="E96" i="38"/>
  <c r="F96" i="38"/>
  <c r="F98" i="38"/>
  <c r="F99" i="38"/>
  <c r="F100" i="38"/>
  <c r="F101" i="38"/>
  <c r="D9" i="39"/>
  <c r="E9" i="39"/>
  <c r="D10" i="39"/>
  <c r="E10" i="39"/>
  <c r="D11" i="39"/>
  <c r="E11" i="39"/>
  <c r="D12" i="39"/>
  <c r="E12" i="39"/>
  <c r="D13" i="39"/>
  <c r="E13" i="39"/>
  <c r="D14" i="39"/>
  <c r="D15" i="39"/>
  <c r="D16" i="39"/>
  <c r="D17" i="39"/>
  <c r="D18" i="39"/>
  <c r="D19" i="39"/>
  <c r="E19" i="39"/>
  <c r="G19" i="39"/>
  <c r="D24" i="39"/>
  <c r="E24" i="39"/>
  <c r="E25" i="39"/>
  <c r="H25" i="39"/>
  <c r="I25" i="39"/>
  <c r="J25" i="39"/>
  <c r="D26" i="39"/>
  <c r="E26" i="39"/>
  <c r="J26" i="39"/>
  <c r="D27" i="39"/>
  <c r="E27" i="39"/>
  <c r="H27" i="39"/>
  <c r="I27" i="39"/>
  <c r="J27" i="39"/>
  <c r="E28" i="39"/>
  <c r="H28" i="39"/>
  <c r="I28" i="39"/>
  <c r="J28" i="39"/>
  <c r="E29" i="39"/>
  <c r="H29" i="39"/>
  <c r="I29" i="39"/>
  <c r="J29" i="39"/>
  <c r="D30" i="39"/>
  <c r="E30" i="39"/>
  <c r="J30" i="39"/>
  <c r="E31" i="39"/>
  <c r="H31" i="39"/>
  <c r="I31" i="39"/>
  <c r="J31" i="39"/>
  <c r="D32" i="39"/>
  <c r="H32" i="39"/>
  <c r="I32" i="39"/>
  <c r="J32" i="39"/>
  <c r="D33" i="39"/>
  <c r="E33" i="39"/>
  <c r="E34" i="39"/>
  <c r="H34" i="39"/>
  <c r="I34" i="39"/>
  <c r="J34" i="39"/>
  <c r="D35" i="39"/>
  <c r="E35" i="39"/>
  <c r="D36" i="39"/>
  <c r="H36" i="39"/>
  <c r="I36" i="39"/>
  <c r="J36" i="39"/>
  <c r="D37" i="39"/>
  <c r="E37" i="39"/>
  <c r="H37" i="39"/>
  <c r="I37" i="39"/>
  <c r="D38" i="39"/>
  <c r="H38" i="39"/>
  <c r="I38" i="39"/>
  <c r="J38" i="39"/>
  <c r="D39" i="39"/>
  <c r="H39" i="39"/>
  <c r="I39" i="39"/>
  <c r="J39" i="39"/>
  <c r="D40" i="39"/>
  <c r="E40" i="39"/>
  <c r="D41" i="39"/>
  <c r="E41" i="39"/>
  <c r="H41" i="39"/>
  <c r="I41" i="39"/>
  <c r="J41" i="39"/>
  <c r="D42" i="39"/>
  <c r="E42" i="39"/>
  <c r="N42" i="39"/>
  <c r="D43" i="39"/>
  <c r="H43" i="39"/>
  <c r="I43" i="39"/>
  <c r="J43" i="39"/>
  <c r="D44" i="39"/>
  <c r="H44" i="39"/>
  <c r="I44" i="39"/>
  <c r="J44" i="39"/>
  <c r="D45" i="39"/>
  <c r="H45" i="39"/>
  <c r="I45" i="39"/>
  <c r="J45" i="39"/>
  <c r="D46" i="39"/>
  <c r="H46" i="39"/>
  <c r="I46" i="39"/>
  <c r="J46" i="39"/>
  <c r="D47" i="39"/>
  <c r="H47" i="39"/>
  <c r="I47" i="39"/>
  <c r="J47" i="39"/>
  <c r="D48" i="39"/>
  <c r="H48" i="39"/>
  <c r="I48" i="39"/>
  <c r="J48" i="39"/>
  <c r="D49" i="39"/>
  <c r="H49" i="39"/>
  <c r="I49" i="39"/>
  <c r="J49" i="39"/>
  <c r="D50" i="39"/>
  <c r="H50" i="39"/>
  <c r="I50" i="39"/>
  <c r="J50" i="39"/>
  <c r="E51" i="39"/>
  <c r="H51" i="39"/>
  <c r="I51" i="39"/>
  <c r="J51" i="39"/>
  <c r="E52" i="39"/>
  <c r="H52" i="39"/>
  <c r="I52" i="39"/>
  <c r="J52" i="39"/>
  <c r="E53" i="39"/>
  <c r="H53" i="39"/>
  <c r="I53" i="39"/>
  <c r="J53" i="39"/>
  <c r="E54" i="39"/>
  <c r="H54" i="39"/>
  <c r="I54" i="39"/>
  <c r="J54" i="39"/>
  <c r="E55" i="39"/>
  <c r="H55" i="39"/>
  <c r="I55" i="39"/>
  <c r="J55" i="39"/>
  <c r="E56" i="39"/>
  <c r="H56" i="39"/>
  <c r="I56" i="39"/>
  <c r="J56" i="39"/>
  <c r="E57" i="39"/>
  <c r="H57" i="39"/>
  <c r="I57" i="39"/>
  <c r="J57" i="39"/>
  <c r="E58" i="39"/>
  <c r="H58" i="39"/>
  <c r="I58" i="39"/>
  <c r="J58" i="39"/>
  <c r="E59" i="39"/>
  <c r="H59" i="39"/>
  <c r="I59" i="39"/>
  <c r="J59" i="39"/>
  <c r="E60" i="39"/>
  <c r="H60" i="39"/>
  <c r="I60" i="39"/>
  <c r="J60" i="39"/>
  <c r="E61" i="39"/>
  <c r="H61" i="39"/>
  <c r="I61" i="39"/>
  <c r="J61" i="39"/>
  <c r="E62" i="39"/>
  <c r="H62" i="39"/>
  <c r="I62" i="39"/>
  <c r="J62" i="39"/>
  <c r="E63" i="39"/>
  <c r="H63" i="39"/>
  <c r="I63" i="39"/>
  <c r="J63" i="39"/>
  <c r="E64" i="39"/>
  <c r="H64" i="39"/>
  <c r="I64" i="39"/>
  <c r="J64" i="39"/>
  <c r="D65" i="39"/>
  <c r="E65" i="39"/>
  <c r="D66" i="39"/>
  <c r="H66" i="39"/>
  <c r="I66" i="39"/>
  <c r="J66" i="39"/>
  <c r="D67" i="39"/>
  <c r="E67" i="39"/>
  <c r="E68" i="39"/>
  <c r="H68" i="39"/>
  <c r="I68" i="39"/>
  <c r="J68" i="39"/>
  <c r="D69" i="39"/>
  <c r="E69" i="39"/>
  <c r="D70" i="39"/>
  <c r="H70" i="39"/>
  <c r="I70" i="39"/>
  <c r="J70" i="39"/>
  <c r="D71" i="39"/>
  <c r="E71" i="39"/>
  <c r="D73" i="39"/>
  <c r="E73" i="39"/>
  <c r="D74" i="39"/>
  <c r="E74" i="39"/>
  <c r="E79" i="39"/>
  <c r="F79" i="39"/>
  <c r="E80" i="39"/>
  <c r="F80" i="39"/>
  <c r="E81" i="39"/>
  <c r="F81" i="39"/>
  <c r="E82" i="39"/>
  <c r="F82" i="39"/>
  <c r="E83" i="39"/>
  <c r="F83" i="39"/>
  <c r="E84" i="39"/>
  <c r="F84" i="39"/>
  <c r="E85" i="39"/>
  <c r="F85" i="39"/>
  <c r="E86" i="39"/>
  <c r="F86" i="39"/>
  <c r="E87" i="39"/>
  <c r="F87" i="39"/>
  <c r="E91" i="39"/>
  <c r="F91" i="39"/>
  <c r="E92" i="39"/>
  <c r="F92" i="39"/>
  <c r="E93" i="39"/>
  <c r="F93" i="39"/>
  <c r="E96" i="39"/>
  <c r="F96" i="39"/>
  <c r="E97" i="39"/>
  <c r="F97" i="39"/>
  <c r="E98" i="39"/>
  <c r="F98" i="39"/>
  <c r="E99" i="39"/>
  <c r="F99" i="39"/>
  <c r="E103" i="39"/>
  <c r="E104" i="39"/>
  <c r="E105" i="39"/>
  <c r="E106" i="39"/>
  <c r="D9" i="42"/>
  <c r="E9" i="42"/>
  <c r="D10" i="42"/>
  <c r="E10" i="42"/>
  <c r="D11" i="42"/>
  <c r="E11" i="42"/>
  <c r="D12" i="42"/>
  <c r="E12" i="42"/>
  <c r="D13" i="42"/>
  <c r="D14" i="42"/>
  <c r="D15" i="42"/>
  <c r="D16" i="42"/>
  <c r="E16" i="42"/>
  <c r="D17" i="42"/>
  <c r="D18" i="42"/>
  <c r="D19" i="42"/>
  <c r="D20" i="42"/>
  <c r="E20" i="42"/>
  <c r="D25" i="42"/>
  <c r="E25" i="42"/>
  <c r="E26" i="42"/>
  <c r="H26" i="42"/>
  <c r="I26" i="42"/>
  <c r="J26" i="42"/>
  <c r="D27" i="42"/>
  <c r="E27" i="42"/>
  <c r="J27" i="42"/>
  <c r="E28" i="42"/>
  <c r="H28" i="42"/>
  <c r="I28" i="42"/>
  <c r="J28" i="42"/>
  <c r="E29" i="42"/>
  <c r="H29" i="42"/>
  <c r="I29" i="42"/>
  <c r="J29" i="42"/>
  <c r="E30" i="42"/>
  <c r="H30" i="42"/>
  <c r="I30" i="42"/>
  <c r="J30" i="42"/>
  <c r="E31" i="42"/>
  <c r="H31" i="42"/>
  <c r="I31" i="42"/>
  <c r="J31" i="42"/>
  <c r="D32" i="42"/>
  <c r="E32" i="42"/>
  <c r="J32" i="42"/>
  <c r="D33" i="42"/>
  <c r="H33" i="42"/>
  <c r="I33" i="42"/>
  <c r="J33" i="42"/>
  <c r="D34" i="42"/>
  <c r="E34" i="42"/>
  <c r="D35" i="42"/>
  <c r="E35" i="42"/>
  <c r="H35" i="42"/>
  <c r="I35" i="42"/>
  <c r="J35" i="42"/>
  <c r="D36" i="42"/>
  <c r="E36" i="42"/>
  <c r="H37" i="42"/>
  <c r="I37" i="42"/>
  <c r="J37" i="42"/>
  <c r="D38" i="42"/>
  <c r="E38" i="42"/>
  <c r="D39" i="42"/>
  <c r="E39" i="42"/>
  <c r="H39" i="42"/>
  <c r="I39" i="42"/>
  <c r="J39" i="42"/>
  <c r="D40" i="42"/>
  <c r="E40" i="42"/>
  <c r="N40" i="42"/>
  <c r="D41" i="42"/>
  <c r="H41" i="42"/>
  <c r="I41" i="42"/>
  <c r="J41" i="42"/>
  <c r="D42" i="42"/>
  <c r="H42" i="42"/>
  <c r="I42" i="42"/>
  <c r="J42" i="42"/>
  <c r="D43" i="42"/>
  <c r="H43" i="42"/>
  <c r="I43" i="42"/>
  <c r="J43" i="42"/>
  <c r="D44" i="42"/>
  <c r="H44" i="42"/>
  <c r="I44" i="42"/>
  <c r="J44" i="42"/>
  <c r="D45" i="42"/>
  <c r="H45" i="42"/>
  <c r="I45" i="42"/>
  <c r="J45" i="42"/>
  <c r="D46" i="42"/>
  <c r="H46" i="42"/>
  <c r="I46" i="42"/>
  <c r="J46" i="42"/>
  <c r="D47" i="42"/>
  <c r="H47" i="42"/>
  <c r="I47" i="42"/>
  <c r="J47" i="42"/>
  <c r="D48" i="42"/>
  <c r="H48" i="42"/>
  <c r="I48" i="42"/>
  <c r="J48" i="42"/>
  <c r="E49" i="42"/>
  <c r="H49" i="42"/>
  <c r="I49" i="42"/>
  <c r="J49" i="42"/>
  <c r="E50" i="42"/>
  <c r="H50" i="42"/>
  <c r="I50" i="42"/>
  <c r="J50" i="42"/>
  <c r="E51" i="42"/>
  <c r="H51" i="42"/>
  <c r="I51" i="42"/>
  <c r="J51" i="42"/>
  <c r="E52" i="42"/>
  <c r="H52" i="42"/>
  <c r="I52" i="42"/>
  <c r="J52" i="42"/>
  <c r="E53" i="42"/>
  <c r="H53" i="42"/>
  <c r="I53" i="42"/>
  <c r="J53" i="42"/>
  <c r="E54" i="42"/>
  <c r="H54" i="42"/>
  <c r="I54" i="42"/>
  <c r="J54" i="42"/>
  <c r="E55" i="42"/>
  <c r="H55" i="42"/>
  <c r="I55" i="42"/>
  <c r="J55" i="42"/>
  <c r="E56" i="42"/>
  <c r="H56" i="42"/>
  <c r="I56" i="42"/>
  <c r="J56" i="42"/>
  <c r="E57" i="42"/>
  <c r="H57" i="42"/>
  <c r="I57" i="42"/>
  <c r="J57" i="42"/>
  <c r="E58" i="42"/>
  <c r="H58" i="42"/>
  <c r="I58" i="42"/>
  <c r="J58" i="42"/>
  <c r="E59" i="42"/>
  <c r="H59" i="42"/>
  <c r="I59" i="42"/>
  <c r="J59" i="42"/>
  <c r="E60" i="42"/>
  <c r="H60" i="42"/>
  <c r="I60" i="42"/>
  <c r="J60" i="42"/>
  <c r="E61" i="42"/>
  <c r="H61" i="42"/>
  <c r="I61" i="42"/>
  <c r="J61" i="42"/>
  <c r="E62" i="42"/>
  <c r="H62" i="42"/>
  <c r="I62" i="42"/>
  <c r="J62" i="42"/>
  <c r="D63" i="42"/>
  <c r="E63" i="42"/>
  <c r="E64" i="42"/>
  <c r="H64" i="42"/>
  <c r="I64" i="42"/>
  <c r="J64" i="42"/>
  <c r="E65" i="42"/>
  <c r="H65" i="42"/>
  <c r="I65" i="42"/>
  <c r="J65" i="42"/>
  <c r="E66" i="42"/>
  <c r="H66" i="42"/>
  <c r="I66" i="42"/>
  <c r="J66" i="42"/>
  <c r="D67" i="42"/>
  <c r="E67" i="42"/>
  <c r="E68" i="42"/>
  <c r="H68" i="42"/>
  <c r="I68" i="42"/>
  <c r="J68" i="42"/>
  <c r="D69" i="42"/>
  <c r="E69" i="42"/>
  <c r="D70" i="42"/>
  <c r="H70" i="42"/>
  <c r="I70" i="42"/>
  <c r="J70" i="42"/>
  <c r="D71" i="42"/>
  <c r="E71" i="42"/>
  <c r="D73" i="42"/>
  <c r="E73" i="42"/>
  <c r="D74" i="42"/>
  <c r="E74" i="42"/>
  <c r="E79" i="42"/>
  <c r="F79" i="42"/>
  <c r="E80" i="42"/>
  <c r="F80" i="42"/>
  <c r="E81" i="42"/>
  <c r="F81" i="42"/>
  <c r="E82" i="42"/>
  <c r="F82" i="42"/>
  <c r="E83" i="42"/>
  <c r="F83" i="42"/>
  <c r="E84" i="42"/>
  <c r="F84" i="42"/>
  <c r="E85" i="42"/>
  <c r="F85" i="42"/>
  <c r="E89" i="42"/>
  <c r="F89" i="42"/>
  <c r="E90" i="42"/>
  <c r="F90" i="42"/>
  <c r="E91" i="42"/>
  <c r="F91" i="42"/>
  <c r="E94" i="42"/>
  <c r="F94" i="42"/>
  <c r="E95" i="42"/>
  <c r="F95" i="42"/>
  <c r="E96" i="42"/>
  <c r="F96" i="42"/>
  <c r="E97" i="42"/>
  <c r="F97" i="42"/>
  <c r="F100" i="42"/>
  <c r="F101" i="42"/>
  <c r="F102" i="42"/>
  <c r="F103" i="42"/>
  <c r="D9" i="41"/>
  <c r="E9" i="41"/>
  <c r="D10" i="41"/>
  <c r="E10" i="41"/>
  <c r="D11" i="41"/>
  <c r="E11" i="41"/>
  <c r="D12" i="41"/>
  <c r="E12" i="41"/>
  <c r="D13" i="41"/>
  <c r="D14" i="41"/>
  <c r="D15" i="41"/>
  <c r="D16" i="41"/>
  <c r="E16" i="41"/>
  <c r="D17" i="41"/>
  <c r="D18" i="41"/>
  <c r="D19" i="41"/>
  <c r="D20" i="41"/>
  <c r="E20" i="41"/>
  <c r="D25" i="41"/>
  <c r="E25" i="41"/>
  <c r="E26" i="41"/>
  <c r="H26" i="41"/>
  <c r="I26" i="41"/>
  <c r="J26" i="41"/>
  <c r="D27" i="41"/>
  <c r="E27" i="41"/>
  <c r="J27" i="41"/>
  <c r="D28" i="41"/>
  <c r="E28" i="41"/>
  <c r="H28" i="41"/>
  <c r="I28" i="41"/>
  <c r="J28" i="41"/>
  <c r="E29" i="41"/>
  <c r="H29" i="41"/>
  <c r="I29" i="41"/>
  <c r="J29" i="41"/>
  <c r="D30" i="41"/>
  <c r="E30" i="41"/>
  <c r="J30" i="41"/>
  <c r="D31" i="41"/>
  <c r="H31" i="41"/>
  <c r="I31" i="41"/>
  <c r="J31" i="41"/>
  <c r="D32" i="41"/>
  <c r="E32" i="41"/>
  <c r="D33" i="41"/>
  <c r="E33" i="41"/>
  <c r="H33" i="41"/>
  <c r="I33" i="41"/>
  <c r="J33" i="41"/>
  <c r="D34" i="41"/>
  <c r="E34" i="41"/>
  <c r="D35" i="41"/>
  <c r="H35" i="41"/>
  <c r="I35" i="41"/>
  <c r="J35" i="41"/>
  <c r="D36" i="41"/>
  <c r="E36" i="41"/>
  <c r="D37" i="41"/>
  <c r="E37" i="41"/>
  <c r="H37" i="41"/>
  <c r="I37" i="41"/>
  <c r="J37" i="41"/>
  <c r="D38" i="41"/>
  <c r="E38" i="41"/>
  <c r="N38" i="41"/>
  <c r="D39" i="41"/>
  <c r="H39" i="41"/>
  <c r="I39" i="41"/>
  <c r="J39" i="41"/>
  <c r="D40" i="41"/>
  <c r="H40" i="41"/>
  <c r="I40" i="41"/>
  <c r="J40" i="41"/>
  <c r="D41" i="41"/>
  <c r="H41" i="41"/>
  <c r="I41" i="41"/>
  <c r="J41" i="41"/>
  <c r="D42" i="41"/>
  <c r="H42" i="41"/>
  <c r="I42" i="41"/>
  <c r="J42" i="41"/>
  <c r="D43" i="41"/>
  <c r="H43" i="41"/>
  <c r="I43" i="41"/>
  <c r="J43" i="41"/>
  <c r="D44" i="41"/>
  <c r="H44" i="41"/>
  <c r="I44" i="41"/>
  <c r="J44" i="41"/>
  <c r="D45" i="41"/>
  <c r="H45" i="41"/>
  <c r="I45" i="41"/>
  <c r="J45" i="41"/>
  <c r="D46" i="41"/>
  <c r="H46" i="41"/>
  <c r="I46" i="41"/>
  <c r="J46" i="41"/>
  <c r="E47" i="41"/>
  <c r="H47" i="41"/>
  <c r="I47" i="41"/>
  <c r="J47" i="41"/>
  <c r="E48" i="41"/>
  <c r="H48" i="41"/>
  <c r="I48" i="41"/>
  <c r="J48" i="41"/>
  <c r="E49" i="41"/>
  <c r="H49" i="41"/>
  <c r="I49" i="41"/>
  <c r="J49" i="41"/>
  <c r="E50" i="41"/>
  <c r="H50" i="41"/>
  <c r="I50" i="41"/>
  <c r="J50" i="41"/>
  <c r="E51" i="41"/>
  <c r="H51" i="41"/>
  <c r="I51" i="41"/>
  <c r="J51" i="41"/>
  <c r="E52" i="41"/>
  <c r="H52" i="41"/>
  <c r="I52" i="41"/>
  <c r="J52" i="41"/>
  <c r="E53" i="41"/>
  <c r="H53" i="41"/>
  <c r="I53" i="41"/>
  <c r="J53" i="41"/>
  <c r="E54" i="41"/>
  <c r="H54" i="41"/>
  <c r="I54" i="41"/>
  <c r="J54" i="41"/>
  <c r="E55" i="41"/>
  <c r="H55" i="41"/>
  <c r="I55" i="41"/>
  <c r="J55" i="41"/>
  <c r="E56" i="41"/>
  <c r="H56" i="41"/>
  <c r="I56" i="41"/>
  <c r="J56" i="41"/>
  <c r="E57" i="41"/>
  <c r="H57" i="41"/>
  <c r="I57" i="41"/>
  <c r="J57" i="41"/>
  <c r="E58" i="41"/>
  <c r="H58" i="41"/>
  <c r="I58" i="41"/>
  <c r="J58" i="41"/>
  <c r="E59" i="41"/>
  <c r="H59" i="41"/>
  <c r="I59" i="41"/>
  <c r="J59" i="41"/>
  <c r="E60" i="41"/>
  <c r="H60" i="41"/>
  <c r="I60" i="41"/>
  <c r="J60" i="41"/>
  <c r="D61" i="41"/>
  <c r="E61" i="41"/>
  <c r="H61" i="41"/>
  <c r="I61" i="41"/>
  <c r="J61" i="41"/>
  <c r="D62" i="41"/>
  <c r="E62" i="41"/>
  <c r="E63" i="41"/>
  <c r="H63" i="41"/>
  <c r="I63" i="41"/>
  <c r="J63" i="41"/>
  <c r="E64" i="41"/>
  <c r="H64" i="41"/>
  <c r="I64" i="41"/>
  <c r="J64" i="41"/>
  <c r="E65" i="41"/>
  <c r="H65" i="41"/>
  <c r="I65" i="41"/>
  <c r="J65" i="41"/>
  <c r="D66" i="41"/>
  <c r="E66" i="41"/>
  <c r="E67" i="41"/>
  <c r="H67" i="41"/>
  <c r="I67" i="41"/>
  <c r="J67" i="41"/>
  <c r="D68" i="41"/>
  <c r="E68" i="41"/>
  <c r="D69" i="41"/>
  <c r="H69" i="41"/>
  <c r="I69" i="41"/>
  <c r="J69" i="41"/>
  <c r="D70" i="41"/>
  <c r="E70" i="41"/>
  <c r="D72" i="41"/>
  <c r="E72" i="41"/>
  <c r="D73" i="41"/>
  <c r="E73" i="41"/>
  <c r="E78" i="41"/>
  <c r="F78" i="41"/>
  <c r="E79" i="41"/>
  <c r="F79" i="41"/>
  <c r="E80" i="41"/>
  <c r="F80" i="41"/>
  <c r="E81" i="41"/>
  <c r="F81" i="41"/>
  <c r="E82" i="41"/>
  <c r="F82" i="41"/>
  <c r="E83" i="41"/>
  <c r="F83" i="41"/>
  <c r="E84" i="41"/>
  <c r="F84" i="41"/>
  <c r="E88" i="41"/>
  <c r="F88" i="41"/>
  <c r="E89" i="41"/>
  <c r="F89" i="41"/>
  <c r="E90" i="41"/>
  <c r="F90" i="41"/>
  <c r="E93" i="41"/>
  <c r="F93" i="41"/>
  <c r="E94" i="41"/>
  <c r="F94" i="41"/>
  <c r="E95" i="41"/>
  <c r="F95" i="41"/>
  <c r="E96" i="41"/>
  <c r="F96" i="41"/>
  <c r="F4" i="12"/>
  <c r="F191" i="12"/>
  <c r="G4" i="12"/>
  <c r="J4" i="12"/>
  <c r="L4" i="12"/>
  <c r="N4" i="12"/>
  <c r="P4" i="12"/>
  <c r="M4" i="12"/>
  <c r="G5" i="12"/>
  <c r="L5" i="12"/>
  <c r="N5" i="12"/>
  <c r="P5" i="12"/>
  <c r="R5" i="12"/>
  <c r="S5" i="12"/>
  <c r="J5" i="12"/>
  <c r="M5" i="12"/>
  <c r="G6" i="12"/>
  <c r="J6" i="12"/>
  <c r="L6" i="12"/>
  <c r="N6" i="12"/>
  <c r="P6" i="12"/>
  <c r="R6" i="12"/>
  <c r="S6" i="12"/>
  <c r="M6" i="12"/>
  <c r="G7" i="12"/>
  <c r="J7" i="12"/>
  <c r="L7" i="12"/>
  <c r="N7" i="12"/>
  <c r="P7" i="12"/>
  <c r="R7" i="12"/>
  <c r="S7" i="12"/>
  <c r="M7" i="12"/>
  <c r="F8" i="12"/>
  <c r="J8" i="12"/>
  <c r="L8" i="12"/>
  <c r="N8" i="12"/>
  <c r="P8" i="12"/>
  <c r="R8" i="12"/>
  <c r="S8" i="12"/>
  <c r="M8" i="12"/>
  <c r="F9" i="12"/>
  <c r="J9" i="12"/>
  <c r="K9" i="12"/>
  <c r="L9" i="12"/>
  <c r="N9" i="12"/>
  <c r="P9" i="12"/>
  <c r="R9" i="12"/>
  <c r="S9" i="12"/>
  <c r="M9" i="12"/>
  <c r="G10" i="12"/>
  <c r="L10" i="12"/>
  <c r="J10" i="12"/>
  <c r="K10" i="12"/>
  <c r="M10" i="12"/>
  <c r="N10" i="12"/>
  <c r="P10" i="12"/>
  <c r="R10" i="12"/>
  <c r="S10" i="12"/>
  <c r="G11" i="12"/>
  <c r="J11" i="12"/>
  <c r="K11" i="12"/>
  <c r="L11" i="12"/>
  <c r="N11" i="12"/>
  <c r="P11" i="12"/>
  <c r="R11" i="12"/>
  <c r="S11" i="12"/>
  <c r="M11" i="12"/>
  <c r="G12" i="12"/>
  <c r="L12" i="12"/>
  <c r="N12" i="12"/>
  <c r="P12" i="12"/>
  <c r="R12" i="12"/>
  <c r="S12" i="12"/>
  <c r="J12" i="12"/>
  <c r="K12" i="12"/>
  <c r="M12" i="12"/>
  <c r="F13" i="12"/>
  <c r="J13" i="12"/>
  <c r="K13" i="12"/>
  <c r="L13" i="12"/>
  <c r="N13" i="12"/>
  <c r="P13" i="12"/>
  <c r="R13" i="12"/>
  <c r="S13" i="12"/>
  <c r="M13" i="12"/>
  <c r="G14" i="12"/>
  <c r="L14" i="12"/>
  <c r="J14" i="12"/>
  <c r="K14" i="12"/>
  <c r="M14" i="12"/>
  <c r="N14" i="12"/>
  <c r="P14" i="12"/>
  <c r="R14" i="12"/>
  <c r="S14" i="12"/>
  <c r="F15" i="12"/>
  <c r="J15" i="12"/>
  <c r="K15" i="12"/>
  <c r="L15" i="12"/>
  <c r="M15" i="12"/>
  <c r="N15" i="12"/>
  <c r="P15" i="12"/>
  <c r="R15" i="12"/>
  <c r="S15" i="12"/>
  <c r="G16" i="12"/>
  <c r="L16" i="12"/>
  <c r="N16" i="12"/>
  <c r="P16" i="12"/>
  <c r="R16" i="12"/>
  <c r="S16" i="12"/>
  <c r="J16" i="12"/>
  <c r="K16" i="12"/>
  <c r="M16" i="12"/>
  <c r="G17" i="12"/>
  <c r="L17" i="12"/>
  <c r="J17" i="12"/>
  <c r="K17" i="12"/>
  <c r="M17" i="12"/>
  <c r="N17" i="12"/>
  <c r="P17" i="12"/>
  <c r="R17" i="12"/>
  <c r="S17" i="12"/>
  <c r="F18" i="12"/>
  <c r="J18" i="12"/>
  <c r="K18" i="12"/>
  <c r="L18" i="12"/>
  <c r="N18" i="12"/>
  <c r="P18" i="12"/>
  <c r="M18" i="12"/>
  <c r="G19" i="12"/>
  <c r="L19" i="12"/>
  <c r="N19" i="12"/>
  <c r="P19" i="12"/>
  <c r="R19" i="12"/>
  <c r="S19" i="12"/>
  <c r="J19" i="12"/>
  <c r="K19" i="12"/>
  <c r="M19" i="12"/>
  <c r="F20" i="12"/>
  <c r="J20" i="12"/>
  <c r="K20" i="12"/>
  <c r="L20" i="12"/>
  <c r="N20" i="12"/>
  <c r="P20" i="12"/>
  <c r="M20" i="12"/>
  <c r="G21" i="12"/>
  <c r="J21" i="12"/>
  <c r="K21" i="12"/>
  <c r="L21" i="12"/>
  <c r="N21" i="12"/>
  <c r="P21" i="12"/>
  <c r="R21" i="12"/>
  <c r="S21" i="12"/>
  <c r="M21" i="12"/>
  <c r="G22" i="12"/>
  <c r="L22" i="12"/>
  <c r="N22" i="12"/>
  <c r="P22" i="12"/>
  <c r="R22" i="12"/>
  <c r="S22" i="12"/>
  <c r="J22" i="12"/>
  <c r="K22" i="12"/>
  <c r="M22" i="12"/>
  <c r="G23" i="12"/>
  <c r="J23" i="12"/>
  <c r="K23" i="12"/>
  <c r="L23" i="12"/>
  <c r="N23" i="12"/>
  <c r="P23" i="12"/>
  <c r="R23" i="12"/>
  <c r="S23" i="12"/>
  <c r="M23" i="12"/>
  <c r="F24" i="12"/>
  <c r="J24" i="12"/>
  <c r="K24" i="12"/>
  <c r="L24" i="12"/>
  <c r="N24" i="12"/>
  <c r="M24" i="12"/>
  <c r="P24" i="12"/>
  <c r="G25" i="12"/>
  <c r="L25" i="12"/>
  <c r="N25" i="12"/>
  <c r="P25" i="12"/>
  <c r="R25" i="12"/>
  <c r="S25" i="12"/>
  <c r="J25" i="12"/>
  <c r="K25" i="12"/>
  <c r="M25" i="12"/>
  <c r="G26" i="12"/>
  <c r="L26" i="12"/>
  <c r="N26" i="12"/>
  <c r="P26" i="12"/>
  <c r="R26" i="12"/>
  <c r="S26" i="12"/>
  <c r="J26" i="12"/>
  <c r="K26" i="12"/>
  <c r="M26" i="12"/>
  <c r="G27" i="12"/>
  <c r="L27" i="12"/>
  <c r="N27" i="12"/>
  <c r="P27" i="12"/>
  <c r="R27" i="12"/>
  <c r="S27" i="12"/>
  <c r="J27" i="12"/>
  <c r="K27" i="12"/>
  <c r="M27" i="12"/>
  <c r="F28" i="12"/>
  <c r="J28" i="12"/>
  <c r="K28" i="12"/>
  <c r="L28" i="12"/>
  <c r="N28" i="12"/>
  <c r="P28" i="12"/>
  <c r="R28" i="12"/>
  <c r="S28" i="12"/>
  <c r="M28" i="12"/>
  <c r="G29" i="12"/>
  <c r="J29" i="12"/>
  <c r="K29" i="12"/>
  <c r="L29" i="12"/>
  <c r="N29" i="12"/>
  <c r="P29" i="12"/>
  <c r="R29" i="12"/>
  <c r="S29" i="12"/>
  <c r="M29" i="12"/>
  <c r="F30" i="12"/>
  <c r="J30" i="12"/>
  <c r="K30" i="12"/>
  <c r="L30" i="12"/>
  <c r="N30" i="12"/>
  <c r="P30" i="12"/>
  <c r="M30" i="12"/>
  <c r="G31" i="12"/>
  <c r="L31" i="12"/>
  <c r="N31" i="12"/>
  <c r="P31" i="12"/>
  <c r="R31" i="12"/>
  <c r="S31" i="12"/>
  <c r="J31" i="12"/>
  <c r="K31" i="12"/>
  <c r="M31" i="12"/>
  <c r="G32" i="12"/>
  <c r="J32" i="12"/>
  <c r="K32" i="12"/>
  <c r="L32" i="12"/>
  <c r="N32" i="12"/>
  <c r="P32" i="12"/>
  <c r="R32" i="12"/>
  <c r="S32" i="12"/>
  <c r="M32" i="12"/>
  <c r="F33" i="12"/>
  <c r="J33" i="12"/>
  <c r="K33" i="12"/>
  <c r="L33" i="12"/>
  <c r="M33" i="12"/>
  <c r="N33" i="12"/>
  <c r="P33" i="12"/>
  <c r="G34" i="12"/>
  <c r="L34" i="12"/>
  <c r="J34" i="12"/>
  <c r="K34" i="12"/>
  <c r="M34" i="12"/>
  <c r="N34" i="12"/>
  <c r="P34" i="12"/>
  <c r="R34" i="12"/>
  <c r="S34" i="12"/>
  <c r="G35" i="12"/>
  <c r="L35" i="12"/>
  <c r="N35" i="12"/>
  <c r="P35" i="12"/>
  <c r="R35" i="12"/>
  <c r="S35" i="12"/>
  <c r="J35" i="12"/>
  <c r="K35" i="12"/>
  <c r="M35" i="12"/>
  <c r="F36" i="12"/>
  <c r="J36" i="12"/>
  <c r="K36" i="12"/>
  <c r="L36" i="12"/>
  <c r="N36" i="12"/>
  <c r="M36" i="12"/>
  <c r="P36" i="12"/>
  <c r="G37" i="12"/>
  <c r="L37" i="12"/>
  <c r="N37" i="12"/>
  <c r="P37" i="12"/>
  <c r="R37" i="12"/>
  <c r="S37" i="12"/>
  <c r="J37" i="12"/>
  <c r="K37" i="12"/>
  <c r="M37" i="12"/>
  <c r="G38" i="12"/>
  <c r="L38" i="12"/>
  <c r="N38" i="12"/>
  <c r="P38" i="12"/>
  <c r="R38" i="12"/>
  <c r="S38" i="12"/>
  <c r="J38" i="12"/>
  <c r="K38" i="12"/>
  <c r="M38" i="12"/>
  <c r="G39" i="12"/>
  <c r="J39" i="12"/>
  <c r="K39" i="12"/>
  <c r="L39" i="12"/>
  <c r="N39" i="12"/>
  <c r="P39" i="12"/>
  <c r="R39" i="12"/>
  <c r="S39" i="12"/>
  <c r="M39" i="12"/>
  <c r="F40" i="12"/>
  <c r="J40" i="12"/>
  <c r="K40" i="12"/>
  <c r="L40" i="12"/>
  <c r="N40" i="12"/>
  <c r="P40" i="12"/>
  <c r="R40" i="12"/>
  <c r="S40" i="12"/>
  <c r="M40" i="12"/>
  <c r="G41" i="12"/>
  <c r="L41" i="12"/>
  <c r="N41" i="12"/>
  <c r="P41" i="12"/>
  <c r="R41" i="12"/>
  <c r="S41" i="12"/>
  <c r="J41" i="12"/>
  <c r="K41" i="12"/>
  <c r="M41" i="12"/>
  <c r="F42" i="12"/>
  <c r="J42" i="12"/>
  <c r="K42" i="12"/>
  <c r="L42" i="12"/>
  <c r="N42" i="12"/>
  <c r="P42" i="12"/>
  <c r="R42" i="12"/>
  <c r="S42" i="12"/>
  <c r="M42" i="12"/>
  <c r="G43" i="12"/>
  <c r="J43" i="12"/>
  <c r="K43" i="12"/>
  <c r="L43" i="12"/>
  <c r="N43" i="12"/>
  <c r="P43" i="12"/>
  <c r="R43" i="12"/>
  <c r="S43" i="12"/>
  <c r="M43" i="12"/>
  <c r="G44" i="12"/>
  <c r="L44" i="12"/>
  <c r="J44" i="12"/>
  <c r="K44" i="12"/>
  <c r="M44" i="12"/>
  <c r="N44" i="12"/>
  <c r="P44" i="12"/>
  <c r="R44" i="12"/>
  <c r="S44" i="12"/>
  <c r="G45" i="12"/>
  <c r="J45" i="12"/>
  <c r="L45" i="12"/>
  <c r="M45" i="12"/>
  <c r="N45" i="12"/>
  <c r="P45" i="12"/>
  <c r="R45" i="12"/>
  <c r="S45" i="12"/>
  <c r="F46" i="12"/>
  <c r="J46" i="12"/>
  <c r="K46" i="12"/>
  <c r="L46" i="12"/>
  <c r="N46" i="12"/>
  <c r="P46" i="12"/>
  <c r="M46" i="12"/>
  <c r="G47" i="12"/>
  <c r="J47" i="12"/>
  <c r="K47" i="12"/>
  <c r="L47" i="12"/>
  <c r="N47" i="12"/>
  <c r="P47" i="12"/>
  <c r="R47" i="12"/>
  <c r="S47" i="12"/>
  <c r="M47" i="12"/>
  <c r="F48" i="12"/>
  <c r="K48" i="12"/>
  <c r="L48" i="12"/>
  <c r="N48" i="12"/>
  <c r="P48" i="12"/>
  <c r="R48" i="12"/>
  <c r="S48" i="12"/>
  <c r="M48" i="12"/>
  <c r="F49" i="12"/>
  <c r="J49" i="12"/>
  <c r="K49" i="12"/>
  <c r="L49" i="12"/>
  <c r="M49" i="12"/>
  <c r="N49" i="12"/>
  <c r="P49" i="12"/>
  <c r="R49" i="12"/>
  <c r="S49" i="12"/>
  <c r="O49" i="12"/>
  <c r="G50" i="12"/>
  <c r="L50" i="12"/>
  <c r="N50" i="12"/>
  <c r="P50" i="12"/>
  <c r="R50" i="12"/>
  <c r="S50" i="12"/>
  <c r="J50" i="12"/>
  <c r="K50" i="12"/>
  <c r="M50" i="12"/>
  <c r="O50" i="12"/>
  <c r="G51" i="12"/>
  <c r="L51" i="12"/>
  <c r="N51" i="12"/>
  <c r="P51" i="12"/>
  <c r="R51" i="12"/>
  <c r="S51" i="12"/>
  <c r="J51" i="12"/>
  <c r="K51" i="12"/>
  <c r="M51" i="12"/>
  <c r="O51" i="12"/>
  <c r="G52" i="12"/>
  <c r="L52" i="12"/>
  <c r="N52" i="12"/>
  <c r="P52" i="12"/>
  <c r="R52" i="12"/>
  <c r="S52" i="12"/>
  <c r="J52" i="12"/>
  <c r="K52" i="12"/>
  <c r="M52" i="12"/>
  <c r="O52" i="12"/>
  <c r="F53" i="12"/>
  <c r="J53" i="12"/>
  <c r="K53" i="12"/>
  <c r="L53" i="12"/>
  <c r="M53" i="12"/>
  <c r="N53" i="12"/>
  <c r="P53" i="12"/>
  <c r="O53" i="12"/>
  <c r="G54" i="12"/>
  <c r="L54" i="12"/>
  <c r="N54" i="12"/>
  <c r="P54" i="12"/>
  <c r="R54" i="12"/>
  <c r="S54" i="12"/>
  <c r="J54" i="12"/>
  <c r="K54" i="12"/>
  <c r="M54" i="12"/>
  <c r="O54" i="12"/>
  <c r="F55" i="12"/>
  <c r="J55" i="12"/>
  <c r="K55" i="12"/>
  <c r="L55" i="12"/>
  <c r="N55" i="12"/>
  <c r="P55" i="12"/>
  <c r="R55" i="12"/>
  <c r="S55" i="12"/>
  <c r="M55" i="12"/>
  <c r="G56" i="12"/>
  <c r="L56" i="12"/>
  <c r="N56" i="12"/>
  <c r="P56" i="12"/>
  <c r="R56" i="12"/>
  <c r="S56" i="12"/>
  <c r="J56" i="12"/>
  <c r="K56" i="12"/>
  <c r="M56" i="12"/>
  <c r="G57" i="12"/>
  <c r="L57" i="12"/>
  <c r="N57" i="12"/>
  <c r="P57" i="12"/>
  <c r="R57" i="12"/>
  <c r="S57" i="12"/>
  <c r="J57" i="12"/>
  <c r="K57" i="12"/>
  <c r="M57" i="12"/>
  <c r="G58" i="12"/>
  <c r="L58" i="12"/>
  <c r="J58" i="12"/>
  <c r="K58" i="12"/>
  <c r="M58" i="12"/>
  <c r="F59" i="12"/>
  <c r="J59" i="12"/>
  <c r="K59" i="12"/>
  <c r="L59" i="12"/>
  <c r="N59" i="12"/>
  <c r="P59" i="12"/>
  <c r="R59" i="12"/>
  <c r="S59" i="12"/>
  <c r="M59" i="12"/>
  <c r="G60" i="12"/>
  <c r="J60" i="12"/>
  <c r="K60" i="12"/>
  <c r="L60" i="12"/>
  <c r="N60" i="12"/>
  <c r="P60" i="12"/>
  <c r="R60" i="12"/>
  <c r="S60" i="12"/>
  <c r="M60" i="12"/>
  <c r="F61" i="12"/>
  <c r="J61" i="12"/>
  <c r="K61" i="12"/>
  <c r="L61" i="12"/>
  <c r="N61" i="12"/>
  <c r="P61" i="12"/>
  <c r="M61" i="12"/>
  <c r="F62" i="12"/>
  <c r="K62" i="12"/>
  <c r="L62" i="12"/>
  <c r="N62" i="12"/>
  <c r="P62" i="12"/>
  <c r="R62" i="12"/>
  <c r="S62" i="12"/>
  <c r="M62" i="12"/>
  <c r="O62" i="12"/>
  <c r="G63" i="12"/>
  <c r="L63" i="12"/>
  <c r="K63" i="12"/>
  <c r="M63" i="12"/>
  <c r="N63" i="12"/>
  <c r="P63" i="12"/>
  <c r="R63" i="12"/>
  <c r="S63" i="12"/>
  <c r="O63" i="12"/>
  <c r="G64" i="12"/>
  <c r="L64" i="12"/>
  <c r="N64" i="12"/>
  <c r="P64" i="12"/>
  <c r="R64" i="12"/>
  <c r="S64" i="12"/>
  <c r="K64" i="12"/>
  <c r="M64" i="12"/>
  <c r="O64" i="12"/>
  <c r="G65" i="12"/>
  <c r="L65" i="12"/>
  <c r="N65" i="12"/>
  <c r="P65" i="12"/>
  <c r="R65" i="12"/>
  <c r="S65" i="12"/>
  <c r="K65" i="12"/>
  <c r="M65" i="12"/>
  <c r="O65" i="12"/>
  <c r="F66" i="12"/>
  <c r="K66" i="12"/>
  <c r="L66" i="12"/>
  <c r="N66" i="12"/>
  <c r="P66" i="12"/>
  <c r="R66" i="12"/>
  <c r="S66" i="12"/>
  <c r="M66" i="12"/>
  <c r="O66" i="12"/>
  <c r="G67" i="12"/>
  <c r="L67" i="12"/>
  <c r="N67" i="12"/>
  <c r="P67" i="12"/>
  <c r="R67" i="12"/>
  <c r="S67" i="12"/>
  <c r="K67" i="12"/>
  <c r="M67" i="12"/>
  <c r="O67" i="12"/>
  <c r="F68" i="12"/>
  <c r="K68" i="12"/>
  <c r="L68" i="12"/>
  <c r="N68" i="12"/>
  <c r="P68" i="12"/>
  <c r="R68" i="12"/>
  <c r="S68" i="12"/>
  <c r="M68" i="12"/>
  <c r="O68" i="12"/>
  <c r="F69" i="12"/>
  <c r="K69" i="12"/>
  <c r="L69" i="12"/>
  <c r="N69" i="12"/>
  <c r="P69" i="12"/>
  <c r="M69" i="12"/>
  <c r="O69" i="12"/>
  <c r="G70" i="12"/>
  <c r="L70" i="12"/>
  <c r="N70" i="12"/>
  <c r="P70" i="12"/>
  <c r="R70" i="12"/>
  <c r="S70" i="12"/>
  <c r="K70" i="12"/>
  <c r="M70" i="12"/>
  <c r="O70" i="12"/>
  <c r="G71" i="12"/>
  <c r="L71" i="12"/>
  <c r="N71" i="12"/>
  <c r="P71" i="12"/>
  <c r="R71" i="12"/>
  <c r="S71" i="12"/>
  <c r="K71" i="12"/>
  <c r="M71" i="12"/>
  <c r="O71" i="12"/>
  <c r="G72" i="12"/>
  <c r="K72" i="12"/>
  <c r="L72" i="12"/>
  <c r="N72" i="12"/>
  <c r="P72" i="12"/>
  <c r="R72" i="12"/>
  <c r="S72" i="12"/>
  <c r="M72" i="12"/>
  <c r="O72" i="12"/>
  <c r="F73" i="12"/>
  <c r="K73" i="12"/>
  <c r="L73" i="12"/>
  <c r="N73" i="12"/>
  <c r="P73" i="12"/>
  <c r="R73" i="12"/>
  <c r="S73" i="12"/>
  <c r="M73" i="12"/>
  <c r="O73" i="12"/>
  <c r="G74" i="12"/>
  <c r="L74" i="12"/>
  <c r="N74" i="12"/>
  <c r="P74" i="12"/>
  <c r="R74" i="12"/>
  <c r="S74" i="12"/>
  <c r="K74" i="12"/>
  <c r="M74" i="12"/>
  <c r="O74" i="12"/>
  <c r="F75" i="12"/>
  <c r="L75" i="12"/>
  <c r="N75" i="12"/>
  <c r="P75" i="12"/>
  <c r="R75" i="12"/>
  <c r="S75" i="12"/>
  <c r="M75" i="12"/>
  <c r="F76" i="12"/>
  <c r="K76" i="12"/>
  <c r="L76" i="12"/>
  <c r="M76" i="12"/>
  <c r="N76" i="12"/>
  <c r="P76" i="12"/>
  <c r="O76" i="12"/>
  <c r="G77" i="12"/>
  <c r="L77" i="12"/>
  <c r="N77" i="12"/>
  <c r="P77" i="12"/>
  <c r="R77" i="12"/>
  <c r="S77" i="12"/>
  <c r="K77" i="12"/>
  <c r="M77" i="12"/>
  <c r="O77" i="12"/>
  <c r="G78" i="12"/>
  <c r="L78" i="12"/>
  <c r="N78" i="12"/>
  <c r="K78" i="12"/>
  <c r="M78" i="12"/>
  <c r="O78" i="12"/>
  <c r="P78" i="12"/>
  <c r="R78" i="12"/>
  <c r="S78" i="12"/>
  <c r="G79" i="12"/>
  <c r="L79" i="12"/>
  <c r="N79" i="12"/>
  <c r="P79" i="12"/>
  <c r="R79" i="12"/>
  <c r="S79" i="12"/>
  <c r="K79" i="12"/>
  <c r="M79" i="12"/>
  <c r="O79" i="12"/>
  <c r="F80" i="12"/>
  <c r="K80" i="12"/>
  <c r="L80" i="12"/>
  <c r="N80" i="12"/>
  <c r="P80" i="12"/>
  <c r="R80" i="12"/>
  <c r="S80" i="12"/>
  <c r="M80" i="12"/>
  <c r="O80" i="12"/>
  <c r="K81" i="12"/>
  <c r="L81" i="12"/>
  <c r="N81" i="12"/>
  <c r="P81" i="12"/>
  <c r="R81" i="12"/>
  <c r="S81" i="12"/>
  <c r="M81" i="12"/>
  <c r="O81" i="12"/>
  <c r="F82" i="12"/>
  <c r="K82" i="12"/>
  <c r="L82" i="12"/>
  <c r="N82" i="12"/>
  <c r="P82" i="12"/>
  <c r="R82" i="12"/>
  <c r="S82" i="12"/>
  <c r="M82" i="12"/>
  <c r="O82" i="12"/>
  <c r="G83" i="12"/>
  <c r="L83" i="12"/>
  <c r="K83" i="12"/>
  <c r="M83" i="12"/>
  <c r="N83" i="12"/>
  <c r="P83" i="12"/>
  <c r="R83" i="12"/>
  <c r="S83" i="12"/>
  <c r="O83" i="12"/>
  <c r="G84" i="12"/>
  <c r="K84" i="12"/>
  <c r="L84" i="12"/>
  <c r="N84" i="12"/>
  <c r="P84" i="12"/>
  <c r="R84" i="12"/>
  <c r="S84" i="12"/>
  <c r="M84" i="12"/>
  <c r="O84" i="12"/>
  <c r="F85" i="12"/>
  <c r="G85" i="12"/>
  <c r="K85" i="12"/>
  <c r="L85" i="12"/>
  <c r="N85" i="12"/>
  <c r="P85" i="12"/>
  <c r="R85" i="12"/>
  <c r="M85" i="12"/>
  <c r="O85" i="12"/>
  <c r="S85" i="12"/>
  <c r="F86" i="12"/>
  <c r="K86" i="12"/>
  <c r="L86" i="12"/>
  <c r="N86" i="12"/>
  <c r="P86" i="12"/>
  <c r="M86" i="12"/>
  <c r="O86" i="12"/>
  <c r="G87" i="12"/>
  <c r="L87" i="12"/>
  <c r="N87" i="12"/>
  <c r="P87" i="12"/>
  <c r="R87" i="12"/>
  <c r="S87" i="12"/>
  <c r="K87" i="12"/>
  <c r="M87" i="12"/>
  <c r="O87" i="12"/>
  <c r="F88" i="12"/>
  <c r="K88" i="12"/>
  <c r="L88" i="12"/>
  <c r="N88" i="12"/>
  <c r="M88" i="12"/>
  <c r="O88" i="12"/>
  <c r="P88" i="12"/>
  <c r="G89" i="12"/>
  <c r="L89" i="12"/>
  <c r="N89" i="12"/>
  <c r="P89" i="12"/>
  <c r="R89" i="12"/>
  <c r="S89" i="12"/>
  <c r="K89" i="12"/>
  <c r="M89" i="12"/>
  <c r="O89" i="12"/>
  <c r="G90" i="12"/>
  <c r="L90" i="12"/>
  <c r="N90" i="12"/>
  <c r="P90" i="12"/>
  <c r="R90" i="12"/>
  <c r="S90" i="12"/>
  <c r="K90" i="12"/>
  <c r="M90" i="12"/>
  <c r="O90" i="12"/>
  <c r="G91" i="12"/>
  <c r="L91" i="12"/>
  <c r="N91" i="12"/>
  <c r="P91" i="12"/>
  <c r="R91" i="12"/>
  <c r="S91" i="12"/>
  <c r="K91" i="12"/>
  <c r="M91" i="12"/>
  <c r="O91" i="12"/>
  <c r="F92" i="12"/>
  <c r="K92" i="12"/>
  <c r="L92" i="12"/>
  <c r="N92" i="12"/>
  <c r="P92" i="12"/>
  <c r="R92" i="12"/>
  <c r="S92" i="12"/>
  <c r="M92" i="12"/>
  <c r="O92" i="12"/>
  <c r="G93" i="12"/>
  <c r="L93" i="12"/>
  <c r="N93" i="12"/>
  <c r="P93" i="12"/>
  <c r="R93" i="12"/>
  <c r="S93" i="12"/>
  <c r="K93" i="12"/>
  <c r="M93" i="12"/>
  <c r="O93" i="12"/>
  <c r="F94" i="12"/>
  <c r="K94" i="12"/>
  <c r="L94" i="12"/>
  <c r="M94" i="12"/>
  <c r="N94" i="12"/>
  <c r="P94" i="12"/>
  <c r="R94" i="12"/>
  <c r="S94" i="12"/>
  <c r="O94" i="12"/>
  <c r="G95" i="12"/>
  <c r="L95" i="12"/>
  <c r="N95" i="12"/>
  <c r="P95" i="12"/>
  <c r="R95" i="12"/>
  <c r="S95" i="12"/>
  <c r="K95" i="12"/>
  <c r="M95" i="12"/>
  <c r="O95" i="12"/>
  <c r="F96" i="12"/>
  <c r="K96" i="12"/>
  <c r="L96" i="12"/>
  <c r="N96" i="12"/>
  <c r="P96" i="12"/>
  <c r="R96" i="12"/>
  <c r="S96" i="12"/>
  <c r="M96" i="12"/>
  <c r="O96" i="12"/>
  <c r="G97" i="12"/>
  <c r="K97" i="12"/>
  <c r="M97" i="12"/>
  <c r="O97" i="12"/>
  <c r="G98" i="12"/>
  <c r="L98" i="12"/>
  <c r="N98" i="12"/>
  <c r="P98" i="12"/>
  <c r="R98" i="12"/>
  <c r="S98" i="12"/>
  <c r="K98" i="12"/>
  <c r="M98" i="12"/>
  <c r="O98" i="12"/>
  <c r="G99" i="12"/>
  <c r="K99" i="12"/>
  <c r="L99" i="12"/>
  <c r="N99" i="12"/>
  <c r="P99" i="12"/>
  <c r="R99" i="12"/>
  <c r="S99" i="12"/>
  <c r="M99" i="12"/>
  <c r="O99" i="12"/>
  <c r="F100" i="12"/>
  <c r="K100" i="12"/>
  <c r="L100" i="12"/>
  <c r="M100" i="12"/>
  <c r="N100" i="12"/>
  <c r="P100" i="12"/>
  <c r="R100" i="12"/>
  <c r="S100" i="12"/>
  <c r="O100" i="12"/>
  <c r="G101" i="12"/>
  <c r="L101" i="12"/>
  <c r="N101" i="12"/>
  <c r="P101" i="12"/>
  <c r="R101" i="12"/>
  <c r="S101" i="12"/>
  <c r="K101" i="12"/>
  <c r="M101" i="12"/>
  <c r="O101" i="12"/>
  <c r="F102" i="12"/>
  <c r="K102" i="12"/>
  <c r="L102" i="12"/>
  <c r="M102" i="12"/>
  <c r="N102" i="12"/>
  <c r="P102" i="12"/>
  <c r="O102" i="12"/>
  <c r="G103" i="12"/>
  <c r="L103" i="12"/>
  <c r="N103" i="12"/>
  <c r="K103" i="12"/>
  <c r="M103" i="12"/>
  <c r="O103" i="12"/>
  <c r="G104" i="12"/>
  <c r="K104" i="12"/>
  <c r="L104" i="12"/>
  <c r="N104" i="12"/>
  <c r="P104" i="12"/>
  <c r="R104" i="12"/>
  <c r="S104" i="12"/>
  <c r="M104" i="12"/>
  <c r="O104" i="12"/>
  <c r="F105" i="12"/>
  <c r="K105" i="12"/>
  <c r="L105" i="12"/>
  <c r="N105" i="12"/>
  <c r="P105" i="12"/>
  <c r="R105" i="12"/>
  <c r="S105" i="12"/>
  <c r="M105" i="12"/>
  <c r="O105" i="12"/>
  <c r="G106" i="12"/>
  <c r="K106" i="12"/>
  <c r="L106" i="12"/>
  <c r="N106" i="12"/>
  <c r="P106" i="12"/>
  <c r="R106" i="12"/>
  <c r="S106" i="12"/>
  <c r="M106" i="12"/>
  <c r="O106" i="12"/>
  <c r="G107" i="12"/>
  <c r="K107" i="12"/>
  <c r="L107" i="12"/>
  <c r="N107" i="12"/>
  <c r="P107" i="12"/>
  <c r="R107" i="12"/>
  <c r="S107" i="12"/>
  <c r="M107" i="12"/>
  <c r="O107" i="12"/>
  <c r="F108" i="12"/>
  <c r="K108" i="12"/>
  <c r="L108" i="12"/>
  <c r="N108" i="12"/>
  <c r="P108" i="12"/>
  <c r="R108" i="12"/>
  <c r="S108" i="12"/>
  <c r="M108" i="12"/>
  <c r="O108" i="12"/>
  <c r="G109" i="12"/>
  <c r="L109" i="12"/>
  <c r="K109" i="12"/>
  <c r="M109" i="12"/>
  <c r="N109" i="12"/>
  <c r="P109" i="12"/>
  <c r="R109" i="12"/>
  <c r="S109" i="12"/>
  <c r="O109" i="12"/>
  <c r="F110" i="12"/>
  <c r="K110" i="12"/>
  <c r="L110" i="12"/>
  <c r="N110" i="12"/>
  <c r="P110" i="12"/>
  <c r="R110" i="12"/>
  <c r="S110" i="12"/>
  <c r="M110" i="12"/>
  <c r="O110" i="12"/>
  <c r="G111" i="12"/>
  <c r="L111" i="12"/>
  <c r="N111" i="12"/>
  <c r="P111" i="12"/>
  <c r="R111" i="12"/>
  <c r="S111" i="12"/>
  <c r="K111" i="12"/>
  <c r="M111" i="12"/>
  <c r="O111" i="12"/>
  <c r="F112" i="12"/>
  <c r="K112" i="12"/>
  <c r="L112" i="12"/>
  <c r="M112" i="12"/>
  <c r="N112" i="12"/>
  <c r="P112" i="12"/>
  <c r="R112" i="12"/>
  <c r="S112" i="12"/>
  <c r="O112" i="12"/>
  <c r="F113" i="12"/>
  <c r="K113" i="12"/>
  <c r="L113" i="12"/>
  <c r="M113" i="12"/>
  <c r="N113" i="12"/>
  <c r="O113" i="12"/>
  <c r="P113" i="12"/>
  <c r="R113" i="12"/>
  <c r="S113" i="12"/>
  <c r="G114" i="12"/>
  <c r="K114" i="12"/>
  <c r="L114" i="12"/>
  <c r="N114" i="12"/>
  <c r="P114" i="12"/>
  <c r="R114" i="12"/>
  <c r="S114" i="12"/>
  <c r="M114" i="12"/>
  <c r="O114" i="12"/>
  <c r="F115" i="12"/>
  <c r="L115" i="12"/>
  <c r="N115" i="12"/>
  <c r="M115" i="12"/>
  <c r="O115" i="12"/>
  <c r="P115" i="12"/>
  <c r="R115" i="12"/>
  <c r="S115" i="12"/>
  <c r="G116" i="12"/>
  <c r="L116" i="12"/>
  <c r="N116" i="12"/>
  <c r="P116" i="12"/>
  <c r="R116" i="12"/>
  <c r="S116" i="12"/>
  <c r="M116" i="12"/>
  <c r="O116" i="12"/>
  <c r="F117" i="12"/>
  <c r="K117" i="12"/>
  <c r="L117" i="12"/>
  <c r="N117" i="12"/>
  <c r="P117" i="12"/>
  <c r="R117" i="12"/>
  <c r="S117" i="12"/>
  <c r="M117" i="12"/>
  <c r="O117" i="12"/>
  <c r="G118" i="12"/>
  <c r="L118" i="12"/>
  <c r="N118" i="12"/>
  <c r="P118" i="12"/>
  <c r="R118" i="12"/>
  <c r="S118" i="12"/>
  <c r="K118" i="12"/>
  <c r="M118" i="12"/>
  <c r="O118" i="12"/>
  <c r="F119" i="12"/>
  <c r="K119" i="12"/>
  <c r="L119" i="12"/>
  <c r="M119" i="12"/>
  <c r="N119" i="12"/>
  <c r="P119" i="12"/>
  <c r="R119" i="12"/>
  <c r="S119" i="12"/>
  <c r="F120" i="12"/>
  <c r="K120" i="12"/>
  <c r="L120" i="12"/>
  <c r="M120" i="12"/>
  <c r="N120" i="12"/>
  <c r="P120" i="12"/>
  <c r="G121" i="12"/>
  <c r="L121" i="12"/>
  <c r="N121" i="12"/>
  <c r="P121" i="12"/>
  <c r="K121" i="12"/>
  <c r="M121" i="12"/>
  <c r="O121" i="12"/>
  <c r="R121" i="12"/>
  <c r="S121" i="12"/>
  <c r="F122" i="12"/>
  <c r="K122" i="12"/>
  <c r="L122" i="12"/>
  <c r="N122" i="12"/>
  <c r="P122" i="12"/>
  <c r="R122" i="12"/>
  <c r="S122" i="12"/>
  <c r="M122" i="12"/>
  <c r="F123" i="12"/>
  <c r="G123" i="12"/>
  <c r="K123" i="12"/>
  <c r="L123" i="12"/>
  <c r="N123" i="12"/>
  <c r="P123" i="12"/>
  <c r="M123" i="12"/>
  <c r="O123" i="12"/>
  <c r="G124" i="12"/>
  <c r="K124" i="12"/>
  <c r="L124" i="12"/>
  <c r="N124" i="12"/>
  <c r="P124" i="12"/>
  <c r="M124" i="12"/>
  <c r="O124" i="12"/>
  <c r="R124" i="12"/>
  <c r="S124" i="12"/>
  <c r="F125" i="12"/>
  <c r="K125" i="12"/>
  <c r="L125" i="12"/>
  <c r="M125" i="12"/>
  <c r="N125" i="12"/>
  <c r="P125" i="12"/>
  <c r="R125" i="12"/>
  <c r="S125" i="12"/>
  <c r="O125" i="12"/>
  <c r="G126" i="12"/>
  <c r="L126" i="12"/>
  <c r="N126" i="12"/>
  <c r="P126" i="12"/>
  <c r="R126" i="12"/>
  <c r="S126" i="12"/>
  <c r="K126" i="12"/>
  <c r="M126" i="12"/>
  <c r="O126" i="12"/>
  <c r="F127" i="12"/>
  <c r="K127" i="12"/>
  <c r="L127" i="12"/>
  <c r="N127" i="12"/>
  <c r="P127" i="12"/>
  <c r="R127" i="12"/>
  <c r="S127" i="12"/>
  <c r="M127" i="12"/>
  <c r="O127" i="12"/>
  <c r="G128" i="12"/>
  <c r="L128" i="12"/>
  <c r="N128" i="12"/>
  <c r="P128" i="12"/>
  <c r="R128" i="12"/>
  <c r="S128" i="12"/>
  <c r="K128" i="12"/>
  <c r="M128" i="12"/>
  <c r="O128" i="12"/>
  <c r="F129" i="12"/>
  <c r="K129" i="12"/>
  <c r="L129" i="12"/>
  <c r="N129" i="12"/>
  <c r="P129" i="12"/>
  <c r="M129" i="12"/>
  <c r="O129" i="12"/>
  <c r="F130" i="12"/>
  <c r="K130" i="12"/>
  <c r="L130" i="12"/>
  <c r="N130" i="12"/>
  <c r="P130" i="12"/>
  <c r="M130" i="12"/>
  <c r="O130" i="12"/>
  <c r="F131" i="12"/>
  <c r="G131" i="12"/>
  <c r="K131" i="12"/>
  <c r="L131" i="12"/>
  <c r="N131" i="12"/>
  <c r="P131" i="12"/>
  <c r="R131" i="12"/>
  <c r="S131" i="12"/>
  <c r="M131" i="12"/>
  <c r="O131" i="12"/>
  <c r="F132" i="12"/>
  <c r="K132" i="12"/>
  <c r="L132" i="12"/>
  <c r="M132" i="12"/>
  <c r="N132" i="12"/>
  <c r="P132" i="12"/>
  <c r="O132" i="12"/>
  <c r="R132" i="12"/>
  <c r="S132" i="12"/>
  <c r="G133" i="12"/>
  <c r="L133" i="12"/>
  <c r="N133" i="12"/>
  <c r="P133" i="12"/>
  <c r="R133" i="12"/>
  <c r="S133" i="12"/>
  <c r="K133" i="12"/>
  <c r="M133" i="12"/>
  <c r="O133" i="12"/>
  <c r="F134" i="12"/>
  <c r="K134" i="12"/>
  <c r="L134" i="12"/>
  <c r="N134" i="12"/>
  <c r="P134" i="12"/>
  <c r="R134" i="12"/>
  <c r="S134" i="12"/>
  <c r="M134" i="12"/>
  <c r="O134" i="12"/>
  <c r="G135" i="12"/>
  <c r="L135" i="12"/>
  <c r="N135" i="12"/>
  <c r="P135" i="12"/>
  <c r="R135" i="12"/>
  <c r="S135" i="12"/>
  <c r="K135" i="12"/>
  <c r="M135" i="12"/>
  <c r="O135" i="12"/>
  <c r="F136" i="12"/>
  <c r="K136" i="12"/>
  <c r="L136" i="12"/>
  <c r="N136" i="12"/>
  <c r="P136" i="12"/>
  <c r="R136" i="12"/>
  <c r="S136" i="12"/>
  <c r="M136" i="12"/>
  <c r="O136" i="12"/>
  <c r="F137" i="12"/>
  <c r="K137" i="12"/>
  <c r="L137" i="12"/>
  <c r="N137" i="12"/>
  <c r="P137" i="12"/>
  <c r="R137" i="12"/>
  <c r="S137" i="12"/>
  <c r="M137" i="12"/>
  <c r="O137" i="12"/>
  <c r="G138" i="12"/>
  <c r="L138" i="12"/>
  <c r="N138" i="12"/>
  <c r="P138" i="12"/>
  <c r="R138" i="12"/>
  <c r="S138" i="12"/>
  <c r="K138" i="12"/>
  <c r="M138" i="12"/>
  <c r="O138" i="12"/>
  <c r="G139" i="12"/>
  <c r="E18" i="32"/>
  <c r="D18" i="32"/>
  <c r="K139" i="12"/>
  <c r="L139" i="12"/>
  <c r="N139" i="12"/>
  <c r="P139" i="12"/>
  <c r="R139" i="12"/>
  <c r="S139" i="12"/>
  <c r="M139" i="12"/>
  <c r="O139" i="12"/>
  <c r="F140" i="12"/>
  <c r="K140" i="12"/>
  <c r="L140" i="12"/>
  <c r="M140" i="12"/>
  <c r="N140" i="12"/>
  <c r="P140" i="12"/>
  <c r="R140" i="12"/>
  <c r="S140" i="12"/>
  <c r="O140" i="12"/>
  <c r="F141" i="12"/>
  <c r="K141" i="12"/>
  <c r="L141" i="12"/>
  <c r="N141" i="12"/>
  <c r="P141" i="12"/>
  <c r="R141" i="12"/>
  <c r="S141" i="12"/>
  <c r="M141" i="12"/>
  <c r="O141" i="12"/>
  <c r="F142" i="12"/>
  <c r="K142" i="12"/>
  <c r="L142" i="12"/>
  <c r="N142" i="12"/>
  <c r="P142" i="12"/>
  <c r="O142" i="12"/>
  <c r="F143" i="12"/>
  <c r="K143" i="12"/>
  <c r="L143" i="12"/>
  <c r="N143" i="12"/>
  <c r="P143" i="12"/>
  <c r="R143" i="12"/>
  <c r="O143" i="12"/>
  <c r="S143" i="12"/>
  <c r="F144" i="12"/>
  <c r="K144" i="12"/>
  <c r="L144" i="12"/>
  <c r="N144" i="12"/>
  <c r="P144" i="12"/>
  <c r="R144" i="12"/>
  <c r="S144" i="12"/>
  <c r="M144" i="12"/>
  <c r="F145" i="12"/>
  <c r="K145" i="12"/>
  <c r="L145" i="12"/>
  <c r="N145" i="12"/>
  <c r="P145" i="12"/>
  <c r="R145" i="12"/>
  <c r="S145" i="12"/>
  <c r="M145" i="12"/>
  <c r="O145" i="12"/>
  <c r="K146" i="12"/>
  <c r="L146" i="12"/>
  <c r="N146" i="12"/>
  <c r="P146" i="12"/>
  <c r="R146" i="12"/>
  <c r="S146" i="12"/>
  <c r="M146" i="12"/>
  <c r="O146" i="12"/>
  <c r="K147" i="12"/>
  <c r="L147" i="12"/>
  <c r="N147" i="12"/>
  <c r="P147" i="12"/>
  <c r="R147" i="12"/>
  <c r="S147" i="12"/>
  <c r="M147" i="12"/>
  <c r="O147" i="12"/>
  <c r="F148" i="12"/>
  <c r="K148" i="12"/>
  <c r="L148" i="12"/>
  <c r="N148" i="12"/>
  <c r="P148" i="12"/>
  <c r="R148" i="12"/>
  <c r="S148" i="12"/>
  <c r="M148" i="12"/>
  <c r="O148" i="12"/>
  <c r="F149" i="12"/>
  <c r="G149" i="12"/>
  <c r="K149" i="12"/>
  <c r="L149" i="12"/>
  <c r="N149" i="12"/>
  <c r="P149" i="12"/>
  <c r="R149" i="12"/>
  <c r="S149" i="12"/>
  <c r="M149" i="12"/>
  <c r="O149" i="12"/>
  <c r="F150" i="12"/>
  <c r="K150" i="12"/>
  <c r="L150" i="12"/>
  <c r="N150" i="12"/>
  <c r="P150" i="12"/>
  <c r="R150" i="12"/>
  <c r="S150" i="12"/>
  <c r="M150" i="12"/>
  <c r="O150" i="12"/>
  <c r="G151" i="12"/>
  <c r="K151" i="12"/>
  <c r="L151" i="12"/>
  <c r="N151" i="12"/>
  <c r="P151" i="12"/>
  <c r="R151" i="12"/>
  <c r="S151" i="12"/>
  <c r="M151" i="12"/>
  <c r="O151" i="12"/>
  <c r="F152" i="12"/>
  <c r="K152" i="12"/>
  <c r="L152" i="12"/>
  <c r="M152" i="12"/>
  <c r="N152" i="12"/>
  <c r="P152" i="12"/>
  <c r="O152" i="12"/>
  <c r="G153" i="12"/>
  <c r="L153" i="12"/>
  <c r="N153" i="12"/>
  <c r="P153" i="12"/>
  <c r="R153" i="12"/>
  <c r="S153" i="12"/>
  <c r="K153" i="12"/>
  <c r="M153" i="12"/>
  <c r="O153" i="12"/>
  <c r="F154" i="12"/>
  <c r="K154" i="12"/>
  <c r="L154" i="12"/>
  <c r="N154" i="12"/>
  <c r="P154" i="12"/>
  <c r="R154" i="12"/>
  <c r="S154" i="12"/>
  <c r="M154" i="12"/>
  <c r="O154" i="12"/>
  <c r="F155" i="12"/>
  <c r="K155" i="12"/>
  <c r="L155" i="12"/>
  <c r="N155" i="12"/>
  <c r="M155" i="12"/>
  <c r="O155" i="12"/>
  <c r="P155" i="12"/>
  <c r="G156" i="12"/>
  <c r="L156" i="12"/>
  <c r="N156" i="12"/>
  <c r="P156" i="12"/>
  <c r="R156" i="12"/>
  <c r="S156" i="12"/>
  <c r="K156" i="12"/>
  <c r="M156" i="12"/>
  <c r="O156" i="12"/>
  <c r="G157" i="12"/>
  <c r="L157" i="12"/>
  <c r="N157" i="12"/>
  <c r="P157" i="12"/>
  <c r="R157" i="12"/>
  <c r="S157" i="12"/>
  <c r="K157" i="12"/>
  <c r="M157" i="12"/>
  <c r="O157" i="12"/>
  <c r="F158" i="12"/>
  <c r="K158" i="12"/>
  <c r="L158" i="12"/>
  <c r="N158" i="12"/>
  <c r="P158" i="12"/>
  <c r="R158" i="12"/>
  <c r="S158" i="12"/>
  <c r="M158" i="12"/>
  <c r="O158" i="12"/>
  <c r="F159" i="12"/>
  <c r="K159" i="12"/>
  <c r="L159" i="12"/>
  <c r="N159" i="12"/>
  <c r="P159" i="12"/>
  <c r="M159" i="12"/>
  <c r="O159" i="12"/>
  <c r="F160" i="12"/>
  <c r="K160" i="12"/>
  <c r="L160" i="12"/>
  <c r="N160" i="12"/>
  <c r="P160" i="12"/>
  <c r="R160" i="12"/>
  <c r="S160" i="12"/>
  <c r="M160" i="12"/>
  <c r="O160" i="12"/>
  <c r="F161" i="12"/>
  <c r="K161" i="12"/>
  <c r="L161" i="12"/>
  <c r="N161" i="12"/>
  <c r="P161" i="12"/>
  <c r="R161" i="12"/>
  <c r="S161" i="12"/>
  <c r="M161" i="12"/>
  <c r="O161" i="12"/>
  <c r="F162" i="12"/>
  <c r="K162" i="12"/>
  <c r="L162" i="12"/>
  <c r="N162" i="12"/>
  <c r="P162" i="12"/>
  <c r="R162" i="12"/>
  <c r="S162" i="12"/>
  <c r="M162" i="12"/>
  <c r="F163" i="12"/>
  <c r="J163" i="12"/>
  <c r="K163" i="12"/>
  <c r="L163" i="12"/>
  <c r="N163" i="12"/>
  <c r="P163" i="12"/>
  <c r="R163" i="12"/>
  <c r="S163" i="12"/>
  <c r="M163" i="12"/>
  <c r="F164" i="12"/>
  <c r="J164" i="12"/>
  <c r="K164" i="12"/>
  <c r="L164" i="12"/>
  <c r="N164" i="12"/>
  <c r="P164" i="12"/>
  <c r="R164" i="12"/>
  <c r="S164" i="12"/>
  <c r="M164" i="12"/>
  <c r="F165" i="12"/>
  <c r="J165" i="12"/>
  <c r="K165" i="12"/>
  <c r="L165" i="12"/>
  <c r="N165" i="12"/>
  <c r="P165" i="12"/>
  <c r="M165" i="12"/>
  <c r="F166" i="12"/>
  <c r="J166" i="12"/>
  <c r="K166" i="12"/>
  <c r="L166" i="12"/>
  <c r="N166" i="12"/>
  <c r="P166" i="12"/>
  <c r="R166" i="12"/>
  <c r="S166" i="12"/>
  <c r="M166" i="12"/>
  <c r="F167" i="12"/>
  <c r="J167" i="12"/>
  <c r="K167" i="12"/>
  <c r="L167" i="12"/>
  <c r="N167" i="12"/>
  <c r="P167" i="12"/>
  <c r="R167" i="12"/>
  <c r="S167" i="12"/>
  <c r="M167" i="12"/>
  <c r="F168" i="12"/>
  <c r="K168" i="12"/>
  <c r="L168" i="12"/>
  <c r="N168" i="12"/>
  <c r="M168" i="12"/>
  <c r="P168" i="12"/>
  <c r="R168" i="12"/>
  <c r="S168" i="12"/>
  <c r="F169" i="12"/>
  <c r="K169" i="12"/>
  <c r="L169" i="12"/>
  <c r="N169" i="12"/>
  <c r="P169" i="12"/>
  <c r="M169" i="12"/>
  <c r="F170" i="12"/>
  <c r="K170" i="12"/>
  <c r="L170" i="12"/>
  <c r="N170" i="12"/>
  <c r="M170" i="12"/>
  <c r="P170" i="12"/>
  <c r="R170" i="12"/>
  <c r="S170" i="12"/>
  <c r="F171" i="12"/>
  <c r="K171" i="12"/>
  <c r="L171" i="12"/>
  <c r="N171" i="12"/>
  <c r="P171" i="12"/>
  <c r="M171" i="12"/>
  <c r="F172" i="12"/>
  <c r="K172" i="12"/>
  <c r="L172" i="12"/>
  <c r="N172" i="12"/>
  <c r="M172" i="12"/>
  <c r="O172" i="12"/>
  <c r="P172" i="12"/>
  <c r="R172" i="12"/>
  <c r="S172" i="12"/>
  <c r="F173" i="12"/>
  <c r="K173" i="12"/>
  <c r="L173" i="12"/>
  <c r="M173" i="12"/>
  <c r="N173" i="12"/>
  <c r="P173" i="12"/>
  <c r="R173" i="12"/>
  <c r="S173" i="12"/>
  <c r="O173" i="12"/>
  <c r="F174" i="12"/>
  <c r="K174" i="12"/>
  <c r="L174" i="12"/>
  <c r="M174" i="12"/>
  <c r="N174" i="12"/>
  <c r="P174" i="12"/>
  <c r="O174" i="12"/>
  <c r="F175" i="12"/>
  <c r="K175" i="12"/>
  <c r="L175" i="12"/>
  <c r="N175" i="12"/>
  <c r="P175" i="12"/>
  <c r="M175" i="12"/>
  <c r="O175" i="12"/>
  <c r="F176" i="12"/>
  <c r="K176" i="12"/>
  <c r="L176" i="12"/>
  <c r="N176" i="12"/>
  <c r="P176" i="12"/>
  <c r="R176" i="12"/>
  <c r="S176" i="12"/>
  <c r="M176" i="12"/>
  <c r="O176" i="12"/>
  <c r="F177" i="12"/>
  <c r="K177" i="12"/>
  <c r="L177" i="12"/>
  <c r="M177" i="12"/>
  <c r="N177" i="12"/>
  <c r="P177" i="12"/>
  <c r="R177" i="12"/>
  <c r="S177" i="12"/>
  <c r="F178" i="12"/>
  <c r="K178" i="12"/>
  <c r="L178" i="12"/>
  <c r="N178" i="12"/>
  <c r="P178" i="12"/>
  <c r="M178" i="12"/>
  <c r="F179" i="12"/>
  <c r="K179" i="12"/>
  <c r="L179" i="12"/>
  <c r="N179" i="12"/>
  <c r="P179" i="12"/>
  <c r="M179" i="12"/>
  <c r="F180" i="12"/>
  <c r="K180" i="12"/>
  <c r="L180" i="12"/>
  <c r="M180" i="12"/>
  <c r="N180" i="12"/>
  <c r="P180" i="12"/>
  <c r="F181" i="12"/>
  <c r="K181" i="12"/>
  <c r="L181" i="12"/>
  <c r="M181" i="12"/>
  <c r="N181" i="12"/>
  <c r="P181" i="12"/>
  <c r="R181" i="12"/>
  <c r="S181" i="12"/>
  <c r="F182" i="12"/>
  <c r="K182" i="12"/>
  <c r="L182" i="12"/>
  <c r="N182" i="12"/>
  <c r="P182" i="12"/>
  <c r="M182" i="12"/>
  <c r="F183" i="12"/>
  <c r="K183" i="12"/>
  <c r="L183" i="12"/>
  <c r="M183" i="12"/>
  <c r="N183" i="12"/>
  <c r="P183" i="12"/>
  <c r="R183" i="12"/>
  <c r="S183" i="12"/>
  <c r="O183" i="12"/>
  <c r="F184" i="12"/>
  <c r="G184" i="12"/>
  <c r="K184" i="12"/>
  <c r="L184" i="12"/>
  <c r="M184" i="12"/>
  <c r="N184" i="12"/>
  <c r="O184" i="12"/>
  <c r="P184" i="12"/>
  <c r="R184" i="12"/>
  <c r="S184" i="12"/>
  <c r="F185" i="12"/>
  <c r="L185" i="12"/>
  <c r="M185" i="12"/>
  <c r="N185" i="12"/>
  <c r="O185" i="12"/>
  <c r="P185" i="12"/>
  <c r="R185" i="12"/>
  <c r="S185" i="12"/>
  <c r="F186" i="12"/>
  <c r="K186" i="12"/>
  <c r="L186" i="12"/>
  <c r="M186" i="12"/>
  <c r="N186" i="12"/>
  <c r="O186" i="12"/>
  <c r="P186" i="12"/>
  <c r="R186" i="12"/>
  <c r="S186" i="12"/>
  <c r="F187" i="12"/>
  <c r="K187" i="12"/>
  <c r="L187" i="12"/>
  <c r="M187" i="12"/>
  <c r="N187" i="12"/>
  <c r="O187" i="12"/>
  <c r="P187" i="12"/>
  <c r="R187" i="12"/>
  <c r="S187" i="12"/>
  <c r="F188" i="12"/>
  <c r="K188" i="12"/>
  <c r="L188" i="12"/>
  <c r="M188" i="12"/>
  <c r="N188" i="12"/>
  <c r="O188" i="12"/>
  <c r="P188" i="12"/>
  <c r="R188" i="12"/>
  <c r="S188" i="12"/>
  <c r="F189" i="12"/>
  <c r="K189" i="12"/>
  <c r="L189" i="12"/>
  <c r="M189" i="12"/>
  <c r="N189" i="12"/>
  <c r="O189" i="12"/>
  <c r="P189" i="12"/>
  <c r="R189" i="12"/>
  <c r="S189" i="12"/>
  <c r="F195" i="12"/>
  <c r="G195" i="12"/>
  <c r="J7" i="13"/>
  <c r="L7" i="13"/>
  <c r="C9" i="13"/>
  <c r="D9" i="13"/>
  <c r="E9" i="13"/>
  <c r="F9" i="13"/>
  <c r="G9" i="13"/>
  <c r="H9" i="13"/>
  <c r="C10" i="13"/>
  <c r="D10" i="13"/>
  <c r="E10" i="13"/>
  <c r="F10" i="13"/>
  <c r="G10" i="13"/>
  <c r="I10" i="13"/>
  <c r="C13" i="13"/>
  <c r="D13" i="13"/>
  <c r="E13" i="13"/>
  <c r="F13" i="13"/>
  <c r="G13" i="13"/>
  <c r="H13" i="13"/>
  <c r="C15" i="13"/>
  <c r="D15" i="13"/>
  <c r="E15" i="13"/>
  <c r="F15" i="13"/>
  <c r="G15" i="13"/>
  <c r="H16" i="13"/>
  <c r="I16" i="13"/>
  <c r="D17" i="13"/>
  <c r="E17" i="13"/>
  <c r="F17" i="13"/>
  <c r="I18" i="13"/>
  <c r="D19" i="13"/>
  <c r="E19" i="13"/>
  <c r="F19" i="13"/>
  <c r="D20" i="13"/>
  <c r="E20" i="13"/>
  <c r="F20" i="13"/>
  <c r="C22" i="13"/>
  <c r="G22" i="13"/>
  <c r="D23" i="13"/>
  <c r="E23" i="13"/>
  <c r="F23" i="13"/>
  <c r="D24" i="13"/>
  <c r="E24" i="13"/>
  <c r="F24" i="13"/>
  <c r="P26" i="13"/>
  <c r="Q26" i="13"/>
  <c r="R26" i="13"/>
  <c r="P27" i="13"/>
  <c r="Q27" i="13"/>
  <c r="R27" i="13"/>
  <c r="R28" i="13"/>
  <c r="S28" i="13"/>
  <c r="J30" i="13"/>
  <c r="K30" i="13"/>
  <c r="L30" i="13"/>
  <c r="P30" i="13"/>
  <c r="Q30" i="13"/>
  <c r="R30" i="13"/>
  <c r="C31" i="13"/>
  <c r="H32" i="13"/>
  <c r="C33" i="13"/>
  <c r="D33" i="13"/>
  <c r="E33" i="13"/>
  <c r="F33" i="13"/>
  <c r="G33" i="13"/>
  <c r="H34" i="13"/>
  <c r="C35" i="13"/>
  <c r="D35" i="13"/>
  <c r="E35" i="13"/>
  <c r="F35" i="13"/>
  <c r="G35" i="13"/>
  <c r="C38" i="13"/>
  <c r="D38" i="13"/>
  <c r="E38" i="13"/>
  <c r="F38" i="13"/>
  <c r="G38" i="13"/>
  <c r="C40" i="13"/>
  <c r="D40" i="13"/>
  <c r="E40" i="13"/>
  <c r="F40" i="13"/>
  <c r="G40" i="13"/>
  <c r="H40" i="13"/>
  <c r="C42" i="13"/>
  <c r="D42" i="13"/>
  <c r="E42" i="13"/>
  <c r="F42" i="13"/>
  <c r="G42" i="13"/>
  <c r="J50" i="13"/>
  <c r="K50" i="13"/>
  <c r="L50" i="13"/>
  <c r="I51" i="13"/>
  <c r="C52" i="13"/>
  <c r="D52" i="13"/>
  <c r="E52" i="13"/>
  <c r="F52" i="13"/>
  <c r="G52" i="13"/>
  <c r="H52" i="13"/>
  <c r="E53" i="13"/>
  <c r="F53" i="13"/>
  <c r="I53" i="13"/>
  <c r="C54" i="13"/>
  <c r="D54" i="13"/>
  <c r="E54" i="13"/>
  <c r="F54" i="13"/>
  <c r="G54" i="13"/>
  <c r="H54" i="13"/>
  <c r="C57" i="13"/>
  <c r="D57" i="13"/>
  <c r="E57" i="13"/>
  <c r="F57" i="13"/>
  <c r="G57" i="13"/>
  <c r="H57" i="13"/>
  <c r="P57" i="13"/>
  <c r="Q57" i="13"/>
  <c r="R57" i="13"/>
  <c r="S57" i="13"/>
  <c r="P58" i="13"/>
  <c r="Q58" i="13"/>
  <c r="R58" i="13"/>
  <c r="S58" i="13"/>
  <c r="C59" i="13"/>
  <c r="D59" i="13"/>
  <c r="E59" i="13"/>
  <c r="F59" i="13"/>
  <c r="G59" i="13"/>
  <c r="H59" i="13"/>
  <c r="J59" i="13"/>
  <c r="C61" i="13"/>
  <c r="D61" i="13"/>
  <c r="E61" i="13"/>
  <c r="F61" i="13"/>
  <c r="G61" i="13"/>
  <c r="H61" i="13"/>
  <c r="D68" i="13"/>
  <c r="J68" i="13"/>
  <c r="K68" i="13"/>
  <c r="L68" i="13"/>
  <c r="E69" i="13"/>
  <c r="F69" i="13"/>
  <c r="I69" i="13"/>
  <c r="C70" i="13"/>
  <c r="D70" i="13"/>
  <c r="E70" i="13"/>
  <c r="F70" i="13"/>
  <c r="G70" i="13"/>
  <c r="H70" i="13"/>
  <c r="I71" i="13"/>
  <c r="C72" i="13"/>
  <c r="D72" i="13"/>
  <c r="E72" i="13"/>
  <c r="F72" i="13"/>
  <c r="G72" i="13"/>
  <c r="H72" i="13"/>
  <c r="C75" i="13"/>
  <c r="D75" i="13"/>
  <c r="E75" i="13"/>
  <c r="F75" i="13"/>
  <c r="G75" i="13"/>
  <c r="H75" i="13"/>
  <c r="C77" i="13"/>
  <c r="D77" i="13"/>
  <c r="E77" i="13"/>
  <c r="F77" i="13"/>
  <c r="G77" i="13"/>
  <c r="H77" i="13"/>
  <c r="D79" i="13"/>
  <c r="E79" i="13"/>
  <c r="F79" i="13"/>
  <c r="G79" i="13"/>
  <c r="H79" i="13"/>
  <c r="D85" i="13"/>
  <c r="K85" i="13"/>
  <c r="L85" i="13"/>
  <c r="M85" i="13"/>
  <c r="J86" i="13"/>
  <c r="C87" i="13"/>
  <c r="D87" i="13"/>
  <c r="E87" i="13"/>
  <c r="F87" i="13"/>
  <c r="G87" i="13"/>
  <c r="H87" i="13"/>
  <c r="I87" i="13"/>
  <c r="C88" i="13"/>
  <c r="D88" i="13"/>
  <c r="E88" i="13"/>
  <c r="F88" i="13"/>
  <c r="J88" i="13"/>
  <c r="C89" i="13"/>
  <c r="D89" i="13"/>
  <c r="E89" i="13"/>
  <c r="F89" i="13"/>
  <c r="G89" i="13"/>
  <c r="H89" i="13"/>
  <c r="I89" i="13"/>
  <c r="C92" i="13"/>
  <c r="D92" i="13"/>
  <c r="E92" i="13"/>
  <c r="F92" i="13"/>
  <c r="G92" i="13"/>
  <c r="H92" i="13"/>
  <c r="I92" i="13"/>
  <c r="C94" i="13"/>
  <c r="D94" i="13"/>
  <c r="E94" i="13"/>
  <c r="F94" i="13"/>
  <c r="G94" i="13"/>
  <c r="H94" i="13"/>
  <c r="I94" i="13"/>
  <c r="C96" i="13"/>
  <c r="D96" i="13"/>
  <c r="E96" i="13"/>
  <c r="F96" i="13"/>
  <c r="G96" i="13"/>
  <c r="H96" i="13"/>
  <c r="I96" i="13"/>
  <c r="L102" i="13"/>
  <c r="M102" i="13"/>
  <c r="P102" i="13"/>
  <c r="R102" i="13"/>
  <c r="S102" i="13"/>
  <c r="C103" i="13"/>
  <c r="D103" i="13"/>
  <c r="E103" i="13"/>
  <c r="F103" i="13"/>
  <c r="G103" i="13"/>
  <c r="H103" i="13"/>
  <c r="J103" i="13"/>
  <c r="C104" i="13"/>
  <c r="D104" i="13"/>
  <c r="E104" i="13"/>
  <c r="F104" i="13"/>
  <c r="G104" i="13"/>
  <c r="H104" i="13"/>
  <c r="I104" i="13"/>
  <c r="R104" i="13"/>
  <c r="C105" i="13"/>
  <c r="D105" i="13"/>
  <c r="E105" i="13"/>
  <c r="F105" i="13"/>
  <c r="J105" i="13"/>
  <c r="M105" i="13"/>
  <c r="C106" i="13"/>
  <c r="D106" i="13"/>
  <c r="E106" i="13"/>
  <c r="F106" i="13"/>
  <c r="G106" i="13"/>
  <c r="H106" i="13"/>
  <c r="I106" i="13"/>
  <c r="J106" i="13"/>
  <c r="R106" i="13"/>
  <c r="L108" i="13"/>
  <c r="C109" i="13"/>
  <c r="D109" i="13"/>
  <c r="E109" i="13"/>
  <c r="F109" i="13"/>
  <c r="G109" i="13"/>
  <c r="H109" i="13"/>
  <c r="I109" i="13"/>
  <c r="J109" i="13"/>
  <c r="R110" i="13"/>
  <c r="S110" i="13"/>
  <c r="C111" i="13"/>
  <c r="D111" i="13"/>
  <c r="E111" i="13"/>
  <c r="F111" i="13"/>
  <c r="G111" i="13"/>
  <c r="H111" i="13"/>
  <c r="I111" i="13"/>
  <c r="J111" i="13"/>
  <c r="L111" i="13"/>
  <c r="J112" i="13"/>
  <c r="C113" i="13"/>
  <c r="D113" i="13"/>
  <c r="E113" i="13"/>
  <c r="F113" i="13"/>
  <c r="G113" i="13"/>
  <c r="H113" i="13"/>
  <c r="I113" i="13"/>
  <c r="L120" i="13"/>
  <c r="M120" i="13"/>
  <c r="P120" i="13"/>
  <c r="J121" i="13"/>
  <c r="C122" i="13"/>
  <c r="D122" i="13"/>
  <c r="E122" i="13"/>
  <c r="F122" i="13"/>
  <c r="G122" i="13"/>
  <c r="H122" i="13"/>
  <c r="I122" i="13"/>
  <c r="C123" i="13"/>
  <c r="D123" i="13"/>
  <c r="E123" i="13"/>
  <c r="F123" i="13"/>
  <c r="G123" i="13"/>
  <c r="J123" i="13"/>
  <c r="M123" i="13"/>
  <c r="C124" i="13"/>
  <c r="D124" i="13"/>
  <c r="E124" i="13"/>
  <c r="F124" i="13"/>
  <c r="G124" i="13"/>
  <c r="H124" i="13"/>
  <c r="I124" i="13"/>
  <c r="J124" i="13"/>
  <c r="C127" i="13"/>
  <c r="D127" i="13"/>
  <c r="E127" i="13"/>
  <c r="F127" i="13"/>
  <c r="G127" i="13"/>
  <c r="H127" i="13"/>
  <c r="I127" i="13"/>
  <c r="C129" i="13"/>
  <c r="D129" i="13"/>
  <c r="E129" i="13"/>
  <c r="F129" i="13"/>
  <c r="G129" i="13"/>
  <c r="H129" i="13"/>
  <c r="I129" i="13"/>
  <c r="J129" i="13"/>
  <c r="L129" i="13"/>
  <c r="J130" i="13"/>
  <c r="C131" i="13"/>
  <c r="D131" i="13"/>
  <c r="E131" i="13"/>
  <c r="F131" i="13"/>
  <c r="G131" i="13"/>
  <c r="H131" i="13"/>
  <c r="I131" i="13"/>
  <c r="M138" i="13"/>
  <c r="P138" i="13"/>
  <c r="Q138" i="13"/>
  <c r="K139" i="13"/>
  <c r="C140" i="13"/>
  <c r="D140" i="13"/>
  <c r="E140" i="13"/>
  <c r="F140" i="13"/>
  <c r="G140" i="13"/>
  <c r="H140" i="13"/>
  <c r="I140" i="13"/>
  <c r="J140" i="13"/>
  <c r="K141" i="13"/>
  <c r="P141" i="13"/>
  <c r="C142" i="13"/>
  <c r="D142" i="13"/>
  <c r="E142" i="13"/>
  <c r="F142" i="13"/>
  <c r="G142" i="13"/>
  <c r="H142" i="13"/>
  <c r="I142" i="13"/>
  <c r="J142" i="13"/>
  <c r="K142" i="13"/>
  <c r="K144" i="13"/>
  <c r="C145" i="13"/>
  <c r="D145" i="13"/>
  <c r="E145" i="13"/>
  <c r="F145" i="13"/>
  <c r="G145" i="13"/>
  <c r="H145" i="13"/>
  <c r="I145" i="13"/>
  <c r="J145" i="13"/>
  <c r="C147" i="13"/>
  <c r="D147" i="13"/>
  <c r="E147" i="13"/>
  <c r="F147" i="13"/>
  <c r="G147" i="13"/>
  <c r="H147" i="13"/>
  <c r="I147" i="13"/>
  <c r="J147" i="13"/>
  <c r="K147" i="13"/>
  <c r="M147" i="13"/>
  <c r="K148" i="13"/>
  <c r="C149" i="13"/>
  <c r="D149" i="13"/>
  <c r="E149" i="13"/>
  <c r="F149" i="13"/>
  <c r="G149" i="13"/>
  <c r="H149" i="13"/>
  <c r="I149" i="13"/>
  <c r="J149" i="13"/>
  <c r="L157" i="13"/>
  <c r="M157" i="13"/>
  <c r="P157" i="13"/>
  <c r="J158" i="13"/>
  <c r="C159" i="13"/>
  <c r="D159" i="13"/>
  <c r="E159" i="13"/>
  <c r="F159" i="13"/>
  <c r="G159" i="13"/>
  <c r="H159" i="13"/>
  <c r="I159" i="13"/>
  <c r="C160" i="13"/>
  <c r="D160" i="13"/>
  <c r="E160" i="13"/>
  <c r="F160" i="13"/>
  <c r="G160" i="13"/>
  <c r="H160" i="13"/>
  <c r="I160" i="13"/>
  <c r="J160" i="13"/>
  <c r="M160" i="13"/>
  <c r="C161" i="13"/>
  <c r="D161" i="13"/>
  <c r="E161" i="13"/>
  <c r="F161" i="13"/>
  <c r="G161" i="13"/>
  <c r="H161" i="13"/>
  <c r="I161" i="13"/>
  <c r="J161" i="13"/>
  <c r="C163" i="13"/>
  <c r="D163" i="13"/>
  <c r="E163" i="13"/>
  <c r="F163" i="13"/>
  <c r="G163" i="13"/>
  <c r="H163" i="13"/>
  <c r="I163" i="13"/>
  <c r="J163" i="13"/>
  <c r="C164" i="13"/>
  <c r="D164" i="13"/>
  <c r="E164" i="13"/>
  <c r="F164" i="13"/>
  <c r="G164" i="13"/>
  <c r="H164" i="13"/>
  <c r="I164" i="13"/>
  <c r="D165" i="13"/>
  <c r="E165" i="13"/>
  <c r="F165" i="13"/>
  <c r="G165" i="13"/>
  <c r="H165" i="13"/>
  <c r="I165" i="13"/>
  <c r="C166" i="13"/>
  <c r="D166" i="13"/>
  <c r="E166" i="13"/>
  <c r="F166" i="13"/>
  <c r="G166" i="13"/>
  <c r="H166" i="13"/>
  <c r="I166" i="13"/>
  <c r="J166" i="13"/>
  <c r="L166" i="13"/>
  <c r="J167" i="13"/>
  <c r="C168" i="13"/>
  <c r="D168" i="13"/>
  <c r="E168" i="13"/>
  <c r="F168" i="13"/>
  <c r="G168" i="13"/>
  <c r="H168" i="13"/>
  <c r="I168" i="13"/>
  <c r="M175" i="13"/>
  <c r="P175" i="13"/>
  <c r="Q175" i="13"/>
  <c r="K176" i="13"/>
  <c r="C177" i="13"/>
  <c r="D177" i="13"/>
  <c r="E177" i="13"/>
  <c r="F177" i="13"/>
  <c r="G177" i="13"/>
  <c r="H177" i="13"/>
  <c r="I177" i="13"/>
  <c r="J177" i="13"/>
  <c r="C178" i="13"/>
  <c r="D178" i="13"/>
  <c r="E178" i="13"/>
  <c r="F178" i="13"/>
  <c r="G178" i="13"/>
  <c r="H178" i="13"/>
  <c r="I178" i="13"/>
  <c r="K178" i="13"/>
  <c r="P178" i="13"/>
  <c r="C179" i="13"/>
  <c r="D179" i="13"/>
  <c r="E179" i="13"/>
  <c r="F179" i="13"/>
  <c r="G179" i="13"/>
  <c r="H179" i="13"/>
  <c r="I179" i="13"/>
  <c r="J179" i="13"/>
  <c r="K179" i="13"/>
  <c r="C181" i="13"/>
  <c r="D181" i="13"/>
  <c r="E181" i="13"/>
  <c r="F181" i="13"/>
  <c r="G181" i="13"/>
  <c r="H181" i="13"/>
  <c r="I181" i="13"/>
  <c r="K181" i="13"/>
  <c r="C182" i="13"/>
  <c r="D182" i="13"/>
  <c r="E182" i="13"/>
  <c r="F182" i="13"/>
  <c r="G182" i="13"/>
  <c r="H182" i="13"/>
  <c r="I182" i="13"/>
  <c r="J182" i="13"/>
  <c r="D183" i="13"/>
  <c r="E183" i="13"/>
  <c r="F183" i="13"/>
  <c r="G183" i="13"/>
  <c r="H183" i="13"/>
  <c r="I183" i="13"/>
  <c r="C184" i="13"/>
  <c r="D184" i="13"/>
  <c r="E184" i="13"/>
  <c r="F184" i="13"/>
  <c r="G184" i="13"/>
  <c r="H184" i="13"/>
  <c r="I184" i="13"/>
  <c r="J184" i="13"/>
  <c r="K184" i="13"/>
  <c r="M184" i="13"/>
  <c r="K185" i="13"/>
  <c r="C186" i="13"/>
  <c r="D186" i="13"/>
  <c r="E186" i="13"/>
  <c r="F186" i="13"/>
  <c r="G186" i="13"/>
  <c r="H186" i="13"/>
  <c r="I186" i="13"/>
  <c r="J186" i="13"/>
  <c r="M193" i="13"/>
  <c r="P193" i="13"/>
  <c r="Q193" i="13"/>
  <c r="K194" i="13"/>
  <c r="M194" i="13"/>
  <c r="C195" i="13"/>
  <c r="D195" i="13"/>
  <c r="E195" i="13"/>
  <c r="F195" i="13"/>
  <c r="G195" i="13"/>
  <c r="H195" i="13"/>
  <c r="I195" i="13"/>
  <c r="J195" i="13"/>
  <c r="C196" i="13"/>
  <c r="D196" i="13"/>
  <c r="E196" i="13"/>
  <c r="F196" i="13"/>
  <c r="G196" i="13"/>
  <c r="H196" i="13"/>
  <c r="I196" i="13"/>
  <c r="K196" i="13"/>
  <c r="P196" i="13"/>
  <c r="C197" i="13"/>
  <c r="D197" i="13"/>
  <c r="E197" i="13"/>
  <c r="F197" i="13"/>
  <c r="G197" i="13"/>
  <c r="H197" i="13"/>
  <c r="I197" i="13"/>
  <c r="J197" i="13"/>
  <c r="K197" i="13"/>
  <c r="C199" i="13"/>
  <c r="D199" i="13"/>
  <c r="E199" i="13"/>
  <c r="F199" i="13"/>
  <c r="G199" i="13"/>
  <c r="H199" i="13"/>
  <c r="I199" i="13"/>
  <c r="K199" i="13"/>
  <c r="C200" i="13"/>
  <c r="D200" i="13"/>
  <c r="E200" i="13"/>
  <c r="F200" i="13"/>
  <c r="G200" i="13"/>
  <c r="H200" i="13"/>
  <c r="I200" i="13"/>
  <c r="J200" i="13"/>
  <c r="D201" i="13"/>
  <c r="E201" i="13"/>
  <c r="F201" i="13"/>
  <c r="G201" i="13"/>
  <c r="H201" i="13"/>
  <c r="I201" i="13"/>
  <c r="C202" i="13"/>
  <c r="D202" i="13"/>
  <c r="E202" i="13"/>
  <c r="F202" i="13"/>
  <c r="G202" i="13"/>
  <c r="H202" i="13"/>
  <c r="I202" i="13"/>
  <c r="J202" i="13"/>
  <c r="K202" i="13"/>
  <c r="M202" i="13"/>
  <c r="K203" i="13"/>
  <c r="M203" i="13"/>
  <c r="C204" i="13"/>
  <c r="D204" i="13"/>
  <c r="E204" i="13"/>
  <c r="F204" i="13"/>
  <c r="G204" i="13"/>
  <c r="H204" i="13"/>
  <c r="I204" i="13"/>
  <c r="J204" i="13"/>
  <c r="M211" i="13"/>
  <c r="P211" i="13"/>
  <c r="Q211" i="13"/>
  <c r="K212" i="13"/>
  <c r="M212" i="13"/>
  <c r="C213" i="13"/>
  <c r="D213" i="13"/>
  <c r="E213" i="13"/>
  <c r="F213" i="13"/>
  <c r="G213" i="13"/>
  <c r="H213" i="13"/>
  <c r="I213" i="13"/>
  <c r="J213" i="13"/>
  <c r="C214" i="13"/>
  <c r="D214" i="13"/>
  <c r="E214" i="13"/>
  <c r="F214" i="13"/>
  <c r="G214" i="13"/>
  <c r="H214" i="13"/>
  <c r="I214" i="13"/>
  <c r="K214" i="13"/>
  <c r="P214" i="13"/>
  <c r="C215" i="13"/>
  <c r="D215" i="13"/>
  <c r="E215" i="13"/>
  <c r="F215" i="13"/>
  <c r="G215" i="13"/>
  <c r="H215" i="13"/>
  <c r="I215" i="13"/>
  <c r="J215" i="13"/>
  <c r="K215" i="13"/>
  <c r="K217" i="13"/>
  <c r="C218" i="13"/>
  <c r="D218" i="13"/>
  <c r="E218" i="13"/>
  <c r="F218" i="13"/>
  <c r="G218" i="13"/>
  <c r="H218" i="13"/>
  <c r="I218" i="13"/>
  <c r="J218" i="13"/>
  <c r="C220" i="13"/>
  <c r="D220" i="13"/>
  <c r="E220" i="13"/>
  <c r="F220" i="13"/>
  <c r="G220" i="13"/>
  <c r="H220" i="13"/>
  <c r="I220" i="13"/>
  <c r="J220" i="13"/>
  <c r="K220" i="13"/>
  <c r="M220" i="13"/>
  <c r="K221" i="13"/>
  <c r="M221" i="13"/>
  <c r="C222" i="13"/>
  <c r="D222" i="13"/>
  <c r="E222" i="13"/>
  <c r="F222" i="13"/>
  <c r="G222" i="13"/>
  <c r="H222" i="13"/>
  <c r="I222" i="13"/>
  <c r="J222" i="13"/>
  <c r="K231" i="13"/>
  <c r="C232" i="13"/>
  <c r="D232" i="13"/>
  <c r="E232" i="13"/>
  <c r="F232" i="13"/>
  <c r="G232" i="13"/>
  <c r="H232" i="13"/>
  <c r="I232" i="13"/>
  <c r="J232" i="13"/>
  <c r="K233" i="13"/>
  <c r="C234" i="13"/>
  <c r="D234" i="13"/>
  <c r="E234" i="13"/>
  <c r="F234" i="13"/>
  <c r="G234" i="13"/>
  <c r="H234" i="13"/>
  <c r="I234" i="13"/>
  <c r="J234" i="13"/>
  <c r="K234" i="13"/>
  <c r="K236" i="13"/>
  <c r="C237" i="13"/>
  <c r="D237" i="13"/>
  <c r="E237" i="13"/>
  <c r="F237" i="13"/>
  <c r="G237" i="13"/>
  <c r="H237" i="13"/>
  <c r="I237" i="13"/>
  <c r="J237" i="13"/>
  <c r="C239" i="13"/>
  <c r="D239" i="13"/>
  <c r="E239" i="13"/>
  <c r="F239" i="13"/>
  <c r="G239" i="13"/>
  <c r="H239" i="13"/>
  <c r="I239" i="13"/>
  <c r="J239" i="13"/>
  <c r="K239" i="13"/>
  <c r="K240" i="13"/>
  <c r="C241" i="13"/>
  <c r="D241" i="13"/>
  <c r="E241" i="13"/>
  <c r="F241" i="13"/>
  <c r="G241" i="13"/>
  <c r="H241" i="13"/>
  <c r="I241" i="13"/>
  <c r="J241" i="13"/>
  <c r="C244" i="13"/>
  <c r="C245" i="13"/>
  <c r="C246" i="13"/>
  <c r="C247" i="13"/>
  <c r="C251" i="13"/>
  <c r="C254" i="13"/>
  <c r="C255" i="13"/>
  <c r="D255" i="13"/>
  <c r="C259" i="13"/>
  <c r="L270" i="13"/>
  <c r="M270" i="13"/>
  <c r="P270" i="13"/>
  <c r="J271" i="13"/>
  <c r="C272" i="13"/>
  <c r="D272" i="13"/>
  <c r="E272" i="13"/>
  <c r="F272" i="13"/>
  <c r="G272" i="13"/>
  <c r="H272" i="13"/>
  <c r="I272" i="13"/>
  <c r="C273" i="13"/>
  <c r="D273" i="13"/>
  <c r="E273" i="13"/>
  <c r="F273" i="13"/>
  <c r="G273" i="13"/>
  <c r="H273" i="13"/>
  <c r="I273" i="13"/>
  <c r="J273" i="13"/>
  <c r="M273" i="13"/>
  <c r="C274" i="13"/>
  <c r="D274" i="13"/>
  <c r="E274" i="13"/>
  <c r="F274" i="13"/>
  <c r="G274" i="13"/>
  <c r="H274" i="13"/>
  <c r="I274" i="13"/>
  <c r="J274" i="13"/>
  <c r="C276" i="13"/>
  <c r="D276" i="13"/>
  <c r="E276" i="13"/>
  <c r="F276" i="13"/>
  <c r="G276" i="13"/>
  <c r="H276" i="13"/>
  <c r="I276" i="13"/>
  <c r="J276" i="13"/>
  <c r="C277" i="13"/>
  <c r="D277" i="13"/>
  <c r="E277" i="13"/>
  <c r="F277" i="13"/>
  <c r="G277" i="13"/>
  <c r="H277" i="13"/>
  <c r="I277" i="13"/>
  <c r="J277" i="13"/>
  <c r="D278" i="13"/>
  <c r="E278" i="13"/>
  <c r="F278" i="13"/>
  <c r="G278" i="13"/>
  <c r="H278" i="13"/>
  <c r="I278" i="13"/>
  <c r="C279" i="13"/>
  <c r="D279" i="13"/>
  <c r="E279" i="13"/>
  <c r="F279" i="13"/>
  <c r="G279" i="13"/>
  <c r="H279" i="13"/>
  <c r="I279" i="13"/>
  <c r="J279" i="13"/>
  <c r="L279" i="13"/>
  <c r="J280" i="13"/>
  <c r="L280" i="13"/>
  <c r="C281" i="13"/>
  <c r="D281" i="13"/>
  <c r="E281" i="13"/>
  <c r="F281" i="13"/>
  <c r="G281" i="13"/>
  <c r="H281" i="13"/>
  <c r="I281" i="13"/>
  <c r="L289" i="13"/>
  <c r="M289" i="13"/>
  <c r="P289" i="13"/>
  <c r="J290" i="13"/>
  <c r="C291" i="13"/>
  <c r="D291" i="13"/>
  <c r="E291" i="13"/>
  <c r="F291" i="13"/>
  <c r="G291" i="13"/>
  <c r="H291" i="13"/>
  <c r="I291" i="13"/>
  <c r="C292" i="13"/>
  <c r="D292" i="13"/>
  <c r="E292" i="13"/>
  <c r="F292" i="13"/>
  <c r="G292" i="13"/>
  <c r="H292" i="13"/>
  <c r="I292" i="13"/>
  <c r="J292" i="13"/>
  <c r="M292" i="13"/>
  <c r="C293" i="13"/>
  <c r="D293" i="13"/>
  <c r="E293" i="13"/>
  <c r="F293" i="13"/>
  <c r="G293" i="13"/>
  <c r="H293" i="13"/>
  <c r="I293" i="13"/>
  <c r="J293" i="13"/>
  <c r="C295" i="13"/>
  <c r="D295" i="13"/>
  <c r="E295" i="13"/>
  <c r="F295" i="13"/>
  <c r="G295" i="13"/>
  <c r="H295" i="13"/>
  <c r="I295" i="13"/>
  <c r="J295" i="13"/>
  <c r="C296" i="13"/>
  <c r="D296" i="13"/>
  <c r="E296" i="13"/>
  <c r="F296" i="13"/>
  <c r="G296" i="13"/>
  <c r="H296" i="13"/>
  <c r="I296" i="13"/>
  <c r="J296" i="13"/>
  <c r="D297" i="13"/>
  <c r="E297" i="13"/>
  <c r="F297" i="13"/>
  <c r="G297" i="13"/>
  <c r="H297" i="13"/>
  <c r="I297" i="13"/>
  <c r="C298" i="13"/>
  <c r="D298" i="13"/>
  <c r="E298" i="13"/>
  <c r="F298" i="13"/>
  <c r="G298" i="13"/>
  <c r="H298" i="13"/>
  <c r="I298" i="13"/>
  <c r="J298" i="13"/>
  <c r="L298" i="13"/>
  <c r="P298" i="13"/>
  <c r="J299" i="13"/>
  <c r="L299" i="13"/>
  <c r="C300" i="13"/>
  <c r="D300" i="13"/>
  <c r="E300" i="13"/>
  <c r="F300" i="13"/>
  <c r="G300" i="13"/>
  <c r="H300" i="13"/>
  <c r="I300" i="13"/>
  <c r="J303" i="13"/>
  <c r="J304" i="13"/>
  <c r="P311" i="13"/>
  <c r="Q311" i="13"/>
  <c r="R311" i="13"/>
  <c r="K312" i="13"/>
  <c r="C313" i="13"/>
  <c r="D313" i="13"/>
  <c r="E313" i="13"/>
  <c r="F313" i="13"/>
  <c r="G313" i="13"/>
  <c r="H313" i="13"/>
  <c r="I313" i="13"/>
  <c r="J313" i="13"/>
  <c r="C314" i="13"/>
  <c r="D314" i="13"/>
  <c r="E314" i="13"/>
  <c r="F314" i="13"/>
  <c r="G314" i="13"/>
  <c r="H314" i="13"/>
  <c r="I314" i="13"/>
  <c r="J314" i="13"/>
  <c r="K314" i="13"/>
  <c r="Q314" i="13"/>
  <c r="C315" i="13"/>
  <c r="D315" i="13"/>
  <c r="E315" i="13"/>
  <c r="F315" i="13"/>
  <c r="G315" i="13"/>
  <c r="H315" i="13"/>
  <c r="I315" i="13"/>
  <c r="J315" i="13"/>
  <c r="K315" i="13"/>
  <c r="C317" i="13"/>
  <c r="D317" i="13"/>
  <c r="E317" i="13"/>
  <c r="F317" i="13"/>
  <c r="G317" i="13"/>
  <c r="H317" i="13"/>
  <c r="I317" i="13"/>
  <c r="J317" i="13"/>
  <c r="K317" i="13"/>
  <c r="C318" i="13"/>
  <c r="D318" i="13"/>
  <c r="E318" i="13"/>
  <c r="F318" i="13"/>
  <c r="G318" i="13"/>
  <c r="H318" i="13"/>
  <c r="I318" i="13"/>
  <c r="J318" i="13"/>
  <c r="K318" i="13"/>
  <c r="D319" i="13"/>
  <c r="E319" i="13"/>
  <c r="F319" i="13"/>
  <c r="G319" i="13"/>
  <c r="H319" i="13"/>
  <c r="I319" i="13"/>
  <c r="J319" i="13"/>
  <c r="C320" i="13"/>
  <c r="D320" i="13"/>
  <c r="E320" i="13"/>
  <c r="F320" i="13"/>
  <c r="G320" i="13"/>
  <c r="H320" i="13"/>
  <c r="I320" i="13"/>
  <c r="J320" i="13"/>
  <c r="K320" i="13"/>
  <c r="P320" i="13"/>
  <c r="K321" i="13"/>
  <c r="P321" i="13"/>
  <c r="C322" i="13"/>
  <c r="D322" i="13"/>
  <c r="E322" i="13"/>
  <c r="F322" i="13"/>
  <c r="G322" i="13"/>
  <c r="H322" i="13"/>
  <c r="I322" i="13"/>
  <c r="J322" i="13"/>
  <c r="J326" i="13"/>
  <c r="J327" i="13"/>
  <c r="F332" i="13"/>
  <c r="G332" i="13"/>
  <c r="H332" i="13"/>
  <c r="D334" i="13"/>
  <c r="C335" i="13"/>
  <c r="G335" i="13"/>
  <c r="D336" i="13"/>
  <c r="C337" i="13"/>
  <c r="D337" i="13"/>
  <c r="C339" i="13"/>
  <c r="D339" i="13"/>
  <c r="C340" i="13"/>
  <c r="D340" i="13"/>
  <c r="C341" i="13"/>
  <c r="C342" i="13"/>
  <c r="D342" i="13"/>
  <c r="D343" i="13"/>
  <c r="C344" i="13"/>
  <c r="J346" i="13"/>
  <c r="P352" i="13"/>
  <c r="Q352" i="13"/>
  <c r="R352" i="13"/>
  <c r="K353" i="13"/>
  <c r="C354" i="13"/>
  <c r="D354" i="13"/>
  <c r="E354" i="13"/>
  <c r="F354" i="13"/>
  <c r="G354" i="13"/>
  <c r="H354" i="13"/>
  <c r="I354" i="13"/>
  <c r="J354" i="13"/>
  <c r="C355" i="13"/>
  <c r="D355" i="13"/>
  <c r="E355" i="13"/>
  <c r="F355" i="13"/>
  <c r="G355" i="13"/>
  <c r="H355" i="13"/>
  <c r="I355" i="13"/>
  <c r="J355" i="13"/>
  <c r="K355" i="13"/>
  <c r="Q355" i="13"/>
  <c r="C356" i="13"/>
  <c r="D356" i="13"/>
  <c r="E356" i="13"/>
  <c r="F356" i="13"/>
  <c r="G356" i="13"/>
  <c r="H356" i="13"/>
  <c r="I356" i="13"/>
  <c r="J356" i="13"/>
  <c r="K356" i="13"/>
  <c r="C358" i="13"/>
  <c r="D358" i="13"/>
  <c r="E358" i="13"/>
  <c r="F358" i="13"/>
  <c r="G358" i="13"/>
  <c r="H358" i="13"/>
  <c r="I358" i="13"/>
  <c r="J358" i="13"/>
  <c r="K358" i="13"/>
  <c r="C359" i="13"/>
  <c r="D359" i="13"/>
  <c r="E359" i="13"/>
  <c r="F359" i="13"/>
  <c r="G359" i="13"/>
  <c r="H359" i="13"/>
  <c r="I359" i="13"/>
  <c r="J359" i="13"/>
  <c r="K359" i="13"/>
  <c r="D360" i="13"/>
  <c r="E360" i="13"/>
  <c r="F360" i="13"/>
  <c r="G360" i="13"/>
  <c r="H360" i="13"/>
  <c r="I360" i="13"/>
  <c r="J360" i="13"/>
  <c r="C361" i="13"/>
  <c r="D361" i="13"/>
  <c r="E361" i="13"/>
  <c r="F361" i="13"/>
  <c r="G361" i="13"/>
  <c r="H361" i="13"/>
  <c r="I361" i="13"/>
  <c r="J361" i="13"/>
  <c r="K361" i="13"/>
  <c r="K362" i="13"/>
  <c r="L362" i="13"/>
  <c r="C363" i="13"/>
  <c r="D363" i="13"/>
  <c r="E363" i="13"/>
  <c r="F363" i="13"/>
  <c r="G363" i="13"/>
  <c r="H363" i="13"/>
  <c r="I363" i="13"/>
  <c r="J363" i="13"/>
  <c r="Q365" i="13"/>
  <c r="R365" i="13"/>
  <c r="Q366" i="13"/>
  <c r="Q367" i="13"/>
  <c r="R367" i="13"/>
  <c r="F369" i="13"/>
  <c r="G369" i="13"/>
  <c r="H369" i="13"/>
  <c r="D371" i="13"/>
  <c r="C372" i="13"/>
  <c r="G372" i="13"/>
  <c r="D373" i="13"/>
  <c r="C374" i="13"/>
  <c r="D374" i="13"/>
  <c r="C376" i="13"/>
  <c r="D376" i="13"/>
  <c r="C377" i="13"/>
  <c r="D377" i="13"/>
  <c r="C379" i="13"/>
  <c r="D379" i="13"/>
  <c r="D380" i="13"/>
  <c r="C381" i="13"/>
  <c r="P388" i="13"/>
  <c r="Q388" i="13"/>
  <c r="R388" i="13"/>
  <c r="C389" i="13"/>
  <c r="D389" i="13"/>
  <c r="E389" i="13"/>
  <c r="F389" i="13"/>
  <c r="G389" i="13"/>
  <c r="H389" i="13"/>
  <c r="I389" i="13"/>
  <c r="J389" i="13"/>
  <c r="K389" i="13"/>
  <c r="C390" i="13"/>
  <c r="D390" i="13"/>
  <c r="E390" i="13"/>
  <c r="F390" i="13"/>
  <c r="G390" i="13"/>
  <c r="H390" i="13"/>
  <c r="I390" i="13"/>
  <c r="J390" i="13"/>
  <c r="K391" i="13"/>
  <c r="Q391" i="13"/>
  <c r="C392" i="13"/>
  <c r="D392" i="13"/>
  <c r="E392" i="13"/>
  <c r="F392" i="13"/>
  <c r="G392" i="13"/>
  <c r="H392" i="13"/>
  <c r="I392" i="13"/>
  <c r="J392" i="13"/>
  <c r="K392" i="13"/>
  <c r="C394" i="13"/>
  <c r="D394" i="13"/>
  <c r="E394" i="13"/>
  <c r="F394" i="13"/>
  <c r="G394" i="13"/>
  <c r="H394" i="13"/>
  <c r="I394" i="13"/>
  <c r="J394" i="13"/>
  <c r="K394" i="13"/>
  <c r="C395" i="13"/>
  <c r="D395" i="13"/>
  <c r="E395" i="13"/>
  <c r="F395" i="13"/>
  <c r="G395" i="13"/>
  <c r="H395" i="13"/>
  <c r="I395" i="13"/>
  <c r="J395" i="13"/>
  <c r="K395" i="13"/>
  <c r="D396" i="13"/>
  <c r="E396" i="13"/>
  <c r="F396" i="13"/>
  <c r="G396" i="13"/>
  <c r="H396" i="13"/>
  <c r="I396" i="13"/>
  <c r="J396" i="13"/>
  <c r="C397" i="13"/>
  <c r="D397" i="13"/>
  <c r="E397" i="13"/>
  <c r="F397" i="13"/>
  <c r="G397" i="13"/>
  <c r="H397" i="13"/>
  <c r="I397" i="13"/>
  <c r="J397" i="13"/>
  <c r="K397" i="13"/>
  <c r="K398" i="13"/>
  <c r="L398" i="13"/>
  <c r="C399" i="13"/>
  <c r="D399" i="13"/>
  <c r="E399" i="13"/>
  <c r="F399" i="13"/>
  <c r="G399" i="13"/>
  <c r="H399" i="13"/>
  <c r="I399" i="13"/>
  <c r="J399" i="13"/>
  <c r="F404" i="13"/>
  <c r="G404" i="13"/>
  <c r="H404" i="13"/>
  <c r="D406" i="13"/>
  <c r="C407" i="13"/>
  <c r="C409" i="13"/>
  <c r="D409" i="13"/>
  <c r="C411" i="13"/>
  <c r="C412" i="13"/>
  <c r="C414" i="13"/>
  <c r="C416" i="13"/>
  <c r="F421" i="13"/>
  <c r="G421" i="13"/>
  <c r="H421" i="13"/>
  <c r="D423" i="13"/>
  <c r="C424" i="13"/>
  <c r="G424" i="13"/>
  <c r="D425" i="13"/>
  <c r="C426" i="13"/>
  <c r="D426" i="13"/>
  <c r="C428" i="13"/>
  <c r="D428" i="13"/>
  <c r="C429" i="13"/>
  <c r="D429" i="13"/>
  <c r="C431" i="13"/>
  <c r="D431" i="13"/>
  <c r="D432" i="13"/>
  <c r="C433" i="13"/>
  <c r="L440" i="13"/>
  <c r="M440" i="13"/>
  <c r="P440" i="13"/>
  <c r="I441" i="13"/>
  <c r="C442" i="13"/>
  <c r="D442" i="13"/>
  <c r="E442" i="13"/>
  <c r="F442" i="13"/>
  <c r="G442" i="13"/>
  <c r="H442" i="13"/>
  <c r="I443" i="13"/>
  <c r="M443" i="13"/>
  <c r="Q443" i="13"/>
  <c r="C444" i="13"/>
  <c r="D444" i="13"/>
  <c r="E444" i="13"/>
  <c r="F444" i="13"/>
  <c r="G444" i="13"/>
  <c r="H444" i="13"/>
  <c r="I444" i="13"/>
  <c r="C446" i="13"/>
  <c r="D446" i="13"/>
  <c r="E446" i="13"/>
  <c r="F446" i="13"/>
  <c r="G446" i="13"/>
  <c r="H446" i="13"/>
  <c r="I446" i="13"/>
  <c r="C447" i="13"/>
  <c r="D447" i="13"/>
  <c r="E447" i="13"/>
  <c r="F447" i="13"/>
  <c r="G447" i="13"/>
  <c r="H447" i="13"/>
  <c r="I447" i="13"/>
  <c r="D448" i="13"/>
  <c r="E448" i="13"/>
  <c r="F448" i="13"/>
  <c r="G448" i="13"/>
  <c r="H448" i="13"/>
  <c r="C449" i="13"/>
  <c r="D449" i="13"/>
  <c r="E449" i="13"/>
  <c r="F449" i="13"/>
  <c r="G449" i="13"/>
  <c r="H449" i="13"/>
  <c r="I449" i="13"/>
  <c r="I450" i="13"/>
  <c r="J450" i="13"/>
  <c r="C451" i="13"/>
  <c r="D451" i="13"/>
  <c r="E451" i="13"/>
  <c r="F451" i="13"/>
  <c r="G451" i="13"/>
  <c r="H451" i="13"/>
  <c r="F456" i="13"/>
  <c r="G456" i="13"/>
  <c r="H456" i="13"/>
  <c r="D458" i="13"/>
  <c r="C459" i="13"/>
  <c r="C461" i="13"/>
  <c r="D461" i="13"/>
  <c r="I461" i="13"/>
  <c r="C464" i="13"/>
  <c r="C466" i="13"/>
  <c r="C468" i="13"/>
  <c r="F474" i="13"/>
  <c r="G474" i="13"/>
  <c r="H474" i="13"/>
  <c r="D476" i="13"/>
  <c r="C477" i="13"/>
  <c r="C478" i="13"/>
  <c r="C479" i="13"/>
  <c r="D479" i="13"/>
  <c r="C481" i="13"/>
  <c r="C482" i="13"/>
  <c r="C484" i="13"/>
  <c r="C486" i="13"/>
  <c r="Q493" i="13"/>
  <c r="R493" i="13"/>
  <c r="S493" i="13"/>
  <c r="D495" i="13"/>
  <c r="M495" i="13"/>
  <c r="C496" i="13"/>
  <c r="E496" i="13"/>
  <c r="G496" i="13"/>
  <c r="I496" i="13"/>
  <c r="C497" i="13"/>
  <c r="E497" i="13"/>
  <c r="I497" i="13"/>
  <c r="C498" i="13"/>
  <c r="D498" i="13"/>
  <c r="E498" i="13"/>
  <c r="F498" i="13"/>
  <c r="G498" i="13"/>
  <c r="H498" i="13"/>
  <c r="I498" i="13"/>
  <c r="J498" i="13"/>
  <c r="M498" i="13"/>
  <c r="C500" i="13"/>
  <c r="E500" i="13"/>
  <c r="G500" i="13"/>
  <c r="I500" i="13"/>
  <c r="C501" i="13"/>
  <c r="E501" i="13"/>
  <c r="G501" i="13"/>
  <c r="I501" i="13"/>
  <c r="L502" i="13"/>
  <c r="C503" i="13"/>
  <c r="E503" i="13"/>
  <c r="G503" i="13"/>
  <c r="I503" i="13"/>
  <c r="G504" i="13"/>
  <c r="C505" i="13"/>
  <c r="E505" i="13"/>
  <c r="G505" i="13"/>
  <c r="I505" i="13"/>
  <c r="Q512" i="13"/>
  <c r="R512" i="13"/>
  <c r="S512" i="13"/>
  <c r="L513" i="13"/>
  <c r="C514" i="13"/>
  <c r="D514" i="13"/>
  <c r="E514" i="13"/>
  <c r="F514" i="13"/>
  <c r="G514" i="13"/>
  <c r="H514" i="13"/>
  <c r="I514" i="13"/>
  <c r="J514" i="13"/>
  <c r="C515" i="13"/>
  <c r="D515" i="13"/>
  <c r="E515" i="13"/>
  <c r="F515" i="13"/>
  <c r="G515" i="13"/>
  <c r="H515" i="13"/>
  <c r="I515" i="13"/>
  <c r="J515" i="13"/>
  <c r="L515" i="13"/>
  <c r="R515" i="13"/>
  <c r="T515" i="13"/>
  <c r="C516" i="13"/>
  <c r="D516" i="13"/>
  <c r="E516" i="13"/>
  <c r="F516" i="13"/>
  <c r="G516" i="13"/>
  <c r="H516" i="13"/>
  <c r="I516" i="13"/>
  <c r="J516" i="13"/>
  <c r="L516" i="13"/>
  <c r="C518" i="13"/>
  <c r="D518" i="13"/>
  <c r="E518" i="13"/>
  <c r="F518" i="13"/>
  <c r="G518" i="13"/>
  <c r="H518" i="13"/>
  <c r="I518" i="13"/>
  <c r="J518" i="13"/>
  <c r="L518" i="13"/>
  <c r="C519" i="13"/>
  <c r="D519" i="13"/>
  <c r="E519" i="13"/>
  <c r="F519" i="13"/>
  <c r="G519" i="13"/>
  <c r="H519" i="13"/>
  <c r="I519" i="13"/>
  <c r="J519" i="13"/>
  <c r="L519" i="13"/>
  <c r="C521" i="13"/>
  <c r="D521" i="13"/>
  <c r="E521" i="13"/>
  <c r="F521" i="13"/>
  <c r="G521" i="13"/>
  <c r="H521" i="13"/>
  <c r="I521" i="13"/>
  <c r="J521" i="13"/>
  <c r="L521" i="13"/>
  <c r="C523" i="13"/>
  <c r="D523" i="13"/>
  <c r="E523" i="13"/>
  <c r="F523" i="13"/>
  <c r="G523" i="13"/>
  <c r="H523" i="13"/>
  <c r="I523" i="13"/>
  <c r="J523" i="13"/>
  <c r="L524" i="13"/>
  <c r="C531" i="13"/>
  <c r="C532" i="13"/>
  <c r="C533" i="13"/>
  <c r="C535" i="13"/>
  <c r="C536" i="13"/>
  <c r="C538" i="13"/>
  <c r="C540" i="13"/>
  <c r="T547" i="13"/>
  <c r="U547" i="13"/>
  <c r="V547" i="13"/>
  <c r="R548" i="13"/>
  <c r="C549" i="13"/>
  <c r="D549" i="13"/>
  <c r="E549" i="13"/>
  <c r="F549" i="13"/>
  <c r="G549" i="13"/>
  <c r="H549" i="13"/>
  <c r="I549" i="13"/>
  <c r="J549" i="13"/>
  <c r="K549" i="13"/>
  <c r="L549" i="13"/>
  <c r="M549" i="13"/>
  <c r="P549" i="13"/>
  <c r="T549" i="13"/>
  <c r="C550" i="13"/>
  <c r="D550" i="13"/>
  <c r="E550" i="13"/>
  <c r="F550" i="13"/>
  <c r="G550" i="13"/>
  <c r="H550" i="13"/>
  <c r="I550" i="13"/>
  <c r="J550" i="13"/>
  <c r="K550" i="13"/>
  <c r="L550" i="13"/>
  <c r="M550" i="13"/>
  <c r="T550" i="13"/>
  <c r="C551" i="13"/>
  <c r="D551" i="13"/>
  <c r="E551" i="13"/>
  <c r="F551" i="13"/>
  <c r="G551" i="13"/>
  <c r="H551" i="13"/>
  <c r="I551" i="13"/>
  <c r="J551" i="13"/>
  <c r="K551" i="13"/>
  <c r="L551" i="13"/>
  <c r="M551" i="13"/>
  <c r="P551" i="13"/>
  <c r="T551" i="13"/>
  <c r="C553" i="13"/>
  <c r="D553" i="13"/>
  <c r="E553" i="13"/>
  <c r="F553" i="13"/>
  <c r="G553" i="13"/>
  <c r="H553" i="13"/>
  <c r="I553" i="13"/>
  <c r="J553" i="13"/>
  <c r="K553" i="13"/>
  <c r="L553" i="13"/>
  <c r="C554" i="13"/>
  <c r="D554" i="13"/>
  <c r="E554" i="13"/>
  <c r="F554" i="13"/>
  <c r="G554" i="13"/>
  <c r="H554" i="13"/>
  <c r="I554" i="13"/>
  <c r="J554" i="13"/>
  <c r="K554" i="13"/>
  <c r="L554" i="13"/>
  <c r="M554" i="13"/>
  <c r="P554" i="13"/>
  <c r="D555" i="13"/>
  <c r="E555" i="13"/>
  <c r="F555" i="13"/>
  <c r="G555" i="13"/>
  <c r="H555" i="13"/>
  <c r="I555" i="13"/>
  <c r="J555" i="13"/>
  <c r="K555" i="13"/>
  <c r="L555" i="13"/>
  <c r="M555" i="13"/>
  <c r="P555" i="13"/>
  <c r="C556" i="13"/>
  <c r="D556" i="13"/>
  <c r="E556" i="13"/>
  <c r="F556" i="13"/>
  <c r="G556" i="13"/>
  <c r="H556" i="13"/>
  <c r="I556" i="13"/>
  <c r="J556" i="13"/>
  <c r="K556" i="13"/>
  <c r="L556" i="13"/>
  <c r="M556" i="13"/>
  <c r="P556" i="13"/>
  <c r="C558" i="13"/>
  <c r="D558" i="13"/>
  <c r="E558" i="13"/>
  <c r="F558" i="13"/>
  <c r="G558" i="13"/>
  <c r="H558" i="13"/>
  <c r="I558" i="13"/>
  <c r="J558" i="13"/>
  <c r="K558" i="13"/>
  <c r="L558" i="13"/>
  <c r="M558" i="13"/>
  <c r="P558" i="13"/>
  <c r="C567" i="13"/>
  <c r="D567" i="13"/>
  <c r="E567" i="13"/>
  <c r="F567" i="13"/>
  <c r="C569" i="13"/>
  <c r="D569" i="13"/>
  <c r="E569" i="13"/>
  <c r="F569" i="13"/>
  <c r="C571" i="13"/>
  <c r="D571" i="13"/>
  <c r="E571" i="13"/>
  <c r="F571" i="13"/>
  <c r="C572" i="13"/>
  <c r="D572" i="13"/>
  <c r="E572" i="13"/>
  <c r="F572" i="13"/>
  <c r="D573" i="13"/>
  <c r="E573" i="13"/>
  <c r="F573" i="13"/>
  <c r="C574" i="13"/>
  <c r="D574" i="13"/>
  <c r="E574" i="13"/>
  <c r="F574" i="13"/>
  <c r="C576" i="13"/>
  <c r="D576" i="13"/>
  <c r="E576" i="13"/>
  <c r="F576" i="13"/>
  <c r="C586" i="13"/>
  <c r="D586" i="13"/>
  <c r="E586" i="13"/>
  <c r="C588" i="13"/>
  <c r="D588" i="13"/>
  <c r="E588" i="13"/>
  <c r="C590" i="13"/>
  <c r="D590" i="13"/>
  <c r="E590" i="13"/>
  <c r="C591" i="13"/>
  <c r="D591" i="13"/>
  <c r="E591" i="13"/>
  <c r="G591" i="13"/>
  <c r="D592" i="13"/>
  <c r="E592" i="13"/>
  <c r="C593" i="13"/>
  <c r="D593" i="13"/>
  <c r="E593" i="13"/>
  <c r="G593" i="13"/>
  <c r="H593" i="13"/>
  <c r="I593" i="13"/>
  <c r="C595" i="13"/>
  <c r="D595" i="13"/>
  <c r="E595" i="13"/>
  <c r="S603" i="13"/>
  <c r="T603" i="13"/>
  <c r="U603" i="13"/>
  <c r="Q604" i="13"/>
  <c r="C605" i="13"/>
  <c r="D605" i="13"/>
  <c r="E605" i="13"/>
  <c r="F605" i="13"/>
  <c r="G605" i="13"/>
  <c r="H605" i="13"/>
  <c r="I605" i="13"/>
  <c r="J605" i="13"/>
  <c r="K605" i="13"/>
  <c r="L605" i="13"/>
  <c r="M605" i="13"/>
  <c r="S605" i="13"/>
  <c r="C606" i="13"/>
  <c r="D606" i="13"/>
  <c r="E606" i="13"/>
  <c r="F606" i="13"/>
  <c r="G606" i="13"/>
  <c r="H606" i="13"/>
  <c r="I606" i="13"/>
  <c r="J606" i="13"/>
  <c r="K606" i="13"/>
  <c r="L606" i="13"/>
  <c r="M606" i="13"/>
  <c r="S606" i="13"/>
  <c r="C607" i="13"/>
  <c r="D607" i="13"/>
  <c r="E607" i="13"/>
  <c r="F607" i="13"/>
  <c r="G607" i="13"/>
  <c r="H607" i="13"/>
  <c r="I607" i="13"/>
  <c r="J607" i="13"/>
  <c r="K607" i="13"/>
  <c r="L607" i="13"/>
  <c r="M607" i="13"/>
  <c r="C609" i="13"/>
  <c r="D609" i="13"/>
  <c r="E609" i="13"/>
  <c r="F609" i="13"/>
  <c r="G609" i="13"/>
  <c r="H609" i="13"/>
  <c r="I609" i="13"/>
  <c r="J609" i="13"/>
  <c r="K609" i="13"/>
  <c r="L609" i="13"/>
  <c r="M609" i="13"/>
  <c r="C610" i="13"/>
  <c r="D610" i="13"/>
  <c r="E610" i="13"/>
  <c r="F610" i="13"/>
  <c r="G610" i="13"/>
  <c r="H610" i="13"/>
  <c r="I610" i="13"/>
  <c r="J610" i="13"/>
  <c r="K610" i="13"/>
  <c r="L610" i="13"/>
  <c r="M610" i="13"/>
  <c r="Q610" i="13"/>
  <c r="D611" i="13"/>
  <c r="E611" i="13"/>
  <c r="F611" i="13"/>
  <c r="G611" i="13"/>
  <c r="H611" i="13"/>
  <c r="I611" i="13"/>
  <c r="J611" i="13"/>
  <c r="K611" i="13"/>
  <c r="L611" i="13"/>
  <c r="M611" i="13"/>
  <c r="C612" i="13"/>
  <c r="D612" i="13"/>
  <c r="E612" i="13"/>
  <c r="F612" i="13"/>
  <c r="G612" i="13"/>
  <c r="H612" i="13"/>
  <c r="I612" i="13"/>
  <c r="J612" i="13"/>
  <c r="K612" i="13"/>
  <c r="L612" i="13"/>
  <c r="M612" i="13"/>
  <c r="Q612" i="13"/>
  <c r="R612" i="13"/>
  <c r="S612" i="13"/>
  <c r="Q613" i="13"/>
  <c r="R613" i="13"/>
  <c r="C614" i="13"/>
  <c r="D614" i="13"/>
  <c r="E614" i="13"/>
  <c r="F614" i="13"/>
  <c r="G614" i="13"/>
  <c r="H614" i="13"/>
  <c r="I614" i="13"/>
  <c r="J614" i="13"/>
  <c r="K614" i="13"/>
  <c r="L614" i="13"/>
  <c r="M614" i="13"/>
  <c r="Q614" i="13"/>
  <c r="R614" i="13"/>
  <c r="S619" i="13"/>
  <c r="T619" i="13"/>
  <c r="U619" i="13"/>
  <c r="C623" i="13"/>
  <c r="D623" i="13"/>
  <c r="E623" i="13"/>
  <c r="F623" i="13"/>
  <c r="G623" i="13"/>
  <c r="H623" i="13"/>
  <c r="I623" i="13"/>
  <c r="J623" i="13"/>
  <c r="K623" i="13"/>
  <c r="L623" i="13"/>
  <c r="M623" i="13"/>
  <c r="P623" i="13"/>
  <c r="C624" i="13"/>
  <c r="D624" i="13"/>
  <c r="E624" i="13"/>
  <c r="F624" i="13"/>
  <c r="G624" i="13"/>
  <c r="H624" i="13"/>
  <c r="I624" i="13"/>
  <c r="J624" i="13"/>
  <c r="K624" i="13"/>
  <c r="L624" i="13"/>
  <c r="M624" i="13"/>
  <c r="C625" i="13"/>
  <c r="D625" i="13"/>
  <c r="E625" i="13"/>
  <c r="F625" i="13"/>
  <c r="G625" i="13"/>
  <c r="H625" i="13"/>
  <c r="I625" i="13"/>
  <c r="J625" i="13"/>
  <c r="K625" i="13"/>
  <c r="L625" i="13"/>
  <c r="M625" i="13"/>
  <c r="P625" i="13"/>
  <c r="C627" i="13"/>
  <c r="D627" i="13"/>
  <c r="E627" i="13"/>
  <c r="F627" i="13"/>
  <c r="G627" i="13"/>
  <c r="H627" i="13"/>
  <c r="I627" i="13"/>
  <c r="J627" i="13"/>
  <c r="K627" i="13"/>
  <c r="L627" i="13"/>
  <c r="M627" i="13"/>
  <c r="P627" i="13"/>
  <c r="C628" i="13"/>
  <c r="D628" i="13"/>
  <c r="E628" i="13"/>
  <c r="F628" i="13"/>
  <c r="G628" i="13"/>
  <c r="H628" i="13"/>
  <c r="I628" i="13"/>
  <c r="J628" i="13"/>
  <c r="K628" i="13"/>
  <c r="L628" i="13"/>
  <c r="M628" i="13"/>
  <c r="P628" i="13"/>
  <c r="D629" i="13"/>
  <c r="E629" i="13"/>
  <c r="F629" i="13"/>
  <c r="G629" i="13"/>
  <c r="H629" i="13"/>
  <c r="I629" i="13"/>
  <c r="J629" i="13"/>
  <c r="K629" i="13"/>
  <c r="L629" i="13"/>
  <c r="M629" i="13"/>
  <c r="P629" i="13"/>
  <c r="C630" i="13"/>
  <c r="D630" i="13"/>
  <c r="E630" i="13"/>
  <c r="F630" i="13"/>
  <c r="G630" i="13"/>
  <c r="H630" i="13"/>
  <c r="I630" i="13"/>
  <c r="J630" i="13"/>
  <c r="K630" i="13"/>
  <c r="L630" i="13"/>
  <c r="M630" i="13"/>
  <c r="R630" i="13"/>
  <c r="S630" i="13"/>
  <c r="C632" i="13"/>
  <c r="D632" i="13"/>
  <c r="E632" i="13"/>
  <c r="F632" i="13"/>
  <c r="G632" i="13"/>
  <c r="H632" i="13"/>
  <c r="I632" i="13"/>
  <c r="J632" i="13"/>
  <c r="K632" i="13"/>
  <c r="L632" i="13"/>
  <c r="M632" i="13"/>
  <c r="P632" i="13"/>
  <c r="G638" i="13"/>
  <c r="H638" i="13"/>
  <c r="I638" i="13"/>
  <c r="C642" i="13"/>
  <c r="D642" i="13"/>
  <c r="E642" i="13"/>
  <c r="C644" i="13"/>
  <c r="D644" i="13"/>
  <c r="E644" i="13"/>
  <c r="C646" i="13"/>
  <c r="D646" i="13"/>
  <c r="E646" i="13"/>
  <c r="C647" i="13"/>
  <c r="D647" i="13"/>
  <c r="E647" i="13"/>
  <c r="D648" i="13"/>
  <c r="E648" i="13"/>
  <c r="C649" i="13"/>
  <c r="D649" i="13"/>
  <c r="E649" i="13"/>
  <c r="G649" i="13"/>
  <c r="H649" i="13"/>
  <c r="C651" i="13"/>
  <c r="D651" i="13"/>
  <c r="E651" i="13"/>
  <c r="H651" i="13"/>
  <c r="J652" i="13"/>
  <c r="Q657" i="13"/>
  <c r="R657" i="13"/>
  <c r="S657" i="13"/>
  <c r="C661" i="13"/>
  <c r="D661" i="13"/>
  <c r="E661" i="13"/>
  <c r="F661" i="13"/>
  <c r="G661" i="13"/>
  <c r="H661" i="13"/>
  <c r="I661" i="13"/>
  <c r="J661" i="13"/>
  <c r="K661" i="13"/>
  <c r="L661" i="13"/>
  <c r="C662" i="13"/>
  <c r="D662" i="13"/>
  <c r="E662" i="13"/>
  <c r="F662" i="13"/>
  <c r="G662" i="13"/>
  <c r="H662" i="13"/>
  <c r="I662" i="13"/>
  <c r="J662" i="13"/>
  <c r="K662" i="13"/>
  <c r="L662" i="13"/>
  <c r="P662" i="13"/>
  <c r="C663" i="13"/>
  <c r="D663" i="13"/>
  <c r="E663" i="13"/>
  <c r="F663" i="13"/>
  <c r="G663" i="13"/>
  <c r="H663" i="13"/>
  <c r="I663" i="13"/>
  <c r="J663" i="13"/>
  <c r="K663" i="13"/>
  <c r="L663" i="13"/>
  <c r="C665" i="13"/>
  <c r="D665" i="13"/>
  <c r="E665" i="13"/>
  <c r="F665" i="13"/>
  <c r="G665" i="13"/>
  <c r="H665" i="13"/>
  <c r="I665" i="13"/>
  <c r="J665" i="13"/>
  <c r="K665" i="13"/>
  <c r="L665" i="13"/>
  <c r="C666" i="13"/>
  <c r="D666" i="13"/>
  <c r="E666" i="13"/>
  <c r="F666" i="13"/>
  <c r="G666" i="13"/>
  <c r="H666" i="13"/>
  <c r="I666" i="13"/>
  <c r="J666" i="13"/>
  <c r="K666" i="13"/>
  <c r="L666" i="13"/>
  <c r="D667" i="13"/>
  <c r="E667" i="13"/>
  <c r="F667" i="13"/>
  <c r="G667" i="13"/>
  <c r="H667" i="13"/>
  <c r="I667" i="13"/>
  <c r="J667" i="13"/>
  <c r="K667" i="13"/>
  <c r="L667" i="13"/>
  <c r="C668" i="13"/>
  <c r="D668" i="13"/>
  <c r="E668" i="13"/>
  <c r="F668" i="13"/>
  <c r="G668" i="13"/>
  <c r="H668" i="13"/>
  <c r="I668" i="13"/>
  <c r="J668" i="13"/>
  <c r="K668" i="13"/>
  <c r="L668" i="13"/>
  <c r="P668" i="13"/>
  <c r="Q668" i="13"/>
  <c r="C670" i="13"/>
  <c r="D670" i="13"/>
  <c r="E670" i="13"/>
  <c r="F670" i="13"/>
  <c r="G670" i="13"/>
  <c r="H670" i="13"/>
  <c r="I670" i="13"/>
  <c r="J670" i="13"/>
  <c r="K670" i="13"/>
  <c r="L670" i="13"/>
  <c r="F675" i="13"/>
  <c r="H675" i="13"/>
  <c r="C679" i="13"/>
  <c r="C681" i="13"/>
  <c r="C683" i="13"/>
  <c r="C684" i="13"/>
  <c r="C685" i="13"/>
  <c r="C686" i="13"/>
  <c r="C688" i="13"/>
  <c r="G693" i="13"/>
  <c r="H693" i="13"/>
  <c r="I693" i="13"/>
  <c r="C697" i="13"/>
  <c r="D697" i="13"/>
  <c r="E697" i="13"/>
  <c r="C699" i="13"/>
  <c r="D699" i="13"/>
  <c r="E699" i="13"/>
  <c r="C701" i="13"/>
  <c r="D701" i="13"/>
  <c r="E701" i="13"/>
  <c r="C702" i="13"/>
  <c r="D702" i="13"/>
  <c r="E702" i="13"/>
  <c r="D703" i="13"/>
  <c r="C704" i="13"/>
  <c r="D704" i="13"/>
  <c r="E704" i="13"/>
  <c r="G704" i="13"/>
  <c r="H704" i="13"/>
  <c r="C706" i="13"/>
  <c r="D706" i="13"/>
  <c r="E706" i="13"/>
  <c r="Q712" i="13"/>
  <c r="R712" i="13"/>
  <c r="S712" i="13"/>
  <c r="C716" i="13"/>
  <c r="D716" i="13"/>
  <c r="E716" i="13"/>
  <c r="F716" i="13"/>
  <c r="G716" i="13"/>
  <c r="H716" i="13"/>
  <c r="I716" i="13"/>
  <c r="J716" i="13"/>
  <c r="K716" i="13"/>
  <c r="L716" i="13"/>
  <c r="C717" i="13"/>
  <c r="D717" i="13"/>
  <c r="E717" i="13"/>
  <c r="F717" i="13"/>
  <c r="G717" i="13"/>
  <c r="H717" i="13"/>
  <c r="I717" i="13"/>
  <c r="J717" i="13"/>
  <c r="K717" i="13"/>
  <c r="L717" i="13"/>
  <c r="P717" i="13"/>
  <c r="C718" i="13"/>
  <c r="D718" i="13"/>
  <c r="E718" i="13"/>
  <c r="F718" i="13"/>
  <c r="G718" i="13"/>
  <c r="H718" i="13"/>
  <c r="I718" i="13"/>
  <c r="J718" i="13"/>
  <c r="K718" i="13"/>
  <c r="L718" i="13"/>
  <c r="P719" i="13"/>
  <c r="C720" i="13"/>
  <c r="D720" i="13"/>
  <c r="E720" i="13"/>
  <c r="F720" i="13"/>
  <c r="G720" i="13"/>
  <c r="H720" i="13"/>
  <c r="I720" i="13"/>
  <c r="J720" i="13"/>
  <c r="K720" i="13"/>
  <c r="L720" i="13"/>
  <c r="C721" i="13"/>
  <c r="D721" i="13"/>
  <c r="E721" i="13"/>
  <c r="F721" i="13"/>
  <c r="G721" i="13"/>
  <c r="H721" i="13"/>
  <c r="I721" i="13"/>
  <c r="J721" i="13"/>
  <c r="K721" i="13"/>
  <c r="L721" i="13"/>
  <c r="D722" i="13"/>
  <c r="E722" i="13"/>
  <c r="F722" i="13"/>
  <c r="G722" i="13"/>
  <c r="H722" i="13"/>
  <c r="I722" i="13"/>
  <c r="J722" i="13"/>
  <c r="K722" i="13"/>
  <c r="L722" i="13"/>
  <c r="C723" i="13"/>
  <c r="D723" i="13"/>
  <c r="E723" i="13"/>
  <c r="F723" i="13"/>
  <c r="G723" i="13"/>
  <c r="H723" i="13"/>
  <c r="I723" i="13"/>
  <c r="J723" i="13"/>
  <c r="K723" i="13"/>
  <c r="L723" i="13"/>
  <c r="P723" i="13"/>
  <c r="C725" i="13"/>
  <c r="D725" i="13"/>
  <c r="E725" i="13"/>
  <c r="F725" i="13"/>
  <c r="G725" i="13"/>
  <c r="H725" i="13"/>
  <c r="I725" i="13"/>
  <c r="J725" i="13"/>
  <c r="K725" i="13"/>
  <c r="L725" i="13"/>
  <c r="C735" i="13"/>
  <c r="D735" i="13"/>
  <c r="E735" i="13"/>
  <c r="C737" i="13"/>
  <c r="D737" i="13"/>
  <c r="E737" i="13"/>
  <c r="G738" i="13"/>
  <c r="H738" i="13"/>
  <c r="C739" i="13"/>
  <c r="D739" i="13"/>
  <c r="E739" i="13"/>
  <c r="C740" i="13"/>
  <c r="D740" i="13"/>
  <c r="E740" i="13"/>
  <c r="D741" i="13"/>
  <c r="E741" i="13"/>
  <c r="C742" i="13"/>
  <c r="D742" i="13"/>
  <c r="E742" i="13"/>
  <c r="G742" i="13"/>
  <c r="I742" i="13"/>
  <c r="J742" i="13"/>
  <c r="C744" i="13"/>
  <c r="D744" i="13"/>
  <c r="E744" i="13"/>
  <c r="Q753" i="13"/>
  <c r="R753" i="13"/>
  <c r="S753" i="13"/>
  <c r="C757" i="13"/>
  <c r="D757" i="13"/>
  <c r="E757" i="13"/>
  <c r="F757" i="13"/>
  <c r="G757" i="13"/>
  <c r="H757" i="13"/>
  <c r="I757" i="13"/>
  <c r="J757" i="13"/>
  <c r="K757" i="13"/>
  <c r="L757" i="13"/>
  <c r="C758" i="13"/>
  <c r="D758" i="13"/>
  <c r="E758" i="13"/>
  <c r="F758" i="13"/>
  <c r="G758" i="13"/>
  <c r="H758" i="13"/>
  <c r="I758" i="13"/>
  <c r="J758" i="13"/>
  <c r="K758" i="13"/>
  <c r="L758" i="13"/>
  <c r="P758" i="13"/>
  <c r="C759" i="13"/>
  <c r="D759" i="13"/>
  <c r="E759" i="13"/>
  <c r="F759" i="13"/>
  <c r="G759" i="13"/>
  <c r="H759" i="13"/>
  <c r="I759" i="13"/>
  <c r="J759" i="13"/>
  <c r="K759" i="13"/>
  <c r="L759" i="13"/>
  <c r="P760" i="13"/>
  <c r="C761" i="13"/>
  <c r="D761" i="13"/>
  <c r="E761" i="13"/>
  <c r="F761" i="13"/>
  <c r="G761" i="13"/>
  <c r="H761" i="13"/>
  <c r="I761" i="13"/>
  <c r="J761" i="13"/>
  <c r="K761" i="13"/>
  <c r="L761" i="13"/>
  <c r="C762" i="13"/>
  <c r="D762" i="13"/>
  <c r="E762" i="13"/>
  <c r="F762" i="13"/>
  <c r="G762" i="13"/>
  <c r="H762" i="13"/>
  <c r="I762" i="13"/>
  <c r="J762" i="13"/>
  <c r="K762" i="13"/>
  <c r="L762" i="13"/>
  <c r="P762" i="13"/>
  <c r="D763" i="13"/>
  <c r="E763" i="13"/>
  <c r="F763" i="13"/>
  <c r="G763" i="13"/>
  <c r="H763" i="13"/>
  <c r="I763" i="13"/>
  <c r="J763" i="13"/>
  <c r="K763" i="13"/>
  <c r="L763" i="13"/>
  <c r="C764" i="13"/>
  <c r="D764" i="13"/>
  <c r="E764" i="13"/>
  <c r="F764" i="13"/>
  <c r="G764" i="13"/>
  <c r="H764" i="13"/>
  <c r="I764" i="13"/>
  <c r="J764" i="13"/>
  <c r="K764" i="13"/>
  <c r="L764" i="13"/>
  <c r="P764" i="13"/>
  <c r="C766" i="13"/>
  <c r="D766" i="13"/>
  <c r="E766" i="13"/>
  <c r="F766" i="13"/>
  <c r="G766" i="13"/>
  <c r="H766" i="13"/>
  <c r="I766" i="13"/>
  <c r="J766" i="13"/>
  <c r="K766" i="13"/>
  <c r="L766" i="13"/>
  <c r="Q771" i="13"/>
  <c r="R771" i="13"/>
  <c r="S771" i="13"/>
  <c r="C776" i="13"/>
  <c r="D776" i="13"/>
  <c r="E776" i="13"/>
  <c r="G777" i="13"/>
  <c r="C778" i="13"/>
  <c r="D778" i="13"/>
  <c r="E778" i="13"/>
  <c r="G779" i="13"/>
  <c r="C780" i="13"/>
  <c r="D780" i="13"/>
  <c r="E780" i="13"/>
  <c r="C781" i="13"/>
  <c r="D781" i="13"/>
  <c r="E781" i="13"/>
  <c r="G781" i="13"/>
  <c r="D782" i="13"/>
  <c r="E782" i="13"/>
  <c r="C783" i="13"/>
  <c r="D783" i="13"/>
  <c r="E783" i="13"/>
  <c r="G783" i="13"/>
  <c r="C785" i="13"/>
  <c r="D785" i="13"/>
  <c r="E785" i="13"/>
  <c r="H791" i="13"/>
  <c r="I791" i="13"/>
  <c r="J791" i="13"/>
  <c r="C794" i="13"/>
  <c r="D794" i="13"/>
  <c r="E794" i="13"/>
  <c r="F794" i="13"/>
  <c r="C795" i="13"/>
  <c r="D795" i="13"/>
  <c r="E795" i="13"/>
  <c r="F795" i="13"/>
  <c r="H795" i="13"/>
  <c r="C796" i="13"/>
  <c r="D796" i="13"/>
  <c r="E796" i="13"/>
  <c r="F796" i="13"/>
  <c r="H797" i="13"/>
  <c r="C799" i="13"/>
  <c r="D799" i="13"/>
  <c r="E799" i="13"/>
  <c r="F799" i="13"/>
  <c r="H799" i="13"/>
  <c r="C801" i="13"/>
  <c r="D801" i="13"/>
  <c r="E801" i="13"/>
  <c r="F801" i="13"/>
  <c r="H801" i="13"/>
  <c r="C803" i="13"/>
  <c r="D803" i="13"/>
  <c r="E803" i="13"/>
  <c r="F803" i="13"/>
  <c r="H804" i="13"/>
  <c r="H805" i="13"/>
  <c r="Q809" i="13"/>
  <c r="R809" i="13"/>
  <c r="S809" i="13"/>
  <c r="C814" i="13"/>
  <c r="D814" i="13"/>
  <c r="E814" i="13"/>
  <c r="C816" i="13"/>
  <c r="D816" i="13"/>
  <c r="E816" i="13"/>
  <c r="G817" i="13"/>
  <c r="C818" i="13"/>
  <c r="D818" i="13"/>
  <c r="E818" i="13"/>
  <c r="C819" i="13"/>
  <c r="D819" i="13"/>
  <c r="E819" i="13"/>
  <c r="D820" i="13"/>
  <c r="E820" i="13"/>
  <c r="C821" i="13"/>
  <c r="D821" i="13"/>
  <c r="E821" i="13"/>
  <c r="G821" i="13"/>
  <c r="C823" i="13"/>
  <c r="D823" i="13"/>
  <c r="E823" i="13"/>
  <c r="Q828" i="13"/>
  <c r="R828" i="13"/>
  <c r="S828" i="13"/>
  <c r="U828" i="13"/>
  <c r="R829" i="13"/>
  <c r="U829" i="13"/>
  <c r="V829" i="13"/>
  <c r="U831" i="13"/>
  <c r="C832" i="13"/>
  <c r="D832" i="13"/>
  <c r="E832" i="13"/>
  <c r="F832" i="13"/>
  <c r="G832" i="13"/>
  <c r="H832" i="13"/>
  <c r="I832" i="13"/>
  <c r="J832" i="13"/>
  <c r="K832" i="13"/>
  <c r="L832" i="13"/>
  <c r="M832" i="13"/>
  <c r="N832" i="13"/>
  <c r="C833" i="13"/>
  <c r="D833" i="13"/>
  <c r="E833" i="13"/>
  <c r="F833" i="13"/>
  <c r="G833" i="13"/>
  <c r="H833" i="13"/>
  <c r="I833" i="13"/>
  <c r="J833" i="13"/>
  <c r="K833" i="13"/>
  <c r="L833" i="13"/>
  <c r="M833" i="13"/>
  <c r="N833" i="13"/>
  <c r="P833" i="13"/>
  <c r="U833" i="13"/>
  <c r="V833" i="13"/>
  <c r="C834" i="13"/>
  <c r="D834" i="13"/>
  <c r="E834" i="13"/>
  <c r="F834" i="13"/>
  <c r="G834" i="13"/>
  <c r="H834" i="13"/>
  <c r="I834" i="13"/>
  <c r="J834" i="13"/>
  <c r="K834" i="13"/>
  <c r="L834" i="13"/>
  <c r="M834" i="13"/>
  <c r="N834" i="13"/>
  <c r="P835" i="13"/>
  <c r="C836" i="13"/>
  <c r="D836" i="13"/>
  <c r="E836" i="13"/>
  <c r="F836" i="13"/>
  <c r="G836" i="13"/>
  <c r="H836" i="13"/>
  <c r="I836" i="13"/>
  <c r="J836" i="13"/>
  <c r="K836" i="13"/>
  <c r="L836" i="13"/>
  <c r="M836" i="13"/>
  <c r="N836" i="13"/>
  <c r="P836" i="13"/>
  <c r="C837" i="13"/>
  <c r="D837" i="13"/>
  <c r="E837" i="13"/>
  <c r="F837" i="13"/>
  <c r="G837" i="13"/>
  <c r="H837" i="13"/>
  <c r="I837" i="13"/>
  <c r="J837" i="13"/>
  <c r="K837" i="13"/>
  <c r="L837" i="13"/>
  <c r="M837" i="13"/>
  <c r="N837" i="13"/>
  <c r="D838" i="13"/>
  <c r="E838" i="13"/>
  <c r="F838" i="13"/>
  <c r="G838" i="13"/>
  <c r="H838" i="13"/>
  <c r="I838" i="13"/>
  <c r="J838" i="13"/>
  <c r="K838" i="13"/>
  <c r="L838" i="13"/>
  <c r="M838" i="13"/>
  <c r="N838" i="13"/>
  <c r="C839" i="13"/>
  <c r="D839" i="13"/>
  <c r="E839" i="13"/>
  <c r="F839" i="13"/>
  <c r="G839" i="13"/>
  <c r="H839" i="13"/>
  <c r="I839" i="13"/>
  <c r="J839" i="13"/>
  <c r="K839" i="13"/>
  <c r="L839" i="13"/>
  <c r="M839" i="13"/>
  <c r="N839" i="13"/>
  <c r="P839" i="13"/>
  <c r="C841" i="13"/>
  <c r="D841" i="13"/>
  <c r="E841" i="13"/>
  <c r="F841" i="13"/>
  <c r="G841" i="13"/>
  <c r="H841" i="13"/>
  <c r="I841" i="13"/>
  <c r="J841" i="13"/>
  <c r="K841" i="13"/>
  <c r="L841" i="13"/>
  <c r="M841" i="13"/>
  <c r="N841" i="13"/>
  <c r="F846" i="13"/>
  <c r="G846" i="13"/>
  <c r="H846" i="13"/>
  <c r="C850" i="13"/>
  <c r="C852" i="13"/>
  <c r="E853" i="13"/>
  <c r="C855" i="13"/>
  <c r="C857" i="13"/>
  <c r="C859" i="13"/>
  <c r="I866" i="13"/>
  <c r="J866" i="13"/>
  <c r="K866" i="13"/>
  <c r="C869" i="13"/>
  <c r="D869" i="13"/>
  <c r="E869" i="13"/>
  <c r="F869" i="13"/>
  <c r="G869" i="13"/>
  <c r="C870" i="13"/>
  <c r="D870" i="13"/>
  <c r="E870" i="13"/>
  <c r="F870" i="13"/>
  <c r="G870" i="13"/>
  <c r="H870" i="13"/>
  <c r="C871" i="13"/>
  <c r="D871" i="13"/>
  <c r="E871" i="13"/>
  <c r="F871" i="13"/>
  <c r="G871" i="13"/>
  <c r="H872" i="13"/>
  <c r="C874" i="13"/>
  <c r="D874" i="13"/>
  <c r="E874" i="13"/>
  <c r="F874" i="13"/>
  <c r="G874" i="13"/>
  <c r="H874" i="13"/>
  <c r="C876" i="13"/>
  <c r="D876" i="13"/>
  <c r="E876" i="13"/>
  <c r="F876" i="13"/>
  <c r="G876" i="13"/>
  <c r="H876" i="13"/>
  <c r="C878" i="13"/>
  <c r="D878" i="13"/>
  <c r="E878" i="13"/>
  <c r="F878" i="13"/>
  <c r="G878" i="13"/>
  <c r="I881" i="13"/>
  <c r="I882" i="13"/>
  <c r="Q887" i="13"/>
  <c r="R887" i="13"/>
  <c r="S887" i="13"/>
  <c r="C891" i="13"/>
  <c r="D891" i="13"/>
  <c r="E891" i="13"/>
  <c r="F891" i="13"/>
  <c r="G891" i="13"/>
  <c r="H891" i="13"/>
  <c r="I891" i="13"/>
  <c r="J891" i="13"/>
  <c r="K891" i="13"/>
  <c r="L891" i="13"/>
  <c r="M891" i="13"/>
  <c r="N891" i="13"/>
  <c r="O891" i="13"/>
  <c r="P892" i="13"/>
  <c r="C893" i="13"/>
  <c r="D893" i="13"/>
  <c r="E893" i="13"/>
  <c r="F893" i="13"/>
  <c r="G893" i="13"/>
  <c r="H893" i="13"/>
  <c r="I893" i="13"/>
  <c r="J893" i="13"/>
  <c r="K893" i="13"/>
  <c r="L893" i="13"/>
  <c r="M893" i="13"/>
  <c r="N893" i="13"/>
  <c r="O893" i="13"/>
  <c r="P894" i="13"/>
  <c r="C895" i="13"/>
  <c r="D895" i="13"/>
  <c r="E895" i="13"/>
  <c r="F895" i="13"/>
  <c r="G895" i="13"/>
  <c r="H895" i="13"/>
  <c r="I895" i="13"/>
  <c r="J895" i="13"/>
  <c r="K895" i="13"/>
  <c r="L895" i="13"/>
  <c r="M895" i="13"/>
  <c r="N895" i="13"/>
  <c r="O895" i="13"/>
  <c r="P895" i="13"/>
  <c r="C896" i="13"/>
  <c r="D896" i="13"/>
  <c r="E896" i="13"/>
  <c r="F896" i="13"/>
  <c r="G896" i="13"/>
  <c r="H896" i="13"/>
  <c r="I896" i="13"/>
  <c r="J896" i="13"/>
  <c r="K896" i="13"/>
  <c r="L896" i="13"/>
  <c r="M896" i="13"/>
  <c r="N896" i="13"/>
  <c r="O896" i="13"/>
  <c r="D897" i="13"/>
  <c r="E897" i="13"/>
  <c r="F897" i="13"/>
  <c r="G897" i="13"/>
  <c r="H897" i="13"/>
  <c r="I897" i="13"/>
  <c r="J897" i="13"/>
  <c r="K897" i="13"/>
  <c r="L897" i="13"/>
  <c r="M897" i="13"/>
  <c r="N897" i="13"/>
  <c r="O897" i="13"/>
  <c r="C898" i="13"/>
  <c r="D898" i="13"/>
  <c r="E898" i="13"/>
  <c r="F898" i="13"/>
  <c r="G898" i="13"/>
  <c r="H898" i="13"/>
  <c r="I898" i="13"/>
  <c r="J898" i="13"/>
  <c r="K898" i="13"/>
  <c r="L898" i="13"/>
  <c r="M898" i="13"/>
  <c r="N898" i="13"/>
  <c r="O898" i="13"/>
  <c r="P898" i="13"/>
  <c r="P899" i="13"/>
  <c r="C900" i="13"/>
  <c r="D900" i="13"/>
  <c r="E900" i="13"/>
  <c r="F900" i="13"/>
  <c r="G900" i="13"/>
  <c r="H900" i="13"/>
  <c r="I900" i="13"/>
  <c r="J900" i="13"/>
  <c r="K900" i="13"/>
  <c r="L900" i="13"/>
  <c r="M900" i="13"/>
  <c r="N900" i="13"/>
  <c r="O900" i="13"/>
  <c r="P901" i="13"/>
  <c r="I906" i="13"/>
  <c r="J906" i="13"/>
  <c r="K906" i="13"/>
  <c r="C909" i="13"/>
  <c r="D909" i="13"/>
  <c r="E909" i="13"/>
  <c r="F909" i="13"/>
  <c r="G909" i="13"/>
  <c r="C910" i="13"/>
  <c r="D910" i="13"/>
  <c r="E910" i="13"/>
  <c r="F910" i="13"/>
  <c r="G910" i="13"/>
  <c r="H910" i="13"/>
  <c r="C911" i="13"/>
  <c r="D911" i="13"/>
  <c r="E911" i="13"/>
  <c r="F911" i="13"/>
  <c r="G911" i="13"/>
  <c r="H912" i="13"/>
  <c r="C914" i="13"/>
  <c r="D914" i="13"/>
  <c r="E914" i="13"/>
  <c r="F914" i="13"/>
  <c r="G914" i="13"/>
  <c r="H914" i="13"/>
  <c r="D915" i="13"/>
  <c r="E915" i="13"/>
  <c r="F915" i="13"/>
  <c r="G915" i="13"/>
  <c r="C916" i="13"/>
  <c r="D916" i="13"/>
  <c r="E916" i="13"/>
  <c r="F916" i="13"/>
  <c r="G916" i="13"/>
  <c r="H916" i="13"/>
  <c r="H917" i="13"/>
  <c r="C918" i="13"/>
  <c r="D918" i="13"/>
  <c r="E918" i="13"/>
  <c r="F918" i="13"/>
  <c r="G918" i="13"/>
  <c r="H919" i="13"/>
  <c r="F923" i="13"/>
  <c r="G923" i="13"/>
  <c r="H923" i="13"/>
  <c r="C927" i="13"/>
  <c r="C929" i="13"/>
  <c r="E930" i="13"/>
  <c r="C932" i="13"/>
  <c r="C934" i="13"/>
  <c r="H934" i="13"/>
  <c r="E935" i="13"/>
  <c r="H935" i="13"/>
  <c r="C936" i="13"/>
  <c r="C945" i="13"/>
  <c r="D945" i="13"/>
  <c r="E945" i="13"/>
  <c r="C947" i="13"/>
  <c r="D947" i="13"/>
  <c r="E947" i="13"/>
  <c r="C949" i="13"/>
  <c r="D949" i="13"/>
  <c r="E949" i="13"/>
  <c r="C950" i="13"/>
  <c r="D950" i="13"/>
  <c r="E950" i="13"/>
  <c r="D951" i="13"/>
  <c r="E951" i="13"/>
  <c r="C952" i="13"/>
  <c r="D952" i="13"/>
  <c r="E952" i="13"/>
  <c r="H952" i="13"/>
  <c r="K952" i="13"/>
  <c r="H953" i="13"/>
  <c r="C954" i="13"/>
  <c r="D954" i="13"/>
  <c r="E954" i="13"/>
  <c r="K954" i="13"/>
  <c r="L954" i="13"/>
  <c r="H956" i="13"/>
  <c r="H957" i="13"/>
  <c r="H960" i="13"/>
  <c r="H961" i="13"/>
  <c r="H962" i="13"/>
  <c r="H963" i="13"/>
  <c r="K963" i="13"/>
  <c r="L963" i="13"/>
  <c r="H965" i="13"/>
  <c r="H968" i="13"/>
  <c r="D7" i="27"/>
  <c r="F4" i="8"/>
  <c r="G4" i="8"/>
  <c r="H4" i="8"/>
  <c r="F5" i="8"/>
  <c r="G5" i="8"/>
  <c r="H5" i="8"/>
  <c r="F6" i="8"/>
  <c r="G6" i="8"/>
  <c r="H6" i="8"/>
  <c r="F7" i="8"/>
  <c r="G7" i="8"/>
  <c r="H7" i="8"/>
  <c r="F8" i="8"/>
  <c r="G8" i="8"/>
  <c r="E10" i="8"/>
  <c r="F10" i="8"/>
  <c r="H10" i="8"/>
  <c r="G16" i="8"/>
  <c r="H16" i="8"/>
  <c r="I16" i="8"/>
  <c r="G17" i="8"/>
  <c r="H17" i="8"/>
  <c r="I17" i="8"/>
  <c r="E18" i="8"/>
  <c r="G18" i="8"/>
  <c r="H18" i="8"/>
  <c r="I18" i="8"/>
  <c r="R175" i="12"/>
  <c r="S175" i="12"/>
  <c r="R169" i="12"/>
  <c r="S169" i="12"/>
  <c r="R20" i="12"/>
  <c r="S20" i="12"/>
  <c r="R130" i="12"/>
  <c r="S130" i="12"/>
  <c r="F96" i="32"/>
  <c r="F97" i="32"/>
  <c r="E75" i="31"/>
  <c r="E76" i="31"/>
  <c r="R155" i="12"/>
  <c r="S155" i="12"/>
  <c r="R123" i="12"/>
  <c r="S123" i="12"/>
  <c r="R24" i="12"/>
  <c r="S24" i="12"/>
  <c r="D12" i="32"/>
  <c r="D25" i="32"/>
  <c r="G197" i="12"/>
  <c r="F197" i="12"/>
  <c r="R120" i="12"/>
  <c r="S120" i="12"/>
  <c r="R61" i="12"/>
  <c r="S61" i="12"/>
  <c r="R53" i="12"/>
  <c r="S53" i="12"/>
  <c r="R46" i="12"/>
  <c r="S46" i="12"/>
  <c r="R33" i="12"/>
  <c r="S33" i="12"/>
  <c r="E69" i="28"/>
  <c r="E70" i="28"/>
  <c r="R159" i="12"/>
  <c r="S159" i="12"/>
  <c r="R142" i="12"/>
  <c r="S142" i="12"/>
  <c r="R30" i="12"/>
  <c r="S30" i="12"/>
  <c r="R76" i="12"/>
  <c r="S76" i="12"/>
  <c r="R171" i="12"/>
  <c r="S171" i="12"/>
  <c r="R129" i="12"/>
  <c r="S129" i="12"/>
  <c r="R86" i="12"/>
  <c r="S86" i="12"/>
  <c r="R69" i="12"/>
  <c r="S69" i="12"/>
  <c r="N58" i="12"/>
  <c r="P58" i="12"/>
  <c r="R58" i="12"/>
  <c r="S58" i="12"/>
  <c r="R4" i="12"/>
  <c r="G191" i="12"/>
  <c r="D73" i="32"/>
  <c r="E101" i="32"/>
  <c r="E103" i="32"/>
  <c r="E104" i="32"/>
  <c r="R182" i="12"/>
  <c r="S182" i="12"/>
  <c r="R178" i="12"/>
  <c r="S178" i="12"/>
  <c r="R179" i="12"/>
  <c r="S179" i="12"/>
  <c r="R174" i="12"/>
  <c r="S174" i="12"/>
  <c r="R165" i="12"/>
  <c r="S165" i="12"/>
  <c r="R152" i="12"/>
  <c r="S152" i="12"/>
  <c r="E14" i="28"/>
  <c r="D14" i="28"/>
  <c r="P103" i="12"/>
  <c r="R103" i="12"/>
  <c r="S103" i="12"/>
  <c r="R180" i="12"/>
  <c r="S180" i="12"/>
  <c r="R102" i="12"/>
  <c r="S102" i="12"/>
  <c r="E18" i="31"/>
  <c r="D18" i="31"/>
  <c r="E90" i="32"/>
  <c r="E91" i="32"/>
  <c r="E86" i="32"/>
  <c r="R36" i="12"/>
  <c r="S36" i="12"/>
  <c r="R18" i="12"/>
  <c r="S18" i="12"/>
  <c r="D13" i="31"/>
  <c r="D19" i="31"/>
  <c r="R88" i="12"/>
  <c r="S88" i="12"/>
  <c r="E13" i="31"/>
  <c r="E19" i="31"/>
  <c r="F86" i="32"/>
  <c r="E81" i="31"/>
  <c r="E82" i="31"/>
  <c r="L97" i="12"/>
  <c r="N97" i="12"/>
  <c r="P97" i="12"/>
  <c r="R97" i="12"/>
  <c r="S97" i="12"/>
  <c r="E13" i="28"/>
  <c r="E12" i="32"/>
  <c r="E25" i="32"/>
  <c r="F63" i="28"/>
  <c r="F64" i="28"/>
  <c r="E63" i="28"/>
  <c r="E64" i="28"/>
  <c r="D74" i="32"/>
  <c r="S4" i="12"/>
  <c r="S191" i="12"/>
  <c r="R191" i="12"/>
  <c r="R193" i="12"/>
  <c r="E12" i="28"/>
  <c r="E16" i="28"/>
  <c r="D13" i="28"/>
  <c r="D12" i="28"/>
  <c r="D16" i="28"/>
  <c r="E73" i="32"/>
  <c r="E74" i="32"/>
  <c r="D59" i="31"/>
  <c r="E86" i="31"/>
  <c r="E88" i="31"/>
  <c r="E89" i="31"/>
  <c r="E59" i="31"/>
  <c r="E60" i="31"/>
  <c r="D60" i="31"/>
  <c r="D48" i="28"/>
  <c r="E74" i="28"/>
  <c r="E76" i="28"/>
  <c r="E77" i="28"/>
  <c r="E48" i="28"/>
  <c r="E49" i="28"/>
  <c r="D49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3" authorId="0" shapeId="0" xr:uid="{BB0BCD10-899E-4935-AAAC-15EC2E103465}">
      <text>
        <r>
          <rPr>
            <b/>
            <sz val="9"/>
            <color indexed="81"/>
            <rFont val="Tahoma"/>
            <family val="2"/>
          </rPr>
          <t>Pago CCS CRC 4.480.499
Intereses de mora: CRC 10.054- USD 20.31 ( 4,95)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E18" authorId="0" shapeId="0" xr:uid="{FEB2CE1A-ACE4-4CA1-9F26-8EF32223B24B}">
      <text>
        <r>
          <rPr>
            <b/>
            <sz val="9"/>
            <color indexed="81"/>
            <rFont val="Tahoma"/>
            <family val="2"/>
          </rPr>
          <t>Tiene NC USD 1.506.73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8" authorId="0" shapeId="0" xr:uid="{CDB61BC3-8AF3-4045-8E5D-AED460FE47B2}">
      <text>
        <r>
          <rPr>
            <b/>
            <sz val="9"/>
            <color indexed="81"/>
            <rFont val="Tahoma"/>
            <family val="2"/>
          </rPr>
          <t>Se cruza esta factura con el anticipo entregado en el mes de febrero por CRC 110,000. queda pendiente otro cruce de cuentas en abril.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7" authorId="0" shapeId="0" xr:uid="{D0B45241-A233-4D17-A661-3C2962ECA383}">
      <text>
        <r>
          <rPr>
            <b/>
            <sz val="9"/>
            <color indexed="81"/>
            <rFont val="Tahoma"/>
            <family val="2"/>
          </rPr>
          <t>Se cruza esta factura con el anticipo entregado en el mes de febrero por CRC 110,000. con la factura Nro 29 queda en ceros este anticipo y un valor a favor de CRC 21,456.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C30" authorId="0" shapeId="0" xr:uid="{836CA8D8-9E61-4E98-B25B-E90B39B89646}">
      <text>
        <r>
          <rPr>
            <b/>
            <sz val="9"/>
            <color indexed="81"/>
            <rFont val="Tahoma"/>
            <family val="2"/>
          </rPr>
          <t>Mensajería Firma contratos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C38" authorId="0" shapeId="0" xr:uid="{93DB72FA-EC60-4CAB-BE5F-69E788BC8B75}">
      <text>
        <r>
          <rPr>
            <b/>
            <sz val="9"/>
            <color indexed="81"/>
            <rFont val="Tahoma"/>
            <family val="2"/>
          </rPr>
          <t>Distribución utilidades CR 2.700,000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C18" authorId="0" shapeId="0" xr:uid="{EC9AA2BF-531E-4293-9DBC-24FCA8FA1866}">
      <text>
        <r>
          <rPr>
            <b/>
            <sz val="9"/>
            <color indexed="81"/>
            <rFont val="Tahoma"/>
            <family val="2"/>
          </rPr>
          <t>Alfonso Fonseca:</t>
        </r>
        <r>
          <rPr>
            <sz val="9"/>
            <color indexed="81"/>
            <rFont val="Tahoma"/>
            <family val="2"/>
          </rPr>
          <t xml:space="preserve">
Tiene nota credito Nro 28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Julieth Bonilla</author>
  </authors>
  <commentList>
    <comment ref="D30" authorId="0" shapeId="0" xr:uid="{FDF3AD04-66E7-4359-B759-76FF92774140}">
      <text>
        <r>
          <rPr>
            <b/>
            <sz val="9"/>
            <color indexed="81"/>
            <rFont val="Tahoma"/>
            <family val="2"/>
          </rPr>
          <t>Julieth Bonilla:</t>
        </r>
        <r>
          <rPr>
            <sz val="9"/>
            <color indexed="81"/>
            <rFont val="Tahoma"/>
            <family val="2"/>
          </rPr>
          <t xml:space="preserve">
Nota de Alejandro: se va presentar una diferencia por cruce de saldos a favor que toma automaticamente el sistema Tribu.
Diferencia 13.230,78 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Julieth Bonilla</author>
    <author>Alfonso Fonseca</author>
  </authors>
  <commentList>
    <comment ref="D28" authorId="0" shapeId="0" xr:uid="{681DC251-F47A-4F86-B903-7C6F7DF69D13}">
      <text>
        <r>
          <rPr>
            <b/>
            <sz val="9"/>
            <color indexed="81"/>
            <rFont val="Tahoma"/>
            <family val="2"/>
          </rPr>
          <t>Julieth Bonilla:</t>
        </r>
        <r>
          <rPr>
            <sz val="9"/>
            <color indexed="81"/>
            <rFont val="Tahoma"/>
            <family val="2"/>
          </rPr>
          <t xml:space="preserve">
Nota de Alejandro: se va presentar una diferencia por cruce de saldos a favor que toma automaticamente el sistema Tribu.
Diferencia 13.230,78 
</t>
        </r>
      </text>
    </comment>
    <comment ref="E37" authorId="1" shapeId="0" xr:uid="{5EF32B12-9ACD-45A0-8C90-B7EBF53F8C6C}">
      <text>
        <r>
          <rPr>
            <b/>
            <sz val="9"/>
            <color indexed="81"/>
            <rFont val="Tahoma"/>
            <family val="2"/>
          </rPr>
          <t>Alfonso Fonseca:</t>
        </r>
        <r>
          <rPr>
            <sz val="9"/>
            <color indexed="81"/>
            <rFont val="Tahoma"/>
            <family val="2"/>
          </rPr>
          <t xml:space="preserve">
Tener en cuenta que a esta factura le hace falta por pagar USD 245. el valor total y real de la Fac es de USD 980.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K3" authorId="0" shapeId="0" xr:uid="{06FDBF98-8990-47B1-B0BB-4C5592531FD8}">
      <text>
        <r>
          <rPr>
            <b/>
            <sz val="9"/>
            <color indexed="81"/>
            <rFont val="Tahoma"/>
            <family val="2"/>
          </rPr>
          <t>Revisar este monto en el descuento ya que esta calculado en la facturación.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" authorId="0" shapeId="0" xr:uid="{1E3AC4BA-9BA7-4D27-9A87-695252B0D632}">
      <text>
        <r>
          <rPr>
            <b/>
            <sz val="9"/>
            <color indexed="81"/>
            <rFont val="Tahoma"/>
            <family val="2"/>
          </rPr>
          <t>Revisar este monto en el descuento ya que esta calculado en la facturación.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J216" authorId="0" shapeId="0" xr:uid="{E85464B4-91A5-463A-89C1-CA808EABCFE1}">
      <text>
        <r>
          <rPr>
            <b/>
            <sz val="9"/>
            <color indexed="81"/>
            <rFont val="Tahoma"/>
            <family val="2"/>
          </rPr>
          <t>Préstamo Advancio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5" authorId="0" shapeId="0" xr:uid="{2BF8028D-B656-4115-87B4-557F503E90AF}">
      <text>
        <r>
          <rPr>
            <b/>
            <sz val="9"/>
            <color indexed="81"/>
            <rFont val="Tahoma"/>
            <family val="2"/>
          </rPr>
          <t>Préstamo Advancio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<sst xmlns="http://schemas.openxmlformats.org/spreadsheetml/2006/main" count="5888" uniqueCount="1608">
  <si>
    <t>FECHA</t>
  </si>
  <si>
    <t>INGRESO</t>
  </si>
  <si>
    <t>SALIDA</t>
  </si>
  <si>
    <t>SALDO</t>
  </si>
  <si>
    <t xml:space="preserve">BAC SAN JOSE COLONES </t>
  </si>
  <si>
    <t xml:space="preserve">CUENTA S&amp;P </t>
  </si>
  <si>
    <t xml:space="preserve">BENEFICIARIO - CLIENTE DETALLES </t>
  </si>
  <si>
    <t>BAC SAN JOSE DOLARES</t>
  </si>
  <si>
    <t xml:space="preserve">PAGO DE TRANSFERENCIA SINPE BAC SAN JOSE </t>
  </si>
  <si>
    <t xml:space="preserve">PAGO DE RECARGA DE FACTURAS ELECTRONICAS A GTI </t>
  </si>
  <si>
    <t>SERVICIOS ADM MES DE ENERO ALEJANDRO ECHAVARRIA</t>
  </si>
  <si>
    <t xml:space="preserve">TRANSFER DE FONDOS A CUENTA COLONES </t>
  </si>
  <si>
    <t>COMISION TRANSFER INTERNACIONAL</t>
  </si>
  <si>
    <t xml:space="preserve">TRANSFERENCIA CUENTA COLONES </t>
  </si>
  <si>
    <t>SALDO 31 DE DICIEMBRE 2021</t>
  </si>
  <si>
    <t>SALDO 31 DE DICIEMBRE 2022</t>
  </si>
  <si>
    <t>TRANSFER DE FONDOS CTA USD A COLONES   $ 300 USD</t>
  </si>
  <si>
    <t>TRANSFER DE FONDOS CTA USD A COLONES   $ 700 USD</t>
  </si>
  <si>
    <t>MINISTERIO DE HACIENDA IMP DE SOCIEDADES 2023</t>
  </si>
  <si>
    <t xml:space="preserve">COMISION SALDO MINIMO </t>
  </si>
  <si>
    <t>TRANSFERENCIA COMPRA DE COMPUTADORA GUATEMALA   VB RICARDO ARAMBULO</t>
  </si>
  <si>
    <t>TRANSFER DE FONDOS CTA USD A COLONES   $ 200 USD</t>
  </si>
  <si>
    <t xml:space="preserve">COMISION TRANSFERENCIA INTERNACIONAL </t>
  </si>
  <si>
    <t xml:space="preserve">TRANSFER SOLUTIONS AND PAYRROL COLOMBIA </t>
  </si>
  <si>
    <t>REMORFIST FACT 082</t>
  </si>
  <si>
    <t>REMORFIST FACT 083</t>
  </si>
  <si>
    <t>REMORFIST FACT 084</t>
  </si>
  <si>
    <t xml:space="preserve">NOMINA JONATHAN SALAZAR GARCIA  MES DE MAYO </t>
  </si>
  <si>
    <t xml:space="preserve">NOMINA JONATHAN SALAZAR GARCIA  MES DE JUNIO </t>
  </si>
  <si>
    <t xml:space="preserve">PAGO RETENFUENTE </t>
  </si>
  <si>
    <t>REMORFIST FACT 085</t>
  </si>
  <si>
    <t>REMORFIST FACT 086</t>
  </si>
  <si>
    <t>NOMINA JONATHAN SALAZAR GARCIA  MES DE JULIO</t>
  </si>
  <si>
    <t xml:space="preserve">PAGO CCSS MES DE JULIO </t>
  </si>
  <si>
    <t xml:space="preserve">INTERESES GENERADOS </t>
  </si>
  <si>
    <t>REMORFIST FACT 087</t>
  </si>
  <si>
    <t>REMORFIST FACT 088</t>
  </si>
  <si>
    <t>REMORFIST FACT 089</t>
  </si>
  <si>
    <t xml:space="preserve">REEM DE GASTOS JONATHAN GARCIA </t>
  </si>
  <si>
    <t xml:space="preserve">COMISION SINPE </t>
  </si>
  <si>
    <t>SERVICIOS ADM MES DE SEPT ALEJANDRO ECHAVARRIA</t>
  </si>
  <si>
    <t>SERVICIOS ADM MES DE AGOSTO  ALEJANDRO ECHAVARRIA</t>
  </si>
  <si>
    <t>SERVICIOS ADM MES DE JULIO ALEJANDRO ECHAVARRIA</t>
  </si>
  <si>
    <t>SERVICIOS ADM MES DE JUNIO ALEJANDRO ECHAVARRIA</t>
  </si>
  <si>
    <t>PAGO RETENFUENTE MES DE AGOSTO</t>
  </si>
  <si>
    <t>PAGO CCSS MES DE AGOSTO</t>
  </si>
  <si>
    <t xml:space="preserve">PAGO DE POLIZA DE RIESGOS DEL TRABAJO </t>
  </si>
  <si>
    <t>NOMINA PRISCILLA POLSON MES DE SEPT</t>
  </si>
  <si>
    <t>NOMINA PRISCILLA POLSON MES DE AGOSTO</t>
  </si>
  <si>
    <t xml:space="preserve">NOMINA PRISCILLA POLSON MES DE JULIO </t>
  </si>
  <si>
    <t>NOMINA PRISCILLA POLSON MES DE JUNIO</t>
  </si>
  <si>
    <t>INTERESES DEVENGADOS</t>
  </si>
  <si>
    <t>REMORFIST FACT 090</t>
  </si>
  <si>
    <t xml:space="preserve">TRANSFERENCIA NOMINA DE TATIANA ARAYA MES DE AGOSTO </t>
  </si>
  <si>
    <t>REMORFIST FACT 091</t>
  </si>
  <si>
    <t>REMORFIST FACT 095</t>
  </si>
  <si>
    <t>REMORFIST FACT 093</t>
  </si>
  <si>
    <t>REMORFIST FACT 094</t>
  </si>
  <si>
    <t>TRANSFER COLONES</t>
  </si>
  <si>
    <t>TRANSFERENCIA NOMINA DE TATIANA ARAYA MES DE SEPT</t>
  </si>
  <si>
    <t>NOMINA JONATHAN SALAZAR GARCIA  MES DE SEPT</t>
  </si>
  <si>
    <t>NOMINA ESTIVEN GONZALO SALAZAR MES DE AGOSTO</t>
  </si>
  <si>
    <t>NOMINA JONATHAN SALAZAR GARCIA  MES DE AGOSTO</t>
  </si>
  <si>
    <t>NOMINA ESTIVEN GONZALO SALAZAR MES DE SEPT</t>
  </si>
  <si>
    <t xml:space="preserve">NOMINA ESTIVEN GONZALO SALAZAR MES DE SEPT DIF MENOR VR PAGADO </t>
  </si>
  <si>
    <t>TRANSFER DE FONDOS CTA USD A COLONES   $ 1400 USD  TC 540</t>
  </si>
  <si>
    <t>TRANSFER DE FONDOS CTA USD A COLONES   $ 300 USD  TC 531</t>
  </si>
  <si>
    <t xml:space="preserve">TRANSFER DE FONDOS CTA USD A COLONES   $ 3000 USD  TC 538  PARA PAGO NOMINA PRISCILLA </t>
  </si>
  <si>
    <t>TRANSFER DE FONDOS CTA USD A COLONES   $ 3500 USD TC 539 PARA PAGO DE CCSS Y RETENFUENTE MES DE JULIO</t>
  </si>
  <si>
    <t xml:space="preserve">TRANSFER DE FONDOS CTA USD A COLONES   $ 3000 USD  TC 531  PARA PAGO NOMINA PRISCILLA </t>
  </si>
  <si>
    <t>TRANSFER DE FONDOS CTA USD A COLONES   $ 10000 USD  TC 530 PARA PAGO DE CCSS -RETENFUENTE MES DE AGOSTO</t>
  </si>
  <si>
    <t xml:space="preserve">TRANSFER DE FONDOS CTA USD A COLONES   $ 3000 USD TC  525 PARA PAGO DE NOMINA PRISCILLA </t>
  </si>
  <si>
    <t>SERVICIOS ADM MES DE OCT ALEJANDRO ECHAVARRIA</t>
  </si>
  <si>
    <t xml:space="preserve">PAGO CCSS MES DE SEPTIEMBRE </t>
  </si>
  <si>
    <t xml:space="preserve">PAGO CCSS PLANILLA ADICIONAL DE LOS MESES DE MAYO Y JUNIO 2023 </t>
  </si>
  <si>
    <t xml:space="preserve">TRANSFER DE FONDOS CTA USD A COLONES   $ 2000 USD TC 524 PARA PAGO DE RETENFUENTES </t>
  </si>
  <si>
    <t>TRANSFER DE FONDOS CTA USD A COLONES   $ 9000 USD TC 530 PARA PAGO DE  -CCSS</t>
  </si>
  <si>
    <t xml:space="preserve">PAGO DE RETENFUENTE MES DE SEPTIEMBRE </t>
  </si>
  <si>
    <t>TRANSFER DE FONDOS CTA USD A COLONES   $ 2700 USD TC 526 PARA PAGO DE NOMINA PRISCILLA</t>
  </si>
  <si>
    <t xml:space="preserve">NOMINA PRISCILLA POLSON MES DE   OCTUBRE </t>
  </si>
  <si>
    <t>PAGO DE COMPRA DE CAFÉ   VB ED FORERO</t>
  </si>
  <si>
    <t xml:space="preserve">PAGO DE FACTURAS PENDIENTES DE SAFEGUARD POLIZAS COSTA RICA </t>
  </si>
  <si>
    <t>REMORFIST FACT 097</t>
  </si>
  <si>
    <t>REMORFIST FACT 096</t>
  </si>
  <si>
    <t>REMORFIST FACT 098</t>
  </si>
  <si>
    <t>REMORFIST FACT 099</t>
  </si>
  <si>
    <t>TRANSFERENCIA NOMINA DE TATIANA ARAYA MES DE OCTUBRE</t>
  </si>
  <si>
    <t>NOMINA JONATHAN SALAZAR GARCIA  MES DE OCTUBRE</t>
  </si>
  <si>
    <t>NOMINA ESTIVEN GONZALO SALAZAR MES DE OCTUBRE</t>
  </si>
  <si>
    <t>PAGO CCSS MES DE OCTUBRE</t>
  </si>
  <si>
    <t>PAGO DE RETENFUENTE MES DE OCTUBRE</t>
  </si>
  <si>
    <t>TRANSFER DE FONDOS CTA USD A COLONES   $ 300 USD TC 528 PARA PAGOS ADM OPERACIÓN</t>
  </si>
  <si>
    <t>TRANSFER DE FONDOS CTA USD A COLONES   $ 8200 USD TC 526 PARA PAGO DE RETENFUENTES Y CCSS MES DE OCTUBRE</t>
  </si>
  <si>
    <t>REMORFIST FACT 101-PRISCILLA GRACE POLSON-ALUMINATI-CR004</t>
  </si>
  <si>
    <t>REMORFIST FACT 100-JONATHAN ALONSO SALAZAR GARCIA-STARLIGHT-CR003</t>
  </si>
  <si>
    <t>REMORFIST FACT 102-ESTIVEN GONZALO SALAZAR VILLEGAS -TC1-CR005</t>
  </si>
  <si>
    <t>Total factura</t>
  </si>
  <si>
    <t>Comision transf</t>
  </si>
  <si>
    <t xml:space="preserve">COMISION SINPE STIVEN </t>
  </si>
  <si>
    <t>Fee</t>
  </si>
  <si>
    <t>Monetizar en Colon</t>
  </si>
  <si>
    <t>REMORFIST FACT 103-TATIANA ARAYA POCHET, -CZ-CR006</t>
  </si>
  <si>
    <t>COMISION TRANSFERENCIA INTERNACIONAL -ESTIVEN GONZALO SALAZAR VILLEGAS -TC1-CR005</t>
  </si>
  <si>
    <t>COMISION TRANSFERENCIA INTERNACIONAL -TATIANA ARAYA POCHET, -CZ-CR006</t>
  </si>
  <si>
    <t>COMISION TRANSFERENCIA INTERNACIONAL -PRISCILLA GRACE POLSON-ALUMINATI-CR004</t>
  </si>
  <si>
    <t>Tatiana</t>
  </si>
  <si>
    <t>Priscilla</t>
  </si>
  <si>
    <t>Jonathan S</t>
  </si>
  <si>
    <t>COMISION TRANSFERENCIA INTERNACIONAL-JONATHAN ALONSO SALAZAR GARCIA-STARLIGHT-CR003</t>
  </si>
  <si>
    <t xml:space="preserve">Monetizar en USD </t>
  </si>
  <si>
    <t>Facturado Colones</t>
  </si>
  <si>
    <t>TRANSFERENCIA A CUENTA DE COLONES S&amp;P FACTURA DE PRISCILLA GRACE POLSON-ALUMINATI-CR004</t>
  </si>
  <si>
    <t>TRANSFERENCIA A CUENTA COLONES S&amp;P FACTURA DE TATIANA ARAYA POCHET-CZ-CR006</t>
  </si>
  <si>
    <t>PAGO LIQUIDACIÓN LIQUIDACIÓN ESTIVEN GONZALO SALAZAR VILLEGAS-TC1-CR005</t>
  </si>
  <si>
    <t>COMISIÓN POR PAGO LIQUIDACIÓN LIQUIDACIÓN ESTIVEN GONZALO SALAZAR VILLEGAS-TC1-CR005</t>
  </si>
  <si>
    <t>TRANSFERENCIA A CUIENTA COLONES S&amp;P FACTURA DE JONATHAN SALAZAR-STARLIGHT-CR003</t>
  </si>
  <si>
    <t>TRANSFERENCIA A CUENTA COLONES S&amp;P FACTURA DE ESTIVEN SALAZAR-TC1-CR005.</t>
  </si>
  <si>
    <t>NOMINA NOVIEMBRE Y AGUINALDO 2023 JONATHAN SALAZAR GARCIA-STARLIGHT-CR003</t>
  </si>
  <si>
    <t>NOMINA NOVIEMBRE Y AGUINALDO 2023  TATIANA ARAYA POCHET-CZ-CR006</t>
  </si>
  <si>
    <t>NOMINA NOVIEMBRE Y AGUINALDO 2023  PRISCILLA GRACE POLSON-ALUMINATI-CR004</t>
  </si>
  <si>
    <t>PAGO CCSS NOVIEMBRE  DOC 23120506232070405150</t>
  </si>
  <si>
    <t>PAGO RETENCIÓN EN LA FUENTE NOVIEMBRE NRO REFERENCIA 951439990</t>
  </si>
  <si>
    <t>TRANSFERENCIA A CUENTA COLONES S&amp;P FACTURA DE JONATHAN SALAZAR-STARLIGHT-CR003</t>
  </si>
  <si>
    <t>PAGO DE COMPRA DE CAFÉ   VB ED FORERO FACT 0050</t>
  </si>
  <si>
    <t>PAGO REGALOS CORPORATIVOS CREATIVA DE MODAS CR SOCIEDAD</t>
  </si>
  <si>
    <t>REMORFIST FACT 104-JONATHAN ALONSO SALAZAR GARCIA-STARLIGHT-CR003</t>
  </si>
  <si>
    <t>REMORFIST FACT 105-PRISCILLA GRACE POLSON-ALUMINATI-CR004</t>
  </si>
  <si>
    <t>COMISIÓN BANCARIA SINPE</t>
  </si>
  <si>
    <t>REMORFIST FACT 106-TATIANA ARAYA POCHET, -CZ-CR006</t>
  </si>
  <si>
    <t>NOMINA DICIEMBRE 2023  TATIANA ARAYA POCHET-CZ-CR006</t>
  </si>
  <si>
    <t>NOMINA DICIEMBRE 2023 JONATHAN SALAZAR GARCIA-STARLIGHT-CR003</t>
  </si>
  <si>
    <t>NOMINA DICIEMBRE 2023  PRISCILLA GRACE POLSON-ALUMINATI-CR004</t>
  </si>
  <si>
    <t>PAGO CCSS DICIEMBRE DOC 24011001291583414306</t>
  </si>
  <si>
    <t>PAGO DE COMPRA DE CAFÉ   VB ED FORERO FACT 0051</t>
  </si>
  <si>
    <t>PAGO CONTRATO RENOVACIÓN FACTURACIÓN ELECTRONICA-GTI FACTURA No 1286685</t>
  </si>
  <si>
    <t>PAGO IMPUESTOS SOCIEDADES CR</t>
  </si>
  <si>
    <t>TRANSFERENCIA A CUENTA DE COLONES S&amp;P PARA PAGO DE FACTURA ALEJANDRO ECHAVARRIA No1251969376 Y SALDO</t>
  </si>
  <si>
    <t>PAGO FACTURA ALEJANDRO ECHAVARRIA FACTURA NO12151969376</t>
  </si>
  <si>
    <t>REMORFIST FACT 109-TATIANA ARAYA POCHET, -CZ-CR006</t>
  </si>
  <si>
    <t>REMORFIST FACT 108-PRISCILLA GRACE POLSON-ALUMINATI-CR004</t>
  </si>
  <si>
    <t>REMORFIST FACT 112-JHOEL GONZALEZ GONZALEZ-STARLIGHT-CR003-NEW ONBORDING</t>
  </si>
  <si>
    <t>REMORFIST FACT 111-JONATHAN ALONSO SALAZAR GARCIA-STARLIGHT-CR003</t>
  </si>
  <si>
    <t>COMISION TRANSFERENCIA INTERNACIONAL-TATIANA ARAYA POCHET, -CZ-CR006</t>
  </si>
  <si>
    <t>COMISION TRANSFERENCIA INTERNACIONAL-PRISCILLA GRACE POLSON-ALUMINATI-CR004</t>
  </si>
  <si>
    <t>COMISION TRANSFERENCIA INTERNACIONAL-JHOEL GONZALEZ GONZALEZ-STARLIGHT-CR003-NEW ONBORDING</t>
  </si>
  <si>
    <t>COMISION TRANSFERENCIA INTERNACIONAL-SEBASTIAN GERARDO SALAZAR, -TC1SS</t>
  </si>
  <si>
    <t>REMORFIST FACT 110-SEBASTIAN GERARDO SALAZAR, -TC1SS</t>
  </si>
  <si>
    <t>Dcto antes de evío</t>
  </si>
  <si>
    <t>Neto</t>
  </si>
  <si>
    <t>Jhoel G</t>
  </si>
  <si>
    <t>Nómina USD</t>
  </si>
  <si>
    <t>Nómina Colones</t>
  </si>
  <si>
    <t>Saldo</t>
  </si>
  <si>
    <t>USD compra Colones</t>
  </si>
  <si>
    <t>Nota: Se prestá del saldo el valor de dcto antes de envio que corresponde a USD 210.</t>
  </si>
  <si>
    <t xml:space="preserve">Saldo en la cuenta despúes </t>
  </si>
  <si>
    <t>Saldo SS y rte Fte USD</t>
  </si>
  <si>
    <t>NOMINA ENERO 2024  TATIANA ARAYA POCHET-CZ-CR006</t>
  </si>
  <si>
    <t>NOMINA ENERO 2024 JONATHAN SALAZAR GARCIA-STARLIGHT-CR003</t>
  </si>
  <si>
    <t>TRANSFERENCIA A CUIENTA COLONES S&amp;P FACTURA DE SEBASTIAN GERARDO SALAZAR, -TC1SS</t>
  </si>
  <si>
    <t>TRANSFERENCIA A CUENTA DE COLONES S&amp;P FACTURA DE JHOEL GONZALEZ GONZALEZ-STARLIGHT-CR003-NEW ONBORDING</t>
  </si>
  <si>
    <t>DESCUENTO BANCARIO POR TRANSFERENCIAS</t>
  </si>
  <si>
    <t>Sebastían Gerardo</t>
  </si>
  <si>
    <t xml:space="preserve">TRANSFERENCIA A CUENTA COLONES S&amp;P RECURSOS </t>
  </si>
  <si>
    <t>NOMINA ENERO 2024 PRISCILLA GRACE POLSON-ALUMINATI-CR004</t>
  </si>
  <si>
    <t>NOMINA ENERO 2024 JHOEL GONZALEZ GONZALEZ-STARLIGHT-CR003-NEW ONBORDING</t>
  </si>
  <si>
    <t>NOMINA ENERO 2024 SEBASTIAN GERARDO SALAZAR, -TC1SS</t>
  </si>
  <si>
    <t>COMISIÓN SINPE</t>
  </si>
  <si>
    <t>INTERESES GANADO</t>
  </si>
  <si>
    <t>PAGO DE COMPRA DE CAFÉ   VB ED FORERO FACT 0052</t>
  </si>
  <si>
    <t>PAGO RETENCIÓN EN LA FUENTE ENERO NRO REFERENCIA 1034711963083</t>
  </si>
  <si>
    <t>PAGO RETENCIÓN EN LA FUENTE DICIEMBRE NRO REFERENCIA 1034711861312</t>
  </si>
  <si>
    <t>PAGO CCSS ENERO DOC 202401-3102766975-1</t>
  </si>
  <si>
    <t>REMORFIST FACT 114-PRISCILLA GRACE POLSON-ALUMINATI-CR004</t>
  </si>
  <si>
    <t>REMORFIST FACT 115-SEBASTIAN GERARDO SALAZAR, -TC1SS</t>
  </si>
  <si>
    <t>REMORFIST FACT 117-TATIANA ARAYA POCHET, -CZ-CR006</t>
  </si>
  <si>
    <t>COMISION TRANSFERENCIA INTERNACIONAL</t>
  </si>
  <si>
    <t>REMORFIST FACT 113-JONATHAN ALONSO SALAZAR GARCIA Y JHOEL GONZALEZ -STARLIGHT-CR003</t>
  </si>
  <si>
    <t xml:space="preserve">Factura </t>
  </si>
  <si>
    <t>Priscila Polson</t>
  </si>
  <si>
    <t>Sebastían Salazar</t>
  </si>
  <si>
    <t>Tatiana Pochet</t>
  </si>
  <si>
    <t>NOMINA FEBRERO  2024  TATIANA ARAYA POCHET-CZ-CR006</t>
  </si>
  <si>
    <t>NOMINA FEBRERO 2024 JONATHAN SALAZAR GARCIA-STARLIGHT-CR003</t>
  </si>
  <si>
    <t>NOMINA FEBRERO 2024 PRISCILLA GRACE POLSON-ALUMINATI-CR004</t>
  </si>
  <si>
    <t>NOMINA FEBRERO 2024 JHOEL GONZALEZ GONZALEZ-STARLIGHT-CR003</t>
  </si>
  <si>
    <t>NOMINA FEBRERO 2024 SEBASTIAN GERARDO SALAZAR, -TC1SS</t>
  </si>
  <si>
    <t>ID</t>
  </si>
  <si>
    <t xml:space="preserve">Invoice </t>
  </si>
  <si>
    <t>Client</t>
  </si>
  <si>
    <t>Invoived</t>
  </si>
  <si>
    <t>Additiona Discount</t>
  </si>
  <si>
    <t>Net</t>
  </si>
  <si>
    <t>Starlight SS</t>
  </si>
  <si>
    <t>Jhonatan Salazar y Jhoel González</t>
  </si>
  <si>
    <t>Aluminati</t>
  </si>
  <si>
    <t>TC1SS</t>
  </si>
  <si>
    <t>CZ</t>
  </si>
  <si>
    <t>Total</t>
  </si>
  <si>
    <t>Jhonatan S</t>
  </si>
  <si>
    <t>PAGO DE COMPRA DE CAFÉ   VB ED FORERO FACT 0053</t>
  </si>
  <si>
    <t>PAGO CCSS FEBRERO RECIBO 77772024023738669701</t>
  </si>
  <si>
    <t>Jose Roberto Aguilar</t>
  </si>
  <si>
    <t>MARZO</t>
  </si>
  <si>
    <t>Total Fact</t>
  </si>
  <si>
    <t>FEBRERO</t>
  </si>
  <si>
    <t>ENERO</t>
  </si>
  <si>
    <t>REMORFIST FACTURAS  FACTURAS 118 HASTA LAS 121</t>
  </si>
  <si>
    <t>NOMINA MARZO  2024  TATIANA ARAYA POCHET-CZ-CR006</t>
  </si>
  <si>
    <t>NOMINA MARZO 2024 JONATHAN SALAZAR GARCIA-STARLIGHT-CR003</t>
  </si>
  <si>
    <t>NOMINA MARZO 2024 PRISCILLA GRACE POLSON-ALUMINATI-CR004</t>
  </si>
  <si>
    <t>NOMINA MARZO 2024 JHOEL GONZALEZ GONZALEZ-STARLIGHT-CR003</t>
  </si>
  <si>
    <t>NOMINA MARZO 2024 JOSE ROBERTO AGUILAR BARRANTES-ALUMINATI-CR004</t>
  </si>
  <si>
    <t>NOMINA MARZO 2024 SEBASTIAN GERARDO SALAZAR, -TC1SS</t>
  </si>
  <si>
    <t>PAGO DE COMPRA DE CAFÉ   VB ED FORERO FACT 0054</t>
  </si>
  <si>
    <t>SERVICIO DE CERTIFICACIÓN BANCARIA FABIAN LEONARDO ULLOA  AMADOR FACT 00100001010000000055</t>
  </si>
  <si>
    <t>Fecha de Elaboración:</t>
  </si>
  <si>
    <t>Tasa de cambio:</t>
  </si>
  <si>
    <t>ABRIL</t>
  </si>
  <si>
    <t>VALOR USD</t>
  </si>
  <si>
    <t>BANCOS</t>
  </si>
  <si>
    <t>Bancos  USD</t>
  </si>
  <si>
    <t>CLIENTES</t>
  </si>
  <si>
    <t>TOTAL INGRESOS</t>
  </si>
  <si>
    <t xml:space="preserve">CUENTAS X PAGAR MES </t>
  </si>
  <si>
    <t>Factura</t>
  </si>
  <si>
    <t>PROVEEDOR</t>
  </si>
  <si>
    <t>Fecha vencimiento</t>
  </si>
  <si>
    <t>Estado</t>
  </si>
  <si>
    <t>KPI</t>
  </si>
  <si>
    <t>SEGURIDAD IGSS</t>
  </si>
  <si>
    <t>Sin Pagar</t>
  </si>
  <si>
    <t xml:space="preserve">IMPUESTOS </t>
  </si>
  <si>
    <t xml:space="preserve">SERVICIOS PROFESIONALES -REPRESENTACIÓN LEGAL </t>
  </si>
  <si>
    <t>COBROS ENTRE SUCURSALES</t>
  </si>
  <si>
    <t>Cancelado</t>
  </si>
  <si>
    <t xml:space="preserve">COSTOS FINANCIEROS </t>
  </si>
  <si>
    <t xml:space="preserve">NÓMINAS </t>
  </si>
  <si>
    <t>IMPREVISTO</t>
  </si>
  <si>
    <t>TOTAL EGRESOS</t>
  </si>
  <si>
    <t xml:space="preserve">% </t>
  </si>
  <si>
    <t>FESTIVOS COSTA RICA</t>
  </si>
  <si>
    <t>VALOR ₡ CRC</t>
  </si>
  <si>
    <t>Bancos ₡ CRC</t>
  </si>
  <si>
    <t>Client: Remorfist-Client: Aluminati</t>
  </si>
  <si>
    <t xml:space="preserve">Client:  Remorfist-Client-Starlight SS </t>
  </si>
  <si>
    <t>Client: Remorfist - Client: TC1SS</t>
  </si>
  <si>
    <t>Remorfist - Client: CZ SS</t>
  </si>
  <si>
    <t>Alejandro Echavarria apoyo admon Febrero, Marzo y abril</t>
  </si>
  <si>
    <t>Fabian Leonardo Ulloa -Certificación de cuenta BAC</t>
  </si>
  <si>
    <t xml:space="preserve">GASTOS DE OFICINA </t>
  </si>
  <si>
    <t>Compra de café</t>
  </si>
  <si>
    <t>54</t>
  </si>
  <si>
    <t>Priscilla Grace Polson -Aluminati-CR004</t>
  </si>
  <si>
    <t>Jhoel González González-Starlight-CR003</t>
  </si>
  <si>
    <t>José Roberto Aguilar Barrante-Aluminati-CR004</t>
  </si>
  <si>
    <t>Sebastían Gerardo Salazar, -TC1SS</t>
  </si>
  <si>
    <t>Tatiana Araya Pochet-CZ-CR006</t>
  </si>
  <si>
    <t>Jonathan Salazar García  -Starlight-CR003</t>
  </si>
  <si>
    <t>Cobro S&amp;P a sucursal Enero a marzo</t>
  </si>
  <si>
    <t>Fecha Inicial</t>
  </si>
  <si>
    <t>Fecha Final</t>
  </si>
  <si>
    <t xml:space="preserve">TOTAL EGRESOS </t>
  </si>
  <si>
    <t xml:space="preserve">Total Egresos </t>
  </si>
  <si>
    <t>Validación</t>
  </si>
  <si>
    <t>Valor VALOR ₡ CRC</t>
  </si>
  <si>
    <t>Valor VALOR USD</t>
  </si>
  <si>
    <t xml:space="preserve">Bancos </t>
  </si>
  <si>
    <t>Gastos y costos Periodo 01 al 26 Abril (SS-Impuesto)</t>
  </si>
  <si>
    <t>Fecha</t>
  </si>
  <si>
    <t>USD</t>
  </si>
  <si>
    <t>Status</t>
  </si>
  <si>
    <t>PAGADO</t>
  </si>
  <si>
    <t>SIN PAGAR</t>
  </si>
  <si>
    <t>TOTAL FACTURADO</t>
  </si>
  <si>
    <t>Tasa Fact
 ₡ CRC</t>
  </si>
  <si>
    <t xml:space="preserve"> ₡ CRC</t>
  </si>
  <si>
    <t>Tasa Pag
 ₡ CRC</t>
  </si>
  <si>
    <t>Diferencia
 ₡ CRC</t>
  </si>
  <si>
    <t>Descripción</t>
  </si>
  <si>
    <t>Fac</t>
  </si>
  <si>
    <t>Aluminati, Jan 2024</t>
  </si>
  <si>
    <t>TC1SS, Jan 2024</t>
  </si>
  <si>
    <t>CZ SS, Jan 2024</t>
  </si>
  <si>
    <t>Aluminati, Feb 2024</t>
  </si>
  <si>
    <t>TC1SS, feb 2024</t>
  </si>
  <si>
    <t>CZ SS, feb 2024</t>
  </si>
  <si>
    <t>Aluminati, marz 2024</t>
  </si>
  <si>
    <t>TC1SS, marz 2024</t>
  </si>
  <si>
    <t>Aluminati, April 2024</t>
  </si>
  <si>
    <t>TC1SS, April 2024</t>
  </si>
  <si>
    <t>TOTAL</t>
  </si>
  <si>
    <t>Retención en la fuente</t>
  </si>
  <si>
    <t>PAGO RETENCIÓN EN LA FUENTE FEBRERO NRO REFERENCIA 1034712090623</t>
  </si>
  <si>
    <t>PAGO RETENCIÓN EN LA FUENTE MARZO NRO REFERENCIA  1034712214961</t>
  </si>
  <si>
    <t>PAGO DECLARACIÓN JURADA DE RETENCIONES EN LA FUENTE POR REMESAS AL EXTERIOR NRO REFERENCIA 1034404081952</t>
  </si>
  <si>
    <t>Rte fte por declaración de remesas al exterior Facturación S&amp;P Colombia a S&amp;P CR</t>
  </si>
  <si>
    <t>Cobro S&amp;P a sucursal Abril</t>
  </si>
  <si>
    <t>PAGO FACTURA ALEJANDRO ECHAVARRIA FACTURA NO 100001010000000014 ( SERVICIOS ENE-ABRIL 24)</t>
  </si>
  <si>
    <t>Pago CCSS marzo</t>
  </si>
  <si>
    <t>TRANSFERENCIA DE USD A CRC PARA COMPETAR EL PAGO DE CCSS MARZO</t>
  </si>
  <si>
    <t>PAGO CCSS MARZO RECIBO 202403 -102766975-1</t>
  </si>
  <si>
    <t>PAGO CCSS MARZO RECIBO 202403 -102766975-1-Interes de mora</t>
  </si>
  <si>
    <t>TRANSFERENCIA DE USD A CRC PAGOS NÓMINAS , SEGURIDAD SOCIAL , RTE FTE EMPLEADOS JHOEL GARCÍA</t>
  </si>
  <si>
    <t>REMORFIST FACT 122-JONATHAN ALONSO SALAZAR GARCIA Y JHOEL GONZALEZ -STARLIGHT-CR003</t>
  </si>
  <si>
    <t>REMORFIST FACTURAS 123 PRISCILLA GRACE POLSON-ALUMINATI-CR00-124 SEBASTIAN GERARDO SALAZAR, -TC1SS -125 TATIANA ARAYA POCHET-CZ-CR006</t>
  </si>
  <si>
    <t>NOMINA ABRIL 2024 JONATHAN SALAZAR GARCIA-STARLIGHT-CR003</t>
  </si>
  <si>
    <t>NOMINA ABRIL  2024  TATIANA ARAYA POCHET-CZ-CR006</t>
  </si>
  <si>
    <t>NOMINA ABRIL 2024 JHOEL GONZALEZ GONZALEZ-STARLIGHT-CR003</t>
  </si>
  <si>
    <t>NOMINA ABRIL 2024 PRISCILLA GRACE POLSON-ALUMINATI-CR004</t>
  </si>
  <si>
    <t>NOMINA ABRIL 2024 SEBASTIAN GERARDO SALAZAR, -TC1SS</t>
  </si>
  <si>
    <t>Saldo 30 abril QTQ</t>
  </si>
  <si>
    <t>Saldo 30 abril USD</t>
  </si>
  <si>
    <t>Saldo CRC</t>
  </si>
  <si>
    <t>PAGO DE COMPRA DE CAFÉ   VB ED FORERO FACT 0055</t>
  </si>
  <si>
    <r>
      <t xml:space="preserve">CZ SS, marz 2024 </t>
    </r>
    <r>
      <rPr>
        <b/>
        <sz val="11"/>
        <color indexed="12"/>
        <rFont val="Calibri"/>
        <family val="2"/>
      </rPr>
      <t>USD</t>
    </r>
  </si>
  <si>
    <r>
      <t xml:space="preserve">CZ SS, April2024 </t>
    </r>
    <r>
      <rPr>
        <b/>
        <sz val="11"/>
        <color indexed="12"/>
        <rFont val="Calibri"/>
        <family val="2"/>
      </rPr>
      <t>USD</t>
    </r>
  </si>
  <si>
    <t>Pago CCSS abril</t>
  </si>
  <si>
    <t>Cobro S&amp;P a sucursal Mayo</t>
  </si>
  <si>
    <t>MAYO</t>
  </si>
  <si>
    <t>Gastos y costos Periodo 01 al 26 mayo (SS-Impuesto)</t>
  </si>
  <si>
    <t>Remorfist - Client: PLLC- Factura Nro 130</t>
  </si>
  <si>
    <t>Remorfist - Client: CZ SS-Factura Nro 131</t>
  </si>
  <si>
    <t>Client: Remorfist - Client: TC1SS-Factura Nro 128</t>
  </si>
  <si>
    <t>Client: Remorfist-Client: Aluminati-Factura Nro 127</t>
  </si>
  <si>
    <t>Client:  Remorfist-Client-Starlight SS -Factura Nro 126</t>
  </si>
  <si>
    <t>PAGO CCSS ABRIL RECIBO 202404 -3102766975</t>
  </si>
  <si>
    <t>PAGO RETENCIÓN EN LA FUENTE ABRIL NRO REFERENCIA  1034712317527</t>
  </si>
  <si>
    <t>PAGO DECLARACIÓN JURADA DE RETENCIONES EN LA FUENTE POR REMESAS AL EXTERIOR NRO REFERENCIA 1034404096205</t>
  </si>
  <si>
    <t>TRANSFERENCIA DE FONDOS DE LA CUENTA DE USD A CRC PARA COMPLETAR PAGO RTE FTE EMPLEADOS DE ABRIL Y RTE FTE POR REMESAS DEL EXTERIOR.</t>
  </si>
  <si>
    <t>Sheryl Gertrudiz Cambronero Estrada-lorez &amp; Prada PPLC</t>
  </si>
  <si>
    <t>Sebastían Gerardo Salazar, -Liquidación -TC1 Corp</t>
  </si>
  <si>
    <t>Servicios profesionales Alejandro Echavarria Mayo</t>
  </si>
  <si>
    <t>PAGO FACTURA ALEJANDRO ECHAVARRIA FACTURA NO 100001010000000015 ( SERVICIOS MAYO 24)</t>
  </si>
  <si>
    <t>Total Facturado</t>
  </si>
  <si>
    <t>Recibido</t>
  </si>
  <si>
    <t>Diferencia</t>
  </si>
  <si>
    <t>Sheryl Cambronero</t>
  </si>
  <si>
    <t>NOMINA MAYO 2024 JHOEL GONZALEZ GONZALEZ-STARLIGHT-CR003</t>
  </si>
  <si>
    <t>NOMINA MAYO 2024 PRISCILLA GRACE POLSON-ALUMINATI-CR004</t>
  </si>
  <si>
    <t>NOMINA ABRIL 2024 JOSE ROBERTO AGUILAR BARRANTES-ALUMINATI-CR004</t>
  </si>
  <si>
    <t>NOMINA MAYO 2024 JOSE ROBERTO AGUILAR BARRANTES-ALUMINATI-CR004</t>
  </si>
  <si>
    <t>NOMINA MAYO 2024 SEBASTIAN GERARDO SALAZAR, -TC1SS-LIQUIDACIÓN</t>
  </si>
  <si>
    <t>NOMINA MAYO 2024 SHERYL GERTRUDIS CAMBRONERO ESTRADA-FLORES &amp; PELAEZ-PRADA PLLC-CR007</t>
  </si>
  <si>
    <t>NOMINA MAYO  2024  TATIANA ARAYA POCHET-CZ-CR006</t>
  </si>
  <si>
    <t>INTERESES GANADOS</t>
  </si>
  <si>
    <t>PAGO DE COMPRA DE CAFÉ   VB ED FORERO FACT 0056</t>
  </si>
  <si>
    <t xml:space="preserve"> Starlight SS,Jan 2024 Jhoel Gonzalez </t>
  </si>
  <si>
    <r>
      <t xml:space="preserve">Starlight SS, Jan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</si>
  <si>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Starlight SS, Feb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</si>
  <si>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 Starlight SS, Feb 2024 Jhoel Gonzalez</t>
    </r>
    <r>
      <rPr>
        <b/>
        <sz val="11"/>
        <color indexed="12"/>
        <rFont val="Calibri"/>
        <family val="2"/>
      </rPr>
      <t xml:space="preserve"> </t>
    </r>
  </si>
  <si>
    <r>
      <t xml:space="preserve">Starlight SS, Marz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</si>
  <si>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t xml:space="preserve"> Starlight SS, Abril 2024 Jhoel Gonzalez</t>
  </si>
  <si>
    <r>
      <t xml:space="preserve">Starlight SS, Abril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</si>
  <si>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 Starlight SS, Marz 2024 Jhoel Gonzalez</t>
    </r>
    <r>
      <rPr>
        <b/>
        <sz val="11"/>
        <color indexed="12"/>
        <rFont val="Calibri"/>
        <family val="2"/>
      </rPr>
      <t xml:space="preserve"> </t>
    </r>
  </si>
  <si>
    <t>TC1SS, May  2024</t>
  </si>
  <si>
    <t>Aluminati, May 2024</t>
  </si>
  <si>
    <t xml:space="preserve"> Starlight SS, May 2024 Jhoel Gonzalez</t>
  </si>
  <si>
    <r>
      <t xml:space="preserve">CZ SS, May 2024 </t>
    </r>
    <r>
      <rPr>
        <b/>
        <sz val="11"/>
        <color indexed="12"/>
        <rFont val="Calibri"/>
        <family val="2"/>
      </rPr>
      <t>USD</t>
    </r>
  </si>
  <si>
    <t>Facturado</t>
  </si>
  <si>
    <t>Cuadro Df Cambio</t>
  </si>
  <si>
    <t xml:space="preserve">Monetizar a USD </t>
  </si>
  <si>
    <t>Subototal desp dscto</t>
  </si>
  <si>
    <t xml:space="preserve">Recibido </t>
  </si>
  <si>
    <t>Recurso s</t>
  </si>
  <si>
    <t>Saldo 31 Mayo QTQ</t>
  </si>
  <si>
    <t>Saldo 31 Mayo USD</t>
  </si>
  <si>
    <t>JUNIO</t>
  </si>
  <si>
    <t>Pago CCSS Mayo</t>
  </si>
  <si>
    <t>Servicios profesionales Alejandro Echavarria Junio</t>
  </si>
  <si>
    <t>55</t>
  </si>
  <si>
    <t>XXXX</t>
  </si>
  <si>
    <t>Cobro S&amp;P a sucursal Junio</t>
  </si>
  <si>
    <t>Client:  Remorfist-Client-Starlight SS -Factura Nro 131</t>
  </si>
  <si>
    <t>Client: Remorfist-Client: Aluminati-Factura Nro 132</t>
  </si>
  <si>
    <t>Remorfist - Client: CZ SS-Factura Nro 133</t>
  </si>
  <si>
    <t>Remorfist - Client: PLLC- Factura Nro 134</t>
  </si>
  <si>
    <r>
      <t xml:space="preserve">Starlight SS, June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</si>
  <si>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t>Aluminati, June 2024</t>
  </si>
  <si>
    <r>
      <t xml:space="preserve">CZ SS, Junes 2024 </t>
    </r>
    <r>
      <rPr>
        <b/>
        <sz val="11"/>
        <color indexed="12"/>
        <rFont val="Calibri"/>
        <family val="2"/>
      </rPr>
      <t>USD</t>
    </r>
  </si>
  <si>
    <t>Flores &amp; Pelaez , May 2024</t>
  </si>
  <si>
    <t>Flores &amp; Pelaez , June 2024</t>
  </si>
  <si>
    <t>Gastos y costos Periodo 10 al 23 Junio (SS-Impuesto)</t>
  </si>
  <si>
    <t>PAGO RETENCIÓN EN LA FUENTE MAYO NRO REFERENCIA  1034712433395</t>
  </si>
  <si>
    <t>PAGO DECLARACIÓN JURADA DE RETENCIONES EN LA FUENTE POR REMESAS AL EXTERIOR NRO REFERENCIA 1034404112296</t>
  </si>
  <si>
    <t>Client:  Remorfist-Client-Starlight SS -Factura Nro 135</t>
  </si>
  <si>
    <t>Daniel Nazario Castro</t>
  </si>
  <si>
    <t>REMORFIST PAGO DE FACTURAS 126 SS-127 ANGL-128 TC1-129 CZ-130 FLOREZ MES MAYO</t>
  </si>
  <si>
    <t>REMORFIST PAGO DE  FACTURAS 131 HASTA LAS 134</t>
  </si>
  <si>
    <t>REMORFIST PAGO DE  FACTURA 135</t>
  </si>
  <si>
    <t>Daniel Nazario Casto Vindas-Starlight-CR003</t>
  </si>
  <si>
    <t>CRC</t>
  </si>
  <si>
    <t>NOMINA MAYO 2024 JONATHAN SALAZAR GARCIA-STARLIGHT-CR003</t>
  </si>
  <si>
    <t>NOMINA JUNIO  2024  TATIANA ARAYA POCHET-CZ-CR006</t>
  </si>
  <si>
    <t>NOMINA JUNIO 2024 JONATHAN SALAZAR GARCIA-STARLIGHT-CR003</t>
  </si>
  <si>
    <t>NOMINA JUNIO 2024 JHOEL GONZALEZ GONZALEZ-STARLIGHT-CR003</t>
  </si>
  <si>
    <t>NOMINA JUNIO 2024 PRISCILLA GRACE POLSON-ALUMINATI-CR004</t>
  </si>
  <si>
    <t>NOMINA JUNIO 2024 JOSE ROBERTO AGUILAR BARRANTES-ALUMINATI-CR004</t>
  </si>
  <si>
    <t>NOMINA JUNIO 2024 SHERYL GERTRUDIS CAMBRONERO ESTRADA-FLORES &amp; PELAEZ-PRADA PLLC-CR007</t>
  </si>
  <si>
    <t>NOMINA JUNIO 2024 DANIEL NAZARIO CASTRO VINDAS--STARLIGHT-CR003</t>
  </si>
  <si>
    <t>Flujo Caja</t>
  </si>
  <si>
    <t>Libro Bancos</t>
  </si>
  <si>
    <t>JULIO</t>
  </si>
  <si>
    <t>Pago CCSS Junio</t>
  </si>
  <si>
    <t>Gastos y costos Periodo01 al 15 Julio (SS-Impuesto)</t>
  </si>
  <si>
    <t>CCSS</t>
  </si>
  <si>
    <t>Impuestos Rte Fte</t>
  </si>
  <si>
    <t>Nóminas y gastos admon</t>
  </si>
  <si>
    <t>PAGO DE COMPRA DE CAFÉ   VB ED FORERO FACT 0057</t>
  </si>
  <si>
    <t>57</t>
  </si>
  <si>
    <t>Client: Remorfist-Client: Aluminati-Factura Nro 141</t>
  </si>
  <si>
    <t>Client:  Remorfist-Client-Starlight SS -Factura Nro 140</t>
  </si>
  <si>
    <t>Remorfist - Client: CZ SS-Factura Nro 138</t>
  </si>
  <si>
    <t>Remorfist - Client: PLLC- Factura Nro 139</t>
  </si>
  <si>
    <t>PAGO CCSS JUNIO RECIBO 202406 -3102766975</t>
  </si>
  <si>
    <t>PAGO CCSS MAYO RECIBO 202405 -3102766975</t>
  </si>
  <si>
    <t>PAGO RETENCIÓN EN LA FUENTE JUNIO NRO REFERENCIA  1034712539822</t>
  </si>
  <si>
    <t>PAGO DECLARACIÓN JURADA DE RETENCIONES EN LA FUENTE POR REMESAS AL EXTERIOR NRO REFERENCIA 1034404127391</t>
  </si>
  <si>
    <t>Cl</t>
  </si>
  <si>
    <t>Bco Emisor</t>
  </si>
  <si>
    <t>Bco Receptor</t>
  </si>
  <si>
    <t>Gastos Empleados Colones</t>
  </si>
  <si>
    <t>Fact</t>
  </si>
  <si>
    <t>Traslado</t>
  </si>
  <si>
    <t>FEE</t>
  </si>
  <si>
    <t>USD COSTO</t>
  </si>
  <si>
    <t>Comisión Banco
Emisor</t>
  </si>
  <si>
    <t>Comisión Banco
Receptor</t>
  </si>
  <si>
    <t>USD Disponible</t>
  </si>
  <si>
    <t>COLONES</t>
  </si>
  <si>
    <t>REMORFIST PAGO DE  FACTURAS 138 HASTA LAS 141</t>
  </si>
  <si>
    <t xml:space="preserve"> Starlight SS, June 2024 Jhoel Gonzalez</t>
  </si>
  <si>
    <t xml:space="preserve"> Starlight SS, June 2024 Daniel Nazario Castro</t>
  </si>
  <si>
    <r>
      <t xml:space="preserve">Starlight SS, July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</si>
  <si>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t xml:space="preserve"> Starlight SS, July 2024 Jhoel Gonzalez</t>
  </si>
  <si>
    <t xml:space="preserve"> Starlight SS, July 2024 Daniel Nazario Castro Vindas</t>
  </si>
  <si>
    <t>Aluminati, July 2024</t>
  </si>
  <si>
    <r>
      <t xml:space="preserve">CZ SS, July 2024 </t>
    </r>
    <r>
      <rPr>
        <b/>
        <sz val="11"/>
        <color indexed="12"/>
        <rFont val="Calibri"/>
        <family val="2"/>
      </rPr>
      <t>USD</t>
    </r>
  </si>
  <si>
    <t>Flores &amp; Pelaez , July 2024</t>
  </si>
  <si>
    <r>
      <t xml:space="preserve">Starlight SS, May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</si>
  <si>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t>NOMINA JULIO 2024 JONATHAN SALAZAR GARCIA-STARLIGHT-CR003</t>
  </si>
  <si>
    <t>NOMINA JULIO  2024  TATIANA ARAYA POCHET-CZ-CR006</t>
  </si>
  <si>
    <t>NOMINA JULIO 2024 JHOEL GONZALEZ GONZALEZ-STARLIGHT-CR003</t>
  </si>
  <si>
    <t>NOMINA JULIO 2024 PRISCILLA GRACE POLSON-ALUMINATI-CR004</t>
  </si>
  <si>
    <t>NOMINA JULIO 2024 JOSE ROBERTO AGUILAR BARRANTES-ALUMINATI-CR004</t>
  </si>
  <si>
    <t>NOMINA JULIO 2024 SHERYL GERTRUDIS CAMBRONERO ESTRADA-FLORES &amp; PELAEZ-PRADA PLLC-CR007</t>
  </si>
  <si>
    <t>NOMINA JULIO 2024 DANIEL NAZARIO CASTRO VINDAS--STARLIGHT-CR003</t>
  </si>
  <si>
    <t>PAGO FACTURA ALEJANDRO ECHAVARRIA FACTURA NO 100001010000000017( SERVICIOS JULIO 24)</t>
  </si>
  <si>
    <t>PAGO FACTURA ALEJANDRO ECHAVARRIA FACTURA NO 100001010000000016 ( SERVICIOS JUNIO 24)</t>
  </si>
  <si>
    <t>Pago CCSS Julio</t>
  </si>
  <si>
    <t>AGOSTO</t>
  </si>
  <si>
    <t>CCSS e impuestos</t>
  </si>
  <si>
    <t>Cobro S&amp;P a sucursal Julio</t>
  </si>
  <si>
    <t>Cruzado</t>
  </si>
  <si>
    <t xml:space="preserve">Saldo </t>
  </si>
  <si>
    <t>58</t>
  </si>
  <si>
    <t>202407-3102766975-1</t>
  </si>
  <si>
    <t>Client:  Remorfist-Client-Starlight SS -Factura Nro 142</t>
  </si>
  <si>
    <t>Client: Remorfist-Client: Aluminati-Factura Nro 143</t>
  </si>
  <si>
    <t>Remorfist - Client: CZ SS-Factura Nro 144</t>
  </si>
  <si>
    <t>Remorfist - Client: PLLC- Factura Nro 145</t>
  </si>
  <si>
    <r>
      <t xml:space="preserve">Starlight SS, August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</si>
  <si>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t xml:space="preserve"> Starlight SS, August 2024 Jhoel Gonzalez</t>
  </si>
  <si>
    <t xml:space="preserve"> Starlight SS, August2024 Daniel Nazario Castro Vindas</t>
  </si>
  <si>
    <t>Aluminati, August 2024</t>
  </si>
  <si>
    <r>
      <t xml:space="preserve">CZ SS, August 2024 </t>
    </r>
    <r>
      <rPr>
        <b/>
        <sz val="11"/>
        <color indexed="12"/>
        <rFont val="Calibri"/>
        <family val="2"/>
      </rPr>
      <t>USD</t>
    </r>
  </si>
  <si>
    <t>Flores &amp; Pelaez , August 2024</t>
  </si>
  <si>
    <t>Agosto</t>
  </si>
  <si>
    <t>PAGO CCSS JULIO RECIBO 202407 -3102766975</t>
  </si>
  <si>
    <t>PAGO RETENCIÓN EN LA FUENTE JUNIO NRO REFERENCIA  1034712663433</t>
  </si>
  <si>
    <t>PAGO DECLARACIÓN JURADA DE RETENCIONES EN LA FUENTE POR REMESAS AL EXTERIOR NRO REFERENCIA 1034404144252</t>
  </si>
  <si>
    <t>REMORFIST PAGO DE  FACTURAS 142 HASTA LAS 146</t>
  </si>
  <si>
    <t>Client:  Remorfist-Client-Starlight SS -Factura Nro 146-Offcycle</t>
  </si>
  <si>
    <r>
      <t xml:space="preserve">Starlight SS, August 2024 Jonathan Salazar </t>
    </r>
    <r>
      <rPr>
        <b/>
        <sz val="11"/>
        <color indexed="12"/>
        <rFont val="Calibri"/>
        <family val="2"/>
      </rPr>
      <t>USD- Offcycle</t>
    </r>
    <r>
      <rPr>
        <sz val="11"/>
        <color theme="1"/>
        <rFont val="Calibri"/>
        <family val="2"/>
        <scheme val="minor"/>
      </rPr>
      <t xml:space="preserve">
</t>
    </r>
  </si>
  <si>
    <t>Gastos y costos Periodo 26 al 30 Agosto</t>
  </si>
  <si>
    <t>Cobro S&amp;P a sucursal Agosto</t>
  </si>
  <si>
    <t>Servicios profesionales Alejandro Echavarria Agosto</t>
  </si>
  <si>
    <t>PAGO FACTURA ALEJANDRO ECHAVARRIA FACTURA NO 100001010000000018( SERVICIOS AGOSTO 24)</t>
  </si>
  <si>
    <t>NOMINA AGOSTO  2024  TATIANA ARAYA POCHET-CZ-CR006</t>
  </si>
  <si>
    <t>NOMINA AGOSTO 2024 JONATHAN SALAZAR GARCIA-STARLIGHT-CR003</t>
  </si>
  <si>
    <t>NOMINA AGOSTO 2024 JHOEL GONZALEZ GONZALEZ-STARLIGHT-CR003</t>
  </si>
  <si>
    <t>NOMINA AGOSTO 2024 PRISCILLA GRACE POLSON-ALUMINATI-CR004</t>
  </si>
  <si>
    <t>NOMINA AGOSTO 2024 JOSE ROBERTO AGUILAR BARRANTES-ALUMINATI-CR004</t>
  </si>
  <si>
    <t>NOMINA AGOSTO 2024 SHERYL GERTRUDIS CAMBRONERO ESTRADA-FLORES &amp; PELAEZ-PRADA PLLC-CR007</t>
  </si>
  <si>
    <t>NOMINA AGOSTO 2024 DANIEL NAZARIO CASTRO VINDAS--STARLIGHT-CR003</t>
  </si>
  <si>
    <t>Gastos y costos Periodo 02 al 22 Septiembre</t>
  </si>
  <si>
    <t xml:space="preserve">4024882 </t>
  </si>
  <si>
    <t>Client:  Remorfist-Client-Starlight SS -Factura Nro 147</t>
  </si>
  <si>
    <t>Client: Remorfist-Client: Aluminati-Factura Nro 148</t>
  </si>
  <si>
    <t>Remorfist - Client: CZ SS-Factura Nro 149</t>
  </si>
  <si>
    <t>Remorfist - Client: PLLC- Factura Nro 150</t>
  </si>
  <si>
    <t xml:space="preserve"> Starlight SS, September 2024 Jhoel Gonzalez</t>
  </si>
  <si>
    <r>
      <t xml:space="preserve">Starlight SS, Septiember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</si>
  <si>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t xml:space="preserve"> Starlight SS, September 2024 Daniel Nazario Castro Vindas</t>
  </si>
  <si>
    <t>Aluminati, September 2024</t>
  </si>
  <si>
    <t>Septiembre</t>
  </si>
  <si>
    <t xml:space="preserve">Pago CCSS Agosto </t>
  </si>
  <si>
    <t>202408-3102766975-1</t>
  </si>
  <si>
    <t>PAGO RETENCIÓN EN LA FUENTE JUNIO NRO REFERENCIA  1034404165304</t>
  </si>
  <si>
    <t>PAGO CCSS AGOSTO RECIBO 202408 -3102766975</t>
  </si>
  <si>
    <t>PAGO DECLARACIÓN JURADA DE RETENCIONES EN LA FUENTE POR REMESAS AL EXTERIOR NRO REFERENCIA 1034404165304</t>
  </si>
  <si>
    <t>PAGO RENOVACIÓN PÓLIZA  NRO 4024882 RIESGOS DEL TRABAJO-INS</t>
  </si>
  <si>
    <t xml:space="preserve">CCSS e impuestos y renovación póliza Riesgo de trabajo </t>
  </si>
  <si>
    <t>REMORFIST PAGO DE  FACTURAS 147 HASTA LAS 150</t>
  </si>
  <si>
    <t>PAGO FACTURA ALEJANDRO ECHAVARRIA FACTURA NO 100001010000000019( SERVICIOS SEPTIEMBRE 24)</t>
  </si>
  <si>
    <t>NOMINA SEPTIEMBRE  2024  TATIANA ARAYA POCHET-CZ-CR006</t>
  </si>
  <si>
    <t>NOMINA SEPTIEMBRE 2024 JONATHAN SALAZAR GARCIA-STARLIGHT-CR003</t>
  </si>
  <si>
    <t>NOMINA SEPTIEMBRE 2024 JHOEL GONZALEZ GONZALEZ-STARLIGHT-CR003</t>
  </si>
  <si>
    <t>NOMINA SEPTIEMBRE 2024 PRISCILLA GRACE POLSON-ALUMINATI-CR004</t>
  </si>
  <si>
    <t>NOMINA SEPTIEMBRE 2024 JOSE ROBERTO AGUILAR BARRANTES-ALUMINATI-CR004</t>
  </si>
  <si>
    <t>NOMINA SEPTIEMBRE 2024 SHERYL GERTRUDIS CAMBRONERO ESTRADA-FLORES &amp; PELAEZ-PRADA PLLC-CR007</t>
  </si>
  <si>
    <t>NOMINA SEPTIEMBRE 2024 DANIEL NAZARIO CASTRO VINDAS--STARLIGHT-CR003</t>
  </si>
  <si>
    <t>,</t>
  </si>
  <si>
    <t>Cobro S&amp;P a sucursal Septiembre</t>
  </si>
  <si>
    <t>PAGO DE COMPRA DE CAFÉ   VB ED FORERO FACT 0059</t>
  </si>
  <si>
    <t>Compra Café</t>
  </si>
  <si>
    <t>Servicios Profesionales Alejandro y Divisas</t>
  </si>
  <si>
    <r>
      <t xml:space="preserve">Starlight SS, October 2024 Jonathan Salazar </t>
    </r>
    <r>
      <rPr>
        <b/>
        <sz val="11"/>
        <color indexed="12"/>
        <rFont val="Calibri"/>
        <family val="2"/>
      </rPr>
      <t>USD</t>
    </r>
    <r>
      <rPr>
        <sz val="11"/>
        <color theme="1"/>
        <rFont val="Calibri"/>
        <family val="2"/>
        <scheme val="minor"/>
      </rPr>
      <t xml:space="preserve">
</t>
    </r>
  </si>
  <si>
    <t xml:space="preserve"> Starlight SS, October 2024 Jhoel Gonzalez</t>
  </si>
  <si>
    <t>Octubre</t>
  </si>
  <si>
    <t>Aluminati, October 2024</t>
  </si>
  <si>
    <r>
      <t xml:space="preserve">CZ SS, October 2024 </t>
    </r>
    <r>
      <rPr>
        <b/>
        <sz val="11"/>
        <color indexed="12"/>
        <rFont val="Calibri"/>
        <family val="2"/>
      </rPr>
      <t>USD</t>
    </r>
  </si>
  <si>
    <t>Flores &amp; Pelaez , September 2024</t>
  </si>
  <si>
    <r>
      <t xml:space="preserve">CZ SS, September 2024 </t>
    </r>
    <r>
      <rPr>
        <b/>
        <sz val="11"/>
        <color indexed="12"/>
        <rFont val="Calibri"/>
        <family val="2"/>
      </rPr>
      <t>USD</t>
    </r>
  </si>
  <si>
    <t>Flores &amp; Pelaez , October 2024</t>
  </si>
  <si>
    <t>Client:  Remorfist-Client-Starlight SS -Factura Nro 151</t>
  </si>
  <si>
    <t>Client: Remorfist-Client: Aluminati-Factura Nro 152</t>
  </si>
  <si>
    <t>Remorfist - Client: CZ SS-Factura Nro 153</t>
  </si>
  <si>
    <t>Remorfist - Client: PLLC- Factura Nro 154</t>
  </si>
  <si>
    <t>PAGO CCSS AGOSTO RECIBO 202409 -3102766975</t>
  </si>
  <si>
    <t xml:space="preserve">PAGO DECLARACIÓN JURADA DE RETENCIONES EN LA FUENTE POR REMESAS AL EXTERIOR NRO REFERENCIA 1034404180503 </t>
  </si>
  <si>
    <t>REMORFIST PAGO DE  FACTURAS 151 HASTA LAS 154</t>
  </si>
  <si>
    <t>Advancio - Client: PLLC- Factura Nro 155</t>
  </si>
  <si>
    <t>Pagado</t>
  </si>
  <si>
    <t>PAGO FACTURA ALEJANDRO ECHAVARRIA FACTURA NO 100001010000000020( SERVICIOS OCTUBRE 24)</t>
  </si>
  <si>
    <t>Servicios profesionales Alejandro Echavarria Octubre</t>
  </si>
  <si>
    <t>NOMINA OCTUBRE  2024  TATIANA ARAYA POCHET-CZ-CR006</t>
  </si>
  <si>
    <t>NOMINA OCTUBRE 2024 JONATHAN SALAZAR GARCIA-STARLIGHT-CR003</t>
  </si>
  <si>
    <t>NOMINA OCTUBRE 2024 JHOEL GONZALEZ GONZALEZ-STARLIGHT-CR003</t>
  </si>
  <si>
    <t>NOMINA OCTUBRE 2024 PRISCILLA GRACE POLSON-ALUMINATI-CR004</t>
  </si>
  <si>
    <t>NOMINA OCTUBRE 2024 JOSE ROBERTO AGUILAR BARRANTES-ALUMINATI-CR004</t>
  </si>
  <si>
    <t>NOMINA OCTUBRE 2024 SHERYL GERTRUDIS CAMBRONERO ESTRADA-FLORES &amp; PELAEZ-PRADA PLLC-CR007</t>
  </si>
  <si>
    <t>NOMINA OCTUBRE 2024 DANIEL NAZARIO CASTRO VINDAS--STARLIGHT-CR003</t>
  </si>
  <si>
    <t>ADVANCIO PAGO DE  FACTURAS 155</t>
  </si>
  <si>
    <t>155 AD</t>
  </si>
  <si>
    <t>José Alvarado</t>
  </si>
  <si>
    <t>Advancio, October 2024</t>
  </si>
  <si>
    <t>TRANSFERENCIA DE USD A CRC PARA PAGO DE NOM, SS , RTE FTE EMPLEADOS ADVANCIO</t>
  </si>
  <si>
    <t>TRANSFERENCIA DE USD A CRC PARA PAGO DE NOM, SS , RTE FTE EMPLEADO ADVANCIO</t>
  </si>
  <si>
    <t>José Alvardo -Advanció</t>
  </si>
  <si>
    <t>Ingreso</t>
  </si>
  <si>
    <t>Gastos y costos Periodo 01 al 31 Octubre</t>
  </si>
  <si>
    <t>OCTUBRE</t>
  </si>
  <si>
    <t>SEPTIEMBRE</t>
  </si>
  <si>
    <t>NOVIEMBRE</t>
  </si>
  <si>
    <t xml:space="preserve">Servicios Profesionales Alejandro </t>
  </si>
  <si>
    <t xml:space="preserve">Nóminas </t>
  </si>
  <si>
    <t>Gastos y costos Periodo 01 al 24 Noviembre</t>
  </si>
  <si>
    <t>61</t>
  </si>
  <si>
    <t>PAGO DE COMPRA DE CAFÉ   VB ED FORERO FACT 0060</t>
  </si>
  <si>
    <t>Envío de divisas</t>
  </si>
  <si>
    <t>Cobro S&amp;P a sucursal Octubre</t>
  </si>
  <si>
    <t>PAGO DE FACTURAS DE S&amp;P COLOMBIA DE JULIO A OCTUBRE FACTURAS NRO 5056-5160- 5283-5383</t>
  </si>
  <si>
    <t>COMISIÓN DE ENVIO DE TRANSFERENCIAS INTERNACIONAL DE LAS FACTURAS NRO 5056-5160- 5283-5383</t>
  </si>
  <si>
    <t>Noviembre</t>
  </si>
  <si>
    <t>Client:  Remorfist-Client-Starlight SS -Factura Nro 156</t>
  </si>
  <si>
    <t>Client: Remorfist-Client: Aluminati-Factura Nro 157</t>
  </si>
  <si>
    <t>Remorfist - Client: CZ SS-Factura Nro 158</t>
  </si>
  <si>
    <t>Remorfist - Client: PLLC- Factura Nro 159</t>
  </si>
  <si>
    <t xml:space="preserve"> Starlight SS, October 2024 Daniel Nazario Castro Vindas</t>
  </si>
  <si>
    <t xml:space="preserve">Starlight SS, November 2024 Jonathan Salazar USD
</t>
  </si>
  <si>
    <t xml:space="preserve"> Starlight SS, November 2024 Jhoel Gonzalez</t>
  </si>
  <si>
    <t xml:space="preserve"> Starlight SS, November 2024 Daniel Nazario Castro Vindas</t>
  </si>
  <si>
    <t>Aluminati, November 2024</t>
  </si>
  <si>
    <t>CZ SS, November 2024 USD</t>
  </si>
  <si>
    <t>Flores &amp; Pelaez , November 2024</t>
  </si>
  <si>
    <t>Advancio, November 2024</t>
  </si>
  <si>
    <t>PAGO DECLARACIÓN JURADA DE RETENCIONES EN LA FUENTE POR REMESAS AL EXTERIOR NRO REFERENCIA 1034404192017</t>
  </si>
  <si>
    <t xml:space="preserve">PAGO RETENCIÓN EN LA FUENTE SEPTIEMBRE NRO REFERENCIA 1034712918766  </t>
  </si>
  <si>
    <t>PAGO RETENCIÓN EN LA FUENTE SEPTIEMBRE NRO REFERENCIA 1034713007973</t>
  </si>
  <si>
    <t>777720241042561160-1</t>
  </si>
  <si>
    <t>PAGO CCSS OCTUBRE RECIBO -777720241042561160-1</t>
  </si>
  <si>
    <t>Advancio - Client: PLLC- Factura Nro 160</t>
  </si>
  <si>
    <t>Servicios profesionales Alejandro Echavarria Noviembrew</t>
  </si>
  <si>
    <t>PAGO FACTURA ALEJANDRO ECHAVARRIA FACTURA NO 100001010000000021( SERVICIOS NOVIEMBRE 24)</t>
  </si>
  <si>
    <t>DICIEMBRE</t>
  </si>
  <si>
    <t>Pago CCSS Octubre</t>
  </si>
  <si>
    <t>Pago CCSS Noviembre</t>
  </si>
  <si>
    <t>777720241143125012-1</t>
  </si>
  <si>
    <t>Servicios profesionales Alejandro Echavarria Diciembre</t>
  </si>
  <si>
    <t>62</t>
  </si>
  <si>
    <t>Cobro S&amp;P a sucursal Noviembre</t>
  </si>
  <si>
    <t>Cobro S&amp;P a sucursal Diciembre</t>
  </si>
  <si>
    <t>José Alvardo -Advanció-Noviembre</t>
  </si>
  <si>
    <t>Café y pago nómina Advancio Nov</t>
  </si>
  <si>
    <t>CCSS e impuestos y envío divisas</t>
  </si>
  <si>
    <t>GMF</t>
  </si>
  <si>
    <t>NOMINA OCTUBRE  2024  JOSE FABRICIO ALVARADO ESQUIVEL</t>
  </si>
  <si>
    <t>NOMINA NOVIEMBRE 2024 JOSE FABRICIO ALVARADO ESQUIVEL-ADVANCIO-PRESTAMO</t>
  </si>
  <si>
    <t>REMORFIST PAGO DE  FACTURAS 156 HASTA LAS 159</t>
  </si>
  <si>
    <t>ADVANCIO PAGO DE  FACTURAS 160</t>
  </si>
  <si>
    <t>TRANSFERENCIA DE USD A CRC PARA PAGO SS , RTE FTE EMPLEADOS ADVANCIO</t>
  </si>
  <si>
    <t>PAGO CCSS NOVIEMBRE RECIBO-777720241143125012-1</t>
  </si>
  <si>
    <t>PAGO DECLARACIÓN JURADA DE RETENCIONES EN LA FUENTE POR REMESAS AL EXTERIOR NRO REFERENCIA 1034404210752</t>
  </si>
  <si>
    <t>PAGO DE PRIMAS POLIZA DE RIESGO DEL TRABAJO NRO 4024882 -INS DEL 01/10/23 al 30/09/24</t>
  </si>
  <si>
    <t>Pago primas póliza de riesgo de  trabajo NRO 4024882 -INS del 01/10/23 al 30/09/24</t>
  </si>
  <si>
    <t>REMORFIST PAGO DE  FACTURAS 161 DICIEMBRE</t>
  </si>
  <si>
    <t>Diciembre- Primas</t>
  </si>
  <si>
    <t>AGUINALDO DICIEMBRE 2024 TATIANA ARAYA POCHET-CZ-CR006</t>
  </si>
  <si>
    <t>AGUINALDO DICIEMBRE 2024 JONATHAN SALAZAR GARCIA-STARLIGHT-CR003</t>
  </si>
  <si>
    <t>AGUINALDO DICIEMBRE 2024 JOSE FABRICIO ALVARADO ESQUIVEL-ADVANCIO</t>
  </si>
  <si>
    <t xml:space="preserve">Diciembre- Salario </t>
  </si>
  <si>
    <t xml:space="preserve">Aguinaldo </t>
  </si>
  <si>
    <t>Nómina CRC</t>
  </si>
  <si>
    <t>Saldo USD</t>
  </si>
  <si>
    <t>Nómina + Fee</t>
  </si>
  <si>
    <t>Saldo - menos No-Fee USD</t>
  </si>
  <si>
    <t>Menos saldo antes de pago remotefist</t>
  </si>
  <si>
    <t>Saldo Real Cliente</t>
  </si>
  <si>
    <t xml:space="preserve">Provisión nomina y saldo </t>
  </si>
  <si>
    <t>AGUINALDO DICIEMBRE 2024 JHOEL GONZALEZ GONZALEZ-STARLIGHT-CR003</t>
  </si>
  <si>
    <t>AGUINALDO DICIEMBRE 2024 PRISCILLA GRACE POLSON-ALUMINATI-CR004</t>
  </si>
  <si>
    <t>AGUINALDO DICIEMBRE 2024 JOSE ROBERTO AGUILAR BARRANTES-ALUMINATI-CR004</t>
  </si>
  <si>
    <t>AGUINALDO DICIEMBRE 2024  SHERYL GERTRUDIS CAMBRONERO ESTRADA-FLORES &amp; PELAEZ-PRADA PLLC-CR007</t>
  </si>
  <si>
    <t>AGUINALDO DICIEMBRE 2024 DANIEL NAZARIO CASTRO VINDAS-STARLIGHT-CR003</t>
  </si>
  <si>
    <t xml:space="preserve">Starlight SS, December 2024 Jonathan Salazar USD
</t>
  </si>
  <si>
    <t xml:space="preserve"> Starlight SS, December 2024 Jhoel Gonzalez</t>
  </si>
  <si>
    <t xml:space="preserve"> Starlight SS, December 2024 Daniel Nazario Castro Vindas</t>
  </si>
  <si>
    <t>Aluminati, December 2024</t>
  </si>
  <si>
    <t>CZ SS, December 2024 USD</t>
  </si>
  <si>
    <t>Flores &amp; Pelaez , December 2024</t>
  </si>
  <si>
    <t>Advancio, December 2024</t>
  </si>
  <si>
    <t>Jhoel González González-Starlight-CR003-Aguinaldo</t>
  </si>
  <si>
    <t>Jonathan Salazar García  -Starlight-CR003-Aguinaldo</t>
  </si>
  <si>
    <t>Daniel Nazario Casto Vindas-Starlight-CR003-Aguinaldo</t>
  </si>
  <si>
    <t>Priscilla Grace Polson -Aluminati-CR004-Aguinaldo</t>
  </si>
  <si>
    <t>José Roberto Aguilar Barrante-Aluminati-CR004-Aguinaldo</t>
  </si>
  <si>
    <t>Sheryl Gertrudiz Cambronero Estrada-lorez &amp; Prada PPLC-Aguinaldo</t>
  </si>
  <si>
    <t>Tatiana Araya Pochet-CZ-CR006-Aguinaldo</t>
  </si>
  <si>
    <t>José Alvardo -Advanció-Aguinaldo</t>
  </si>
  <si>
    <t>Gastos y costos Periodo 27 al 30 de diciembre</t>
  </si>
  <si>
    <t>NOMINA NOVIEMBRE  2024  TATIANA ARAYA POCHET-CZ-CR006</t>
  </si>
  <si>
    <t>NOMINA NOVIEMBRE 2024 JONATHAN SALAZAR GARCIA-STARLIGHT-CR003</t>
  </si>
  <si>
    <t>NOMINA DICIEMBRE  2024  TATIANA ARAYA POCHET-CZ-CR006</t>
  </si>
  <si>
    <t>NOMINA DICIEMBRE 2024 JONATHAN SALAZAR GARCIA-STARLIGHT-CR003</t>
  </si>
  <si>
    <t>NOMINA NOVIEMBRE 2024 JHOEL GONZALEZ GONZALEZ-STARLIGHT-CR003</t>
  </si>
  <si>
    <t>NOMINA NOVIEMBRE 2024 PRISCILLA GRACE POLSON-ALUMINATI-CR004</t>
  </si>
  <si>
    <t>NOMINA NOVIEMBRE 2024 JOSE ROBERTO AGUILAR BARRANTES-ALUMINATI-CR004</t>
  </si>
  <si>
    <t>NOMINA NOVIEMBRE 2024 SHERYL GERTRUDIS CAMBRONERO ESTRADA-FLORES &amp; PELAEZ-PRADA PLLC-CR007</t>
  </si>
  <si>
    <t>NOMINA NOVIEMBRE 2024 DANIEL NAZARIO CASTRO VINDAS-STARLIGHT-CR003</t>
  </si>
  <si>
    <t>NOMINA DICIEMBRE 2024 JHOEL GONZALEZ GONZALEZ-STARLIGHT-CR003</t>
  </si>
  <si>
    <t>NOMINA DICIEMBRE 2024 PRISCILLA GRACE POLSON-ALUMINATI-CR004</t>
  </si>
  <si>
    <t>NOMINA DICIEMBRE 2024 JOSE ROBERTO AGUILAR BARRANTES-ALUMINATI-CR004</t>
  </si>
  <si>
    <t>NOMINADICIEMBRE 2024 SHERYL GERTRUDIS CAMBRONERO ESTRADA-FLORES &amp; PELAEZ-PRADA PLLC-CR007</t>
  </si>
  <si>
    <t>NOMINA DICIEMBRE 2024 DANIEL NAZARIO CASTRO VINDAS-STARLIGHT-CR003</t>
  </si>
  <si>
    <t>NOMINA DICIEMBRE 2024 JOSE FABRICIO ALVARADO ESQUIVEL-ADVANCIO-PRESTAMO</t>
  </si>
  <si>
    <t>Pago CCSS Diciembre</t>
  </si>
  <si>
    <t>Nóminas, Cobros entre sucursales y GMF</t>
  </si>
  <si>
    <t>PAGO DE COMPRA DE CAFÉ   VB ED FORERO FACT 0062</t>
  </si>
  <si>
    <t>PAGO DE COMPRA DE CAFÉ   VB ED FORERO FACT 0061</t>
  </si>
  <si>
    <t>ADVANCIO PAGO DE  FACTURAS 162</t>
  </si>
  <si>
    <r>
      <t xml:space="preserve">Advancio - Client:  Factura Nro </t>
    </r>
    <r>
      <rPr>
        <sz val="11"/>
        <color indexed="10"/>
        <rFont val="Calibri"/>
        <family val="2"/>
      </rPr>
      <t>XXX</t>
    </r>
  </si>
  <si>
    <r>
      <t>Advancio - Client: PLLC- Factura Nro</t>
    </r>
    <r>
      <rPr>
        <sz val="11"/>
        <color indexed="10"/>
        <rFont val="Calibri"/>
        <family val="2"/>
      </rPr>
      <t xml:space="preserve"> XXX</t>
    </r>
  </si>
  <si>
    <r>
      <t xml:space="preserve">Client:  Remorfist-Client-Starlight SS -Factura Nro </t>
    </r>
    <r>
      <rPr>
        <sz val="11"/>
        <color indexed="10"/>
        <rFont val="Calibri"/>
        <family val="2"/>
      </rPr>
      <t>XXX</t>
    </r>
  </si>
  <si>
    <r>
      <t xml:space="preserve">Client: Remorfist-Client: Aluminati-Factura Nro </t>
    </r>
    <r>
      <rPr>
        <sz val="11"/>
        <color indexed="10"/>
        <rFont val="Calibri"/>
        <family val="2"/>
      </rPr>
      <t>XXX</t>
    </r>
  </si>
  <si>
    <r>
      <t>Remorfist - Client: CZ SS-Factura Nro</t>
    </r>
    <r>
      <rPr>
        <sz val="11"/>
        <color indexed="10"/>
        <rFont val="Calibri"/>
        <family val="2"/>
      </rPr>
      <t xml:space="preserve"> XXX</t>
    </r>
  </si>
  <si>
    <r>
      <t xml:space="preserve">Remorfist - Client: PLLC- Factura Nro </t>
    </r>
    <r>
      <rPr>
        <sz val="11"/>
        <color indexed="10"/>
        <rFont val="Calibri"/>
        <family val="2"/>
      </rPr>
      <t>XXX</t>
    </r>
  </si>
  <si>
    <t>777720241243772018-1</t>
  </si>
  <si>
    <t xml:space="preserve">ENERO </t>
  </si>
  <si>
    <t xml:space="preserve">Starlight SS, January 2025 Jonathan Salazar USD
</t>
  </si>
  <si>
    <t xml:space="preserve"> Starlight SS, January 2025 Jhoel Gonzalez</t>
  </si>
  <si>
    <t xml:space="preserve"> Starlight SS, January 2025  Daniel Nazario Castro Vindas</t>
  </si>
  <si>
    <t xml:space="preserve">Aluminati, January 2025 </t>
  </si>
  <si>
    <t>CZ SS, January 2025 USD</t>
  </si>
  <si>
    <t xml:space="preserve">Flores &amp; Pelaez , January 2025 </t>
  </si>
  <si>
    <t xml:space="preserve">TRANSFERENCIA DE FONDOS DE LA CTA USD A CRC PARA PAGO DE SEGURIDAD SOCIAL E IMPUESTOS DIC </t>
  </si>
  <si>
    <t>PAGO RETENCIÓN EN LA FUENTE NOVIEMBRE NRO REFERENCIA 1034713136965</t>
  </si>
  <si>
    <t>PAGO RETENCIÓN EN LA FUENTE DICIEMBRE NRO REFERENCIA 1034713241432</t>
  </si>
  <si>
    <t>PAGO CCSS DICIEMBRE RECIBO-777720241243772018-1</t>
  </si>
  <si>
    <t>Recarga de facturas electronica a GTI -Plan Prepago 24 documentos</t>
  </si>
  <si>
    <t>00100001010001521906</t>
  </si>
  <si>
    <t>Impuesto a sociedades</t>
  </si>
  <si>
    <t>RECARGA DE FACTURAS ELECTRONICA A GTI -PLAN PREPAGO 24 DOCUMENTOS-FACTURA Nro.00100001010001521906</t>
  </si>
  <si>
    <t>TRANSFERENCIA DE FONDOS DE LA CTA USD A CRC PARA COMPLETAR PAGO  IMPUESTO DE SOCIEDADES</t>
  </si>
  <si>
    <t>TRANSFERENCIA DE FONDOS DE LA CTA USD A CRC PARA COPLETAR PAGO DE IMPUESTOS SOCIEDADES ENERO</t>
  </si>
  <si>
    <t>Recarga facxtura e impuestos sociedades CR</t>
  </si>
  <si>
    <t>Rte fte por declaración de remesas al exterior Facturación S&amp;P Colombia a S&amp;P CR Fact 5582</t>
  </si>
  <si>
    <t xml:space="preserve">PAGO RTE FTE POR DECLARACIÓN REMESES DEL EXTERIOR Facturación S&amp;P COL A S&amp;P CR DIC </t>
  </si>
  <si>
    <t>NOMINA ENERO 2025  TATIANA ARAYA POCHET-CZ-CR006</t>
  </si>
  <si>
    <t>NOMINA ENERO 2025 JONATHAN SALAZAR GARCIA-STARLIGHT-CR003</t>
  </si>
  <si>
    <t>NOMINA ENERO 2025 PRISCILLA GRACE POLSON-ALUMINATI-CR004</t>
  </si>
  <si>
    <t>NOMINA ENERO 2025 JHOEL GONZALEZ GONZALEZ-STARLIGHT-CR003</t>
  </si>
  <si>
    <t>NOMINA ENERO 2025 DANIEL NAZARIO CASTRO VINDAS-STARLIGHT-CR003</t>
  </si>
  <si>
    <t>NOMINA ENERO 2025 JOSE ROBERTO AGUILAR BARRANTES-ALUMINATI-CR004</t>
  </si>
  <si>
    <t>Servicios profesionales Alejandro Echavarria Apoyo computadores advancio</t>
  </si>
  <si>
    <t>Servicios profesionales Alejandro Echavarria Enero</t>
  </si>
  <si>
    <t>NOMINA ENERO 2025 SHERYL GERTRUDIS CAMBRONERO ESTRADA-FLORES &amp; PELAEZ-PRADA PLLC-CR007</t>
  </si>
  <si>
    <t>PAGO FACTURA ALEJANDRO ECHAVARRIA FACTURA NO 100001010000000023 ( SERVICIO ADMINISTRATIVO APOYO COMPUTADOR ADVANCIO )</t>
  </si>
  <si>
    <t>PAGO FACTURA ALEJANDRO ECHAVARRIA FACTURA NO 100001010000000022( SERVICIOS DICIEMBRE 24)</t>
  </si>
  <si>
    <t>PAGO FACTURA ALEJANDRO ECHAVARRIA FACTURA NO 100001010000000024  (SERVICIOS ENERO 25)</t>
  </si>
  <si>
    <r>
      <t xml:space="preserve">Client:  Remorfist-Factura Nro </t>
    </r>
    <r>
      <rPr>
        <sz val="11"/>
        <color indexed="8"/>
        <rFont val="Calibri"/>
        <family val="2"/>
      </rPr>
      <t>163</t>
    </r>
  </si>
  <si>
    <t>Diferencia CRC</t>
  </si>
  <si>
    <t xml:space="preserve">Diferencia USD </t>
  </si>
  <si>
    <t>Rte fte por declaración de remesas al exterior Facturación S&amp;P Colombia a S&amp;P CR Fact 5652</t>
  </si>
  <si>
    <t>Gastos y costos Periodo 01 al 23 de febrero</t>
  </si>
  <si>
    <t xml:space="preserve">FEBRERO </t>
  </si>
  <si>
    <r>
      <t xml:space="preserve">Client:  Remorfist-Factura Nro </t>
    </r>
    <r>
      <rPr>
        <sz val="11"/>
        <color indexed="8"/>
        <rFont val="Calibri"/>
        <family val="2"/>
      </rPr>
      <t>165</t>
    </r>
  </si>
  <si>
    <t>Pago CCSS Enero</t>
  </si>
  <si>
    <t xml:space="preserve">Starlight SS, February 2025 Jonathan Salazar USD
</t>
  </si>
  <si>
    <t xml:space="preserve"> Starlight SS, February 2025 Jhoel Gonzalez</t>
  </si>
  <si>
    <t xml:space="preserve"> Starlight SS, February 2025  Daniel Nazario Castro Vindas</t>
  </si>
  <si>
    <t xml:space="preserve">Aluminati, February 2025 </t>
  </si>
  <si>
    <t>CZ SS, February 2025 USD</t>
  </si>
  <si>
    <t xml:space="preserve">Flores &amp; Pelaez , February 2025 </t>
  </si>
  <si>
    <t>LIQUIDACIÓN JOSE FABRICIO ALVARADO ESQUIVEL-ADVANCIO</t>
  </si>
  <si>
    <t>1034713384345</t>
  </si>
  <si>
    <t>777720250144439895-1</t>
  </si>
  <si>
    <t>PAGO CCSS ENERO RECIBO-777720250144439895-1</t>
  </si>
  <si>
    <t>PAGO RETENCIÓN EN LA FUENTE ENERO NRO REFERENCIA 1034713384345</t>
  </si>
  <si>
    <t>1034404248911</t>
  </si>
  <si>
    <t>Envio de anticipo de dinero a Alejandro envío de un PC de Costa Rica a México</t>
  </si>
  <si>
    <t>ANTICIPO DE DINERO PARA ENVIO DE PC A MÉXICO</t>
  </si>
  <si>
    <t>REMOFIRST PAGO DE  FACTURAS 165 FEBRERO</t>
  </si>
  <si>
    <t>REMOFIRST PAGO DE  FACTURAS 163 ENERO</t>
  </si>
  <si>
    <t>Servicios Profesionales Alejandro Nóminas, Cobros entre sucursales y GMF</t>
  </si>
  <si>
    <t xml:space="preserve">Servicios profesionales Alejandro Echavarria Recolección de laptop de Advancio y envio a México por DHL </t>
  </si>
  <si>
    <t>PAGO DE SERVICIOS PROFESIONALES ALEJANDRO ECHAVARRIA MES DE FEBRERO -RECOLECCIÓN  LAPTOPADVANCIO FAC 25 -26</t>
  </si>
  <si>
    <t>Gastos Admon sucursal (+)</t>
  </si>
  <si>
    <t>Gran total a transferir</t>
  </si>
  <si>
    <t>NOMINA FEBRERO 2025  TATIANA ARAYA POCHET-CZ-CR006</t>
  </si>
  <si>
    <t>NOMINA FEBRERO 2025 JONATHAN SALAZAR GARCIA-STARLIGHT-CR003</t>
  </si>
  <si>
    <t>NOMINA FEBRERO 2025 PRISCILLA GRACE POLSON-ALUMINATI-CR004</t>
  </si>
  <si>
    <t>NOMINA FEBRERO 2025 JHOEL GONZALEZ GONZALEZ-STARLIGHT-CR003</t>
  </si>
  <si>
    <t>NOMINA FEBRERO 2025 DANIEL NAZARIO CASTRO VINDAS-STARLIGHT-CR003</t>
  </si>
  <si>
    <t>NOMINA FEBRERO 2025 JOSE ROBERTO AGUILAR BARRANTES-ALUMINATI-CR004</t>
  </si>
  <si>
    <t>NOMINA FEBRERO 2025 SHERYL GERTRUDIS CAMBRONERO ESTRADA-FLORES &amp; PELAEZ-PRADA PLLC-CR007</t>
  </si>
  <si>
    <t>Servicios Alejandro</t>
  </si>
  <si>
    <t>Nóminas, GMF</t>
  </si>
  <si>
    <t>Gastos y costos Periodo 01 al 23 de Marzo</t>
  </si>
  <si>
    <t>Rte fte por declaración de remesas al exterior Facturación S&amp;P Colombia a S&amp;P CR Fact 5728</t>
  </si>
  <si>
    <t>1034713465317</t>
  </si>
  <si>
    <t>777720250245086683-1</t>
  </si>
  <si>
    <t>PAGO CCSS FEBRERO  RECIBO-777720250245086683-1</t>
  </si>
  <si>
    <t>PAGO RETENCIÓN EN LA FUENTE FEBRERO NRO REFERENCIA 1034713465317</t>
  </si>
  <si>
    <t>Bernal Fallas Barboza</t>
  </si>
  <si>
    <t>Client:  Remorfist-Factura Nro 166</t>
  </si>
  <si>
    <t>Client:  Buttergloble PTE LTD-Factura Nro 167</t>
  </si>
  <si>
    <t xml:space="preserve">Bernal Fallas Barboza </t>
  </si>
  <si>
    <t xml:space="preserve">Starlight SS, March 2025 Jonathan Salazar USD
</t>
  </si>
  <si>
    <t xml:space="preserve"> Starlight SS, March 2025 Jhoel Gonzalez</t>
  </si>
  <si>
    <t xml:space="preserve"> Starlight SS, March 2025  Daniel Nazario Castro Vindas</t>
  </si>
  <si>
    <t xml:space="preserve">Aluminati, March 2025 </t>
  </si>
  <si>
    <t>CZ SS, March 2025 USD</t>
  </si>
  <si>
    <t xml:space="preserve">Flores &amp; Pelaez , March 2025 </t>
  </si>
  <si>
    <t xml:space="preserve">Bernal Fallas Barboza, March 2025 </t>
  </si>
  <si>
    <t>BIPO -march 2025 Ricardo Manuel Garro Ruiz</t>
  </si>
  <si>
    <t>MARZO- REMOFIRST</t>
  </si>
  <si>
    <t>MARZO BIPO</t>
  </si>
  <si>
    <t>Ricardo Manuel Garro Ruiz</t>
  </si>
  <si>
    <t>Ricardo Manuel Garro Ruiz-Bipo</t>
  </si>
  <si>
    <t>PAGO HONORARIOS PROFESIONALES REVISIÓN MIGRATORIA-CRISTIAN CHACON CASTILLO FACTURA NRO 298</t>
  </si>
  <si>
    <t>Honorarios profesionales -revisión migratoria Cristian Chacon Castillo</t>
  </si>
  <si>
    <t>1012679722582</t>
  </si>
  <si>
    <t>TRANSFERENCIA DE FONDOS DE LA CTA USD A CRC PARA COMPLETAR PAGO  IMPUESTO DE RENTA 2024</t>
  </si>
  <si>
    <t>PAGO IMPUESTO DE RENTA 2024</t>
  </si>
  <si>
    <t>REMOFIRST PAGO DE  FACTURAS 166 MARZO</t>
  </si>
  <si>
    <t>BIPO PAGO DE  FACTURAS 167  MARZO</t>
  </si>
  <si>
    <t>Anticipo de dinero envio laptop a mexico</t>
  </si>
  <si>
    <t xml:space="preserve">Descripción </t>
  </si>
  <si>
    <t xml:space="preserve">Fecha </t>
  </si>
  <si>
    <t xml:space="preserve">Valor </t>
  </si>
  <si>
    <t>Apoyo administrativo Marzo fac 28</t>
  </si>
  <si>
    <t>NOMINA MARZO 2025  TATIANA ARAYA POCHET-CZ-CR006</t>
  </si>
  <si>
    <t>NOMINA MARZO 2025 JONATHAN SALAZAR GARCIA-STARLIGHT-CR003</t>
  </si>
  <si>
    <t xml:space="preserve">NOMINA MARZO 2025 BERNAL FALLAS BARBOZA-REMOFIRST - BERKHEIMER ENTERPRISES LLC </t>
  </si>
  <si>
    <t>TRANSFERENCIA DE USD A CRC PAGOS NÓMINAS , SEGURIDAD SOCIAL , RTE FTE EMPLEADOS REMOFIRST MES FEB</t>
  </si>
  <si>
    <t>TRANSFERENCIA DE USD A CRC PAGOS NÓMINAS , SEGURIDAD SOCIAL , RTE FTE EMPLEADOS REMOFIRST MES MARZ</t>
  </si>
  <si>
    <t xml:space="preserve">TRANSFERENCIA DE USD A CRC PARA PAGO DE NOM, SS , RTE FTE EMPLEADOS REMOFIRST </t>
  </si>
  <si>
    <t xml:space="preserve">TRANSFERENCIA DE USD A CRC PARA PAGO DE NOM, AGUINALDO, SS , RTE FTE EMPLEADOS REMOFIRST </t>
  </si>
  <si>
    <t>TRANSFERENCIA DE USD A CRC PARA PAGO DE NOM, SS , RTE FTE EMPLEADOS REMOFIRST  Y GASTOS ADMON</t>
  </si>
  <si>
    <t>TRANSFERENCIA DE USD A CRC PAGOS NÓMINAS , SEGURIDAD SOCIAL , RTE FTE EMPLEADOS REMOFIRST MES MARZO</t>
  </si>
  <si>
    <t xml:space="preserve"> TRANSFERENCIA DE USD A CRC PARA PAGO DE NOM, SS , RTE FTE EMPLEADOS REMOFIRST 30</t>
  </si>
  <si>
    <t xml:space="preserve"> TRANSFERENCIA DE USD A CRC PARA PAGO DE NOM, SS , RTE FTE EMPLEADOS REMOFIRST </t>
  </si>
  <si>
    <t>Gran total a transferir CRC</t>
  </si>
  <si>
    <t>Gran total a transferir USD</t>
  </si>
  <si>
    <t>NOMINA MARZO 2025 PRISCILLA GRACE POLSON-ALUMINATI-CR004</t>
  </si>
  <si>
    <t>NOMINA MARZO 2025 JHOEL GONZALEZ GONZALEZ-STARLIGHT-CR003</t>
  </si>
  <si>
    <t>NOMINA MARZO 2025 DANIEL NAZARIO CASTRO VINDAS-STARLIGHT-CR003</t>
  </si>
  <si>
    <t>NOMINA MARZO 2025 JOSE ROBERTO AGUILAR BARRANTES-ALUMINATI-CR004</t>
  </si>
  <si>
    <t>NOMINA MARZO 2025 SHERYL GERTRUDIS CAMBRONERO ESTRADA-FLORES &amp; PELAEZ-PRADA PLLC-CR007</t>
  </si>
  <si>
    <t>NOMINA MARZO 2025 RICARDO MANUEL GARRO RUIZ-BIPO</t>
  </si>
  <si>
    <t>INTERESES</t>
  </si>
  <si>
    <t>Rte fte por declaración de remesas al exterior Facturación S&amp;P Colombia a S&amp;P CR Fact 5811</t>
  </si>
  <si>
    <t>Feriado el viernes 11 de abril</t>
  </si>
  <si>
    <t>Nóminas, GMF, Serv Alejandro</t>
  </si>
  <si>
    <t>Gastos y costos Periodo 01 al 27 de Abril</t>
  </si>
  <si>
    <t>PAGO CCSS MARZO RECIBO-777720250345729624-4</t>
  </si>
  <si>
    <t>PAGO RETENCIÓN EN LA FUENTE MARZO NRO REFERENCIA 1034713627744</t>
  </si>
  <si>
    <t>1034713627744</t>
  </si>
  <si>
    <t>1034404279702</t>
  </si>
  <si>
    <t>Apoyo administrativo Abril fac 29</t>
  </si>
  <si>
    <t>Saldo despues de cruce facturación marzo y abril</t>
  </si>
  <si>
    <t>PAGO DE SERVICIOS PROFESIONALES ALEJANDRO ECHAVARRIA MES DE ABRIL FACTURA Nro 29</t>
  </si>
  <si>
    <t xml:space="preserve">Starlight SS, April 2025 Jonathan Salazar USD
</t>
  </si>
  <si>
    <t xml:space="preserve"> Starlight SS, April 2025 Jhoel Gonzalez</t>
  </si>
  <si>
    <t xml:space="preserve"> Starlight SS, April 2025  Daniel Nazario Castro Vindas</t>
  </si>
  <si>
    <t xml:space="preserve">Aluminati, April 2025 </t>
  </si>
  <si>
    <t>CZ SS, April 2025 USD</t>
  </si>
  <si>
    <t xml:space="preserve">Flores &amp; Pelaez , April 2025 </t>
  </si>
  <si>
    <t xml:space="preserve">Bernal Fallas Barboza, April 2025 </t>
  </si>
  <si>
    <t>ABRIL- REMOFIRST</t>
  </si>
  <si>
    <r>
      <t>Client:  Remorfist-Factura Nro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168</t>
    </r>
  </si>
  <si>
    <t>BIPO -april 2025 Ricardo Manuel Garro Ruiz</t>
  </si>
  <si>
    <r>
      <t xml:space="preserve">Client:  Buttergloble PTE LTD-Factura Nro </t>
    </r>
    <r>
      <rPr>
        <sz val="11"/>
        <rFont val="Calibri"/>
        <family val="2"/>
      </rPr>
      <t>169</t>
    </r>
  </si>
  <si>
    <t>BIPO PAGO DE  FACTURAS 169  ABRIL</t>
  </si>
  <si>
    <t xml:space="preserve">TRANSFERENCIA DE USD A CRC PARA PAGO DE NOM, SS , RTE FTE EMPLEADOS BIPO </t>
  </si>
  <si>
    <t>NOMINA ABRIL 2025 RICARDO MANUEL GARRO RUIZ-BIPO</t>
  </si>
  <si>
    <t xml:space="preserve">NOMINA ABRIL 2025 BERNAL FALLAS BARBOZA-REMOFIRST - BERKHEIMER ENTERPRISES LLC </t>
  </si>
  <si>
    <t>NOMINA ABRIL 2025 JONATHAN SALAZAR GARCIA-STARLIGHT-CR003</t>
  </si>
  <si>
    <t>NOMINA ABRIL 2025 JHOEL GONZALEZ GONZALEZ-STARLIGHT-CR003</t>
  </si>
  <si>
    <t>NOMINA ABRIL 2025 DANIEL NAZARIO CASTRO VINDAS-STARLIGHT-CR003</t>
  </si>
  <si>
    <t>TRANSFERENCIA DE USD A CRC PARA PAGO DE NOMINA ABRIL PERSONAL ANGL Y FLORES &amp; PELAEZ</t>
  </si>
  <si>
    <t>INGRESO DE DINERO POR PRÉSTAMO CASA MATRIZ A LA SUCURSAL PARA PAGO TATIANA ARAYA POCHET</t>
  </si>
  <si>
    <t>REMOFIRST PAGO DE  FACTURAS 168  ABRIL</t>
  </si>
  <si>
    <t>Monto a transferir</t>
  </si>
  <si>
    <t>TRANSFERENCIA DE LA CUENTA DE USD A CRC PARA PAGO DE SEGURIDAD SOCIAL E IMPUESTOS REMOFIRST Y BIPO</t>
  </si>
  <si>
    <t>COBRO TOKEN DIGITAL USUARIO ALFONSO FONSECA</t>
  </si>
  <si>
    <t>DEVOLUCIÓN DE DINERO A CASA MATRIZ POR PRESTAMO DE DINERO PARA PAGO SALARIO DE ABRIL TATIANA ARAYA POCHET</t>
  </si>
  <si>
    <t>COMISION POR DEVOLUCIÓN DE DINERO</t>
  </si>
  <si>
    <r>
      <t>Client:  Advancio-Factura Nro</t>
    </r>
    <r>
      <rPr>
        <sz val="11"/>
        <color indexed="10"/>
        <rFont val="Calibri"/>
        <family val="2"/>
      </rPr>
      <t xml:space="preserve"> </t>
    </r>
    <r>
      <rPr>
        <sz val="11"/>
        <rFont val="Calibri"/>
        <family val="2"/>
      </rPr>
      <t>170</t>
    </r>
  </si>
  <si>
    <t>Pago CCSS Abril</t>
  </si>
  <si>
    <t>Pago CCSS Marzo</t>
  </si>
  <si>
    <t>Rte fte por declaración de remesas al exterior Facturación S&amp;P Colombia a S&amp;P CR Fact 5898</t>
  </si>
  <si>
    <t>Liquidaciones Starlight</t>
  </si>
  <si>
    <t>Gastos y costos Periodo 01 al 25 de Mayo</t>
  </si>
  <si>
    <t>LIQUIDACIÓN MAYO 2025 JHOEL GONZALEZ GONZALEZ-STARLIGHT-CR003</t>
  </si>
  <si>
    <t>PAGO DE SERVICIOS PROFESIONALES ALEJANDRO ECHAVARRIA MES DE MAYO FACTURA Nro 30</t>
  </si>
  <si>
    <t>LIQUIDACIÓN MAYO 2025 DANIEL NAZARIO CASTO VINDAS-STARLIGHT-CR003</t>
  </si>
  <si>
    <t>Servicios de contabilidad/ estados para actualización</t>
  </si>
  <si>
    <t>PAGO SERVICIOS DE CONTABILIDAD/ ESTADOS PARA ACTUALIZACIÓN</t>
  </si>
  <si>
    <t>MAYO- REMOFIRST</t>
  </si>
  <si>
    <t>ABRIL BIPO</t>
  </si>
  <si>
    <t>BIPO -May 2025 Ricardo Manuel Garro Ruiz</t>
  </si>
  <si>
    <t xml:space="preserve"> Starlight SS, May 2025  Daniel Nazario Castro Vindas</t>
  </si>
  <si>
    <t xml:space="preserve">Aluminati, May 2025 </t>
  </si>
  <si>
    <t>CZ SS, May 2025 USD</t>
  </si>
  <si>
    <t xml:space="preserve">Flores &amp; Pelaez , May 2025 </t>
  </si>
  <si>
    <t xml:space="preserve">Bernal Fallas Barboza, May 2025 </t>
  </si>
  <si>
    <t>Client:  Buttergloble PTE LTD-Factura Nro 173</t>
  </si>
  <si>
    <t>Client:  Remorfist-Factura Nro 171-172 (Daniel Castro)</t>
  </si>
  <si>
    <t>1034404293377</t>
  </si>
  <si>
    <t>1034713727792</t>
  </si>
  <si>
    <t>PAGO RETENCIÓN EN LA FUENTE ABRIL NRO REFERENCIA 1034713727792</t>
  </si>
  <si>
    <t>PAGO RTE FTE POR DECLARACIÓN REMESES DEL EXTERIOR Facturación S&amp;P COL A S&amp;P CR MARZO</t>
  </si>
  <si>
    <t>PAGO RTE FTE POR DECLARACIÓN REMESES DEL EXTERIOR Facturación S&amp;P COL A S&amp;P CR ABRIL</t>
  </si>
  <si>
    <t>PAGO RTE FTE POR DECLARACIÓN REMESES DEL EXTERIOR Facturación S&amp;P COL A S&amp;P CR FEBRERO</t>
  </si>
  <si>
    <t>PAGO RTE FTE POR DECLARACIÓN REMESES DEL EXTERIOR Facturación S&amp;P COL A S&amp;P CR ENERO</t>
  </si>
  <si>
    <t>PAGO CCSS ABRIL RECIBO-777720250245086683-1</t>
  </si>
  <si>
    <t>Distribución Utilidades Alejandro-menos 15%</t>
  </si>
  <si>
    <t>PAGO DE DISTRIBUCIÓN UTILIDADES ALEJANDRO ECHAVARRIA</t>
  </si>
  <si>
    <t>REMOFIRST PAGO DE  FACTURAS 171-172 MAYO</t>
  </si>
  <si>
    <t>BIPO PAGO DE  FACTURAS 173  ABRIL</t>
  </si>
  <si>
    <t>NOMINA MAYO 2025  TATIANA ARAYA POCHET-CZ-CR006</t>
  </si>
  <si>
    <t xml:space="preserve">NOMINA MAYO 2025 BERNAL FALLAS BARBOZA-REMOFIRST - BERKHEIMER ENTERPRISES LLC </t>
  </si>
  <si>
    <t>NOMINA ABRIL 2025  TATIANA ARAYA POCHET-CZ-CR006</t>
  </si>
  <si>
    <t>NOMINA MAYO 2025 JONATHAN SALAZAR GARCIA-STARLIGHT-CR003</t>
  </si>
  <si>
    <t>TRANSFERENCIA DE USD A CRC PARA PAGO DE NOM, SS , RTE FTE EMPLEADOS BIPO -REMOFISRT</t>
  </si>
  <si>
    <t>NOMINA MAYO 2025 PRISCILLA GRACE POLSON-ALUMINATI-CR004</t>
  </si>
  <si>
    <t>NOMINA MAYO 2025 JOSE ROBERTO AGUILAR BARRANTES-ALUMINATI-CR004</t>
  </si>
  <si>
    <t>NOMINA ABRIL 2025 PRISCILLA GRACE POLSON-ALUMINATI-CR004</t>
  </si>
  <si>
    <t>NOMINA ABRIL2025 JOSE ROBERTO AGUILAR BARRANTES-ALUMINATI-CR004</t>
  </si>
  <si>
    <t>NOMINA ABRIL 2025 SHERYL GERTRUDIS CAMBRONERO ESTRADA-FLORES &amp; PELAEZ-PRADA PLLC-CR007</t>
  </si>
  <si>
    <t>NOMINA MAYO 2025 SHERYL GERTRUDIS CAMBRONERO ESTRADA-FLORES &amp; PELAEZ-PRADA PLLC-CR007</t>
  </si>
  <si>
    <t>NOMINA MAYO 2025 RICARDO MANUEL GARRO RUIZ-BIPO</t>
  </si>
  <si>
    <r>
      <t>Daniel Nazario Casto Vindas-Starlight-CR003-</t>
    </r>
    <r>
      <rPr>
        <b/>
        <i/>
        <u/>
        <sz val="11"/>
        <color indexed="10"/>
        <rFont val="Calibri"/>
        <family val="2"/>
      </rPr>
      <t>Liquidación</t>
    </r>
  </si>
  <si>
    <r>
      <t>Jhoel González González-Starlight-CR003-</t>
    </r>
    <r>
      <rPr>
        <b/>
        <i/>
        <u/>
        <sz val="11"/>
        <color indexed="10"/>
        <rFont val="Calibri"/>
        <family val="2"/>
      </rPr>
      <t>Liquidación</t>
    </r>
  </si>
  <si>
    <t>Devolución de dinero a casa Matriz prestamo Nom Tatia</t>
  </si>
  <si>
    <t>Imprevisto</t>
  </si>
  <si>
    <t>SS, Taxes , Serv alejandro</t>
  </si>
  <si>
    <t>Salario</t>
  </si>
  <si>
    <t>Gastos y costos Periodo 01 al 22 de Junio</t>
  </si>
  <si>
    <t>Client:  Remorfist-Factura Nro 174 ( Ingreso Bernal Fallas)</t>
  </si>
  <si>
    <t>REMOFIRST PAGO DE  FACTURAS 174 MAYO-Bernal Fallas</t>
  </si>
  <si>
    <t>10344404309802</t>
  </si>
  <si>
    <t>PAGO RTE FTE POR DECLARACIÓN REMESES DEL EXTERIOR Facturación S&amp;P COL A S&amp;P CR MAYO</t>
  </si>
  <si>
    <t>1034713845986</t>
  </si>
  <si>
    <t>PAGO RETENCIÓN EN LA FUENTE MAYO NRO REFERENCIA 1034713845986</t>
  </si>
  <si>
    <t>PAGO DE SERVICIOS PROFESIONALES ALEJANDRO ECHAVARRIA MES DE JUNIO FACTURA Nro 31</t>
  </si>
  <si>
    <t>777720250547036477-1</t>
  </si>
  <si>
    <t>PAGO CCSS MAYO RECIBO-777720250547036477-1</t>
  </si>
  <si>
    <t>JUNIO- REMOFIRST</t>
  </si>
  <si>
    <t>Remofirst Offcycle Bernal Fallas -may 2025</t>
  </si>
  <si>
    <t>MAYO REMOFIRST OFFCYCLE</t>
  </si>
  <si>
    <t>Bernal Fallas</t>
  </si>
  <si>
    <t xml:space="preserve">Starlight SS, June 2025 Jonathan Salazar USD
</t>
  </si>
  <si>
    <t xml:space="preserve">Starlight SS, May 2025 Jonathan Salazar USD
</t>
  </si>
  <si>
    <t xml:space="preserve">Aluminati, June 2025 </t>
  </si>
  <si>
    <t>CZ SS, June 2025 USD</t>
  </si>
  <si>
    <t>Client:  Buttergloble PTE LTD-Factura Nro 176</t>
  </si>
  <si>
    <t>Client:  :  Remorfist-Factura Nro 175</t>
  </si>
  <si>
    <t>MAYO BIPO</t>
  </si>
  <si>
    <t>BIPO -June 2025 Ricardo Manuel Garro Ruiz</t>
  </si>
  <si>
    <t>JUNIO BIPO</t>
  </si>
  <si>
    <t>Client:  :  Remorfist-Factura Nro 177</t>
  </si>
  <si>
    <t>BIPO PAGO DE  FACTURAS 176  JUNIO</t>
  </si>
  <si>
    <t>REMOFIRST PAGO DE  FACTURA 175 JUNIO</t>
  </si>
  <si>
    <t>REMOFIRST PAGO DE  FACTURA 177 JUNIO</t>
  </si>
  <si>
    <t xml:space="preserve">ADVANCIO PAGO FACTURA Nro 164 </t>
  </si>
  <si>
    <t>Client:  :  Advancio-Factura Nro 164</t>
  </si>
  <si>
    <t>Expenses</t>
  </si>
  <si>
    <t>NOMINA JUNIO 2025  TATIANA ARAYA POCHET-CZ-CR006</t>
  </si>
  <si>
    <t xml:space="preserve">NOMINA JUNIO 2025 BERNAL FALLAS BARBOZA-REMOFIRST - BERKHEIMER ENTERPRISES LLC </t>
  </si>
  <si>
    <t>NOMINA JUNIO 2025 JONATHAN SALAZAR GARCIA-STARLIGHT-CR003</t>
  </si>
  <si>
    <t>TRANSFERENCIA DE USD A CRC PARA PAGO DE NOM, SS , RTE FTE EMPLEADOS BIPO -REMOFISRT JUNIO</t>
  </si>
  <si>
    <t>NOMINA JUNIO 2025 PRISCILLA GRACE POLSON-ALUMINATI-CR004</t>
  </si>
  <si>
    <t>NOMINA JUNIO 2025 JOSE ROBERTO AGUILAR BARRANTES-ALUMINATI-CR004</t>
  </si>
  <si>
    <t>NOMINA JUNIO 2025 SHERYL GERTRUDIS CAMBRONERO ESTRADA-FLORES &amp; PELAEZ-PRADA PLLC-CR007</t>
  </si>
  <si>
    <t>NOMINA JUNIO 2025 RICARDO MANUEL GARRO RUIZ-BIPO</t>
  </si>
  <si>
    <t>Cesar de Jesus Alvarado Castro -Bipo-CR010</t>
  </si>
  <si>
    <t>Rte fte por declaración de remesas al exterior Facturación S&amp;P Colombia a S&amp;P CR Fact 6068</t>
  </si>
  <si>
    <t>Nomina Ingreso Remofirst</t>
  </si>
  <si>
    <t>Serv alejandro</t>
  </si>
  <si>
    <t xml:space="preserve">SS, Taxes </t>
  </si>
  <si>
    <t>Nóminas</t>
  </si>
  <si>
    <t>Gastos y costos Periodo 01 al 27 Julio</t>
  </si>
  <si>
    <t>Cobro token mensual</t>
  </si>
  <si>
    <t>Cesar de jesus Alvarado - Doncheng</t>
  </si>
  <si>
    <t>Edward Gerardo Chavez - Doncheng</t>
  </si>
  <si>
    <t>Client:  Buttergloble PTE LTD-Factura Nro 178-Cesar de jesus Alvarado - Doncheng</t>
  </si>
  <si>
    <t>Client:  Buttergloble PTE LTD-Factura Nro 179-Edward Gerardo Chavez - Doncheng</t>
  </si>
  <si>
    <t>BIPO -June 2025 Cesar de jesus Alvarado</t>
  </si>
  <si>
    <t>BIPO -June 2025 Edward Gerardo Chavez</t>
  </si>
  <si>
    <t>777720250647709476-1</t>
  </si>
  <si>
    <t>PAGO CCSS JUNIO RECIBO-777720250547036477-1</t>
  </si>
  <si>
    <t>1034713962012</t>
  </si>
  <si>
    <t>1034204029022</t>
  </si>
  <si>
    <t>1034404325534</t>
  </si>
  <si>
    <t>PAGO RTE FTE POR DECLARACIÓN REMESES DEL EXTERIOR Facturación S&amp;P COL A S&amp;P CR JUNIO</t>
  </si>
  <si>
    <t>PAGO RETENCIÓN EN LA FUENTE JUNIO NRO REFERENCIA 1034713962012</t>
  </si>
  <si>
    <t xml:space="preserve">Rte fte Pago de dividendos </t>
  </si>
  <si>
    <t>PAGO RTE FTE POR PAGO DE DIVIDENDOS NRO REFERENCIA 1034713962012</t>
  </si>
  <si>
    <t>Reembolso Gastos José Roberto Aguilar Barrante-Aluminati</t>
  </si>
  <si>
    <t>PAGO REEMBOLSO GASTOS JOSE ROBERTO AGUILAR BARRANTES MES JULIO</t>
  </si>
  <si>
    <t>JUNIO BIPO ( INGRESOS) y JULIO</t>
  </si>
  <si>
    <t xml:space="preserve">Edward Gerardo Chavez 
Cesar de jesus Alvarado </t>
  </si>
  <si>
    <t>JULIO- REMOFIRST</t>
  </si>
  <si>
    <t>Gilberto Esteban Solano</t>
  </si>
  <si>
    <t>Angel Alberto Torres</t>
  </si>
  <si>
    <t xml:space="preserve">Starlight SS, July 2025 Jonathan Salazar USD
</t>
  </si>
  <si>
    <t xml:space="preserve">Flores &amp; Pelaez , June 2025 </t>
  </si>
  <si>
    <t xml:space="preserve">Bernal Fallas Barboza, June 2025 </t>
  </si>
  <si>
    <t xml:space="preserve">Angel Alberto Torres-Skelling automation US LLC  ,July 2025 </t>
  </si>
  <si>
    <t xml:space="preserve">Gilberto Esteban Solano-Berkheimer Enterprises ,July 2025 </t>
  </si>
  <si>
    <t xml:space="preserve">Bernal Fallas Barboza-Berkheimer Enterprises,July 2025 </t>
  </si>
  <si>
    <t xml:space="preserve">Sheryl Gertrudis-Flores &amp; Pelaez , July 2025 </t>
  </si>
  <si>
    <t>Tatiana Araya Pochet -CZ SS, July 2025 USD</t>
  </si>
  <si>
    <t xml:space="preserve">Priscilla y Roberto-Aluminati, July 2025 </t>
  </si>
  <si>
    <t xml:space="preserve">BIPO -July 2025 Edward Gerardo Chavez 
Cesar de jesus Alvarado </t>
  </si>
  <si>
    <t>BIPO -July 2025 Ricardo Manuel Garro Ruiz</t>
  </si>
  <si>
    <t>Client: BIPO -July 2025 -Factura 180 -Ricardo Manuel Garro Ruiz</t>
  </si>
  <si>
    <t xml:space="preserve">Client:BIPO -July 2025-Factura 181 Edward Gerardo Chavez 
Cesar de jesus Alvarado </t>
  </si>
  <si>
    <t>Client:  :  Remorfist-Factura Nro 182</t>
  </si>
  <si>
    <t>NOMINA JUNIO 2025  CESAR DE JESUS ALVARADO CASTRO-CR010</t>
  </si>
  <si>
    <t>NOMINA JUNIO 2025  EDWARD GERARDO CHAVES CHACON-CR010</t>
  </si>
  <si>
    <t>Servicios profesionales Alejandro Echavarria Julio</t>
  </si>
  <si>
    <t>COMISION POR TRANSFERENCIA</t>
  </si>
  <si>
    <t>PAGO DE SERVICIOS PROFESIONALES ALEJANDRO ECHAVARRIA MES DE JULIO FACTURA Nro 33</t>
  </si>
  <si>
    <t>Edward Gerardo chaves chacon  -Bipo-CR010</t>
  </si>
  <si>
    <t>BIPO PAGO DE  FACTURAS 180 JULIO</t>
  </si>
  <si>
    <t>NOMINA JULIO 2025  TATIANA ARAYA POCHET-CZ-CR006</t>
  </si>
  <si>
    <t xml:space="preserve">NOMINA JULIO 2025 BERNAL FALLAS BARBOZA-REMOFIRST - BERKHEIMER ENTERPRISES LLC </t>
  </si>
  <si>
    <t>NOMINA JULIO 2025 JONATHAN SALAZAR GARCIA-STARLIGHT-CR003</t>
  </si>
  <si>
    <t>REMOFIRST PAGO DE  FACTURA 182 JULIO</t>
  </si>
  <si>
    <t>NOMINA JULIO 2025 ANGEL ALBERTO TORRES GONZALEZ-SKELLIG AUTOMATION US LLC-CR012</t>
  </si>
  <si>
    <t>Angel Alberto Torres GOnzalez -Skelling Aotomation US LLC-CR003</t>
  </si>
  <si>
    <t>TRANSFERENCIA DE USD A CRC PARA PAGO DE NOM, SS , RTE FTE EMPLEADOS BIPO -REMOFISRT JULIO</t>
  </si>
  <si>
    <t>María Fernanda Mora Mora -Central Business Solutions INC-CR014</t>
  </si>
  <si>
    <t>Adriana Barboza Quiroz -Remofisrt - Onewell LLC-CR014</t>
  </si>
  <si>
    <t>NOMINA JULIO 2025 PRISCILLA GRACE POLSON-ALUMINATI-CR004</t>
  </si>
  <si>
    <t>NOMINA JULIO 2025 JOSE ROBERTO AGUILAR BARRANTES-ALUMINATI-CR004</t>
  </si>
  <si>
    <t>NOMINA JULIO 2025 SHERYL GERTRUDIS CAMBRONERO ESTRADA-FLORES &amp; PELAEZ-PRADA PLLC-CR007</t>
  </si>
  <si>
    <t>NOMINA JULIO 2025 MARIA FERNANDA MORA MORA-BERKHEIMER ENTERPRISES LLC -CR009</t>
  </si>
  <si>
    <t>NOMINA JULIO 2025 RICARDO MANUEL GARRO RUIZ-BIPO</t>
  </si>
  <si>
    <t>NOMINA JULIO 2025 GILBERTO ESTEBAN SOLANO MELENDEZ-BERKHEIMER ENTERPRISES LLC -CR009</t>
  </si>
  <si>
    <t>NOMINA JULIO 2025 ADRIANA BARBOZA QUIROZ -ONEWELL LLC -CR013</t>
  </si>
  <si>
    <t>Gilberto Esteban Solano Melendez-Berkheimer Enterprises LLC -CR009</t>
  </si>
  <si>
    <t>Reembolso Gastos Ricardo Manuel Garro Ruiz-BIPO-CATL</t>
  </si>
  <si>
    <t>NOMINA JULIO 2025 RICARDO MANUEL GARRO RUIZ-REEMBOLSO GASTOS-BIPO</t>
  </si>
  <si>
    <t>Solutions &amp; Payroll SAS 5811-5898-5981-6062-6162</t>
  </si>
  <si>
    <t>Rte fte por declaración de remesas al exterior Facturación S&amp;P Colombia a S&amp;P CR Fact 6162</t>
  </si>
  <si>
    <t>Varias Fac</t>
  </si>
  <si>
    <t>Serv alejandro-SS e impuestos-Pago a S&amp;P</t>
  </si>
  <si>
    <t>LIQUIDACIONES</t>
  </si>
  <si>
    <t>Cesar de jesus Alvarado Castro-BIPO</t>
  </si>
  <si>
    <t>Angie Valeria Vargas Fernandez-Remofisrt</t>
  </si>
  <si>
    <t>Mayor valor enviado</t>
  </si>
  <si>
    <t>BIPO PAGO DE FACTURAS JULIO 178-179-181</t>
  </si>
  <si>
    <t>7777202507483870007777202507483857321</t>
  </si>
  <si>
    <t>PAGO CCSS JULIO RECIBO-777720250748385732-1</t>
  </si>
  <si>
    <t>1034714093463</t>
  </si>
  <si>
    <t>1034404343743</t>
  </si>
  <si>
    <t>PAGO RTE FTE POR DECLARACIÓN REMESES DEL EXTERIOR Facturación S&amp;P COL A S&amp;P CR JULIIO</t>
  </si>
  <si>
    <t>PAGO RETENCIÓN EN LA FUENTE JULIO NRO REFERENCIA 1034714093463</t>
  </si>
  <si>
    <t>PAGO DE SERVICIOS PROFESIONALES ALEJANDRO ECHAVARRIA MES DE JULIO FACTURA Nro 34</t>
  </si>
  <si>
    <t>AGOSTO- REMOFIRST</t>
  </si>
  <si>
    <t>María Fernanda Mora Mora</t>
  </si>
  <si>
    <t>Jorge Esteban valverde</t>
  </si>
  <si>
    <t>LIQUIDACIÓN JULIO 2025 ANGIE VALERIA VARGAS FERNANDEZ-REMOFIRST</t>
  </si>
  <si>
    <t>LIQUIDACIÓN JULIO 2025 CESAR DE JESUS ALVARADO CASTRO-BIPO</t>
  </si>
  <si>
    <t>LIQUIDACIÓN JULIO 2025 ADRIANA BARBOZA QUIROS</t>
  </si>
  <si>
    <t>María Fernanda Mora Mora -Central Business Solutions INC-CR014-Pago Adicional</t>
  </si>
  <si>
    <t>PAGO ADICIONAL MARIA FERNANDA MORA MORA-BERKHEIMER ENTERPRISES LLC -CR009</t>
  </si>
  <si>
    <t>Luis Angel Vega-Donhcheng</t>
  </si>
  <si>
    <t>Edward Gerardo Chavez - Sany</t>
  </si>
  <si>
    <t>Ricardo Manuel Garro Ruiz-CATL</t>
  </si>
  <si>
    <t xml:space="preserve">Starlight SS, August 2025 Jonathan Salazar USD
</t>
  </si>
  <si>
    <t xml:space="preserve">Priscilla y Roberto-Aluminati, August 2025 </t>
  </si>
  <si>
    <t>Tatiana Araya Pochet -CZ SS, August 2025 USD</t>
  </si>
  <si>
    <t xml:space="preserve">Sheryl Gertrudis-Flores &amp; Pelaez , August 2025 </t>
  </si>
  <si>
    <t xml:space="preserve">Bernal Fallas Barboza-Berkheimer Enterprises,August 2025 </t>
  </si>
  <si>
    <t xml:space="preserve">Gilberto Esteban Solano-Berkheimer Enterprises ,August 2025 </t>
  </si>
  <si>
    <t xml:space="preserve">Angel Alberto Torres-Skelling automation US LLC  ,August 2025 </t>
  </si>
  <si>
    <t xml:space="preserve">Jorge Esteban valverde Espinosa ,August 2025 </t>
  </si>
  <si>
    <t xml:space="preserve">María Fernanda Mora Mora ,August 2025 </t>
  </si>
  <si>
    <t>BIPO -August 2025 Ricardo Manuel Garro Ruiz</t>
  </si>
  <si>
    <t>BIPO August  2025 Edward Gerardo Chavez</t>
  </si>
  <si>
    <t>BIPO August  2025 Luis Angel Vega</t>
  </si>
  <si>
    <t>BIPO -August 2025 Ricardo Manuel Garro Ruiz- Factura Nro 185</t>
  </si>
  <si>
    <t>BIPO August  2025 Edward Gerardo Chavez- Factura Nro 186</t>
  </si>
  <si>
    <t>BIPO PAGO DE FACTURAS JULIO 187</t>
  </si>
  <si>
    <t>BIPO August  2025 Luis Angel Vega- Factura Nro 187</t>
  </si>
  <si>
    <t>Jorge Esteban valverde-Auxilio</t>
  </si>
  <si>
    <r>
      <t>Client:  :  Remorfist-Factura Nro</t>
    </r>
    <r>
      <rPr>
        <sz val="11"/>
        <rFont val="Calibri"/>
        <family val="2"/>
      </rPr>
      <t xml:space="preserve"> </t>
    </r>
    <r>
      <rPr>
        <sz val="11"/>
        <rFont val="Calibri"/>
        <family val="2"/>
      </rPr>
      <t>183</t>
    </r>
    <r>
      <rPr>
        <sz val="11"/>
        <color theme="1"/>
        <rFont val="Calibri"/>
        <family val="2"/>
        <scheme val="minor"/>
      </rPr>
      <t>-Onboarding</t>
    </r>
  </si>
  <si>
    <t>BIPO PAGO DE FACTURAS JULIO 185</t>
  </si>
  <si>
    <t>BIPO PAGO DE FACTURAS JULIO 186</t>
  </si>
  <si>
    <t>Gastos y costos Periodo 01 al 31 Agosto</t>
  </si>
  <si>
    <t>Luis Angel Vega-Bipo-CR010</t>
  </si>
  <si>
    <t>Jorge Esteban Valverde -IPPC-CR011</t>
  </si>
  <si>
    <t>Oscar Josue Perez Cascante-Bipo-CR010</t>
  </si>
  <si>
    <t>Angel Alberto Torres GOnzalez -Skelling Aotomation US LLC-CR012</t>
  </si>
  <si>
    <t>AGOSTO BIPO</t>
  </si>
  <si>
    <t xml:space="preserve">Oscar Josue Perez Cascante -Sany </t>
  </si>
  <si>
    <t>Adriana Barbosa Termination</t>
  </si>
  <si>
    <t>NOMINA AGOSTO 2025  TATIANA ARAYA POCHET-CZ-CR006</t>
  </si>
  <si>
    <t xml:space="preserve">NOMINA AGOSTO 2025 BERNAL FALLAS BARBOZA-REMOFIRST - BERKHEIMER ENTERPRISES LLC </t>
  </si>
  <si>
    <t>NOMINA AGOSTO 2025 JONATHAN SALAZAR GARCIA-STARLIGHT-CR003</t>
  </si>
  <si>
    <t>NOMINA AGOSTO 2025 ANGEL ALBERTO TORRES GONZALEZ-SKELLIG AUTOMATION US LLC-CR012</t>
  </si>
  <si>
    <t>NOMINA AGOSTO 2025  JORGE ESTEBAN VALVERDE ESPINOZA-IPPC-CR011</t>
  </si>
  <si>
    <t>NOMINA AGOSTO 2025 LUIS ANGEL VEGA DELGADO-BIPO-CR010</t>
  </si>
  <si>
    <t>NOMINA AGOSTO 2025 OSCAR JOSUE PEREZ CASCANTE-BIPO-CR010</t>
  </si>
  <si>
    <t>NOMINA AGOSTO 2025 EDWARD GERARDO CHAVES CHACON-BIPO-CR010</t>
  </si>
  <si>
    <t>REEMBOLSO</t>
  </si>
  <si>
    <t>Ricardo Manuel Garro  Ruiz -CATL</t>
  </si>
  <si>
    <t>BIPO -August 2025 Oscar Josue Perez  -Sany - Fact Nro 190</t>
  </si>
  <si>
    <t>TRANSFERENCIA DE FONDOS DE LA CUENTA DE USD A CRC PARA PAGO DE NOMINAS CLIENTES</t>
  </si>
  <si>
    <t>TRANSFERENCIA DE FONDOS DE LA CUENTA DE USD A CRC PARA PAGO DE NOMINAS CLIENTES AGOSTO</t>
  </si>
  <si>
    <t>NOMINA AGOSTO 2025 PRISCILLA GRACE POLSON-ALUMINATI-CR004</t>
  </si>
  <si>
    <t>NOMINA AGOSTO 2025 JOSE ROBERTO AGUILAR BARRANTES-ALUMINATI-CR004</t>
  </si>
  <si>
    <t>REEMBOLSO GASTOS RICARDO MANUEL GARRO RUIZ-BIPO</t>
  </si>
  <si>
    <t>PAGO BDS WEBINAR CONTRATACIÓN DE PERSONAL EN EL EXTRANJERO . INSCRIPCIÓN JENNY TATIANA CHAVARRO</t>
  </si>
  <si>
    <t>BDS Webinar - Contratación de personal extranjero. Inscripción Jenny Tatiana Chavarro Jerez</t>
  </si>
  <si>
    <t>BDS 60% inicial Registro de empresa ante migración</t>
  </si>
  <si>
    <t>PAGO BDS 60% INICIAL REGISTRO DE EMPRESA ANTE MIGRACIÓN</t>
  </si>
  <si>
    <t>BDS 40% saldo final registro de empresa ante migración</t>
  </si>
  <si>
    <t>Proveedores</t>
  </si>
  <si>
    <t>Bancos</t>
  </si>
  <si>
    <t>Client:  :  Remorfist-Factura Nro 189</t>
  </si>
  <si>
    <r>
      <t>Client:  :  Remorfist-Factura Nro</t>
    </r>
    <r>
      <rPr>
        <sz val="11"/>
        <rFont val="Calibri"/>
        <family val="2"/>
      </rPr>
      <t xml:space="preserve"> 184</t>
    </r>
  </si>
  <si>
    <r>
      <t>Client:  :  Remorfist-Factura Nro</t>
    </r>
    <r>
      <rPr>
        <sz val="11"/>
        <rFont val="Calibri"/>
        <family val="2"/>
      </rPr>
      <t xml:space="preserve"> 188-Termination</t>
    </r>
  </si>
  <si>
    <t>****</t>
  </si>
  <si>
    <t>REMOFIRST PAGO DE  FACTURA 183-184-188 AGOSTO</t>
  </si>
  <si>
    <t>Onboarding</t>
  </si>
  <si>
    <t>REMOFIRST PAGO DE  FACTURA 189 AGOSTO</t>
  </si>
  <si>
    <t>BIPO -Sep 2025 Doncheng Factura Nro 191</t>
  </si>
  <si>
    <t>SEPTIEMBRE BIPO</t>
  </si>
  <si>
    <t>Donhcheng</t>
  </si>
  <si>
    <t>DONGCHENG - september 2025</t>
  </si>
  <si>
    <t xml:space="preserve"> BIPO SANY - august 2025</t>
  </si>
  <si>
    <t xml:space="preserve">Correo de facturación: </t>
  </si>
  <si>
    <t>notificaciones@facturaelectronica.cr</t>
  </si>
  <si>
    <t>Renovación seguro Riesgo de trabajo del INS</t>
  </si>
  <si>
    <t>Impuesto de timbre 2020</t>
  </si>
  <si>
    <t>Impuesto de timbre 2021</t>
  </si>
  <si>
    <t>Impuesto de timbre 2022</t>
  </si>
  <si>
    <t>Impuesto de timbre 2023</t>
  </si>
  <si>
    <t>Impuesto de timbre 2024</t>
  </si>
  <si>
    <t>Impuesto de timbre 2025</t>
  </si>
  <si>
    <t>2020</t>
  </si>
  <si>
    <t>2021</t>
  </si>
  <si>
    <t>2022</t>
  </si>
  <si>
    <t>2023</t>
  </si>
  <si>
    <t>2024</t>
  </si>
  <si>
    <t>2025</t>
  </si>
  <si>
    <t>PAGO IMPUESTO TIMBRE EDUCACIÓN Y CULTURA AÑO 2020</t>
  </si>
  <si>
    <t>PAGO IMPUESTO TIMBRE EDUCACIÓN Y CULTURA AÑO 2021</t>
  </si>
  <si>
    <t>PAGO IMPUESTO TIMBRE EDUCACIÓN Y CULTURA AÑO 2022</t>
  </si>
  <si>
    <t>PAGO IMPUESTO TIMBRE EDUCACIÓN Y CULTURA AÑO 2023</t>
  </si>
  <si>
    <t>PAGO IMPUESTO TIMBRE EDUCACIÓN Y CULTURA AÑO 2024</t>
  </si>
  <si>
    <t>PAGO IMPUESTO TIMBRE EDUCACIÓN Y CULTURA AÑO 2025</t>
  </si>
  <si>
    <t>Pago CCSS Agosto</t>
  </si>
  <si>
    <t>Servicios profesionales Alejandro Echavarria Septiembre- USD</t>
  </si>
  <si>
    <t>Servicios Mensajería Alejandro Echavarria Septiembre- CRC</t>
  </si>
  <si>
    <t>7777202507483870007777202508489395811</t>
  </si>
  <si>
    <t>PAGO CCSS AGOSTO RECIBO-777720250748387000777720250848939581-1</t>
  </si>
  <si>
    <t>1034404363273</t>
  </si>
  <si>
    <t>1034714227206</t>
  </si>
  <si>
    <t>PAGO RTE FTE POR DECLARACIÓN REMESES DEL EXTERIOR Facturación S&amp;P COL A S&amp;P CR AGOSTO</t>
  </si>
  <si>
    <t>PAGO RETENCIÓN EN LA FUENTE AGOSTO NRO REFERENCIA 1034714227206</t>
  </si>
  <si>
    <r>
      <t>Client:  :  Remorfist-Factura Nro</t>
    </r>
    <r>
      <rPr>
        <sz val="11"/>
        <rFont val="Calibri"/>
        <family val="2"/>
      </rPr>
      <t xml:space="preserve"> 194</t>
    </r>
  </si>
  <si>
    <t>BIPO -Sep 2025 SANY Factura Nro 193</t>
  </si>
  <si>
    <t>BIPO -Sep 2025 CATL Factura Nro 192</t>
  </si>
  <si>
    <t>PAGO DE SERVICIOS PROFESIONALES ALEJANDRO ECHAVARRIA MES DE SEPTIEMBRE FACTURA Nro 35</t>
  </si>
  <si>
    <t>PAGO DE SERVICIOS PROFESIONALES ALEJANDRO ECHAVARRIA MES DE SEPTIEMBRE FACTURA Nro 34</t>
  </si>
  <si>
    <t>S/N</t>
  </si>
  <si>
    <t>Servicio mensajería de CR a Col - Envío de laptop</t>
  </si>
  <si>
    <t>PAGO SERVICIO DE MENSAJERÍA DHL ENVÍO DE COMPUTO DE COSTA RICA A COLOMBIA</t>
  </si>
  <si>
    <t>Liquidación Edward Gerardo chaves chacon  -Bipo-CR010</t>
  </si>
  <si>
    <t>LIQUIDACIÓN AGOSTO 2025 EDWARD GERARDO CHAVES CHACON-BIPO-CR010</t>
  </si>
  <si>
    <t xml:space="preserve">CATL </t>
  </si>
  <si>
    <t>SANY</t>
  </si>
  <si>
    <t>Bipo</t>
  </si>
  <si>
    <t>BIPO PAGO DE FACTURAS SEPTIEMBRE 192</t>
  </si>
  <si>
    <t>BIPO PAGO DE FACTURAS SEPTIEMBRE 191</t>
  </si>
  <si>
    <t>Geanina Villalobos Molina</t>
  </si>
  <si>
    <t>Gastos y costos Periodo 22 al 30 Septiembre</t>
  </si>
  <si>
    <t>REMOFIRST PAGO DE  FACTURA 194 Septiembre</t>
  </si>
  <si>
    <t>SEPTIEMBRE- REMOFIRST</t>
  </si>
  <si>
    <t>BIPO -Sep 2025 CATL</t>
  </si>
  <si>
    <t>BIPO -Sep 2025 SANY</t>
  </si>
  <si>
    <t xml:space="preserve">Starlight SS, September 2025 Jonathan Salazar USD
</t>
  </si>
  <si>
    <t>Priscilla y Roberto-Aluminati, September 2025</t>
  </si>
  <si>
    <t>Tatiana Araya Pochet -CZ SS, September 2025USD</t>
  </si>
  <si>
    <t>Sheryl Gertrudis-Flores &amp; Pelaez , September 2025</t>
  </si>
  <si>
    <t>Bernal Fallas Barboza-Berkheimer Enterprises,September 2025</t>
  </si>
  <si>
    <t>Gilberto Esteban Solano-Berkheimer Enterprises ,September 2025</t>
  </si>
  <si>
    <t>Angel Alberto Torres-Skelling automation US LLC  ,September 2025</t>
  </si>
  <si>
    <t>Jorge Esteban valverde Espinosa ,September 2025</t>
  </si>
  <si>
    <t>María Fernanda Mora Mora ,September 2025</t>
  </si>
  <si>
    <t>Geanina Villalobos MOlina   ,September 2025</t>
  </si>
  <si>
    <t>NOMINA SEPTIEMBRE 2025  TATIANA ARAYA POCHET-CZ-CR006</t>
  </si>
  <si>
    <t>NOMINA SEPTIEMBRE 2025 JONATHAN SALAZAR GARCIA-STARLIGHT-CR003</t>
  </si>
  <si>
    <t>NOMINA SEPTIEMBRE 2025  JORGE ESTEBAN VALVERDE ESPINOZA-IPPC-CR011</t>
  </si>
  <si>
    <t>NOMINA SEPTIEMBRE 2025 PRISCILLA GRACE POLSON-ALUMINATI-CR004</t>
  </si>
  <si>
    <t>NOMINA SEPTIEMBRE 2025 JOSE ROBERTO AGUILAR BARRANTES-ALUMINATI-CR004</t>
  </si>
  <si>
    <t>NOMINA SEPTIEMBRE 2025 MARIA FERNANDA MORA MORA-BERKHEIMER ENTERPRISES LLC -CR009</t>
  </si>
  <si>
    <t>NOMINA AGOSTO 2025 GILBERTO ESTEBAN SOLANO MELENDEZ-BERKHEIMER ENTERPRISES LLC -CR009</t>
  </si>
  <si>
    <t>NOMINA AGOSTO 2025 RICARDO MANUEL GARRO RUIZ-BIPO</t>
  </si>
  <si>
    <t>NOMINA AGOSTO 2025 MARIA FERNANDA MORA MORA-BERKHEIMER ENTERPRISES LLC -CR009</t>
  </si>
  <si>
    <t>NOMINA AGOSTO 2025 SHERYL GERTRUDIS CAMBRONERO ESTRADA-FLORES &amp; PELAEZ-PRADA PLLC-CR007</t>
  </si>
  <si>
    <t>NOMINA SEPTIEMBRE 2025 GEANINIA VILLALOBOS MOLINA-AIS VENTURE -CR015</t>
  </si>
  <si>
    <t>NOMINA SEPTIEMBRE 2025 GILBERTO ESTEBAN SOLANO MELENDEZ-BERKHEIMER ENTERPRISES LLC -CR009</t>
  </si>
  <si>
    <t>NOMINA SEPTIEMBRE 2025 SHERYL GERTRUDIS CAMBRONERO ESTRADA-FLORES &amp; PELAEZ-PRADA PLLC-CR007</t>
  </si>
  <si>
    <t>Gilberto Esteban Solano Melendez-Berkheimer Enterprises LLC</t>
  </si>
  <si>
    <t>Angel Alberto Torres Gonzalez -Skelling Aotomati US LLC-</t>
  </si>
  <si>
    <t>NOMINA SEPTIEMBRE 2025 OSCAR JOSUE PEREZ CASCANTE-BIPO-CR010</t>
  </si>
  <si>
    <t>NOMINA SEPTIEMBRE 2025 ANGEL ALBERTO TORRES GONZALEZ-SKELLIG AUTOMATION US LLC-CR012</t>
  </si>
  <si>
    <t xml:space="preserve">NOMINA SEPTIEMBRE 2025 BERNAL FALLAS BARBOZA-REMOFIRST - BERKHEIMER ENTERPRISES LLC </t>
  </si>
  <si>
    <t>NOMINA SEPTIEMBRE 2025 LUIS ANGEL VEGA DELGADO-BIPO-CR010</t>
  </si>
  <si>
    <t>NOMINA SEPTIEMBRE 2025 RICARDO MANUEL GARRO RUIZ-BIPO</t>
  </si>
  <si>
    <t>REEMBOLSO SEPTIEMBRE 2025 ANGEL ALBERTO TORRES GONZALEZ-SKELLIG AUTOMATION US LLC-CR012</t>
  </si>
  <si>
    <t>559</t>
  </si>
  <si>
    <t>Oscar Zelaya Hernandez- Servicios de auditoría financiera certificacion estados para Migracion y Extranjeria</t>
  </si>
  <si>
    <t>PAGO OSCAR ZELAYA HERNANDEZ-SERVICIOS DE AUDITORIA FINANCIERA , CERTIFICACIÓN EEFF PARA MIGRACIÓN Y EXTRA</t>
  </si>
  <si>
    <t>Rte fte por declaración de remesas al exterior Facturación S&amp;P Colombia a S&amp;P CR Fact 6314</t>
  </si>
  <si>
    <t>Servicios profesionales Alejandro Echavarria Octubre- USD</t>
  </si>
  <si>
    <t>Impuestos y SS</t>
  </si>
  <si>
    <t>Servicios Prof Alejandro</t>
  </si>
  <si>
    <t xml:space="preserve"> 777720250949577321-1</t>
  </si>
  <si>
    <t>Pago CCSS Septiembre</t>
  </si>
  <si>
    <t>PAGO CCSS SEPTIEMBRE RECIBO  777720250949577321-1</t>
  </si>
  <si>
    <r>
      <t xml:space="preserve">BIPO -Oct 2025 CATL Factura Nro </t>
    </r>
    <r>
      <rPr>
        <sz val="11"/>
        <rFont val="Calibri"/>
        <family val="2"/>
      </rPr>
      <t>199</t>
    </r>
  </si>
  <si>
    <r>
      <t xml:space="preserve">BIPO -Oct 2025 Doncheng Factura Nro </t>
    </r>
    <r>
      <rPr>
        <sz val="11"/>
        <rFont val="Calibri"/>
        <family val="2"/>
      </rPr>
      <t>198</t>
    </r>
  </si>
  <si>
    <t>Servicios profesio Alejandro Echavarria apoyo admon contratos</t>
  </si>
  <si>
    <t>PAGO DE SERVICIOS PROFESIONALES ALEJANDRO ECHAVARRIA MES DE OCTUBRE FACTURA Nro 37</t>
  </si>
  <si>
    <t>PAGO DE SERVICIOS PROFESIONALES ALEJANDRO ECHAVARRIA MES DE OCTUBRE FACTURA Nro 38</t>
  </si>
  <si>
    <t>Correcto manejo de personal extranjero: Mejores prácticas en el  ámbito empresarial. Inscripción: Jenny Tatiana Chavarro Jerez y Sandra Milena Bello</t>
  </si>
  <si>
    <t>PAGO BDS 40% SALDO FINAL REGISTRO EMPRESA ANTE MIGRACIÓN</t>
  </si>
  <si>
    <t>PAGO CAPACITACIÓN CORRECTO MANEJO PERSONAL EXTRANJERO BDS</t>
  </si>
  <si>
    <t>RFT1120250901003102766975D000</t>
  </si>
  <si>
    <t>RTF0820250901003102766975D000</t>
  </si>
  <si>
    <t>SS</t>
  </si>
  <si>
    <t>PAGO RTE FTE POR DECLARACIÓN REMESES DEL EXTERIOR Facturación S&amp;P COL A S&amp;P CR SEPTIEMBRE</t>
  </si>
  <si>
    <t>PAGO RETENCIÓN EN LA FUENTE SEPTIEMBRE NRO REFERENCIA 1034714227206</t>
  </si>
  <si>
    <t>REMOFIRST PAGO DE  FACTURA 197</t>
  </si>
  <si>
    <t>Gastos y costos Periodo 21 al 31 Octubre</t>
  </si>
  <si>
    <t>REMOFIRST PAGO DE  FACTURA 195</t>
  </si>
  <si>
    <t>BIPO PAGO DE FACTURAS OCTUBRE 199</t>
  </si>
  <si>
    <t>BIPO PAGO DE FACTURAS OCTUBRE 198</t>
  </si>
  <si>
    <t>Daniel Alberto Urbina González</t>
  </si>
  <si>
    <t>Reembolso Luis Angel Vega-Bipo-CR010</t>
  </si>
  <si>
    <t>Reembolso previsto Jorge Esteban Valverde -IPPC-CR011</t>
  </si>
  <si>
    <t>OCTUBRE- REMOFIRST</t>
  </si>
  <si>
    <t>Daniel Eduardo Urbina González</t>
  </si>
  <si>
    <t>OCTUBRE BIPO</t>
  </si>
  <si>
    <t>Remofirst -October 2025</t>
  </si>
  <si>
    <t>Remorfist-Soul Innovations Factura Nro 197</t>
  </si>
  <si>
    <t>DONGCHENG - October 2025</t>
  </si>
  <si>
    <t>BIPO -October 2025 CATL</t>
  </si>
  <si>
    <t>BIPO- October 2025 SANY</t>
  </si>
  <si>
    <t>NOMINA OCTUBRE 2025  TATIANA ARAYA POCHET-CZ-CR006</t>
  </si>
  <si>
    <t>NOMINA OCTUBRE 2025 JONATHAN SALAZAR GARCIA-STARLIGHT-CR003</t>
  </si>
  <si>
    <t>NOMINA OCTUBRE 2025  JORGE ESTEBAN VALVERDE ESPINOZA-IPPC-CR011</t>
  </si>
  <si>
    <t>NOMINA OCTUBRE 2025 OSCAR JOSUE PEREZ CASCANTE-BIPO-CR010</t>
  </si>
  <si>
    <t xml:space="preserve">NOMINA OCTUBRE 2025 BERNAL FALLAS BARBOZA-REMOFIRST - BERKHEIMER ENTERPRISES LLC </t>
  </si>
  <si>
    <t>NOMINA OCTUBRE 2025 LUIS ANGEL VEGA DELGADO-BIPO-CR010</t>
  </si>
  <si>
    <t>NOMINA OCTUBRE 2025- ANGEL ALBERTO TORRES GONZALEZ-REMOFIRST - SKELLIG AUTOMATION US LLC-CR012</t>
  </si>
  <si>
    <t>REEMBOLSO OCTUBRE 2025  JORGE ESTEBAN VALVERDE ESPINOZA-IPPC-CR011</t>
  </si>
  <si>
    <t>NOMINA OCTUBRE 2025 PRISCILLA GRACE POLSON-ALUMINATI-CR004</t>
  </si>
  <si>
    <t>NOMINA OCTUBRE 2025 JOSE ROBERTO AGUILAR BARRANTES-ALUMINATI-CR004</t>
  </si>
  <si>
    <t>X pagar</t>
  </si>
  <si>
    <t xml:space="preserve">Pagado </t>
  </si>
  <si>
    <t>Redondeado</t>
  </si>
  <si>
    <t>NOMINA OCTUBRE 2025 GILBERTO ESTEBAN SOLANO MELENDEZ-BERKHEIMER ENTERPRISES LLC -CR009</t>
  </si>
  <si>
    <t>NOMINA OCTUBRE 2025 SHERYL GERTRUDIS CAMBRONERO ESTRADA-FLORES &amp; PELAEZ-PRADA PLLC-CR007</t>
  </si>
  <si>
    <t>NOMINA OCTUBRE 2025 RICARDO MANUEL GARRO RUIZ-BIPO</t>
  </si>
  <si>
    <t>NOMINA OCTUBRE 2025 GEANINIA VILLALOBOS MOLINA-AIS VENTURE -CR015</t>
  </si>
  <si>
    <t>NOMINA OCTUBRE 2025 DANIEL EDUARDO URBINA GONZÁLEZ-SUOL INNOVATIONS LTD (RF)-CR016</t>
  </si>
  <si>
    <t>REEMBOLSO OCTUBRE 2025 LUIS ANGEL VEGA DELGADO-BIPO-CR010</t>
  </si>
  <si>
    <t>Liquidación María Fernanda Mora Mora</t>
  </si>
  <si>
    <t>LIQUIDACIÓN OCTUBRE 2025 MARIA FERNANDA MORA MORA-BERKHEIMER ENTERPRISES LLC -CR009</t>
  </si>
  <si>
    <r>
      <t>Client:  :  Remorfist-Factura Nro</t>
    </r>
    <r>
      <rPr>
        <sz val="11"/>
        <rFont val="Calibri"/>
        <family val="2"/>
      </rPr>
      <t xml:space="preserve"> 195</t>
    </r>
  </si>
  <si>
    <r>
      <t>BIPO -Oct 2025 SANY Factura Nro</t>
    </r>
    <r>
      <rPr>
        <sz val="11"/>
        <rFont val="Calibri"/>
        <family val="2"/>
      </rPr>
      <t xml:space="preserve"> 196</t>
    </r>
  </si>
  <si>
    <r>
      <t>Client:  :  Remorfist-Soul Innovations Factura Nro</t>
    </r>
    <r>
      <rPr>
        <sz val="11"/>
        <rFont val="Calibri"/>
        <family val="2"/>
      </rPr>
      <t xml:space="preserve"> 197</t>
    </r>
  </si>
  <si>
    <t>BIPO  FACTURA 196</t>
  </si>
  <si>
    <t>Rte fte por declaración de remesas al exterior Facturación S&amp;P Colombia a S&amp;P CR Fact 6419</t>
  </si>
  <si>
    <t>Pago honorarios casa Matriz</t>
  </si>
  <si>
    <t>Distribución de Utilidades S&amp;P</t>
  </si>
  <si>
    <t>BDS 60% saldo final registro de empresa ante migración</t>
  </si>
  <si>
    <t>Pago casa matriz</t>
  </si>
  <si>
    <t>SS, Servicios Prof Alejandro, proveedores</t>
  </si>
  <si>
    <t xml:space="preserve">Comisión por transferencia internacional a S&amp;P Panamá </t>
  </si>
  <si>
    <t>TRANSFERENCIA INTERNACIONAL POR PAGOS HONORARIOS A S&amp;P COL SERV MARZO A OCTUBRE 2025</t>
  </si>
  <si>
    <t>DISTRIBUCIÓN DE UTILIDADES A S&amp;P</t>
  </si>
  <si>
    <t>GASTOS FINANICIERO POR EL ENVIO DE DIVISAS AL EXTERIOR</t>
  </si>
  <si>
    <t>77772025104975994301</t>
  </si>
  <si>
    <t>PAGO CCSS OCTUBRE RECIBO  77772025104975994301</t>
  </si>
  <si>
    <t>RTF0820251001003102766975D000</t>
  </si>
  <si>
    <t>RFT1120251001003102766975D000</t>
  </si>
  <si>
    <t>PAGO RETENCIÓN EN LA FUENTE OCTUBRE NRO REFERENCIA RTF0820251001003102766975D000</t>
  </si>
  <si>
    <t>PAGO RTE FTE POR DECLARACIÓN REMESES DEL EXTERIOR Facturación S&amp;P COL A S&amp;P CR OCTUBRE</t>
  </si>
  <si>
    <t>Servicios profesionales Alejandro Echavarria Noviembre- USD</t>
  </si>
  <si>
    <t>PAGO DE SERVICIOS PROFESIONALES ALEJANDRO ECHAVARRIA MES DE NOVIEMBRE FACTURA Nro 39</t>
  </si>
  <si>
    <r>
      <t xml:space="preserve">BIPO -Oct 2025 Doncheng Factura Nro </t>
    </r>
    <r>
      <rPr>
        <sz val="11"/>
        <rFont val="Calibri"/>
        <family val="2"/>
      </rPr>
      <t>201</t>
    </r>
  </si>
  <si>
    <r>
      <t>BIPO -Oct 2025 CATL Factura N</t>
    </r>
    <r>
      <rPr>
        <sz val="11"/>
        <rFont val="Calibri"/>
        <family val="2"/>
      </rPr>
      <t>ro 202</t>
    </r>
  </si>
  <si>
    <r>
      <t>BIPO -Oct 2025 SANY Factura Nro</t>
    </r>
    <r>
      <rPr>
        <sz val="11"/>
        <rFont val="Calibri"/>
        <family val="2"/>
      </rPr>
      <t xml:space="preserve"> 203</t>
    </r>
  </si>
  <si>
    <r>
      <t>Client:  :  Remorfist-Factura Nro</t>
    </r>
    <r>
      <rPr>
        <sz val="11"/>
        <rFont val="Calibri"/>
        <family val="2"/>
      </rPr>
      <t xml:space="preserve"> 204</t>
    </r>
  </si>
  <si>
    <r>
      <t>Client:  :  Remorfist- Liquidación Daniel Gonzalez Fact Nro</t>
    </r>
    <r>
      <rPr>
        <sz val="11"/>
        <rFont val="Calibri"/>
        <family val="2"/>
      </rPr>
      <t xml:space="preserve"> 205</t>
    </r>
  </si>
  <si>
    <t>NOVIEMBRE- REMOFIRST</t>
  </si>
  <si>
    <t>NOVIEMBRE BIPO</t>
  </si>
  <si>
    <t>Remorfist-liquida Daniel Gonzalez</t>
  </si>
  <si>
    <t>DONGCHENG -Nov 2025</t>
  </si>
  <si>
    <t>BIPO -Nov 2025 CATL</t>
  </si>
  <si>
    <t>BIPO-NOv 2025 SANY</t>
  </si>
  <si>
    <t>Remofirst -Nov 2025</t>
  </si>
  <si>
    <t>DEVOLUCIÓN COMISION TRANSFERENCIA INTERNACIONAL</t>
  </si>
  <si>
    <t>DEVOLUCIÓN TRANSFERENCIA INTERNACIONAL POR PAGOS HONORARIOS A S&amp;P COL SERV MARZO A OCTUBRE 2025</t>
  </si>
  <si>
    <t>COMISIÓN POR TRANSFERENCIA</t>
  </si>
  <si>
    <t>BIPO PAGO DE FACTURAS OCTUBRE 202</t>
  </si>
  <si>
    <t>BIPO PAGO DE FACTURAS OCTUBRE 201</t>
  </si>
  <si>
    <t>Pago de Webinar gestion salarial Paola Sanchez y Kevin Gonzalez. BSD</t>
  </si>
  <si>
    <t>PAGO DE WEBINAR GESTION SALARIAL PAOLA SANCHEZ Y KEVIN GONZALEZ. BSD</t>
  </si>
  <si>
    <t>Liquidación Daniel Alberto Urbina González</t>
  </si>
  <si>
    <t>LIQUIDACIÓN NOVIEMBRE 2025 DANIEL EDUARDO URBINA GONZÁLEZ-SUOL INNOVATIONS LTD (RF)-CR016</t>
  </si>
  <si>
    <t>Client:  :  Advancio Factura 206</t>
  </si>
  <si>
    <t>Reembolso Oscar Josue Pérez Cascante -BIPO SANY</t>
  </si>
  <si>
    <t>Reembolso Ricardo Manuel Garro Ruiz-BIPO</t>
  </si>
  <si>
    <t>NOMINA NOVIEMBRE 2025 LUIS ANGEL VEGA DELGADO-BIPO-CR010</t>
  </si>
  <si>
    <t>NOMINA NOVIEMBRE 2025 OSCAR JOSUE PEREZ CASCANTE-BIPO-CR010</t>
  </si>
  <si>
    <t>TRANSFERENCIA DE FONDOS DE LA CUENTA DE USD A CRC PARA PAGO DE NOMINAS BIPO</t>
  </si>
  <si>
    <t>NOMINA NOVIEMBRE 2025 RICARDO MANUEL GARRO RUIZ-BIPO</t>
  </si>
  <si>
    <t>REEMBOLSO NOVIEMBRE 2025 RICARDO MANUEL GARRO RUIZ-BIPO</t>
  </si>
  <si>
    <t>REEMBOLSO NOVIEMBRE 2025 OSCAR JOSUE PEREZ CASCANTE-BIPO-CR010</t>
  </si>
  <si>
    <t>NOMINA NOVIEMBRE 2025 PRISCILLA GRACE POLSON-ALUMINATI-CR004</t>
  </si>
  <si>
    <t>NOMINA NOVIEMBRE 2025 JOSE ROBERTO AGUILAR BARRANTES-ALUMINATI-CR004</t>
  </si>
  <si>
    <t>NOMINA NOVIEMBRE 2025 GILBERTO ESTEBAN SOLANO MENDEZ-BERKHEIMER ENTERPRISES LLC -CR009</t>
  </si>
  <si>
    <t>NOMINA NOVIEMBRE 2025 SHERYL GERTRUDIS CAMBRONERO ESTRADA-FLORES &amp; PELAEZ-PRADA PLLC-CR007</t>
  </si>
  <si>
    <t>NOMINA NOVIEMBRE 2025 GEANINIA VILLALOBOS MOLINA-AIS VENTURE -CR015</t>
  </si>
  <si>
    <t>PAGO RENOVACIÓN PÓLIZA  NRO 4024882 RIESGOS DEL TRABAJO-INS-FALTANTE PERIODO LIQUIDACIÓN</t>
  </si>
  <si>
    <t>Periodo faltantes Liquidación Poliza Nro. 4024882 INS riesgos de trabajo</t>
  </si>
  <si>
    <t>REMOFIRST PAGO DE  FACTURA  205</t>
  </si>
  <si>
    <t>PRESTAMO SOLUTIONS &amp; PAYROLL SAS</t>
  </si>
  <si>
    <t>Préstamo Solutions &amp; Payroll SAS</t>
  </si>
  <si>
    <t>NOMINA NOVIEMBRE 2025  JORGE ESTEBAN VALVERDE ESPINOZA-IPPC-CR011</t>
  </si>
  <si>
    <t>NOMINA NOVIEMBRE 2025  TATIANA ARAYA POCHET-CZ-CR006</t>
  </si>
  <si>
    <t xml:space="preserve">NOMINA NOVIEMBRE 2025 BERNAL FALLAS BARBOZA-REMOFIRST - BERKHEIMER ENTERPRISES LLC </t>
  </si>
  <si>
    <t>NOMINA NOVIEMBRE 2025 JONATHAN SALAZAR GARCIA-STARLIGHT-CR003</t>
  </si>
  <si>
    <t>NOMINA NOVIEMBRE 2025- ANGEL ALBERTO TORRES GONZALEZ-REMOFIRST - SKELLIG AUTOMATION US LLC-CR012</t>
  </si>
  <si>
    <t>REMOFIRST PAGO DE  FACTURA  204</t>
  </si>
  <si>
    <t>Gastos y costos Periodo 01 al 30 Noviembre</t>
  </si>
  <si>
    <t>Rte fte por declaración de remesas al exterior Facturación S&amp;P Colombia a S&amp;P CR Fact 6481</t>
  </si>
  <si>
    <t>Devolución dinero casa Matriz</t>
  </si>
  <si>
    <t>Pago de primas y devolucion de dinero a Casa matriz</t>
  </si>
  <si>
    <t>Pago seguridad social e impuestos</t>
  </si>
  <si>
    <t>Pago proveedores BDS</t>
  </si>
  <si>
    <t>Nóminas y reembolso</t>
  </si>
  <si>
    <t>DEVOLUCIÓN DE DINERO S&amp;P COLOMBIA POR PRÉSTAMO 27 NOV ( PANAMÁ)</t>
  </si>
  <si>
    <t>Transferencia internacional</t>
  </si>
  <si>
    <t>PAGO ENVIO DE COMPUTADORES A ESTADOS UNIDOS Y MEXICO ACTION</t>
  </si>
  <si>
    <t>Pago devolución de computadores a Estados unidos y Mexico action</t>
  </si>
  <si>
    <t>AGUINALDOS</t>
  </si>
  <si>
    <t>AGUINALDO 2025 JORGE ESTEBAN VALVERDE ESPINOZA-IPPC-CR011</t>
  </si>
  <si>
    <t>AGUINALDO 2025 TATIANA ARAYA POCHET-CZ-CR006</t>
  </si>
  <si>
    <t xml:space="preserve">AGUINALDO 2025 BERNAL FALLAS BARBOZA-REMOFIRST - BERKHEIMER ENTERPRISES LLC </t>
  </si>
  <si>
    <t>AGUINALDO 2025 JONATHAN SALAZAR GARCIA-STARLIGHT-CR003</t>
  </si>
  <si>
    <t>AGUINALDO 2025 ANGEL ALBERTO TORRES GONZALEZ-REMOFIRST - SKELLIG AUTOMATION US LLC-CR012</t>
  </si>
  <si>
    <t>AGUINALDO 2025 LUIS ANGEL VEGA DELGADO-BIPO-CR010</t>
  </si>
  <si>
    <t>AGUINALDO 2025 OSCAR JOSUE PEREZ CASCANTE-BIPO-CR010</t>
  </si>
  <si>
    <t>Apoyo administrativo Gestiones de noviembre</t>
  </si>
  <si>
    <t>Servicios profesionales Alejandro Echavarria Diciembre- USD</t>
  </si>
  <si>
    <t>PAGO DE SERVICIOS PROFESIONALES ALEJANDRO ECHAVARRIA MES DE DICIEMBRE FACTURA Nro 40</t>
  </si>
  <si>
    <t>PAGO GESTIONES ADMINISTRATIVAS ALEJANDRO ECHAVARRIA MES DE NOVIEMBRE FACTURA Nro 41</t>
  </si>
  <si>
    <t xml:space="preserve">TRANSFERENCIA DE FONDOS PARA PAGOS DE AGUINALDO, SEGURIDAD SOCIAL E IMPUESTOS </t>
  </si>
  <si>
    <t>AGUINALDO 2025 PRISCILLA GRACE POLSON-ALUMINATI-CR004</t>
  </si>
  <si>
    <t>AGUINALDO 2025 JOSE ROBERTO AGUILAR BARRANTES-ALUMINATI-CR004</t>
  </si>
  <si>
    <t>AGUINALDO 2025 GILBERTO ESTEBAN SOLANO MENDEZ-BERKHEIMER ENTERPRISES LLC -CR009</t>
  </si>
  <si>
    <t>AGUINALDO 2025 SHERYL GERTRUDIS CAMBRONERO ESTRADA-FLORES &amp; PELAEZ-PRADA PLLC-CR007</t>
  </si>
  <si>
    <t>AGUINALDO 2025 GEANINIA VILLALOBOS MOLINA-AIS VENTURE -CR015</t>
  </si>
  <si>
    <t>AGUINALDO 2025 RICARDO MANUEL GARRO RUIZ-BIPO</t>
  </si>
  <si>
    <t>Pago AG Legal Service revisión y redacción clasulas</t>
  </si>
  <si>
    <t>PAGO AG LEGAL SERVICES FACTURA NRO 2108</t>
  </si>
  <si>
    <t>000100010001202512141710240042344</t>
  </si>
  <si>
    <t>RFT1120251101003102766975I000</t>
  </si>
  <si>
    <t>PAGO RETENCIÓN EN LA FUENTE NOVIEMBRE NRO REFERENCIA 000100010001202512141710240042344</t>
  </si>
  <si>
    <t>PAGO RTE FTE POR DECLARACIÓN REMESES DEL EXTERIOR Facturación S&amp;P COL A S&amp;P CR NOVIEMBRE</t>
  </si>
  <si>
    <t>Publicación oferta laboral Computrabajo</t>
  </si>
  <si>
    <t>PAGO ORDEN DE SERVICIO NRO 00702202 COMPUTRABAJO COSTA RICA</t>
  </si>
  <si>
    <t>COMISION POR TRANSFERENCIA INTERNACIONAL</t>
  </si>
  <si>
    <t>PAGO CCSS NOVIEMBRE RECIBO  7777202511508831871</t>
  </si>
  <si>
    <r>
      <t>Client:  :  Remorfist-Factura Nro</t>
    </r>
    <r>
      <rPr>
        <sz val="11"/>
        <rFont val="Calibri"/>
        <family val="2"/>
      </rPr>
      <t xml:space="preserve"> 207</t>
    </r>
  </si>
  <si>
    <r>
      <t>BIPO -Diciembre 2025 CATL Factura N</t>
    </r>
    <r>
      <rPr>
        <sz val="11"/>
        <rFont val="Calibri"/>
        <family val="2"/>
      </rPr>
      <t xml:space="preserve">ro </t>
    </r>
    <r>
      <rPr>
        <sz val="11"/>
        <rFont val="Calibri"/>
        <family val="2"/>
      </rPr>
      <t>210</t>
    </r>
  </si>
  <si>
    <r>
      <t>BIPO -Diciembre 2025 SANY Factura Nro</t>
    </r>
    <r>
      <rPr>
        <sz val="11"/>
        <rFont val="Calibri"/>
        <family val="2"/>
      </rPr>
      <t xml:space="preserve"> </t>
    </r>
    <r>
      <rPr>
        <sz val="11"/>
        <rFont val="Calibri"/>
        <family val="2"/>
      </rPr>
      <t>209</t>
    </r>
  </si>
  <si>
    <t>BIPO CATL PAGO DE  FACTURA  210</t>
  </si>
  <si>
    <t>Póliza de salud Europortage</t>
  </si>
  <si>
    <t>Gastos y costos Periodo 01 al 31 Diciembre</t>
  </si>
  <si>
    <t>Reembolso Luis Angel Vega  -BIPO SANY</t>
  </si>
  <si>
    <t>REMOFIRST PAGO DE  FACTURA  207-ABONO</t>
  </si>
  <si>
    <t>REMOFIRST PAGO DE  FACTURA  207-PAGO SALDO</t>
  </si>
  <si>
    <t>BIPO -Diciembre 2025 Doncheng Factura Nro 208</t>
  </si>
  <si>
    <t>REEMBOLSO DICIEMBRE 2025 RICARDO MANUEL GARRO RUIZ-BIPO</t>
  </si>
  <si>
    <t>REEMBOLSO DICIEMBRE 2025 LUIS ANGEL VEGA DELGADO-BIPO-CR010</t>
  </si>
  <si>
    <t>BIPO PAGO DE FACTURAS NOVIEMBRE 203</t>
  </si>
  <si>
    <t>BIPO PAGO DE FACTURAS DICIEMBRE 209</t>
  </si>
  <si>
    <t>BIPO PAGO DE FACTURAS DICIEMBRE 208</t>
  </si>
  <si>
    <t>Remofirst -Dic 2025</t>
  </si>
  <si>
    <t>DONGCHENG -Dic 2025</t>
  </si>
  <si>
    <t>BIPO-Dic 2025 SANY</t>
  </si>
  <si>
    <t>BIPO -Dic 2025 CATL</t>
  </si>
  <si>
    <t>DICIEMBRE- REMOFIRST</t>
  </si>
  <si>
    <t>DICIEMBRE BIPO</t>
  </si>
  <si>
    <t>CATL Ricar</t>
  </si>
  <si>
    <t>SANY-Oscar P</t>
  </si>
  <si>
    <t>Donhcheng-Luis V</t>
  </si>
  <si>
    <t>TRANSFERENCIA DE FONDOS PARA PAGOS DE AGUINALDO</t>
  </si>
  <si>
    <t xml:space="preserve">TRANSFERENCIA DE FONDOS PARA PAGOS DE NÓMINA, SEGURIDAD SOCIAL E IMPUESTOS </t>
  </si>
  <si>
    <t>NOMINA DICIEMBRE 2025  JORGE ESTEBAN VALVERDE ESPINOZA-IPPC-CR011</t>
  </si>
  <si>
    <t>NOMINA DICIEMBRE 2025  TATIANA ARAYA POCHET-CZ-CR006</t>
  </si>
  <si>
    <t xml:space="preserve">NOMINA DICIEMBRE 2025 BERNAL FALLAS BARBOZA-REMOFIRST - BERKHEIMER ENTERPRISES LLC </t>
  </si>
  <si>
    <t>NOMINA DICIEMBRE 2025 JONATHAN SALAZAR GARCIA-STARLIGHT-CR003</t>
  </si>
  <si>
    <t>NOMINA DICIEMBRE 2025- ANGEL ALBERTO TORRES GONZALEZ-REMOFIRST - SKELLIG AUTOMATION US LLC-CR012</t>
  </si>
  <si>
    <t>NOMINA DICIEMBRE 2025 LUIS ANGEL VEGA DELGADO-BIPO-CR010</t>
  </si>
  <si>
    <t>NOMINA DICIEMBRE 2025 OSCAR JOSUE PEREZ CASCANTE-BIPO-CR010</t>
  </si>
  <si>
    <t>NOMINA DICIEMBRE 2025 PRISCILLA GRACE POLSON-ALUMINATI-CR004</t>
  </si>
  <si>
    <t>NOMINA DICIEMBRE 2025 GILBERTO ESTEBAN SOLANO MENDEZ-BERKHEIMER ENTERPRISES LLC -CR009</t>
  </si>
  <si>
    <t>NOMINA DICIEMBRE 2025 SHERYL GERTRUDIS CAMBRONERO ESTRADA-FLORES &amp; PELAEZ-PRADA PLLC-CR007</t>
  </si>
  <si>
    <t>NOMINA DICIEMBRE 2025 GEANINIA VILLALOBOS MOLINA-AIS VENTURE -CR015</t>
  </si>
  <si>
    <t>NOMINA DICIEMBRE 2025 RICARDO MANUEL GARRO RUIZ-BIPO</t>
  </si>
  <si>
    <t>40190900000001</t>
  </si>
  <si>
    <t>NOMINA DICIEMBRE 2025 JOSE ROBERTO AGUILAR BARRANTES-ALUMINATI-CR004</t>
  </si>
  <si>
    <t>POLIZA SALUD EUROPORTAGE FACTURA NRO. 40190900000001</t>
  </si>
  <si>
    <r>
      <t>BIPO -Diciembre 2025 CATL Factura N</t>
    </r>
    <r>
      <rPr>
        <sz val="11"/>
        <rFont val="Calibri"/>
        <family val="2"/>
      </rPr>
      <t xml:space="preserve">ro </t>
    </r>
    <r>
      <rPr>
        <sz val="11"/>
        <rFont val="Calibri"/>
        <family val="2"/>
      </rPr>
      <t>211</t>
    </r>
    <r>
      <rPr>
        <sz val="11"/>
        <rFont val="Calibri"/>
        <family val="2"/>
      </rPr>
      <t>-Expenses</t>
    </r>
  </si>
  <si>
    <t>Rte fte por declaración de remesas al exterior Facturación S&amp;P Colombia a S&amp;P CR Fact 6595</t>
  </si>
  <si>
    <t>Servicios profesionales Alejandro Echavarria Enero- USD</t>
  </si>
  <si>
    <t xml:space="preserve">Liquidación </t>
  </si>
  <si>
    <t>BIPO CATL PAGO DE  FACTURA  211-EXPENSES</t>
  </si>
  <si>
    <t xml:space="preserve">	77772025125106993301</t>
  </si>
  <si>
    <t>COMISION CARTA-57379955</t>
  </si>
  <si>
    <t>000100010001202601121418330039061</t>
  </si>
  <si>
    <t>PAGO RETENCIÓN EN LA FUENTE DICIEMBRE NRO REFERENCIA 000100010001202601121418330039061</t>
  </si>
  <si>
    <t>PAGO RTE FTE POR DECLARACIÓN REMESES DEL EXTERIOR Facturación S&amp;P COL A S&amp;P CR DICIEMBRE</t>
  </si>
  <si>
    <t>PAGO CCSS DICIEMBRE  RECIBO  77772025125106993301</t>
  </si>
  <si>
    <t>PAGO DE SERVICIOS PROFESIONALES ALEJANDRO ECHAVARRIA MES DE DICIEMBRE FACTURA Nro 42</t>
  </si>
  <si>
    <t>PAGO PLAN PREPAGO FACTURACIÓN DOCUMENTO Nro. 3102</t>
  </si>
  <si>
    <t>Pago GTI pago de facturas 3102</t>
  </si>
  <si>
    <t>PAGO IMPUESTOS SOCIEDADES 2026 REF 260000001790750</t>
  </si>
  <si>
    <t>impuesto sociedades 2026</t>
  </si>
  <si>
    <t>260000001790750</t>
  </si>
  <si>
    <t>ADVANCIO PAGO DE FACTURA 206</t>
  </si>
  <si>
    <t>Tener en cuenta los expenses de la Fac 211 Enero 2026</t>
  </si>
  <si>
    <t>Remofirst -Ene 2026</t>
  </si>
  <si>
    <t>Client: Remofirst Enero-Factura Nro 212</t>
  </si>
  <si>
    <t>BIPO -Enero 2026 Doncheng Factura Nro 213</t>
  </si>
  <si>
    <r>
      <t xml:space="preserve">BIPO -Enero 2026 SANY Factura Nro </t>
    </r>
    <r>
      <rPr>
        <sz val="11"/>
        <rFont val="Calibri"/>
        <family val="2"/>
      </rPr>
      <t>216</t>
    </r>
  </si>
  <si>
    <r>
      <t>BIPO -Enero 2025 CATL Factura N</t>
    </r>
    <r>
      <rPr>
        <sz val="11"/>
        <rFont val="Calibri"/>
        <family val="2"/>
      </rPr>
      <t>ro 214</t>
    </r>
  </si>
  <si>
    <t>DONGCHENG -Ene 2026</t>
  </si>
  <si>
    <t>REMOFIRST ENERO 2026</t>
  </si>
  <si>
    <t>ENERO 2026 BIPO</t>
  </si>
  <si>
    <t>BIPO -Ene 2026 CATL</t>
  </si>
  <si>
    <t>BIPO-Ene 2026 SANY</t>
  </si>
  <si>
    <t>Europortage</t>
  </si>
  <si>
    <t>ENERO 2026 EUROPORTAGE</t>
  </si>
  <si>
    <t>Natalia Hernandez</t>
  </si>
  <si>
    <t>Rodrigo Benavidez</t>
  </si>
  <si>
    <t>Jose campos</t>
  </si>
  <si>
    <t>Mauren Carvajal</t>
  </si>
  <si>
    <t>BIPO -Enero 2025 CATL Factura Nro 214</t>
  </si>
  <si>
    <t>Pago impuesto dividendos S&amp;P 2025</t>
  </si>
  <si>
    <t>Gastos y costos Periodo 01 al 31 enero</t>
  </si>
  <si>
    <t>Previsto de ingreso</t>
  </si>
  <si>
    <t>REMOFIRST PAGO DE  FACTURA  212</t>
  </si>
  <si>
    <t>BIPO -Enero 2026 SANY Factura Nro 216</t>
  </si>
  <si>
    <r>
      <t xml:space="preserve">Bubble -Enero 2026  Factura Nro </t>
    </r>
    <r>
      <rPr>
        <sz val="11"/>
        <rFont val="Calibri"/>
        <family val="2"/>
      </rPr>
      <t>217</t>
    </r>
  </si>
  <si>
    <r>
      <t>Europortage -Enero 2025 Factura N</t>
    </r>
    <r>
      <rPr>
        <sz val="11"/>
        <rFont val="Calibri"/>
        <family val="2"/>
      </rPr>
      <t>ro 215</t>
    </r>
  </si>
  <si>
    <t>Total Trans CRC</t>
  </si>
  <si>
    <t>Europortage -Enero 2026 Sany Factura Nro 212</t>
  </si>
  <si>
    <t>Total Trans USD</t>
  </si>
  <si>
    <t>TRANSFERENCIA DE FONDOS PARA PAGOS NOMINA ,SS E IMPUESTOS REMOFISRT,BIPO, EUROPORTAGE ENERO 26</t>
  </si>
  <si>
    <t>NOMINA ENERO 2026 TATIANA ARAYA POCHET-CZ-CR006</t>
  </si>
  <si>
    <t>NOMINA ENERO 2026 JORGE ESTEBAN VALVERDE ESPINOZA-IPPC-CR011</t>
  </si>
  <si>
    <t>NOMINA ENERO 2026 LUIS ANGEL VEGA DELGADO-BIPO-CR010</t>
  </si>
  <si>
    <t>NOMINA ENERO 2026 JONATHAN SALAZAR GARCIA-STARLIGHT-CR003</t>
  </si>
  <si>
    <t>NOMINA ENERO 2026 OSCAR JOSUE PEREZ CASCANTE-BIPO-CR010</t>
  </si>
  <si>
    <t>NOMINA ENERO 2026- ANGEL ALBERTO TORRES GONZALEZ-REMOFIRST - SKELLIG AUTOMATION US LLC-CR012</t>
  </si>
  <si>
    <t>NOMINA ENERO 2026- ORIA BRITO VANEGA-BUBBLE BPM-CR018</t>
  </si>
  <si>
    <t>Bernal Fallas Barboza- Berkheimer enterprises-CR009</t>
  </si>
  <si>
    <t>Oria Brito Vegas- Bubble-CR018</t>
  </si>
  <si>
    <t xml:space="preserve">NOMINA 2026 BERNAL FALLAS BARBOZA-REMOFIRST - BERKHEIMER ENTERPRISES LLC </t>
  </si>
  <si>
    <t>NOMINA ENERO 2026 SHERYL GERTRUDIS CAMBRONERO ESTRADA-FLORES &amp; PELAEZ-PRADA PLLC-CR007</t>
  </si>
  <si>
    <t>NOMINA ENERO 2026 GEANINIA VILLALOBOS MOLINA-AIS VENTURE -CR015</t>
  </si>
  <si>
    <t>Jose David Campos JImenez -Europortage-CR017</t>
  </si>
  <si>
    <t>Mauren del carmen Carvajal Rodriguez  -Europortage-CR017</t>
  </si>
  <si>
    <t>Natalia Arce Hernandez  -Europortage-CR017</t>
  </si>
  <si>
    <t>Rodrigo Alberto Benavides Fallas   -Europortage-CR017</t>
  </si>
  <si>
    <t>NOMINA ENERO 2026 PRISCILLA GRACE POLSON-ALUMINATI-CR004</t>
  </si>
  <si>
    <t>NOMINA ENERO 2026 GILBERTO ESTEBAN SOLANO MENDEZ-BERKHEIMER ENTERPRISES LLC -CR009</t>
  </si>
  <si>
    <t>NOMINA ENERO 2026 JOSE ROBERTO AGUILAR BARRANTES-ALUMINATI-CR004</t>
  </si>
  <si>
    <t>NOMINA ENERO 2026 RICARDO MANUEL GARRO RUIZ-BIPO</t>
  </si>
  <si>
    <t>Reembolso Oscar Josue Perez Cascante  -BIPO SANY</t>
  </si>
  <si>
    <t>REEMBOLSO ENERO 2026 OSCAR JOSUE PEREZ CASCANTE-BIPO-CR010</t>
  </si>
  <si>
    <t>NOMINA 2026 JOSE DAVID CAMPOS JIMENEZ-EUROPORTAGE</t>
  </si>
  <si>
    <t>NOMINA 2026 MAUREN DEL CARMEN CARVAJAL RODRIGUEZ-EUROPORTAGE</t>
  </si>
  <si>
    <t>NOMINA 2026 NATALIA ARCE HERNANDEZ-EUROPORTAGE</t>
  </si>
  <si>
    <t>NOMINA 2026 RODRIGO ALBERTO BENAVIDES FALLAS-EUROPORTAGE</t>
  </si>
  <si>
    <t>BIPO -Enero 2026 -SANY - Fact Nro 190</t>
  </si>
  <si>
    <t>PAGO IMPUESTO DIVIDENDOS S&amp;P 2025</t>
  </si>
  <si>
    <t>Rte fte por declaración de remesas al exterior Facturación S&amp;P Colombia a S&amp;P CR Fact 6646</t>
  </si>
  <si>
    <t>Pago facturas casa Matriz</t>
  </si>
  <si>
    <t>Pago seguridad social e impuestos y  servicios Prof Alejandro</t>
  </si>
  <si>
    <t>Gastos y costos Periodo 01 al 22 febrero</t>
  </si>
  <si>
    <r>
      <t xml:space="preserve">Bubble -Enero 2026  Factura Nro </t>
    </r>
    <r>
      <rPr>
        <sz val="11"/>
        <rFont val="Calibri"/>
        <family val="2"/>
      </rPr>
      <t>218</t>
    </r>
  </si>
  <si>
    <t>BUBBLE -JANUARY 2025 - Fact Nro 217-218</t>
  </si>
  <si>
    <t>PAGO DE FACTURAS S&amp;P COLOMBIA Nro. 6481-6595-6642-6667</t>
  </si>
  <si>
    <t>FEBRERO 2026 BIPO</t>
  </si>
  <si>
    <t>BIPO -Febrero 2025 CATL Factura Nro 218</t>
  </si>
  <si>
    <t>BIPO -Febrero 2026 Doncheng Factura Nro 219</t>
  </si>
  <si>
    <r>
      <t>BIPO -Febrero 2025 CATL Factura N</t>
    </r>
    <r>
      <rPr>
        <sz val="11"/>
        <rFont val="Calibri"/>
        <family val="2"/>
      </rPr>
      <t>ro 218</t>
    </r>
  </si>
  <si>
    <t>REMOFIRST FEBRERO 2026</t>
  </si>
  <si>
    <t>Yillaris Karina Elis Peters</t>
  </si>
  <si>
    <t xml:space="preserve">Elizabeth Stephanie Vargas Salazar </t>
  </si>
  <si>
    <t>FEBRERO 2026 BUBBLE</t>
  </si>
  <si>
    <t>Oria Brito Vanega</t>
  </si>
  <si>
    <t>BIPO -Feb 2026 CATL</t>
  </si>
  <si>
    <t>DONGCHENG -Feb 2026</t>
  </si>
  <si>
    <t>Remofirst -Feb 2026</t>
  </si>
  <si>
    <t>BIPO-Feb 2026 SANY</t>
  </si>
  <si>
    <t>Bubble-Feb 2026</t>
  </si>
  <si>
    <t>Client: Remofirst Enero-Factura Nro 220</t>
  </si>
  <si>
    <r>
      <t xml:space="preserve">BIPO -Febrero 2026 SANY Factura Nro </t>
    </r>
    <r>
      <rPr>
        <sz val="11"/>
        <rFont val="Calibri"/>
        <family val="2"/>
      </rPr>
      <t>221</t>
    </r>
  </si>
  <si>
    <r>
      <t xml:space="preserve">Bubble -Febrero 2026  Factura Nro </t>
    </r>
    <r>
      <rPr>
        <sz val="11"/>
        <rFont val="Calibri"/>
        <family val="2"/>
      </rPr>
      <t>222</t>
    </r>
  </si>
  <si>
    <r>
      <t>Europortage -Enero 2025 Factura N</t>
    </r>
    <r>
      <rPr>
        <sz val="11"/>
        <rFont val="Calibri"/>
        <family val="2"/>
      </rPr>
      <t>ro 223</t>
    </r>
  </si>
  <si>
    <t>RFT0220260101003102766975D000</t>
  </si>
  <si>
    <t>RTF0820260101003102766975D00</t>
  </si>
  <si>
    <t>RFT1120260101003102766975D000</t>
  </si>
  <si>
    <t>Servicios profesionales Alejandro Echavarria Enero-CRC</t>
  </si>
  <si>
    <t>PAGO RETENCIÓN EN LA FUENTE ENERO NRO REFERENCIA TF0820260101003102766975D000</t>
  </si>
  <si>
    <t>7777202601521754111</t>
  </si>
  <si>
    <t>PAGO CCSS ENERO RECIBO 7777202601521754111</t>
  </si>
  <si>
    <t>PAGO GESTIONES ADMINISTRATIVAS ALEJANDRO ECHAVARRIA MES DE FEBRERO FACTURA Nro 45</t>
  </si>
  <si>
    <t>PAGO DE SERVICIOS PROFESIONALES ALEJANDRO ECHEVARRIA MES DE FEBRERO FACTURA Nro 46</t>
  </si>
  <si>
    <t>EUROPORTAGE -Febrero 2025  Nro 223</t>
  </si>
  <si>
    <t>Remofirst Febrero-Factura Nro 220</t>
  </si>
  <si>
    <t>BIPO -Febrero 2026 SANY Factura Nro 221</t>
  </si>
  <si>
    <t>EMSIÓN DE CERTIFICACIÓN BANCARIA PARA EL BAC COSTA RICA</t>
  </si>
  <si>
    <t>Emisión certificado bancario BAC panamá</t>
  </si>
  <si>
    <t>Yillary Karina Elis Peters-Uptown Remofisrt</t>
  </si>
  <si>
    <t>Mariano Josue Naranjo Masis  -Europortage-CR017</t>
  </si>
  <si>
    <t>Elizabeth Stephanie Vargas Salazar -Comrise Remofisrt</t>
  </si>
  <si>
    <t>TRANSFERENCIA DE FONDOS PARA PAGOS NOMINA ,SS E IMPUESTOS REMOFISRT,BIPO, EUROPORTAGE, BUBBLE FEBRERO 26</t>
  </si>
  <si>
    <t>Dólares</t>
  </si>
  <si>
    <t>Colones</t>
  </si>
  <si>
    <t>FEBRERO 2026 EUROPORTAGE</t>
  </si>
  <si>
    <t>Mariano Jose Naranjo</t>
  </si>
  <si>
    <t>Jose David Campos</t>
  </si>
  <si>
    <t>Total Colones</t>
  </si>
  <si>
    <t>Total USD</t>
  </si>
  <si>
    <t>NOMINA FEBRERO 2026- ORIA BRITO VANEGA-BUBBLE BPM-CR018</t>
  </si>
  <si>
    <t>Bubble -Febrero 2026  Factura Nro 222</t>
  </si>
  <si>
    <t>NOMINA 2026 MARIANO JOSUE NARANJO MASIS-EUROPORTAGE</t>
  </si>
  <si>
    <t>NOMINA FEBRERO 2026 RICARDO MANUEL GARRO RUIZ-BIPO</t>
  </si>
  <si>
    <t>NOMINA FEBRERO 2026 LUIS ANGEL VEGA DELGADO-BIPO-CR010</t>
  </si>
  <si>
    <t>NOMINA FEBRERO 2026 OSCAR JOSUE PEREZ CASCANTE-BIPO-CR010</t>
  </si>
  <si>
    <t>NOMINA FEBRERO 2026 JORGE ESTEBAN VALVERDE ESPINOZA-IPPC-CR011</t>
  </si>
  <si>
    <t>NOMINA FEBRERO 2026 TATIANA ARAYA POCHET-CZ-CR006</t>
  </si>
  <si>
    <t>NOMINA FEBRERO 2026 JONATHAN SALAZAR GARCIA-STARLIGHT-CR003</t>
  </si>
  <si>
    <t>NOMINA FEBRERO 2026 ELIZABETH STEPHANIE VARGAS SALAZAR-COMRISE INC (RF)</t>
  </si>
  <si>
    <t>NOMINA FEBRERO 2026 YILLARY KARINA ELLIS PETERS-UPTOWN MOOSE LLC (RF)</t>
  </si>
  <si>
    <t>NOMINA FEBRERO 2026 SHERYL GERTRUDIS CAMBRONERO ESTRADA-FLORES &amp; PELAEZ-PRADA PLLC-CR007</t>
  </si>
  <si>
    <t>NOMINA FEBRERO 2026 PRISCILLA GRACE POLSON-ALUMINATI-CR004</t>
  </si>
  <si>
    <t>NOMINA FEBRERO 2026 GILBERTO ESTEBAN SOLANO MENDEZ-BERKHEIMER ENTERPRISES LLC -CR009</t>
  </si>
  <si>
    <t>NOMINA FEBRERO 2026 JOSE ROBERTO AGUILAR BARRANTES-ALUMINATI-CR004</t>
  </si>
  <si>
    <t>Virginia Paola Salazar Hernandez   -Soul Innovations Ltd RF-CR016</t>
  </si>
  <si>
    <t>NOMINA FEBRERO 2026 VIRGINIA PAOLA SALAZAR HERNANDEZ -SOUL INNOVATIONS LTDA RF-CR016</t>
  </si>
  <si>
    <t>REEMBOLSO FEBRERO 2026 JOSE ROBERTO AGUILAR BARRANTES-ALUMINATI-CR004</t>
  </si>
  <si>
    <t>Reembolso José Roberto Aguilar Barrante-Aluminati-CR004</t>
  </si>
  <si>
    <t>Rte fte por declaración de remesas al exterior Facturación S&amp;P Colombia a S&amp;P CR Fact 6667</t>
  </si>
  <si>
    <t>Sin radicar</t>
  </si>
  <si>
    <t>Costos financiero</t>
  </si>
  <si>
    <t>Gastos y costos Periodo 01 al 22 Marzo</t>
  </si>
  <si>
    <t>REMOFIRST MARZO 2026</t>
  </si>
  <si>
    <t>Virginia Paola Salazar Hernandeaz</t>
  </si>
  <si>
    <t>Remofirst -Marz  2026</t>
  </si>
  <si>
    <t>MARZO 2026 EUROPORTAGE</t>
  </si>
  <si>
    <t>Europortage Marz 2026</t>
  </si>
  <si>
    <r>
      <t>Europortage -Marzo 2026 Factura N</t>
    </r>
    <r>
      <rPr>
        <sz val="11"/>
        <rFont val="Calibri"/>
        <family val="2"/>
      </rPr>
      <t>ro 225</t>
    </r>
  </si>
  <si>
    <t>Client: Remofirst Marzo 2026-Factura Nro 226</t>
  </si>
  <si>
    <t>Remofirst -Marz  2026 Ingreso</t>
  </si>
  <si>
    <t>Bubble-Marz 2026</t>
  </si>
  <si>
    <t>MARZO 2026 BUBBLE</t>
  </si>
  <si>
    <t>BIPO -Febrero 2026 Doncheng Factura Nro 229</t>
  </si>
  <si>
    <t>DONGCHENG -Marz 2026</t>
  </si>
  <si>
    <t>MARZO 2026 BIPO</t>
  </si>
  <si>
    <t>RFT1120260201003102766975I000</t>
  </si>
  <si>
    <t>Impuesto sobre las utilidades ISU</t>
  </si>
  <si>
    <t>ISU0220250101003102766975D000</t>
  </si>
  <si>
    <t>IMPUESTO SOBRE LAS UTILIDADES ISU</t>
  </si>
  <si>
    <t>Impuesto de timbre</t>
  </si>
  <si>
    <t>000100010001202603141834290073040</t>
  </si>
  <si>
    <t>IMPUESTO DE TIMBRE</t>
  </si>
  <si>
    <t>RETENCION EN LA FUENTE FEBRERO RTF0820260101003102766975D00</t>
  </si>
  <si>
    <t>RETENCION EN LA FUENTE POR DECLARACIÓN DE REMESAS AL EXTERIOR FACTURACIÓN S&amp;P Colombia A S&amp;P CR Fact 6667</t>
  </si>
  <si>
    <t>777720260252880509-1</t>
  </si>
  <si>
    <t>Pago CCSS Febrero</t>
  </si>
  <si>
    <t>PAGO CCSS FEBRERO RECIBO 777720260252880509-1</t>
  </si>
  <si>
    <t>Servicios profesionales Alejandro Echavarria Marzo- USD</t>
  </si>
  <si>
    <t>PAGO DE SERVICIOS PROFESIONALES ALEJANDRO ECHEVARRIA MES DE MARZO FACTURA Nro 47</t>
  </si>
  <si>
    <t>Europortage -Marzo 2026 Factura Nro 225</t>
  </si>
  <si>
    <t>BIPO-Marzo 2026 SANY</t>
  </si>
  <si>
    <r>
      <t xml:space="preserve">BIPO -Marzo 2026 SANY Factura Nro </t>
    </r>
    <r>
      <rPr>
        <sz val="11"/>
        <rFont val="Calibri"/>
        <family val="2"/>
      </rPr>
      <t>230</t>
    </r>
  </si>
  <si>
    <r>
      <t>BIPO -Marzo 2025 CATL Factura N</t>
    </r>
    <r>
      <rPr>
        <sz val="11"/>
        <rFont val="Calibri"/>
        <family val="2"/>
      </rPr>
      <t>ro 231</t>
    </r>
  </si>
  <si>
    <t>Client: Remofirst Marzo 2026-Factura Nro 224 Y 226</t>
  </si>
  <si>
    <t>BIPO -Marzo 2026 SANY Factura Nro 230</t>
  </si>
  <si>
    <t>BIPO -Marzo 2025 CATL Factura Nro 231</t>
  </si>
  <si>
    <t>NOMINA MARZO 2026 JORGE ESTEBAN VALVERDE ESPINOZA-IPPC-CR011</t>
  </si>
  <si>
    <t>NOMINA MARZO 2026 TATIANA ARAYA POCHET-CZ-CR006</t>
  </si>
  <si>
    <t xml:space="preserve">NOMINA MARZO 2026 BERNAL FALLAS BARBOZA-REMOFIRST - BERKHEIMER ENTERPRISES LLC </t>
  </si>
  <si>
    <t>NOMINA MARZO 2026- ORIA BRITO VANEGA-BUBBLE BPM-CR018</t>
  </si>
  <si>
    <t>NOMINA MARZO 2026 LUIS ANGEL VEGA DELGADO-BIPO-CR010</t>
  </si>
  <si>
    <t>NOMINA MARZO 2026 JONATHAN SALAZAR GARCIA-STARLIGHT-CR003</t>
  </si>
  <si>
    <t>NOMINA MARZO 2026 OSCAR JOSUE PEREZ CASCANTE-BIPO-CR010</t>
  </si>
  <si>
    <t>NOMINA MARZO 2026- ANGEL ALBERTO TORRES GONZALEZ-REMOFIRST - SKELLIG AUTOMATION US LLC-CR012</t>
  </si>
  <si>
    <t>NOMINA FEBRERO 2026- ANGEL ALBERTO TORRES GONZALEZ-REMOFIRST - SKELLIG AUTOMATION US LLC-CR012</t>
  </si>
  <si>
    <t xml:space="preserve">Gran total Colones </t>
  </si>
  <si>
    <t>Gran Total Dólares</t>
  </si>
  <si>
    <t>Saldo despues de pago BAC 29/03/2026</t>
  </si>
  <si>
    <t>Total nóminas</t>
  </si>
  <si>
    <t>Saldo BAC CRC 27/03/2026</t>
  </si>
  <si>
    <t>Faltante CRC</t>
  </si>
  <si>
    <t>Faltante USD</t>
  </si>
  <si>
    <t>TRANSFERENCIA DE FONDOS GASTOS FEE</t>
  </si>
  <si>
    <t>Mas gastos OF</t>
  </si>
  <si>
    <t>NOMINA MARZO 2026 GILBERTO ESTEBAN SOLANO MENDEZ-BERKHEIMER ENTERPRISES LLC -CR009</t>
  </si>
  <si>
    <t>NOMINA MARZO 2026 ELIZABETH STEPHANIE VARGAS SALAZAR-COMRISE INC (RF)</t>
  </si>
  <si>
    <t>NOMINA FEBRERO 2026 GEANINIA VILLALOBOS MOLINA-AIS VENTURE -CR015</t>
  </si>
  <si>
    <t>NOMINA MARZO 2026 YILLARY KARINA ELLIS PETERS-UPTOWN MOOSE LLC (RF)</t>
  </si>
  <si>
    <t>NOMINA MARZO 2026 RODRIGO ALBERTO BENAVIDES FALLAS-EUROPORTAGE</t>
  </si>
  <si>
    <t>NOMINA MARZO 2026 MARIANO JOSUE NARANJO MASIS-EUROPORTAGE</t>
  </si>
  <si>
    <t>NOMINA MARZO 2026 NATALIA ARCE HERNANDEZ-EUROPORTAGE</t>
  </si>
  <si>
    <t>NOMINA MARZO 2026 RICARDO MANUEL GARRO RUIZ-BIPO</t>
  </si>
  <si>
    <t>NOMINA MARZO 2026 JOSE ROBERTO AGUILAR BARRANTES-ALUMINATI-CR004</t>
  </si>
  <si>
    <t>NOMINA MARZO 2026 PRISCILLA GRACE POLSON-ALUMINATI-CR004</t>
  </si>
  <si>
    <t>NOMINA MARZO 2026 VIRGINIA PAOLA SALAZAR HERNANDEZ -SOUL INNOVATIONS LTDA RF-CR016</t>
  </si>
  <si>
    <t>NOMINA MARZO 2026 SHERYL GERTRUDIS CAMBRONERO ESTRADA-FLORES &amp; PELAEZ-PRADA PLLC-CR007</t>
  </si>
  <si>
    <t>NOMINA MARZO 2026 GEANINIA VILLALOBOS MOLINA-AIS VENTURE -CR015</t>
  </si>
  <si>
    <t>Reembolso Rodrigo Benavides Fallas-Europortage-CR017</t>
  </si>
  <si>
    <t>Reembolso Jose David Campos JImenez -Europortage-CR017</t>
  </si>
  <si>
    <t>A transferir</t>
  </si>
  <si>
    <t xml:space="preserve">A transferir </t>
  </si>
  <si>
    <t>TRANSFERENCIA DE FONDOS A LA CUENTA DE CRC PARA PAGOS  DE SEGURIDAD SOCIAL E IMPUESTOS EMPLEADOS</t>
  </si>
  <si>
    <t>REEMBOLSO GASTOS MARZO 2026 JOSE ROBERTO AGUILAR BARRANTES-ALUMINATI-CR004</t>
  </si>
  <si>
    <t>TRANSFERENCIA DE FONDOS GASTOS</t>
  </si>
  <si>
    <t>POLIZA SALUD EUROPORTAGE FACTURA NRO. 40190900000002</t>
  </si>
  <si>
    <t>Pago de poliza Salud Europortage</t>
  </si>
  <si>
    <t>40190900000002</t>
  </si>
  <si>
    <t>REEMBOLSO GASTOS MARZO 2026 RODRIGO ALBERTO BENAVIDES FALLAS-EUROPORTAGE</t>
  </si>
  <si>
    <t>REEMBOLSO GASTOS MARZO 2026 JOSE DAVID CAMPOS JIMENEZ-EUROPORTAGE</t>
  </si>
  <si>
    <t>Bubble -Febrero 2026  Factura Nro 228</t>
  </si>
  <si>
    <t>Client: Remofirst Abril 2026-Factura Nro XXX</t>
  </si>
  <si>
    <r>
      <t>Europortage -Abril 2026 Factura N</t>
    </r>
    <r>
      <rPr>
        <sz val="11"/>
        <rFont val="Calibri"/>
        <family val="2"/>
      </rPr>
      <t>ro XXX</t>
    </r>
  </si>
  <si>
    <r>
      <t xml:space="preserve">Bubble -Abril 2026  Factura Nro </t>
    </r>
    <r>
      <rPr>
        <sz val="11"/>
        <rFont val="Calibri"/>
        <family val="2"/>
      </rPr>
      <t>XXX</t>
    </r>
  </si>
  <si>
    <t>BIPO -Abril 2026 Doncheng Factura Nro XXX</t>
  </si>
  <si>
    <r>
      <t xml:space="preserve">Bubble -Marzo 2026  Factura Nro </t>
    </r>
    <r>
      <rPr>
        <sz val="11"/>
        <rFont val="Calibri"/>
        <family val="2"/>
      </rPr>
      <t>228</t>
    </r>
  </si>
  <si>
    <t>BIPO -Marzo 2026 Doncheng Factura Nro 229</t>
  </si>
  <si>
    <t>Client: Remofirst marzo 2026-Factura Nro 224</t>
  </si>
  <si>
    <r>
      <t xml:space="preserve">BIPO -Abril 2026 SANY Factura Nro </t>
    </r>
    <r>
      <rPr>
        <sz val="11"/>
        <rFont val="Calibri"/>
        <family val="2"/>
      </rPr>
      <t>XXX</t>
    </r>
  </si>
  <si>
    <r>
      <t>BIPO -Abril 2025 CATL Factura N</t>
    </r>
    <r>
      <rPr>
        <sz val="11"/>
        <rFont val="Calibri"/>
        <family val="2"/>
      </rPr>
      <t>ro XXX</t>
    </r>
  </si>
  <si>
    <t xml:space="preserve">Pago seguridad social e impuestos </t>
  </si>
  <si>
    <t>Gastos y costos Periodo 01 al 26 Abril</t>
  </si>
  <si>
    <t>Auxlios</t>
  </si>
  <si>
    <t xml:space="preserve">Imprevisto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</si>
</sst>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67" formatCode="&quot;$&quot;#,##0.00_);[Red]\(&quot;$&quot;#,##0.00\)"/>
    <numFmt numFmtId="168" formatCode="_(&quot;$&quot;* #,##0_);_(&quot;$&quot;* \(#,##0\);_(&quot;$&quot;* &quot;-&quot;_);_(@_)"/>
    <numFmt numFmtId="171" formatCode="_(* #,##0.00_);_(* \(#,##0.00\);_(* &quot;-&quot;??_);_(@_)"/>
    <numFmt numFmtId="190" formatCode="&quot;$&quot;\ #,##0.00_);[Red]\(&quot;$&quot;\ #,##0.00\)"/>
    <numFmt numFmtId="191" formatCode="_(&quot;$&quot;\ * #,##0.00_);_(&quot;$&quot;\ * \(#,##0.00\);_(&quot;$&quot;\ * &quot;-&quot;??_);_(@_)"/>
    <numFmt numFmtId="192" formatCode="&quot;$&quot;\ #,##0.00"/>
    <numFmt numFmtId="205" formatCode="[$USD]\ #,##0.00"/>
    <numFmt numFmtId="206" formatCode="_(&quot;$&quot;* #,##0.00_);_(&quot;$&quot;* \(#,##0.00\);_(&quot;$&quot;* &quot;-&quot;_);_(@_)"/>
    <numFmt numFmtId="207" formatCode="[$USD]\ #,##0.00;\-[$USD]\ #,##0.00"/>
    <numFmt numFmtId="208" formatCode="[$$-240A]\ #,##0"/>
    <numFmt numFmtId="209" formatCode=";\:;;"/>
    <numFmt numFmtId="210" formatCode=";;;"/>
    <numFmt numFmtId="211" formatCode="0.0%"/>
    <numFmt numFmtId="212" formatCode="_-[$CRC]\ * #,##0.00_-;\-[$CRC]\ * #,##0.00_-;_-[$CRC]\ * &quot;-&quot;??_-;_-@_-"/>
    <numFmt numFmtId="213" formatCode="[$CRC]\ #,##0.00"/>
    <numFmt numFmtId="214" formatCode="#,##0.00_ ;\-#,##0.00\ "/>
    <numFmt numFmtId="218" formatCode="[$CRC]\ #,##0"/>
    <numFmt numFmtId="219" formatCode="_-[$USD]\ * #,##0.00_-;\-[$USD]\ * #,##0.00_-;_-[$USD]\ * &quot;-&quot;??_-;_-@_-"/>
  </numFmts>
  <fonts count="67">
    <font>
      <sz val="11"/>
      <color theme="1"/>
      <name val="Calibri"/>
      <family val="2"/>
      <scheme val="minor"/>
    </font>
    <font>
      <b/>
      <sz val="9"/>
      <color indexed="8"/>
      <name val="Franklin Gothic Book"/>
      <family val="2"/>
    </font>
    <font>
      <b/>
      <sz val="9"/>
      <name val="Franklin Gothic Book"/>
      <family val="2"/>
    </font>
    <font>
      <sz val="9"/>
      <color indexed="8"/>
      <name val="Franklin Gothic Book"/>
      <family val="2"/>
    </font>
    <font>
      <sz val="9"/>
      <name val="Franklin Gothic Boo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11"/>
      <color indexed="12"/>
      <name val="Calibri"/>
      <family val="2"/>
    </font>
    <font>
      <b/>
      <sz val="11"/>
      <color indexed="12"/>
      <name val="Calibri"/>
      <family val="2"/>
    </font>
    <font>
      <b/>
      <sz val="11"/>
      <color indexed="12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i/>
      <u/>
      <sz val="11"/>
      <color indexed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ranklin Gothic Book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rgb="FF5B0AFC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33CC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0"/>
      <name val="Frutiger-Bold"/>
    </font>
    <font>
      <sz val="11"/>
      <color theme="0"/>
      <name val="Frutiger-Light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9"/>
      <color rgb="FF3333FF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1"/>
      <color rgb="FF0000CC"/>
      <name val="Calibri"/>
      <family val="2"/>
      <scheme val="minor"/>
    </font>
    <font>
      <b/>
      <sz val="12"/>
      <color rgb="FFEE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7030A0"/>
      <name val="Calibri"/>
      <family val="2"/>
      <scheme val="minor"/>
    </font>
    <font>
      <b/>
      <sz val="9"/>
      <color rgb="FF339966"/>
      <name val="Calibri"/>
      <family val="2"/>
      <scheme val="minor"/>
    </font>
    <font>
      <b/>
      <sz val="9"/>
      <color theme="5"/>
      <name val="Calibri"/>
      <family val="2"/>
      <scheme val="minor"/>
    </font>
    <font>
      <b/>
      <sz val="9"/>
      <color rgb="FF00009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FD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/>
      <top style="medium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ashed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medium">
        <color theme="1"/>
      </right>
      <top/>
      <bottom/>
      <diagonal/>
    </border>
  </borders>
  <cellStyleXfs count="15">
    <xf numFmtId="0" fontId="0" fillId="0" borderId="0"/>
    <xf numFmtId="171" fontId="25" fillId="0" borderId="0" applyFont="0" applyFill="0" applyBorder="0" applyAlignment="0" applyProtection="0"/>
    <xf numFmtId="191" fontId="25" fillId="0" borderId="0" applyFont="0" applyFill="0" applyBorder="0" applyAlignment="0" applyProtection="0"/>
    <xf numFmtId="168" fontId="2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7" fillId="0" borderId="0">
      <alignment vertical="center"/>
    </xf>
    <xf numFmtId="0" fontId="25" fillId="0" borderId="0"/>
    <xf numFmtId="0" fontId="28" fillId="0" borderId="0"/>
    <xf numFmtId="9" fontId="25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606">
    <xf numFmtId="0" fontId="0" fillId="0" borderId="0" xfId="0"/>
    <xf numFmtId="15" fontId="1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92" fontId="2" fillId="0" borderId="0" xfId="1" applyNumberFormat="1" applyFont="1" applyFill="1" applyAlignment="1">
      <alignment horizontal="center" vertical="center"/>
    </xf>
    <xf numFmtId="171" fontId="2" fillId="0" borderId="0" xfId="1" applyFont="1" applyAlignment="1">
      <alignment horizontal="center" vertical="center"/>
    </xf>
    <xf numFmtId="15" fontId="3" fillId="0" borderId="0" xfId="0" applyNumberFormat="1" applyFont="1" applyAlignment="1">
      <alignment horizontal="left" vertical="center"/>
    </xf>
    <xf numFmtId="15" fontId="4" fillId="0" borderId="0" xfId="0" applyNumberFormat="1" applyFont="1" applyFill="1" applyAlignment="1">
      <alignment vertical="center"/>
    </xf>
    <xf numFmtId="190" fontId="4" fillId="0" borderId="0" xfId="2" applyNumberFormat="1" applyFont="1" applyAlignment="1">
      <alignment vertical="center"/>
    </xf>
    <xf numFmtId="171" fontId="4" fillId="0" borderId="0" xfId="1" applyFont="1" applyAlignment="1">
      <alignment vertical="center"/>
    </xf>
    <xf numFmtId="0" fontId="4" fillId="0" borderId="0" xfId="0" applyFont="1" applyFill="1" applyAlignment="1">
      <alignment vertical="center"/>
    </xf>
    <xf numFmtId="0" fontId="31" fillId="0" borderId="0" xfId="0" applyFont="1"/>
    <xf numFmtId="171" fontId="31" fillId="0" borderId="0" xfId="1" applyFont="1"/>
    <xf numFmtId="171" fontId="31" fillId="0" borderId="0" xfId="1" applyFont="1" applyFill="1"/>
    <xf numFmtId="15" fontId="3" fillId="0" borderId="0" xfId="0" applyNumberFormat="1" applyFont="1" applyFill="1" applyAlignment="1">
      <alignment horizontal="left" vertical="center"/>
    </xf>
    <xf numFmtId="0" fontId="31" fillId="0" borderId="0" xfId="0" applyFont="1" applyFill="1"/>
    <xf numFmtId="171" fontId="32" fillId="0" borderId="0" xfId="1" applyFont="1" applyAlignment="1">
      <alignment vertical="center"/>
    </xf>
    <xf numFmtId="167" fontId="32" fillId="3" borderId="0" xfId="8" applyNumberFormat="1" applyFont="1" applyFill="1" applyAlignment="1">
      <alignment vertical="center"/>
    </xf>
    <xf numFmtId="15" fontId="3" fillId="3" borderId="0" xfId="0" applyNumberFormat="1" applyFont="1" applyFill="1" applyAlignment="1">
      <alignment horizontal="left" vertical="center"/>
    </xf>
    <xf numFmtId="0" fontId="31" fillId="3" borderId="0" xfId="0" applyFont="1" applyFill="1"/>
    <xf numFmtId="0" fontId="33" fillId="3" borderId="0" xfId="0" applyFont="1" applyFill="1"/>
    <xf numFmtId="171" fontId="2" fillId="0" borderId="0" xfId="1" applyFont="1" applyFill="1" applyAlignment="1">
      <alignment vertical="center"/>
    </xf>
    <xf numFmtId="171" fontId="33" fillId="3" borderId="0" xfId="1" applyFont="1" applyFill="1"/>
    <xf numFmtId="15" fontId="4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90" fontId="2" fillId="3" borderId="0" xfId="2" applyNumberFormat="1" applyFont="1" applyFill="1" applyAlignment="1">
      <alignment vertical="center"/>
    </xf>
    <xf numFmtId="171" fontId="4" fillId="0" borderId="0" xfId="1" applyFont="1" applyFill="1" applyAlignment="1">
      <alignment vertical="center"/>
    </xf>
    <xf numFmtId="190" fontId="4" fillId="0" borderId="0" xfId="2" applyNumberFormat="1" applyFont="1" applyFill="1" applyAlignment="1">
      <alignment vertical="center"/>
    </xf>
    <xf numFmtId="171" fontId="31" fillId="0" borderId="0" xfId="0" applyNumberFormat="1" applyFont="1" applyFill="1"/>
    <xf numFmtId="43" fontId="31" fillId="0" borderId="0" xfId="0" applyNumberFormat="1" applyFont="1"/>
    <xf numFmtId="171" fontId="31" fillId="3" borderId="0" xfId="1" applyFont="1" applyFill="1"/>
    <xf numFmtId="171" fontId="4" fillId="3" borderId="0" xfId="1" applyFont="1" applyFill="1" applyAlignment="1">
      <alignment vertical="center"/>
    </xf>
    <xf numFmtId="43" fontId="31" fillId="3" borderId="0" xfId="0" applyNumberFormat="1" applyFont="1" applyFill="1"/>
    <xf numFmtId="0" fontId="33" fillId="0" borderId="0" xfId="0" applyFont="1" applyFill="1"/>
    <xf numFmtId="43" fontId="31" fillId="0" borderId="0" xfId="0" applyNumberFormat="1" applyFont="1" applyFill="1"/>
    <xf numFmtId="171" fontId="33" fillId="0" borderId="0" xfId="1" applyFont="1" applyFill="1"/>
    <xf numFmtId="171" fontId="34" fillId="0" borderId="0" xfId="1" applyFont="1" applyFill="1"/>
    <xf numFmtId="0" fontId="2" fillId="0" borderId="0" xfId="0" applyFont="1" applyFill="1" applyAlignment="1">
      <alignment vertical="center"/>
    </xf>
    <xf numFmtId="167" fontId="32" fillId="0" borderId="0" xfId="8" applyNumberFormat="1" applyFont="1" applyFill="1" applyAlignment="1">
      <alignment vertical="center"/>
    </xf>
    <xf numFmtId="190" fontId="2" fillId="0" borderId="0" xfId="2" applyNumberFormat="1" applyFont="1" applyFill="1" applyAlignment="1">
      <alignment vertical="center"/>
    </xf>
    <xf numFmtId="171" fontId="32" fillId="0" borderId="0" xfId="1" applyFont="1" applyFill="1" applyAlignment="1">
      <alignment vertical="center"/>
    </xf>
    <xf numFmtId="171" fontId="2" fillId="0" borderId="0" xfId="1" applyFont="1" applyAlignment="1">
      <alignment vertical="center"/>
    </xf>
    <xf numFmtId="171" fontId="32" fillId="3" borderId="0" xfId="1" applyFont="1" applyFill="1" applyAlignment="1">
      <alignment vertical="center"/>
    </xf>
    <xf numFmtId="190" fontId="4" fillId="3" borderId="0" xfId="2" applyNumberFormat="1" applyFont="1" applyFill="1" applyAlignment="1">
      <alignment vertical="center"/>
    </xf>
    <xf numFmtId="171" fontId="34" fillId="3" borderId="0" xfId="1" applyFont="1" applyFill="1"/>
    <xf numFmtId="0" fontId="34" fillId="0" borderId="0" xfId="0" applyFont="1" applyFill="1"/>
    <xf numFmtId="0" fontId="31" fillId="0" borderId="0" xfId="0" applyFont="1" applyFill="1" applyAlignment="1">
      <alignment horizontal="center"/>
    </xf>
    <xf numFmtId="0" fontId="35" fillId="0" borderId="0" xfId="0" applyFont="1" applyFill="1"/>
    <xf numFmtId="43" fontId="35" fillId="0" borderId="0" xfId="0" applyNumberFormat="1" applyFont="1" applyFill="1"/>
    <xf numFmtId="9" fontId="36" fillId="0" borderId="0" xfId="13" applyFont="1" applyFill="1" applyAlignment="1">
      <alignment horizontal="center"/>
    </xf>
    <xf numFmtId="0" fontId="33" fillId="0" borderId="0" xfId="0" applyFont="1"/>
    <xf numFmtId="43" fontId="33" fillId="0" borderId="0" xfId="0" applyNumberFormat="1" applyFont="1"/>
    <xf numFmtId="0" fontId="31" fillId="4" borderId="0" xfId="0" applyFont="1" applyFill="1"/>
    <xf numFmtId="171" fontId="37" fillId="0" borderId="0" xfId="1" applyFont="1"/>
    <xf numFmtId="43" fontId="31" fillId="5" borderId="0" xfId="0" applyNumberFormat="1" applyFont="1" applyFill="1"/>
    <xf numFmtId="0" fontId="33" fillId="0" borderId="0" xfId="0" applyFont="1" applyAlignment="1">
      <alignment horizontal="center"/>
    </xf>
    <xf numFmtId="0" fontId="35" fillId="0" borderId="0" xfId="0" applyFont="1"/>
    <xf numFmtId="0" fontId="31" fillId="0" borderId="0" xfId="0" applyFont="1" applyFill="1" applyAlignment="1">
      <alignment horizontal="center" wrapText="1"/>
    </xf>
    <xf numFmtId="0" fontId="31" fillId="0" borderId="0" xfId="0" applyFont="1" applyAlignment="1">
      <alignment horizontal="center" wrapText="1"/>
    </xf>
    <xf numFmtId="171" fontId="31" fillId="5" borderId="0" xfId="0" applyNumberFormat="1" applyFont="1" applyFill="1"/>
    <xf numFmtId="43" fontId="31" fillId="6" borderId="0" xfId="0" applyNumberFormat="1" applyFont="1" applyFill="1"/>
    <xf numFmtId="0" fontId="30" fillId="0" borderId="1" xfId="0" applyFont="1" applyBorder="1"/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wrapText="1"/>
    </xf>
    <xf numFmtId="0" fontId="0" fillId="3" borderId="2" xfId="0" applyFill="1" applyBorder="1"/>
    <xf numFmtId="0" fontId="0" fillId="3" borderId="3" xfId="0" applyFill="1" applyBorder="1"/>
    <xf numFmtId="205" fontId="0" fillId="3" borderId="3" xfId="0" applyNumberFormat="1" applyFill="1" applyBorder="1"/>
    <xf numFmtId="9" fontId="25" fillId="3" borderId="3" xfId="13" applyFont="1" applyFill="1" applyBorder="1"/>
    <xf numFmtId="205" fontId="0" fillId="5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205" fontId="0" fillId="3" borderId="6" xfId="0" applyNumberFormat="1" applyFill="1" applyBorder="1"/>
    <xf numFmtId="9" fontId="25" fillId="3" borderId="6" xfId="13" applyFont="1" applyFill="1" applyBorder="1"/>
    <xf numFmtId="205" fontId="0" fillId="5" borderId="7" xfId="0" applyNumberFormat="1" applyFill="1" applyBorder="1"/>
    <xf numFmtId="0" fontId="0" fillId="3" borderId="8" xfId="0" applyFill="1" applyBorder="1"/>
    <xf numFmtId="0" fontId="0" fillId="3" borderId="9" xfId="0" applyFill="1" applyBorder="1"/>
    <xf numFmtId="205" fontId="0" fillId="3" borderId="9" xfId="0" applyNumberFormat="1" applyFill="1" applyBorder="1"/>
    <xf numFmtId="9" fontId="25" fillId="3" borderId="9" xfId="13" applyFont="1" applyFill="1" applyBorder="1"/>
    <xf numFmtId="205" fontId="0" fillId="5" borderId="10" xfId="0" applyNumberFormat="1" applyFill="1" applyBorder="1"/>
    <xf numFmtId="9" fontId="30" fillId="0" borderId="1" xfId="0" applyNumberFormat="1" applyFont="1" applyBorder="1"/>
    <xf numFmtId="205" fontId="30" fillId="0" borderId="1" xfId="0" applyNumberFormat="1" applyFont="1" applyBorder="1"/>
    <xf numFmtId="205" fontId="30" fillId="0" borderId="0" xfId="0" applyNumberFormat="1" applyFont="1"/>
    <xf numFmtId="205" fontId="0" fillId="0" borderId="0" xfId="0" applyNumberFormat="1"/>
    <xf numFmtId="9" fontId="25" fillId="0" borderId="0" xfId="13" applyFont="1"/>
    <xf numFmtId="9" fontId="30" fillId="0" borderId="0" xfId="0" applyNumberFormat="1" applyFont="1"/>
    <xf numFmtId="43" fontId="33" fillId="0" borderId="0" xfId="0" applyNumberFormat="1" applyFont="1" applyFill="1"/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168" fontId="38" fillId="0" borderId="0" xfId="3" applyFont="1" applyBorder="1" applyAlignment="1">
      <alignment horizontal="center"/>
    </xf>
    <xf numFmtId="0" fontId="39" fillId="0" borderId="0" xfId="10" applyFont="1" applyAlignment="1" applyProtection="1">
      <protection locked="0"/>
    </xf>
    <xf numFmtId="171" fontId="25" fillId="0" borderId="0" xfId="1" applyFont="1" applyFill="1" applyBorder="1"/>
    <xf numFmtId="0" fontId="40" fillId="0" borderId="0" xfId="12" applyFont="1"/>
    <xf numFmtId="0" fontId="30" fillId="0" borderId="0" xfId="11" applyFont="1" applyAlignment="1">
      <alignment horizontal="right"/>
    </xf>
    <xf numFmtId="0" fontId="30" fillId="0" borderId="0" xfId="11" applyFont="1"/>
    <xf numFmtId="168" fontId="41" fillId="0" borderId="0" xfId="3" applyFont="1" applyFill="1" applyBorder="1" applyAlignment="1" applyProtection="1">
      <alignment horizontal="center" vertical="top"/>
    </xf>
    <xf numFmtId="0" fontId="42" fillId="0" borderId="0" xfId="10" applyFont="1" applyAlignment="1" applyProtection="1">
      <alignment horizontal="center" vertical="center"/>
      <protection locked="0"/>
    </xf>
    <xf numFmtId="0" fontId="40" fillId="7" borderId="31" xfId="10" applyFont="1" applyFill="1" applyBorder="1" applyAlignment="1">
      <alignment horizontal="left" vertical="center"/>
    </xf>
    <xf numFmtId="205" fontId="40" fillId="7" borderId="31" xfId="3" applyNumberFormat="1" applyFont="1" applyFill="1" applyBorder="1" applyAlignment="1" applyProtection="1">
      <alignment vertical="top"/>
    </xf>
    <xf numFmtId="3" fontId="42" fillId="0" borderId="0" xfId="10" applyNumberFormat="1" applyFont="1" applyAlignment="1" applyProtection="1">
      <alignment horizontal="center" vertical="center"/>
      <protection locked="0"/>
    </xf>
    <xf numFmtId="0" fontId="39" fillId="0" borderId="0" xfId="10" applyFont="1" applyAlignment="1" applyProtection="1">
      <alignment horizontal="center"/>
      <protection locked="0"/>
    </xf>
    <xf numFmtId="0" fontId="39" fillId="0" borderId="0" xfId="10" applyFont="1" applyAlignment="1">
      <alignment horizontal="left" wrapText="1" indent="1"/>
    </xf>
    <xf numFmtId="207" fontId="25" fillId="0" borderId="0" xfId="1" applyNumberFormat="1" applyFont="1" applyFill="1" applyBorder="1"/>
    <xf numFmtId="0" fontId="29" fillId="0" borderId="0" xfId="10" applyFont="1" applyAlignment="1" applyProtection="1">
      <protection locked="0"/>
    </xf>
    <xf numFmtId="0" fontId="40" fillId="7" borderId="32" xfId="10" applyFont="1" applyFill="1" applyBorder="1" applyAlignment="1">
      <alignment horizontal="left" vertical="center"/>
    </xf>
    <xf numFmtId="206" fontId="29" fillId="0" borderId="0" xfId="10" applyNumberFormat="1" applyFont="1" applyAlignment="1" applyProtection="1">
      <protection locked="0"/>
    </xf>
    <xf numFmtId="0" fontId="25" fillId="0" borderId="0" xfId="10" applyFont="1" applyAlignment="1">
      <alignment horizontal="left" wrapText="1" indent="1"/>
    </xf>
    <xf numFmtId="168" fontId="25" fillId="0" borderId="0" xfId="3" applyFont="1" applyFill="1" applyBorder="1" applyAlignment="1" applyProtection="1">
      <alignment vertical="top"/>
    </xf>
    <xf numFmtId="168" fontId="39" fillId="0" borderId="0" xfId="10" applyNumberFormat="1" applyFont="1" applyAlignment="1" applyProtection="1">
      <protection locked="0"/>
    </xf>
    <xf numFmtId="0" fontId="43" fillId="8" borderId="0" xfId="12" applyFont="1" applyFill="1"/>
    <xf numFmtId="168" fontId="41" fillId="0" borderId="0" xfId="3" applyFont="1" applyFill="1" applyBorder="1" applyAlignment="1" applyProtection="1">
      <alignment vertical="top"/>
    </xf>
    <xf numFmtId="9" fontId="39" fillId="0" borderId="0" xfId="14" applyFont="1" applyBorder="1" applyAlignment="1" applyProtection="1">
      <protection locked="0"/>
    </xf>
    <xf numFmtId="168" fontId="41" fillId="0" borderId="0" xfId="3" applyFont="1" applyFill="1" applyBorder="1" applyAlignment="1" applyProtection="1">
      <protection locked="0"/>
    </xf>
    <xf numFmtId="168" fontId="41" fillId="0" borderId="0" xfId="10" applyNumberFormat="1" applyFont="1" applyAlignment="1" applyProtection="1">
      <protection locked="0"/>
    </xf>
    <xf numFmtId="208" fontId="39" fillId="0" borderId="0" xfId="10" applyNumberFormat="1" applyFont="1" applyAlignment="1" applyProtection="1">
      <protection locked="0"/>
    </xf>
    <xf numFmtId="0" fontId="43" fillId="0" borderId="0" xfId="12" applyFont="1"/>
    <xf numFmtId="168" fontId="43" fillId="0" borderId="0" xfId="3" applyFont="1" applyFill="1"/>
    <xf numFmtId="9" fontId="44" fillId="0" borderId="0" xfId="14" applyFont="1" applyBorder="1" applyAlignment="1" applyProtection="1">
      <protection locked="0"/>
    </xf>
    <xf numFmtId="0" fontId="41" fillId="0" borderId="0" xfId="10" applyFont="1" applyAlignment="1" applyProtection="1">
      <protection locked="0"/>
    </xf>
    <xf numFmtId="168" fontId="45" fillId="0" borderId="0" xfId="10" applyNumberFormat="1" applyFont="1" applyAlignment="1" applyProtection="1">
      <alignment horizontal="center" vertical="center"/>
      <protection locked="0"/>
    </xf>
    <xf numFmtId="0" fontId="46" fillId="0" borderId="0" xfId="10" applyFont="1" applyAlignment="1" applyProtection="1">
      <alignment horizontal="center" vertical="center"/>
      <protection locked="0"/>
    </xf>
    <xf numFmtId="0" fontId="41" fillId="0" borderId="0" xfId="10" applyFont="1" applyAlignment="1" applyProtection="1">
      <alignment horizontal="center"/>
      <protection locked="0"/>
    </xf>
    <xf numFmtId="0" fontId="41" fillId="0" borderId="0" xfId="10" applyFont="1" applyAlignment="1">
      <alignment horizontal="left" wrapText="1" indent="1"/>
    </xf>
    <xf numFmtId="0" fontId="41" fillId="0" borderId="0" xfId="10" applyFont="1" applyAlignment="1" applyProtection="1">
      <alignment wrapText="1"/>
      <protection locked="0"/>
    </xf>
    <xf numFmtId="0" fontId="41" fillId="0" borderId="0" xfId="10" applyFont="1" applyAlignment="1" applyProtection="1">
      <alignment horizontal="center" wrapText="1"/>
      <protection locked="0"/>
    </xf>
    <xf numFmtId="0" fontId="45" fillId="0" borderId="0" xfId="10" applyFont="1" applyAlignment="1" applyProtection="1">
      <alignment horizontal="center" vertical="center"/>
      <protection locked="0"/>
    </xf>
    <xf numFmtId="9" fontId="39" fillId="0" borderId="0" xfId="14" applyFont="1" applyFill="1" applyBorder="1" applyAlignment="1" applyProtection="1">
      <alignment horizontal="center"/>
      <protection locked="0"/>
    </xf>
    <xf numFmtId="0" fontId="47" fillId="2" borderId="11" xfId="10" applyFont="1" applyFill="1" applyBorder="1" applyAlignment="1">
      <alignment horizontal="left" vertical="center"/>
    </xf>
    <xf numFmtId="205" fontId="47" fillId="2" borderId="12" xfId="3" applyNumberFormat="1" applyFont="1" applyFill="1" applyBorder="1" applyAlignment="1" applyProtection="1">
      <alignment horizontal="right" vertical="center"/>
    </xf>
    <xf numFmtId="14" fontId="39" fillId="0" borderId="0" xfId="10" applyNumberFormat="1" applyFont="1" applyAlignment="1" applyProtection="1">
      <protection locked="0"/>
    </xf>
    <xf numFmtId="209" fontId="39" fillId="0" borderId="0" xfId="14" applyNumberFormat="1" applyFont="1" applyBorder="1" applyAlignment="1" applyProtection="1">
      <protection locked="0"/>
    </xf>
    <xf numFmtId="210" fontId="39" fillId="0" borderId="0" xfId="10" applyNumberFormat="1" applyFont="1" applyAlignment="1" applyProtection="1">
      <alignment horizontal="center"/>
      <protection locked="0"/>
    </xf>
    <xf numFmtId="209" fontId="39" fillId="0" borderId="0" xfId="14" applyNumberFormat="1" applyFont="1" applyFill="1" applyBorder="1" applyAlignment="1" applyProtection="1">
      <protection locked="0"/>
    </xf>
    <xf numFmtId="168" fontId="39" fillId="0" borderId="0" xfId="10" applyNumberFormat="1" applyFont="1" applyAlignment="1" applyProtection="1">
      <alignment horizontal="center"/>
      <protection locked="0"/>
    </xf>
    <xf numFmtId="14" fontId="25" fillId="0" borderId="0" xfId="10" applyNumberFormat="1" applyFont="1" applyAlignment="1" applyProtection="1">
      <protection locked="0"/>
    </xf>
    <xf numFmtId="168" fontId="39" fillId="0" borderId="0" xfId="3" applyFont="1" applyFill="1" applyBorder="1" applyAlignment="1" applyProtection="1">
      <alignment vertical="top"/>
    </xf>
    <xf numFmtId="0" fontId="29" fillId="0" borderId="0" xfId="10" applyFont="1" applyAlignment="1" applyProtection="1">
      <alignment horizontal="center"/>
      <protection locked="0"/>
    </xf>
    <xf numFmtId="205" fontId="25" fillId="0" borderId="0" xfId="3" applyNumberFormat="1" applyFont="1" applyFill="1" applyBorder="1" applyAlignment="1" applyProtection="1">
      <alignment horizontal="right" vertical="top"/>
    </xf>
    <xf numFmtId="49" fontId="39" fillId="0" borderId="0" xfId="10" applyNumberFormat="1" applyFont="1" applyAlignment="1" applyProtection="1">
      <alignment horizontal="center" wrapText="1"/>
      <protection locked="0"/>
    </xf>
    <xf numFmtId="0" fontId="48" fillId="2" borderId="11" xfId="10" applyFont="1" applyFill="1" applyBorder="1" applyAlignment="1">
      <alignment horizontal="left" vertical="center"/>
    </xf>
    <xf numFmtId="205" fontId="48" fillId="2" borderId="12" xfId="3" applyNumberFormat="1" applyFont="1" applyFill="1" applyBorder="1" applyAlignment="1" applyProtection="1">
      <alignment horizontal="right" vertical="center"/>
    </xf>
    <xf numFmtId="0" fontId="25" fillId="0" borderId="0" xfId="10" applyFont="1" applyAlignment="1" applyProtection="1">
      <alignment horizontal="center"/>
      <protection locked="0"/>
    </xf>
    <xf numFmtId="205" fontId="39" fillId="0" borderId="0" xfId="3" applyNumberFormat="1" applyFont="1" applyFill="1" applyBorder="1" applyAlignment="1" applyProtection="1">
      <alignment horizontal="right" vertical="top"/>
    </xf>
    <xf numFmtId="211" fontId="39" fillId="0" borderId="0" xfId="14" applyNumberFormat="1" applyFont="1" applyFill="1" applyBorder="1" applyAlignment="1" applyProtection="1">
      <protection locked="0"/>
    </xf>
    <xf numFmtId="0" fontId="29" fillId="0" borderId="0" xfId="10" applyFont="1" applyAlignment="1" applyProtection="1">
      <alignment horizontal="center" wrapText="1"/>
      <protection locked="0"/>
    </xf>
    <xf numFmtId="0" fontId="49" fillId="0" borderId="0" xfId="10" applyFont="1" applyAlignment="1" applyProtection="1">
      <alignment horizontal="center"/>
      <protection locked="0"/>
    </xf>
    <xf numFmtId="0" fontId="39" fillId="0" borderId="0" xfId="10" applyFont="1" applyAlignment="1" applyProtection="1">
      <alignment horizontal="center" wrapText="1"/>
      <protection locked="0"/>
    </xf>
    <xf numFmtId="0" fontId="26" fillId="9" borderId="0" xfId="11" applyFont="1" applyFill="1"/>
    <xf numFmtId="205" fontId="43" fillId="9" borderId="13" xfId="3" applyNumberFormat="1" applyFont="1" applyFill="1" applyBorder="1" applyAlignment="1" applyProtection="1">
      <alignment horizontal="right" vertical="top"/>
    </xf>
    <xf numFmtId="205" fontId="25" fillId="0" borderId="0" xfId="3" applyNumberFormat="1" applyFont="1" applyFill="1" applyBorder="1" applyAlignment="1">
      <alignment horizontal="right"/>
    </xf>
    <xf numFmtId="3" fontId="43" fillId="10" borderId="0" xfId="10" applyNumberFormat="1" applyFont="1" applyFill="1" applyAlignment="1">
      <alignment vertical="top"/>
    </xf>
    <xf numFmtId="0" fontId="50" fillId="11" borderId="0" xfId="12" applyFont="1" applyFill="1"/>
    <xf numFmtId="205" fontId="43" fillId="11" borderId="0" xfId="3" applyNumberFormat="1" applyFont="1" applyFill="1" applyAlignment="1">
      <alignment horizontal="right"/>
    </xf>
    <xf numFmtId="168" fontId="25" fillId="0" borderId="0" xfId="11" applyNumberFormat="1"/>
    <xf numFmtId="210" fontId="25" fillId="0" borderId="0" xfId="11" applyNumberFormat="1" applyAlignment="1">
      <alignment horizontal="center"/>
    </xf>
    <xf numFmtId="10" fontId="51" fillId="11" borderId="0" xfId="12" applyNumberFormat="1" applyFont="1" applyFill="1" applyAlignment="1">
      <alignment horizontal="right"/>
    </xf>
    <xf numFmtId="168" fontId="25" fillId="0" borderId="0" xfId="11" applyNumberFormat="1" applyAlignment="1">
      <alignment horizontal="right"/>
    </xf>
    <xf numFmtId="210" fontId="25" fillId="0" borderId="0" xfId="11" applyNumberFormat="1"/>
    <xf numFmtId="168" fontId="30" fillId="0" borderId="0" xfId="11" applyNumberFormat="1" applyFont="1"/>
    <xf numFmtId="0" fontId="25" fillId="0" borderId="0" xfId="11"/>
    <xf numFmtId="0" fontId="40" fillId="12" borderId="0" xfId="12" applyFont="1" applyFill="1"/>
    <xf numFmtId="14" fontId="40" fillId="12" borderId="0" xfId="12" applyNumberFormat="1" applyFont="1" applyFill="1" applyAlignment="1">
      <alignment horizontal="center"/>
    </xf>
    <xf numFmtId="0" fontId="52" fillId="0" borderId="0" xfId="12" applyFont="1"/>
    <xf numFmtId="0" fontId="25" fillId="0" borderId="0" xfId="12" applyFont="1"/>
    <xf numFmtId="14" fontId="28" fillId="0" borderId="0" xfId="12" applyNumberFormat="1"/>
    <xf numFmtId="14" fontId="25" fillId="0" borderId="0" xfId="12" applyNumberFormat="1" applyFont="1"/>
    <xf numFmtId="9" fontId="25" fillId="0" borderId="0" xfId="14" applyFont="1" applyAlignment="1"/>
    <xf numFmtId="212" fontId="40" fillId="7" borderId="31" xfId="3" applyNumberFormat="1" applyFont="1" applyFill="1" applyBorder="1" applyAlignment="1" applyProtection="1">
      <alignment vertical="top"/>
    </xf>
    <xf numFmtId="213" fontId="40" fillId="8" borderId="0" xfId="3" applyNumberFormat="1" applyFont="1" applyFill="1"/>
    <xf numFmtId="213" fontId="25" fillId="0" borderId="0" xfId="1" applyNumberFormat="1" applyFont="1" applyFill="1" applyBorder="1"/>
    <xf numFmtId="213" fontId="39" fillId="0" borderId="0" xfId="3" applyNumberFormat="1" applyFont="1" applyFill="1" applyBorder="1" applyAlignment="1" applyProtection="1">
      <alignment vertical="top"/>
    </xf>
    <xf numFmtId="213" fontId="43" fillId="9" borderId="13" xfId="3" applyNumberFormat="1" applyFont="1" applyFill="1" applyBorder="1" applyAlignment="1" applyProtection="1">
      <alignment vertical="top"/>
    </xf>
    <xf numFmtId="213" fontId="47" fillId="2" borderId="12" xfId="3" applyNumberFormat="1" applyFont="1" applyFill="1" applyBorder="1" applyAlignment="1" applyProtection="1">
      <alignment horizontal="right" vertical="center"/>
    </xf>
    <xf numFmtId="213" fontId="48" fillId="2" borderId="12" xfId="3" applyNumberFormat="1" applyFont="1" applyFill="1" applyBorder="1" applyAlignment="1" applyProtection="1">
      <alignment horizontal="right" vertical="center"/>
    </xf>
    <xf numFmtId="0" fontId="39" fillId="0" borderId="0" xfId="10" applyFont="1" applyFill="1" applyAlignment="1">
      <alignment horizontal="left" wrapText="1" indent="1"/>
    </xf>
    <xf numFmtId="0" fontId="29" fillId="0" borderId="0" xfId="10" applyFont="1" applyFill="1" applyAlignment="1" applyProtection="1">
      <alignment horizontal="center" wrapText="1"/>
      <protection locked="0"/>
    </xf>
    <xf numFmtId="0" fontId="39" fillId="0" borderId="0" xfId="10" applyFont="1" applyFill="1" applyAlignment="1" applyProtection="1">
      <alignment horizontal="center"/>
      <protection locked="0"/>
    </xf>
    <xf numFmtId="14" fontId="39" fillId="0" borderId="0" xfId="10" applyNumberFormat="1" applyFont="1" applyFill="1" applyAlignment="1" applyProtection="1">
      <protection locked="0"/>
    </xf>
    <xf numFmtId="0" fontId="39" fillId="0" borderId="0" xfId="10" applyFont="1" applyFill="1" applyAlignment="1" applyProtection="1">
      <protection locked="0"/>
    </xf>
    <xf numFmtId="168" fontId="39" fillId="10" borderId="0" xfId="10" applyNumberFormat="1" applyFont="1" applyFill="1" applyAlignment="1" applyProtection="1">
      <protection locked="0"/>
    </xf>
    <xf numFmtId="0" fontId="39" fillId="10" borderId="0" xfId="10" applyFont="1" applyFill="1" applyAlignment="1" applyProtection="1">
      <protection locked="0"/>
    </xf>
    <xf numFmtId="9" fontId="39" fillId="10" borderId="0" xfId="14" applyFont="1" applyFill="1" applyBorder="1" applyAlignment="1" applyProtection="1">
      <protection locked="0"/>
    </xf>
    <xf numFmtId="213" fontId="43" fillId="11" borderId="0" xfId="3" applyNumberFormat="1" applyFont="1" applyFill="1"/>
    <xf numFmtId="14" fontId="25" fillId="0" borderId="14" xfId="11" applyNumberFormat="1" applyBorder="1"/>
    <xf numFmtId="14" fontId="39" fillId="0" borderId="15" xfId="10" applyNumberFormat="1" applyFont="1" applyBorder="1" applyAlignment="1" applyProtection="1">
      <protection locked="0"/>
    </xf>
    <xf numFmtId="168" fontId="30" fillId="0" borderId="0" xfId="3" applyFont="1" applyFill="1" applyBorder="1"/>
    <xf numFmtId="213" fontId="43" fillId="9" borderId="16" xfId="3" applyNumberFormat="1" applyFont="1" applyFill="1" applyBorder="1" applyAlignment="1" applyProtection="1">
      <alignment vertical="top"/>
    </xf>
    <xf numFmtId="14" fontId="25" fillId="0" borderId="17" xfId="11" applyNumberFormat="1" applyBorder="1"/>
    <xf numFmtId="14" fontId="39" fillId="0" borderId="18" xfId="10" applyNumberFormat="1" applyFont="1" applyBorder="1" applyAlignment="1" applyProtection="1">
      <protection locked="0"/>
    </xf>
    <xf numFmtId="0" fontId="52" fillId="13" borderId="19" xfId="0" applyFont="1" applyFill="1" applyBorder="1"/>
    <xf numFmtId="0" fontId="52" fillId="13" borderId="20" xfId="0" applyFont="1" applyFill="1" applyBorder="1"/>
    <xf numFmtId="0" fontId="52" fillId="13" borderId="21" xfId="0" applyFont="1" applyFill="1" applyBorder="1"/>
    <xf numFmtId="14" fontId="25" fillId="0" borderId="22" xfId="11" applyNumberFormat="1" applyBorder="1"/>
    <xf numFmtId="14" fontId="39" fillId="0" borderId="23" xfId="10" applyNumberFormat="1" applyFont="1" applyBorder="1" applyAlignment="1" applyProtection="1">
      <protection locked="0"/>
    </xf>
    <xf numFmtId="213" fontId="41" fillId="0" borderId="0" xfId="3" applyNumberFormat="1" applyFont="1" applyFill="1" applyBorder="1" applyAlignment="1" applyProtection="1">
      <alignment vertical="top"/>
    </xf>
    <xf numFmtId="213" fontId="39" fillId="0" borderId="23" xfId="3" applyNumberFormat="1" applyFont="1" applyFill="1" applyBorder="1" applyAlignment="1" applyProtection="1">
      <alignment vertical="top"/>
    </xf>
    <xf numFmtId="213" fontId="39" fillId="0" borderId="15" xfId="3" applyNumberFormat="1" applyFont="1" applyFill="1" applyBorder="1" applyAlignment="1" applyProtection="1">
      <alignment vertical="top"/>
    </xf>
    <xf numFmtId="213" fontId="39" fillId="0" borderId="18" xfId="3" applyNumberFormat="1" applyFont="1" applyFill="1" applyBorder="1" applyAlignment="1" applyProtection="1">
      <alignment vertical="top"/>
    </xf>
    <xf numFmtId="205" fontId="39" fillId="0" borderId="0" xfId="3" applyNumberFormat="1" applyFont="1" applyFill="1" applyBorder="1" applyAlignment="1" applyProtection="1">
      <alignment vertical="top"/>
    </xf>
    <xf numFmtId="205" fontId="41" fillId="0" borderId="0" xfId="3" applyNumberFormat="1" applyFont="1" applyFill="1" applyBorder="1" applyAlignment="1" applyProtection="1">
      <alignment vertical="top"/>
    </xf>
    <xf numFmtId="205" fontId="43" fillId="9" borderId="16" xfId="3" applyNumberFormat="1" applyFont="1" applyFill="1" applyBorder="1" applyAlignment="1" applyProtection="1">
      <alignment horizontal="right" vertical="top"/>
    </xf>
    <xf numFmtId="205" fontId="39" fillId="0" borderId="24" xfId="3" applyNumberFormat="1" applyFont="1" applyFill="1" applyBorder="1" applyAlignment="1" applyProtection="1">
      <alignment vertical="top"/>
    </xf>
    <xf numFmtId="205" fontId="39" fillId="0" borderId="25" xfId="3" applyNumberFormat="1" applyFont="1" applyFill="1" applyBorder="1" applyAlignment="1" applyProtection="1">
      <alignment vertical="top"/>
    </xf>
    <xf numFmtId="205" fontId="39" fillId="0" borderId="26" xfId="3" applyNumberFormat="1" applyFont="1" applyFill="1" applyBorder="1" applyAlignment="1" applyProtection="1">
      <alignment vertical="top"/>
    </xf>
    <xf numFmtId="213" fontId="25" fillId="0" borderId="0" xfId="11" applyNumberFormat="1" applyAlignment="1"/>
    <xf numFmtId="213" fontId="30" fillId="0" borderId="0" xfId="11" applyNumberFormat="1" applyFont="1" applyAlignment="1"/>
    <xf numFmtId="205" fontId="25" fillId="0" borderId="0" xfId="11" applyNumberFormat="1"/>
    <xf numFmtId="205" fontId="40" fillId="8" borderId="0" xfId="3" applyNumberFormat="1" applyFont="1" applyFill="1"/>
    <xf numFmtId="0" fontId="0" fillId="0" borderId="6" xfId="0" applyBorder="1" applyAlignment="1">
      <alignment wrapText="1"/>
    </xf>
    <xf numFmtId="207" fontId="25" fillId="0" borderId="6" xfId="1" applyNumberFormat="1" applyFont="1" applyFill="1" applyBorder="1"/>
    <xf numFmtId="0" fontId="0" fillId="0" borderId="6" xfId="0" applyBorder="1"/>
    <xf numFmtId="14" fontId="25" fillId="0" borderId="6" xfId="1" applyNumberFormat="1" applyFont="1" applyFill="1" applyBorder="1"/>
    <xf numFmtId="43" fontId="0" fillId="0" borderId="0" xfId="0" applyNumberFormat="1"/>
    <xf numFmtId="14" fontId="0" fillId="10" borderId="0" xfId="0" applyNumberFormat="1" applyFill="1"/>
    <xf numFmtId="39" fontId="27" fillId="14" borderId="0" xfId="1" applyNumberFormat="1" applyFont="1" applyFill="1"/>
    <xf numFmtId="0" fontId="0" fillId="10" borderId="0" xfId="0" applyFill="1"/>
    <xf numFmtId="14" fontId="25" fillId="10" borderId="0" xfId="1" applyNumberFormat="1" applyFont="1" applyFill="1" applyBorder="1"/>
    <xf numFmtId="214" fontId="0" fillId="0" borderId="0" xfId="0" applyNumberFormat="1"/>
    <xf numFmtId="207" fontId="25" fillId="0" borderId="0" xfId="1" applyNumberFormat="1" applyFont="1" applyFill="1" applyBorder="1"/>
    <xf numFmtId="14" fontId="25" fillId="0" borderId="0" xfId="1" applyNumberFormat="1" applyFont="1" applyFill="1" applyBorder="1"/>
    <xf numFmtId="171" fontId="25" fillId="0" borderId="0" xfId="1" applyFont="1" applyFill="1" applyBorder="1"/>
    <xf numFmtId="14" fontId="0" fillId="0" borderId="5" xfId="0" applyNumberFormat="1" applyBorder="1"/>
    <xf numFmtId="218" fontId="25" fillId="0" borderId="6" xfId="1" applyNumberFormat="1" applyFont="1" applyFill="1" applyBorder="1"/>
    <xf numFmtId="213" fontId="25" fillId="0" borderId="6" xfId="1" applyNumberFormat="1" applyFont="1" applyFill="1" applyBorder="1"/>
    <xf numFmtId="14" fontId="25" fillId="0" borderId="5" xfId="1" applyNumberFormat="1" applyFont="1" applyFill="1" applyBorder="1"/>
    <xf numFmtId="1" fontId="25" fillId="0" borderId="6" xfId="1" applyNumberFormat="1" applyFont="1" applyFill="1" applyBorder="1" applyAlignment="1">
      <alignment horizontal="center"/>
    </xf>
    <xf numFmtId="207" fontId="0" fillId="0" borderId="7" xfId="0" applyNumberFormat="1" applyBorder="1"/>
    <xf numFmtId="43" fontId="33" fillId="15" borderId="0" xfId="0" applyNumberFormat="1" applyFont="1" applyFill="1"/>
    <xf numFmtId="212" fontId="40" fillId="7" borderId="33" xfId="3" applyNumberFormat="1" applyFont="1" applyFill="1" applyBorder="1" applyAlignment="1" applyProtection="1">
      <alignment vertical="top"/>
    </xf>
    <xf numFmtId="0" fontId="0" fillId="0" borderId="0" xfId="0" applyFill="1" applyBorder="1"/>
    <xf numFmtId="213" fontId="25" fillId="5" borderId="6" xfId="1" applyNumberFormat="1" applyFont="1" applyFill="1" applyBorder="1"/>
    <xf numFmtId="213" fontId="0" fillId="5" borderId="5" xfId="0" applyNumberFormat="1" applyFill="1" applyBorder="1"/>
    <xf numFmtId="207" fontId="0" fillId="5" borderId="7" xfId="0" applyNumberFormat="1" applyFill="1" applyBorder="1"/>
    <xf numFmtId="1" fontId="0" fillId="0" borderId="6" xfId="0" applyNumberFormat="1" applyFill="1" applyBorder="1" applyAlignment="1">
      <alignment horizontal="center"/>
    </xf>
    <xf numFmtId="0" fontId="53" fillId="0" borderId="0" xfId="10" applyFont="1" applyFill="1" applyAlignment="1">
      <alignment horizontal="left" wrapText="1" indent="1"/>
    </xf>
    <xf numFmtId="0" fontId="31" fillId="0" borderId="0" xfId="0" applyFont="1" applyAlignment="1">
      <alignment horizontal="center"/>
    </xf>
    <xf numFmtId="0" fontId="25" fillId="0" borderId="0" xfId="11"/>
    <xf numFmtId="0" fontId="25" fillId="0" borderId="0" xfId="11" applyAlignment="1">
      <alignment horizontal="center"/>
    </xf>
    <xf numFmtId="0" fontId="54" fillId="0" borderId="0" xfId="0" applyFont="1" applyAlignment="1">
      <alignment horizontal="center"/>
    </xf>
    <xf numFmtId="0" fontId="43" fillId="10" borderId="0" xfId="10" applyNumberFormat="1" applyFont="1" applyFill="1" applyAlignment="1">
      <alignment vertical="top"/>
    </xf>
    <xf numFmtId="171" fontId="25" fillId="0" borderId="0" xfId="11" applyNumberFormat="1"/>
    <xf numFmtId="219" fontId="4" fillId="0" borderId="0" xfId="1" applyNumberFormat="1" applyFont="1" applyFill="1" applyAlignment="1">
      <alignment vertical="center"/>
    </xf>
    <xf numFmtId="206" fontId="30" fillId="0" borderId="0" xfId="3" applyNumberFormat="1" applyFont="1" applyFill="1" applyBorder="1"/>
    <xf numFmtId="206" fontId="44" fillId="0" borderId="0" xfId="11" applyNumberFormat="1" applyFont="1"/>
    <xf numFmtId="213" fontId="0" fillId="0" borderId="0" xfId="0" applyNumberFormat="1"/>
    <xf numFmtId="0" fontId="31" fillId="0" borderId="0" xfId="0" applyFont="1" applyAlignment="1">
      <alignment horizontal="center"/>
    </xf>
    <xf numFmtId="0" fontId="31" fillId="16" borderId="0" xfId="0" applyFont="1" applyFill="1" applyAlignment="1">
      <alignment horizontal="center"/>
    </xf>
    <xf numFmtId="43" fontId="35" fillId="0" borderId="0" xfId="0" applyNumberFormat="1" applyFont="1"/>
    <xf numFmtId="43" fontId="54" fillId="6" borderId="0" xfId="0" applyNumberFormat="1" applyFont="1" applyFill="1"/>
    <xf numFmtId="43" fontId="54" fillId="0" borderId="0" xfId="0" applyNumberFormat="1" applyFont="1"/>
    <xf numFmtId="0" fontId="25" fillId="0" borderId="0" xfId="11"/>
    <xf numFmtId="0" fontId="25" fillId="0" borderId="0" xfId="11" applyAlignment="1">
      <alignment horizontal="center"/>
    </xf>
    <xf numFmtId="43" fontId="31" fillId="15" borderId="0" xfId="0" applyNumberFormat="1" applyFont="1" applyFill="1"/>
    <xf numFmtId="213" fontId="0" fillId="0" borderId="5" xfId="0" applyNumberFormat="1" applyFill="1" applyBorder="1"/>
    <xf numFmtId="0" fontId="30" fillId="0" borderId="0" xfId="0" applyFont="1"/>
    <xf numFmtId="0" fontId="0" fillId="0" borderId="6" xfId="0" applyFill="1" applyBorder="1"/>
    <xf numFmtId="171" fontId="33" fillId="0" borderId="0" xfId="0" applyNumberFormat="1" applyFont="1" applyFill="1"/>
    <xf numFmtId="205" fontId="39" fillId="17" borderId="0" xfId="3" applyNumberFormat="1" applyFont="1" applyFill="1" applyBorder="1" applyAlignment="1" applyProtection="1">
      <alignment horizontal="right" vertical="top"/>
    </xf>
    <xf numFmtId="213" fontId="39" fillId="18" borderId="0" xfId="3" applyNumberFormat="1" applyFont="1" applyFill="1" applyBorder="1" applyAlignment="1" applyProtection="1">
      <alignment vertical="top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16" borderId="0" xfId="0" applyFont="1" applyFill="1" applyAlignment="1">
      <alignment horizontal="center"/>
    </xf>
    <xf numFmtId="43" fontId="55" fillId="0" borderId="0" xfId="0" applyNumberFormat="1" applyFont="1"/>
    <xf numFmtId="205" fontId="39" fillId="19" borderId="0" xfId="3" applyNumberFormat="1" applyFont="1" applyFill="1" applyBorder="1" applyAlignment="1" applyProtection="1">
      <alignment horizontal="right" vertical="top"/>
    </xf>
    <xf numFmtId="0" fontId="44" fillId="0" borderId="0" xfId="10" applyFont="1" applyFill="1" applyAlignment="1" applyProtection="1">
      <alignment horizontal="center" wrapText="1"/>
      <protection locked="0"/>
    </xf>
    <xf numFmtId="213" fontId="39" fillId="20" borderId="0" xfId="3" applyNumberFormat="1" applyFont="1" applyFill="1" applyBorder="1" applyAlignment="1" applyProtection="1">
      <alignment vertical="top"/>
    </xf>
    <xf numFmtId="43" fontId="56" fillId="0" borderId="0" xfId="0" applyNumberFormat="1" applyFont="1"/>
    <xf numFmtId="207" fontId="54" fillId="0" borderId="0" xfId="0" applyNumberFormat="1" applyFont="1"/>
    <xf numFmtId="0" fontId="25" fillId="0" borderId="0" xfId="11"/>
    <xf numFmtId="0" fontId="25" fillId="0" borderId="0" xfId="11" applyAlignment="1">
      <alignment horizontal="center"/>
    </xf>
    <xf numFmtId="213" fontId="39" fillId="0" borderId="0" xfId="1" applyNumberFormat="1" applyFont="1" applyFill="1" applyBorder="1"/>
    <xf numFmtId="207" fontId="39" fillId="0" borderId="0" xfId="1" applyNumberFormat="1" applyFont="1" applyFill="1" applyBorder="1"/>
    <xf numFmtId="0" fontId="31" fillId="0" borderId="0" xfId="0" applyFont="1" applyAlignment="1">
      <alignment horizontal="center"/>
    </xf>
    <xf numFmtId="0" fontId="31" fillId="16" borderId="0" xfId="0" applyFont="1" applyFill="1" applyAlignment="1">
      <alignment horizontal="center"/>
    </xf>
    <xf numFmtId="9" fontId="31" fillId="0" borderId="0" xfId="13" applyFont="1"/>
    <xf numFmtId="9" fontId="31" fillId="0" borderId="0" xfId="0" applyNumberFormat="1" applyFont="1"/>
    <xf numFmtId="43" fontId="31" fillId="17" borderId="0" xfId="0" applyNumberFormat="1" applyFont="1" applyFill="1"/>
    <xf numFmtId="207" fontId="0" fillId="0" borderId="0" xfId="0" applyNumberFormat="1"/>
    <xf numFmtId="0" fontId="57" fillId="19" borderId="2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>
      <alignment horizontal="center" vertical="center" wrapText="1"/>
    </xf>
    <xf numFmtId="14" fontId="25" fillId="0" borderId="5" xfId="1" applyNumberFormat="1" applyFont="1" applyFill="1" applyBorder="1" applyAlignment="1">
      <alignment horizontal="right"/>
    </xf>
    <xf numFmtId="0" fontId="0" fillId="0" borderId="6" xfId="0" applyFill="1" applyBorder="1" applyAlignment="1">
      <alignment wrapText="1"/>
    </xf>
    <xf numFmtId="0" fontId="0" fillId="0" borderId="6" xfId="0" applyFill="1" applyBorder="1" applyAlignment="1">
      <alignment vertical="top" wrapText="1"/>
    </xf>
    <xf numFmtId="0" fontId="31" fillId="3" borderId="0" xfId="0" applyFont="1" applyFill="1" applyAlignment="1">
      <alignment horizontal="center"/>
    </xf>
    <xf numFmtId="0" fontId="31" fillId="3" borderId="0" xfId="0" applyFont="1" applyFill="1" applyAlignment="1">
      <alignment horizontal="center" wrapText="1"/>
    </xf>
    <xf numFmtId="0" fontId="44" fillId="0" borderId="0" xfId="0" applyFont="1" applyFill="1" applyBorder="1" applyAlignment="1">
      <alignment horizontal="center"/>
    </xf>
    <xf numFmtId="205" fontId="44" fillId="0" borderId="0" xfId="0" applyNumberFormat="1" applyFont="1" applyFill="1" applyBorder="1" applyAlignment="1">
      <alignment horizontal="center"/>
    </xf>
    <xf numFmtId="205" fontId="40" fillId="7" borderId="0" xfId="3" applyNumberFormat="1" applyFont="1" applyFill="1" applyBorder="1" applyAlignment="1" applyProtection="1">
      <alignment vertical="top"/>
    </xf>
    <xf numFmtId="213" fontId="0" fillId="5" borderId="2" xfId="0" applyNumberFormat="1" applyFill="1" applyBorder="1"/>
    <xf numFmtId="207" fontId="0" fillId="5" borderId="4" xfId="0" applyNumberFormat="1" applyFill="1" applyBorder="1"/>
    <xf numFmtId="213" fontId="25" fillId="5" borderId="7" xfId="1" applyNumberFormat="1" applyFont="1" applyFill="1" applyBorder="1"/>
    <xf numFmtId="213" fontId="25" fillId="0" borderId="7" xfId="1" applyNumberFormat="1" applyFont="1" applyFill="1" applyBorder="1"/>
    <xf numFmtId="0" fontId="25" fillId="0" borderId="0" xfId="11"/>
    <xf numFmtId="0" fontId="25" fillId="0" borderId="0" xfId="11" applyAlignment="1">
      <alignment horizontal="center"/>
    </xf>
    <xf numFmtId="0" fontId="31" fillId="0" borderId="0" xfId="0" applyFont="1" applyAlignment="1">
      <alignment horizontal="center"/>
    </xf>
    <xf numFmtId="2" fontId="39" fillId="0" borderId="0" xfId="10" applyNumberFormat="1" applyFont="1" applyAlignment="1" applyProtection="1">
      <protection locked="0"/>
    </xf>
    <xf numFmtId="205" fontId="29" fillId="0" borderId="0" xfId="10" applyNumberFormat="1" applyFont="1" applyAlignment="1" applyProtection="1">
      <protection locked="0"/>
    </xf>
    <xf numFmtId="205" fontId="41" fillId="0" borderId="0" xfId="10" applyNumberFormat="1" applyFont="1" applyAlignment="1" applyProtection="1">
      <protection locked="0"/>
    </xf>
    <xf numFmtId="205" fontId="44" fillId="0" borderId="0" xfId="10" applyNumberFormat="1" applyFont="1" applyAlignment="1" applyProtection="1">
      <protection locked="0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14" fontId="25" fillId="0" borderId="22" xfId="11" applyNumberFormat="1" applyFill="1" applyBorder="1"/>
    <xf numFmtId="14" fontId="39" fillId="0" borderId="23" xfId="10" applyNumberFormat="1" applyFont="1" applyFill="1" applyBorder="1" applyAlignment="1" applyProtection="1">
      <protection locked="0"/>
    </xf>
    <xf numFmtId="14" fontId="25" fillId="0" borderId="14" xfId="11" applyNumberFormat="1" applyFill="1" applyBorder="1"/>
    <xf numFmtId="14" fontId="39" fillId="0" borderId="15" xfId="10" applyNumberFormat="1" applyFont="1" applyFill="1" applyBorder="1" applyAlignment="1" applyProtection="1">
      <protection locked="0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25" fillId="0" borderId="0" xfId="11"/>
    <xf numFmtId="0" fontId="25" fillId="0" borderId="0" xfId="11" applyAlignment="1">
      <alignment horizontal="center"/>
    </xf>
    <xf numFmtId="213" fontId="39" fillId="5" borderId="5" xfId="0" applyNumberFormat="1" applyFont="1" applyFill="1" applyBorder="1"/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171" fontId="31" fillId="21" borderId="0" xfId="0" applyNumberFormat="1" applyFont="1" applyFill="1"/>
    <xf numFmtId="43" fontId="31" fillId="21" borderId="0" xfId="0" applyNumberFormat="1" applyFont="1" applyFill="1"/>
    <xf numFmtId="0" fontId="25" fillId="0" borderId="0" xfId="11"/>
    <xf numFmtId="0" fontId="25" fillId="0" borderId="0" xfId="11" applyAlignment="1">
      <alignment horizontal="center"/>
    </xf>
    <xf numFmtId="207" fontId="39" fillId="0" borderId="6" xfId="1" applyNumberFormat="1" applyFont="1" applyFill="1" applyBorder="1"/>
    <xf numFmtId="0" fontId="31" fillId="16" borderId="0" xfId="0" applyFont="1" applyFill="1" applyAlignment="1">
      <alignment horizontal="center"/>
    </xf>
    <xf numFmtId="43" fontId="34" fillId="0" borderId="0" xfId="0" applyNumberFormat="1" applyFont="1" applyFill="1"/>
    <xf numFmtId="0" fontId="31" fillId="16" borderId="0" xfId="0" applyFont="1" applyFill="1" applyAlignment="1">
      <alignment horizontal="center"/>
    </xf>
    <xf numFmtId="0" fontId="25" fillId="0" borderId="0" xfId="11"/>
    <xf numFmtId="0" fontId="25" fillId="0" borderId="0" xfId="11" applyAlignment="1">
      <alignment horizontal="center"/>
    </xf>
    <xf numFmtId="213" fontId="25" fillId="0" borderId="0" xfId="11" applyNumberFormat="1"/>
    <xf numFmtId="205" fontId="29" fillId="0" borderId="0" xfId="3" applyNumberFormat="1" applyFont="1" applyFill="1" applyBorder="1" applyAlignment="1" applyProtection="1">
      <alignment horizontal="right" vertical="top"/>
    </xf>
    <xf numFmtId="0" fontId="31" fillId="16" borderId="0" xfId="0" applyFont="1" applyFill="1" applyAlignment="1">
      <alignment horizontal="center"/>
    </xf>
    <xf numFmtId="43" fontId="31" fillId="22" borderId="0" xfId="0" applyNumberFormat="1" applyFont="1" applyFill="1"/>
    <xf numFmtId="168" fontId="25" fillId="3" borderId="0" xfId="3" applyFont="1" applyFill="1" applyBorder="1" applyAlignment="1" applyProtection="1">
      <alignment vertical="top"/>
    </xf>
    <xf numFmtId="0" fontId="39" fillId="3" borderId="0" xfId="10" applyFont="1" applyFill="1" applyAlignment="1">
      <alignment horizontal="left" wrapText="1" indent="1"/>
    </xf>
    <xf numFmtId="213" fontId="39" fillId="3" borderId="0" xfId="1" applyNumberFormat="1" applyFont="1" applyFill="1" applyBorder="1"/>
    <xf numFmtId="207" fontId="39" fillId="3" borderId="0" xfId="1" applyNumberFormat="1" applyFont="1" applyFill="1" applyBorder="1"/>
    <xf numFmtId="0" fontId="25" fillId="0" borderId="0" xfId="11"/>
    <xf numFmtId="0" fontId="25" fillId="0" borderId="0" xfId="11" applyAlignment="1">
      <alignment horizontal="center"/>
    </xf>
    <xf numFmtId="171" fontId="31" fillId="0" borderId="0" xfId="0" applyNumberFormat="1" applyFont="1"/>
    <xf numFmtId="0" fontId="54" fillId="0" borderId="0" xfId="0" applyFont="1" applyFill="1" applyAlignment="1">
      <alignment horizontal="center"/>
    </xf>
    <xf numFmtId="0" fontId="31" fillId="16" borderId="0" xfId="0" applyFont="1" applyFill="1" applyAlignment="1">
      <alignment horizontal="center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NumberFormat="1" applyFont="1" applyFill="1"/>
    <xf numFmtId="0" fontId="31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0" fillId="0" borderId="6" xfId="0" applyFont="1" applyFill="1" applyBorder="1"/>
    <xf numFmtId="14" fontId="0" fillId="0" borderId="5" xfId="0" applyNumberFormat="1" applyFill="1" applyBorder="1"/>
    <xf numFmtId="0" fontId="0" fillId="0" borderId="0" xfId="0" applyFill="1"/>
    <xf numFmtId="206" fontId="29" fillId="0" borderId="0" xfId="10" applyNumberFormat="1" applyFont="1" applyFill="1" applyAlignment="1" applyProtection="1">
      <protection locked="0"/>
    </xf>
    <xf numFmtId="168" fontId="39" fillId="0" borderId="0" xfId="10" applyNumberFormat="1" applyFont="1" applyFill="1" applyAlignment="1" applyProtection="1">
      <protection locked="0"/>
    </xf>
    <xf numFmtId="213" fontId="25" fillId="0" borderId="0" xfId="3" applyNumberFormat="1" applyFont="1" applyFill="1" applyBorder="1" applyAlignment="1" applyProtection="1">
      <alignment vertical="top"/>
    </xf>
    <xf numFmtId="14" fontId="25" fillId="0" borderId="18" xfId="11" applyNumberFormat="1" applyBorder="1"/>
    <xf numFmtId="213" fontId="39" fillId="0" borderId="0" xfId="10" applyNumberFormat="1" applyFont="1" applyAlignment="1" applyProtection="1">
      <protection locked="0"/>
    </xf>
    <xf numFmtId="0" fontId="25" fillId="0" borderId="0" xfId="11"/>
    <xf numFmtId="0" fontId="25" fillId="0" borderId="0" xfId="11" applyAlignment="1">
      <alignment horizontal="center"/>
    </xf>
    <xf numFmtId="207" fontId="25" fillId="15" borderId="0" xfId="1" applyNumberFormat="1" applyFont="1" applyFill="1" applyBorder="1"/>
    <xf numFmtId="213" fontId="25" fillId="15" borderId="0" xfId="1" applyNumberFormat="1" applyFont="1" applyFill="1" applyBorder="1"/>
    <xf numFmtId="0" fontId="31" fillId="16" borderId="0" xfId="0" applyFont="1" applyFill="1" applyAlignment="1">
      <alignment horizontal="center"/>
    </xf>
    <xf numFmtId="171" fontId="31" fillId="21" borderId="0" xfId="0" applyNumberFormat="1" applyFont="1" applyFill="1" applyAlignment="1">
      <alignment horizontal="center"/>
    </xf>
    <xf numFmtId="0" fontId="25" fillId="0" borderId="0" xfId="11"/>
    <xf numFmtId="0" fontId="25" fillId="0" borderId="0" xfId="11"/>
    <xf numFmtId="0" fontId="25" fillId="0" borderId="0" xfId="11" applyAlignment="1">
      <alignment horizontal="center"/>
    </xf>
    <xf numFmtId="0" fontId="31" fillId="16" borderId="0" xfId="0" applyFont="1" applyFill="1" applyAlignment="1">
      <alignment horizontal="center"/>
    </xf>
    <xf numFmtId="49" fontId="25" fillId="0" borderId="0" xfId="10" applyNumberFormat="1" applyFont="1" applyAlignment="1" applyProtection="1">
      <alignment horizontal="center"/>
      <protection locked="0"/>
    </xf>
    <xf numFmtId="2" fontId="31" fillId="0" borderId="0" xfId="0" applyNumberFormat="1" applyFont="1"/>
    <xf numFmtId="0" fontId="39" fillId="23" borderId="0" xfId="10" applyFont="1" applyFill="1" applyAlignment="1">
      <alignment horizontal="left" wrapText="1" indent="1"/>
    </xf>
    <xf numFmtId="213" fontId="25" fillId="23" borderId="0" xfId="1" applyNumberFormat="1" applyFont="1" applyFill="1" applyBorder="1"/>
    <xf numFmtId="207" fontId="25" fillId="23" borderId="0" xfId="1" applyNumberFormat="1" applyFont="1" applyFill="1" applyBorder="1"/>
    <xf numFmtId="2" fontId="33" fillId="0" borderId="0" xfId="0" applyNumberFormat="1" applyFont="1"/>
    <xf numFmtId="207" fontId="58" fillId="0" borderId="0" xfId="0" applyNumberFormat="1" applyFont="1"/>
    <xf numFmtId="0" fontId="25" fillId="0" borderId="0" xfId="11"/>
    <xf numFmtId="0" fontId="25" fillId="0" borderId="0" xfId="11" applyAlignment="1">
      <alignment horizontal="center"/>
    </xf>
    <xf numFmtId="0" fontId="44" fillId="0" borderId="0" xfId="10" applyFont="1" applyAlignment="1" applyProtection="1">
      <protection locked="0"/>
    </xf>
    <xf numFmtId="0" fontId="27" fillId="0" borderId="0" xfId="0" applyFont="1" applyFill="1" applyAlignment="1">
      <alignment horizontal="center"/>
    </xf>
    <xf numFmtId="205" fontId="40" fillId="0" borderId="0" xfId="3" applyNumberFormat="1" applyFont="1" applyFill="1" applyBorder="1" applyAlignment="1" applyProtection="1">
      <alignment vertical="top"/>
    </xf>
    <xf numFmtId="0" fontId="31" fillId="16" borderId="0" xfId="0" applyFont="1" applyFill="1" applyAlignment="1">
      <alignment horizontal="center"/>
    </xf>
    <xf numFmtId="49" fontId="39" fillId="0" borderId="0" xfId="10" applyNumberFormat="1" applyFont="1" applyAlignment="1" applyProtection="1">
      <alignment horizontal="center"/>
      <protection locked="0"/>
    </xf>
    <xf numFmtId="0" fontId="39" fillId="24" borderId="0" xfId="10" applyFont="1" applyFill="1" applyAlignment="1">
      <alignment horizontal="left" wrapText="1" indent="1"/>
    </xf>
    <xf numFmtId="213" fontId="25" fillId="24" borderId="0" xfId="1" applyNumberFormat="1" applyFont="1" applyFill="1" applyBorder="1"/>
    <xf numFmtId="207" fontId="25" fillId="24" borderId="0" xfId="1" applyNumberFormat="1" applyFont="1" applyFill="1" applyBorder="1"/>
    <xf numFmtId="14" fontId="0" fillId="0" borderId="0" xfId="0" applyNumberFormat="1"/>
    <xf numFmtId="0" fontId="30" fillId="0" borderId="0" xfId="0" applyFont="1" applyAlignment="1">
      <alignment horizontal="center"/>
    </xf>
    <xf numFmtId="0" fontId="59" fillId="0" borderId="28" xfId="0" applyFont="1" applyBorder="1" applyAlignment="1">
      <alignment vertical="center" wrapText="1"/>
    </xf>
    <xf numFmtId="0" fontId="25" fillId="0" borderId="0" xfId="11"/>
    <xf numFmtId="0" fontId="25" fillId="0" borderId="0" xfId="11" applyAlignment="1">
      <alignment horizontal="center"/>
    </xf>
    <xf numFmtId="0" fontId="60" fillId="0" borderId="0" xfId="11" applyFont="1"/>
    <xf numFmtId="0" fontId="31" fillId="16" borderId="0" xfId="0" applyFont="1" applyFill="1" applyAlignment="1">
      <alignment horizontal="center"/>
    </xf>
    <xf numFmtId="0" fontId="31" fillId="16" borderId="0" xfId="0" applyFont="1" applyFill="1" applyAlignment="1">
      <alignment horizontal="center"/>
    </xf>
    <xf numFmtId="0" fontId="31" fillId="5" borderId="0" xfId="0" applyFont="1" applyFill="1" applyAlignment="1">
      <alignment horizontal="center" wrapText="1"/>
    </xf>
    <xf numFmtId="0" fontId="31" fillId="17" borderId="0" xfId="0" applyFont="1" applyFill="1" applyAlignment="1">
      <alignment horizontal="center" wrapText="1"/>
    </xf>
    <xf numFmtId="213" fontId="39" fillId="10" borderId="0" xfId="10" applyNumberFormat="1" applyFont="1" applyFill="1" applyAlignment="1" applyProtection="1">
      <protection locked="0"/>
    </xf>
    <xf numFmtId="0" fontId="25" fillId="0" borderId="0" xfId="11"/>
    <xf numFmtId="0" fontId="25" fillId="0" borderId="0" xfId="11" applyAlignment="1">
      <alignment horizontal="center"/>
    </xf>
    <xf numFmtId="0" fontId="31" fillId="16" borderId="0" xfId="0" applyFont="1" applyFill="1" applyAlignment="1">
      <alignment horizontal="center"/>
    </xf>
    <xf numFmtId="0" fontId="31" fillId="16" borderId="0" xfId="0" applyFont="1" applyFill="1" applyAlignment="1"/>
    <xf numFmtId="191" fontId="39" fillId="0" borderId="0" xfId="2" applyFont="1" applyAlignment="1" applyProtection="1">
      <protection locked="0"/>
    </xf>
    <xf numFmtId="0" fontId="25" fillId="0" borderId="0" xfId="11"/>
    <xf numFmtId="0" fontId="25" fillId="0" borderId="0" xfId="11" applyAlignment="1">
      <alignment horizontal="center"/>
    </xf>
    <xf numFmtId="206" fontId="25" fillId="0" borderId="0" xfId="3" applyNumberFormat="1" applyFont="1" applyFill="1" applyBorder="1"/>
    <xf numFmtId="14" fontId="39" fillId="0" borderId="3" xfId="10" applyNumberFormat="1" applyFont="1" applyBorder="1" applyAlignment="1" applyProtection="1">
      <protection locked="0"/>
    </xf>
    <xf numFmtId="14" fontId="25" fillId="0" borderId="6" xfId="11" applyNumberFormat="1" applyBorder="1"/>
    <xf numFmtId="14" fontId="39" fillId="0" borderId="6" xfId="10" applyNumberFormat="1" applyFont="1" applyBorder="1" applyAlignment="1" applyProtection="1">
      <protection locked="0"/>
    </xf>
    <xf numFmtId="14" fontId="25" fillId="0" borderId="9" xfId="11" applyNumberFormat="1" applyBorder="1"/>
    <xf numFmtId="14" fontId="25" fillId="0" borderId="2" xfId="11" applyNumberFormat="1" applyBorder="1"/>
    <xf numFmtId="213" fontId="39" fillId="0" borderId="3" xfId="3" applyNumberFormat="1" applyFont="1" applyFill="1" applyBorder="1" applyAlignment="1" applyProtection="1">
      <alignment vertical="top"/>
    </xf>
    <xf numFmtId="205" fontId="39" fillId="0" borderId="4" xfId="3" applyNumberFormat="1" applyFont="1" applyFill="1" applyBorder="1" applyAlignment="1" applyProtection="1">
      <alignment vertical="top"/>
    </xf>
    <xf numFmtId="14" fontId="25" fillId="0" borderId="5" xfId="11" applyNumberFormat="1" applyBorder="1"/>
    <xf numFmtId="213" fontId="39" fillId="0" borderId="6" xfId="3" applyNumberFormat="1" applyFont="1" applyFill="1" applyBorder="1" applyAlignment="1" applyProtection="1">
      <alignment vertical="top"/>
    </xf>
    <xf numFmtId="205" fontId="39" fillId="0" borderId="7" xfId="3" applyNumberFormat="1" applyFont="1" applyFill="1" applyBorder="1" applyAlignment="1" applyProtection="1">
      <alignment vertical="top"/>
    </xf>
    <xf numFmtId="14" fontId="25" fillId="0" borderId="8" xfId="11" applyNumberFormat="1" applyBorder="1"/>
    <xf numFmtId="213" fontId="39" fillId="0" borderId="9" xfId="3" applyNumberFormat="1" applyFont="1" applyFill="1" applyBorder="1" applyAlignment="1" applyProtection="1">
      <alignment vertical="top"/>
    </xf>
    <xf numFmtId="205" fontId="39" fillId="0" borderId="10" xfId="3" applyNumberFormat="1" applyFont="1" applyFill="1" applyBorder="1" applyAlignment="1" applyProtection="1">
      <alignment vertical="top"/>
    </xf>
    <xf numFmtId="0" fontId="31" fillId="16" borderId="0" xfId="0" applyFont="1" applyFill="1" applyAlignment="1">
      <alignment horizontal="center"/>
    </xf>
    <xf numFmtId="213" fontId="25" fillId="3" borderId="0" xfId="1" applyNumberFormat="1" applyFont="1" applyFill="1" applyBorder="1"/>
    <xf numFmtId="207" fontId="25" fillId="3" borderId="0" xfId="1" applyNumberFormat="1" applyFont="1" applyFill="1" applyBorder="1"/>
    <xf numFmtId="0" fontId="31" fillId="16" borderId="0" xfId="0" applyFont="1" applyFill="1" applyAlignment="1">
      <alignment horizontal="center"/>
    </xf>
    <xf numFmtId="213" fontId="25" fillId="16" borderId="0" xfId="3" applyNumberFormat="1" applyFont="1" applyFill="1" applyBorder="1" applyAlignment="1" applyProtection="1">
      <alignment vertical="top"/>
    </xf>
    <xf numFmtId="213" fontId="39" fillId="16" borderId="0" xfId="3" applyNumberFormat="1" applyFont="1" applyFill="1" applyBorder="1" applyAlignment="1" applyProtection="1">
      <alignment vertical="top"/>
    </xf>
    <xf numFmtId="0" fontId="34" fillId="17" borderId="0" xfId="0" applyFont="1" applyFill="1" applyAlignment="1">
      <alignment horizontal="center" wrapText="1"/>
    </xf>
    <xf numFmtId="43" fontId="61" fillId="0" borderId="0" xfId="0" applyNumberFormat="1" applyFont="1"/>
    <xf numFmtId="0" fontId="25" fillId="0" borderId="0" xfId="11"/>
    <xf numFmtId="0" fontId="25" fillId="0" borderId="0" xfId="11" applyAlignment="1">
      <alignment horizontal="center"/>
    </xf>
    <xf numFmtId="0" fontId="25" fillId="3" borderId="0" xfId="10" applyFont="1" applyFill="1" applyAlignment="1">
      <alignment horizontal="left" wrapText="1" indent="1"/>
    </xf>
    <xf numFmtId="0" fontId="25" fillId="0" borderId="0" xfId="10" applyFont="1" applyFill="1" applyAlignment="1">
      <alignment horizontal="left" wrapText="1" indent="1"/>
    </xf>
    <xf numFmtId="206" fontId="25" fillId="0" borderId="0" xfId="10" applyNumberFormat="1" applyFont="1" applyFill="1" applyAlignment="1" applyProtection="1">
      <protection locked="0"/>
    </xf>
    <xf numFmtId="168" fontId="25" fillId="0" borderId="0" xfId="10" applyNumberFormat="1" applyFont="1" applyFill="1" applyAlignment="1" applyProtection="1">
      <protection locked="0"/>
    </xf>
    <xf numFmtId="0" fontId="25" fillId="0" borderId="0" xfId="10" applyFont="1" applyFill="1" applyAlignment="1" applyProtection="1">
      <protection locked="0"/>
    </xf>
    <xf numFmtId="0" fontId="31" fillId="16" borderId="0" xfId="0" applyFont="1" applyFill="1" applyAlignment="1">
      <alignment horizontal="center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43" fontId="31" fillId="0" borderId="0" xfId="0" applyNumberFormat="1" applyFont="1" applyFill="1" applyAlignment="1">
      <alignment horizontal="center"/>
    </xf>
    <xf numFmtId="43" fontId="33" fillId="0" borderId="0" xfId="0" applyNumberFormat="1" applyFont="1" applyFill="1" applyAlignment="1">
      <alignment horizontal="center"/>
    </xf>
    <xf numFmtId="43" fontId="33" fillId="0" borderId="0" xfId="0" applyNumberFormat="1" applyFont="1" applyAlignment="1">
      <alignment horizontal="center"/>
    </xf>
    <xf numFmtId="43" fontId="54" fillId="6" borderId="0" xfId="0" applyNumberFormat="1" applyFont="1" applyFill="1" applyAlignment="1">
      <alignment horizontal="center"/>
    </xf>
    <xf numFmtId="43" fontId="35" fillId="0" borderId="0" xfId="0" applyNumberFormat="1" applyFont="1" applyFill="1" applyAlignment="1">
      <alignment horizontal="center"/>
    </xf>
    <xf numFmtId="43" fontId="54" fillId="0" borderId="0" xfId="0" applyNumberFormat="1" applyFont="1" applyFill="1" applyAlignment="1">
      <alignment horizontal="center"/>
    </xf>
    <xf numFmtId="0" fontId="25" fillId="0" borderId="0" xfId="11"/>
    <xf numFmtId="0" fontId="25" fillId="0" borderId="0" xfId="11" applyAlignment="1">
      <alignment horizontal="center"/>
    </xf>
    <xf numFmtId="49" fontId="29" fillId="0" borderId="0" xfId="10" applyNumberFormat="1" applyFont="1" applyAlignment="1" applyProtection="1">
      <alignment horizontal="center" wrapText="1"/>
      <protection locked="0"/>
    </xf>
    <xf numFmtId="0" fontId="25" fillId="0" borderId="0" xfId="11"/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207" fontId="39" fillId="0" borderId="0" xfId="10" applyNumberFormat="1" applyFont="1" applyFill="1" applyAlignment="1" applyProtection="1">
      <protection locked="0"/>
    </xf>
    <xf numFmtId="0" fontId="25" fillId="0" borderId="0" xfId="10" applyFont="1" applyFill="1" applyAlignment="1">
      <alignment horizontal="left" wrapText="1" indent="1"/>
    </xf>
    <xf numFmtId="206" fontId="41" fillId="0" borderId="0" xfId="10" applyNumberFormat="1" applyFont="1" applyFill="1" applyAlignment="1" applyProtection="1">
      <alignment horizontal="right"/>
      <protection locked="0"/>
    </xf>
    <xf numFmtId="206" fontId="44" fillId="0" borderId="0" xfId="10" applyNumberFormat="1" applyFont="1" applyFill="1" applyAlignment="1" applyProtection="1">
      <alignment horizontal="right"/>
      <protection locked="0"/>
    </xf>
    <xf numFmtId="207" fontId="44" fillId="0" borderId="0" xfId="1" applyNumberFormat="1" applyFont="1" applyFill="1" applyBorder="1"/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213" fontId="41" fillId="10" borderId="0" xfId="11" applyNumberFormat="1" applyFont="1" applyFill="1" applyAlignment="1"/>
    <xf numFmtId="205" fontId="41" fillId="10" borderId="0" xfId="3" applyNumberFormat="1" applyFont="1" applyFill="1" applyBorder="1" applyAlignment="1" applyProtection="1">
      <alignment vertical="top"/>
    </xf>
    <xf numFmtId="0" fontId="25" fillId="0" borderId="0" xfId="11"/>
    <xf numFmtId="0" fontId="25" fillId="0" borderId="0" xfId="11" applyAlignment="1">
      <alignment horizontal="center"/>
    </xf>
    <xf numFmtId="210" fontId="39" fillId="3" borderId="0" xfId="1" applyNumberFormat="1" applyFont="1" applyFill="1" applyBorder="1"/>
    <xf numFmtId="49" fontId="29" fillId="0" borderId="0" xfId="10" applyNumberFormat="1" applyFont="1" applyAlignment="1" applyProtection="1">
      <alignment horizontal="center"/>
      <protection locked="0"/>
    </xf>
    <xf numFmtId="205" fontId="39" fillId="10" borderId="0" xfId="3" applyNumberFormat="1" applyFont="1" applyFill="1" applyBorder="1" applyAlignment="1" applyProtection="1">
      <alignment vertical="top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10" applyFont="1" applyFill="1" applyAlignment="1" applyProtection="1">
      <protection locked="0"/>
    </xf>
    <xf numFmtId="168" fontId="29" fillId="0" borderId="0" xfId="10" applyNumberFormat="1" applyFont="1" applyFill="1" applyAlignment="1" applyProtection="1">
      <protection locked="0"/>
    </xf>
    <xf numFmtId="168" fontId="39" fillId="3" borderId="0" xfId="3" applyFont="1" applyFill="1" applyBorder="1" applyAlignment="1" applyProtection="1">
      <alignment vertical="top"/>
    </xf>
    <xf numFmtId="207" fontId="49" fillId="3" borderId="0" xfId="1" applyNumberFormat="1" applyFont="1" applyFill="1" applyBorder="1"/>
    <xf numFmtId="0" fontId="44" fillId="0" borderId="0" xfId="0" applyFont="1"/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206" fontId="39" fillId="0" borderId="0" xfId="10" applyNumberFormat="1" applyFont="1" applyFill="1" applyAlignment="1" applyProtection="1">
      <protection locked="0"/>
    </xf>
    <xf numFmtId="207" fontId="41" fillId="0" borderId="0" xfId="1" applyNumberFormat="1" applyFont="1" applyFill="1" applyBorder="1"/>
    <xf numFmtId="206" fontId="41" fillId="0" borderId="0" xfId="10" applyNumberFormat="1" applyFont="1" applyFill="1" applyAlignment="1" applyProtection="1">
      <protection locked="0"/>
    </xf>
    <xf numFmtId="49" fontId="25" fillId="0" borderId="0" xfId="10" applyNumberFormat="1" applyFont="1" applyAlignment="1" applyProtection="1">
      <alignment horizontal="center" wrapText="1"/>
      <protection locked="0"/>
    </xf>
    <xf numFmtId="205" fontId="49" fillId="0" borderId="0" xfId="11" applyNumberFormat="1" applyFont="1"/>
    <xf numFmtId="43" fontId="54" fillId="0" borderId="0" xfId="0" applyNumberFormat="1" applyFont="1" applyFill="1"/>
    <xf numFmtId="213" fontId="38" fillId="0" borderId="0" xfId="3" applyNumberFormat="1" applyFont="1" applyFill="1" applyBorder="1" applyAlignment="1" applyProtection="1">
      <alignment vertical="top"/>
    </xf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0" fontId="0" fillId="0" borderId="0" xfId="0" applyAlignment="1">
      <alignment horizontal="center"/>
    </xf>
    <xf numFmtId="206" fontId="39" fillId="0" borderId="0" xfId="10" applyNumberFormat="1" applyFont="1" applyFill="1" applyAlignment="1" applyProtection="1">
      <alignment horizontal="right"/>
      <protection locked="0"/>
    </xf>
    <xf numFmtId="9" fontId="41" fillId="0" borderId="0" xfId="13" applyFont="1" applyFill="1" applyBorder="1" applyAlignment="1" applyProtection="1">
      <alignment vertical="top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207" fontId="0" fillId="0" borderId="7" xfId="0" applyNumberFormat="1" applyFill="1" applyBorder="1"/>
    <xf numFmtId="205" fontId="39" fillId="10" borderId="0" xfId="10" applyNumberFormat="1" applyFont="1" applyFill="1" applyAlignment="1" applyProtection="1">
      <protection locked="0"/>
    </xf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0" fontId="31" fillId="16" borderId="0" xfId="0" applyFont="1" applyFill="1" applyAlignment="1">
      <alignment horizontal="center"/>
    </xf>
    <xf numFmtId="17" fontId="35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0" fontId="39" fillId="0" borderId="0" xfId="0" applyFont="1"/>
    <xf numFmtId="205" fontId="25" fillId="24" borderId="0" xfId="3" applyNumberFormat="1" applyFont="1" applyFill="1" applyBorder="1" applyAlignment="1" applyProtection="1">
      <alignment horizontal="right" vertical="top"/>
    </xf>
    <xf numFmtId="213" fontId="25" fillId="25" borderId="0" xfId="3" applyNumberFormat="1" applyFont="1" applyFill="1" applyBorder="1" applyAlignment="1" applyProtection="1">
      <alignment vertical="top"/>
    </xf>
    <xf numFmtId="205" fontId="41" fillId="10" borderId="0" xfId="10" applyNumberFormat="1" applyFont="1" applyFill="1" applyAlignment="1" applyProtection="1">
      <protection locked="0"/>
    </xf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205" fontId="39" fillId="0" borderId="0" xfId="10" applyNumberFormat="1" applyFont="1" applyFill="1" applyAlignment="1" applyProtection="1">
      <protection locked="0"/>
    </xf>
    <xf numFmtId="213" fontId="39" fillId="0" borderId="0" xfId="10" applyNumberFormat="1" applyFont="1" applyFill="1" applyAlignment="1" applyProtection="1">
      <protection locked="0"/>
    </xf>
    <xf numFmtId="205" fontId="41" fillId="0" borderId="0" xfId="10" applyNumberFormat="1" applyFont="1" applyFill="1" applyAlignment="1" applyProtection="1">
      <protection locked="0"/>
    </xf>
    <xf numFmtId="0" fontId="25" fillId="0" borderId="0" xfId="11" applyFont="1"/>
    <xf numFmtId="0" fontId="44" fillId="0" borderId="0" xfId="11" applyFont="1"/>
    <xf numFmtId="14" fontId="25" fillId="0" borderId="2" xfId="11" applyNumberFormat="1" applyBorder="1"/>
    <xf numFmtId="14" fontId="39" fillId="0" borderId="3" xfId="10" applyNumberFormat="1" applyFont="1" applyBorder="1" applyAlignment="1" applyProtection="1">
      <protection locked="0"/>
    </xf>
    <xf numFmtId="213" fontId="39" fillId="0" borderId="3" xfId="3" applyNumberFormat="1" applyFont="1" applyFill="1" applyBorder="1" applyAlignment="1" applyProtection="1">
      <alignment vertical="top"/>
    </xf>
    <xf numFmtId="205" fontId="39" fillId="0" borderId="4" xfId="3" applyNumberFormat="1" applyFont="1" applyFill="1" applyBorder="1" applyAlignment="1" applyProtection="1">
      <alignment vertical="top"/>
    </xf>
    <xf numFmtId="49" fontId="39" fillId="0" borderId="0" xfId="0" applyNumberFormat="1" applyFont="1"/>
    <xf numFmtId="17" fontId="35" fillId="0" borderId="0" xfId="0" applyNumberFormat="1" applyFont="1" applyAlignment="1">
      <alignment horizontal="center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205" fontId="30" fillId="0" borderId="0" xfId="3" applyNumberFormat="1" applyFont="1" applyFill="1" applyBorder="1" applyAlignment="1" applyProtection="1">
      <alignment horizontal="right" vertical="top"/>
    </xf>
    <xf numFmtId="213" fontId="49" fillId="0" borderId="0" xfId="3" applyNumberFormat="1" applyFont="1" applyFill="1" applyBorder="1" applyAlignment="1" applyProtection="1">
      <alignment vertical="top"/>
    </xf>
    <xf numFmtId="0" fontId="57" fillId="19" borderId="19" xfId="0" applyFont="1" applyFill="1" applyBorder="1" applyAlignment="1">
      <alignment horizontal="center" vertical="center" wrapText="1"/>
    </xf>
    <xf numFmtId="0" fontId="57" fillId="19" borderId="20" xfId="0" applyFont="1" applyFill="1" applyBorder="1" applyAlignment="1">
      <alignment horizontal="center" vertical="center" wrapText="1"/>
    </xf>
    <xf numFmtId="0" fontId="57" fillId="19" borderId="21" xfId="0" applyFont="1" applyFill="1" applyBorder="1" applyAlignment="1">
      <alignment horizontal="center" vertical="center" wrapText="1"/>
    </xf>
    <xf numFmtId="14" fontId="25" fillId="0" borderId="2" xfId="1" applyNumberFormat="1" applyFont="1" applyFill="1" applyBorder="1"/>
    <xf numFmtId="1" fontId="25" fillId="0" borderId="3" xfId="1" applyNumberFormat="1" applyFont="1" applyFill="1" applyBorder="1" applyAlignment="1">
      <alignment horizontal="center"/>
    </xf>
    <xf numFmtId="0" fontId="0" fillId="0" borderId="3" xfId="0" applyFill="1" applyBorder="1" applyAlignment="1">
      <alignment wrapText="1"/>
    </xf>
    <xf numFmtId="218" fontId="25" fillId="0" borderId="3" xfId="1" applyNumberFormat="1" applyFont="1" applyFill="1" applyBorder="1"/>
    <xf numFmtId="213" fontId="25" fillId="5" borderId="3" xfId="1" applyNumberFormat="1" applyFont="1" applyFill="1" applyBorder="1"/>
    <xf numFmtId="207" fontId="25" fillId="0" borderId="3" xfId="1" applyNumberFormat="1" applyFont="1" applyFill="1" applyBorder="1"/>
    <xf numFmtId="0" fontId="0" fillId="0" borderId="3" xfId="0" applyBorder="1"/>
    <xf numFmtId="14" fontId="25" fillId="0" borderId="3" xfId="1" applyNumberFormat="1" applyFont="1" applyFill="1" applyBorder="1"/>
    <xf numFmtId="213" fontId="25" fillId="5" borderId="4" xfId="1" applyNumberFormat="1" applyFont="1" applyFill="1" applyBorder="1"/>
    <xf numFmtId="43" fontId="25" fillId="0" borderId="6" xfId="1" applyNumberFormat="1" applyFont="1" applyFill="1" applyBorder="1"/>
    <xf numFmtId="14" fontId="29" fillId="0" borderId="6" xfId="1" applyNumberFormat="1" applyFont="1" applyFill="1" applyBorder="1"/>
    <xf numFmtId="49" fontId="0" fillId="0" borderId="0" xfId="0" applyNumberFormat="1" applyAlignment="1">
      <alignment horizontal="center"/>
    </xf>
    <xf numFmtId="0" fontId="25" fillId="0" borderId="0" xfId="11"/>
    <xf numFmtId="0" fontId="25" fillId="0" borderId="0" xfId="11" applyAlignment="1">
      <alignment horizontal="center"/>
    </xf>
    <xf numFmtId="0" fontId="34" fillId="3" borderId="0" xfId="0" applyFont="1" applyFill="1"/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210" fontId="25" fillId="0" borderId="0" xfId="3" applyNumberFormat="1" applyFont="1" applyFill="1" applyBorder="1"/>
    <xf numFmtId="210" fontId="39" fillId="0" borderId="0" xfId="3" applyNumberFormat="1" applyFont="1" applyFill="1" applyBorder="1" applyAlignment="1" applyProtection="1">
      <alignment vertical="top"/>
    </xf>
    <xf numFmtId="210" fontId="25" fillId="0" borderId="0" xfId="11" applyNumberFormat="1" applyAlignment="1"/>
    <xf numFmtId="14" fontId="25" fillId="0" borderId="0" xfId="12" applyNumberFormat="1" applyFont="1"/>
    <xf numFmtId="17" fontId="35" fillId="0" borderId="0" xfId="0" applyNumberFormat="1" applyFont="1" applyAlignment="1">
      <alignment horizontal="center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5" fillId="0" borderId="0" xfId="0" applyFont="1" applyAlignment="1"/>
    <xf numFmtId="43" fontId="62" fillId="0" borderId="0" xfId="0" applyNumberFormat="1" applyFont="1" applyFill="1"/>
    <xf numFmtId="0" fontId="25" fillId="0" borderId="0" xfId="11"/>
    <xf numFmtId="0" fontId="25" fillId="0" borderId="0" xfId="11" applyAlignment="1">
      <alignment horizontal="center"/>
    </xf>
    <xf numFmtId="0" fontId="25" fillId="3" borderId="0" xfId="10" applyFont="1" applyFill="1" applyAlignment="1">
      <alignment horizontal="left" wrapText="1" indent="1"/>
    </xf>
    <xf numFmtId="0" fontId="63" fillId="0" borderId="0" xfId="0" applyFont="1"/>
    <xf numFmtId="0" fontId="56" fillId="0" borderId="0" xfId="0" applyFont="1"/>
    <xf numFmtId="0" fontId="54" fillId="0" borderId="0" xfId="0" applyFont="1"/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14" fontId="39" fillId="0" borderId="9" xfId="10" applyNumberFormat="1" applyFont="1" applyBorder="1" applyAlignment="1" applyProtection="1">
      <protection locked="0"/>
    </xf>
    <xf numFmtId="0" fontId="25" fillId="0" borderId="0" xfId="11" applyFont="1"/>
    <xf numFmtId="17" fontId="35" fillId="0" borderId="0" xfId="0" applyNumberFormat="1" applyFont="1" applyAlignment="1">
      <alignment horizontal="center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49" fontId="0" fillId="0" borderId="0" xfId="0" applyNumberFormat="1" applyFont="1"/>
    <xf numFmtId="0" fontId="25" fillId="3" borderId="0" xfId="10" applyFont="1" applyFill="1" applyAlignment="1">
      <alignment horizontal="left" wrapText="1" indent="1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205" fontId="39" fillId="0" borderId="0" xfId="10" applyNumberFormat="1" applyFont="1" applyAlignment="1" applyProtection="1">
      <protection locked="0"/>
    </xf>
    <xf numFmtId="43" fontId="64" fillId="0" borderId="0" xfId="0" applyNumberFormat="1" applyFont="1"/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9" fontId="25" fillId="0" borderId="0" xfId="13" applyFont="1" applyFill="1" applyBorder="1"/>
    <xf numFmtId="0" fontId="25" fillId="0" borderId="0" xfId="11" applyFont="1"/>
    <xf numFmtId="17" fontId="35" fillId="0" borderId="0" xfId="0" applyNumberFormat="1" applyFont="1" applyAlignment="1">
      <alignment horizontal="center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218" fontId="0" fillId="0" borderId="0" xfId="0" applyNumberFormat="1"/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43" fontId="65" fillId="0" borderId="0" xfId="0" applyNumberFormat="1" applyFont="1"/>
    <xf numFmtId="0" fontId="65" fillId="0" borderId="0" xfId="0" applyFont="1"/>
    <xf numFmtId="43" fontId="34" fillId="0" borderId="0" xfId="0" applyNumberFormat="1" applyFont="1"/>
    <xf numFmtId="43" fontId="66" fillId="0" borderId="0" xfId="0" applyNumberFormat="1" applyFont="1"/>
    <xf numFmtId="0" fontId="66" fillId="0" borderId="0" xfId="0" applyFont="1"/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43" fontId="25" fillId="0" borderId="0" xfId="11" applyNumberFormat="1"/>
    <xf numFmtId="207" fontId="29" fillId="0" borderId="0" xfId="1" applyNumberFormat="1" applyFont="1" applyFill="1" applyBorder="1"/>
    <xf numFmtId="49" fontId="29" fillId="0" borderId="0" xfId="0" applyNumberFormat="1" applyFont="1"/>
    <xf numFmtId="213" fontId="29" fillId="0" borderId="0" xfId="1" applyNumberFormat="1" applyFont="1" applyFill="1" applyBorder="1"/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0" fontId="25" fillId="3" borderId="0" xfId="10" applyFont="1" applyFill="1" applyAlignment="1">
      <alignment horizontal="left" wrapText="1" indent="1"/>
    </xf>
    <xf numFmtId="15" fontId="1" fillId="3" borderId="0" xfId="0" applyNumberFormat="1" applyFont="1" applyFill="1" applyAlignment="1">
      <alignment horizontal="center" vertical="center"/>
    </xf>
    <xf numFmtId="0" fontId="30" fillId="0" borderId="0" xfId="11" applyFont="1" applyAlignment="1">
      <alignment horizontal="center"/>
    </xf>
    <xf numFmtId="0" fontId="26" fillId="9" borderId="0" xfId="11" applyFont="1" applyFill="1" applyAlignment="1">
      <alignment horizontal="center"/>
    </xf>
    <xf numFmtId="0" fontId="40" fillId="26" borderId="0" xfId="12" applyFont="1" applyFill="1" applyAlignment="1">
      <alignment horizontal="center"/>
    </xf>
    <xf numFmtId="0" fontId="25" fillId="0" borderId="0" xfId="11"/>
    <xf numFmtId="0" fontId="25" fillId="0" borderId="0" xfId="11" applyAlignment="1">
      <alignment horizontal="center"/>
    </xf>
    <xf numFmtId="168" fontId="25" fillId="0" borderId="0" xfId="3" applyFont="1" applyFill="1" applyBorder="1"/>
    <xf numFmtId="0" fontId="25" fillId="0" borderId="0" xfId="11" applyFont="1" applyAlignment="1">
      <alignment horizontal="center"/>
    </xf>
    <xf numFmtId="0" fontId="27" fillId="14" borderId="0" xfId="0" applyFont="1" applyFill="1" applyBorder="1" applyAlignment="1">
      <alignment horizontal="center"/>
    </xf>
    <xf numFmtId="0" fontId="27" fillId="14" borderId="34" xfId="0" applyFont="1" applyFill="1" applyBorder="1" applyAlignment="1">
      <alignment horizontal="center"/>
    </xf>
    <xf numFmtId="0" fontId="27" fillId="14" borderId="29" xfId="0" applyFont="1" applyFill="1" applyBorder="1" applyAlignment="1">
      <alignment horizontal="center"/>
    </xf>
    <xf numFmtId="0" fontId="27" fillId="14" borderId="0" xfId="0" applyFont="1" applyFill="1" applyAlignment="1">
      <alignment horizontal="center"/>
    </xf>
    <xf numFmtId="0" fontId="27" fillId="8" borderId="30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17" fontId="35" fillId="0" borderId="0" xfId="0" applyNumberFormat="1" applyFont="1" applyAlignment="1">
      <alignment horizontal="center"/>
    </xf>
    <xf numFmtId="0" fontId="31" fillId="1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1" xfId="0" applyFont="1" applyBorder="1" applyAlignment="1">
      <alignment horizontal="center"/>
    </xf>
  </cellXfs>
  <cellStyles count="15">
    <cellStyle name="Millares" xfId="1" builtinId="3"/>
    <cellStyle name="Moneda" xfId="2" builtinId="4"/>
    <cellStyle name="Moneda [0] 2" xfId="3" xr:uid="{7C5789C2-B96F-4E8C-93AB-B812C35F0B46}"/>
    <cellStyle name="Normal" xfId="0" builtinId="0"/>
    <cellStyle name="Normal 150" xfId="4" xr:uid="{BE69631E-F989-432A-BE12-2BD616F2A7EB}"/>
    <cellStyle name="Normal 151" xfId="5" xr:uid="{A5356DBE-03C6-4CAD-9E5D-3A8BF975EDBD}"/>
    <cellStyle name="Normal 155" xfId="6" xr:uid="{FE690834-1B21-4BDC-A20D-D7C59D485A22}"/>
    <cellStyle name="Normal 163" xfId="7" xr:uid="{55A79335-414D-46DF-8D6C-90EBD272DD7B}"/>
    <cellStyle name="Normal 171" xfId="8" xr:uid="{90FC2411-7CE4-4A9F-BA1E-C8D97702D05B}"/>
    <cellStyle name="Normal 2" xfId="9" xr:uid="{35CB9F80-44FC-4BEE-8572-3FF0D0C9770C}"/>
    <cellStyle name="Normal 2 4" xfId="10" xr:uid="{A38A0060-6C64-4D7A-8824-2CFC0EF4582E}"/>
    <cellStyle name="Normal 3 2 4" xfId="11" xr:uid="{449EE881-49B4-4DEC-8621-338260F2194F}"/>
    <cellStyle name="Normal 3 3" xfId="12" xr:uid="{14440C9A-3BE7-4F3B-90BC-8452622B4630}"/>
    <cellStyle name="Porcentaje" xfId="13" builtinId="5"/>
    <cellStyle name="Porcentaje 2" xfId="14" xr:uid="{59A0C106-EC9D-429C-8A6A-B789B62F81C5}"/>
  </cellStyles>
  <dxfs count="56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518160</xdr:colOff>
      <xdr:row>2</xdr:row>
      <xdr:rowOff>182880</xdr:rowOff>
    </xdr:from>
    <xdr:to>
      <xdr:col>21</xdr:col>
      <xdr:colOff>381000</xdr:colOff>
      <xdr:row>19</xdr:row>
      <xdr:rowOff>0</xdr:rowOff>
    </xdr:to>
    <xdr:pic>
      <xdr:nvPicPr>
        <xdr:cNvPr id="48302" name="Imagen 1">
          <a:extLst>
            <a:ext uri="{FF2B5EF4-FFF2-40B4-BE49-F238E27FC236}">
              <a16:creationId xmlns:a16="http://schemas.microsoft.com/office/drawing/2014/main" id="{FAF7CBE1-3A40-7A10-90DD-123064DFC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2360" y="457200"/>
          <a:ext cx="2811780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38100</xdr:colOff>
      <xdr:row>31</xdr:row>
      <xdr:rowOff>38100</xdr:rowOff>
    </xdr:from>
    <xdr:to>
      <xdr:col>15</xdr:col>
      <xdr:colOff>266700</xdr:colOff>
      <xdr:row>45</xdr:row>
      <xdr:rowOff>38100</xdr:rowOff>
    </xdr:to>
    <xdr:pic>
      <xdr:nvPicPr>
        <xdr:cNvPr id="48303" name="Imagen 3">
          <a:extLst>
            <a:ext uri="{FF2B5EF4-FFF2-40B4-BE49-F238E27FC236}">
              <a16:creationId xmlns:a16="http://schemas.microsoft.com/office/drawing/2014/main" id="{AD87DDB7-E7BB-5C86-28B4-2577FFC3F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0040" y="4762500"/>
          <a:ext cx="523494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815340</xdr:colOff>
      <xdr:row>29</xdr:row>
      <xdr:rowOff>129540</xdr:rowOff>
    </xdr:to>
    <xdr:pic>
      <xdr:nvPicPr>
        <xdr:cNvPr id="44631" name="Imagen 1">
          <a:extLst>
            <a:ext uri="{FF2B5EF4-FFF2-40B4-BE49-F238E27FC236}">
              <a16:creationId xmlns:a16="http://schemas.microsoft.com/office/drawing/2014/main" id="{23DFB99F-3206-C424-3319-CEF3CF8F2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472160" cy="5433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29BC-BAD9-4143-9D89-9FAC62B7BEB9}">
  <sheetPr codeName="Hoja1"/>
  <dimension ref="A1:N650"/>
  <sheetViews>
    <sheetView topLeftCell="A626" zoomScaleNormal="100" workbookViewId="0">
      <selection activeCell="D641" sqref="D641"/>
    </sheetView>
  </sheetViews>
  <sheetFormatPr baseColWidth="10" defaultColWidth="9.109375" defaultRowHeight="12"/>
  <cols>
    <col min="1" max="1" width="12.33203125" style="15" customWidth="1"/>
    <col min="2" max="2" width="3.109375" style="15" customWidth="1"/>
    <col min="3" max="3" width="2.6640625" style="15" customWidth="1"/>
    <col min="4" max="4" width="90.88671875" style="15" customWidth="1"/>
    <col min="5" max="5" width="19" style="15" customWidth="1"/>
    <col min="6" max="6" width="16.33203125" style="15" customWidth="1"/>
    <col min="7" max="7" width="16.88671875" style="15" bestFit="1" customWidth="1"/>
    <col min="8" max="8" width="13.44140625" style="15" bestFit="1" customWidth="1"/>
    <col min="9" max="9" width="17" style="15" customWidth="1"/>
    <col min="10" max="10" width="9.109375" style="15" customWidth="1"/>
    <col min="11" max="11" width="12" style="15" bestFit="1" customWidth="1"/>
    <col min="12" max="16384" width="9.109375" style="15"/>
  </cols>
  <sheetData>
    <row r="1" spans="1:10" s="11" customFormat="1" ht="12.6">
      <c r="B1" s="1"/>
      <c r="C1" s="2"/>
      <c r="D1" s="3" t="s">
        <v>4</v>
      </c>
      <c r="E1" s="3" t="s">
        <v>1</v>
      </c>
      <c r="F1" s="3" t="s">
        <v>2</v>
      </c>
      <c r="G1" s="4" t="s">
        <v>3</v>
      </c>
      <c r="H1" s="4"/>
      <c r="I1" s="5"/>
    </row>
    <row r="2" spans="1:10" s="19" customFormat="1" ht="15" customHeight="1">
      <c r="A2" s="587" t="s">
        <v>0</v>
      </c>
      <c r="B2" s="18"/>
      <c r="C2" s="23"/>
      <c r="D2" s="24" t="s">
        <v>5</v>
      </c>
      <c r="E2" s="17"/>
      <c r="F2" s="17"/>
      <c r="G2" s="25">
        <v>0</v>
      </c>
      <c r="H2" s="22"/>
      <c r="I2" s="20"/>
    </row>
    <row r="3" spans="1:10" s="19" customFormat="1" ht="12.6">
      <c r="A3" s="587"/>
      <c r="B3" s="18"/>
      <c r="C3" s="23"/>
      <c r="D3" s="24" t="s">
        <v>6</v>
      </c>
      <c r="E3" s="17"/>
      <c r="F3" s="17"/>
      <c r="G3" s="25"/>
      <c r="H3" s="22"/>
      <c r="I3" s="20"/>
    </row>
    <row r="4" spans="1:10" s="19" customFormat="1" ht="12.6">
      <c r="A4" s="14"/>
      <c r="B4" s="14"/>
      <c r="C4" s="7"/>
      <c r="D4" s="37"/>
      <c r="E4" s="38"/>
      <c r="F4" s="38"/>
      <c r="G4" s="39"/>
      <c r="H4" s="35"/>
      <c r="I4" s="33"/>
      <c r="J4" s="15"/>
    </row>
    <row r="5" spans="1:10" s="11" customFormat="1" ht="12.6">
      <c r="A5" s="14">
        <v>44926</v>
      </c>
      <c r="B5" s="6"/>
      <c r="C5" s="7"/>
      <c r="D5" s="10" t="s">
        <v>14</v>
      </c>
      <c r="E5" s="16"/>
      <c r="F5" s="16"/>
      <c r="G5" s="41">
        <v>84354.37</v>
      </c>
      <c r="H5" s="8"/>
      <c r="I5" s="9"/>
    </row>
    <row r="6" spans="1:10" ht="12.6">
      <c r="A6" s="14">
        <v>44927</v>
      </c>
      <c r="E6" s="13">
        <v>0</v>
      </c>
      <c r="F6" s="36">
        <v>0</v>
      </c>
      <c r="G6" s="26">
        <f t="shared" ref="G6:G69" si="0">G5+E6-F6</f>
        <v>84354.37</v>
      </c>
      <c r="H6" s="27"/>
      <c r="I6" s="26"/>
    </row>
    <row r="7" spans="1:10" ht="12.6">
      <c r="A7" s="14">
        <v>44937</v>
      </c>
      <c r="D7" s="15" t="s">
        <v>16</v>
      </c>
      <c r="E7" s="13">
        <v>172500</v>
      </c>
      <c r="F7" s="36"/>
      <c r="G7" s="26">
        <f t="shared" si="0"/>
        <v>256854.37</v>
      </c>
      <c r="H7" s="27"/>
      <c r="I7" s="26"/>
    </row>
    <row r="8" spans="1:10" ht="12.6">
      <c r="A8" s="14">
        <v>44937</v>
      </c>
      <c r="D8" s="15" t="s">
        <v>10</v>
      </c>
      <c r="E8" s="13"/>
      <c r="F8" s="36">
        <v>105000</v>
      </c>
      <c r="G8" s="26">
        <f t="shared" si="0"/>
        <v>151854.37</v>
      </c>
      <c r="H8" s="27"/>
      <c r="I8" s="26"/>
    </row>
    <row r="9" spans="1:10" ht="12.6">
      <c r="A9" s="14">
        <v>44937</v>
      </c>
      <c r="D9" s="15" t="s">
        <v>80</v>
      </c>
      <c r="E9" s="13"/>
      <c r="F9" s="36">
        <v>77000</v>
      </c>
      <c r="G9" s="26">
        <f t="shared" si="0"/>
        <v>74854.37</v>
      </c>
      <c r="H9" s="27"/>
      <c r="I9" s="21"/>
    </row>
    <row r="10" spans="1:10" ht="12.6">
      <c r="A10" s="14">
        <v>44937</v>
      </c>
      <c r="D10" s="15" t="s">
        <v>8</v>
      </c>
      <c r="E10" s="13"/>
      <c r="F10" s="36">
        <v>1767</v>
      </c>
      <c r="G10" s="26">
        <f t="shared" si="0"/>
        <v>73087.37</v>
      </c>
      <c r="H10" s="27"/>
      <c r="I10" s="26"/>
    </row>
    <row r="11" spans="1:10" ht="12.6">
      <c r="A11" s="14">
        <v>44946</v>
      </c>
      <c r="D11" s="15" t="s">
        <v>9</v>
      </c>
      <c r="E11" s="13"/>
      <c r="F11" s="36">
        <v>13560</v>
      </c>
      <c r="G11" s="26">
        <f t="shared" si="0"/>
        <v>59527.369999999995</v>
      </c>
      <c r="H11" s="27"/>
      <c r="I11" s="26"/>
    </row>
    <row r="12" spans="1:10" s="19" customFormat="1" ht="12.6">
      <c r="A12" s="18">
        <v>44957</v>
      </c>
      <c r="E12" s="30"/>
      <c r="F12" s="44"/>
      <c r="G12" s="31">
        <f t="shared" si="0"/>
        <v>59527.369999999995</v>
      </c>
      <c r="H12" s="43"/>
      <c r="I12" s="31"/>
    </row>
    <row r="13" spans="1:10" ht="12.6">
      <c r="A13" s="14">
        <v>44958</v>
      </c>
      <c r="D13" s="15" t="s">
        <v>17</v>
      </c>
      <c r="E13" s="13">
        <v>384300</v>
      </c>
      <c r="F13" s="36"/>
      <c r="G13" s="26">
        <f t="shared" si="0"/>
        <v>443827.37</v>
      </c>
      <c r="H13" s="27"/>
      <c r="I13" s="26"/>
    </row>
    <row r="14" spans="1:10" ht="12.6">
      <c r="A14" s="14">
        <v>44958</v>
      </c>
      <c r="D14" s="15" t="s">
        <v>10</v>
      </c>
      <c r="E14" s="13"/>
      <c r="F14" s="36">
        <v>105000</v>
      </c>
      <c r="G14" s="26">
        <f t="shared" si="0"/>
        <v>338827.37</v>
      </c>
      <c r="H14" s="27"/>
      <c r="I14" s="26"/>
    </row>
    <row r="15" spans="1:10" ht="12.6">
      <c r="A15" s="14">
        <v>44958</v>
      </c>
      <c r="D15" s="15" t="s">
        <v>80</v>
      </c>
      <c r="E15" s="13"/>
      <c r="F15" s="36">
        <v>77000</v>
      </c>
      <c r="G15" s="26">
        <f t="shared" si="0"/>
        <v>261827.37</v>
      </c>
      <c r="H15" s="27"/>
      <c r="I15" s="26"/>
    </row>
    <row r="16" spans="1:10" ht="12.6">
      <c r="A16" s="14">
        <v>44958</v>
      </c>
      <c r="D16" s="15" t="s">
        <v>8</v>
      </c>
      <c r="E16" s="13"/>
      <c r="F16" s="36">
        <v>422.25</v>
      </c>
      <c r="G16" s="26">
        <f t="shared" si="0"/>
        <v>261405.12</v>
      </c>
      <c r="H16" s="27"/>
      <c r="I16" s="26"/>
    </row>
    <row r="17" spans="1:9" ht="12.6">
      <c r="A17" s="14">
        <v>44958</v>
      </c>
      <c r="D17" s="15" t="s">
        <v>18</v>
      </c>
      <c r="E17" s="13"/>
      <c r="F17" s="36">
        <v>231173</v>
      </c>
      <c r="G17" s="26">
        <f t="shared" si="0"/>
        <v>30232.119999999995</v>
      </c>
      <c r="H17" s="27"/>
      <c r="I17" s="26"/>
    </row>
    <row r="18" spans="1:9" s="19" customFormat="1" ht="12.6">
      <c r="A18" s="18">
        <v>44985</v>
      </c>
      <c r="E18" s="30"/>
      <c r="F18" s="44"/>
      <c r="G18" s="31">
        <f t="shared" si="0"/>
        <v>30232.119999999995</v>
      </c>
      <c r="H18" s="43"/>
      <c r="I18" s="31"/>
    </row>
    <row r="19" spans="1:9" ht="12.6">
      <c r="A19" s="14">
        <v>44987</v>
      </c>
      <c r="D19" s="15" t="s">
        <v>16</v>
      </c>
      <c r="E19" s="13">
        <v>165600</v>
      </c>
      <c r="F19" s="36"/>
      <c r="G19" s="26">
        <f t="shared" si="0"/>
        <v>195832.12</v>
      </c>
      <c r="H19" s="27"/>
      <c r="I19" s="26"/>
    </row>
    <row r="20" spans="1:9" ht="12.6">
      <c r="A20" s="14">
        <v>44987</v>
      </c>
      <c r="D20" s="15" t="s">
        <v>10</v>
      </c>
      <c r="E20" s="13"/>
      <c r="F20" s="36">
        <v>105000</v>
      </c>
      <c r="G20" s="26">
        <f t="shared" si="0"/>
        <v>90832.12</v>
      </c>
      <c r="H20" s="27"/>
      <c r="I20" s="26"/>
    </row>
    <row r="21" spans="1:9" ht="12.6">
      <c r="A21" s="14">
        <v>44987</v>
      </c>
      <c r="D21" s="15" t="s">
        <v>80</v>
      </c>
      <c r="E21" s="13"/>
      <c r="F21" s="36">
        <v>77000</v>
      </c>
      <c r="G21" s="26">
        <f t="shared" si="0"/>
        <v>13832.119999999995</v>
      </c>
      <c r="H21" s="27"/>
      <c r="I21" s="26"/>
    </row>
    <row r="22" spans="1:9" ht="12.6">
      <c r="A22" s="14">
        <v>44987</v>
      </c>
      <c r="D22" s="15" t="s">
        <v>8</v>
      </c>
      <c r="E22" s="13"/>
      <c r="F22" s="36">
        <v>424.5</v>
      </c>
      <c r="G22" s="26">
        <f t="shared" si="0"/>
        <v>13407.619999999995</v>
      </c>
      <c r="H22" s="27"/>
      <c r="I22" s="26"/>
    </row>
    <row r="23" spans="1:9" ht="12.6">
      <c r="A23" s="14">
        <v>45016</v>
      </c>
      <c r="D23" s="15" t="s">
        <v>19</v>
      </c>
      <c r="E23" s="13"/>
      <c r="F23" s="36">
        <v>3000</v>
      </c>
      <c r="G23" s="26">
        <f t="shared" si="0"/>
        <v>10407.619999999995</v>
      </c>
    </row>
    <row r="24" spans="1:9" s="19" customFormat="1" ht="12.6">
      <c r="A24" s="18">
        <v>45016</v>
      </c>
      <c r="E24" s="30"/>
      <c r="F24" s="44"/>
      <c r="G24" s="31">
        <f t="shared" si="0"/>
        <v>10407.619999999995</v>
      </c>
    </row>
    <row r="25" spans="1:9" ht="12.6">
      <c r="A25" s="14">
        <v>45040</v>
      </c>
      <c r="D25" s="15" t="s">
        <v>21</v>
      </c>
      <c r="E25" s="13">
        <v>105200</v>
      </c>
      <c r="F25" s="36"/>
      <c r="G25" s="26">
        <f t="shared" si="0"/>
        <v>115607.62</v>
      </c>
    </row>
    <row r="26" spans="1:9" ht="12.6">
      <c r="A26" s="14">
        <v>45040</v>
      </c>
      <c r="D26" s="15" t="s">
        <v>80</v>
      </c>
      <c r="E26" s="13"/>
      <c r="F26" s="36">
        <v>77000</v>
      </c>
      <c r="G26" s="26">
        <f t="shared" si="0"/>
        <v>38607.619999999995</v>
      </c>
    </row>
    <row r="27" spans="1:9" ht="12.6">
      <c r="A27" s="14">
        <v>45040</v>
      </c>
      <c r="D27" s="15" t="s">
        <v>8</v>
      </c>
      <c r="E27" s="13"/>
      <c r="F27" s="36">
        <v>1620</v>
      </c>
      <c r="G27" s="26">
        <f t="shared" si="0"/>
        <v>36987.619999999995</v>
      </c>
    </row>
    <row r="28" spans="1:9" ht="12.6">
      <c r="A28" s="14">
        <v>45046</v>
      </c>
      <c r="D28" s="15" t="s">
        <v>19</v>
      </c>
      <c r="E28" s="13"/>
      <c r="F28" s="36">
        <v>3000</v>
      </c>
      <c r="G28" s="26">
        <f t="shared" si="0"/>
        <v>33987.619999999995</v>
      </c>
    </row>
    <row r="29" spans="1:9" s="19" customFormat="1" ht="12.6">
      <c r="A29" s="18">
        <v>45046</v>
      </c>
      <c r="E29" s="30"/>
      <c r="F29" s="44"/>
      <c r="G29" s="31">
        <f t="shared" si="0"/>
        <v>33987.619999999995</v>
      </c>
    </row>
    <row r="30" spans="1:9" ht="12.6">
      <c r="A30" s="14">
        <v>45047</v>
      </c>
      <c r="D30" s="15" t="s">
        <v>21</v>
      </c>
      <c r="E30" s="13">
        <v>107600</v>
      </c>
      <c r="F30" s="36"/>
      <c r="G30" s="26">
        <f t="shared" si="0"/>
        <v>141587.62</v>
      </c>
    </row>
    <row r="31" spans="1:9" ht="12.6">
      <c r="A31" s="14">
        <v>45048</v>
      </c>
      <c r="D31" s="15" t="s">
        <v>80</v>
      </c>
      <c r="E31" s="13"/>
      <c r="F31" s="36">
        <v>77000</v>
      </c>
      <c r="G31" s="26">
        <f t="shared" si="0"/>
        <v>64587.619999999995</v>
      </c>
    </row>
    <row r="32" spans="1:9" ht="12.6">
      <c r="A32" s="14">
        <v>45049</v>
      </c>
      <c r="D32" s="15" t="s">
        <v>8</v>
      </c>
      <c r="E32" s="13"/>
      <c r="F32" s="13">
        <v>414</v>
      </c>
      <c r="G32" s="26">
        <f t="shared" si="0"/>
        <v>64173.619999999995</v>
      </c>
    </row>
    <row r="33" spans="1:7" s="19" customFormat="1" ht="12.6">
      <c r="A33" s="18">
        <v>45077</v>
      </c>
      <c r="E33" s="30"/>
      <c r="F33" s="30"/>
      <c r="G33" s="31">
        <f t="shared" si="0"/>
        <v>64173.619999999995</v>
      </c>
    </row>
    <row r="34" spans="1:7" ht="12.6">
      <c r="A34" s="14">
        <v>45082</v>
      </c>
      <c r="D34" s="15" t="s">
        <v>16</v>
      </c>
      <c r="E34" s="13">
        <v>160800</v>
      </c>
      <c r="F34" s="13"/>
      <c r="G34" s="26">
        <f t="shared" si="0"/>
        <v>224973.62</v>
      </c>
    </row>
    <row r="35" spans="1:7" ht="12.6">
      <c r="A35" s="14">
        <v>45082</v>
      </c>
      <c r="D35" s="15" t="s">
        <v>43</v>
      </c>
      <c r="E35" s="13"/>
      <c r="F35" s="36">
        <v>105000</v>
      </c>
      <c r="G35" s="26">
        <f t="shared" si="0"/>
        <v>119973.62</v>
      </c>
    </row>
    <row r="36" spans="1:7" ht="12.6">
      <c r="A36" s="14">
        <v>45082</v>
      </c>
      <c r="D36" s="15" t="s">
        <v>80</v>
      </c>
      <c r="E36" s="13"/>
      <c r="F36" s="36">
        <v>77000</v>
      </c>
      <c r="G36" s="26">
        <f t="shared" si="0"/>
        <v>42973.619999999995</v>
      </c>
    </row>
    <row r="37" spans="1:7" ht="12.6">
      <c r="A37" s="14">
        <v>45082</v>
      </c>
      <c r="D37" s="15" t="s">
        <v>8</v>
      </c>
      <c r="E37" s="13"/>
      <c r="F37" s="36">
        <v>412.5</v>
      </c>
      <c r="G37" s="26">
        <f t="shared" si="0"/>
        <v>42561.119999999995</v>
      </c>
    </row>
    <row r="38" spans="1:7" ht="12.6">
      <c r="A38" s="14">
        <v>45105</v>
      </c>
      <c r="D38" s="15" t="s">
        <v>65</v>
      </c>
      <c r="E38" s="13">
        <v>756000</v>
      </c>
      <c r="F38" s="13"/>
      <c r="G38" s="26">
        <f t="shared" si="0"/>
        <v>798561.12</v>
      </c>
    </row>
    <row r="39" spans="1:7" ht="12.6">
      <c r="A39" s="14">
        <v>45105</v>
      </c>
      <c r="D39" s="15" t="s">
        <v>50</v>
      </c>
      <c r="E39" s="13"/>
      <c r="F39" s="13">
        <v>752248</v>
      </c>
      <c r="G39" s="26">
        <f t="shared" si="0"/>
        <v>46313.119999999995</v>
      </c>
    </row>
    <row r="40" spans="1:7" s="19" customFormat="1" ht="12.6">
      <c r="A40" s="18">
        <v>45107</v>
      </c>
      <c r="E40" s="30"/>
      <c r="F40" s="30"/>
      <c r="G40" s="31">
        <f t="shared" si="0"/>
        <v>46313.119999999995</v>
      </c>
    </row>
    <row r="41" spans="1:7" ht="12.6">
      <c r="A41" s="14">
        <v>45110</v>
      </c>
      <c r="D41" s="15" t="s">
        <v>16</v>
      </c>
      <c r="E41" s="13">
        <v>161700</v>
      </c>
      <c r="F41" s="36"/>
      <c r="G41" s="26">
        <f t="shared" si="0"/>
        <v>208013.12</v>
      </c>
    </row>
    <row r="42" spans="1:7" ht="12.6">
      <c r="A42" s="14">
        <v>45110</v>
      </c>
      <c r="D42" s="15" t="s">
        <v>42</v>
      </c>
      <c r="E42" s="13"/>
      <c r="F42" s="36">
        <v>105000</v>
      </c>
      <c r="G42" s="26">
        <f t="shared" si="0"/>
        <v>103013.12</v>
      </c>
    </row>
    <row r="43" spans="1:7" ht="12.6">
      <c r="A43" s="14">
        <v>45112</v>
      </c>
      <c r="D43" s="15" t="s">
        <v>80</v>
      </c>
      <c r="E43" s="13"/>
      <c r="F43" s="36">
        <v>77000</v>
      </c>
      <c r="G43" s="26">
        <f t="shared" si="0"/>
        <v>26013.119999999995</v>
      </c>
    </row>
    <row r="44" spans="1:7" ht="12.6">
      <c r="A44" s="14">
        <v>45112</v>
      </c>
      <c r="D44" s="15" t="s">
        <v>8</v>
      </c>
      <c r="E44" s="13"/>
      <c r="F44" s="36">
        <v>414.75</v>
      </c>
      <c r="G44" s="26">
        <f t="shared" si="0"/>
        <v>25598.369999999995</v>
      </c>
    </row>
    <row r="45" spans="1:7" ht="12.6">
      <c r="A45" s="14">
        <v>45124</v>
      </c>
      <c r="D45" s="15" t="s">
        <v>66</v>
      </c>
      <c r="E45" s="13">
        <v>159300</v>
      </c>
      <c r="F45" s="13"/>
      <c r="G45" s="26">
        <f t="shared" si="0"/>
        <v>184898.37</v>
      </c>
    </row>
    <row r="46" spans="1:7" ht="12.6">
      <c r="A46" s="14">
        <v>45124</v>
      </c>
      <c r="D46" s="15" t="s">
        <v>29</v>
      </c>
      <c r="E46" s="13"/>
      <c r="F46" s="13">
        <v>173438</v>
      </c>
      <c r="G46" s="26">
        <f t="shared" si="0"/>
        <v>11460.369999999995</v>
      </c>
    </row>
    <row r="47" spans="1:7" ht="12.6">
      <c r="A47" s="14">
        <v>45135</v>
      </c>
      <c r="D47" s="15" t="s">
        <v>67</v>
      </c>
      <c r="E47" s="13">
        <v>1614000</v>
      </c>
      <c r="F47" s="13"/>
      <c r="G47" s="26">
        <f t="shared" si="0"/>
        <v>1625460.37</v>
      </c>
    </row>
    <row r="48" spans="1:7" ht="12.6">
      <c r="A48" s="14">
        <v>45135</v>
      </c>
      <c r="D48" s="15" t="s">
        <v>49</v>
      </c>
      <c r="E48" s="13"/>
      <c r="F48" s="13">
        <v>1359495</v>
      </c>
      <c r="G48" s="26">
        <f t="shared" si="0"/>
        <v>265965.37000000011</v>
      </c>
    </row>
    <row r="49" spans="1:7" s="19" customFormat="1" ht="12.6">
      <c r="A49" s="18">
        <v>45138</v>
      </c>
      <c r="E49" s="30"/>
      <c r="F49" s="30"/>
      <c r="G49" s="31">
        <f t="shared" si="0"/>
        <v>265965.37000000011</v>
      </c>
    </row>
    <row r="50" spans="1:7" ht="12.6">
      <c r="A50" s="14">
        <v>45140</v>
      </c>
      <c r="D50" s="15" t="s">
        <v>68</v>
      </c>
      <c r="E50" s="13">
        <v>1886500</v>
      </c>
      <c r="F50" s="13"/>
      <c r="G50" s="26">
        <f t="shared" si="0"/>
        <v>2152465.37</v>
      </c>
    </row>
    <row r="51" spans="1:7" ht="12.6">
      <c r="A51" s="14">
        <v>45140</v>
      </c>
      <c r="D51" s="15" t="s">
        <v>41</v>
      </c>
      <c r="E51" s="13"/>
      <c r="F51" s="36">
        <v>105000</v>
      </c>
      <c r="G51" s="26">
        <f t="shared" si="0"/>
        <v>2047465.37</v>
      </c>
    </row>
    <row r="52" spans="1:7" ht="12.6">
      <c r="A52" s="14">
        <v>45140</v>
      </c>
      <c r="D52" s="15" t="s">
        <v>80</v>
      </c>
      <c r="E52" s="13"/>
      <c r="F52" s="36">
        <v>77000</v>
      </c>
      <c r="G52" s="26">
        <f t="shared" si="0"/>
        <v>1970465.37</v>
      </c>
    </row>
    <row r="53" spans="1:7" ht="12.6">
      <c r="A53" s="14">
        <v>45140</v>
      </c>
      <c r="D53" s="15" t="s">
        <v>8</v>
      </c>
      <c r="E53" s="13"/>
      <c r="F53" s="36">
        <v>414.75</v>
      </c>
      <c r="G53" s="26">
        <f t="shared" si="0"/>
        <v>1970050.62</v>
      </c>
    </row>
    <row r="54" spans="1:7" ht="12.6">
      <c r="A54" s="14">
        <v>45153</v>
      </c>
      <c r="D54" s="15" t="s">
        <v>29</v>
      </c>
      <c r="E54" s="13"/>
      <c r="F54" s="13">
        <v>173438</v>
      </c>
      <c r="G54" s="26">
        <f t="shared" si="0"/>
        <v>1796612.62</v>
      </c>
    </row>
    <row r="55" spans="1:7" ht="12.6">
      <c r="A55" s="14">
        <v>45153</v>
      </c>
      <c r="D55" s="15" t="s">
        <v>33</v>
      </c>
      <c r="E55" s="13"/>
      <c r="F55" s="13">
        <v>1420311</v>
      </c>
      <c r="G55" s="26">
        <f t="shared" si="0"/>
        <v>376301.62000000011</v>
      </c>
    </row>
    <row r="56" spans="1:7" ht="12.6">
      <c r="A56" s="14">
        <v>45168</v>
      </c>
      <c r="D56" s="15" t="s">
        <v>69</v>
      </c>
      <c r="E56" s="13">
        <v>1593000</v>
      </c>
      <c r="F56" s="13"/>
      <c r="G56" s="26">
        <f t="shared" si="0"/>
        <v>1969301.62</v>
      </c>
    </row>
    <row r="57" spans="1:7" ht="12.6">
      <c r="A57" s="14">
        <v>45168</v>
      </c>
      <c r="D57" s="15" t="s">
        <v>48</v>
      </c>
      <c r="E57" s="13"/>
      <c r="F57" s="13">
        <v>1553351</v>
      </c>
      <c r="G57" s="26">
        <f t="shared" si="0"/>
        <v>415950.62000000011</v>
      </c>
    </row>
    <row r="58" spans="1:7" s="19" customFormat="1" ht="12.6">
      <c r="A58" s="18">
        <v>45169</v>
      </c>
      <c r="D58" s="19" t="s">
        <v>34</v>
      </c>
      <c r="E58" s="30">
        <v>86.32</v>
      </c>
      <c r="F58" s="30"/>
      <c r="G58" s="31">
        <f t="shared" si="0"/>
        <v>416036.94000000012</v>
      </c>
    </row>
    <row r="59" spans="1:7" ht="12.6">
      <c r="A59" s="14">
        <v>45170</v>
      </c>
      <c r="E59" s="13"/>
      <c r="F59" s="13"/>
      <c r="G59" s="26">
        <f t="shared" si="0"/>
        <v>416036.94000000012</v>
      </c>
    </row>
    <row r="60" spans="1:7" ht="12.6">
      <c r="A60" s="14">
        <v>45171</v>
      </c>
      <c r="D60" s="15" t="s">
        <v>40</v>
      </c>
      <c r="E60" s="13"/>
      <c r="F60" s="13">
        <v>105000</v>
      </c>
      <c r="G60" s="26">
        <f t="shared" si="0"/>
        <v>311036.94000000012</v>
      </c>
    </row>
    <row r="61" spans="1:7" ht="12.6">
      <c r="A61" s="14">
        <v>45175</v>
      </c>
      <c r="D61" s="15" t="s">
        <v>70</v>
      </c>
      <c r="E61" s="13">
        <v>5300000</v>
      </c>
      <c r="F61" s="13"/>
      <c r="G61" s="26">
        <f t="shared" si="0"/>
        <v>5611036.9400000004</v>
      </c>
    </row>
    <row r="62" spans="1:7" ht="12.6">
      <c r="A62" s="14">
        <v>45175</v>
      </c>
      <c r="D62" s="15" t="s">
        <v>80</v>
      </c>
      <c r="E62" s="13"/>
      <c r="F62" s="36">
        <v>77000</v>
      </c>
      <c r="G62" s="26">
        <f t="shared" si="0"/>
        <v>5534036.9400000004</v>
      </c>
    </row>
    <row r="63" spans="1:7" ht="12.6">
      <c r="A63" s="14">
        <v>45175</v>
      </c>
      <c r="D63" s="15" t="s">
        <v>8</v>
      </c>
      <c r="E63" s="13"/>
      <c r="F63" s="36">
        <v>408</v>
      </c>
      <c r="G63" s="26">
        <f t="shared" si="0"/>
        <v>5533628.9400000004</v>
      </c>
    </row>
    <row r="64" spans="1:7" ht="12.6">
      <c r="A64" s="14">
        <v>45187</v>
      </c>
      <c r="D64" s="15" t="s">
        <v>44</v>
      </c>
      <c r="E64" s="13"/>
      <c r="F64" s="13">
        <v>1470328</v>
      </c>
      <c r="G64" s="26">
        <f t="shared" si="0"/>
        <v>4063300.9400000004</v>
      </c>
    </row>
    <row r="65" spans="1:9" ht="12.6">
      <c r="A65" s="14">
        <v>45187</v>
      </c>
      <c r="D65" s="15" t="s">
        <v>45</v>
      </c>
      <c r="E65" s="13"/>
      <c r="F65" s="13">
        <v>3978915</v>
      </c>
      <c r="G65" s="26">
        <f t="shared" si="0"/>
        <v>84385.94000000041</v>
      </c>
    </row>
    <row r="66" spans="1:9" ht="12.6">
      <c r="A66" s="14">
        <v>45197</v>
      </c>
      <c r="D66" s="15" t="s">
        <v>71</v>
      </c>
      <c r="E66" s="13">
        <v>1575000</v>
      </c>
      <c r="F66" s="13"/>
      <c r="G66" s="26">
        <f t="shared" si="0"/>
        <v>1659385.9400000004</v>
      </c>
    </row>
    <row r="67" spans="1:9" ht="12.6">
      <c r="A67" s="14">
        <v>45197</v>
      </c>
      <c r="D67" s="15" t="s">
        <v>46</v>
      </c>
      <c r="E67" s="13"/>
      <c r="F67" s="13">
        <v>106299</v>
      </c>
      <c r="G67" s="26">
        <f t="shared" si="0"/>
        <v>1553086.9400000004</v>
      </c>
    </row>
    <row r="68" spans="1:9" ht="12.6">
      <c r="A68" s="14">
        <v>45197</v>
      </c>
      <c r="D68" s="15" t="s">
        <v>8</v>
      </c>
      <c r="E68" s="13"/>
      <c r="F68" s="13">
        <v>404.25</v>
      </c>
      <c r="G68" s="26">
        <f t="shared" si="0"/>
        <v>1552682.6900000004</v>
      </c>
    </row>
    <row r="69" spans="1:9" ht="12.6">
      <c r="A69" s="14">
        <v>45197</v>
      </c>
      <c r="D69" s="15" t="s">
        <v>47</v>
      </c>
      <c r="E69" s="13"/>
      <c r="F69" s="13">
        <v>1323637.3</v>
      </c>
      <c r="G69" s="26">
        <f t="shared" si="0"/>
        <v>229045.39000000036</v>
      </c>
    </row>
    <row r="70" spans="1:9" ht="12.6">
      <c r="A70" s="14">
        <v>45199</v>
      </c>
      <c r="D70" s="15" t="s">
        <v>51</v>
      </c>
      <c r="E70" s="13">
        <v>376.39</v>
      </c>
      <c r="F70" s="13">
        <v>0</v>
      </c>
      <c r="G70" s="26">
        <f t="shared" ref="G70:G133" si="1">G69+E70-F70</f>
        <v>229421.78000000038</v>
      </c>
    </row>
    <row r="71" spans="1:9" s="19" customFormat="1" ht="12.6">
      <c r="A71" s="18">
        <v>45199</v>
      </c>
      <c r="E71" s="30"/>
      <c r="F71" s="30"/>
      <c r="G71" s="31">
        <f t="shared" si="1"/>
        <v>229421.78000000038</v>
      </c>
    </row>
    <row r="72" spans="1:9" ht="12.6">
      <c r="A72" s="14">
        <v>45200</v>
      </c>
      <c r="E72" s="13"/>
      <c r="F72" s="13"/>
      <c r="G72" s="26">
        <f t="shared" si="1"/>
        <v>229421.78000000038</v>
      </c>
    </row>
    <row r="73" spans="1:9" ht="12.6">
      <c r="A73" s="14">
        <v>45208</v>
      </c>
      <c r="D73" s="15" t="s">
        <v>72</v>
      </c>
      <c r="E73" s="13"/>
      <c r="F73" s="13">
        <v>105000</v>
      </c>
      <c r="G73" s="26">
        <f t="shared" si="1"/>
        <v>124421.78000000038</v>
      </c>
    </row>
    <row r="74" spans="1:9" ht="12.6">
      <c r="A74" s="14">
        <v>45208</v>
      </c>
      <c r="D74" s="15" t="s">
        <v>80</v>
      </c>
      <c r="E74" s="13"/>
      <c r="F74" s="36">
        <v>77000</v>
      </c>
      <c r="G74" s="26">
        <f t="shared" si="1"/>
        <v>47421.780000000377</v>
      </c>
    </row>
    <row r="75" spans="1:9" ht="12.6">
      <c r="A75" s="14">
        <v>45208</v>
      </c>
      <c r="D75" s="15" t="s">
        <v>8</v>
      </c>
      <c r="E75" s="13"/>
      <c r="F75" s="36">
        <v>408</v>
      </c>
      <c r="G75" s="26">
        <f t="shared" si="1"/>
        <v>47013.780000000377</v>
      </c>
    </row>
    <row r="76" spans="1:9" ht="12.6">
      <c r="A76" s="14">
        <v>45208</v>
      </c>
      <c r="D76" s="15" t="s">
        <v>76</v>
      </c>
      <c r="E76" s="13">
        <v>4770000</v>
      </c>
      <c r="F76" s="13"/>
      <c r="G76" s="26">
        <f t="shared" si="1"/>
        <v>4817013.78</v>
      </c>
    </row>
    <row r="77" spans="1:9" ht="12.6">
      <c r="A77" s="14">
        <v>45208</v>
      </c>
      <c r="D77" s="15" t="s">
        <v>73</v>
      </c>
      <c r="E77" s="13"/>
      <c r="F77" s="13">
        <v>3567699</v>
      </c>
      <c r="G77" s="26">
        <f t="shared" si="1"/>
        <v>1249314.7800000003</v>
      </c>
    </row>
    <row r="78" spans="1:9" ht="12.6">
      <c r="A78" s="14">
        <v>45208</v>
      </c>
      <c r="D78" s="15" t="s">
        <v>74</v>
      </c>
      <c r="E78" s="13"/>
      <c r="F78" s="13">
        <v>1207610</v>
      </c>
      <c r="G78" s="26">
        <f t="shared" si="1"/>
        <v>41704.780000000261</v>
      </c>
      <c r="I78" s="13"/>
    </row>
    <row r="79" spans="1:9" ht="12.6">
      <c r="A79" s="14">
        <v>45215</v>
      </c>
      <c r="D79" s="15" t="s">
        <v>75</v>
      </c>
      <c r="E79" s="13">
        <v>1048000</v>
      </c>
      <c r="F79" s="13"/>
      <c r="G79" s="26">
        <f t="shared" si="1"/>
        <v>1089704.7800000003</v>
      </c>
    </row>
    <row r="80" spans="1:9" ht="12.6">
      <c r="A80" s="14">
        <v>45215</v>
      </c>
      <c r="D80" s="15" t="s">
        <v>77</v>
      </c>
      <c r="E80" s="13"/>
      <c r="F80" s="13">
        <v>1030601</v>
      </c>
      <c r="G80" s="26">
        <f t="shared" si="1"/>
        <v>59103.780000000261</v>
      </c>
    </row>
    <row r="81" spans="1:9" ht="12.6">
      <c r="A81" s="14">
        <v>45226</v>
      </c>
      <c r="D81" s="15" t="s">
        <v>78</v>
      </c>
      <c r="E81" s="13">
        <v>1420200</v>
      </c>
      <c r="F81" s="13"/>
      <c r="G81" s="26">
        <f t="shared" si="1"/>
        <v>1479303.7800000003</v>
      </c>
    </row>
    <row r="82" spans="1:9" s="11" customFormat="1" ht="12.6">
      <c r="A82" s="14">
        <v>45226</v>
      </c>
      <c r="D82" s="15" t="s">
        <v>79</v>
      </c>
      <c r="E82" s="13"/>
      <c r="F82" s="13">
        <v>1412637.3</v>
      </c>
      <c r="G82" s="26">
        <f t="shared" si="1"/>
        <v>66666.480000000214</v>
      </c>
    </row>
    <row r="83" spans="1:9" s="33" customFormat="1" ht="12.6">
      <c r="A83" s="14">
        <v>45227</v>
      </c>
      <c r="B83" s="11"/>
      <c r="C83" s="11"/>
      <c r="D83" s="15"/>
      <c r="E83" s="13"/>
      <c r="F83" s="13"/>
      <c r="G83" s="26">
        <f t="shared" si="1"/>
        <v>66666.480000000214</v>
      </c>
    </row>
    <row r="84" spans="1:9" s="19" customFormat="1" ht="12.6">
      <c r="A84" s="18">
        <v>45230</v>
      </c>
      <c r="E84" s="30"/>
      <c r="F84" s="30"/>
      <c r="G84" s="31">
        <f t="shared" si="1"/>
        <v>66666.480000000214</v>
      </c>
    </row>
    <row r="85" spans="1:9" ht="12.6">
      <c r="A85" s="14">
        <v>45231</v>
      </c>
      <c r="B85" s="11"/>
      <c r="C85" s="11"/>
      <c r="E85" s="13"/>
      <c r="F85" s="13"/>
      <c r="G85" s="26">
        <f t="shared" si="1"/>
        <v>66666.480000000214</v>
      </c>
    </row>
    <row r="86" spans="1:9" ht="12.6">
      <c r="A86" s="14">
        <v>45232</v>
      </c>
      <c r="D86" s="15" t="s">
        <v>72</v>
      </c>
      <c r="E86" s="13"/>
      <c r="F86" s="13">
        <v>105000</v>
      </c>
      <c r="G86" s="26">
        <f t="shared" si="1"/>
        <v>-38333.519999999786</v>
      </c>
    </row>
    <row r="87" spans="1:9" ht="12.6">
      <c r="A87" s="14">
        <v>45232</v>
      </c>
      <c r="D87" s="15" t="s">
        <v>80</v>
      </c>
      <c r="E87" s="13"/>
      <c r="F87" s="36">
        <v>77000</v>
      </c>
      <c r="G87" s="26">
        <f t="shared" si="1"/>
        <v>-115333.51999999979</v>
      </c>
    </row>
    <row r="88" spans="1:9" ht="12.6">
      <c r="A88" s="14">
        <v>45232</v>
      </c>
      <c r="D88" s="15" t="s">
        <v>8</v>
      </c>
      <c r="E88" s="13"/>
      <c r="F88" s="36">
        <v>406.5</v>
      </c>
      <c r="G88" s="26">
        <f t="shared" si="1"/>
        <v>-115740.01999999979</v>
      </c>
    </row>
    <row r="89" spans="1:9" ht="12.6">
      <c r="A89" s="14">
        <v>45232</v>
      </c>
      <c r="D89" s="15" t="s">
        <v>91</v>
      </c>
      <c r="E89" s="13">
        <v>158400</v>
      </c>
      <c r="F89" s="13"/>
      <c r="G89" s="26">
        <f t="shared" si="1"/>
        <v>42659.980000000214</v>
      </c>
    </row>
    <row r="90" spans="1:9" ht="12.6">
      <c r="A90" s="14">
        <v>45238</v>
      </c>
      <c r="D90" s="15" t="s">
        <v>92</v>
      </c>
      <c r="E90" s="13">
        <v>4313200</v>
      </c>
      <c r="F90" s="13"/>
      <c r="G90" s="26">
        <f t="shared" si="1"/>
        <v>4355859.9800000004</v>
      </c>
      <c r="I90" s="28"/>
    </row>
    <row r="91" spans="1:9" ht="12.6">
      <c r="A91" s="14">
        <v>45238</v>
      </c>
      <c r="D91" s="15" t="s">
        <v>89</v>
      </c>
      <c r="E91" s="13"/>
      <c r="F91" s="13">
        <v>3283097</v>
      </c>
      <c r="G91" s="26">
        <f t="shared" si="1"/>
        <v>1072762.9800000004</v>
      </c>
      <c r="I91" s="28"/>
    </row>
    <row r="92" spans="1:9" ht="12.6">
      <c r="A92" s="14">
        <v>45243</v>
      </c>
      <c r="D92" s="15" t="s">
        <v>90</v>
      </c>
      <c r="E92" s="13"/>
      <c r="F92" s="13">
        <v>923115</v>
      </c>
      <c r="G92" s="26">
        <f t="shared" si="1"/>
        <v>149647.98000000045</v>
      </c>
      <c r="I92" s="28"/>
    </row>
    <row r="93" spans="1:9" ht="12.6">
      <c r="A93" s="14">
        <v>45259</v>
      </c>
      <c r="D93" s="15" t="s">
        <v>112</v>
      </c>
      <c r="E93" s="13">
        <v>2393076.0000000009</v>
      </c>
      <c r="F93" s="13"/>
      <c r="G93" s="26">
        <f t="shared" si="1"/>
        <v>2542723.9800000014</v>
      </c>
      <c r="I93" s="28"/>
    </row>
    <row r="94" spans="1:9" ht="12.6">
      <c r="A94" s="14">
        <v>45259</v>
      </c>
      <c r="D94" s="15" t="s">
        <v>122</v>
      </c>
      <c r="E94" s="13">
        <v>1010394.0000000002</v>
      </c>
      <c r="F94" s="13"/>
      <c r="G94" s="26">
        <f t="shared" si="1"/>
        <v>3553117.9800000014</v>
      </c>
      <c r="I94" s="28"/>
    </row>
    <row r="95" spans="1:9" ht="12.6">
      <c r="A95" s="14">
        <v>45259</v>
      </c>
      <c r="D95" s="15" t="s">
        <v>116</v>
      </c>
      <c r="E95" s="13">
        <v>69714.750000000044</v>
      </c>
      <c r="F95" s="13"/>
      <c r="G95" s="26">
        <f t="shared" si="1"/>
        <v>3622832.7300000014</v>
      </c>
    </row>
    <row r="96" spans="1:9" ht="12.6">
      <c r="A96" s="14">
        <v>45259</v>
      </c>
      <c r="D96" s="15" t="s">
        <v>111</v>
      </c>
      <c r="E96" s="13">
        <v>2889189.2800000003</v>
      </c>
      <c r="F96" s="13"/>
      <c r="G96" s="26">
        <f t="shared" si="1"/>
        <v>6512022.0100000016</v>
      </c>
    </row>
    <row r="97" spans="1:10" ht="12.6">
      <c r="A97" s="14">
        <v>45259</v>
      </c>
      <c r="D97" s="15" t="s">
        <v>119</v>
      </c>
      <c r="E97" s="13"/>
      <c r="F97" s="13">
        <v>2183095.63</v>
      </c>
      <c r="G97" s="26">
        <f t="shared" si="1"/>
        <v>4328926.3800000018</v>
      </c>
    </row>
    <row r="98" spans="1:10" ht="12.6">
      <c r="A98" s="14">
        <v>45260</v>
      </c>
      <c r="D98" s="15" t="s">
        <v>34</v>
      </c>
      <c r="E98" s="13">
        <v>48.1</v>
      </c>
      <c r="F98" s="13"/>
      <c r="G98" s="26">
        <f t="shared" si="1"/>
        <v>4328974.4800000014</v>
      </c>
    </row>
    <row r="99" spans="1:10" s="19" customFormat="1" ht="12.6">
      <c r="A99" s="18">
        <v>45260</v>
      </c>
      <c r="E99" s="30"/>
      <c r="F99" s="30"/>
      <c r="G99" s="31">
        <f t="shared" si="1"/>
        <v>4328974.4800000014</v>
      </c>
    </row>
    <row r="100" spans="1:10" ht="12.6">
      <c r="A100" s="14">
        <v>45261</v>
      </c>
      <c r="E100" s="13"/>
      <c r="F100" s="13"/>
      <c r="G100" s="26">
        <f t="shared" si="1"/>
        <v>4328974.4800000014</v>
      </c>
    </row>
    <row r="101" spans="1:10" ht="12.6">
      <c r="A101" s="14">
        <v>45265</v>
      </c>
      <c r="D101" s="15" t="s">
        <v>120</v>
      </c>
      <c r="E101" s="13"/>
      <c r="F101" s="13">
        <v>3076777</v>
      </c>
      <c r="G101" s="26">
        <f t="shared" si="1"/>
        <v>1252197.4800000014</v>
      </c>
    </row>
    <row r="102" spans="1:10" ht="12.6">
      <c r="A102" s="14">
        <v>45271</v>
      </c>
      <c r="D102" s="15" t="s">
        <v>121</v>
      </c>
      <c r="E102" s="13"/>
      <c r="F102" s="13">
        <v>908262</v>
      </c>
      <c r="G102" s="26">
        <f t="shared" si="1"/>
        <v>343935.48000000138</v>
      </c>
    </row>
    <row r="103" spans="1:10" ht="12.6">
      <c r="A103" s="14">
        <v>45275</v>
      </c>
      <c r="D103" s="15" t="s">
        <v>123</v>
      </c>
      <c r="E103" s="13"/>
      <c r="F103" s="36">
        <v>77000</v>
      </c>
      <c r="G103" s="26">
        <f t="shared" si="1"/>
        <v>266935.48000000138</v>
      </c>
    </row>
    <row r="104" spans="1:10" ht="12.6">
      <c r="A104" s="14">
        <v>45275</v>
      </c>
      <c r="D104" s="15" t="s">
        <v>127</v>
      </c>
      <c r="E104" s="13"/>
      <c r="F104" s="13">
        <v>399</v>
      </c>
      <c r="G104" s="26">
        <f t="shared" si="1"/>
        <v>266536.48000000138</v>
      </c>
    </row>
    <row r="105" spans="1:10" ht="12.6">
      <c r="A105" s="14">
        <v>45275</v>
      </c>
      <c r="D105" s="15" t="s">
        <v>124</v>
      </c>
      <c r="E105" s="13"/>
      <c r="F105" s="13">
        <v>97639.98</v>
      </c>
      <c r="G105" s="26">
        <f t="shared" si="1"/>
        <v>168896.5000000014</v>
      </c>
      <c r="I105" s="26"/>
      <c r="J105" s="34"/>
    </row>
    <row r="106" spans="1:10" ht="12.6">
      <c r="A106" s="14">
        <v>45288</v>
      </c>
      <c r="D106" s="15" t="s">
        <v>111</v>
      </c>
      <c r="E106" s="13">
        <v>2119986</v>
      </c>
      <c r="F106" s="13"/>
      <c r="G106" s="26">
        <f t="shared" si="1"/>
        <v>2288882.5000000014</v>
      </c>
    </row>
    <row r="107" spans="1:10" ht="12.6">
      <c r="A107" s="14">
        <v>45288</v>
      </c>
      <c r="D107" s="15" t="s">
        <v>112</v>
      </c>
      <c r="E107" s="13">
        <v>2329672.92</v>
      </c>
      <c r="F107" s="13"/>
      <c r="G107" s="26">
        <f t="shared" si="1"/>
        <v>4618555.4200000018</v>
      </c>
    </row>
    <row r="108" spans="1:10" ht="12.6">
      <c r="A108" s="14">
        <v>45288</v>
      </c>
      <c r="D108" s="15" t="s">
        <v>122</v>
      </c>
      <c r="E108" s="13">
        <v>993072.96</v>
      </c>
      <c r="F108" s="13"/>
      <c r="G108" s="26">
        <f t="shared" si="1"/>
        <v>5611628.3800000018</v>
      </c>
    </row>
    <row r="109" spans="1:10" ht="12.6">
      <c r="A109" s="14">
        <v>45288</v>
      </c>
      <c r="D109" s="15" t="s">
        <v>131</v>
      </c>
      <c r="E109" s="13"/>
      <c r="F109" s="13">
        <v>1412637.3</v>
      </c>
      <c r="G109" s="26">
        <f t="shared" si="1"/>
        <v>4198991.0800000019</v>
      </c>
    </row>
    <row r="110" spans="1:10" ht="12.6">
      <c r="A110" s="14">
        <v>45288</v>
      </c>
      <c r="D110" s="15" t="s">
        <v>34</v>
      </c>
      <c r="E110" s="13">
        <v>189.22</v>
      </c>
      <c r="F110" s="13"/>
      <c r="G110" s="26">
        <f t="shared" si="1"/>
        <v>4199180.3000000017</v>
      </c>
    </row>
    <row r="111" spans="1:10" s="19" customFormat="1" ht="12.6">
      <c r="A111" s="18">
        <v>45291</v>
      </c>
      <c r="E111" s="30"/>
      <c r="F111" s="30"/>
      <c r="G111" s="31">
        <f t="shared" si="1"/>
        <v>4199180.3000000017</v>
      </c>
    </row>
    <row r="112" spans="1:10" ht="12.6">
      <c r="A112" s="14">
        <v>45292</v>
      </c>
      <c r="E112" s="13"/>
      <c r="F112" s="13"/>
      <c r="G112" s="26">
        <f t="shared" si="1"/>
        <v>4199180.3000000017</v>
      </c>
    </row>
    <row r="113" spans="1:14" ht="12.6">
      <c r="A113" s="14">
        <v>45301</v>
      </c>
      <c r="D113" s="15" t="s">
        <v>132</v>
      </c>
      <c r="E113" s="13"/>
      <c r="F113" s="13">
        <v>3004346</v>
      </c>
      <c r="G113" s="26">
        <f t="shared" si="1"/>
        <v>1194834.3000000017</v>
      </c>
      <c r="K113" s="13"/>
    </row>
    <row r="114" spans="1:14" ht="12.6">
      <c r="A114" s="14">
        <v>45302</v>
      </c>
      <c r="D114" s="15" t="s">
        <v>171</v>
      </c>
      <c r="E114" s="13"/>
      <c r="F114" s="13">
        <v>894218</v>
      </c>
      <c r="G114" s="26">
        <f t="shared" si="1"/>
        <v>300616.30000000168</v>
      </c>
      <c r="K114" s="28"/>
    </row>
    <row r="115" spans="1:14" ht="12.6">
      <c r="A115" s="14">
        <v>45303</v>
      </c>
      <c r="D115" s="15" t="s">
        <v>133</v>
      </c>
      <c r="E115" s="13"/>
      <c r="F115" s="36">
        <v>77000</v>
      </c>
      <c r="G115" s="26">
        <f t="shared" si="1"/>
        <v>223616.30000000168</v>
      </c>
      <c r="K115" s="34"/>
    </row>
    <row r="116" spans="1:14" ht="12.6">
      <c r="A116" s="14">
        <v>45303</v>
      </c>
      <c r="D116" s="15" t="s">
        <v>127</v>
      </c>
      <c r="E116" s="13"/>
      <c r="F116" s="13">
        <v>395.25</v>
      </c>
      <c r="G116" s="26">
        <f t="shared" si="1"/>
        <v>223221.05000000168</v>
      </c>
      <c r="K116" s="34"/>
      <c r="M116" s="34"/>
    </row>
    <row r="117" spans="1:14" ht="12.6">
      <c r="A117" s="14">
        <v>45307</v>
      </c>
      <c r="D117" s="15" t="s">
        <v>134</v>
      </c>
      <c r="E117" s="13"/>
      <c r="F117" s="13">
        <v>20905</v>
      </c>
      <c r="G117" s="26">
        <f t="shared" si="1"/>
        <v>202316.05000000168</v>
      </c>
      <c r="K117" s="34"/>
      <c r="L117" s="34"/>
    </row>
    <row r="118" spans="1:14" ht="12.6">
      <c r="A118" s="14">
        <v>45307</v>
      </c>
      <c r="D118" s="15" t="s">
        <v>135</v>
      </c>
      <c r="E118" s="13"/>
      <c r="F118" s="13">
        <v>115550</v>
      </c>
      <c r="G118" s="26">
        <f t="shared" si="1"/>
        <v>86766.050000001676</v>
      </c>
      <c r="K118" s="34"/>
    </row>
    <row r="119" spans="1:14" ht="12.6">
      <c r="A119" s="14">
        <v>45309</v>
      </c>
      <c r="D119" s="15" t="s">
        <v>136</v>
      </c>
      <c r="E119" s="13">
        <v>154253.95000000001</v>
      </c>
      <c r="F119" s="13"/>
      <c r="G119" s="26">
        <f t="shared" si="1"/>
        <v>241020.00000000169</v>
      </c>
    </row>
    <row r="120" spans="1:14" ht="12.6">
      <c r="A120" s="14">
        <v>45309</v>
      </c>
      <c r="D120" s="15" t="s">
        <v>137</v>
      </c>
      <c r="E120" s="13"/>
      <c r="F120" s="13">
        <v>141024</v>
      </c>
      <c r="G120" s="26">
        <f t="shared" si="1"/>
        <v>99996.000000001688</v>
      </c>
    </row>
    <row r="121" spans="1:14" ht="12.6">
      <c r="A121" s="14">
        <v>45317</v>
      </c>
      <c r="D121" s="15" t="s">
        <v>163</v>
      </c>
      <c r="E121" s="13">
        <v>4510.8900000000003</v>
      </c>
      <c r="F121" s="13"/>
      <c r="G121" s="26">
        <f t="shared" si="1"/>
        <v>104506.89000000169</v>
      </c>
      <c r="N121" s="34"/>
    </row>
    <row r="122" spans="1:14" ht="12.6">
      <c r="A122" s="14">
        <v>45317</v>
      </c>
      <c r="D122" s="15" t="s">
        <v>112</v>
      </c>
      <c r="E122" s="13">
        <v>2287021.2299999995</v>
      </c>
      <c r="F122" s="13"/>
      <c r="G122" s="26">
        <f t="shared" si="1"/>
        <v>2391528.120000001</v>
      </c>
    </row>
    <row r="123" spans="1:14" ht="12.6">
      <c r="A123" s="14">
        <v>45317</v>
      </c>
      <c r="D123" s="15" t="s">
        <v>115</v>
      </c>
      <c r="E123" s="13">
        <v>972096.45</v>
      </c>
      <c r="F123" s="13"/>
      <c r="G123" s="26">
        <f t="shared" si="1"/>
        <v>3363624.5700000012</v>
      </c>
    </row>
    <row r="124" spans="1:14" ht="12.6">
      <c r="A124" s="14">
        <v>45317</v>
      </c>
      <c r="D124" s="15" t="s">
        <v>159</v>
      </c>
      <c r="E124" s="13">
        <v>1104570.48</v>
      </c>
      <c r="F124" s="13"/>
      <c r="G124" s="26">
        <f t="shared" si="1"/>
        <v>4468195.0500000007</v>
      </c>
    </row>
    <row r="125" spans="1:14" ht="12.6">
      <c r="A125" s="14">
        <v>45317</v>
      </c>
      <c r="D125" s="15" t="s">
        <v>111</v>
      </c>
      <c r="E125" s="13">
        <v>2131869.09</v>
      </c>
      <c r="F125" s="13"/>
      <c r="G125" s="26">
        <f t="shared" si="1"/>
        <v>6600064.1400000006</v>
      </c>
    </row>
    <row r="126" spans="1:14" ht="12.6">
      <c r="A126" s="14">
        <v>45317</v>
      </c>
      <c r="D126" s="15" t="s">
        <v>160</v>
      </c>
      <c r="E126" s="13">
        <v>2311808.46</v>
      </c>
      <c r="F126" s="13"/>
      <c r="G126" s="26">
        <f t="shared" si="1"/>
        <v>8911872.6000000015</v>
      </c>
    </row>
    <row r="127" spans="1:14" ht="12.6">
      <c r="A127" s="14">
        <v>45317</v>
      </c>
      <c r="D127" s="15" t="s">
        <v>164</v>
      </c>
      <c r="E127" s="13"/>
      <c r="F127" s="13">
        <v>1410537.3</v>
      </c>
      <c r="G127" s="26">
        <f t="shared" si="1"/>
        <v>7501335.3000000017</v>
      </c>
    </row>
    <row r="128" spans="1:14" ht="12.6">
      <c r="A128" s="14">
        <v>45317</v>
      </c>
      <c r="D128" s="15" t="s">
        <v>165</v>
      </c>
      <c r="E128" s="13"/>
      <c r="F128" s="13">
        <v>1516124.24</v>
      </c>
      <c r="G128" s="26">
        <f t="shared" si="1"/>
        <v>5985211.0600000015</v>
      </c>
    </row>
    <row r="129" spans="1:10" ht="12.6">
      <c r="A129" s="14">
        <v>45317</v>
      </c>
      <c r="D129" s="15" t="s">
        <v>166</v>
      </c>
      <c r="E129" s="13"/>
      <c r="F129" s="13">
        <v>777171</v>
      </c>
      <c r="G129" s="26">
        <f t="shared" si="1"/>
        <v>5208040.0600000015</v>
      </c>
      <c r="H129" s="13"/>
      <c r="I129" s="34"/>
    </row>
    <row r="130" spans="1:10" ht="12.6">
      <c r="A130" s="14">
        <v>45317</v>
      </c>
      <c r="D130" s="15" t="s">
        <v>167</v>
      </c>
      <c r="E130" s="13"/>
      <c r="F130" s="13">
        <v>390.75</v>
      </c>
      <c r="G130" s="26">
        <f t="shared" si="1"/>
        <v>5207649.3100000015</v>
      </c>
    </row>
    <row r="131" spans="1:10" ht="12.6">
      <c r="A131" s="14">
        <v>45322</v>
      </c>
      <c r="D131" s="15" t="s">
        <v>168</v>
      </c>
      <c r="E131" s="13">
        <v>371.44</v>
      </c>
      <c r="F131" s="13"/>
      <c r="G131" s="26">
        <f t="shared" si="1"/>
        <v>5208020.7500000019</v>
      </c>
    </row>
    <row r="132" spans="1:10" s="19" customFormat="1" ht="12.6">
      <c r="A132" s="18">
        <v>45322</v>
      </c>
      <c r="E132" s="30"/>
      <c r="F132" s="30"/>
      <c r="G132" s="31">
        <f t="shared" si="1"/>
        <v>5208020.7500000019</v>
      </c>
      <c r="H132" s="32"/>
    </row>
    <row r="133" spans="1:10" s="11" customFormat="1" ht="12.6">
      <c r="A133" s="14">
        <v>45323</v>
      </c>
      <c r="D133" s="15" t="s">
        <v>169</v>
      </c>
      <c r="E133" s="13"/>
      <c r="F133" s="13">
        <v>77000</v>
      </c>
      <c r="G133" s="26">
        <f t="shared" si="1"/>
        <v>5131020.7500000019</v>
      </c>
      <c r="I133" s="26"/>
    </row>
    <row r="134" spans="1:10" s="11" customFormat="1" ht="12.6">
      <c r="A134" s="14">
        <v>45323</v>
      </c>
      <c r="D134" s="15" t="s">
        <v>127</v>
      </c>
      <c r="E134" s="13"/>
      <c r="F134" s="13">
        <v>393</v>
      </c>
      <c r="G134" s="26">
        <f t="shared" ref="G134:G197" si="2">G133+E134-F134</f>
        <v>5130627.7500000019</v>
      </c>
      <c r="I134" s="29"/>
    </row>
    <row r="135" spans="1:10" s="11" customFormat="1" ht="12.6">
      <c r="A135" s="14">
        <v>45331</v>
      </c>
      <c r="D135" s="15" t="s">
        <v>170</v>
      </c>
      <c r="E135" s="13"/>
      <c r="F135" s="13">
        <v>966183</v>
      </c>
      <c r="G135" s="26">
        <f t="shared" si="2"/>
        <v>4164444.7500000019</v>
      </c>
    </row>
    <row r="136" spans="1:10" s="11" customFormat="1" ht="12.6">
      <c r="A136" s="14">
        <v>45338</v>
      </c>
      <c r="D136" s="15" t="s">
        <v>172</v>
      </c>
      <c r="E136" s="13"/>
      <c r="F136" s="13">
        <v>4059659</v>
      </c>
      <c r="G136" s="26">
        <f t="shared" si="2"/>
        <v>104785.75000000186</v>
      </c>
      <c r="H136" s="56"/>
    </row>
    <row r="137" spans="1:10" s="11" customFormat="1" ht="12.6">
      <c r="A137" s="14">
        <v>45350</v>
      </c>
      <c r="D137" s="11" t="s">
        <v>775</v>
      </c>
      <c r="E137" s="13">
        <v>11329051.58</v>
      </c>
      <c r="F137" s="13"/>
      <c r="G137" s="26">
        <f t="shared" si="2"/>
        <v>11433837.330000002</v>
      </c>
    </row>
    <row r="138" spans="1:10" s="11" customFormat="1" ht="12.6">
      <c r="A138" s="14">
        <v>45350</v>
      </c>
      <c r="D138" s="15" t="s">
        <v>184</v>
      </c>
      <c r="E138" s="13"/>
      <c r="F138" s="13">
        <v>1410537.3</v>
      </c>
      <c r="G138" s="26">
        <f t="shared" si="2"/>
        <v>10023300.030000001</v>
      </c>
    </row>
    <row r="139" spans="1:10" s="11" customFormat="1" ht="12.6">
      <c r="A139" s="14">
        <v>45350</v>
      </c>
      <c r="D139" s="15" t="s">
        <v>185</v>
      </c>
      <c r="E139" s="13"/>
      <c r="F139" s="13">
        <v>1612916.33</v>
      </c>
      <c r="G139" s="26">
        <f t="shared" si="2"/>
        <v>8410383.7000000011</v>
      </c>
      <c r="H139" s="56"/>
    </row>
    <row r="140" spans="1:10" s="11" customFormat="1" ht="12.6">
      <c r="A140" s="14">
        <v>45350</v>
      </c>
      <c r="D140" s="15" t="s">
        <v>186</v>
      </c>
      <c r="E140" s="13"/>
      <c r="F140" s="13">
        <v>803970</v>
      </c>
      <c r="G140" s="26">
        <f t="shared" si="2"/>
        <v>7606413.7000000011</v>
      </c>
    </row>
    <row r="141" spans="1:10" s="11" customFormat="1" ht="12.6">
      <c r="A141" s="14">
        <v>45350</v>
      </c>
      <c r="D141" s="15" t="s">
        <v>167</v>
      </c>
      <c r="E141" s="13"/>
      <c r="F141" s="13">
        <v>390</v>
      </c>
      <c r="G141" s="26">
        <f t="shared" si="2"/>
        <v>7606023.7000000011</v>
      </c>
      <c r="I141" s="26"/>
      <c r="J141" s="29"/>
    </row>
    <row r="142" spans="1:10" s="11" customFormat="1" ht="12.6">
      <c r="A142" s="14">
        <v>45351</v>
      </c>
      <c r="D142" s="15" t="s">
        <v>168</v>
      </c>
      <c r="E142" s="13">
        <v>446.84</v>
      </c>
      <c r="F142" s="13"/>
      <c r="G142" s="26">
        <f t="shared" si="2"/>
        <v>7606470.540000001</v>
      </c>
      <c r="H142" s="56"/>
      <c r="I142" s="29"/>
    </row>
    <row r="143" spans="1:10" s="19" customFormat="1" ht="12.6">
      <c r="A143" s="18">
        <v>45351</v>
      </c>
      <c r="E143" s="30"/>
      <c r="F143" s="30"/>
      <c r="G143" s="31">
        <f t="shared" si="2"/>
        <v>7606470.540000001</v>
      </c>
      <c r="H143" s="32"/>
    </row>
    <row r="144" spans="1:10" s="11" customFormat="1" ht="12.6">
      <c r="A144" s="14">
        <v>45362</v>
      </c>
      <c r="D144" s="15" t="s">
        <v>200</v>
      </c>
      <c r="E144" s="13"/>
      <c r="F144" s="13">
        <v>77000</v>
      </c>
      <c r="G144" s="26">
        <f t="shared" si="2"/>
        <v>7529470.540000001</v>
      </c>
    </row>
    <row r="145" spans="1:10" s="11" customFormat="1" ht="12.6">
      <c r="A145" s="14">
        <v>45362</v>
      </c>
      <c r="D145" s="15" t="s">
        <v>127</v>
      </c>
      <c r="E145" s="13"/>
      <c r="F145" s="13">
        <f>393-6</f>
        <v>387</v>
      </c>
      <c r="G145" s="26">
        <f t="shared" si="2"/>
        <v>7529083.540000001</v>
      </c>
      <c r="I145" s="26"/>
      <c r="J145" s="29"/>
    </row>
    <row r="146" spans="1:10" ht="12.6">
      <c r="A146" s="14">
        <v>45362</v>
      </c>
      <c r="D146" s="15" t="s">
        <v>293</v>
      </c>
      <c r="E146" s="13"/>
      <c r="F146" s="13">
        <v>1755209</v>
      </c>
      <c r="G146" s="26">
        <f t="shared" si="2"/>
        <v>5773874.540000001</v>
      </c>
      <c r="J146" s="34"/>
    </row>
    <row r="147" spans="1:10" ht="12.6">
      <c r="A147" s="14">
        <v>45364</v>
      </c>
      <c r="D147" s="15" t="s">
        <v>201</v>
      </c>
      <c r="E147" s="13"/>
      <c r="F147" s="13">
        <v>5480722</v>
      </c>
      <c r="G147" s="26">
        <f t="shared" si="2"/>
        <v>293152.54000000097</v>
      </c>
    </row>
    <row r="148" spans="1:10" ht="12.6">
      <c r="A148" s="14">
        <v>45378</v>
      </c>
      <c r="D148" s="11" t="s">
        <v>776</v>
      </c>
      <c r="E148" s="13">
        <v>10320556.949999999</v>
      </c>
      <c r="F148" s="13"/>
      <c r="G148" s="26">
        <f t="shared" si="2"/>
        <v>10613709.49</v>
      </c>
    </row>
    <row r="149" spans="1:10" ht="12.6">
      <c r="A149" s="14">
        <v>45378</v>
      </c>
      <c r="D149" s="15" t="s">
        <v>210</v>
      </c>
      <c r="E149" s="13"/>
      <c r="F149" s="13">
        <v>1410537.3</v>
      </c>
      <c r="G149" s="26">
        <f t="shared" si="2"/>
        <v>9203172.1899999995</v>
      </c>
    </row>
    <row r="150" spans="1:10" ht="12.6">
      <c r="A150" s="14">
        <v>45378</v>
      </c>
      <c r="D150" s="15" t="s">
        <v>211</v>
      </c>
      <c r="E150" s="13"/>
      <c r="F150" s="13">
        <v>1612916.33</v>
      </c>
      <c r="G150" s="26">
        <f t="shared" si="2"/>
        <v>7590255.8599999994</v>
      </c>
    </row>
    <row r="151" spans="1:10" ht="12.6">
      <c r="A151" s="14">
        <v>45378</v>
      </c>
      <c r="D151" s="15" t="s">
        <v>212</v>
      </c>
      <c r="E151" s="13"/>
      <c r="F151" s="13">
        <v>981924.86</v>
      </c>
      <c r="G151" s="26">
        <f t="shared" si="2"/>
        <v>6608330.9999999991</v>
      </c>
      <c r="I151" s="26"/>
      <c r="J151" s="34"/>
    </row>
    <row r="152" spans="1:10" ht="12.6">
      <c r="A152" s="14">
        <v>45378</v>
      </c>
      <c r="D152" s="15" t="s">
        <v>213</v>
      </c>
      <c r="E152" s="13"/>
      <c r="F152" s="13">
        <v>803970</v>
      </c>
      <c r="G152" s="26">
        <f t="shared" si="2"/>
        <v>5804360.9999999991</v>
      </c>
    </row>
    <row r="153" spans="1:10" ht="12.6">
      <c r="A153" s="14">
        <v>45382</v>
      </c>
      <c r="D153" s="15" t="s">
        <v>167</v>
      </c>
      <c r="F153" s="13">
        <v>381.75</v>
      </c>
      <c r="G153" s="26">
        <f t="shared" si="2"/>
        <v>5803979.2499999991</v>
      </c>
    </row>
    <row r="154" spans="1:10" ht="12.6">
      <c r="A154" s="14">
        <v>45382</v>
      </c>
      <c r="D154" s="15" t="s">
        <v>168</v>
      </c>
      <c r="E154" s="13">
        <v>682.4</v>
      </c>
      <c r="F154" s="13"/>
      <c r="G154" s="26">
        <f t="shared" si="2"/>
        <v>5804661.6499999994</v>
      </c>
      <c r="H154" s="26"/>
      <c r="I154" s="34"/>
    </row>
    <row r="155" spans="1:10" s="19" customFormat="1" ht="12.6">
      <c r="A155" s="18">
        <v>45382</v>
      </c>
      <c r="E155" s="30"/>
      <c r="F155" s="30"/>
      <c r="G155" s="31">
        <f t="shared" si="2"/>
        <v>5804661.6499999994</v>
      </c>
      <c r="H155" s="32"/>
    </row>
    <row r="156" spans="1:10" ht="12.6">
      <c r="A156" s="14">
        <v>45384</v>
      </c>
      <c r="D156" s="15" t="s">
        <v>214</v>
      </c>
      <c r="E156" s="13"/>
      <c r="F156" s="13">
        <v>77000</v>
      </c>
      <c r="G156" s="26">
        <f t="shared" si="2"/>
        <v>5727661.6499999994</v>
      </c>
    </row>
    <row r="157" spans="1:10" s="33" customFormat="1" ht="12.6">
      <c r="A157" s="14">
        <v>45384</v>
      </c>
      <c r="B157" s="11"/>
      <c r="C157" s="11"/>
      <c r="D157" s="15" t="s">
        <v>127</v>
      </c>
      <c r="E157" s="13"/>
      <c r="F157" s="13">
        <v>382.5</v>
      </c>
      <c r="G157" s="26">
        <f t="shared" si="2"/>
        <v>5727279.1499999994</v>
      </c>
      <c r="J157" s="85"/>
    </row>
    <row r="158" spans="1:10" ht="12.6">
      <c r="A158" s="14">
        <v>45390</v>
      </c>
      <c r="D158" s="15" t="s">
        <v>215</v>
      </c>
      <c r="E158" s="13"/>
      <c r="F158" s="13">
        <v>201705</v>
      </c>
      <c r="G158" s="26">
        <f t="shared" si="2"/>
        <v>5525574.1499999994</v>
      </c>
    </row>
    <row r="159" spans="1:10" ht="12.6">
      <c r="A159" s="14">
        <v>45390</v>
      </c>
      <c r="D159" s="15" t="s">
        <v>127</v>
      </c>
      <c r="E159" s="13"/>
      <c r="F159" s="13">
        <v>381.75</v>
      </c>
      <c r="G159" s="26">
        <f t="shared" si="2"/>
        <v>5525192.3999999994</v>
      </c>
    </row>
    <row r="160" spans="1:10" ht="12.6">
      <c r="A160" s="14">
        <v>45393</v>
      </c>
      <c r="D160" s="15" t="s">
        <v>294</v>
      </c>
      <c r="E160" s="13"/>
      <c r="F160" s="13">
        <v>985183</v>
      </c>
      <c r="G160" s="26">
        <f t="shared" si="2"/>
        <v>4540009.3999999994</v>
      </c>
    </row>
    <row r="161" spans="1:10" ht="12.6">
      <c r="A161" s="14">
        <v>45393</v>
      </c>
      <c r="D161" s="15" t="s">
        <v>295</v>
      </c>
      <c r="E161" s="13"/>
      <c r="F161" s="13">
        <v>111313</v>
      </c>
      <c r="G161" s="26">
        <f t="shared" si="2"/>
        <v>4428696.3999999994</v>
      </c>
    </row>
    <row r="162" spans="1:10" ht="12.6">
      <c r="A162" s="14">
        <v>45406</v>
      </c>
      <c r="D162" s="15" t="s">
        <v>298</v>
      </c>
      <c r="E162" s="13"/>
      <c r="F162" s="13">
        <v>187200</v>
      </c>
      <c r="G162" s="26">
        <f t="shared" si="2"/>
        <v>4241496.3999999994</v>
      </c>
    </row>
    <row r="163" spans="1:10" ht="12.6">
      <c r="A163" s="14">
        <v>45406</v>
      </c>
      <c r="D163" s="15" t="s">
        <v>300</v>
      </c>
      <c r="E163" s="13">
        <v>495000</v>
      </c>
      <c r="F163" s="13"/>
      <c r="G163" s="26">
        <f t="shared" si="2"/>
        <v>4736496.3999999994</v>
      </c>
      <c r="I163" s="34"/>
    </row>
    <row r="164" spans="1:10" ht="12.6">
      <c r="A164" s="14">
        <v>45406</v>
      </c>
      <c r="D164" s="15" t="s">
        <v>301</v>
      </c>
      <c r="E164" s="13"/>
      <c r="F164" s="13">
        <v>4480499</v>
      </c>
      <c r="G164" s="26">
        <f t="shared" si="2"/>
        <v>255997.39999999944</v>
      </c>
      <c r="I164" s="34"/>
      <c r="J164" s="13"/>
    </row>
    <row r="165" spans="1:10" ht="12.6">
      <c r="A165" s="14">
        <v>45406</v>
      </c>
      <c r="D165" s="15" t="s">
        <v>302</v>
      </c>
      <c r="E165" s="13"/>
      <c r="F165" s="13">
        <f>4490553-F164</f>
        <v>10054</v>
      </c>
      <c r="G165" s="26">
        <f t="shared" si="2"/>
        <v>245943.39999999944</v>
      </c>
      <c r="I165" s="34"/>
    </row>
    <row r="166" spans="1:10" ht="12.6">
      <c r="A166" s="14">
        <v>45411</v>
      </c>
      <c r="D166" s="11" t="s">
        <v>303</v>
      </c>
      <c r="E166" s="13">
        <v>2486450</v>
      </c>
      <c r="F166" s="13"/>
      <c r="G166" s="26">
        <f t="shared" si="2"/>
        <v>2732393.3999999994</v>
      </c>
    </row>
    <row r="167" spans="1:10" ht="12.6">
      <c r="A167" s="14">
        <v>45411</v>
      </c>
      <c r="D167" s="15" t="s">
        <v>308</v>
      </c>
      <c r="E167" s="13"/>
      <c r="F167" s="13">
        <v>1612916.33</v>
      </c>
      <c r="G167" s="26">
        <f t="shared" si="2"/>
        <v>1119477.0699999994</v>
      </c>
      <c r="H167" s="13"/>
      <c r="I167" s="34"/>
    </row>
    <row r="168" spans="1:10" ht="12.6">
      <c r="A168" s="14">
        <v>45412</v>
      </c>
      <c r="D168" s="11" t="s">
        <v>777</v>
      </c>
      <c r="E168" s="13">
        <v>7781873.0300000003</v>
      </c>
      <c r="F168" s="13"/>
      <c r="G168" s="26">
        <f t="shared" si="2"/>
        <v>8901350.0999999996</v>
      </c>
    </row>
    <row r="169" spans="1:10" ht="12.6">
      <c r="A169" s="14">
        <v>45412</v>
      </c>
      <c r="D169" s="15" t="s">
        <v>309</v>
      </c>
      <c r="E169" s="13"/>
      <c r="F169" s="13">
        <v>1410537.3</v>
      </c>
      <c r="G169" s="26">
        <f t="shared" si="2"/>
        <v>7490812.7999999998</v>
      </c>
    </row>
    <row r="170" spans="1:10" ht="12.6">
      <c r="A170" s="14">
        <v>45412</v>
      </c>
      <c r="D170" s="15" t="s">
        <v>310</v>
      </c>
      <c r="E170" s="13"/>
      <c r="F170" s="13">
        <v>803970</v>
      </c>
      <c r="G170" s="26">
        <f t="shared" si="2"/>
        <v>6686842.7999999998</v>
      </c>
    </row>
    <row r="171" spans="1:10" ht="12.6">
      <c r="A171" s="14">
        <v>45412</v>
      </c>
      <c r="D171" s="15" t="s">
        <v>167</v>
      </c>
      <c r="F171" s="13">
        <v>1545</v>
      </c>
      <c r="G171" s="26">
        <f t="shared" si="2"/>
        <v>6685297.7999999998</v>
      </c>
    </row>
    <row r="172" spans="1:10" ht="12.6">
      <c r="A172" s="14">
        <v>45412</v>
      </c>
      <c r="D172" s="15" t="s">
        <v>340</v>
      </c>
      <c r="E172" s="13"/>
      <c r="F172" s="13">
        <v>1410537.3</v>
      </c>
      <c r="G172" s="26">
        <f t="shared" si="2"/>
        <v>5274760.5</v>
      </c>
    </row>
    <row r="173" spans="1:10" ht="12.6">
      <c r="A173" s="14">
        <v>45412</v>
      </c>
      <c r="D173" s="15" t="s">
        <v>345</v>
      </c>
      <c r="E173" s="13">
        <v>655.5</v>
      </c>
      <c r="F173" s="13"/>
      <c r="G173" s="26">
        <f t="shared" si="2"/>
        <v>5275416</v>
      </c>
    </row>
    <row r="174" spans="1:10" s="19" customFormat="1" ht="12.6">
      <c r="A174" s="18">
        <v>45412</v>
      </c>
      <c r="E174" s="30"/>
      <c r="F174" s="30"/>
      <c r="G174" s="31">
        <f t="shared" si="2"/>
        <v>5275416</v>
      </c>
      <c r="H174" s="32"/>
    </row>
    <row r="175" spans="1:10" ht="12.6">
      <c r="A175" s="14">
        <v>45413</v>
      </c>
      <c r="E175" s="13"/>
      <c r="F175" s="13"/>
      <c r="G175" s="26">
        <f t="shared" si="2"/>
        <v>5275416</v>
      </c>
      <c r="J175" s="13"/>
    </row>
    <row r="176" spans="1:10" ht="12.6">
      <c r="A176" s="14">
        <v>45415</v>
      </c>
      <c r="D176" s="15" t="s">
        <v>314</v>
      </c>
      <c r="E176" s="13"/>
      <c r="F176" s="13">
        <v>77000</v>
      </c>
      <c r="G176" s="26">
        <f t="shared" si="2"/>
        <v>5198416</v>
      </c>
      <c r="H176" s="26"/>
      <c r="I176" s="34"/>
    </row>
    <row r="177" spans="1:11" ht="12.6">
      <c r="A177" s="14">
        <v>45415</v>
      </c>
      <c r="D177" s="15" t="s">
        <v>127</v>
      </c>
      <c r="E177" s="13"/>
      <c r="F177" s="13">
        <v>386.25</v>
      </c>
      <c r="G177" s="26">
        <f t="shared" si="2"/>
        <v>5198029.75</v>
      </c>
      <c r="I177" s="13"/>
    </row>
    <row r="178" spans="1:11" ht="12.6">
      <c r="A178" s="14">
        <v>45422</v>
      </c>
      <c r="D178" s="15" t="s">
        <v>326</v>
      </c>
      <c r="E178" s="13"/>
      <c r="F178" s="13">
        <v>4718443</v>
      </c>
      <c r="G178" s="26">
        <f t="shared" si="2"/>
        <v>479586.75</v>
      </c>
      <c r="I178" s="13"/>
      <c r="J178" s="13"/>
      <c r="K178" s="13"/>
    </row>
    <row r="179" spans="1:11" ht="12.6">
      <c r="A179" s="14">
        <v>45422</v>
      </c>
      <c r="D179" s="11" t="s">
        <v>329</v>
      </c>
      <c r="E179" s="13">
        <v>1159200</v>
      </c>
      <c r="F179" s="13"/>
      <c r="G179" s="26">
        <f t="shared" si="2"/>
        <v>1638786.75</v>
      </c>
      <c r="I179" s="13"/>
      <c r="J179" s="13"/>
      <c r="K179" s="13"/>
    </row>
    <row r="180" spans="1:11" ht="12.6">
      <c r="A180" s="14">
        <v>45422</v>
      </c>
      <c r="D180" s="15" t="s">
        <v>327</v>
      </c>
      <c r="E180" s="13"/>
      <c r="F180" s="13">
        <v>1029559</v>
      </c>
      <c r="G180" s="26">
        <f t="shared" si="2"/>
        <v>609227.75</v>
      </c>
      <c r="I180" s="13"/>
      <c r="J180" s="13"/>
      <c r="K180" s="13"/>
    </row>
    <row r="181" spans="1:11" ht="12.6">
      <c r="A181" s="14">
        <v>45422</v>
      </c>
      <c r="D181" s="15" t="s">
        <v>328</v>
      </c>
      <c r="E181" s="13"/>
      <c r="F181" s="13">
        <v>109729</v>
      </c>
      <c r="G181" s="26">
        <f t="shared" si="2"/>
        <v>499498.75</v>
      </c>
      <c r="I181" s="13"/>
      <c r="J181" s="13"/>
      <c r="K181" s="13"/>
    </row>
    <row r="182" spans="1:11" ht="12.6">
      <c r="A182" s="14">
        <v>45440</v>
      </c>
      <c r="D182" s="15" t="s">
        <v>333</v>
      </c>
      <c r="E182" s="13"/>
      <c r="F182" s="13">
        <v>62400</v>
      </c>
      <c r="G182" s="26">
        <f t="shared" si="2"/>
        <v>437098.75</v>
      </c>
      <c r="I182" s="13"/>
      <c r="J182" s="13"/>
      <c r="K182" s="13"/>
    </row>
    <row r="183" spans="1:11" ht="12.6">
      <c r="A183" s="14">
        <v>45441</v>
      </c>
      <c r="D183" s="15" t="s">
        <v>342</v>
      </c>
      <c r="E183" s="13"/>
      <c r="F183" s="13">
        <v>417500</v>
      </c>
      <c r="G183" s="26">
        <f t="shared" si="2"/>
        <v>19598.75</v>
      </c>
      <c r="I183" s="13"/>
      <c r="J183" s="13"/>
      <c r="K183" s="13"/>
    </row>
    <row r="184" spans="1:11" ht="12.6">
      <c r="A184" s="14">
        <v>45441</v>
      </c>
      <c r="D184" s="15" t="s">
        <v>167</v>
      </c>
      <c r="E184" s="13"/>
      <c r="F184" s="13">
        <v>398.25</v>
      </c>
      <c r="G184" s="26">
        <f t="shared" si="2"/>
        <v>19200.5</v>
      </c>
      <c r="I184" s="13"/>
      <c r="J184" s="13"/>
      <c r="K184" s="13"/>
    </row>
    <row r="185" spans="1:11" ht="12.6">
      <c r="A185" s="14">
        <v>45442</v>
      </c>
      <c r="D185" s="11" t="s">
        <v>777</v>
      </c>
      <c r="E185" s="13">
        <v>12204070.220000001</v>
      </c>
      <c r="F185" s="13"/>
      <c r="G185" s="26">
        <f t="shared" si="2"/>
        <v>12223270.720000001</v>
      </c>
      <c r="I185" s="13"/>
      <c r="J185" s="13"/>
      <c r="K185" s="13"/>
    </row>
    <row r="186" spans="1:11" ht="12.6">
      <c r="A186" s="14">
        <v>45442</v>
      </c>
      <c r="D186" s="15" t="s">
        <v>338</v>
      </c>
      <c r="E186" s="13"/>
      <c r="F186" s="13">
        <v>1612916.33</v>
      </c>
      <c r="G186" s="26">
        <f t="shared" si="2"/>
        <v>10610354.390000001</v>
      </c>
    </row>
    <row r="187" spans="1:11" ht="12.6">
      <c r="A187" s="14">
        <v>45442</v>
      </c>
      <c r="D187" s="15" t="s">
        <v>339</v>
      </c>
      <c r="E187" s="13"/>
      <c r="F187" s="13">
        <v>1410537.3</v>
      </c>
      <c r="G187" s="26">
        <f t="shared" si="2"/>
        <v>9199817.0899999999</v>
      </c>
    </row>
    <row r="188" spans="1:11" ht="12.6">
      <c r="A188" s="14">
        <v>45442</v>
      </c>
      <c r="D188" s="15" t="s">
        <v>341</v>
      </c>
      <c r="E188" s="13"/>
      <c r="F188" s="13">
        <v>1410537.3</v>
      </c>
      <c r="G188" s="26">
        <f t="shared" si="2"/>
        <v>7789279.79</v>
      </c>
    </row>
    <row r="189" spans="1:11" ht="12.6">
      <c r="A189" s="14">
        <v>45442</v>
      </c>
      <c r="D189" s="15" t="s">
        <v>343</v>
      </c>
      <c r="E189" s="13"/>
      <c r="F189" s="13">
        <v>786551.54</v>
      </c>
      <c r="G189" s="26">
        <f t="shared" si="2"/>
        <v>7002728.25</v>
      </c>
      <c r="I189" s="26"/>
      <c r="J189" s="28"/>
      <c r="K189" s="34"/>
    </row>
    <row r="190" spans="1:11" ht="12.6">
      <c r="A190" s="14">
        <v>45443</v>
      </c>
      <c r="D190" s="15" t="s">
        <v>345</v>
      </c>
      <c r="E190" s="13">
        <v>342.03</v>
      </c>
      <c r="F190" s="13"/>
      <c r="G190" s="26">
        <f t="shared" si="2"/>
        <v>7003070.2800000003</v>
      </c>
      <c r="I190" s="26"/>
      <c r="J190" s="28"/>
    </row>
    <row r="191" spans="1:11" s="19" customFormat="1" ht="12.6">
      <c r="A191" s="18">
        <v>45443</v>
      </c>
      <c r="E191" s="30"/>
      <c r="F191" s="30"/>
      <c r="G191" s="31">
        <f t="shared" si="2"/>
        <v>7003070.2800000003</v>
      </c>
      <c r="H191" s="32"/>
    </row>
    <row r="192" spans="1:11" ht="12.6">
      <c r="A192" s="14">
        <v>45444</v>
      </c>
      <c r="E192" s="13"/>
      <c r="F192" s="13"/>
      <c r="G192" s="26">
        <f t="shared" si="2"/>
        <v>7003070.2800000003</v>
      </c>
      <c r="I192" s="13"/>
      <c r="J192" s="13"/>
    </row>
    <row r="193" spans="1:10" ht="12.6">
      <c r="A193" s="14">
        <v>45447</v>
      </c>
      <c r="D193" s="15" t="s">
        <v>346</v>
      </c>
      <c r="E193" s="13"/>
      <c r="F193" s="13">
        <v>77000</v>
      </c>
      <c r="G193" s="26">
        <f t="shared" si="2"/>
        <v>6926070.2800000003</v>
      </c>
      <c r="I193" s="13"/>
      <c r="J193" s="13"/>
    </row>
    <row r="194" spans="1:10" ht="12.6">
      <c r="A194" s="14">
        <v>45447</v>
      </c>
      <c r="D194" s="15" t="s">
        <v>127</v>
      </c>
      <c r="E194" s="13"/>
      <c r="F194" s="13">
        <v>403.5</v>
      </c>
      <c r="G194" s="26">
        <f t="shared" si="2"/>
        <v>6925666.7800000003</v>
      </c>
      <c r="I194" s="13"/>
      <c r="J194" s="13"/>
    </row>
    <row r="195" spans="1:10" ht="12.6">
      <c r="A195" s="14">
        <v>45450</v>
      </c>
      <c r="D195" s="15" t="s">
        <v>415</v>
      </c>
      <c r="E195" s="13"/>
      <c r="F195" s="13">
        <v>4806878</v>
      </c>
      <c r="G195" s="26">
        <f t="shared" si="2"/>
        <v>2118788.7800000003</v>
      </c>
      <c r="I195" s="13"/>
      <c r="J195" s="13"/>
    </row>
    <row r="196" spans="1:10" ht="12.6">
      <c r="A196" s="14">
        <v>45456</v>
      </c>
      <c r="D196" s="15" t="s">
        <v>383</v>
      </c>
      <c r="E196" s="13"/>
      <c r="F196" s="13">
        <v>1092317</v>
      </c>
      <c r="G196" s="26">
        <f t="shared" si="2"/>
        <v>1026471.7800000003</v>
      </c>
      <c r="I196" s="13"/>
      <c r="J196" s="13"/>
    </row>
    <row r="197" spans="1:10" ht="12.6">
      <c r="A197" s="14">
        <v>45456</v>
      </c>
      <c r="D197" s="15" t="s">
        <v>384</v>
      </c>
      <c r="E197" s="13"/>
      <c r="F197" s="13">
        <v>82513</v>
      </c>
      <c r="G197" s="26">
        <f t="shared" si="2"/>
        <v>943958.78000000026</v>
      </c>
      <c r="I197" s="13"/>
      <c r="J197" s="13"/>
    </row>
    <row r="198" spans="1:10" ht="12.6">
      <c r="A198" s="14">
        <v>45471</v>
      </c>
      <c r="D198" s="11" t="s">
        <v>777</v>
      </c>
      <c r="E198" s="13">
        <v>11745480.031599229</v>
      </c>
      <c r="F198" s="13"/>
      <c r="G198" s="26">
        <f t="shared" ref="G198:G261" si="3">G197+E198-F198</f>
        <v>12689438.811599229</v>
      </c>
      <c r="I198" s="34"/>
    </row>
    <row r="199" spans="1:10" ht="12.6">
      <c r="A199" s="14">
        <v>45471</v>
      </c>
      <c r="D199" s="15" t="s">
        <v>395</v>
      </c>
      <c r="E199" s="13"/>
      <c r="F199" s="13">
        <v>1612916.33</v>
      </c>
      <c r="G199" s="26">
        <f t="shared" si="3"/>
        <v>11076522.481599228</v>
      </c>
      <c r="I199" s="34"/>
    </row>
    <row r="200" spans="1:10" ht="12.6">
      <c r="A200" s="14">
        <v>45471</v>
      </c>
      <c r="D200" s="15" t="s">
        <v>396</v>
      </c>
      <c r="E200" s="13"/>
      <c r="F200" s="13">
        <v>1410537.3</v>
      </c>
      <c r="G200" s="26">
        <f t="shared" si="3"/>
        <v>9665985.1815992277</v>
      </c>
      <c r="I200" s="34"/>
    </row>
    <row r="201" spans="1:10" ht="12.6">
      <c r="A201" s="14">
        <v>45471</v>
      </c>
      <c r="D201" s="15" t="s">
        <v>397</v>
      </c>
      <c r="E201" s="13"/>
      <c r="F201" s="13">
        <v>1410537.3</v>
      </c>
      <c r="G201" s="26">
        <f t="shared" si="3"/>
        <v>8255447.8815992279</v>
      </c>
      <c r="I201" s="34"/>
    </row>
    <row r="202" spans="1:10" ht="12.6">
      <c r="A202" s="14">
        <v>45471</v>
      </c>
      <c r="D202" s="15" t="s">
        <v>398</v>
      </c>
      <c r="E202" s="13"/>
      <c r="F202" s="13">
        <v>786551.54</v>
      </c>
      <c r="G202" s="26">
        <f t="shared" si="3"/>
        <v>7468896.3415992279</v>
      </c>
    </row>
    <row r="203" spans="1:10" ht="12.6">
      <c r="A203" s="14">
        <v>45471</v>
      </c>
      <c r="D203" s="15" t="s">
        <v>399</v>
      </c>
      <c r="E203" s="13"/>
      <c r="F203" s="13">
        <v>326417.87</v>
      </c>
      <c r="G203" s="26">
        <f t="shared" si="3"/>
        <v>7142478.4715992277</v>
      </c>
    </row>
    <row r="204" spans="1:10" ht="12.6">
      <c r="A204" s="14">
        <v>45471</v>
      </c>
      <c r="D204" s="15" t="s">
        <v>448</v>
      </c>
      <c r="E204" s="13"/>
      <c r="F204" s="13">
        <v>62400</v>
      </c>
      <c r="G204" s="26">
        <f t="shared" si="3"/>
        <v>7080078.4715992277</v>
      </c>
    </row>
    <row r="205" spans="1:10" ht="12.6">
      <c r="A205" s="14">
        <v>45473</v>
      </c>
      <c r="D205" s="15" t="s">
        <v>345</v>
      </c>
      <c r="E205" s="36">
        <v>416.01</v>
      </c>
      <c r="F205" s="13"/>
      <c r="G205" s="26">
        <f t="shared" si="3"/>
        <v>7080494.4815992275</v>
      </c>
    </row>
    <row r="206" spans="1:10" s="19" customFormat="1" ht="12.6">
      <c r="A206" s="18">
        <v>45473</v>
      </c>
      <c r="E206" s="30"/>
      <c r="F206" s="30"/>
      <c r="G206" s="31">
        <f t="shared" si="3"/>
        <v>7080494.4815992275</v>
      </c>
      <c r="H206" s="32"/>
    </row>
    <row r="207" spans="1:10" ht="12.6">
      <c r="A207" s="14">
        <v>45474</v>
      </c>
      <c r="E207" s="13"/>
      <c r="F207" s="13"/>
      <c r="G207" s="26">
        <f t="shared" si="3"/>
        <v>7080494.4815992275</v>
      </c>
      <c r="H207" s="26"/>
      <c r="I207" s="34"/>
    </row>
    <row r="208" spans="1:10" ht="12.6">
      <c r="A208" s="14">
        <v>45475</v>
      </c>
      <c r="D208" s="15" t="s">
        <v>408</v>
      </c>
      <c r="E208" s="13"/>
      <c r="F208" s="13">
        <v>77000</v>
      </c>
      <c r="G208" s="26">
        <f t="shared" si="3"/>
        <v>7003494.4815992275</v>
      </c>
    </row>
    <row r="209" spans="1:10" ht="12.6">
      <c r="A209" s="14">
        <v>45475</v>
      </c>
      <c r="D209" s="15" t="s">
        <v>127</v>
      </c>
      <c r="E209" s="13"/>
      <c r="F209" s="13">
        <v>399.75</v>
      </c>
      <c r="G209" s="26">
        <f t="shared" si="3"/>
        <v>7003094.7315992275</v>
      </c>
      <c r="H209" s="26"/>
      <c r="I209" s="34"/>
    </row>
    <row r="210" spans="1:10" ht="12.6">
      <c r="A210" s="14">
        <v>45482</v>
      </c>
      <c r="D210" s="15" t="s">
        <v>414</v>
      </c>
      <c r="E210" s="13"/>
      <c r="F210" s="13">
        <v>4938534</v>
      </c>
      <c r="G210" s="26">
        <f t="shared" si="3"/>
        <v>2064560.7315992275</v>
      </c>
    </row>
    <row r="211" spans="1:10" ht="12.6">
      <c r="A211" s="14">
        <v>45482</v>
      </c>
      <c r="D211" s="15" t="s">
        <v>416</v>
      </c>
      <c r="E211" s="13"/>
      <c r="F211" s="13">
        <v>1098581</v>
      </c>
      <c r="G211" s="26">
        <f t="shared" si="3"/>
        <v>965979.73159922753</v>
      </c>
    </row>
    <row r="212" spans="1:10" ht="12.6">
      <c r="A212" s="14">
        <v>45482</v>
      </c>
      <c r="D212" s="15" t="s">
        <v>417</v>
      </c>
      <c r="E212" s="13"/>
      <c r="F212" s="13">
        <v>23251</v>
      </c>
      <c r="G212" s="26">
        <f t="shared" si="3"/>
        <v>942728.73159922753</v>
      </c>
    </row>
    <row r="213" spans="1:10" ht="12.6">
      <c r="A213" s="14">
        <v>45499</v>
      </c>
      <c r="D213" s="11" t="s">
        <v>777</v>
      </c>
      <c r="E213" s="13">
        <v>13227751.203065133</v>
      </c>
      <c r="F213" s="13"/>
      <c r="G213" s="26">
        <f t="shared" si="3"/>
        <v>14170479.934664361</v>
      </c>
    </row>
    <row r="214" spans="1:10" ht="12.6">
      <c r="A214" s="14">
        <v>45499</v>
      </c>
      <c r="D214" s="15" t="s">
        <v>442</v>
      </c>
      <c r="E214" s="13"/>
      <c r="F214" s="13">
        <v>1612916.33</v>
      </c>
      <c r="G214" s="26">
        <f t="shared" si="3"/>
        <v>12557563.604664361</v>
      </c>
    </row>
    <row r="215" spans="1:10" ht="12.6">
      <c r="A215" s="14">
        <v>45499</v>
      </c>
      <c r="D215" s="15" t="s">
        <v>443</v>
      </c>
      <c r="E215" s="13"/>
      <c r="F215" s="13">
        <v>1410537.3</v>
      </c>
      <c r="G215" s="26">
        <f t="shared" si="3"/>
        <v>11147026.30466436</v>
      </c>
    </row>
    <row r="216" spans="1:10" ht="12.6">
      <c r="A216" s="14">
        <v>45499</v>
      </c>
      <c r="D216" s="15" t="s">
        <v>444</v>
      </c>
      <c r="E216" s="13"/>
      <c r="F216" s="13">
        <v>1410537.3</v>
      </c>
      <c r="G216" s="26">
        <f t="shared" si="3"/>
        <v>9736489.0046643596</v>
      </c>
    </row>
    <row r="217" spans="1:10" ht="12.6">
      <c r="A217" s="14">
        <v>45499</v>
      </c>
      <c r="D217" s="15" t="s">
        <v>445</v>
      </c>
      <c r="E217" s="13"/>
      <c r="F217" s="13">
        <v>786551.54</v>
      </c>
      <c r="G217" s="26">
        <f t="shared" si="3"/>
        <v>8949937.4646643586</v>
      </c>
    </row>
    <row r="218" spans="1:10" ht="12.6">
      <c r="A218" s="14">
        <v>45499</v>
      </c>
      <c r="D218" s="15" t="s">
        <v>446</v>
      </c>
      <c r="E218" s="13"/>
      <c r="F218" s="13">
        <v>1325079.3600000001</v>
      </c>
      <c r="G218" s="26">
        <f t="shared" si="3"/>
        <v>7624858.1046643583</v>
      </c>
      <c r="I218" s="13"/>
      <c r="J218" s="13"/>
    </row>
    <row r="219" spans="1:10" ht="12.6">
      <c r="A219" s="14">
        <v>45499</v>
      </c>
      <c r="D219" s="15" t="s">
        <v>447</v>
      </c>
      <c r="E219" s="13"/>
      <c r="F219" s="13">
        <v>62400</v>
      </c>
      <c r="G219" s="26">
        <f t="shared" si="3"/>
        <v>7562458.1046643583</v>
      </c>
      <c r="I219" s="13"/>
      <c r="J219" s="13"/>
    </row>
    <row r="220" spans="1:10" ht="12.6">
      <c r="A220" s="14">
        <v>45504</v>
      </c>
      <c r="D220" s="15" t="s">
        <v>345</v>
      </c>
      <c r="E220" s="36">
        <v>599.19000000000005</v>
      </c>
      <c r="F220" s="13"/>
      <c r="G220" s="26">
        <f t="shared" si="3"/>
        <v>7563057.2946643587</v>
      </c>
      <c r="I220" s="13"/>
      <c r="J220" s="13"/>
    </row>
    <row r="221" spans="1:10" s="19" customFormat="1" ht="12.6">
      <c r="A221" s="18">
        <v>45504</v>
      </c>
      <c r="E221" s="30"/>
      <c r="F221" s="30"/>
      <c r="G221" s="31">
        <f t="shared" si="3"/>
        <v>7563057.2946643587</v>
      </c>
      <c r="H221" s="32"/>
    </row>
    <row r="222" spans="1:10" ht="12.6">
      <c r="A222" s="14">
        <v>45505</v>
      </c>
      <c r="E222" s="13"/>
      <c r="F222" s="13"/>
      <c r="G222" s="26">
        <f t="shared" si="3"/>
        <v>7563057.2946643587</v>
      </c>
      <c r="I222" s="13"/>
      <c r="J222" s="13"/>
    </row>
    <row r="223" spans="1:10" ht="12.6">
      <c r="A223" s="14">
        <v>45512</v>
      </c>
      <c r="D223" s="15" t="s">
        <v>514</v>
      </c>
      <c r="E223" s="13"/>
      <c r="F223" s="13">
        <v>77000</v>
      </c>
      <c r="G223" s="26">
        <f t="shared" si="3"/>
        <v>7486057.2946643587</v>
      </c>
    </row>
    <row r="224" spans="1:10" ht="12.6">
      <c r="A224" s="14">
        <v>45512</v>
      </c>
      <c r="D224" s="15" t="s">
        <v>127</v>
      </c>
      <c r="E224" s="13"/>
      <c r="F224" s="13">
        <v>402</v>
      </c>
      <c r="G224" s="26">
        <f t="shared" si="3"/>
        <v>7485655.2946643587</v>
      </c>
    </row>
    <row r="225" spans="1:10" ht="12.6">
      <c r="A225" s="14">
        <v>45513</v>
      </c>
      <c r="D225" s="15" t="s">
        <v>468</v>
      </c>
      <c r="E225" s="13"/>
      <c r="F225" s="13">
        <v>5377274</v>
      </c>
      <c r="G225" s="26">
        <f t="shared" si="3"/>
        <v>2108381.2946643587</v>
      </c>
    </row>
    <row r="226" spans="1:10" ht="12.6">
      <c r="A226" s="14">
        <v>45516</v>
      </c>
      <c r="D226" s="15" t="s">
        <v>469</v>
      </c>
      <c r="E226" s="13"/>
      <c r="F226" s="13">
        <v>1166839</v>
      </c>
      <c r="G226" s="26">
        <f t="shared" si="3"/>
        <v>941542.29466435872</v>
      </c>
    </row>
    <row r="227" spans="1:10" ht="12.6">
      <c r="A227" s="14">
        <v>45516</v>
      </c>
      <c r="D227" s="15" t="s">
        <v>470</v>
      </c>
      <c r="E227" s="13"/>
      <c r="F227" s="13">
        <v>68196</v>
      </c>
      <c r="G227" s="26">
        <f t="shared" si="3"/>
        <v>873346.29466435872</v>
      </c>
    </row>
    <row r="228" spans="1:10" ht="12.6">
      <c r="A228" s="14">
        <v>45531</v>
      </c>
      <c r="D228" s="15" t="s">
        <v>477</v>
      </c>
      <c r="E228" s="13"/>
      <c r="F228" s="13">
        <v>62400</v>
      </c>
      <c r="G228" s="26">
        <f t="shared" si="3"/>
        <v>810946.29466435872</v>
      </c>
    </row>
    <row r="229" spans="1:10" ht="12.6">
      <c r="A229" s="14">
        <v>45532</v>
      </c>
      <c r="D229" s="11" t="s">
        <v>777</v>
      </c>
      <c r="E229" s="13">
        <v>13589834.83</v>
      </c>
      <c r="F229" s="13"/>
      <c r="G229" s="26">
        <f t="shared" si="3"/>
        <v>14400781.124664359</v>
      </c>
    </row>
    <row r="230" spans="1:10" ht="12.6">
      <c r="A230" s="14">
        <v>45532</v>
      </c>
      <c r="D230" s="15" t="s">
        <v>480</v>
      </c>
      <c r="E230" s="13"/>
      <c r="F230" s="13">
        <v>1612916.33</v>
      </c>
      <c r="G230" s="26">
        <f t="shared" si="3"/>
        <v>12787864.794664359</v>
      </c>
    </row>
    <row r="231" spans="1:10" ht="12.6">
      <c r="A231" s="14">
        <v>45532</v>
      </c>
      <c r="D231" s="15" t="s">
        <v>481</v>
      </c>
      <c r="E231" s="13"/>
      <c r="F231" s="13">
        <v>1410537.3</v>
      </c>
      <c r="G231" s="26">
        <f t="shared" si="3"/>
        <v>11377327.494664358</v>
      </c>
    </row>
    <row r="232" spans="1:10" ht="12.6">
      <c r="A232" s="14">
        <v>45532</v>
      </c>
      <c r="D232" s="15" t="s">
        <v>482</v>
      </c>
      <c r="E232" s="13"/>
      <c r="F232" s="13">
        <v>1410537.3</v>
      </c>
      <c r="G232" s="26">
        <f t="shared" si="3"/>
        <v>9966790.1946643572</v>
      </c>
    </row>
    <row r="233" spans="1:10" ht="12.6">
      <c r="A233" s="14">
        <v>45532</v>
      </c>
      <c r="D233" s="15" t="s">
        <v>483</v>
      </c>
      <c r="E233" s="13"/>
      <c r="F233" s="13">
        <v>786551.54</v>
      </c>
      <c r="G233" s="26">
        <f t="shared" si="3"/>
        <v>9180238.6546643563</v>
      </c>
    </row>
    <row r="234" spans="1:10" ht="12.6">
      <c r="A234" s="14">
        <v>45532</v>
      </c>
      <c r="D234" s="15" t="s">
        <v>484</v>
      </c>
      <c r="E234" s="13"/>
      <c r="F234" s="13">
        <v>1325079.3600000001</v>
      </c>
      <c r="G234" s="26">
        <f t="shared" si="3"/>
        <v>7855159.2946643559</v>
      </c>
    </row>
    <row r="235" spans="1:10" ht="12.6">
      <c r="A235" s="14">
        <v>45535</v>
      </c>
      <c r="D235" s="15" t="s">
        <v>345</v>
      </c>
      <c r="E235" s="36">
        <v>569.64</v>
      </c>
      <c r="F235" s="13"/>
      <c r="G235" s="26">
        <f t="shared" si="3"/>
        <v>7855728.9346643556</v>
      </c>
    </row>
    <row r="236" spans="1:10" s="19" customFormat="1" ht="12.6">
      <c r="A236" s="18">
        <v>45535</v>
      </c>
      <c r="E236" s="30"/>
      <c r="F236" s="30"/>
      <c r="G236" s="31">
        <f t="shared" si="3"/>
        <v>7855728.9346643556</v>
      </c>
      <c r="H236" s="32"/>
    </row>
    <row r="237" spans="1:10" ht="12.6">
      <c r="A237" s="14">
        <v>45536</v>
      </c>
      <c r="E237" s="13"/>
      <c r="F237" s="13"/>
      <c r="G237" s="26">
        <f t="shared" si="3"/>
        <v>7855728.9346643556</v>
      </c>
    </row>
    <row r="238" spans="1:10" ht="12.6">
      <c r="A238" s="14">
        <v>45538</v>
      </c>
      <c r="D238" s="15" t="s">
        <v>514</v>
      </c>
      <c r="E238" s="13"/>
      <c r="F238" s="13">
        <v>77000</v>
      </c>
      <c r="G238" s="26">
        <f t="shared" si="3"/>
        <v>7778728.9346643556</v>
      </c>
      <c r="J238" s="28"/>
    </row>
    <row r="239" spans="1:10" ht="12.6">
      <c r="A239" s="14">
        <v>45538</v>
      </c>
      <c r="D239" s="15" t="s">
        <v>127</v>
      </c>
      <c r="E239" s="13"/>
      <c r="F239" s="13">
        <v>393.75</v>
      </c>
      <c r="G239" s="26">
        <f t="shared" si="3"/>
        <v>7778335.1846643556</v>
      </c>
    </row>
    <row r="240" spans="1:10" ht="12.6">
      <c r="A240" s="14">
        <v>45548</v>
      </c>
      <c r="D240" s="15" t="s">
        <v>499</v>
      </c>
      <c r="E240" s="13"/>
      <c r="F240" s="13">
        <v>5659227</v>
      </c>
      <c r="G240" s="26">
        <f t="shared" si="3"/>
        <v>2119108.1846643556</v>
      </c>
    </row>
    <row r="241" spans="1:9" ht="12.6">
      <c r="A241" s="14">
        <v>45548</v>
      </c>
      <c r="D241" s="15" t="s">
        <v>498</v>
      </c>
      <c r="E241" s="13"/>
      <c r="F241" s="13">
        <v>99041</v>
      </c>
      <c r="G241" s="26">
        <f t="shared" si="3"/>
        <v>2020067.1846643556</v>
      </c>
    </row>
    <row r="242" spans="1:9" ht="12.6">
      <c r="A242" s="14">
        <v>45548</v>
      </c>
      <c r="D242" s="15" t="s">
        <v>500</v>
      </c>
      <c r="E242" s="13"/>
      <c r="F242" s="13">
        <v>1313133</v>
      </c>
      <c r="G242" s="26">
        <f t="shared" si="3"/>
        <v>706934.18466435559</v>
      </c>
    </row>
    <row r="243" spans="1:9" ht="12.6">
      <c r="A243" s="14">
        <v>45548</v>
      </c>
      <c r="D243" s="15" t="s">
        <v>501</v>
      </c>
      <c r="E243" s="13"/>
      <c r="F243" s="13">
        <v>551208</v>
      </c>
      <c r="G243" s="26">
        <f t="shared" si="3"/>
        <v>155726.18466435559</v>
      </c>
      <c r="I243" s="34"/>
    </row>
    <row r="244" spans="1:9" ht="12.6">
      <c r="A244" s="14">
        <v>45548</v>
      </c>
      <c r="D244" s="15" t="s">
        <v>127</v>
      </c>
      <c r="E244" s="13"/>
      <c r="F244" s="13">
        <v>394.5</v>
      </c>
      <c r="G244" s="26">
        <f t="shared" si="3"/>
        <v>155331.68466435559</v>
      </c>
    </row>
    <row r="245" spans="1:9" ht="12.6">
      <c r="A245" s="14">
        <v>45561</v>
      </c>
      <c r="D245" s="15" t="s">
        <v>504</v>
      </c>
      <c r="E245" s="13"/>
      <c r="F245" s="13">
        <v>62400</v>
      </c>
      <c r="G245" s="26">
        <f t="shared" si="3"/>
        <v>92931.684664355591</v>
      </c>
    </row>
    <row r="246" spans="1:9" ht="12.6">
      <c r="A246" s="14">
        <v>45562</v>
      </c>
      <c r="D246" s="11" t="s">
        <v>777</v>
      </c>
      <c r="E246" s="13">
        <v>14687542.380000001</v>
      </c>
      <c r="F246" s="13"/>
      <c r="G246" s="26">
        <f t="shared" si="3"/>
        <v>14780474.064664356</v>
      </c>
    </row>
    <row r="247" spans="1:9" ht="12.6">
      <c r="A247" s="14">
        <v>45562</v>
      </c>
      <c r="D247" s="15" t="s">
        <v>507</v>
      </c>
      <c r="E247" s="13"/>
      <c r="F247" s="13">
        <f>1612916.33</f>
        <v>1612916.33</v>
      </c>
      <c r="G247" s="26">
        <f t="shared" si="3"/>
        <v>13167557.734664356</v>
      </c>
    </row>
    <row r="248" spans="1:9" ht="12.6">
      <c r="A248" s="14">
        <v>45562</v>
      </c>
      <c r="D248" s="15" t="s">
        <v>508</v>
      </c>
      <c r="E248" s="13"/>
      <c r="F248" s="13">
        <f>1410537.3</f>
        <v>1410537.3</v>
      </c>
      <c r="G248" s="26">
        <f t="shared" si="3"/>
        <v>11757020.434664356</v>
      </c>
    </row>
    <row r="249" spans="1:9" ht="12.6">
      <c r="A249" s="14">
        <v>45562</v>
      </c>
      <c r="D249" s="15" t="s">
        <v>509</v>
      </c>
      <c r="E249" s="13"/>
      <c r="F249" s="13">
        <f>1410537.3</f>
        <v>1410537.3</v>
      </c>
      <c r="G249" s="26">
        <f t="shared" si="3"/>
        <v>10346483.134664355</v>
      </c>
    </row>
    <row r="250" spans="1:9" ht="12.6">
      <c r="A250" s="14">
        <v>45562</v>
      </c>
      <c r="D250" s="15" t="s">
        <v>510</v>
      </c>
      <c r="E250" s="13"/>
      <c r="F250" s="13">
        <f>786551.54</f>
        <v>786551.54</v>
      </c>
      <c r="G250" s="26">
        <f t="shared" si="3"/>
        <v>9559931.5946643539</v>
      </c>
    </row>
    <row r="251" spans="1:9" ht="12.6">
      <c r="A251" s="14">
        <v>45562</v>
      </c>
      <c r="D251" s="15" t="s">
        <v>511</v>
      </c>
      <c r="E251" s="13"/>
      <c r="F251" s="13">
        <f>1325079.36</f>
        <v>1325079.3600000001</v>
      </c>
      <c r="G251" s="26">
        <f t="shared" si="3"/>
        <v>8234852.2346643535</v>
      </c>
    </row>
    <row r="252" spans="1:9" ht="12.6">
      <c r="A252" s="14">
        <v>45565</v>
      </c>
      <c r="D252" s="15" t="s">
        <v>345</v>
      </c>
      <c r="E252" s="13">
        <v>330.72</v>
      </c>
      <c r="F252" s="13"/>
      <c r="G252" s="26">
        <f t="shared" si="3"/>
        <v>8235182.9546643533</v>
      </c>
      <c r="H252" s="26"/>
      <c r="I252" s="34"/>
    </row>
    <row r="253" spans="1:9" s="19" customFormat="1" ht="12.6">
      <c r="A253" s="18">
        <v>45565</v>
      </c>
      <c r="E253" s="30"/>
      <c r="F253" s="30"/>
      <c r="G253" s="31">
        <f t="shared" si="3"/>
        <v>8235182.9546643533</v>
      </c>
      <c r="H253" s="32"/>
    </row>
    <row r="254" spans="1:9" ht="12.6">
      <c r="A254" s="14">
        <v>45566</v>
      </c>
      <c r="E254" s="13"/>
      <c r="F254" s="13"/>
      <c r="G254" s="26">
        <f t="shared" si="3"/>
        <v>8235182.9546643533</v>
      </c>
    </row>
    <row r="255" spans="1:9" ht="12.6">
      <c r="A255" s="14">
        <v>45567</v>
      </c>
      <c r="D255" s="15" t="s">
        <v>559</v>
      </c>
      <c r="E255" s="13"/>
      <c r="F255" s="13">
        <v>77000</v>
      </c>
      <c r="G255" s="26">
        <f t="shared" si="3"/>
        <v>8158182.9546643533</v>
      </c>
    </row>
    <row r="256" spans="1:9" ht="12.6">
      <c r="A256" s="14">
        <v>45567</v>
      </c>
      <c r="D256" s="15" t="s">
        <v>127</v>
      </c>
      <c r="E256" s="13"/>
      <c r="F256" s="13">
        <v>393.75</v>
      </c>
      <c r="G256" s="26">
        <f t="shared" si="3"/>
        <v>8157789.2046643533</v>
      </c>
    </row>
    <row r="257" spans="1:10" ht="12.6">
      <c r="A257" s="14">
        <v>45580</v>
      </c>
      <c r="D257" s="15" t="s">
        <v>529</v>
      </c>
      <c r="E257" s="13"/>
      <c r="F257" s="13">
        <v>5909923</v>
      </c>
      <c r="G257" s="26">
        <f t="shared" si="3"/>
        <v>2247866.2046643533</v>
      </c>
    </row>
    <row r="258" spans="1:10" ht="12.6">
      <c r="A258" s="14">
        <v>45580</v>
      </c>
      <c r="D258" s="15" t="s">
        <v>578</v>
      </c>
      <c r="E258" s="13"/>
      <c r="F258" s="13">
        <v>1440883</v>
      </c>
      <c r="G258" s="26">
        <f t="shared" si="3"/>
        <v>806983.20466435328</v>
      </c>
    </row>
    <row r="259" spans="1:10" ht="12.6">
      <c r="A259" s="14">
        <v>45580</v>
      </c>
      <c r="D259" s="15" t="s">
        <v>530</v>
      </c>
      <c r="E259" s="13"/>
      <c r="F259" s="13">
        <v>67119</v>
      </c>
      <c r="G259" s="26">
        <f t="shared" si="3"/>
        <v>739864.20466435328</v>
      </c>
    </row>
    <row r="260" spans="1:10" ht="12.6">
      <c r="A260" s="14">
        <v>45590</v>
      </c>
      <c r="D260" s="15" t="s">
        <v>534</v>
      </c>
      <c r="E260" s="13"/>
      <c r="F260" s="13">
        <v>62400</v>
      </c>
      <c r="G260" s="26">
        <f t="shared" si="3"/>
        <v>677464.20466435328</v>
      </c>
    </row>
    <row r="261" spans="1:10" ht="12.6">
      <c r="A261" s="14">
        <v>45593</v>
      </c>
      <c r="D261" s="11" t="s">
        <v>777</v>
      </c>
      <c r="E261" s="13">
        <v>13637989.693595285</v>
      </c>
      <c r="F261" s="13"/>
      <c r="G261" s="26">
        <f t="shared" si="3"/>
        <v>14315453.898259638</v>
      </c>
    </row>
    <row r="262" spans="1:10" ht="12.6">
      <c r="A262" s="14">
        <v>45593</v>
      </c>
      <c r="D262" s="15" t="s">
        <v>538</v>
      </c>
      <c r="E262" s="13"/>
      <c r="F262" s="13">
        <v>1612916.33</v>
      </c>
      <c r="G262" s="26">
        <f t="shared" ref="G262:G325" si="4">G261+E262-F262</f>
        <v>12702537.568259638</v>
      </c>
    </row>
    <row r="263" spans="1:10" ht="12.6">
      <c r="A263" s="14">
        <v>45593</v>
      </c>
      <c r="D263" s="15" t="s">
        <v>539</v>
      </c>
      <c r="E263" s="13"/>
      <c r="F263" s="13">
        <v>1410537.3</v>
      </c>
      <c r="G263" s="26">
        <f t="shared" si="4"/>
        <v>11292000.268259637</v>
      </c>
    </row>
    <row r="264" spans="1:10" ht="12.6">
      <c r="A264" s="14">
        <v>45593</v>
      </c>
      <c r="D264" s="15" t="s">
        <v>540</v>
      </c>
      <c r="E264" s="13"/>
      <c r="F264" s="13">
        <v>1410537.3</v>
      </c>
      <c r="G264" s="26">
        <f t="shared" si="4"/>
        <v>9881462.9682596363</v>
      </c>
    </row>
    <row r="265" spans="1:10" ht="12.6">
      <c r="A265" s="14">
        <v>45593</v>
      </c>
      <c r="D265" s="15" t="s">
        <v>541</v>
      </c>
      <c r="E265" s="13"/>
      <c r="F265" s="13">
        <v>786551.54</v>
      </c>
      <c r="G265" s="26">
        <f t="shared" si="4"/>
        <v>9094911.4282596372</v>
      </c>
    </row>
    <row r="266" spans="1:10" ht="12.6">
      <c r="A266" s="14">
        <v>45593</v>
      </c>
      <c r="D266" s="15" t="s">
        <v>542</v>
      </c>
      <c r="E266" s="13"/>
      <c r="F266" s="13">
        <v>1325079.3600000001</v>
      </c>
      <c r="G266" s="26">
        <f t="shared" si="4"/>
        <v>7769832.0682596369</v>
      </c>
    </row>
    <row r="267" spans="1:10" ht="12.6">
      <c r="A267" s="14">
        <v>45595</v>
      </c>
      <c r="D267" s="11" t="s">
        <v>548</v>
      </c>
      <c r="E267" s="13">
        <v>1029441.82</v>
      </c>
      <c r="F267" s="13"/>
      <c r="G267" s="26">
        <f t="shared" si="4"/>
        <v>8799273.8882596362</v>
      </c>
      <c r="I267" s="34"/>
    </row>
    <row r="268" spans="1:10" ht="12.6">
      <c r="A268" s="14">
        <v>45596</v>
      </c>
      <c r="D268" s="15" t="s">
        <v>345</v>
      </c>
      <c r="E268" s="13">
        <v>351.77</v>
      </c>
      <c r="F268" s="13"/>
      <c r="G268" s="26">
        <f t="shared" si="4"/>
        <v>8799625.6582596358</v>
      </c>
      <c r="I268" s="34"/>
    </row>
    <row r="269" spans="1:10" s="19" customFormat="1" ht="12.6">
      <c r="A269" s="18">
        <v>45596</v>
      </c>
      <c r="E269" s="30"/>
      <c r="F269" s="30"/>
      <c r="G269" s="31">
        <f t="shared" si="4"/>
        <v>8799625.6582596358</v>
      </c>
      <c r="H269" s="32"/>
    </row>
    <row r="270" spans="1:10" ht="12.6">
      <c r="A270" s="14">
        <v>45597</v>
      </c>
      <c r="E270" s="13"/>
      <c r="F270" s="13"/>
      <c r="G270" s="26">
        <f t="shared" si="4"/>
        <v>8799625.6582596358</v>
      </c>
    </row>
    <row r="271" spans="1:10" ht="12.6">
      <c r="A271" s="14">
        <v>45601</v>
      </c>
      <c r="D271" s="15" t="s">
        <v>659</v>
      </c>
      <c r="E271" s="13"/>
      <c r="F271" s="13">
        <v>77000</v>
      </c>
      <c r="G271" s="26">
        <f t="shared" si="4"/>
        <v>8722625.6582596358</v>
      </c>
    </row>
    <row r="272" spans="1:10" ht="12.6">
      <c r="A272" s="14">
        <v>45601</v>
      </c>
      <c r="D272" s="15" t="s">
        <v>127</v>
      </c>
      <c r="E272" s="13"/>
      <c r="F272" s="13">
        <v>387.75</v>
      </c>
      <c r="G272" s="26">
        <f t="shared" si="4"/>
        <v>8722237.9082596358</v>
      </c>
      <c r="I272" s="13"/>
      <c r="J272" s="13"/>
    </row>
    <row r="273" spans="1:10" ht="12.6">
      <c r="A273" s="14">
        <v>45608</v>
      </c>
      <c r="D273" s="15" t="s">
        <v>579</v>
      </c>
      <c r="E273" s="13"/>
      <c r="F273" s="13">
        <v>1286621</v>
      </c>
      <c r="G273" s="26">
        <f t="shared" si="4"/>
        <v>7435616.9082596358</v>
      </c>
      <c r="I273" s="13"/>
    </row>
    <row r="274" spans="1:10" ht="12.6">
      <c r="A274" s="14">
        <v>45608</v>
      </c>
      <c r="D274" s="15" t="s">
        <v>577</v>
      </c>
      <c r="E274" s="13"/>
      <c r="F274" s="13">
        <v>57003</v>
      </c>
      <c r="G274" s="26">
        <f t="shared" si="4"/>
        <v>7378613.9082596358</v>
      </c>
      <c r="I274" s="13"/>
      <c r="J274" s="13"/>
    </row>
    <row r="275" spans="1:10" ht="12.6">
      <c r="A275" s="14">
        <v>45608</v>
      </c>
      <c r="D275" s="15" t="s">
        <v>581</v>
      </c>
      <c r="E275" s="13"/>
      <c r="F275" s="13">
        <v>6075608</v>
      </c>
      <c r="G275" s="26">
        <f t="shared" si="4"/>
        <v>1303005.9082596358</v>
      </c>
      <c r="I275" s="13"/>
      <c r="J275" s="13"/>
    </row>
    <row r="276" spans="1:10" ht="12.6">
      <c r="A276" s="14">
        <v>45611</v>
      </c>
      <c r="D276" s="15" t="s">
        <v>584</v>
      </c>
      <c r="E276" s="13"/>
      <c r="F276" s="13">
        <v>62400</v>
      </c>
      <c r="G276" s="26">
        <f t="shared" si="4"/>
        <v>1240605.9082596358</v>
      </c>
      <c r="I276" s="13"/>
      <c r="J276" s="13"/>
    </row>
    <row r="277" spans="1:10" ht="12.6">
      <c r="A277" s="14">
        <v>45624</v>
      </c>
      <c r="D277" s="11" t="s">
        <v>777</v>
      </c>
      <c r="E277" s="13">
        <v>13104247.477410357</v>
      </c>
      <c r="F277" s="13"/>
      <c r="G277" s="26">
        <f t="shared" si="4"/>
        <v>14344853.385669993</v>
      </c>
    </row>
    <row r="278" spans="1:10" ht="12.6">
      <c r="A278" s="14">
        <v>45624</v>
      </c>
      <c r="D278" s="15" t="s">
        <v>645</v>
      </c>
      <c r="F278" s="13">
        <v>1612916.33</v>
      </c>
      <c r="G278" s="26">
        <f t="shared" si="4"/>
        <v>12731937.055669993</v>
      </c>
    </row>
    <row r="279" spans="1:10" ht="12.6">
      <c r="A279" s="14">
        <v>45624</v>
      </c>
      <c r="D279" s="15" t="s">
        <v>646</v>
      </c>
      <c r="E279" s="13"/>
      <c r="F279" s="13">
        <v>1410537.3</v>
      </c>
      <c r="G279" s="26">
        <f t="shared" si="4"/>
        <v>11321399.755669992</v>
      </c>
    </row>
    <row r="280" spans="1:10" ht="12.6">
      <c r="A280" s="14">
        <v>45624</v>
      </c>
      <c r="D280" s="15" t="s">
        <v>647</v>
      </c>
      <c r="E280" s="13"/>
      <c r="F280" s="13">
        <v>1410537.3</v>
      </c>
      <c r="G280" s="26">
        <f t="shared" si="4"/>
        <v>9910862.4556699917</v>
      </c>
    </row>
    <row r="281" spans="1:10" ht="12.6">
      <c r="A281" s="14">
        <v>45624</v>
      </c>
      <c r="D281" s="15" t="s">
        <v>648</v>
      </c>
      <c r="E281" s="13"/>
      <c r="F281" s="13">
        <v>786551.54</v>
      </c>
      <c r="G281" s="26">
        <f t="shared" si="4"/>
        <v>9124310.9156699926</v>
      </c>
    </row>
    <row r="282" spans="1:10" ht="12.6">
      <c r="A282" s="14">
        <v>45624</v>
      </c>
      <c r="D282" s="15" t="s">
        <v>649</v>
      </c>
      <c r="E282" s="13"/>
      <c r="F282" s="13">
        <v>1325079.3600000001</v>
      </c>
      <c r="G282" s="26">
        <f t="shared" si="4"/>
        <v>7799231.5556699922</v>
      </c>
      <c r="J282" s="13"/>
    </row>
    <row r="283" spans="1:10" ht="12.6">
      <c r="A283" s="14">
        <v>45626</v>
      </c>
      <c r="D283" s="15" t="s">
        <v>345</v>
      </c>
      <c r="E283" s="13">
        <v>300.56</v>
      </c>
      <c r="F283" s="13"/>
      <c r="G283" s="26">
        <f t="shared" si="4"/>
        <v>7799532.1156699918</v>
      </c>
    </row>
    <row r="284" spans="1:10" s="19" customFormat="1" ht="12.6">
      <c r="A284" s="18">
        <v>45626</v>
      </c>
      <c r="E284" s="30"/>
      <c r="F284" s="30"/>
      <c r="G284" s="31">
        <f t="shared" si="4"/>
        <v>7799532.1156699918</v>
      </c>
      <c r="H284" s="32"/>
    </row>
    <row r="285" spans="1:10" ht="12.6">
      <c r="A285" s="14">
        <v>45627</v>
      </c>
      <c r="E285" s="13"/>
      <c r="F285" s="13"/>
      <c r="G285" s="26">
        <f t="shared" si="4"/>
        <v>7799532.1156699918</v>
      </c>
    </row>
    <row r="286" spans="1:10" ht="12.6">
      <c r="A286" s="14">
        <v>45631</v>
      </c>
      <c r="D286" s="15" t="s">
        <v>658</v>
      </c>
      <c r="E286" s="13"/>
      <c r="F286" s="13">
        <v>77000</v>
      </c>
      <c r="G286" s="26">
        <f t="shared" si="4"/>
        <v>7722532.1156699918</v>
      </c>
    </row>
    <row r="287" spans="1:10" ht="12.6">
      <c r="A287" s="14">
        <v>45631</v>
      </c>
      <c r="D287" s="15" t="s">
        <v>127</v>
      </c>
      <c r="E287" s="13"/>
      <c r="F287" s="13">
        <v>382.5</v>
      </c>
      <c r="G287" s="26">
        <f t="shared" si="4"/>
        <v>7722149.6156699918</v>
      </c>
    </row>
    <row r="288" spans="1:10" ht="12.6">
      <c r="A288" s="14">
        <v>45631</v>
      </c>
      <c r="D288" s="11" t="s">
        <v>601</v>
      </c>
      <c r="E288" s="13">
        <v>1436108.48</v>
      </c>
      <c r="F288" s="13"/>
      <c r="G288" s="26">
        <f t="shared" si="4"/>
        <v>9158258.0956699923</v>
      </c>
    </row>
    <row r="289" spans="1:9" ht="12.6">
      <c r="A289" s="14">
        <v>45639</v>
      </c>
      <c r="D289" s="15" t="s">
        <v>602</v>
      </c>
      <c r="E289" s="13"/>
      <c r="F289" s="13">
        <v>6231287</v>
      </c>
      <c r="G289" s="26">
        <f t="shared" si="4"/>
        <v>2926971.0956699923</v>
      </c>
    </row>
    <row r="290" spans="1:9" ht="12.6">
      <c r="A290" s="14">
        <v>45639</v>
      </c>
      <c r="D290" s="15" t="s">
        <v>603</v>
      </c>
      <c r="E290" s="13"/>
      <c r="F290" s="13">
        <v>55876</v>
      </c>
      <c r="G290" s="26">
        <f t="shared" si="4"/>
        <v>2871095.0956699923</v>
      </c>
    </row>
    <row r="291" spans="1:9" ht="12.6">
      <c r="A291" s="14">
        <v>45639</v>
      </c>
      <c r="D291" s="15" t="s">
        <v>676</v>
      </c>
      <c r="E291" s="13"/>
      <c r="F291" s="13">
        <v>1297345</v>
      </c>
      <c r="G291" s="26">
        <f t="shared" si="4"/>
        <v>1573750.0956699923</v>
      </c>
      <c r="H291" s="26"/>
      <c r="I291" s="34"/>
    </row>
    <row r="292" spans="1:9" ht="12.6">
      <c r="A292" s="14">
        <v>45645</v>
      </c>
      <c r="D292" s="15" t="s">
        <v>698</v>
      </c>
      <c r="E292" s="13"/>
      <c r="F292" s="13">
        <v>62400</v>
      </c>
      <c r="G292" s="26">
        <f t="shared" si="4"/>
        <v>1511350.0956699923</v>
      </c>
    </row>
    <row r="293" spans="1:9" ht="12.6">
      <c r="A293" s="14">
        <v>45645</v>
      </c>
      <c r="D293" s="15" t="s">
        <v>604</v>
      </c>
      <c r="E293" s="13"/>
      <c r="F293" s="13">
        <v>314642</v>
      </c>
      <c r="G293" s="26">
        <f t="shared" si="4"/>
        <v>1196708.0956699923</v>
      </c>
    </row>
    <row r="294" spans="1:9" ht="12.6">
      <c r="A294" s="14">
        <v>45645</v>
      </c>
      <c r="D294" s="15" t="s">
        <v>127</v>
      </c>
      <c r="E294" s="13"/>
      <c r="F294" s="36">
        <v>386.26</v>
      </c>
      <c r="G294" s="26">
        <f t="shared" si="4"/>
        <v>1196321.8356699923</v>
      </c>
      <c r="H294" s="26"/>
      <c r="I294" s="34"/>
    </row>
    <row r="295" spans="1:9" ht="12.6">
      <c r="A295" s="14">
        <v>45645</v>
      </c>
      <c r="D295" s="11" t="s">
        <v>778</v>
      </c>
      <c r="E295" s="13">
        <v>16845193.530000001</v>
      </c>
      <c r="F295" s="13"/>
      <c r="G295" s="26">
        <f t="shared" si="4"/>
        <v>18041515.365669992</v>
      </c>
      <c r="H295" s="26"/>
      <c r="I295" s="34"/>
    </row>
    <row r="296" spans="1:9" ht="12.6">
      <c r="A296" s="14">
        <v>45645</v>
      </c>
      <c r="D296" s="15" t="s">
        <v>621</v>
      </c>
      <c r="E296" s="13"/>
      <c r="F296" s="13">
        <v>1681000</v>
      </c>
      <c r="G296" s="26">
        <f t="shared" si="4"/>
        <v>16360515.365669992</v>
      </c>
    </row>
    <row r="297" spans="1:9" ht="12.6">
      <c r="A297" s="14">
        <v>45645</v>
      </c>
      <c r="D297" s="15" t="s">
        <v>620</v>
      </c>
      <c r="E297" s="13"/>
      <c r="F297" s="13">
        <v>1779646.91</v>
      </c>
      <c r="G297" s="26">
        <f t="shared" si="4"/>
        <v>14580868.455669992</v>
      </c>
    </row>
    <row r="298" spans="1:9" ht="12.6">
      <c r="A298" s="14">
        <v>45645</v>
      </c>
      <c r="D298" s="15" t="s">
        <v>624</v>
      </c>
      <c r="E298" s="13"/>
      <c r="F298" s="13">
        <v>682962.65</v>
      </c>
      <c r="G298" s="26">
        <f t="shared" si="4"/>
        <v>13897905.805669991</v>
      </c>
    </row>
    <row r="299" spans="1:9" ht="12.6">
      <c r="A299" s="14">
        <v>45645</v>
      </c>
      <c r="D299" s="15" t="s">
        <v>622</v>
      </c>
      <c r="E299" s="13"/>
      <c r="F299" s="13">
        <v>1214055.56</v>
      </c>
      <c r="G299" s="26">
        <f t="shared" si="4"/>
        <v>12683850.245669991</v>
      </c>
    </row>
    <row r="300" spans="1:9" ht="12.6">
      <c r="A300" s="14">
        <v>45645</v>
      </c>
      <c r="D300" s="15" t="s">
        <v>623</v>
      </c>
      <c r="E300" s="13"/>
      <c r="F300" s="13">
        <v>513625.58</v>
      </c>
      <c r="G300" s="26">
        <f t="shared" si="4"/>
        <v>12170224.665669991</v>
      </c>
    </row>
    <row r="301" spans="1:9" ht="12.6">
      <c r="A301" s="14">
        <v>45653</v>
      </c>
      <c r="D301" s="15" t="s">
        <v>650</v>
      </c>
      <c r="E301" s="13"/>
      <c r="F301" s="13">
        <v>1612916.3300000003</v>
      </c>
      <c r="G301" s="26">
        <f t="shared" si="4"/>
        <v>10557308.335669991</v>
      </c>
    </row>
    <row r="302" spans="1:9" ht="12.6">
      <c r="A302" s="14">
        <v>45653</v>
      </c>
      <c r="D302" s="15" t="s">
        <v>651</v>
      </c>
      <c r="E302" s="13"/>
      <c r="F302" s="13">
        <v>1410537.3</v>
      </c>
      <c r="G302" s="26">
        <f t="shared" si="4"/>
        <v>9146771.0356699899</v>
      </c>
    </row>
    <row r="303" spans="1:9" ht="12.6">
      <c r="A303" s="14">
        <v>45653</v>
      </c>
      <c r="D303" s="15" t="s">
        <v>652</v>
      </c>
      <c r="E303" s="13"/>
      <c r="F303" s="13">
        <v>1410537.3</v>
      </c>
      <c r="G303" s="26">
        <f t="shared" si="4"/>
        <v>7736233.7356699901</v>
      </c>
    </row>
    <row r="304" spans="1:9" ht="12.6">
      <c r="A304" s="14">
        <v>45653</v>
      </c>
      <c r="D304" s="15" t="s">
        <v>653</v>
      </c>
      <c r="E304" s="13"/>
      <c r="F304" s="13">
        <v>786551.54</v>
      </c>
      <c r="G304" s="26">
        <f t="shared" si="4"/>
        <v>6949682.19566999</v>
      </c>
    </row>
    <row r="305" spans="1:13" ht="12.6">
      <c r="A305" s="14">
        <v>45653</v>
      </c>
      <c r="D305" s="15" t="s">
        <v>654</v>
      </c>
      <c r="E305" s="13"/>
      <c r="F305" s="13">
        <v>1325079.3599999999</v>
      </c>
      <c r="G305" s="26">
        <f t="shared" si="4"/>
        <v>5624602.8356699906</v>
      </c>
    </row>
    <row r="306" spans="1:13" ht="12.6">
      <c r="A306" s="14">
        <v>45656</v>
      </c>
      <c r="D306" s="15" t="s">
        <v>345</v>
      </c>
      <c r="E306" s="13">
        <v>570.89</v>
      </c>
      <c r="F306" s="13"/>
      <c r="G306" s="26">
        <f t="shared" si="4"/>
        <v>5625173.7256699903</v>
      </c>
    </row>
    <row r="307" spans="1:13" s="19" customFormat="1" ht="12.6">
      <c r="A307" s="18">
        <v>45656</v>
      </c>
      <c r="E307" s="30"/>
      <c r="F307" s="30"/>
      <c r="G307" s="31">
        <f t="shared" si="4"/>
        <v>5625173.7256699903</v>
      </c>
    </row>
    <row r="308" spans="1:13" ht="12.6">
      <c r="A308" s="14">
        <v>45658</v>
      </c>
      <c r="E308" s="13"/>
      <c r="F308" s="13"/>
      <c r="G308" s="26">
        <f t="shared" si="4"/>
        <v>5625173.7256699903</v>
      </c>
    </row>
    <row r="309" spans="1:13" ht="12.6">
      <c r="A309" s="14">
        <v>45659</v>
      </c>
      <c r="D309" s="15" t="s">
        <v>658</v>
      </c>
      <c r="E309" s="13"/>
      <c r="F309" s="13"/>
      <c r="G309" s="26">
        <f t="shared" si="4"/>
        <v>5625173.7256699903</v>
      </c>
      <c r="H309" s="26"/>
      <c r="I309" s="34"/>
      <c r="J309" s="34"/>
      <c r="L309" s="34"/>
      <c r="M309" s="34"/>
    </row>
    <row r="310" spans="1:13" ht="12.6">
      <c r="A310" s="14">
        <v>45659</v>
      </c>
      <c r="D310" s="15" t="s">
        <v>127</v>
      </c>
      <c r="E310" s="13"/>
      <c r="F310" s="13"/>
      <c r="G310" s="26">
        <f t="shared" si="4"/>
        <v>5625173.7256699903</v>
      </c>
    </row>
    <row r="311" spans="1:13" ht="12.6">
      <c r="A311" s="14">
        <v>45670</v>
      </c>
      <c r="D311" s="11" t="s">
        <v>675</v>
      </c>
      <c r="E311" s="13">
        <v>1700000</v>
      </c>
      <c r="F311" s="13"/>
      <c r="G311" s="26">
        <f t="shared" si="4"/>
        <v>7325173.7256699903</v>
      </c>
    </row>
    <row r="312" spans="1:13" ht="12.6">
      <c r="A312" s="14">
        <v>45670</v>
      </c>
      <c r="D312" s="15" t="s">
        <v>677</v>
      </c>
      <c r="E312" s="13"/>
      <c r="F312" s="13">
        <v>1243933</v>
      </c>
      <c r="G312" s="26">
        <f t="shared" si="4"/>
        <v>6081240.7256699903</v>
      </c>
    </row>
    <row r="313" spans="1:13" ht="12.6">
      <c r="A313" s="14">
        <v>45670</v>
      </c>
      <c r="D313" s="15" t="s">
        <v>678</v>
      </c>
      <c r="E313" s="13"/>
      <c r="F313" s="13">
        <v>5919496</v>
      </c>
      <c r="G313" s="26">
        <f t="shared" si="4"/>
        <v>161744.72566999029</v>
      </c>
    </row>
    <row r="314" spans="1:13" ht="12.6">
      <c r="A314" s="14">
        <v>45672</v>
      </c>
      <c r="D314" s="15" t="s">
        <v>682</v>
      </c>
      <c r="E314" s="13"/>
      <c r="F314" s="13">
        <v>13899</v>
      </c>
      <c r="G314" s="26">
        <f t="shared" si="4"/>
        <v>147845.72566999029</v>
      </c>
      <c r="H314" s="34"/>
    </row>
    <row r="315" spans="1:13" ht="12.6">
      <c r="A315" s="14">
        <v>45672</v>
      </c>
      <c r="D315" s="11" t="s">
        <v>684</v>
      </c>
      <c r="E315" s="13">
        <v>195000</v>
      </c>
      <c r="F315" s="13"/>
      <c r="G315" s="26">
        <f t="shared" si="4"/>
        <v>342845.72566999029</v>
      </c>
    </row>
    <row r="316" spans="1:13" ht="12.6">
      <c r="A316" s="14">
        <v>45672</v>
      </c>
      <c r="D316" s="15" t="s">
        <v>135</v>
      </c>
      <c r="E316" s="13"/>
      <c r="F316" s="13">
        <v>138660</v>
      </c>
      <c r="G316" s="26">
        <f t="shared" si="4"/>
        <v>204185.72566999029</v>
      </c>
    </row>
    <row r="317" spans="1:13" ht="12.6">
      <c r="A317" s="14">
        <v>45672</v>
      </c>
      <c r="D317" s="15" t="s">
        <v>687</v>
      </c>
      <c r="E317" s="13"/>
      <c r="F317" s="13">
        <v>55462</v>
      </c>
      <c r="G317" s="26">
        <f t="shared" si="4"/>
        <v>148723.72566999029</v>
      </c>
    </row>
    <row r="318" spans="1:13" ht="12.6">
      <c r="A318" s="14">
        <v>45685</v>
      </c>
      <c r="D318" s="11" t="s">
        <v>777</v>
      </c>
      <c r="E318" s="13">
        <v>13220941.07</v>
      </c>
      <c r="F318" s="13"/>
      <c r="G318" s="26">
        <f t="shared" si="4"/>
        <v>13369664.795669992</v>
      </c>
      <c r="J318" s="28"/>
    </row>
    <row r="319" spans="1:13" ht="12.6">
      <c r="A319" s="14">
        <v>45685</v>
      </c>
      <c r="D319" s="15" t="s">
        <v>690</v>
      </c>
      <c r="E319" s="13"/>
      <c r="F319" s="13">
        <v>1410537.3</v>
      </c>
      <c r="G319" s="26">
        <f t="shared" si="4"/>
        <v>11959127.495669991</v>
      </c>
      <c r="H319" s="34"/>
    </row>
    <row r="320" spans="1:13" ht="12.6">
      <c r="A320" s="14">
        <v>45685</v>
      </c>
      <c r="D320" s="15" t="s">
        <v>691</v>
      </c>
      <c r="E320" s="13"/>
      <c r="F320" s="13">
        <v>1612916.33</v>
      </c>
      <c r="G320" s="26">
        <f t="shared" si="4"/>
        <v>10346211.165669991</v>
      </c>
    </row>
    <row r="321" spans="1:8" ht="12.6">
      <c r="A321" s="14">
        <v>45685</v>
      </c>
      <c r="D321" s="15" t="s">
        <v>692</v>
      </c>
      <c r="E321" s="13"/>
      <c r="F321" s="13">
        <v>1325079.3600000001</v>
      </c>
      <c r="G321" s="26">
        <f t="shared" si="4"/>
        <v>9021131.8056699913</v>
      </c>
    </row>
    <row r="322" spans="1:8" ht="12.6">
      <c r="A322" s="14">
        <v>45685</v>
      </c>
      <c r="D322" s="15" t="s">
        <v>693</v>
      </c>
      <c r="E322" s="13"/>
      <c r="F322" s="13">
        <v>1410537.3</v>
      </c>
      <c r="G322" s="26">
        <f t="shared" si="4"/>
        <v>7610594.5056699915</v>
      </c>
    </row>
    <row r="323" spans="1:8" ht="12.6">
      <c r="A323" s="14">
        <v>45685</v>
      </c>
      <c r="D323" s="15" t="s">
        <v>696</v>
      </c>
      <c r="E323" s="13"/>
      <c r="F323" s="13">
        <v>786551.54</v>
      </c>
      <c r="G323" s="26">
        <f t="shared" si="4"/>
        <v>6824042.9656699914</v>
      </c>
    </row>
    <row r="324" spans="1:8" ht="12.6">
      <c r="A324" s="14">
        <v>45685</v>
      </c>
      <c r="D324" s="15" t="s">
        <v>697</v>
      </c>
      <c r="E324" s="13"/>
      <c r="F324" s="13">
        <v>16950</v>
      </c>
      <c r="G324" s="26">
        <f t="shared" si="4"/>
        <v>6807092.9656699914</v>
      </c>
    </row>
    <row r="325" spans="1:8" ht="12.6">
      <c r="A325" s="14">
        <v>45685</v>
      </c>
      <c r="D325" s="15" t="s">
        <v>699</v>
      </c>
      <c r="E325" s="13"/>
      <c r="F325" s="13">
        <v>62400</v>
      </c>
      <c r="G325" s="26">
        <f t="shared" si="4"/>
        <v>6744692.9656699914</v>
      </c>
    </row>
    <row r="326" spans="1:8" ht="12.6">
      <c r="A326" s="14">
        <v>45688</v>
      </c>
      <c r="D326" s="15" t="s">
        <v>345</v>
      </c>
      <c r="E326" s="13">
        <v>215</v>
      </c>
      <c r="F326" s="13"/>
      <c r="G326" s="26">
        <f t="shared" ref="G326:G389" si="5">G325+E326-F326</f>
        <v>6744907.9656699914</v>
      </c>
    </row>
    <row r="327" spans="1:8" s="19" customFormat="1" ht="12.6">
      <c r="A327" s="18">
        <v>45688</v>
      </c>
      <c r="E327" s="30"/>
      <c r="F327" s="30"/>
      <c r="G327" s="31">
        <f t="shared" si="5"/>
        <v>6744907.9656699914</v>
      </c>
    </row>
    <row r="328" spans="1:8" ht="12.6">
      <c r="A328" s="14">
        <v>45689</v>
      </c>
      <c r="E328" s="13"/>
      <c r="F328" s="13"/>
      <c r="G328" s="26">
        <f t="shared" si="5"/>
        <v>6744907.9656699914</v>
      </c>
    </row>
    <row r="329" spans="1:8" ht="12.6">
      <c r="A329" s="14">
        <v>45702</v>
      </c>
      <c r="D329" s="15" t="s">
        <v>717</v>
      </c>
      <c r="E329" s="13"/>
      <c r="F329" s="13">
        <v>5281620</v>
      </c>
      <c r="G329" s="26">
        <f t="shared" si="5"/>
        <v>1463287.9656699914</v>
      </c>
    </row>
    <row r="330" spans="1:8" ht="12.6">
      <c r="A330" s="14">
        <v>45702</v>
      </c>
      <c r="D330" s="15" t="s">
        <v>718</v>
      </c>
      <c r="E330" s="13"/>
      <c r="F330" s="13">
        <v>1124960</v>
      </c>
      <c r="G330" s="26">
        <f t="shared" si="5"/>
        <v>338327.96566999145</v>
      </c>
    </row>
    <row r="331" spans="1:8" ht="12.6">
      <c r="A331" s="14">
        <v>45702</v>
      </c>
      <c r="D331" s="15" t="s">
        <v>856</v>
      </c>
      <c r="E331" s="13"/>
      <c r="F331" s="13">
        <v>48849</v>
      </c>
      <c r="G331" s="26">
        <f t="shared" si="5"/>
        <v>289478.96566999145</v>
      </c>
    </row>
    <row r="332" spans="1:8" ht="12.6">
      <c r="A332" s="14">
        <v>45709</v>
      </c>
      <c r="D332" s="15" t="s">
        <v>721</v>
      </c>
      <c r="E332" s="13"/>
      <c r="F332" s="13">
        <v>110000</v>
      </c>
      <c r="G332" s="26">
        <f t="shared" si="5"/>
        <v>179478.96566999145</v>
      </c>
      <c r="H332" s="34"/>
    </row>
    <row r="333" spans="1:8" ht="12.6">
      <c r="A333" s="14">
        <v>45714</v>
      </c>
      <c r="D333" s="15" t="s">
        <v>726</v>
      </c>
      <c r="E333" s="13"/>
      <c r="F333" s="13">
        <v>77400.02</v>
      </c>
      <c r="G333" s="26">
        <f t="shared" si="5"/>
        <v>102078.94566999144</v>
      </c>
      <c r="H333" s="34">
        <f>F333/499</f>
        <v>155.11026052104208</v>
      </c>
    </row>
    <row r="334" spans="1:8" ht="12.6">
      <c r="A334" s="14">
        <v>45716</v>
      </c>
      <c r="D334" s="11" t="s">
        <v>779</v>
      </c>
      <c r="E334" s="13">
        <v>13534275.699999999</v>
      </c>
      <c r="F334" s="13"/>
      <c r="G334" s="26">
        <f t="shared" si="5"/>
        <v>13636354.645669991</v>
      </c>
    </row>
    <row r="335" spans="1:8" ht="12.6">
      <c r="A335" s="14">
        <v>45716</v>
      </c>
      <c r="D335" s="15" t="s">
        <v>731</v>
      </c>
      <c r="E335" s="13"/>
      <c r="F335" s="13">
        <v>1410537.3</v>
      </c>
      <c r="G335" s="26">
        <f t="shared" si="5"/>
        <v>12225817.34566999</v>
      </c>
    </row>
    <row r="336" spans="1:8" ht="12.6">
      <c r="A336" s="14">
        <v>45716</v>
      </c>
      <c r="D336" s="15" t="s">
        <v>732</v>
      </c>
      <c r="E336" s="13"/>
      <c r="F336" s="13">
        <v>1612916.33</v>
      </c>
      <c r="G336" s="26">
        <f t="shared" si="5"/>
        <v>10612901.01566999</v>
      </c>
    </row>
    <row r="337" spans="1:7" ht="12.6">
      <c r="A337" s="14">
        <v>45716</v>
      </c>
      <c r="D337" s="15" t="s">
        <v>733</v>
      </c>
      <c r="E337" s="13"/>
      <c r="F337" s="13">
        <v>1325079.3600000001</v>
      </c>
      <c r="G337" s="26">
        <f t="shared" si="5"/>
        <v>9287821.6556699909</v>
      </c>
    </row>
    <row r="338" spans="1:7" ht="12.6">
      <c r="A338" s="14">
        <v>45716</v>
      </c>
      <c r="D338" s="15" t="s">
        <v>734</v>
      </c>
      <c r="E338" s="13"/>
      <c r="F338" s="13">
        <v>1410537.3</v>
      </c>
      <c r="G338" s="26">
        <f t="shared" si="5"/>
        <v>7877284.3556699911</v>
      </c>
    </row>
    <row r="339" spans="1:7" ht="12.6">
      <c r="A339" s="14">
        <v>45716</v>
      </c>
      <c r="D339" s="15" t="s">
        <v>735</v>
      </c>
      <c r="E339" s="13"/>
      <c r="F339" s="13">
        <v>786551.54</v>
      </c>
      <c r="G339" s="26">
        <f t="shared" si="5"/>
        <v>7090732.8156699911</v>
      </c>
    </row>
    <row r="340" spans="1:7" ht="12.6">
      <c r="A340" s="14">
        <v>45716</v>
      </c>
      <c r="D340" s="15" t="s">
        <v>345</v>
      </c>
      <c r="E340" s="13">
        <v>221.31</v>
      </c>
      <c r="F340" s="13"/>
      <c r="G340" s="26">
        <f t="shared" si="5"/>
        <v>7090954.1256699907</v>
      </c>
    </row>
    <row r="341" spans="1:7" s="20" customFormat="1" ht="12.6">
      <c r="A341" s="18">
        <v>45716</v>
      </c>
      <c r="E341" s="22"/>
      <c r="F341" s="22"/>
      <c r="G341" s="31">
        <f t="shared" si="5"/>
        <v>7090954.1256699907</v>
      </c>
    </row>
    <row r="342" spans="1:7" ht="12.6">
      <c r="A342" s="14">
        <v>45717</v>
      </c>
      <c r="E342" s="13"/>
      <c r="F342" s="13"/>
      <c r="G342" s="26">
        <f t="shared" si="5"/>
        <v>7090954.1256699907</v>
      </c>
    </row>
    <row r="343" spans="1:7" ht="12.6">
      <c r="A343" s="14">
        <v>45726</v>
      </c>
      <c r="D343" s="15" t="s">
        <v>742</v>
      </c>
      <c r="E343" s="13"/>
      <c r="F343" s="13">
        <v>5350815</v>
      </c>
      <c r="G343" s="26">
        <f t="shared" si="5"/>
        <v>1740139.1256699907</v>
      </c>
    </row>
    <row r="344" spans="1:7" ht="12.6">
      <c r="A344" s="14">
        <v>45726</v>
      </c>
      <c r="D344" s="15" t="s">
        <v>743</v>
      </c>
      <c r="E344" s="13"/>
      <c r="F344" s="13">
        <v>1157777</v>
      </c>
      <c r="G344" s="26">
        <f t="shared" si="5"/>
        <v>582362.12566999067</v>
      </c>
    </row>
    <row r="345" spans="1:7" ht="12.6">
      <c r="A345" s="14">
        <v>45726</v>
      </c>
      <c r="D345" s="15" t="s">
        <v>855</v>
      </c>
      <c r="E345" s="13"/>
      <c r="F345" s="13">
        <v>82060</v>
      </c>
      <c r="G345" s="26">
        <f t="shared" si="5"/>
        <v>500302.12566999067</v>
      </c>
    </row>
    <row r="346" spans="1:7" ht="12.6">
      <c r="A346" s="14">
        <v>45730</v>
      </c>
      <c r="D346" s="11" t="s">
        <v>760</v>
      </c>
      <c r="E346" s="13"/>
      <c r="F346" s="13">
        <v>28823</v>
      </c>
      <c r="G346" s="26">
        <f t="shared" si="5"/>
        <v>471479.12566999067</v>
      </c>
    </row>
    <row r="347" spans="1:7" ht="12.6">
      <c r="A347" s="14">
        <v>45733</v>
      </c>
      <c r="D347" s="11" t="s">
        <v>763</v>
      </c>
      <c r="E347" s="13">
        <v>492000</v>
      </c>
      <c r="F347" s="13"/>
      <c r="G347" s="26">
        <f t="shared" si="5"/>
        <v>963479.12566999067</v>
      </c>
    </row>
    <row r="348" spans="1:7" ht="12.6">
      <c r="A348" s="14">
        <v>45733</v>
      </c>
      <c r="D348" s="15" t="s">
        <v>764</v>
      </c>
      <c r="E348" s="13"/>
      <c r="F348" s="13">
        <v>710084</v>
      </c>
      <c r="G348" s="26">
        <f t="shared" si="5"/>
        <v>253395.12566999067</v>
      </c>
    </row>
    <row r="349" spans="1:7" ht="12.6">
      <c r="A349" s="14">
        <v>45737</v>
      </c>
      <c r="D349" s="15" t="s">
        <v>779</v>
      </c>
      <c r="E349" s="13">
        <v>23405912.199999999</v>
      </c>
      <c r="F349" s="13"/>
      <c r="G349" s="26">
        <f t="shared" si="5"/>
        <v>23659307.325669989</v>
      </c>
    </row>
    <row r="350" spans="1:7" ht="12.6">
      <c r="A350" s="14">
        <v>45744</v>
      </c>
      <c r="D350" s="15" t="s">
        <v>785</v>
      </c>
      <c r="E350" s="13"/>
      <c r="F350" s="13">
        <v>1410537.3</v>
      </c>
      <c r="G350" s="26">
        <f t="shared" si="5"/>
        <v>22248770.025669988</v>
      </c>
    </row>
    <row r="351" spans="1:7" ht="12.6">
      <c r="A351" s="14">
        <v>45744</v>
      </c>
      <c r="D351" s="15" t="s">
        <v>786</v>
      </c>
      <c r="E351" s="13"/>
      <c r="F351" s="13">
        <v>1612916.33</v>
      </c>
      <c r="G351" s="26">
        <f t="shared" si="5"/>
        <v>20635853.695669986</v>
      </c>
    </row>
    <row r="352" spans="1:7" ht="12.6">
      <c r="A352" s="14">
        <v>45744</v>
      </c>
      <c r="D352" s="15" t="s">
        <v>787</v>
      </c>
      <c r="E352" s="13"/>
      <c r="F352" s="13">
        <v>1325079.3600000001</v>
      </c>
      <c r="G352" s="26">
        <f t="shared" si="5"/>
        <v>19310774.335669987</v>
      </c>
    </row>
    <row r="353" spans="1:9" ht="12.6">
      <c r="A353" s="14">
        <v>45744</v>
      </c>
      <c r="D353" s="15" t="s">
        <v>788</v>
      </c>
      <c r="E353" s="13"/>
      <c r="F353" s="13">
        <v>1410537.3</v>
      </c>
      <c r="G353" s="26">
        <f t="shared" si="5"/>
        <v>17900237.035669986</v>
      </c>
    </row>
    <row r="354" spans="1:9" ht="12.6">
      <c r="A354" s="14">
        <v>45744</v>
      </c>
      <c r="D354" s="15" t="s">
        <v>789</v>
      </c>
      <c r="E354" s="13"/>
      <c r="F354" s="13">
        <v>786551.54</v>
      </c>
      <c r="G354" s="26">
        <f t="shared" si="5"/>
        <v>17113685.495669987</v>
      </c>
    </row>
    <row r="355" spans="1:9" ht="12.6">
      <c r="A355" s="14">
        <v>45744</v>
      </c>
      <c r="D355" s="15" t="s">
        <v>790</v>
      </c>
      <c r="E355" s="13"/>
      <c r="F355" s="13">
        <v>4.6399999999999997</v>
      </c>
      <c r="G355" s="26">
        <f t="shared" si="5"/>
        <v>17113680.855669986</v>
      </c>
    </row>
    <row r="356" spans="1:9" ht="12.6">
      <c r="A356" s="14">
        <v>45745</v>
      </c>
      <c r="D356" s="15" t="s">
        <v>790</v>
      </c>
      <c r="E356" s="13"/>
      <c r="F356" s="13">
        <v>4646054.8600000003</v>
      </c>
      <c r="G356" s="26">
        <f t="shared" si="5"/>
        <v>12467625.995669987</v>
      </c>
    </row>
    <row r="357" spans="1:9" ht="12.6">
      <c r="A357" s="14">
        <v>45747</v>
      </c>
      <c r="D357" s="15" t="s">
        <v>345</v>
      </c>
      <c r="E357" s="13">
        <v>288.62</v>
      </c>
      <c r="F357" s="13"/>
      <c r="G357" s="26">
        <f t="shared" si="5"/>
        <v>12467914.615669986</v>
      </c>
    </row>
    <row r="358" spans="1:9" s="19" customFormat="1" ht="12.6">
      <c r="A358" s="18">
        <v>45747</v>
      </c>
      <c r="E358" s="30"/>
      <c r="F358" s="30"/>
      <c r="G358" s="31">
        <f t="shared" si="5"/>
        <v>12467914.615669986</v>
      </c>
    </row>
    <row r="359" spans="1:9" ht="12.6">
      <c r="A359" s="14">
        <v>45748</v>
      </c>
      <c r="E359" s="13"/>
      <c r="F359" s="13"/>
      <c r="G359" s="26">
        <f t="shared" si="5"/>
        <v>12467914.615669986</v>
      </c>
    </row>
    <row r="360" spans="1:9" ht="12.6">
      <c r="A360" s="14">
        <v>45761</v>
      </c>
      <c r="D360" s="15" t="s">
        <v>796</v>
      </c>
      <c r="E360" s="13"/>
      <c r="F360" s="13">
        <v>8888377</v>
      </c>
      <c r="G360" s="26">
        <f t="shared" si="5"/>
        <v>3579537.6156699862</v>
      </c>
    </row>
    <row r="361" spans="1:9" ht="12.6">
      <c r="A361" s="14">
        <v>45761</v>
      </c>
      <c r="D361" s="15" t="s">
        <v>797</v>
      </c>
      <c r="E361" s="13"/>
      <c r="F361" s="13">
        <v>2596682</v>
      </c>
      <c r="G361" s="26">
        <f t="shared" si="5"/>
        <v>982855.61566998623</v>
      </c>
    </row>
    <row r="362" spans="1:9" ht="12.6">
      <c r="A362" s="14">
        <v>45761</v>
      </c>
      <c r="D362" s="15" t="s">
        <v>853</v>
      </c>
      <c r="E362" s="13"/>
      <c r="F362" s="13">
        <v>78600</v>
      </c>
      <c r="G362" s="26">
        <f t="shared" si="5"/>
        <v>904255.61566998623</v>
      </c>
    </row>
    <row r="363" spans="1:9" ht="12.6">
      <c r="A363" s="14">
        <v>45762</v>
      </c>
      <c r="D363" s="15" t="s">
        <v>802</v>
      </c>
      <c r="E363" s="13"/>
      <c r="F363" s="13">
        <v>21456</v>
      </c>
      <c r="G363" s="26">
        <f t="shared" si="5"/>
        <v>882799.61566998623</v>
      </c>
    </row>
    <row r="364" spans="1:9" ht="12.6">
      <c r="A364" s="14">
        <v>45775</v>
      </c>
      <c r="D364" s="11" t="s">
        <v>815</v>
      </c>
      <c r="E364" s="13">
        <v>8670743.7599999998</v>
      </c>
      <c r="F364" s="13"/>
      <c r="G364" s="26">
        <f t="shared" si="5"/>
        <v>9553543.375669986</v>
      </c>
    </row>
    <row r="365" spans="1:9" ht="12.6">
      <c r="A365" s="14">
        <v>45775</v>
      </c>
      <c r="D365" s="15" t="s">
        <v>816</v>
      </c>
      <c r="E365" s="13"/>
      <c r="F365" s="13">
        <v>4646054.8600000003</v>
      </c>
      <c r="G365" s="26">
        <f t="shared" si="5"/>
        <v>4907488.5156699857</v>
      </c>
    </row>
    <row r="366" spans="1:9" ht="12.6">
      <c r="A366" s="14">
        <v>45775</v>
      </c>
      <c r="D366" s="15" t="s">
        <v>819</v>
      </c>
      <c r="E366" s="13"/>
      <c r="F366" s="13">
        <v>1612916.33</v>
      </c>
      <c r="G366" s="26">
        <f t="shared" si="5"/>
        <v>3294572.1856699856</v>
      </c>
      <c r="I366" s="34">
        <f>E364-F365</f>
        <v>4024688.8999999994</v>
      </c>
    </row>
    <row r="367" spans="1:9" ht="12.6">
      <c r="A367" s="14">
        <v>45775</v>
      </c>
      <c r="D367" s="15" t="s">
        <v>820</v>
      </c>
      <c r="E367" s="13"/>
      <c r="F367" s="13">
        <v>1325079.3600000001</v>
      </c>
      <c r="G367" s="26">
        <f t="shared" si="5"/>
        <v>1969492.8256699855</v>
      </c>
    </row>
    <row r="368" spans="1:9" ht="12.6">
      <c r="A368" s="14">
        <v>45776</v>
      </c>
      <c r="D368" s="11" t="s">
        <v>821</v>
      </c>
      <c r="E368" s="13">
        <f>5100*499</f>
        <v>2544900</v>
      </c>
      <c r="F368" s="13"/>
      <c r="G368" s="26">
        <f t="shared" si="5"/>
        <v>4514392.8256699853</v>
      </c>
    </row>
    <row r="369" spans="1:9" ht="12.6">
      <c r="A369" s="14">
        <v>45776</v>
      </c>
      <c r="D369" s="15" t="s">
        <v>869</v>
      </c>
      <c r="E369" s="13"/>
      <c r="F369" s="13">
        <v>1410537.3</v>
      </c>
      <c r="G369" s="26">
        <f t="shared" si="5"/>
        <v>3103855.5256699855</v>
      </c>
    </row>
    <row r="370" spans="1:9" ht="12.6">
      <c r="A370" s="14">
        <v>45776</v>
      </c>
      <c r="D370" s="15" t="s">
        <v>870</v>
      </c>
      <c r="E370" s="13"/>
      <c r="F370" s="13">
        <v>1410537.3</v>
      </c>
      <c r="G370" s="26">
        <f t="shared" si="5"/>
        <v>1693318.2256699854</v>
      </c>
    </row>
    <row r="371" spans="1:9" ht="12.6">
      <c r="A371" s="14">
        <v>45776</v>
      </c>
      <c r="D371" s="15" t="s">
        <v>871</v>
      </c>
      <c r="E371" s="13"/>
      <c r="F371" s="13">
        <v>786551.54</v>
      </c>
      <c r="G371" s="26">
        <f t="shared" si="5"/>
        <v>906766.68566998537</v>
      </c>
    </row>
    <row r="372" spans="1:9" ht="12.6">
      <c r="A372" s="14">
        <v>45777</v>
      </c>
      <c r="D372" s="15" t="s">
        <v>345</v>
      </c>
      <c r="E372" s="13">
        <v>411.12</v>
      </c>
      <c r="F372" s="13"/>
      <c r="G372" s="26">
        <f t="shared" si="5"/>
        <v>907177.80566998536</v>
      </c>
    </row>
    <row r="373" spans="1:9" s="19" customFormat="1" ht="12.6">
      <c r="A373" s="18">
        <v>45777</v>
      </c>
      <c r="E373" s="30"/>
      <c r="F373" s="30"/>
      <c r="G373" s="31">
        <f t="shared" si="5"/>
        <v>907177.80566998536</v>
      </c>
    </row>
    <row r="374" spans="1:9" ht="12.6">
      <c r="A374" s="14">
        <v>45778</v>
      </c>
      <c r="E374" s="13"/>
      <c r="F374" s="13"/>
      <c r="G374" s="26">
        <f t="shared" si="5"/>
        <v>907177.80566998536</v>
      </c>
    </row>
    <row r="375" spans="1:9" ht="12.6">
      <c r="A375" s="14">
        <v>45778</v>
      </c>
      <c r="D375" s="11" t="s">
        <v>826</v>
      </c>
      <c r="E375" s="13"/>
      <c r="F375" s="13">
        <v>513</v>
      </c>
      <c r="G375" s="26">
        <f t="shared" si="5"/>
        <v>906664.80566998536</v>
      </c>
      <c r="H375" s="26"/>
      <c r="I375" s="34"/>
    </row>
    <row r="376" spans="1:9" ht="12.6">
      <c r="A376" s="14">
        <v>45779</v>
      </c>
      <c r="D376" s="11" t="s">
        <v>825</v>
      </c>
      <c r="E376" s="13">
        <v>22394954.780000001</v>
      </c>
      <c r="F376" s="13"/>
      <c r="G376" s="26">
        <f t="shared" si="5"/>
        <v>23301619.585669987</v>
      </c>
      <c r="H376" s="26"/>
      <c r="I376" s="34"/>
    </row>
    <row r="377" spans="1:9" ht="12.6">
      <c r="A377" s="14">
        <v>45783</v>
      </c>
      <c r="D377" s="15" t="s">
        <v>835</v>
      </c>
      <c r="E377" s="13"/>
      <c r="F377" s="13">
        <f>2870669.49</f>
        <v>2870669.49</v>
      </c>
      <c r="G377" s="26">
        <f t="shared" si="5"/>
        <v>20430950.095669985</v>
      </c>
    </row>
    <row r="378" spans="1:9" ht="12.6">
      <c r="A378" s="14">
        <v>45785</v>
      </c>
      <c r="D378" s="15" t="s">
        <v>836</v>
      </c>
      <c r="E378" s="13"/>
      <c r="F378" s="13">
        <v>62400</v>
      </c>
      <c r="G378" s="26">
        <f t="shared" si="5"/>
        <v>20368550.095669985</v>
      </c>
    </row>
    <row r="379" spans="1:9" ht="12.6">
      <c r="A379" s="14">
        <v>45789</v>
      </c>
      <c r="D379" s="15" t="s">
        <v>837</v>
      </c>
      <c r="E379" s="13"/>
      <c r="F379" s="13">
        <v>1195250.1200000001</v>
      </c>
      <c r="G379" s="26">
        <f t="shared" si="5"/>
        <v>19173299.975669984</v>
      </c>
    </row>
    <row r="380" spans="1:9" ht="12.6">
      <c r="A380" s="14">
        <v>45789</v>
      </c>
      <c r="D380" s="15" t="s">
        <v>839</v>
      </c>
      <c r="E380" s="13"/>
      <c r="F380" s="13">
        <v>141250</v>
      </c>
      <c r="G380" s="26">
        <f t="shared" si="5"/>
        <v>19032049.975669984</v>
      </c>
    </row>
    <row r="381" spans="1:9" ht="12.6">
      <c r="A381" s="14">
        <v>45789</v>
      </c>
      <c r="D381" s="15" t="s">
        <v>127</v>
      </c>
      <c r="E381" s="13"/>
      <c r="F381" s="13">
        <v>384.75</v>
      </c>
      <c r="G381" s="26">
        <f t="shared" si="5"/>
        <v>19031665.225669984</v>
      </c>
    </row>
    <row r="382" spans="1:9" ht="12.6">
      <c r="A382" s="14">
        <v>45790</v>
      </c>
      <c r="D382" s="15" t="s">
        <v>857</v>
      </c>
      <c r="E382" s="13"/>
      <c r="F382" s="13">
        <v>10805599</v>
      </c>
      <c r="G382" s="26">
        <f t="shared" si="5"/>
        <v>8226066.2256699838</v>
      </c>
    </row>
    <row r="383" spans="1:9" ht="12.6">
      <c r="A383" s="14">
        <v>45790</v>
      </c>
      <c r="D383" s="15" t="s">
        <v>852</v>
      </c>
      <c r="E383" s="13"/>
      <c r="F383" s="13">
        <v>3939728</v>
      </c>
      <c r="G383" s="26">
        <f t="shared" si="5"/>
        <v>4286338.2256699838</v>
      </c>
    </row>
    <row r="384" spans="1:9" ht="12.6">
      <c r="A384" s="14">
        <v>45790</v>
      </c>
      <c r="D384" s="15" t="s">
        <v>854</v>
      </c>
      <c r="E384" s="13"/>
      <c r="F384" s="13">
        <v>79272</v>
      </c>
      <c r="G384" s="26">
        <f t="shared" si="5"/>
        <v>4207066.2256699838</v>
      </c>
      <c r="I384" s="34"/>
    </row>
    <row r="385" spans="1:10" ht="12.6">
      <c r="A385" s="14">
        <v>45791</v>
      </c>
      <c r="D385" s="15" t="s">
        <v>859</v>
      </c>
      <c r="E385" s="13"/>
      <c r="F385" s="13">
        <v>255000</v>
      </c>
      <c r="G385" s="26">
        <f t="shared" si="5"/>
        <v>3952066.2256699838</v>
      </c>
    </row>
    <row r="386" spans="1:10" ht="12.6">
      <c r="A386" s="14">
        <v>45805</v>
      </c>
      <c r="D386" s="11" t="s">
        <v>866</v>
      </c>
      <c r="E386" s="13">
        <v>22734048.52</v>
      </c>
      <c r="F386" s="13"/>
      <c r="G386" s="26">
        <f t="shared" si="5"/>
        <v>26686114.745669983</v>
      </c>
    </row>
    <row r="387" spans="1:10" ht="12.6">
      <c r="A387" s="14">
        <v>45805</v>
      </c>
      <c r="D387" s="15" t="s">
        <v>867</v>
      </c>
      <c r="E387" s="13"/>
      <c r="F387" s="13">
        <v>1405538.3</v>
      </c>
      <c r="G387" s="26">
        <f t="shared" si="5"/>
        <v>25280576.445669983</v>
      </c>
    </row>
    <row r="388" spans="1:10" ht="12.6">
      <c r="A388" s="14">
        <v>45805</v>
      </c>
      <c r="D388" s="15" t="s">
        <v>868</v>
      </c>
      <c r="E388" s="13"/>
      <c r="F388" s="13">
        <v>1405538.3</v>
      </c>
      <c r="G388" s="26">
        <f t="shared" si="5"/>
        <v>23875038.145669982</v>
      </c>
      <c r="I388" s="13"/>
      <c r="J388" s="34"/>
    </row>
    <row r="389" spans="1:10" ht="12.6">
      <c r="A389" s="14">
        <v>45805</v>
      </c>
      <c r="D389" s="15" t="s">
        <v>872</v>
      </c>
      <c r="E389" s="13"/>
      <c r="F389" s="13">
        <v>786551.54</v>
      </c>
      <c r="G389" s="26">
        <f t="shared" si="5"/>
        <v>23088486.605669983</v>
      </c>
      <c r="I389" s="13"/>
    </row>
    <row r="390" spans="1:10" ht="12.6">
      <c r="A390" s="14">
        <v>45805</v>
      </c>
      <c r="D390" s="15" t="s">
        <v>873</v>
      </c>
      <c r="E390" s="13"/>
      <c r="F390" s="13">
        <v>4637855.76</v>
      </c>
      <c r="G390" s="26">
        <f t="shared" ref="G390:G453" si="6">G389+E390-F390</f>
        <v>18450630.845669985</v>
      </c>
    </row>
    <row r="391" spans="1:10" ht="12.6">
      <c r="A391" s="14">
        <v>45808</v>
      </c>
      <c r="D391" s="15" t="s">
        <v>345</v>
      </c>
      <c r="E391" s="13">
        <v>925.99</v>
      </c>
      <c r="F391" s="13"/>
      <c r="G391" s="26">
        <f t="shared" si="6"/>
        <v>18451556.835669983</v>
      </c>
    </row>
    <row r="392" spans="1:10" s="19" customFormat="1" ht="12.6">
      <c r="A392" s="18">
        <v>45808</v>
      </c>
      <c r="E392" s="30"/>
      <c r="F392" s="30"/>
      <c r="G392" s="31">
        <f t="shared" si="6"/>
        <v>18451556.835669983</v>
      </c>
    </row>
    <row r="393" spans="1:10" ht="12.6">
      <c r="A393" s="14">
        <v>45809</v>
      </c>
      <c r="E393" s="13"/>
      <c r="F393" s="13"/>
      <c r="G393" s="26">
        <f t="shared" si="6"/>
        <v>18451556.835669983</v>
      </c>
    </row>
    <row r="394" spans="1:10" ht="12.6">
      <c r="A394" s="14">
        <v>45809</v>
      </c>
      <c r="D394" s="11" t="s">
        <v>826</v>
      </c>
      <c r="E394" s="13"/>
      <c r="F394" s="13">
        <v>514</v>
      </c>
      <c r="G394" s="26">
        <f t="shared" si="6"/>
        <v>18451042.835669983</v>
      </c>
    </row>
    <row r="395" spans="1:10" ht="12.6">
      <c r="A395" s="14">
        <v>45820</v>
      </c>
      <c r="D395" s="15" t="s">
        <v>884</v>
      </c>
      <c r="E395" s="13"/>
      <c r="F395" s="13">
        <v>79778</v>
      </c>
      <c r="G395" s="26">
        <f t="shared" si="6"/>
        <v>18371264.835669983</v>
      </c>
    </row>
    <row r="396" spans="1:10" ht="12.6">
      <c r="A396" s="14">
        <v>45820</v>
      </c>
      <c r="D396" s="15" t="s">
        <v>886</v>
      </c>
      <c r="E396" s="13"/>
      <c r="F396" s="13">
        <v>2547119</v>
      </c>
      <c r="G396" s="26">
        <f t="shared" si="6"/>
        <v>15824145.835669983</v>
      </c>
    </row>
    <row r="397" spans="1:10" ht="12.6">
      <c r="A397" s="14">
        <v>45820</v>
      </c>
      <c r="D397" s="15" t="s">
        <v>887</v>
      </c>
      <c r="E397" s="13"/>
      <c r="F397" s="13">
        <v>62400</v>
      </c>
      <c r="G397" s="26">
        <f t="shared" si="6"/>
        <v>15761745.835669983</v>
      </c>
    </row>
    <row r="398" spans="1:10" ht="12.6">
      <c r="A398" s="14">
        <v>45820</v>
      </c>
      <c r="D398" s="15" t="s">
        <v>889</v>
      </c>
      <c r="E398" s="13"/>
      <c r="F398" s="13">
        <v>7917247</v>
      </c>
      <c r="G398" s="26">
        <f t="shared" si="6"/>
        <v>7844498.8356699832</v>
      </c>
    </row>
    <row r="399" spans="1:10" ht="12.6">
      <c r="A399" s="14">
        <v>45834</v>
      </c>
      <c r="D399" s="11" t="s">
        <v>913</v>
      </c>
      <c r="E399" s="13">
        <v>19422000</v>
      </c>
      <c r="F399" s="13"/>
      <c r="G399" s="26">
        <f t="shared" si="6"/>
        <v>27266498.835669983</v>
      </c>
    </row>
    <row r="400" spans="1:10" ht="12.6">
      <c r="A400" s="14">
        <v>45834</v>
      </c>
      <c r="D400" s="15" t="s">
        <v>914</v>
      </c>
      <c r="E400" s="13"/>
      <c r="F400" s="13">
        <v>1409287.55</v>
      </c>
      <c r="G400" s="26">
        <f t="shared" si="6"/>
        <v>25857211.285669982</v>
      </c>
    </row>
    <row r="401" spans="1:9" ht="12.6">
      <c r="A401" s="14">
        <v>45834</v>
      </c>
      <c r="D401" s="15" t="s">
        <v>915</v>
      </c>
      <c r="E401" s="13"/>
      <c r="F401" s="13">
        <v>1409287.55</v>
      </c>
      <c r="G401" s="26">
        <f t="shared" si="6"/>
        <v>24447923.735669982</v>
      </c>
    </row>
    <row r="402" spans="1:9" ht="12.6">
      <c r="A402" s="14">
        <v>45834</v>
      </c>
      <c r="D402" s="15" t="s">
        <v>916</v>
      </c>
      <c r="E402" s="13"/>
      <c r="F402" s="13">
        <v>786551.54</v>
      </c>
      <c r="G402" s="26">
        <f t="shared" si="6"/>
        <v>23661372.195669983</v>
      </c>
    </row>
    <row r="403" spans="1:9" ht="12.6">
      <c r="A403" s="14">
        <v>45834</v>
      </c>
      <c r="D403" s="15" t="s">
        <v>917</v>
      </c>
      <c r="E403" s="13"/>
      <c r="F403" s="13">
        <v>4641955.33</v>
      </c>
      <c r="G403" s="26">
        <f t="shared" si="6"/>
        <v>19019416.865669981</v>
      </c>
      <c r="H403" s="26"/>
      <c r="I403" s="26"/>
    </row>
    <row r="404" spans="1:9" ht="12.6">
      <c r="A404" s="14">
        <v>45838</v>
      </c>
      <c r="D404" s="15" t="s">
        <v>345</v>
      </c>
      <c r="E404" s="13">
        <v>1035.26</v>
      </c>
      <c r="F404" s="13"/>
      <c r="G404" s="26">
        <f t="shared" si="6"/>
        <v>19020452.125669982</v>
      </c>
    </row>
    <row r="405" spans="1:9" s="19" customFormat="1" ht="12.6">
      <c r="A405" s="18">
        <v>45838</v>
      </c>
      <c r="E405" s="30"/>
      <c r="F405" s="30"/>
      <c r="G405" s="31">
        <f t="shared" si="6"/>
        <v>19020452.125669982</v>
      </c>
    </row>
    <row r="406" spans="1:9" ht="12.6">
      <c r="A406" s="14">
        <v>45839</v>
      </c>
      <c r="E406" s="13"/>
      <c r="F406" s="13"/>
      <c r="G406" s="26">
        <f t="shared" si="6"/>
        <v>19020452.125669982</v>
      </c>
    </row>
    <row r="407" spans="1:9" ht="12.6">
      <c r="A407" s="14">
        <v>45839</v>
      </c>
      <c r="D407" s="11" t="s">
        <v>826</v>
      </c>
      <c r="E407" s="13"/>
      <c r="F407" s="13">
        <v>512</v>
      </c>
      <c r="G407" s="26">
        <f t="shared" si="6"/>
        <v>19019940.125669982</v>
      </c>
    </row>
    <row r="408" spans="1:9" ht="12.6">
      <c r="A408" s="14">
        <v>45849</v>
      </c>
      <c r="D408" s="15" t="s">
        <v>933</v>
      </c>
      <c r="E408" s="13"/>
      <c r="F408" s="13">
        <v>7740863</v>
      </c>
      <c r="G408" s="26">
        <f t="shared" si="6"/>
        <v>11279077.125669982</v>
      </c>
    </row>
    <row r="409" spans="1:9" ht="12.6">
      <c r="A409" s="14">
        <v>45849</v>
      </c>
      <c r="D409" s="15" t="s">
        <v>937</v>
      </c>
      <c r="E409" s="13"/>
      <c r="F409" s="13">
        <v>2398432</v>
      </c>
      <c r="G409" s="26">
        <f t="shared" si="6"/>
        <v>8880645.1256699823</v>
      </c>
    </row>
    <row r="410" spans="1:9" ht="12.6">
      <c r="A410" s="14">
        <v>45849</v>
      </c>
      <c r="D410" s="15" t="s">
        <v>938</v>
      </c>
      <c r="F410" s="13">
        <v>65708</v>
      </c>
      <c r="G410" s="26">
        <f t="shared" si="6"/>
        <v>8814937.1256699823</v>
      </c>
    </row>
    <row r="411" spans="1:9" ht="12.6">
      <c r="A411" s="14">
        <v>45849</v>
      </c>
      <c r="D411" s="15" t="s">
        <v>940</v>
      </c>
      <c r="F411" s="13">
        <v>45000</v>
      </c>
      <c r="G411" s="26">
        <f t="shared" si="6"/>
        <v>8769937.1256699823</v>
      </c>
    </row>
    <row r="412" spans="1:9" ht="12.6">
      <c r="A412" s="14">
        <v>45866</v>
      </c>
      <c r="D412" s="11" t="s">
        <v>975</v>
      </c>
      <c r="E412" s="13">
        <v>23250403.27</v>
      </c>
      <c r="F412" s="13"/>
      <c r="G412" s="26">
        <f t="shared" si="6"/>
        <v>32020340.395669982</v>
      </c>
    </row>
    <row r="413" spans="1:9" ht="12.6">
      <c r="A413" s="14">
        <v>45866</v>
      </c>
      <c r="D413" s="15" t="s">
        <v>978</v>
      </c>
      <c r="F413" s="13">
        <v>1409287.55</v>
      </c>
      <c r="G413" s="26">
        <f t="shared" si="6"/>
        <v>30611052.845669981</v>
      </c>
    </row>
    <row r="414" spans="1:9" ht="12.6">
      <c r="A414" s="14">
        <v>45866</v>
      </c>
      <c r="D414" s="15" t="s">
        <v>979</v>
      </c>
      <c r="F414" s="13">
        <v>1409287.55</v>
      </c>
      <c r="G414" s="26">
        <f t="shared" si="6"/>
        <v>29201765.29566998</v>
      </c>
    </row>
    <row r="415" spans="1:9" ht="12.6">
      <c r="A415" s="14">
        <v>45866</v>
      </c>
      <c r="D415" s="15" t="s">
        <v>980</v>
      </c>
      <c r="F415" s="13">
        <v>786551.54</v>
      </c>
      <c r="G415" s="26">
        <f t="shared" si="6"/>
        <v>28415213.755669981</v>
      </c>
    </row>
    <row r="416" spans="1:9" ht="12.6">
      <c r="A416" s="14">
        <v>45866</v>
      </c>
      <c r="D416" s="15" t="s">
        <v>981</v>
      </c>
      <c r="F416" s="13">
        <v>575515.22</v>
      </c>
      <c r="G416" s="26">
        <f t="shared" si="6"/>
        <v>27839698.535669982</v>
      </c>
    </row>
    <row r="417" spans="1:7" ht="12.6">
      <c r="A417" s="14">
        <v>45867</v>
      </c>
      <c r="D417" s="15" t="s">
        <v>982</v>
      </c>
      <c r="F417" s="13">
        <v>4646054.8600000003</v>
      </c>
      <c r="G417" s="26">
        <f t="shared" si="6"/>
        <v>23193643.675669983</v>
      </c>
    </row>
    <row r="418" spans="1:7" ht="12.6">
      <c r="A418" s="14">
        <v>45867</v>
      </c>
      <c r="D418" s="15" t="s">
        <v>983</v>
      </c>
      <c r="F418" s="13">
        <v>2039964.92</v>
      </c>
      <c r="G418" s="26">
        <f t="shared" si="6"/>
        <v>21153678.755669981</v>
      </c>
    </row>
    <row r="419" spans="1:7" ht="12.6">
      <c r="A419" s="14">
        <v>45867</v>
      </c>
      <c r="D419" s="15" t="s">
        <v>984</v>
      </c>
      <c r="F419" s="13">
        <v>421042.07</v>
      </c>
      <c r="G419" s="26">
        <f t="shared" si="6"/>
        <v>20732636.685669981</v>
      </c>
    </row>
    <row r="420" spans="1:7" ht="12.6">
      <c r="A420" s="14">
        <v>45867</v>
      </c>
      <c r="D420" s="15" t="s">
        <v>127</v>
      </c>
      <c r="E420" s="13"/>
      <c r="F420" s="13">
        <v>384.75</v>
      </c>
      <c r="G420" s="26">
        <f t="shared" si="6"/>
        <v>20732251.935669981</v>
      </c>
    </row>
    <row r="421" spans="1:7" ht="12" customHeight="1">
      <c r="A421" s="14">
        <v>45869</v>
      </c>
      <c r="D421" s="15" t="s">
        <v>345</v>
      </c>
      <c r="E421" s="13">
        <v>1122.46</v>
      </c>
      <c r="F421" s="13"/>
      <c r="G421" s="26">
        <f t="shared" si="6"/>
        <v>20733374.395669982</v>
      </c>
    </row>
    <row r="422" spans="1:7" s="19" customFormat="1" ht="12.6">
      <c r="A422" s="18">
        <v>45869</v>
      </c>
      <c r="E422" s="30"/>
      <c r="F422" s="30"/>
      <c r="G422" s="31">
        <f t="shared" si="6"/>
        <v>20733374.395669982</v>
      </c>
    </row>
    <row r="423" spans="1:7" ht="12.6">
      <c r="A423" s="14">
        <v>45870</v>
      </c>
      <c r="F423" s="13"/>
      <c r="G423" s="26">
        <f t="shared" si="6"/>
        <v>20733374.395669982</v>
      </c>
    </row>
    <row r="424" spans="1:7" ht="12.6">
      <c r="A424" s="14">
        <v>45870</v>
      </c>
      <c r="D424" s="11" t="s">
        <v>826</v>
      </c>
      <c r="F424" s="13">
        <v>513</v>
      </c>
      <c r="G424" s="26">
        <f t="shared" si="6"/>
        <v>20732861.395669982</v>
      </c>
    </row>
    <row r="425" spans="1:7" ht="12.6">
      <c r="A425" s="14">
        <v>45873</v>
      </c>
      <c r="D425" s="15" t="s">
        <v>987</v>
      </c>
      <c r="F425" s="13">
        <v>524121.29</v>
      </c>
      <c r="G425" s="26">
        <f t="shared" si="6"/>
        <v>20208740.105669983</v>
      </c>
    </row>
    <row r="426" spans="1:7" ht="12.6">
      <c r="A426" s="14">
        <v>45875</v>
      </c>
      <c r="D426" s="15" t="s">
        <v>1008</v>
      </c>
      <c r="F426" s="13">
        <v>285079.82</v>
      </c>
      <c r="G426" s="26">
        <f t="shared" si="6"/>
        <v>19923660.285669982</v>
      </c>
    </row>
    <row r="427" spans="1:7" ht="12.6">
      <c r="A427" s="14">
        <v>45875</v>
      </c>
      <c r="D427" s="15" t="s">
        <v>1007</v>
      </c>
      <c r="F427" s="13">
        <v>237745.1</v>
      </c>
      <c r="G427" s="26">
        <f t="shared" si="6"/>
        <v>19685915.185669981</v>
      </c>
    </row>
    <row r="428" spans="1:7" ht="12.6">
      <c r="A428" s="14">
        <v>45881</v>
      </c>
      <c r="D428" s="15" t="s">
        <v>998</v>
      </c>
      <c r="F428" s="13">
        <v>11489421</v>
      </c>
      <c r="G428" s="26">
        <f t="shared" si="6"/>
        <v>8196494.1856699809</v>
      </c>
    </row>
    <row r="429" spans="1:7" ht="12.6">
      <c r="A429" s="14">
        <v>45882</v>
      </c>
      <c r="D429" s="15" t="s">
        <v>1001</v>
      </c>
      <c r="F429" s="13">
        <v>93051</v>
      </c>
      <c r="G429" s="26">
        <f t="shared" si="6"/>
        <v>8103443.1856699809</v>
      </c>
    </row>
    <row r="430" spans="1:7" ht="12.6">
      <c r="A430" s="14">
        <v>45882</v>
      </c>
      <c r="D430" s="15" t="s">
        <v>1002</v>
      </c>
      <c r="F430" s="13">
        <v>3336269</v>
      </c>
      <c r="G430" s="26">
        <f t="shared" si="6"/>
        <v>4767174.1856699809</v>
      </c>
    </row>
    <row r="431" spans="1:7" ht="12.6">
      <c r="A431" s="14">
        <v>45890</v>
      </c>
      <c r="D431" s="15" t="s">
        <v>1009</v>
      </c>
      <c r="F431" s="13">
        <f>43205.55</f>
        <v>43205.55</v>
      </c>
      <c r="G431" s="26">
        <f t="shared" si="6"/>
        <v>4723968.6356699811</v>
      </c>
    </row>
    <row r="432" spans="1:7" ht="12.6">
      <c r="A432" s="14">
        <v>45890</v>
      </c>
      <c r="D432" s="15" t="s">
        <v>127</v>
      </c>
      <c r="F432" s="13">
        <v>1533</v>
      </c>
      <c r="G432" s="26">
        <f t="shared" si="6"/>
        <v>4722435.6356699811</v>
      </c>
    </row>
    <row r="433" spans="1:9" ht="12.6">
      <c r="A433" s="14">
        <v>45890</v>
      </c>
      <c r="D433" s="15" t="s">
        <v>1011</v>
      </c>
      <c r="F433" s="13">
        <v>30064.09</v>
      </c>
      <c r="G433" s="26">
        <f t="shared" si="6"/>
        <v>4692371.5456699813</v>
      </c>
      <c r="H433" s="34"/>
    </row>
    <row r="434" spans="1:9" ht="12.6">
      <c r="A434" s="14">
        <v>45897</v>
      </c>
      <c r="D434" s="11" t="s">
        <v>1054</v>
      </c>
      <c r="E434" s="13">
        <v>6047006.75</v>
      </c>
      <c r="F434" s="13"/>
      <c r="G434" s="26">
        <f t="shared" si="6"/>
        <v>10739378.29566998</v>
      </c>
    </row>
    <row r="435" spans="1:9" ht="12.6">
      <c r="A435" s="14">
        <v>45897</v>
      </c>
      <c r="D435" s="15" t="s">
        <v>1145</v>
      </c>
      <c r="E435" s="13"/>
      <c r="F435" s="13">
        <v>2039964.81</v>
      </c>
      <c r="G435" s="26">
        <f t="shared" si="6"/>
        <v>8699413.4856699798</v>
      </c>
    </row>
    <row r="436" spans="1:9" ht="12.6">
      <c r="A436" s="14">
        <v>45897</v>
      </c>
      <c r="D436" s="15" t="s">
        <v>1146</v>
      </c>
      <c r="E436" s="13"/>
      <c r="F436" s="13">
        <v>4641955.3099999996</v>
      </c>
      <c r="G436" s="26">
        <f t="shared" si="6"/>
        <v>4057458.1756699802</v>
      </c>
    </row>
    <row r="437" spans="1:9" ht="12.6">
      <c r="A437" s="14">
        <v>45897</v>
      </c>
      <c r="D437" s="15" t="s">
        <v>1147</v>
      </c>
      <c r="E437" s="13"/>
      <c r="F437" s="13">
        <v>994122.7</v>
      </c>
      <c r="G437" s="26">
        <f t="shared" si="6"/>
        <v>3063335.47566998</v>
      </c>
    </row>
    <row r="438" spans="1:9" ht="12.6">
      <c r="A438" s="14">
        <v>45897</v>
      </c>
      <c r="D438" s="15" t="s">
        <v>1148</v>
      </c>
      <c r="E438" s="13"/>
      <c r="F438" s="13">
        <v>786551.54</v>
      </c>
      <c r="G438" s="26">
        <f t="shared" si="6"/>
        <v>2276783.93566998</v>
      </c>
    </row>
    <row r="439" spans="1:9" ht="12.6">
      <c r="A439" s="14">
        <v>45897</v>
      </c>
      <c r="D439" s="11" t="s">
        <v>1055</v>
      </c>
      <c r="E439" s="13">
        <v>19960000</v>
      </c>
      <c r="F439" s="13"/>
      <c r="G439" s="26">
        <f t="shared" si="6"/>
        <v>22236783.935669981</v>
      </c>
    </row>
    <row r="440" spans="1:9" ht="12.6">
      <c r="A440" s="14">
        <v>45897</v>
      </c>
      <c r="D440" s="15" t="s">
        <v>1056</v>
      </c>
      <c r="F440" s="13">
        <v>1409287.55</v>
      </c>
      <c r="G440" s="26">
        <f t="shared" si="6"/>
        <v>20827496.38566998</v>
      </c>
    </row>
    <row r="441" spans="1:9" ht="12.6">
      <c r="A441" s="14">
        <v>45897</v>
      </c>
      <c r="D441" s="15" t="s">
        <v>1057</v>
      </c>
      <c r="F441" s="13">
        <v>1409287.55</v>
      </c>
      <c r="G441" s="26">
        <f t="shared" si="6"/>
        <v>19418208.835669979</v>
      </c>
    </row>
    <row r="442" spans="1:9" ht="12.6">
      <c r="A442" s="14">
        <v>45897</v>
      </c>
      <c r="D442" s="15" t="s">
        <v>1058</v>
      </c>
      <c r="E442" s="13"/>
      <c r="F442" s="13">
        <v>730190</v>
      </c>
      <c r="G442" s="26">
        <f t="shared" si="6"/>
        <v>18688018.835669979</v>
      </c>
    </row>
    <row r="443" spans="1:9" ht="12.6">
      <c r="A443" s="14">
        <v>45900</v>
      </c>
      <c r="D443" s="15" t="s">
        <v>345</v>
      </c>
      <c r="E443" s="15">
        <v>941.54</v>
      </c>
      <c r="F443" s="13"/>
      <c r="G443" s="26">
        <f t="shared" si="6"/>
        <v>18688960.375669979</v>
      </c>
    </row>
    <row r="444" spans="1:9" s="19" customFormat="1" ht="12.6">
      <c r="A444" s="18">
        <v>45900</v>
      </c>
      <c r="G444" s="31">
        <f t="shared" si="6"/>
        <v>18688960.375669979</v>
      </c>
    </row>
    <row r="445" spans="1:9" ht="12.6">
      <c r="A445" s="14">
        <v>45901</v>
      </c>
      <c r="F445" s="13"/>
      <c r="G445" s="26">
        <f t="shared" si="6"/>
        <v>18688960.375669979</v>
      </c>
    </row>
    <row r="446" spans="1:9" ht="12.6">
      <c r="A446" s="14">
        <v>45901</v>
      </c>
      <c r="D446" s="11" t="s">
        <v>826</v>
      </c>
      <c r="F446" s="13">
        <v>514</v>
      </c>
      <c r="G446" s="26">
        <f t="shared" si="6"/>
        <v>18688446.375669979</v>
      </c>
    </row>
    <row r="447" spans="1:9" ht="12.6">
      <c r="A447" s="14">
        <v>45910</v>
      </c>
      <c r="D447" s="15" t="s">
        <v>501</v>
      </c>
      <c r="F447" s="13">
        <v>963863</v>
      </c>
      <c r="G447" s="26">
        <f t="shared" si="6"/>
        <v>17724583.375669979</v>
      </c>
    </row>
    <row r="448" spans="1:9" ht="12.6">
      <c r="A448" s="14">
        <v>45910</v>
      </c>
      <c r="D448" s="15" t="s">
        <v>127</v>
      </c>
      <c r="F448" s="13">
        <v>383.25</v>
      </c>
      <c r="G448" s="26">
        <f t="shared" si="6"/>
        <v>17724200.125669979</v>
      </c>
      <c r="I448" s="28"/>
    </row>
    <row r="449" spans="1:7" ht="12.6">
      <c r="A449" s="14">
        <v>45911</v>
      </c>
      <c r="D449" s="15" t="s">
        <v>1093</v>
      </c>
      <c r="F449" s="13">
        <v>7774</v>
      </c>
      <c r="G449" s="26">
        <f t="shared" si="6"/>
        <v>17716426.125669979</v>
      </c>
    </row>
    <row r="450" spans="1:7" ht="12.6">
      <c r="A450" s="14">
        <v>45911</v>
      </c>
      <c r="D450" s="15" t="s">
        <v>1094</v>
      </c>
      <c r="F450" s="13">
        <v>17303</v>
      </c>
      <c r="G450" s="26">
        <f t="shared" si="6"/>
        <v>17699123.125669979</v>
      </c>
    </row>
    <row r="451" spans="1:7" ht="12.6">
      <c r="A451" s="14">
        <v>45911</v>
      </c>
      <c r="D451" s="15" t="s">
        <v>1095</v>
      </c>
      <c r="F451" s="13">
        <v>16101</v>
      </c>
      <c r="G451" s="26">
        <f t="shared" si="6"/>
        <v>17683022.125669979</v>
      </c>
    </row>
    <row r="452" spans="1:7" ht="12.6">
      <c r="A452" s="14">
        <v>45911</v>
      </c>
      <c r="D452" s="15" t="s">
        <v>1096</v>
      </c>
      <c r="F452" s="13">
        <v>14962</v>
      </c>
      <c r="G452" s="26">
        <f t="shared" si="6"/>
        <v>17668060.125669979</v>
      </c>
    </row>
    <row r="453" spans="1:7" ht="12.6">
      <c r="A453" s="14">
        <v>45911</v>
      </c>
      <c r="D453" s="15" t="s">
        <v>1097</v>
      </c>
      <c r="F453" s="13">
        <v>6820</v>
      </c>
      <c r="G453" s="26">
        <f t="shared" si="6"/>
        <v>17661240.125669979</v>
      </c>
    </row>
    <row r="454" spans="1:7" ht="12.6">
      <c r="A454" s="14">
        <v>45911</v>
      </c>
      <c r="D454" s="15" t="s">
        <v>1098</v>
      </c>
      <c r="F454" s="13">
        <v>5189</v>
      </c>
      <c r="G454" s="26">
        <f t="shared" ref="G454:G494" si="7">G453+E454-F454</f>
        <v>17656051.125669979</v>
      </c>
    </row>
    <row r="455" spans="1:7" ht="12.6">
      <c r="A455" s="14">
        <v>45911</v>
      </c>
      <c r="D455" s="15" t="s">
        <v>1103</v>
      </c>
      <c r="F455" s="13">
        <v>13274681</v>
      </c>
      <c r="G455" s="26">
        <f t="shared" si="7"/>
        <v>4381370.1256699786</v>
      </c>
    </row>
    <row r="456" spans="1:7" ht="12.6">
      <c r="A456" s="14">
        <v>45915</v>
      </c>
      <c r="D456" s="15" t="s">
        <v>1106</v>
      </c>
      <c r="F456" s="13">
        <v>3862588</v>
      </c>
      <c r="G456" s="26">
        <f t="shared" si="7"/>
        <v>518782.12566997856</v>
      </c>
    </row>
    <row r="457" spans="1:7" ht="12.6">
      <c r="A457" s="14">
        <v>45915</v>
      </c>
      <c r="D457" s="15" t="s">
        <v>1107</v>
      </c>
      <c r="F457" s="13">
        <v>114039</v>
      </c>
      <c r="G457" s="26">
        <f t="shared" si="7"/>
        <v>404743.12566997856</v>
      </c>
    </row>
    <row r="458" spans="1:7" ht="12.6">
      <c r="A458" s="14">
        <v>45915</v>
      </c>
      <c r="D458" s="15" t="s">
        <v>1111</v>
      </c>
      <c r="F458" s="13">
        <v>13560</v>
      </c>
      <c r="G458" s="26">
        <f t="shared" si="7"/>
        <v>391183.12566997856</v>
      </c>
    </row>
    <row r="459" spans="1:7" ht="12.6">
      <c r="A459" s="14">
        <v>45915</v>
      </c>
      <c r="D459" s="15" t="s">
        <v>1115</v>
      </c>
      <c r="F459" s="13">
        <v>87082.5</v>
      </c>
      <c r="G459" s="26">
        <f t="shared" si="7"/>
        <v>304100.62566997856</v>
      </c>
    </row>
    <row r="460" spans="1:7" ht="12.6">
      <c r="A460" s="14">
        <v>45926</v>
      </c>
      <c r="D460" s="11" t="s">
        <v>1055</v>
      </c>
      <c r="E460" s="13">
        <v>35415566.630000003</v>
      </c>
      <c r="F460" s="13"/>
      <c r="G460" s="26">
        <f t="shared" si="7"/>
        <v>35719667.255669981</v>
      </c>
    </row>
    <row r="461" spans="1:7" ht="12.6">
      <c r="A461" s="14">
        <v>45926</v>
      </c>
      <c r="D461" s="15" t="s">
        <v>1142</v>
      </c>
      <c r="F461" s="13">
        <v>1409287.55</v>
      </c>
      <c r="G461" s="26">
        <f t="shared" si="7"/>
        <v>34310379.705669984</v>
      </c>
    </row>
    <row r="462" spans="1:7" ht="12.6">
      <c r="A462" s="14">
        <v>45926</v>
      </c>
      <c r="D462" s="15" t="s">
        <v>1143</v>
      </c>
      <c r="F462" s="13">
        <v>1409287.55</v>
      </c>
      <c r="G462" s="26">
        <f t="shared" si="7"/>
        <v>32901092.155669983</v>
      </c>
    </row>
    <row r="463" spans="1:7" ht="12.6">
      <c r="A463" s="14">
        <v>45926</v>
      </c>
      <c r="D463" s="15" t="s">
        <v>1144</v>
      </c>
      <c r="E463" s="13"/>
      <c r="F463" s="13">
        <v>994122.7</v>
      </c>
      <c r="G463" s="26">
        <f t="shared" si="7"/>
        <v>31906969.455669984</v>
      </c>
    </row>
    <row r="464" spans="1:7" ht="12.6">
      <c r="A464" s="14">
        <v>45926</v>
      </c>
      <c r="D464" s="15" t="s">
        <v>1149</v>
      </c>
      <c r="E464" s="13"/>
      <c r="F464" s="13">
        <v>885100</v>
      </c>
      <c r="G464" s="26">
        <f t="shared" si="7"/>
        <v>31021869.455669984</v>
      </c>
    </row>
    <row r="465" spans="1:9" ht="12.6">
      <c r="A465" s="14">
        <v>45926</v>
      </c>
      <c r="D465" s="15" t="s">
        <v>127</v>
      </c>
      <c r="E465" s="13"/>
      <c r="F465" s="13">
        <v>1530</v>
      </c>
      <c r="G465" s="26">
        <f t="shared" si="7"/>
        <v>31020339.455669984</v>
      </c>
    </row>
    <row r="466" spans="1:9" ht="12.6">
      <c r="A466" s="14">
        <v>45926</v>
      </c>
      <c r="D466" s="15" t="s">
        <v>1150</v>
      </c>
      <c r="E466" s="13"/>
      <c r="F466" s="13">
        <v>2039964.81</v>
      </c>
      <c r="G466" s="26">
        <f t="shared" si="7"/>
        <v>28980374.645669986</v>
      </c>
    </row>
    <row r="467" spans="1:9" ht="12.6">
      <c r="A467" s="14">
        <v>45926</v>
      </c>
      <c r="D467" s="15" t="s">
        <v>1151</v>
      </c>
      <c r="E467" s="13"/>
      <c r="F467" s="13">
        <v>786551.54</v>
      </c>
      <c r="G467" s="26">
        <f t="shared" si="7"/>
        <v>28193823.105669986</v>
      </c>
    </row>
    <row r="468" spans="1:9" ht="12.6">
      <c r="A468" s="14">
        <v>45927</v>
      </c>
      <c r="D468" s="15" t="s">
        <v>1158</v>
      </c>
      <c r="F468" s="13">
        <f>4641955.31</f>
        <v>4641955.3099999996</v>
      </c>
      <c r="G468" s="26">
        <f t="shared" si="7"/>
        <v>23551867.795669988</v>
      </c>
    </row>
    <row r="469" spans="1:9" ht="12.6">
      <c r="A469" s="14">
        <v>45930</v>
      </c>
      <c r="D469" s="15" t="s">
        <v>1162</v>
      </c>
      <c r="F469" s="13">
        <v>209050</v>
      </c>
      <c r="G469" s="26">
        <f t="shared" si="7"/>
        <v>23342817.795669988</v>
      </c>
    </row>
    <row r="470" spans="1:9" ht="12.6">
      <c r="A470" s="14">
        <v>45930</v>
      </c>
      <c r="D470" s="15" t="s">
        <v>127</v>
      </c>
      <c r="F470" s="13">
        <v>383.25</v>
      </c>
      <c r="G470" s="26">
        <f t="shared" si="7"/>
        <v>23342434.545669988</v>
      </c>
      <c r="H470" s="26"/>
      <c r="I470" s="34"/>
    </row>
    <row r="471" spans="1:9" ht="12.6">
      <c r="A471" s="14">
        <v>45930</v>
      </c>
      <c r="D471" s="15" t="s">
        <v>345</v>
      </c>
      <c r="E471" s="15">
        <v>875.08</v>
      </c>
      <c r="G471" s="26">
        <f t="shared" si="7"/>
        <v>23343309.625669986</v>
      </c>
      <c r="H471" s="26"/>
      <c r="I471" s="34"/>
    </row>
    <row r="472" spans="1:9" s="19" customFormat="1" ht="12.6">
      <c r="A472" s="18">
        <v>45930</v>
      </c>
      <c r="G472" s="31">
        <f t="shared" si="7"/>
        <v>23343309.625669986</v>
      </c>
    </row>
    <row r="473" spans="1:9" ht="12.6">
      <c r="A473" s="14">
        <v>45931</v>
      </c>
      <c r="G473" s="26">
        <f t="shared" si="7"/>
        <v>23343309.625669986</v>
      </c>
    </row>
    <row r="474" spans="1:9" ht="12.6">
      <c r="A474" s="14">
        <v>45931</v>
      </c>
      <c r="D474" s="11" t="s">
        <v>826</v>
      </c>
      <c r="F474" s="13">
        <v>511</v>
      </c>
      <c r="G474" s="26">
        <f t="shared" si="7"/>
        <v>23342798.625669986</v>
      </c>
    </row>
    <row r="475" spans="1:9" ht="12.6">
      <c r="A475" s="14">
        <v>45945</v>
      </c>
      <c r="D475" s="15" t="s">
        <v>1169</v>
      </c>
      <c r="F475" s="13">
        <v>14898339</v>
      </c>
      <c r="G475" s="26">
        <f t="shared" si="7"/>
        <v>8444459.625669986</v>
      </c>
    </row>
    <row r="476" spans="1:9" ht="12.6">
      <c r="A476" s="14">
        <v>45947</v>
      </c>
      <c r="D476" s="15" t="s">
        <v>1173</v>
      </c>
      <c r="F476" s="13">
        <v>13560</v>
      </c>
      <c r="G476" s="26">
        <f t="shared" si="7"/>
        <v>8430899.625669986</v>
      </c>
    </row>
    <row r="477" spans="1:9" ht="12.6">
      <c r="A477" s="14">
        <v>45950</v>
      </c>
      <c r="D477" s="15" t="s">
        <v>1181</v>
      </c>
      <c r="F477" s="13">
        <v>52228</v>
      </c>
      <c r="G477" s="26">
        <f t="shared" si="7"/>
        <v>8378671.625669986</v>
      </c>
    </row>
    <row r="478" spans="1:9" ht="12.6">
      <c r="A478" s="14">
        <v>45950</v>
      </c>
      <c r="D478" s="15" t="s">
        <v>1182</v>
      </c>
      <c r="F478" s="13">
        <v>4425278</v>
      </c>
      <c r="G478" s="26">
        <f t="shared" si="7"/>
        <v>3953393.625669986</v>
      </c>
    </row>
    <row r="479" spans="1:9" ht="12.6">
      <c r="A479" s="14">
        <v>45957</v>
      </c>
      <c r="D479" s="15" t="s">
        <v>1207</v>
      </c>
      <c r="F479" s="13">
        <v>1409287.55</v>
      </c>
      <c r="G479" s="26">
        <f t="shared" si="7"/>
        <v>2544106.0756699862</v>
      </c>
    </row>
    <row r="480" spans="1:9" ht="12.6">
      <c r="A480" s="14">
        <v>45958</v>
      </c>
      <c r="D480" s="15" t="s">
        <v>1054</v>
      </c>
      <c r="E480" s="13">
        <v>34155000</v>
      </c>
      <c r="F480" s="13"/>
      <c r="G480" s="26">
        <f t="shared" si="7"/>
        <v>36699106.075669989</v>
      </c>
    </row>
    <row r="481" spans="1:9" ht="12.6">
      <c r="A481" s="14">
        <v>45958</v>
      </c>
      <c r="D481" s="15" t="s">
        <v>1208</v>
      </c>
      <c r="F481" s="13">
        <f>1409287.55</f>
        <v>1409287.55</v>
      </c>
      <c r="G481" s="26">
        <f t="shared" si="7"/>
        <v>35289818.525669992</v>
      </c>
    </row>
    <row r="482" spans="1:9" ht="12.6">
      <c r="A482" s="14">
        <v>45958</v>
      </c>
      <c r="D482" s="15" t="s">
        <v>1212</v>
      </c>
      <c r="F482" s="13">
        <v>2039964.9</v>
      </c>
      <c r="G482" s="26">
        <f t="shared" si="7"/>
        <v>33249853.625669993</v>
      </c>
    </row>
    <row r="483" spans="1:9" ht="12.6">
      <c r="A483" s="14">
        <v>45958</v>
      </c>
      <c r="D483" s="15" t="s">
        <v>1213</v>
      </c>
      <c r="F483" s="13">
        <v>786551.54</v>
      </c>
      <c r="G483" s="26">
        <f t="shared" si="7"/>
        <v>32463302.085669994</v>
      </c>
    </row>
    <row r="484" spans="1:9" ht="12.6">
      <c r="A484" s="14">
        <v>45958</v>
      </c>
      <c r="D484" s="15" t="s">
        <v>1214</v>
      </c>
      <c r="F484" s="13">
        <v>4641955.3099999996</v>
      </c>
      <c r="G484" s="26">
        <f t="shared" si="7"/>
        <v>27821346.775669996</v>
      </c>
    </row>
    <row r="485" spans="1:9" ht="12.6">
      <c r="A485" s="14">
        <v>45958</v>
      </c>
      <c r="D485" s="15" t="s">
        <v>1215</v>
      </c>
      <c r="F485" s="13">
        <v>885500.1</v>
      </c>
      <c r="G485" s="26">
        <f t="shared" si="7"/>
        <v>26935846.675669994</v>
      </c>
    </row>
    <row r="486" spans="1:9" ht="12.6">
      <c r="A486" s="14">
        <v>45958</v>
      </c>
      <c r="D486" s="15" t="s">
        <v>127</v>
      </c>
      <c r="F486" s="13">
        <f>509*2</f>
        <v>1018</v>
      </c>
      <c r="G486" s="26">
        <f t="shared" si="7"/>
        <v>26934828.675669994</v>
      </c>
      <c r="I486" s="34"/>
    </row>
    <row r="487" spans="1:9" ht="12.6">
      <c r="A487" s="14">
        <v>45959</v>
      </c>
      <c r="D487" s="15" t="s">
        <v>1216</v>
      </c>
      <c r="F487" s="13">
        <f>1630047.65</f>
        <v>1630047.65</v>
      </c>
      <c r="G487" s="26">
        <f t="shared" si="7"/>
        <v>25304781.025669996</v>
      </c>
      <c r="H487" s="34"/>
    </row>
    <row r="488" spans="1:9" ht="12.6">
      <c r="A488" s="14">
        <v>45959</v>
      </c>
      <c r="D488" s="15" t="s">
        <v>1217</v>
      </c>
      <c r="F488" s="13">
        <v>1568103</v>
      </c>
      <c r="G488" s="26">
        <f t="shared" si="7"/>
        <v>23736678.025669996</v>
      </c>
      <c r="H488" s="34"/>
    </row>
    <row r="489" spans="1:9" ht="12.6">
      <c r="A489" s="14">
        <v>45959</v>
      </c>
      <c r="D489" s="15" t="s">
        <v>1219</v>
      </c>
      <c r="F489" s="13">
        <v>741515.13</v>
      </c>
      <c r="G489" s="26">
        <f t="shared" si="7"/>
        <v>22995162.895669997</v>
      </c>
      <c r="H489" s="34"/>
    </row>
    <row r="490" spans="1:9" ht="12.6">
      <c r="A490" s="14">
        <v>45961</v>
      </c>
      <c r="D490" s="15" t="s">
        <v>345</v>
      </c>
      <c r="E490" s="15">
        <v>1292.71</v>
      </c>
      <c r="F490" s="13"/>
      <c r="G490" s="26">
        <f t="shared" si="7"/>
        <v>22996455.605669998</v>
      </c>
    </row>
    <row r="491" spans="1:9" s="19" customFormat="1" ht="12.6">
      <c r="A491" s="18">
        <v>45961</v>
      </c>
      <c r="G491" s="31">
        <f t="shared" si="7"/>
        <v>22996455.605669998</v>
      </c>
    </row>
    <row r="492" spans="1:9" ht="12.6">
      <c r="A492" s="14">
        <v>45962</v>
      </c>
      <c r="G492" s="26">
        <f t="shared" si="7"/>
        <v>22996455.605669998</v>
      </c>
    </row>
    <row r="493" spans="1:9" ht="12.6">
      <c r="A493" s="14">
        <v>45962</v>
      </c>
      <c r="D493" s="11" t="s">
        <v>826</v>
      </c>
      <c r="F493" s="13">
        <v>509</v>
      </c>
      <c r="G493" s="26">
        <f t="shared" si="7"/>
        <v>22995946.605669998</v>
      </c>
    </row>
    <row r="494" spans="1:9" ht="12.6">
      <c r="A494" s="14">
        <v>45975</v>
      </c>
      <c r="D494" s="15" t="s">
        <v>1235</v>
      </c>
      <c r="F494" s="13">
        <v>14908695</v>
      </c>
      <c r="G494" s="26">
        <f t="shared" si="7"/>
        <v>8087251.6056699976</v>
      </c>
    </row>
    <row r="495" spans="1:9" ht="12.6">
      <c r="A495" s="14">
        <v>45978</v>
      </c>
      <c r="D495" s="15" t="s">
        <v>1238</v>
      </c>
      <c r="F495" s="13">
        <v>4485695</v>
      </c>
      <c r="G495" s="26">
        <f t="shared" ref="G495:G558" si="8">G494+E495-F495</f>
        <v>3601556.6056699976</v>
      </c>
    </row>
    <row r="496" spans="1:9" ht="12.6">
      <c r="A496" s="14">
        <v>45978</v>
      </c>
      <c r="D496" s="15" t="s">
        <v>1239</v>
      </c>
      <c r="F496" s="13">
        <v>138721</v>
      </c>
      <c r="G496" s="26">
        <f t="shared" si="8"/>
        <v>3462835.6056699976</v>
      </c>
    </row>
    <row r="497" spans="1:7" ht="12.6">
      <c r="A497" s="14">
        <v>45981</v>
      </c>
      <c r="D497" s="15" t="s">
        <v>1262</v>
      </c>
      <c r="F497" s="13">
        <v>1110268.1000000001</v>
      </c>
      <c r="G497" s="26">
        <f t="shared" si="8"/>
        <v>2352567.5056699975</v>
      </c>
    </row>
    <row r="498" spans="1:7" ht="12.6">
      <c r="A498" s="14">
        <v>45988</v>
      </c>
      <c r="D498" s="15" t="s">
        <v>1268</v>
      </c>
      <c r="E498" s="13">
        <v>11402149</v>
      </c>
      <c r="F498" s="13"/>
      <c r="G498" s="26">
        <f t="shared" si="8"/>
        <v>13754716.505669998</v>
      </c>
    </row>
    <row r="499" spans="1:7" ht="12.6">
      <c r="A499" s="14">
        <v>45988</v>
      </c>
      <c r="D499" s="15" t="s">
        <v>1269</v>
      </c>
      <c r="F499" s="13">
        <v>4803155.3099999996</v>
      </c>
      <c r="G499" s="26">
        <f t="shared" si="8"/>
        <v>8951561.1956699975</v>
      </c>
    </row>
    <row r="500" spans="1:7" ht="12.6">
      <c r="A500" s="14">
        <v>45988</v>
      </c>
      <c r="D500" s="15" t="s">
        <v>1270</v>
      </c>
      <c r="F500" s="13">
        <v>853815.01</v>
      </c>
      <c r="G500" s="26">
        <f t="shared" si="8"/>
        <v>8097746.1856699977</v>
      </c>
    </row>
    <row r="501" spans="1:7" ht="12.6">
      <c r="A501" s="14">
        <v>45988</v>
      </c>
      <c r="D501" s="15" t="s">
        <v>1272</v>
      </c>
      <c r="F501" s="13">
        <v>1409287.55</v>
      </c>
      <c r="G501" s="26">
        <f t="shared" si="8"/>
        <v>6688458.6356699979</v>
      </c>
    </row>
    <row r="502" spans="1:7" ht="12.6">
      <c r="A502" s="14">
        <v>45988</v>
      </c>
      <c r="D502" s="15" t="s">
        <v>1273</v>
      </c>
      <c r="F502" s="13">
        <v>1409287.55</v>
      </c>
      <c r="G502" s="26">
        <f t="shared" si="8"/>
        <v>5279171.0856699981</v>
      </c>
    </row>
    <row r="503" spans="1:7" ht="12.6">
      <c r="A503" s="14">
        <v>45988</v>
      </c>
      <c r="D503" s="15" t="s">
        <v>1274</v>
      </c>
      <c r="F503" s="13">
        <v>2039964.8099999998</v>
      </c>
      <c r="G503" s="26">
        <f t="shared" si="8"/>
        <v>3239206.2756699985</v>
      </c>
    </row>
    <row r="504" spans="1:7" ht="12.6">
      <c r="A504" s="14">
        <v>45988</v>
      </c>
      <c r="D504" s="15" t="s">
        <v>1275</v>
      </c>
      <c r="F504" s="13">
        <v>786551.54</v>
      </c>
      <c r="G504" s="26">
        <f t="shared" si="8"/>
        <v>2452654.7356699985</v>
      </c>
    </row>
    <row r="505" spans="1:7" ht="12.6">
      <c r="A505" s="14">
        <v>45988</v>
      </c>
      <c r="D505" s="15" t="s">
        <v>1276</v>
      </c>
      <c r="F505" s="13">
        <v>885500.1</v>
      </c>
      <c r="G505" s="26">
        <f t="shared" si="8"/>
        <v>1567154.6356699984</v>
      </c>
    </row>
    <row r="506" spans="1:7" ht="12.6">
      <c r="A506" s="14">
        <v>45988</v>
      </c>
      <c r="D506" s="15" t="s">
        <v>127</v>
      </c>
      <c r="F506" s="13">
        <v>500</v>
      </c>
      <c r="G506" s="26">
        <f t="shared" si="8"/>
        <v>1566654.6356699984</v>
      </c>
    </row>
    <row r="507" spans="1:7" ht="12.6">
      <c r="A507" s="14">
        <v>45988</v>
      </c>
      <c r="D507" s="15" t="s">
        <v>1277</v>
      </c>
      <c r="F507" s="13">
        <v>390937</v>
      </c>
      <c r="G507" s="26">
        <f t="shared" si="8"/>
        <v>1175717.6356699984</v>
      </c>
    </row>
    <row r="508" spans="1:7" ht="12.6">
      <c r="A508" s="14">
        <v>45988</v>
      </c>
      <c r="D508" s="15" t="s">
        <v>127</v>
      </c>
      <c r="F508" s="13">
        <v>500</v>
      </c>
      <c r="G508" s="26">
        <f t="shared" si="8"/>
        <v>1175217.6356699984</v>
      </c>
    </row>
    <row r="509" spans="1:7" ht="12.6">
      <c r="A509" s="14">
        <v>45991</v>
      </c>
      <c r="D509" s="15" t="s">
        <v>345</v>
      </c>
      <c r="E509" s="13">
        <v>889.78</v>
      </c>
      <c r="G509" s="26">
        <f t="shared" si="8"/>
        <v>1176107.4156699984</v>
      </c>
    </row>
    <row r="510" spans="1:7" s="19" customFormat="1" ht="12.6">
      <c r="A510" s="18">
        <v>45991</v>
      </c>
      <c r="G510" s="31">
        <f t="shared" si="8"/>
        <v>1176107.4156699984</v>
      </c>
    </row>
    <row r="511" spans="1:7" ht="12.6">
      <c r="A511" s="14">
        <v>45992</v>
      </c>
      <c r="E511" s="13"/>
      <c r="G511" s="26">
        <f t="shared" si="8"/>
        <v>1176107.4156699984</v>
      </c>
    </row>
    <row r="512" spans="1:7" ht="12.6">
      <c r="A512" s="14">
        <v>45992</v>
      </c>
      <c r="D512" s="11" t="s">
        <v>826</v>
      </c>
      <c r="E512" s="13"/>
      <c r="F512" s="13">
        <v>500</v>
      </c>
      <c r="G512" s="26">
        <f t="shared" si="8"/>
        <v>1175607.4156699984</v>
      </c>
    </row>
    <row r="513" spans="1:9" ht="12.6">
      <c r="A513" s="14">
        <v>46001</v>
      </c>
      <c r="D513" s="15" t="s">
        <v>1297</v>
      </c>
      <c r="E513" s="13"/>
      <c r="F513" s="13">
        <v>134181</v>
      </c>
      <c r="G513" s="26">
        <f t="shared" si="8"/>
        <v>1041426.4156699984</v>
      </c>
    </row>
    <row r="514" spans="1:9" ht="12.6">
      <c r="A514" s="14">
        <v>46001</v>
      </c>
      <c r="D514" s="15" t="s">
        <v>1310</v>
      </c>
      <c r="F514" s="13">
        <v>62439.28</v>
      </c>
      <c r="G514" s="26">
        <f t="shared" si="8"/>
        <v>978987.13566999836</v>
      </c>
      <c r="I514" s="34"/>
    </row>
    <row r="515" spans="1:9" ht="12.6">
      <c r="A515" s="14">
        <v>46001</v>
      </c>
      <c r="D515" s="15" t="s">
        <v>1311</v>
      </c>
      <c r="E515" s="13">
        <v>32110000</v>
      </c>
      <c r="F515" s="13"/>
      <c r="G515" s="26">
        <f t="shared" si="8"/>
        <v>33088987.135669999</v>
      </c>
    </row>
    <row r="516" spans="1:9" ht="12.6">
      <c r="A516" s="14">
        <v>46002</v>
      </c>
      <c r="D516" s="15" t="s">
        <v>1312</v>
      </c>
      <c r="F516" s="13">
        <v>1681000</v>
      </c>
      <c r="G516" s="26">
        <f t="shared" si="8"/>
        <v>31407987.135669999</v>
      </c>
    </row>
    <row r="517" spans="1:9" ht="12.6">
      <c r="A517" s="14">
        <v>46002</v>
      </c>
      <c r="D517" s="15" t="s">
        <v>1314</v>
      </c>
      <c r="F517" s="13">
        <v>1058653.31</v>
      </c>
      <c r="G517" s="26">
        <f t="shared" si="8"/>
        <v>30349333.82567</v>
      </c>
    </row>
    <row r="518" spans="1:9" ht="12.6">
      <c r="A518" s="14">
        <v>46002</v>
      </c>
      <c r="D518" s="15" t="s">
        <v>1313</v>
      </c>
      <c r="F518" s="13">
        <v>1681000</v>
      </c>
      <c r="G518" s="26">
        <f t="shared" si="8"/>
        <v>28668333.82567</v>
      </c>
    </row>
    <row r="519" spans="1:9" ht="12.6">
      <c r="A519" s="14">
        <v>46002</v>
      </c>
      <c r="D519" s="15" t="s">
        <v>1315</v>
      </c>
      <c r="F519" s="13">
        <v>880501</v>
      </c>
      <c r="G519" s="26">
        <f t="shared" si="8"/>
        <v>27787832.82567</v>
      </c>
    </row>
    <row r="520" spans="1:9" ht="12.6">
      <c r="A520" s="14">
        <v>46002</v>
      </c>
      <c r="D520" s="15" t="s">
        <v>1317</v>
      </c>
      <c r="F520" s="13">
        <v>4831531.91</v>
      </c>
      <c r="G520" s="26">
        <f t="shared" si="8"/>
        <v>22956300.91567</v>
      </c>
    </row>
    <row r="521" spans="1:9" ht="12.6">
      <c r="A521" s="14">
        <v>46002</v>
      </c>
      <c r="D521" s="15" t="s">
        <v>1316</v>
      </c>
      <c r="F521" s="13">
        <v>250000</v>
      </c>
      <c r="G521" s="26">
        <f t="shared" si="8"/>
        <v>22706300.91567</v>
      </c>
    </row>
    <row r="522" spans="1:9" ht="12.6">
      <c r="A522" s="14">
        <v>46002</v>
      </c>
      <c r="D522" s="15" t="s">
        <v>127</v>
      </c>
      <c r="F522" s="13">
        <v>1524</v>
      </c>
      <c r="G522" s="26">
        <f t="shared" si="8"/>
        <v>22704776.91567</v>
      </c>
    </row>
    <row r="523" spans="1:9" ht="12.6">
      <c r="A523" s="14">
        <v>46005</v>
      </c>
      <c r="D523" s="15" t="s">
        <v>1322</v>
      </c>
      <c r="F523" s="13">
        <v>4537421</v>
      </c>
      <c r="G523" s="26">
        <f t="shared" si="8"/>
        <v>18167355.91567</v>
      </c>
    </row>
    <row r="524" spans="1:9" ht="12.6">
      <c r="A524" s="14">
        <v>46005</v>
      </c>
      <c r="D524" s="15" t="s">
        <v>1323</v>
      </c>
      <c r="F524" s="13">
        <v>129376</v>
      </c>
      <c r="G524" s="26">
        <f t="shared" si="8"/>
        <v>18037979.91567</v>
      </c>
    </row>
    <row r="525" spans="1:9" ht="12.6">
      <c r="A525" s="14">
        <v>46006</v>
      </c>
      <c r="D525" s="15" t="s">
        <v>1327</v>
      </c>
      <c r="F525" s="13">
        <v>14579743</v>
      </c>
      <c r="G525" s="26">
        <f t="shared" si="8"/>
        <v>3458236.91567</v>
      </c>
    </row>
    <row r="526" spans="1:9" ht="12.6">
      <c r="A526" s="14">
        <v>46014</v>
      </c>
      <c r="D526" s="15" t="s">
        <v>1338</v>
      </c>
      <c r="F526" s="13">
        <v>578535.51</v>
      </c>
      <c r="G526" s="26">
        <f t="shared" si="8"/>
        <v>2879701.4056700002</v>
      </c>
    </row>
    <row r="527" spans="1:9" ht="12.6">
      <c r="A527" s="14">
        <v>46014</v>
      </c>
      <c r="D527" s="11" t="s">
        <v>1353</v>
      </c>
      <c r="E527" s="13">
        <v>37173494.109999999</v>
      </c>
      <c r="F527" s="13"/>
      <c r="G527" s="26">
        <f t="shared" si="8"/>
        <v>40053195.515670002</v>
      </c>
    </row>
    <row r="528" spans="1:9" ht="12.6">
      <c r="A528" s="14">
        <v>46018</v>
      </c>
      <c r="D528" s="15" t="s">
        <v>1361</v>
      </c>
      <c r="F528" s="13">
        <v>1409287.55</v>
      </c>
      <c r="G528" s="26">
        <f t="shared" si="8"/>
        <v>38643907.965670004</v>
      </c>
    </row>
    <row r="529" spans="1:9" ht="12.6">
      <c r="A529" s="14">
        <v>46018</v>
      </c>
      <c r="D529" s="15" t="s">
        <v>1362</v>
      </c>
      <c r="F529" s="13">
        <v>2039964.81</v>
      </c>
      <c r="G529" s="26">
        <f t="shared" si="8"/>
        <v>36603943.155670002</v>
      </c>
    </row>
    <row r="530" spans="1:9" ht="12.6">
      <c r="A530" s="14">
        <v>46018</v>
      </c>
      <c r="D530" s="15" t="s">
        <v>1367</v>
      </c>
      <c r="F530" s="13">
        <v>1409287.55</v>
      </c>
      <c r="G530" s="26">
        <f t="shared" si="8"/>
        <v>35194655.605670005</v>
      </c>
    </row>
    <row r="531" spans="1:9" ht="12.6">
      <c r="A531" s="14">
        <v>46018</v>
      </c>
      <c r="D531" s="15" t="s">
        <v>1363</v>
      </c>
      <c r="F531" s="13">
        <v>786551.54</v>
      </c>
      <c r="G531" s="26">
        <f t="shared" si="8"/>
        <v>34408104.065670006</v>
      </c>
    </row>
    <row r="532" spans="1:9" ht="12.6">
      <c r="A532" s="14">
        <v>46018</v>
      </c>
      <c r="D532" s="15" t="s">
        <v>1365</v>
      </c>
      <c r="F532" s="13">
        <v>4735945.3099999996</v>
      </c>
      <c r="G532" s="26">
        <f t="shared" si="8"/>
        <v>29672158.755670007</v>
      </c>
    </row>
    <row r="533" spans="1:9" ht="12.6">
      <c r="A533" s="14">
        <v>46018</v>
      </c>
      <c r="D533" s="15" t="s">
        <v>1364</v>
      </c>
      <c r="F533" s="13">
        <v>891602.12</v>
      </c>
      <c r="G533" s="26">
        <f t="shared" si="8"/>
        <v>28780556.635670006</v>
      </c>
    </row>
    <row r="534" spans="1:9" ht="12.6">
      <c r="A534" s="14">
        <v>46018</v>
      </c>
      <c r="D534" s="45" t="s">
        <v>965</v>
      </c>
      <c r="F534" s="13">
        <v>505</v>
      </c>
      <c r="G534" s="26">
        <f t="shared" si="8"/>
        <v>28780051.635670006</v>
      </c>
    </row>
    <row r="535" spans="1:9" ht="12.6">
      <c r="A535" s="14">
        <v>46022</v>
      </c>
      <c r="D535" s="15" t="s">
        <v>1338</v>
      </c>
      <c r="F535" s="13">
        <v>6450475.8600000003</v>
      </c>
      <c r="G535" s="26">
        <f t="shared" si="8"/>
        <v>22329575.775670007</v>
      </c>
    </row>
    <row r="536" spans="1:9" ht="12.6">
      <c r="A536" s="14">
        <v>46022</v>
      </c>
      <c r="D536" s="15" t="s">
        <v>345</v>
      </c>
      <c r="E536" s="13">
        <v>1504.8</v>
      </c>
      <c r="F536" s="13"/>
      <c r="G536" s="26">
        <f t="shared" si="8"/>
        <v>22331080.575670008</v>
      </c>
      <c r="I536" s="28"/>
    </row>
    <row r="537" spans="1:9" s="19" customFormat="1" ht="12.6">
      <c r="A537" s="18">
        <v>46022</v>
      </c>
      <c r="F537" s="30"/>
      <c r="G537" s="31">
        <f t="shared" si="8"/>
        <v>22331080.575670008</v>
      </c>
    </row>
    <row r="538" spans="1:9" ht="12.6">
      <c r="A538" s="14">
        <v>46023</v>
      </c>
      <c r="G538" s="26">
        <f t="shared" si="8"/>
        <v>22331080.575670008</v>
      </c>
    </row>
    <row r="539" spans="1:9" ht="12.6">
      <c r="A539" s="14">
        <v>46023</v>
      </c>
      <c r="D539" s="11" t="s">
        <v>826</v>
      </c>
      <c r="F539" s="13">
        <v>507</v>
      </c>
      <c r="G539" s="26">
        <f t="shared" si="8"/>
        <v>22330573.575670008</v>
      </c>
    </row>
    <row r="540" spans="1:9" ht="12.6">
      <c r="A540" s="14">
        <v>46034</v>
      </c>
      <c r="D540" s="15" t="s">
        <v>1377</v>
      </c>
      <c r="F540" s="13">
        <v>5268830</v>
      </c>
      <c r="G540" s="26">
        <f t="shared" si="8"/>
        <v>17061743.575670008</v>
      </c>
    </row>
    <row r="541" spans="1:9" ht="12.6">
      <c r="A541" s="14">
        <v>46034</v>
      </c>
      <c r="D541" s="15" t="s">
        <v>1378</v>
      </c>
      <c r="F541" s="13">
        <v>122765</v>
      </c>
      <c r="G541" s="26">
        <f t="shared" si="8"/>
        <v>16938978.575670008</v>
      </c>
    </row>
    <row r="542" spans="1:9" ht="12.6">
      <c r="A542" s="14">
        <v>46036</v>
      </c>
      <c r="D542" s="15" t="s">
        <v>1379</v>
      </c>
      <c r="F542" s="13">
        <v>15504467</v>
      </c>
      <c r="G542" s="26">
        <f t="shared" si="8"/>
        <v>1434511.5756700076</v>
      </c>
    </row>
    <row r="543" spans="1:9" ht="12.6">
      <c r="A543" s="14">
        <v>46038</v>
      </c>
      <c r="D543" s="15" t="s">
        <v>1381</v>
      </c>
      <c r="F543" s="13">
        <v>15729.6</v>
      </c>
      <c r="G543" s="26">
        <f t="shared" si="8"/>
        <v>1418781.9756700075</v>
      </c>
    </row>
    <row r="544" spans="1:9" ht="12.6">
      <c r="A544" s="14">
        <v>46041</v>
      </c>
      <c r="D544" s="15" t="s">
        <v>1383</v>
      </c>
      <c r="F544" s="13">
        <v>231100</v>
      </c>
      <c r="G544" s="26">
        <f t="shared" si="8"/>
        <v>1187681.9756700075</v>
      </c>
    </row>
    <row r="545" spans="1:10" ht="12.6">
      <c r="A545" s="14">
        <v>46050</v>
      </c>
      <c r="D545" s="15" t="s">
        <v>1415</v>
      </c>
      <c r="E545" s="13">
        <v>46545201.719999999</v>
      </c>
      <c r="F545" s="13"/>
      <c r="G545" s="26">
        <f t="shared" si="8"/>
        <v>47732883.695670009</v>
      </c>
      <c r="I545" s="34"/>
    </row>
    <row r="546" spans="1:10" ht="12.6">
      <c r="A546" s="14">
        <v>46050</v>
      </c>
      <c r="D546" s="15" t="s">
        <v>1426</v>
      </c>
      <c r="F546" s="13">
        <v>785142.74</v>
      </c>
      <c r="G546" s="26">
        <f t="shared" si="8"/>
        <v>46947740.955670007</v>
      </c>
    </row>
    <row r="547" spans="1:10" ht="12.6">
      <c r="A547" s="14">
        <v>46051</v>
      </c>
      <c r="D547" s="15" t="s">
        <v>1427</v>
      </c>
      <c r="F547" s="13">
        <v>883500</v>
      </c>
      <c r="G547" s="26">
        <f t="shared" si="8"/>
        <v>46064240.955670007</v>
      </c>
    </row>
    <row r="548" spans="1:10" ht="12.6">
      <c r="A548" s="14">
        <v>46051</v>
      </c>
      <c r="D548" s="45" t="s">
        <v>965</v>
      </c>
      <c r="F548" s="13">
        <v>1503</v>
      </c>
      <c r="G548" s="26">
        <f t="shared" si="8"/>
        <v>46062737.955670007</v>
      </c>
    </row>
    <row r="549" spans="1:10" ht="12.6">
      <c r="A549" s="14">
        <v>46051</v>
      </c>
      <c r="D549" s="15" t="s">
        <v>1432</v>
      </c>
      <c r="F549" s="13">
        <v>1405947.8</v>
      </c>
      <c r="G549" s="26">
        <f t="shared" si="8"/>
        <v>44656790.15567001</v>
      </c>
    </row>
    <row r="550" spans="1:10" ht="12.6">
      <c r="A550" s="14">
        <v>46051</v>
      </c>
      <c r="D550" s="15" t="s">
        <v>1433</v>
      </c>
      <c r="F550" s="13">
        <v>2034799.39</v>
      </c>
      <c r="G550" s="26">
        <f t="shared" si="8"/>
        <v>42621990.765670009</v>
      </c>
    </row>
    <row r="551" spans="1:10" ht="12.6">
      <c r="A551" s="14">
        <v>46051</v>
      </c>
      <c r="D551" s="15" t="s">
        <v>1434</v>
      </c>
      <c r="F551" s="13">
        <v>1405947.8</v>
      </c>
      <c r="G551" s="26">
        <f t="shared" si="8"/>
        <v>41216042.965670012</v>
      </c>
    </row>
    <row r="552" spans="1:10" ht="12.6">
      <c r="A552" s="14">
        <v>46051</v>
      </c>
      <c r="D552" s="15" t="s">
        <v>1435</v>
      </c>
      <c r="F552" s="13">
        <v>4821182.5</v>
      </c>
      <c r="G552" s="26">
        <f t="shared" si="8"/>
        <v>36394860.465670012</v>
      </c>
    </row>
    <row r="553" spans="1:10" ht="12.6">
      <c r="A553" s="14">
        <v>46052</v>
      </c>
      <c r="D553" s="15" t="s">
        <v>1438</v>
      </c>
      <c r="F553" s="13">
        <v>1157269.8600000001</v>
      </c>
      <c r="G553" s="26">
        <f t="shared" si="8"/>
        <v>35237590.605670013</v>
      </c>
    </row>
    <row r="554" spans="1:10" ht="12.6">
      <c r="A554" s="14">
        <v>46052</v>
      </c>
      <c r="D554" s="15" t="s">
        <v>1449</v>
      </c>
      <c r="E554" s="13">
        <v>1006146.84</v>
      </c>
      <c r="F554" s="13"/>
      <c r="G554" s="26">
        <f t="shared" si="8"/>
        <v>36243737.445670016</v>
      </c>
      <c r="I554" s="34">
        <v>2104.56</v>
      </c>
      <c r="J554" s="15">
        <f>E554/I554</f>
        <v>478.07942752879461</v>
      </c>
    </row>
    <row r="555" spans="1:10" ht="12.6">
      <c r="A555" s="14">
        <v>46052</v>
      </c>
      <c r="D555" s="45" t="s">
        <v>965</v>
      </c>
      <c r="E555" s="13"/>
      <c r="F555" s="13">
        <v>9780</v>
      </c>
      <c r="G555" s="26">
        <f t="shared" si="8"/>
        <v>36233957.445670016</v>
      </c>
    </row>
    <row r="556" spans="1:10" ht="12.6">
      <c r="A556" s="14">
        <v>46052</v>
      </c>
      <c r="D556" s="15" t="s">
        <v>1441</v>
      </c>
      <c r="F556" s="13">
        <v>1323767.44</v>
      </c>
      <c r="G556" s="26">
        <f t="shared" si="8"/>
        <v>34910190.005670018</v>
      </c>
    </row>
    <row r="557" spans="1:10" ht="12.6">
      <c r="A557" s="14">
        <v>46052</v>
      </c>
      <c r="D557" s="45" t="s">
        <v>965</v>
      </c>
      <c r="F557" s="13">
        <v>503</v>
      </c>
      <c r="G557" s="26">
        <f t="shared" si="8"/>
        <v>34909687.005670018</v>
      </c>
    </row>
    <row r="558" spans="1:10" ht="12.6">
      <c r="A558" s="14">
        <v>46052</v>
      </c>
      <c r="D558" s="15" t="s">
        <v>1439</v>
      </c>
      <c r="F558" s="13">
        <v>1409507.96</v>
      </c>
      <c r="G558" s="26">
        <f t="shared" si="8"/>
        <v>33500179.045670018</v>
      </c>
    </row>
    <row r="559" spans="1:10" ht="12.6">
      <c r="A559" s="14">
        <v>46052</v>
      </c>
      <c r="D559" s="45" t="s">
        <v>965</v>
      </c>
      <c r="F559" s="13">
        <v>503</v>
      </c>
      <c r="G559" s="26">
        <f t="shared" ref="G559:G623" si="9">G558+E559-F559</f>
        <v>33499676.045670018</v>
      </c>
    </row>
    <row r="560" spans="1:10" ht="12.6">
      <c r="A560" s="14">
        <v>46052</v>
      </c>
      <c r="D560" s="15" t="s">
        <v>1440</v>
      </c>
      <c r="F560" s="13">
        <v>2259070.75</v>
      </c>
      <c r="G560" s="26">
        <f t="shared" si="9"/>
        <v>31240605.295670018</v>
      </c>
      <c r="I560" s="34"/>
    </row>
    <row r="561" spans="1:9" ht="12.6">
      <c r="A561" s="14">
        <v>46052</v>
      </c>
      <c r="D561" s="45" t="s">
        <v>965</v>
      </c>
      <c r="F561" s="13">
        <v>503</v>
      </c>
      <c r="G561" s="26">
        <f t="shared" si="9"/>
        <v>31240102.295670018</v>
      </c>
      <c r="I561" s="34"/>
    </row>
    <row r="562" spans="1:9" ht="12.6">
      <c r="A562" s="14">
        <v>46053</v>
      </c>
      <c r="D562" s="15" t="s">
        <v>345</v>
      </c>
      <c r="E562" s="13">
        <v>1317.46</v>
      </c>
      <c r="G562" s="26">
        <f t="shared" si="9"/>
        <v>31241419.755670018</v>
      </c>
    </row>
    <row r="563" spans="1:9" s="19" customFormat="1" ht="12.6">
      <c r="A563" s="18">
        <v>46053</v>
      </c>
      <c r="E563" s="30"/>
      <c r="G563" s="31">
        <f t="shared" si="9"/>
        <v>31241419.755670018</v>
      </c>
    </row>
    <row r="564" spans="1:9" ht="12.6">
      <c r="A564" s="14">
        <v>46054</v>
      </c>
      <c r="F564" s="13"/>
      <c r="G564" s="26">
        <f t="shared" si="9"/>
        <v>31241419.755670018</v>
      </c>
    </row>
    <row r="565" spans="1:9" ht="12.6">
      <c r="A565" s="14">
        <v>46054</v>
      </c>
      <c r="D565" s="11" t="s">
        <v>1443</v>
      </c>
      <c r="F565" s="13">
        <v>405000</v>
      </c>
      <c r="G565" s="26">
        <f t="shared" si="9"/>
        <v>30836419.755670018</v>
      </c>
    </row>
    <row r="566" spans="1:9" ht="12.6">
      <c r="A566" s="14">
        <v>46054</v>
      </c>
      <c r="D566" s="11" t="s">
        <v>826</v>
      </c>
      <c r="F566" s="13">
        <v>503</v>
      </c>
      <c r="G566" s="26">
        <f t="shared" si="9"/>
        <v>30835916.755670018</v>
      </c>
    </row>
    <row r="567" spans="1:9" ht="12.6">
      <c r="A567" s="14">
        <v>46069</v>
      </c>
      <c r="D567" s="15" t="s">
        <v>1473</v>
      </c>
      <c r="F567" s="13">
        <v>4907628</v>
      </c>
      <c r="G567" s="26">
        <f t="shared" si="9"/>
        <v>25928288.755670018</v>
      </c>
    </row>
    <row r="568" spans="1:9" ht="12.6">
      <c r="A568" s="14">
        <v>46069</v>
      </c>
      <c r="D568" s="15" t="s">
        <v>856</v>
      </c>
      <c r="F568" s="13">
        <v>158896</v>
      </c>
      <c r="G568" s="26">
        <f t="shared" si="9"/>
        <v>25769392.755670018</v>
      </c>
    </row>
    <row r="569" spans="1:9" ht="12.6">
      <c r="A569" s="14">
        <v>46069</v>
      </c>
      <c r="D569" s="15" t="s">
        <v>1475</v>
      </c>
      <c r="F569" s="26">
        <v>17154765</v>
      </c>
      <c r="G569" s="26">
        <f t="shared" si="9"/>
        <v>8614627.7556700185</v>
      </c>
    </row>
    <row r="570" spans="1:9" ht="12.6">
      <c r="A570" s="14">
        <v>46070</v>
      </c>
      <c r="D570" s="15" t="s">
        <v>1476</v>
      </c>
      <c r="F570" s="13">
        <v>32770</v>
      </c>
      <c r="G570" s="26">
        <f t="shared" si="9"/>
        <v>8581857.7556700185</v>
      </c>
    </row>
    <row r="571" spans="1:9" ht="12.6">
      <c r="A571" s="14">
        <v>46079</v>
      </c>
      <c r="D571" s="11" t="s">
        <v>1486</v>
      </c>
      <c r="E571" s="26">
        <v>53590000</v>
      </c>
      <c r="F571" s="13"/>
      <c r="G571" s="26">
        <f t="shared" si="9"/>
        <v>62171857.755670018</v>
      </c>
    </row>
    <row r="572" spans="1:9" ht="12.6">
      <c r="A572" s="14">
        <v>46079</v>
      </c>
      <c r="D572" s="15" t="s">
        <v>1438</v>
      </c>
      <c r="F572" s="13">
        <v>1132568.82</v>
      </c>
      <c r="G572" s="26">
        <f t="shared" si="9"/>
        <v>61039288.935670018</v>
      </c>
    </row>
    <row r="573" spans="1:9" ht="12.6">
      <c r="A573" s="14">
        <v>46079</v>
      </c>
      <c r="D573" s="15" t="s">
        <v>1439</v>
      </c>
      <c r="F573" s="13">
        <v>1382510.08</v>
      </c>
      <c r="G573" s="26">
        <f t="shared" si="9"/>
        <v>59656778.85567002</v>
      </c>
    </row>
    <row r="574" spans="1:9" ht="12.6">
      <c r="A574" s="14">
        <v>46079</v>
      </c>
      <c r="D574" s="45" t="s">
        <v>965</v>
      </c>
      <c r="F574" s="13">
        <v>478</v>
      </c>
      <c r="G574" s="26">
        <f t="shared" si="9"/>
        <v>59656300.85567002</v>
      </c>
    </row>
    <row r="575" spans="1:9" ht="12.6">
      <c r="A575" s="14">
        <v>46079</v>
      </c>
      <c r="D575" s="15" t="s">
        <v>1440</v>
      </c>
      <c r="F575" s="13">
        <v>2239288.13</v>
      </c>
      <c r="G575" s="26">
        <f t="shared" si="9"/>
        <v>57417012.725670017</v>
      </c>
    </row>
    <row r="576" spans="1:9" ht="12.6">
      <c r="A576" s="14">
        <v>46079</v>
      </c>
      <c r="D576" s="45" t="s">
        <v>965</v>
      </c>
      <c r="F576" s="13">
        <v>478</v>
      </c>
      <c r="G576" s="26">
        <f t="shared" si="9"/>
        <v>57416534.725670017</v>
      </c>
    </row>
    <row r="577" spans="1:7" ht="12.6">
      <c r="A577" s="14">
        <v>46079</v>
      </c>
      <c r="D577" s="15" t="s">
        <v>1496</v>
      </c>
      <c r="F577" s="13">
        <v>535020</v>
      </c>
      <c r="G577" s="26">
        <f t="shared" si="9"/>
        <v>56881514.725670017</v>
      </c>
    </row>
    <row r="578" spans="1:7" ht="12.6">
      <c r="A578" s="14">
        <v>46079</v>
      </c>
      <c r="D578" s="45" t="s">
        <v>965</v>
      </c>
      <c r="F578" s="13">
        <v>478</v>
      </c>
      <c r="G578" s="26">
        <f t="shared" si="9"/>
        <v>56881036.725670017</v>
      </c>
    </row>
    <row r="579" spans="1:7" ht="12.6">
      <c r="A579" s="14">
        <v>46079</v>
      </c>
      <c r="D579" s="15" t="s">
        <v>1441</v>
      </c>
      <c r="F579" s="13">
        <v>1306411.6599999999</v>
      </c>
      <c r="G579" s="26">
        <f t="shared" si="9"/>
        <v>55574625.065670021</v>
      </c>
    </row>
    <row r="580" spans="1:7" ht="12.6">
      <c r="A580" s="14">
        <v>46079</v>
      </c>
      <c r="D580" s="45" t="s">
        <v>965</v>
      </c>
      <c r="F580" s="13">
        <v>478</v>
      </c>
      <c r="G580" s="26">
        <f t="shared" si="9"/>
        <v>55574147.065670021</v>
      </c>
    </row>
    <row r="581" spans="1:7" ht="12.6">
      <c r="A581" s="14">
        <v>46079</v>
      </c>
      <c r="D581" s="15" t="s">
        <v>1497</v>
      </c>
      <c r="F581" s="13">
        <v>4805732.09</v>
      </c>
      <c r="G581" s="26">
        <f t="shared" si="9"/>
        <v>50768414.975670025</v>
      </c>
    </row>
    <row r="582" spans="1:7" ht="12.6">
      <c r="A582" s="14">
        <v>46080</v>
      </c>
      <c r="D582" s="15" t="s">
        <v>1503</v>
      </c>
      <c r="E582" s="13"/>
      <c r="F582" s="13">
        <v>646971.22</v>
      </c>
      <c r="G582" s="26">
        <f t="shared" si="9"/>
        <v>50121443.755670026</v>
      </c>
    </row>
    <row r="583" spans="1:7" ht="12.6">
      <c r="A583" s="14">
        <v>46080</v>
      </c>
      <c r="D583" s="15" t="s">
        <v>1504</v>
      </c>
      <c r="E583" s="13"/>
      <c r="F583" s="13">
        <v>391634.64</v>
      </c>
      <c r="G583" s="26">
        <f t="shared" si="9"/>
        <v>49729809.115670025</v>
      </c>
    </row>
    <row r="584" spans="1:7" ht="12.6">
      <c r="A584" s="14">
        <v>46080</v>
      </c>
      <c r="D584" s="15" t="s">
        <v>1505</v>
      </c>
      <c r="F584" s="13">
        <v>785142.74</v>
      </c>
      <c r="G584" s="26">
        <f t="shared" si="9"/>
        <v>48944666.375670023</v>
      </c>
    </row>
    <row r="585" spans="1:7" ht="12.6">
      <c r="A585" s="14">
        <v>46080</v>
      </c>
      <c r="D585" s="15" t="s">
        <v>1571</v>
      </c>
      <c r="F585" s="13">
        <v>889589.73</v>
      </c>
      <c r="G585" s="26">
        <f t="shared" si="9"/>
        <v>48055076.645670027</v>
      </c>
    </row>
    <row r="586" spans="1:7" ht="12.6">
      <c r="A586" s="14">
        <v>46080</v>
      </c>
      <c r="D586" s="45" t="s">
        <v>965</v>
      </c>
      <c r="F586" s="13">
        <v>478</v>
      </c>
      <c r="G586" s="26">
        <f t="shared" si="9"/>
        <v>48054598.645670027</v>
      </c>
    </row>
    <row r="587" spans="1:7" ht="12.6">
      <c r="A587" s="14">
        <v>46081</v>
      </c>
      <c r="D587" s="15" t="s">
        <v>1506</v>
      </c>
      <c r="F587" s="13">
        <v>1405947.8</v>
      </c>
      <c r="G587" s="26">
        <f t="shared" si="9"/>
        <v>46648650.84567003</v>
      </c>
    </row>
    <row r="588" spans="1:7" ht="12.6">
      <c r="A588" s="14">
        <v>46081</v>
      </c>
      <c r="D588" s="15" t="s">
        <v>1507</v>
      </c>
      <c r="F588" s="13">
        <v>2034799.48</v>
      </c>
      <c r="G588" s="26">
        <f t="shared" si="9"/>
        <v>44613851.365670033</v>
      </c>
    </row>
    <row r="589" spans="1:7" ht="12.6">
      <c r="A589" s="14">
        <v>46081</v>
      </c>
      <c r="D589" s="15" t="s">
        <v>1508</v>
      </c>
      <c r="F589" s="13">
        <v>1405947.8</v>
      </c>
      <c r="G589" s="26">
        <f t="shared" si="9"/>
        <v>43207903.565670036</v>
      </c>
    </row>
    <row r="590" spans="1:7" ht="12.6">
      <c r="A590" s="14">
        <v>46081</v>
      </c>
      <c r="D590" s="15" t="s">
        <v>345</v>
      </c>
      <c r="E590" s="13">
        <v>2246.2800000000002</v>
      </c>
      <c r="F590" s="13"/>
      <c r="G590" s="26">
        <f t="shared" si="9"/>
        <v>43210149.845670037</v>
      </c>
    </row>
    <row r="591" spans="1:7" s="19" customFormat="1" ht="12.6">
      <c r="A591" s="18">
        <v>46081</v>
      </c>
      <c r="F591" s="30"/>
      <c r="G591" s="31">
        <f t="shared" si="9"/>
        <v>43210149.845670037</v>
      </c>
    </row>
    <row r="592" spans="1:7" ht="12.6">
      <c r="A592" s="14">
        <v>46082</v>
      </c>
      <c r="F592" s="13"/>
      <c r="G592" s="26">
        <f t="shared" si="9"/>
        <v>43210149.845670037</v>
      </c>
    </row>
    <row r="593" spans="1:8" ht="12.6">
      <c r="A593" s="14">
        <v>46082</v>
      </c>
      <c r="D593" s="11" t="s">
        <v>826</v>
      </c>
      <c r="F593" s="13">
        <v>477</v>
      </c>
      <c r="G593" s="26">
        <f t="shared" si="9"/>
        <v>43209672.845670037</v>
      </c>
    </row>
    <row r="594" spans="1:8" ht="12.6">
      <c r="A594" s="14">
        <v>411326</v>
      </c>
      <c r="D594" s="15" t="s">
        <v>1510</v>
      </c>
      <c r="F594" s="13">
        <v>222925</v>
      </c>
      <c r="G594" s="26">
        <f t="shared" si="9"/>
        <v>42986747.845670037</v>
      </c>
    </row>
    <row r="595" spans="1:8" ht="12.6">
      <c r="A595" s="14">
        <v>46095</v>
      </c>
      <c r="D595" s="15" t="s">
        <v>1533</v>
      </c>
      <c r="F595" s="13">
        <v>1052897</v>
      </c>
      <c r="G595" s="26">
        <f t="shared" si="9"/>
        <v>41933850.845670037</v>
      </c>
    </row>
    <row r="596" spans="1:8" ht="12.6">
      <c r="A596" s="14">
        <v>46095</v>
      </c>
      <c r="D596" s="15" t="s">
        <v>1536</v>
      </c>
      <c r="F596" s="13">
        <v>2000</v>
      </c>
      <c r="G596" s="26">
        <f t="shared" si="9"/>
        <v>41931850.845670037</v>
      </c>
    </row>
    <row r="597" spans="1:8" ht="12.6">
      <c r="A597" s="14">
        <v>46096</v>
      </c>
      <c r="D597" s="15" t="s">
        <v>1537</v>
      </c>
      <c r="F597" s="13">
        <v>5000105</v>
      </c>
      <c r="G597" s="26">
        <f t="shared" si="9"/>
        <v>36931745.845670037</v>
      </c>
    </row>
    <row r="598" spans="1:8" ht="12.6">
      <c r="A598" s="14">
        <v>46096</v>
      </c>
      <c r="D598" s="15" t="s">
        <v>1538</v>
      </c>
      <c r="F598" s="13">
        <v>330203</v>
      </c>
      <c r="G598" s="26">
        <f t="shared" si="9"/>
        <v>36601542.845670037</v>
      </c>
    </row>
    <row r="599" spans="1:8" ht="12.6">
      <c r="A599" s="14">
        <v>46097</v>
      </c>
      <c r="D599" s="15" t="s">
        <v>1541</v>
      </c>
      <c r="F599" s="13">
        <v>17867590</v>
      </c>
      <c r="G599" s="26">
        <f t="shared" si="9"/>
        <v>18733952.845670037</v>
      </c>
    </row>
    <row r="600" spans="1:8" ht="12.6">
      <c r="A600" s="14">
        <v>46108</v>
      </c>
      <c r="D600" s="15" t="s">
        <v>1567</v>
      </c>
      <c r="E600" s="13">
        <v>548400</v>
      </c>
      <c r="F600" s="13"/>
      <c r="G600" s="26">
        <f t="shared" si="9"/>
        <v>19282352.845670037</v>
      </c>
      <c r="H600" s="29">
        <f>P539+H557+E575+H593</f>
        <v>0</v>
      </c>
    </row>
    <row r="601" spans="1:8" ht="12.6">
      <c r="A601" s="14">
        <v>46108</v>
      </c>
      <c r="D601" s="15" t="s">
        <v>1567</v>
      </c>
      <c r="E601" s="13">
        <f>5482*457</f>
        <v>2505274</v>
      </c>
      <c r="F601" s="13"/>
      <c r="G601" s="26">
        <f t="shared" si="9"/>
        <v>21787626.845670037</v>
      </c>
    </row>
    <row r="602" spans="1:8" ht="12.6">
      <c r="A602" s="14">
        <v>46108</v>
      </c>
      <c r="D602" s="15" t="s">
        <v>1569</v>
      </c>
      <c r="F602" s="13">
        <v>2034799.48</v>
      </c>
      <c r="G602" s="26">
        <f t="shared" si="9"/>
        <v>19752827.365670037</v>
      </c>
    </row>
    <row r="603" spans="1:8" ht="12.6">
      <c r="A603" s="14">
        <v>46109</v>
      </c>
      <c r="D603" s="15" t="s">
        <v>1578</v>
      </c>
      <c r="F603" s="13">
        <v>1405947.8</v>
      </c>
      <c r="G603" s="26">
        <f t="shared" si="9"/>
        <v>18346879.565670036</v>
      </c>
    </row>
    <row r="604" spans="1:8" ht="12.6">
      <c r="A604" s="14">
        <v>46109</v>
      </c>
      <c r="D604" s="15" t="s">
        <v>1438</v>
      </c>
      <c r="F604" s="13">
        <v>1134627.24</v>
      </c>
      <c r="G604" s="26">
        <f t="shared" si="9"/>
        <v>17212252.325670037</v>
      </c>
    </row>
    <row r="605" spans="1:8" ht="12.6">
      <c r="A605" s="14">
        <v>46109</v>
      </c>
      <c r="D605" s="15" t="s">
        <v>1572</v>
      </c>
      <c r="F605" s="13">
        <v>783269.28</v>
      </c>
      <c r="G605" s="26">
        <f t="shared" si="9"/>
        <v>16428983.045670038</v>
      </c>
    </row>
    <row r="606" spans="1:8" ht="12.6">
      <c r="A606" s="14">
        <v>46109</v>
      </c>
      <c r="D606" s="15" t="s">
        <v>1577</v>
      </c>
      <c r="F606" s="13">
        <v>1405947.8</v>
      </c>
      <c r="G606" s="26">
        <f t="shared" si="9"/>
        <v>15023035.245670037</v>
      </c>
    </row>
    <row r="607" spans="1:8" ht="12.6">
      <c r="A607" s="14">
        <v>46109</v>
      </c>
      <c r="D607" s="15" t="s">
        <v>1576</v>
      </c>
      <c r="F607" s="13">
        <v>5338092.3899999997</v>
      </c>
      <c r="G607" s="26">
        <f t="shared" si="9"/>
        <v>9684942.8556700386</v>
      </c>
    </row>
    <row r="608" spans="1:8" ht="12.6">
      <c r="A608" s="14">
        <v>46109</v>
      </c>
      <c r="D608" s="15" t="s">
        <v>1439</v>
      </c>
      <c r="F608" s="13">
        <v>1382510.08</v>
      </c>
      <c r="G608" s="26">
        <f t="shared" si="9"/>
        <v>8302432.7756700385</v>
      </c>
    </row>
    <row r="609" spans="1:9" ht="12.6">
      <c r="A609" s="14">
        <v>46109</v>
      </c>
      <c r="D609" s="45" t="s">
        <v>965</v>
      </c>
      <c r="F609" s="13">
        <v>1413</v>
      </c>
      <c r="G609" s="26">
        <f t="shared" si="9"/>
        <v>8301019.7756700385</v>
      </c>
    </row>
    <row r="610" spans="1:9" ht="12.6">
      <c r="A610" s="14">
        <v>46109</v>
      </c>
      <c r="D610" s="15" t="s">
        <v>1575</v>
      </c>
      <c r="F610" s="13">
        <v>2251877.06</v>
      </c>
      <c r="G610" s="26">
        <f t="shared" si="9"/>
        <v>6049142.715670038</v>
      </c>
    </row>
    <row r="611" spans="1:9" ht="12.6">
      <c r="A611" s="14">
        <v>46109</v>
      </c>
      <c r="D611" s="45" t="s">
        <v>965</v>
      </c>
      <c r="F611" s="13">
        <v>1413</v>
      </c>
      <c r="G611" s="26">
        <f t="shared" si="9"/>
        <v>6047729.715670038</v>
      </c>
    </row>
    <row r="612" spans="1:9" ht="12.6">
      <c r="A612" s="14">
        <v>46109</v>
      </c>
      <c r="D612" s="15" t="s">
        <v>1574</v>
      </c>
      <c r="F612" s="13">
        <v>1054190.52</v>
      </c>
      <c r="G612" s="26">
        <f t="shared" si="9"/>
        <v>4993539.1956700385</v>
      </c>
    </row>
    <row r="613" spans="1:9" ht="12.6">
      <c r="A613" s="14">
        <v>46109</v>
      </c>
      <c r="D613" s="45" t="s">
        <v>965</v>
      </c>
      <c r="F613" s="13">
        <v>1413</v>
      </c>
      <c r="G613" s="26">
        <f t="shared" si="9"/>
        <v>4992126.1956700385</v>
      </c>
    </row>
    <row r="614" spans="1:9" ht="12.6">
      <c r="A614" s="14">
        <v>46110</v>
      </c>
      <c r="D614" s="15" t="s">
        <v>1573</v>
      </c>
      <c r="F614" s="13">
        <v>1279413.78</v>
      </c>
      <c r="G614" s="26">
        <f t="shared" si="9"/>
        <v>3712712.4156700382</v>
      </c>
    </row>
    <row r="615" spans="1:9" ht="12.6">
      <c r="A615" s="14">
        <v>46110</v>
      </c>
      <c r="D615" s="45" t="s">
        <v>965</v>
      </c>
      <c r="F615" s="13">
        <v>1413</v>
      </c>
      <c r="G615" s="26">
        <f t="shared" si="9"/>
        <v>3711299.4156700382</v>
      </c>
    </row>
    <row r="616" spans="1:9" ht="12.6">
      <c r="A616" s="14">
        <v>46110</v>
      </c>
      <c r="D616" s="15" t="s">
        <v>1570</v>
      </c>
      <c r="F616" s="13">
        <v>875095.31</v>
      </c>
      <c r="G616" s="26">
        <f t="shared" si="9"/>
        <v>2836204.1056700381</v>
      </c>
    </row>
    <row r="617" spans="1:9" ht="12.6">
      <c r="A617" s="14">
        <v>46110</v>
      </c>
      <c r="D617" s="15" t="s">
        <v>1579</v>
      </c>
      <c r="F617" s="13">
        <v>1081425</v>
      </c>
      <c r="G617" s="26">
        <f t="shared" si="9"/>
        <v>1754779.1056700381</v>
      </c>
    </row>
    <row r="618" spans="1:9" ht="12.6">
      <c r="A618" s="14">
        <v>46110</v>
      </c>
      <c r="D618" s="15" t="s">
        <v>1580</v>
      </c>
      <c r="F618" s="13">
        <v>785142.74</v>
      </c>
      <c r="G618" s="26">
        <f t="shared" si="9"/>
        <v>969636.36567003815</v>
      </c>
    </row>
    <row r="619" spans="1:9" ht="12.6">
      <c r="A619" s="14">
        <v>46110</v>
      </c>
      <c r="D619" s="15" t="s">
        <v>1581</v>
      </c>
      <c r="F619" s="13">
        <v>883500</v>
      </c>
      <c r="G619" s="26">
        <f t="shared" si="9"/>
        <v>86136.365670038154</v>
      </c>
      <c r="I619" s="28"/>
    </row>
    <row r="620" spans="1:9" ht="12.6">
      <c r="A620" s="14">
        <v>46110</v>
      </c>
      <c r="D620" s="15" t="s">
        <v>965</v>
      </c>
      <c r="F620" s="13">
        <v>1413</v>
      </c>
      <c r="G620" s="26">
        <f t="shared" si="9"/>
        <v>84723.365670038154</v>
      </c>
      <c r="H620" s="34"/>
      <c r="I620" s="28"/>
    </row>
    <row r="621" spans="1:9" ht="12.6">
      <c r="A621" s="14">
        <v>46111</v>
      </c>
      <c r="D621" s="15" t="s">
        <v>1586</v>
      </c>
      <c r="E621" s="13">
        <v>36640000</v>
      </c>
      <c r="G621" s="26">
        <f t="shared" si="9"/>
        <v>36724723.36567004</v>
      </c>
    </row>
    <row r="622" spans="1:9" ht="12.6">
      <c r="A622" s="14">
        <v>46112</v>
      </c>
      <c r="D622" s="15" t="s">
        <v>1587</v>
      </c>
      <c r="F622" s="13">
        <v>89000</v>
      </c>
      <c r="G622" s="26">
        <f t="shared" si="9"/>
        <v>36635723.36567004</v>
      </c>
      <c r="I622" s="34"/>
    </row>
    <row r="623" spans="1:9" ht="12.6">
      <c r="A623" s="14">
        <v>46112</v>
      </c>
      <c r="D623" s="15" t="s">
        <v>1593</v>
      </c>
      <c r="F623" s="13">
        <v>11271</v>
      </c>
      <c r="G623" s="26">
        <f t="shared" si="9"/>
        <v>36624452.36567004</v>
      </c>
      <c r="I623" s="34"/>
    </row>
    <row r="624" spans="1:9" ht="12.6">
      <c r="A624" s="14">
        <v>46112</v>
      </c>
      <c r="D624" s="15" t="s">
        <v>1592</v>
      </c>
      <c r="F624" s="13">
        <v>20565</v>
      </c>
      <c r="G624" s="26">
        <f t="shared" ref="G624:G650" si="10">G623+E624-F624</f>
        <v>36603887.36567004</v>
      </c>
    </row>
    <row r="625" spans="1:7" ht="12.6">
      <c r="A625" s="14">
        <v>46112</v>
      </c>
      <c r="D625" s="45" t="s">
        <v>965</v>
      </c>
      <c r="F625" s="13">
        <v>472</v>
      </c>
      <c r="G625" s="26">
        <f t="shared" si="10"/>
        <v>36603415.36567004</v>
      </c>
    </row>
    <row r="626" spans="1:7" ht="12.6">
      <c r="A626" s="14">
        <v>46112</v>
      </c>
      <c r="D626" s="15" t="s">
        <v>345</v>
      </c>
      <c r="E626" s="13">
        <v>3282.46</v>
      </c>
      <c r="F626" s="13"/>
      <c r="G626" s="26">
        <f t="shared" si="10"/>
        <v>36606697.825670041</v>
      </c>
    </row>
    <row r="627" spans="1:7" s="19" customFormat="1" ht="12.6">
      <c r="A627" s="18">
        <v>46112</v>
      </c>
      <c r="E627" s="30"/>
      <c r="F627" s="30"/>
      <c r="G627" s="31">
        <f t="shared" si="10"/>
        <v>36606697.825670041</v>
      </c>
    </row>
    <row r="628" spans="1:7" ht="12.6">
      <c r="A628" s="14">
        <v>46113</v>
      </c>
      <c r="E628" s="13"/>
      <c r="F628" s="13"/>
      <c r="G628" s="26">
        <f t="shared" si="10"/>
        <v>36606697.825670041</v>
      </c>
    </row>
    <row r="629" spans="1:7" ht="12.6">
      <c r="A629" s="14">
        <v>46113</v>
      </c>
      <c r="D629" s="11" t="s">
        <v>826</v>
      </c>
      <c r="F629" s="13">
        <v>472</v>
      </c>
      <c r="G629" s="26">
        <f t="shared" si="10"/>
        <v>36606225.825670041</v>
      </c>
    </row>
    <row r="630" spans="1:7" ht="12.6">
      <c r="A630" s="14"/>
      <c r="F630" s="13"/>
      <c r="G630" s="26">
        <f t="shared" si="10"/>
        <v>36606225.825670041</v>
      </c>
    </row>
    <row r="631" spans="1:7" ht="12.6">
      <c r="D631" s="45"/>
      <c r="F631" s="13"/>
      <c r="G631" s="26">
        <f t="shared" si="10"/>
        <v>36606225.825670041</v>
      </c>
    </row>
    <row r="632" spans="1:7" ht="12.6">
      <c r="F632" s="13"/>
      <c r="G632" s="26">
        <f t="shared" si="10"/>
        <v>36606225.825670041</v>
      </c>
    </row>
    <row r="633" spans="1:7" ht="12.6">
      <c r="E633" s="13"/>
      <c r="F633" s="13"/>
      <c r="G633" s="26">
        <f t="shared" si="10"/>
        <v>36606225.825670041</v>
      </c>
    </row>
    <row r="634" spans="1:7" ht="12.6">
      <c r="G634" s="26">
        <f t="shared" si="10"/>
        <v>36606225.825670041</v>
      </c>
    </row>
    <row r="635" spans="1:7" ht="12.6">
      <c r="G635" s="26">
        <f t="shared" si="10"/>
        <v>36606225.825670041</v>
      </c>
    </row>
    <row r="636" spans="1:7" ht="12.6">
      <c r="G636" s="26">
        <f t="shared" si="10"/>
        <v>36606225.825670041</v>
      </c>
    </row>
    <row r="637" spans="1:7" ht="12.6">
      <c r="G637" s="26">
        <f t="shared" si="10"/>
        <v>36606225.825670041</v>
      </c>
    </row>
    <row r="638" spans="1:7" ht="12.6">
      <c r="G638" s="26">
        <f t="shared" si="10"/>
        <v>36606225.825670041</v>
      </c>
    </row>
    <row r="639" spans="1:7" ht="12.6">
      <c r="G639" s="26">
        <f t="shared" si="10"/>
        <v>36606225.825670041</v>
      </c>
    </row>
    <row r="640" spans="1:7" ht="12.6">
      <c r="G640" s="26">
        <f t="shared" si="10"/>
        <v>36606225.825670041</v>
      </c>
    </row>
    <row r="641" spans="7:7" ht="12.6">
      <c r="G641" s="26">
        <f t="shared" si="10"/>
        <v>36606225.825670041</v>
      </c>
    </row>
    <row r="642" spans="7:7" ht="12.6">
      <c r="G642" s="26">
        <f t="shared" si="10"/>
        <v>36606225.825670041</v>
      </c>
    </row>
    <row r="643" spans="7:7" ht="12.6">
      <c r="G643" s="26">
        <f t="shared" si="10"/>
        <v>36606225.825670041</v>
      </c>
    </row>
    <row r="644" spans="7:7" ht="12.6">
      <c r="G644" s="26">
        <f t="shared" si="10"/>
        <v>36606225.825670041</v>
      </c>
    </row>
    <row r="645" spans="7:7" ht="12.6">
      <c r="G645" s="26">
        <f t="shared" si="10"/>
        <v>36606225.825670041</v>
      </c>
    </row>
    <row r="646" spans="7:7" ht="12.6">
      <c r="G646" s="26">
        <f t="shared" si="10"/>
        <v>36606225.825670041</v>
      </c>
    </row>
    <row r="647" spans="7:7" ht="12.6">
      <c r="G647" s="26">
        <f t="shared" si="10"/>
        <v>36606225.825670041</v>
      </c>
    </row>
    <row r="648" spans="7:7" ht="12.6">
      <c r="G648" s="26">
        <f t="shared" si="10"/>
        <v>36606225.825670041</v>
      </c>
    </row>
    <row r="649" spans="7:7" ht="12.6">
      <c r="G649" s="26">
        <f t="shared" si="10"/>
        <v>36606225.825670041</v>
      </c>
    </row>
    <row r="650" spans="7:7" ht="12.6">
      <c r="G650" s="26">
        <f t="shared" si="10"/>
        <v>36606225.825670041</v>
      </c>
    </row>
  </sheetData>
  <autoFilter ref="A2:N2" xr:uid="{37679F46-A3B2-467B-806F-6A327149F390}"/>
  <mergeCells count="1">
    <mergeCell ref="A2:A3"/>
  </mergeCells>
  <pageMargins left="0.7" right="0.7" top="0.75" bottom="0.75" header="0.3" footer="0.3"/>
  <pageSetup paperSize="2833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1315-F874-43ED-89F0-706DE6E0AA8F}">
  <sheetPr codeName="Hoja2"/>
  <dimension ref="A1:K601"/>
  <sheetViews>
    <sheetView tabSelected="1" topLeftCell="A568" zoomScaleNormal="100" workbookViewId="0">
      <selection activeCell="D580" sqref="D580"/>
    </sheetView>
  </sheetViews>
  <sheetFormatPr baseColWidth="10" defaultColWidth="9.109375" defaultRowHeight="12"/>
  <cols>
    <col min="1" max="1" width="12.33203125" style="11" customWidth="1"/>
    <col min="2" max="2" width="3.109375" style="11" customWidth="1"/>
    <col min="3" max="3" width="2.6640625" style="11" customWidth="1"/>
    <col min="4" max="4" width="89" style="11" customWidth="1"/>
    <col min="5" max="5" width="19" style="11" customWidth="1"/>
    <col min="6" max="6" width="16.33203125" style="11" customWidth="1"/>
    <col min="7" max="7" width="16.88671875" style="11" bestFit="1" customWidth="1"/>
    <col min="8" max="8" width="11" style="11" bestFit="1" customWidth="1"/>
    <col min="9" max="9" width="12" style="11" bestFit="1" customWidth="1"/>
    <col min="10" max="10" width="12.88671875" style="11" bestFit="1" customWidth="1"/>
    <col min="11" max="16384" width="9.109375" style="11"/>
  </cols>
  <sheetData>
    <row r="1" spans="1:7" ht="12.6">
      <c r="A1" s="1" t="s">
        <v>0</v>
      </c>
      <c r="B1" s="1"/>
      <c r="C1" s="2"/>
      <c r="D1" s="3" t="s">
        <v>7</v>
      </c>
      <c r="E1" s="3" t="s">
        <v>1</v>
      </c>
      <c r="F1" s="3" t="s">
        <v>2</v>
      </c>
      <c r="G1" s="4" t="s">
        <v>3</v>
      </c>
    </row>
    <row r="2" spans="1:7" s="19" customFormat="1" ht="12.6">
      <c r="A2" s="18"/>
      <c r="B2" s="18"/>
      <c r="C2" s="23"/>
      <c r="D2" s="24" t="s">
        <v>5</v>
      </c>
      <c r="E2" s="17"/>
      <c r="F2" s="17"/>
      <c r="G2" s="25">
        <v>0</v>
      </c>
    </row>
    <row r="3" spans="1:7" s="19" customFormat="1" ht="12.6">
      <c r="A3" s="18"/>
      <c r="B3" s="18"/>
      <c r="C3" s="23"/>
      <c r="D3" s="24" t="s">
        <v>6</v>
      </c>
      <c r="E3" s="17"/>
      <c r="F3" s="17"/>
      <c r="G3" s="25"/>
    </row>
    <row r="4" spans="1:7" s="19" customFormat="1" ht="12.6">
      <c r="A4" s="14"/>
      <c r="B4" s="14"/>
      <c r="C4" s="7"/>
      <c r="D4" s="37"/>
      <c r="E4" s="38"/>
      <c r="F4" s="38"/>
      <c r="G4" s="39"/>
    </row>
    <row r="5" spans="1:7" ht="12.6">
      <c r="A5" s="14"/>
      <c r="B5" s="6"/>
      <c r="C5" s="7"/>
      <c r="D5" s="37" t="s">
        <v>15</v>
      </c>
      <c r="E5" s="16"/>
      <c r="F5" s="16"/>
      <c r="G5" s="41">
        <v>4726.8500000000004</v>
      </c>
    </row>
    <row r="6" spans="1:7" s="15" customFormat="1" ht="12.6">
      <c r="A6" s="14">
        <v>44937</v>
      </c>
      <c r="D6" s="15" t="s">
        <v>13</v>
      </c>
      <c r="E6" s="16">
        <v>0</v>
      </c>
      <c r="F6" s="16">
        <v>300</v>
      </c>
      <c r="G6" s="26">
        <f t="shared" ref="G6:G77" si="0">G5+E6-F6</f>
        <v>4426.8500000000004</v>
      </c>
    </row>
    <row r="7" spans="1:7" s="19" customFormat="1" ht="12.6">
      <c r="A7" s="18">
        <v>44957</v>
      </c>
      <c r="E7" s="42"/>
      <c r="F7" s="42"/>
      <c r="G7" s="31">
        <f t="shared" si="0"/>
        <v>4426.8500000000004</v>
      </c>
    </row>
    <row r="8" spans="1:7" s="15" customFormat="1" ht="12.6">
      <c r="A8" s="14">
        <v>44958</v>
      </c>
      <c r="D8" s="15" t="s">
        <v>11</v>
      </c>
      <c r="E8" s="16"/>
      <c r="F8" s="16">
        <v>700</v>
      </c>
      <c r="G8" s="26">
        <f t="shared" si="0"/>
        <v>3726.8500000000004</v>
      </c>
    </row>
    <row r="9" spans="1:7" s="19" customFormat="1" ht="12.6">
      <c r="A9" s="18">
        <v>44985</v>
      </c>
      <c r="E9" s="42"/>
      <c r="F9" s="42"/>
      <c r="G9" s="31">
        <f t="shared" si="0"/>
        <v>3726.8500000000004</v>
      </c>
    </row>
    <row r="10" spans="1:7" s="15" customFormat="1" ht="12.6">
      <c r="A10" s="14">
        <v>44986</v>
      </c>
      <c r="D10" s="15" t="s">
        <v>13</v>
      </c>
      <c r="E10" s="16"/>
      <c r="F10" s="16">
        <v>300</v>
      </c>
      <c r="G10" s="26">
        <f t="shared" si="0"/>
        <v>3426.8500000000004</v>
      </c>
    </row>
    <row r="11" spans="1:7" s="15" customFormat="1" ht="12.6">
      <c r="A11" s="14">
        <v>44988</v>
      </c>
      <c r="D11" s="15" t="s">
        <v>20</v>
      </c>
      <c r="E11" s="16"/>
      <c r="F11" s="16">
        <v>2640</v>
      </c>
      <c r="G11" s="26">
        <f t="shared" si="0"/>
        <v>786.85000000000036</v>
      </c>
    </row>
    <row r="12" spans="1:7" s="15" customFormat="1" ht="12.6">
      <c r="A12" s="14">
        <v>44988</v>
      </c>
      <c r="D12" s="15" t="s">
        <v>12</v>
      </c>
      <c r="E12" s="16"/>
      <c r="F12" s="16">
        <v>30</v>
      </c>
      <c r="G12" s="26">
        <f t="shared" si="0"/>
        <v>756.85000000000036</v>
      </c>
    </row>
    <row r="13" spans="1:7" s="19" customFormat="1" ht="12.6">
      <c r="A13" s="18">
        <v>45016</v>
      </c>
      <c r="D13" s="19" t="s">
        <v>11</v>
      </c>
      <c r="E13" s="42"/>
      <c r="F13" s="42"/>
      <c r="G13" s="31">
        <f t="shared" si="0"/>
        <v>756.85000000000036</v>
      </c>
    </row>
    <row r="14" spans="1:7" s="15" customFormat="1" ht="12.6">
      <c r="A14" s="14">
        <v>45040</v>
      </c>
      <c r="D14" s="15" t="s">
        <v>13</v>
      </c>
      <c r="E14" s="16"/>
      <c r="F14" s="16">
        <v>200</v>
      </c>
      <c r="G14" s="26">
        <f t="shared" si="0"/>
        <v>556.85000000000036</v>
      </c>
    </row>
    <row r="15" spans="1:7" s="19" customFormat="1" ht="12.6">
      <c r="A15" s="18">
        <v>45046</v>
      </c>
      <c r="E15" s="42"/>
      <c r="F15" s="42"/>
      <c r="G15" s="31">
        <f t="shared" si="0"/>
        <v>556.85000000000036</v>
      </c>
    </row>
    <row r="16" spans="1:7" s="15" customFormat="1" ht="12.6">
      <c r="A16" s="14">
        <v>45047</v>
      </c>
      <c r="E16" s="16"/>
      <c r="F16" s="16"/>
      <c r="G16" s="26">
        <f t="shared" si="0"/>
        <v>556.85000000000036</v>
      </c>
    </row>
    <row r="17" spans="1:7" s="15" customFormat="1" ht="12.6">
      <c r="A17" s="14">
        <v>45051</v>
      </c>
      <c r="D17" s="15" t="s">
        <v>13</v>
      </c>
      <c r="E17" s="16"/>
      <c r="F17" s="16">
        <v>200</v>
      </c>
      <c r="G17" s="26">
        <f t="shared" si="0"/>
        <v>356.85000000000036</v>
      </c>
    </row>
    <row r="18" spans="1:7" s="15" customFormat="1" ht="12.6">
      <c r="A18" s="14">
        <v>45076</v>
      </c>
      <c r="D18" s="15" t="s">
        <v>23</v>
      </c>
      <c r="E18" s="16">
        <v>980</v>
      </c>
      <c r="F18" s="16"/>
      <c r="G18" s="26">
        <f t="shared" si="0"/>
        <v>1336.8500000000004</v>
      </c>
    </row>
    <row r="19" spans="1:7" s="15" customFormat="1" ht="12.6">
      <c r="A19" s="14">
        <v>45076</v>
      </c>
      <c r="D19" s="15" t="s">
        <v>22</v>
      </c>
      <c r="E19" s="40"/>
      <c r="F19" s="40">
        <v>20</v>
      </c>
      <c r="G19" s="26">
        <f t="shared" si="0"/>
        <v>1316.8500000000004</v>
      </c>
    </row>
    <row r="20" spans="1:7" s="19" customFormat="1" ht="12.6">
      <c r="A20" s="18">
        <v>45077</v>
      </c>
      <c r="E20" s="42"/>
      <c r="F20" s="42"/>
      <c r="G20" s="31">
        <f t="shared" si="0"/>
        <v>1316.8500000000004</v>
      </c>
    </row>
    <row r="21" spans="1:7" s="15" customFormat="1" ht="12.6">
      <c r="A21" s="14">
        <v>45078</v>
      </c>
      <c r="D21" s="15" t="s">
        <v>27</v>
      </c>
      <c r="E21" s="16"/>
      <c r="F21" s="16">
        <v>1243.06</v>
      </c>
      <c r="G21" s="26">
        <f t="shared" si="0"/>
        <v>73.790000000000418</v>
      </c>
    </row>
    <row r="22" spans="1:7" s="15" customFormat="1" ht="12.6">
      <c r="A22" s="14">
        <v>45079</v>
      </c>
      <c r="D22" s="15" t="s">
        <v>24</v>
      </c>
      <c r="E22" s="16">
        <v>1931.89</v>
      </c>
      <c r="F22" s="16"/>
      <c r="G22" s="26">
        <f t="shared" si="0"/>
        <v>2005.6800000000005</v>
      </c>
    </row>
    <row r="23" spans="1:7" s="15" customFormat="1" ht="12.6">
      <c r="A23" s="14">
        <v>45079</v>
      </c>
      <c r="D23" s="15" t="s">
        <v>22</v>
      </c>
      <c r="E23" s="40"/>
      <c r="F23" s="40">
        <v>20</v>
      </c>
      <c r="G23" s="26">
        <f t="shared" si="0"/>
        <v>1985.6800000000005</v>
      </c>
    </row>
    <row r="24" spans="1:7" s="15" customFormat="1" ht="12.6">
      <c r="A24" s="14">
        <v>45104</v>
      </c>
      <c r="D24" s="15" t="s">
        <v>13</v>
      </c>
      <c r="E24" s="40"/>
      <c r="F24" s="40">
        <v>300</v>
      </c>
      <c r="G24" s="26">
        <f t="shared" si="0"/>
        <v>1685.6800000000005</v>
      </c>
    </row>
    <row r="25" spans="1:7" s="15" customFormat="1" ht="12.6">
      <c r="A25" s="14">
        <v>45104</v>
      </c>
      <c r="D25" s="15" t="s">
        <v>25</v>
      </c>
      <c r="E25" s="16">
        <v>5473.67</v>
      </c>
      <c r="F25" s="16"/>
      <c r="G25" s="26">
        <f t="shared" si="0"/>
        <v>7159.35</v>
      </c>
    </row>
    <row r="26" spans="1:7" s="15" customFormat="1" ht="12.6">
      <c r="A26" s="14">
        <v>45104</v>
      </c>
      <c r="D26" s="15" t="s">
        <v>26</v>
      </c>
      <c r="E26" s="16">
        <v>2117.21</v>
      </c>
      <c r="F26" s="16"/>
      <c r="G26" s="26">
        <f t="shared" si="0"/>
        <v>9276.5600000000013</v>
      </c>
    </row>
    <row r="27" spans="1:7" s="15" customFormat="1" ht="12.6">
      <c r="A27" s="14">
        <v>45104</v>
      </c>
      <c r="D27" s="15" t="s">
        <v>22</v>
      </c>
      <c r="E27" s="40"/>
      <c r="F27" s="40">
        <v>20</v>
      </c>
      <c r="G27" s="26">
        <f t="shared" si="0"/>
        <v>9256.5600000000013</v>
      </c>
    </row>
    <row r="28" spans="1:7" s="15" customFormat="1" ht="12.6">
      <c r="A28" s="14">
        <v>45104</v>
      </c>
      <c r="D28" s="15" t="s">
        <v>22</v>
      </c>
      <c r="E28" s="40"/>
      <c r="F28" s="40">
        <v>20</v>
      </c>
      <c r="G28" s="26">
        <f t="shared" si="0"/>
        <v>9236.5600000000013</v>
      </c>
    </row>
    <row r="29" spans="1:7" s="15" customFormat="1" ht="12.6">
      <c r="A29" s="14">
        <v>45105</v>
      </c>
      <c r="D29" s="15" t="s">
        <v>28</v>
      </c>
      <c r="E29" s="16"/>
      <c r="F29" s="16">
        <v>3407.11</v>
      </c>
      <c r="G29" s="26">
        <f t="shared" si="0"/>
        <v>5829.4500000000007</v>
      </c>
    </row>
    <row r="30" spans="1:7" s="15" customFormat="1" ht="12.6">
      <c r="A30" s="14">
        <v>45105</v>
      </c>
      <c r="D30" s="15" t="s">
        <v>13</v>
      </c>
      <c r="E30" s="40"/>
      <c r="F30" s="16">
        <v>1400</v>
      </c>
      <c r="G30" s="26">
        <f t="shared" si="0"/>
        <v>4429.4500000000007</v>
      </c>
    </row>
    <row r="31" spans="1:7" s="15" customFormat="1" ht="12.6">
      <c r="A31" s="14">
        <v>45107</v>
      </c>
      <c r="D31" s="15" t="s">
        <v>19</v>
      </c>
      <c r="E31" s="40"/>
      <c r="F31" s="40">
        <v>6</v>
      </c>
      <c r="G31" s="26">
        <f t="shared" si="0"/>
        <v>4423.4500000000007</v>
      </c>
    </row>
    <row r="32" spans="1:7" s="19" customFormat="1" ht="12.6">
      <c r="A32" s="18">
        <v>45107</v>
      </c>
      <c r="E32" s="42"/>
      <c r="F32" s="42"/>
      <c r="G32" s="31">
        <f t="shared" si="0"/>
        <v>4423.4500000000007</v>
      </c>
    </row>
    <row r="33" spans="1:7" s="15" customFormat="1" ht="12.6">
      <c r="A33" s="14">
        <v>45110</v>
      </c>
      <c r="D33" s="15" t="s">
        <v>13</v>
      </c>
      <c r="E33" s="16"/>
      <c r="F33" s="16">
        <v>300</v>
      </c>
      <c r="G33" s="26">
        <f t="shared" si="0"/>
        <v>4123.4500000000007</v>
      </c>
    </row>
    <row r="34" spans="1:7" s="15" customFormat="1" ht="12.6">
      <c r="A34" s="14">
        <v>45124</v>
      </c>
      <c r="D34" s="15" t="s">
        <v>13</v>
      </c>
      <c r="E34" s="16"/>
      <c r="F34" s="16">
        <v>300</v>
      </c>
      <c r="G34" s="26">
        <f t="shared" si="0"/>
        <v>3823.4500000000007</v>
      </c>
    </row>
    <row r="35" spans="1:7" s="15" customFormat="1" ht="12.6">
      <c r="A35" s="14">
        <v>45128</v>
      </c>
      <c r="D35" s="15" t="s">
        <v>30</v>
      </c>
      <c r="E35" s="16">
        <v>4076.02</v>
      </c>
      <c r="F35" s="16"/>
      <c r="G35" s="26">
        <f t="shared" si="0"/>
        <v>7899.4700000000012</v>
      </c>
    </row>
    <row r="36" spans="1:7" s="15" customFormat="1" ht="12.6">
      <c r="A36" s="14">
        <v>45128</v>
      </c>
      <c r="D36" s="15" t="s">
        <v>31</v>
      </c>
      <c r="E36" s="40">
        <v>5473.67</v>
      </c>
      <c r="F36" s="40"/>
      <c r="G36" s="26">
        <f t="shared" si="0"/>
        <v>13373.140000000001</v>
      </c>
    </row>
    <row r="37" spans="1:7" s="15" customFormat="1" ht="12.6">
      <c r="A37" s="14">
        <v>45128</v>
      </c>
      <c r="D37" s="15" t="s">
        <v>22</v>
      </c>
      <c r="E37" s="40"/>
      <c r="F37" s="40">
        <v>20</v>
      </c>
      <c r="G37" s="26">
        <f t="shared" si="0"/>
        <v>13353.140000000001</v>
      </c>
    </row>
    <row r="38" spans="1:7" s="15" customFormat="1" ht="12.6">
      <c r="A38" s="14">
        <v>45128</v>
      </c>
      <c r="D38" s="15" t="s">
        <v>22</v>
      </c>
      <c r="E38" s="40"/>
      <c r="F38" s="40">
        <v>20</v>
      </c>
      <c r="G38" s="26">
        <f t="shared" si="0"/>
        <v>13333.140000000001</v>
      </c>
    </row>
    <row r="39" spans="1:7" s="15" customFormat="1" ht="12.6">
      <c r="A39" s="14">
        <v>45135</v>
      </c>
      <c r="D39" s="15" t="s">
        <v>13</v>
      </c>
      <c r="E39" s="16"/>
      <c r="F39" s="16">
        <v>3000</v>
      </c>
      <c r="G39" s="26">
        <f t="shared" si="0"/>
        <v>10333.140000000001</v>
      </c>
    </row>
    <row r="40" spans="1:7" s="15" customFormat="1" ht="12.6">
      <c r="A40" s="14">
        <v>45135</v>
      </c>
      <c r="D40" s="15" t="s">
        <v>32</v>
      </c>
      <c r="E40" s="16"/>
      <c r="F40" s="16">
        <v>3407.11</v>
      </c>
      <c r="G40" s="26">
        <f t="shared" si="0"/>
        <v>6926.0300000000007</v>
      </c>
    </row>
    <row r="41" spans="1:7" s="19" customFormat="1" ht="12.6">
      <c r="A41" s="18">
        <v>45138</v>
      </c>
      <c r="E41" s="42"/>
      <c r="F41" s="42"/>
      <c r="G41" s="31">
        <f t="shared" si="0"/>
        <v>6926.0300000000007</v>
      </c>
    </row>
    <row r="42" spans="1:7" s="15" customFormat="1" ht="12.6">
      <c r="A42" s="14">
        <v>45139</v>
      </c>
      <c r="D42" s="15" t="s">
        <v>13</v>
      </c>
      <c r="E42" s="16"/>
      <c r="F42" s="16">
        <v>3500</v>
      </c>
      <c r="G42" s="26">
        <f t="shared" si="0"/>
        <v>3426.0300000000007</v>
      </c>
    </row>
    <row r="43" spans="1:7" s="15" customFormat="1" ht="12.6">
      <c r="A43" s="14">
        <v>45168</v>
      </c>
      <c r="D43" s="15" t="s">
        <v>36</v>
      </c>
      <c r="E43" s="16">
        <v>4094.49</v>
      </c>
      <c r="F43" s="16"/>
      <c r="G43" s="26">
        <f t="shared" si="0"/>
        <v>7520.52</v>
      </c>
    </row>
    <row r="44" spans="1:7" s="15" customFormat="1" ht="12.6">
      <c r="A44" s="14">
        <v>45168</v>
      </c>
      <c r="D44" s="15" t="s">
        <v>37</v>
      </c>
      <c r="E44" s="16">
        <v>1010.67</v>
      </c>
      <c r="F44" s="16"/>
      <c r="G44" s="26">
        <f t="shared" si="0"/>
        <v>8531.19</v>
      </c>
    </row>
    <row r="45" spans="1:7" s="15" customFormat="1" ht="12.6">
      <c r="A45" s="14">
        <v>45168</v>
      </c>
      <c r="D45" s="15" t="s">
        <v>35</v>
      </c>
      <c r="E45" s="40">
        <v>7921.13</v>
      </c>
      <c r="F45" s="40"/>
      <c r="G45" s="26">
        <f t="shared" si="0"/>
        <v>16452.32</v>
      </c>
    </row>
    <row r="46" spans="1:7" s="15" customFormat="1" ht="12.6">
      <c r="A46" s="14">
        <v>45168</v>
      </c>
      <c r="D46" s="15" t="s">
        <v>22</v>
      </c>
      <c r="E46" s="40"/>
      <c r="F46" s="40">
        <v>20</v>
      </c>
      <c r="G46" s="26">
        <f t="shared" si="0"/>
        <v>16432.32</v>
      </c>
    </row>
    <row r="47" spans="1:7" s="15" customFormat="1" ht="12.6">
      <c r="A47" s="14">
        <v>45168</v>
      </c>
      <c r="D47" s="15" t="s">
        <v>22</v>
      </c>
      <c r="E47" s="40"/>
      <c r="F47" s="40">
        <v>20</v>
      </c>
      <c r="G47" s="26">
        <f t="shared" si="0"/>
        <v>16412.32</v>
      </c>
    </row>
    <row r="48" spans="1:7" s="15" customFormat="1" ht="12.6">
      <c r="A48" s="14">
        <v>45168</v>
      </c>
      <c r="D48" s="15" t="s">
        <v>22</v>
      </c>
      <c r="E48" s="40"/>
      <c r="F48" s="40">
        <v>20</v>
      </c>
      <c r="G48" s="26">
        <f t="shared" si="0"/>
        <v>16392.32</v>
      </c>
    </row>
    <row r="49" spans="1:7" s="15" customFormat="1" ht="12.6">
      <c r="A49" s="14">
        <v>45168</v>
      </c>
      <c r="D49" s="15" t="s">
        <v>38</v>
      </c>
      <c r="E49" s="16"/>
      <c r="F49" s="16">
        <v>2447.46</v>
      </c>
      <c r="G49" s="26">
        <f t="shared" si="0"/>
        <v>13944.86</v>
      </c>
    </row>
    <row r="50" spans="1:7" s="15" customFormat="1" ht="12.6">
      <c r="A50" s="14">
        <v>45168</v>
      </c>
      <c r="D50" s="15" t="s">
        <v>62</v>
      </c>
      <c r="E50" s="40"/>
      <c r="F50" s="40">
        <v>3400.03</v>
      </c>
      <c r="G50" s="26">
        <f t="shared" si="0"/>
        <v>10544.83</v>
      </c>
    </row>
    <row r="51" spans="1:7" s="15" customFormat="1" ht="12.6">
      <c r="A51" s="14">
        <v>45168</v>
      </c>
      <c r="D51" s="15" t="s">
        <v>13</v>
      </c>
      <c r="E51" s="16"/>
      <c r="F51" s="16">
        <v>3000</v>
      </c>
      <c r="G51" s="26">
        <f t="shared" si="0"/>
        <v>7544.83</v>
      </c>
    </row>
    <row r="52" spans="1:7" s="15" customFormat="1" ht="12.6">
      <c r="A52" s="14">
        <v>45168</v>
      </c>
      <c r="D52" s="15" t="s">
        <v>61</v>
      </c>
      <c r="E52" s="16"/>
      <c r="F52" s="16">
        <v>595.53</v>
      </c>
      <c r="G52" s="26">
        <f t="shared" si="0"/>
        <v>6949.3</v>
      </c>
    </row>
    <row r="53" spans="1:7" s="15" customFormat="1" ht="12.6">
      <c r="A53" s="14">
        <v>45168</v>
      </c>
      <c r="D53" s="15" t="s">
        <v>39</v>
      </c>
      <c r="E53" s="16"/>
      <c r="F53" s="16">
        <v>0.75</v>
      </c>
      <c r="G53" s="26">
        <f t="shared" si="0"/>
        <v>6948.55</v>
      </c>
    </row>
    <row r="54" spans="1:7" s="19" customFormat="1" ht="12.6">
      <c r="A54" s="18">
        <v>45169</v>
      </c>
      <c r="E54" s="42"/>
      <c r="F54" s="42"/>
      <c r="G54" s="31">
        <f t="shared" si="0"/>
        <v>6948.55</v>
      </c>
    </row>
    <row r="55" spans="1:7" s="15" customFormat="1" ht="12.6">
      <c r="A55" s="14">
        <v>45170</v>
      </c>
      <c r="D55" s="15" t="s">
        <v>52</v>
      </c>
      <c r="E55" s="40">
        <v>16357.67</v>
      </c>
      <c r="F55" s="40"/>
      <c r="G55" s="26">
        <f t="shared" si="0"/>
        <v>23306.22</v>
      </c>
    </row>
    <row r="56" spans="1:7" s="15" customFormat="1" ht="12.6">
      <c r="A56" s="14">
        <v>45170</v>
      </c>
      <c r="D56" s="15" t="s">
        <v>22</v>
      </c>
      <c r="E56" s="40"/>
      <c r="F56" s="40">
        <v>24.53</v>
      </c>
      <c r="G56" s="26">
        <f t="shared" si="0"/>
        <v>23281.690000000002</v>
      </c>
    </row>
    <row r="57" spans="1:7" s="15" customFormat="1" ht="12.6">
      <c r="A57" s="14">
        <v>45170</v>
      </c>
      <c r="D57" s="15" t="s">
        <v>13</v>
      </c>
      <c r="E57" s="16"/>
      <c r="F57" s="16">
        <v>10000</v>
      </c>
      <c r="G57" s="26">
        <f t="shared" si="0"/>
        <v>13281.690000000002</v>
      </c>
    </row>
    <row r="58" spans="1:7" s="15" customFormat="1" ht="12.6">
      <c r="A58" s="14">
        <v>45170</v>
      </c>
      <c r="D58" s="15" t="s">
        <v>53</v>
      </c>
      <c r="E58" s="16"/>
      <c r="F58" s="16">
        <v>5000</v>
      </c>
      <c r="G58" s="26">
        <f t="shared" si="0"/>
        <v>8281.6900000000023</v>
      </c>
    </row>
    <row r="59" spans="1:7" s="15" customFormat="1" ht="12.6">
      <c r="A59" s="14">
        <v>45170</v>
      </c>
      <c r="D59" s="15" t="s">
        <v>53</v>
      </c>
      <c r="E59" s="16"/>
      <c r="F59" s="16">
        <v>4085.39</v>
      </c>
      <c r="G59" s="26">
        <f t="shared" si="0"/>
        <v>4196.3000000000029</v>
      </c>
    </row>
    <row r="60" spans="1:7" s="15" customFormat="1" ht="12.6">
      <c r="A60" s="14">
        <v>45191</v>
      </c>
      <c r="D60" s="15" t="s">
        <v>55</v>
      </c>
      <c r="E60" s="13">
        <v>4193.78</v>
      </c>
      <c r="F60" s="13"/>
      <c r="G60" s="26">
        <f t="shared" si="0"/>
        <v>8390.0800000000017</v>
      </c>
    </row>
    <row r="61" spans="1:7" s="15" customFormat="1" ht="12.6">
      <c r="A61" s="14">
        <v>45191</v>
      </c>
      <c r="D61" s="15" t="s">
        <v>54</v>
      </c>
      <c r="E61" s="13">
        <v>5479.59</v>
      </c>
      <c r="F61" s="13"/>
      <c r="G61" s="26">
        <f t="shared" si="0"/>
        <v>13869.670000000002</v>
      </c>
    </row>
    <row r="62" spans="1:7" s="15" customFormat="1" ht="12.6">
      <c r="A62" s="14">
        <v>45191</v>
      </c>
      <c r="D62" s="15" t="s">
        <v>22</v>
      </c>
      <c r="E62" s="13"/>
      <c r="F62" s="13">
        <v>20</v>
      </c>
      <c r="G62" s="26">
        <f t="shared" si="0"/>
        <v>13849.670000000002</v>
      </c>
    </row>
    <row r="63" spans="1:7" s="15" customFormat="1" ht="12.6">
      <c r="A63" s="14">
        <v>45191</v>
      </c>
      <c r="D63" s="15" t="s">
        <v>22</v>
      </c>
      <c r="E63" s="13"/>
      <c r="F63" s="13">
        <v>20</v>
      </c>
      <c r="G63" s="26">
        <f t="shared" si="0"/>
        <v>13829.670000000002</v>
      </c>
    </row>
    <row r="64" spans="1:7" s="15" customFormat="1" ht="12.6">
      <c r="A64" s="14">
        <v>45194</v>
      </c>
      <c r="D64" s="15" t="s">
        <v>56</v>
      </c>
      <c r="E64" s="13">
        <v>2713.4</v>
      </c>
      <c r="F64" s="13"/>
      <c r="G64" s="26">
        <f t="shared" si="0"/>
        <v>16543.070000000003</v>
      </c>
    </row>
    <row r="65" spans="1:7" s="15" customFormat="1" ht="12.6">
      <c r="A65" s="14">
        <v>45194</v>
      </c>
      <c r="D65" s="15" t="s">
        <v>57</v>
      </c>
      <c r="E65" s="13">
        <v>11203.46</v>
      </c>
      <c r="F65" s="13"/>
      <c r="G65" s="26">
        <f t="shared" si="0"/>
        <v>27746.530000000002</v>
      </c>
    </row>
    <row r="66" spans="1:7" s="15" customFormat="1" ht="12.6">
      <c r="A66" s="14">
        <v>45194</v>
      </c>
      <c r="D66" s="15" t="s">
        <v>22</v>
      </c>
      <c r="E66" s="13"/>
      <c r="F66" s="13">
        <v>20</v>
      </c>
      <c r="G66" s="26">
        <f t="shared" si="0"/>
        <v>27726.530000000002</v>
      </c>
    </row>
    <row r="67" spans="1:7" s="15" customFormat="1" ht="12.6">
      <c r="A67" s="14">
        <v>45194</v>
      </c>
      <c r="D67" s="15" t="s">
        <v>22</v>
      </c>
      <c r="E67" s="13"/>
      <c r="F67" s="13">
        <v>20</v>
      </c>
      <c r="G67" s="26">
        <f t="shared" si="0"/>
        <v>27706.530000000002</v>
      </c>
    </row>
    <row r="68" spans="1:7" s="15" customFormat="1" ht="12.6">
      <c r="A68" s="14">
        <v>45196</v>
      </c>
      <c r="D68" s="15" t="s">
        <v>58</v>
      </c>
      <c r="E68" s="13"/>
      <c r="F68" s="13">
        <v>3000</v>
      </c>
      <c r="G68" s="26">
        <f t="shared" si="0"/>
        <v>24706.530000000002</v>
      </c>
    </row>
    <row r="69" spans="1:7" s="15" customFormat="1" ht="12.6">
      <c r="A69" s="14">
        <v>45197</v>
      </c>
      <c r="D69" s="15" t="s">
        <v>59</v>
      </c>
      <c r="E69" s="13"/>
      <c r="F69" s="13">
        <v>6488.59</v>
      </c>
      <c r="G69" s="26">
        <f t="shared" si="0"/>
        <v>18217.940000000002</v>
      </c>
    </row>
    <row r="70" spans="1:7" s="15" customFormat="1" ht="12.6">
      <c r="A70" s="14">
        <v>45197</v>
      </c>
      <c r="D70" s="15" t="s">
        <v>60</v>
      </c>
      <c r="E70" s="13"/>
      <c r="F70" s="13">
        <v>3400.03</v>
      </c>
      <c r="G70" s="26">
        <f t="shared" si="0"/>
        <v>14817.910000000002</v>
      </c>
    </row>
    <row r="71" spans="1:7" s="15" customFormat="1" ht="12.6">
      <c r="A71" s="14">
        <v>45197</v>
      </c>
      <c r="D71" s="15" t="s">
        <v>63</v>
      </c>
      <c r="E71" s="13"/>
      <c r="F71" s="13">
        <v>1586.6</v>
      </c>
      <c r="G71" s="26">
        <f t="shared" si="0"/>
        <v>13231.310000000001</v>
      </c>
    </row>
    <row r="72" spans="1:7" s="15" customFormat="1" ht="12.6">
      <c r="A72" s="14">
        <v>45197</v>
      </c>
      <c r="D72" s="15" t="s">
        <v>39</v>
      </c>
      <c r="E72" s="13"/>
      <c r="F72" s="13">
        <v>0.75</v>
      </c>
      <c r="G72" s="26">
        <f t="shared" si="0"/>
        <v>13230.560000000001</v>
      </c>
    </row>
    <row r="73" spans="1:7" s="15" customFormat="1" ht="12.6">
      <c r="A73" s="14">
        <v>45197</v>
      </c>
      <c r="D73" s="15" t="s">
        <v>64</v>
      </c>
      <c r="E73" s="13"/>
      <c r="F73" s="13">
        <v>174.73</v>
      </c>
      <c r="G73" s="26">
        <f t="shared" si="0"/>
        <v>13055.830000000002</v>
      </c>
    </row>
    <row r="74" spans="1:7" s="15" customFormat="1" ht="12.6">
      <c r="A74" s="14">
        <v>45197</v>
      </c>
      <c r="D74" s="15" t="s">
        <v>39</v>
      </c>
      <c r="E74" s="13"/>
      <c r="F74" s="13">
        <v>0.75</v>
      </c>
      <c r="G74" s="26">
        <f t="shared" si="0"/>
        <v>13055.080000000002</v>
      </c>
    </row>
    <row r="75" spans="1:7" s="19" customFormat="1" ht="12.6">
      <c r="A75" s="18">
        <v>45199</v>
      </c>
      <c r="E75" s="30"/>
      <c r="F75" s="30"/>
      <c r="G75" s="31">
        <f t="shared" si="0"/>
        <v>13055.080000000002</v>
      </c>
    </row>
    <row r="76" spans="1:7" s="15" customFormat="1" ht="12.6">
      <c r="A76" s="14">
        <v>45208</v>
      </c>
      <c r="D76" s="15" t="s">
        <v>76</v>
      </c>
      <c r="E76" s="13"/>
      <c r="F76" s="13">
        <v>9000</v>
      </c>
      <c r="G76" s="26">
        <f t="shared" si="0"/>
        <v>4055.0800000000017</v>
      </c>
    </row>
    <row r="77" spans="1:7" s="15" customFormat="1" ht="12.6">
      <c r="A77" s="14">
        <v>45209</v>
      </c>
      <c r="D77" s="15" t="s">
        <v>81</v>
      </c>
      <c r="E77" s="13">
        <v>2500</v>
      </c>
      <c r="F77" s="13"/>
      <c r="G77" s="26">
        <f t="shared" si="0"/>
        <v>6555.0800000000017</v>
      </c>
    </row>
    <row r="78" spans="1:7" s="15" customFormat="1" ht="12.6">
      <c r="A78" s="14">
        <v>45209</v>
      </c>
      <c r="D78" s="15" t="s">
        <v>22</v>
      </c>
      <c r="E78" s="13"/>
      <c r="F78" s="13">
        <v>20</v>
      </c>
      <c r="G78" s="26">
        <f>G77+E78-F78</f>
        <v>6535.0800000000017</v>
      </c>
    </row>
    <row r="79" spans="1:7" s="15" customFormat="1" ht="12.6">
      <c r="A79" s="14">
        <v>45215</v>
      </c>
      <c r="D79" s="15" t="s">
        <v>75</v>
      </c>
      <c r="E79" s="13"/>
      <c r="F79" s="13">
        <v>2000</v>
      </c>
      <c r="G79" s="26">
        <f t="shared" ref="G79:G142" si="1">G78+E79-F79</f>
        <v>4535.0800000000017</v>
      </c>
    </row>
    <row r="80" spans="1:7" s="15" customFormat="1" ht="12.6">
      <c r="A80" s="14">
        <v>45222</v>
      </c>
      <c r="D80" s="15" t="s">
        <v>83</v>
      </c>
      <c r="E80" s="13">
        <v>5479.59</v>
      </c>
      <c r="F80" s="13"/>
      <c r="G80" s="26">
        <f t="shared" si="1"/>
        <v>10014.670000000002</v>
      </c>
    </row>
    <row r="81" spans="1:7" ht="12.6">
      <c r="A81" s="14">
        <v>45222</v>
      </c>
      <c r="D81" s="15" t="s">
        <v>85</v>
      </c>
      <c r="E81" s="13">
        <v>11203.46</v>
      </c>
      <c r="F81" s="13"/>
      <c r="G81" s="26">
        <f t="shared" si="1"/>
        <v>21218.13</v>
      </c>
    </row>
    <row r="82" spans="1:7" s="33" customFormat="1" ht="12.6">
      <c r="A82" s="14">
        <v>45222</v>
      </c>
      <c r="D82" s="15" t="s">
        <v>84</v>
      </c>
      <c r="E82" s="13">
        <v>2713.4</v>
      </c>
      <c r="F82" s="13"/>
      <c r="G82" s="26">
        <f t="shared" si="1"/>
        <v>23931.530000000002</v>
      </c>
    </row>
    <row r="83" spans="1:7" s="15" customFormat="1" ht="12.6">
      <c r="A83" s="14">
        <v>45222</v>
      </c>
      <c r="D83" s="15" t="s">
        <v>82</v>
      </c>
      <c r="E83" s="13">
        <v>4175.4399999999996</v>
      </c>
      <c r="F83" s="13"/>
      <c r="G83" s="26">
        <f t="shared" si="1"/>
        <v>28106.97</v>
      </c>
    </row>
    <row r="84" spans="1:7" s="15" customFormat="1" ht="12.6">
      <c r="A84" s="14">
        <v>45222</v>
      </c>
      <c r="D84" s="15" t="s">
        <v>22</v>
      </c>
      <c r="E84" s="13"/>
      <c r="F84" s="13">
        <v>20</v>
      </c>
      <c r="G84" s="26">
        <f t="shared" si="1"/>
        <v>28086.97</v>
      </c>
    </row>
    <row r="85" spans="1:7" s="15" customFormat="1" ht="12.6">
      <c r="A85" s="14">
        <v>45222</v>
      </c>
      <c r="D85" s="15" t="s">
        <v>22</v>
      </c>
      <c r="E85" s="13"/>
      <c r="F85" s="13">
        <v>20</v>
      </c>
      <c r="G85" s="26">
        <f t="shared" si="1"/>
        <v>28066.97</v>
      </c>
    </row>
    <row r="86" spans="1:7" s="15" customFormat="1" ht="12.6">
      <c r="A86" s="14">
        <v>45222</v>
      </c>
      <c r="D86" s="15" t="s">
        <v>22</v>
      </c>
      <c r="E86" s="13"/>
      <c r="F86" s="13">
        <v>20</v>
      </c>
      <c r="G86" s="26">
        <f t="shared" si="1"/>
        <v>28046.97</v>
      </c>
    </row>
    <row r="87" spans="1:7" s="15" customFormat="1" ht="12.6">
      <c r="A87" s="14">
        <v>45222</v>
      </c>
      <c r="D87" s="15" t="s">
        <v>22</v>
      </c>
      <c r="E87" s="13"/>
      <c r="F87" s="13">
        <v>20</v>
      </c>
      <c r="G87" s="26">
        <f t="shared" si="1"/>
        <v>28026.97</v>
      </c>
    </row>
    <row r="88" spans="1:7" s="15" customFormat="1" ht="12.6">
      <c r="A88" s="14">
        <v>45226</v>
      </c>
      <c r="D88" s="15" t="s">
        <v>86</v>
      </c>
      <c r="E88" s="13"/>
      <c r="F88" s="13">
        <v>6488.59</v>
      </c>
      <c r="G88" s="26">
        <f t="shared" si="1"/>
        <v>21538.38</v>
      </c>
    </row>
    <row r="89" spans="1:7" s="15" customFormat="1" ht="12.6">
      <c r="A89" s="14">
        <v>45226</v>
      </c>
      <c r="D89" s="15" t="s">
        <v>87</v>
      </c>
      <c r="E89" s="13"/>
      <c r="F89" s="13">
        <v>3400.03</v>
      </c>
      <c r="G89" s="26">
        <f t="shared" si="1"/>
        <v>18138.350000000002</v>
      </c>
    </row>
    <row r="90" spans="1:7" s="15" customFormat="1" ht="12.6">
      <c r="A90" s="14">
        <v>45226</v>
      </c>
      <c r="D90" s="15" t="s">
        <v>88</v>
      </c>
      <c r="E90" s="13"/>
      <c r="F90" s="13">
        <v>1761.33</v>
      </c>
      <c r="G90" s="26">
        <f t="shared" si="1"/>
        <v>16377.020000000002</v>
      </c>
    </row>
    <row r="91" spans="1:7" s="15" customFormat="1" ht="12.6">
      <c r="A91" s="14">
        <v>45226</v>
      </c>
      <c r="D91" s="15" t="s">
        <v>98</v>
      </c>
      <c r="E91" s="13"/>
      <c r="F91" s="13">
        <v>0.75</v>
      </c>
      <c r="G91" s="26">
        <f t="shared" si="1"/>
        <v>16376.270000000002</v>
      </c>
    </row>
    <row r="92" spans="1:7" s="15" customFormat="1" ht="12.6">
      <c r="A92" s="14">
        <v>45226</v>
      </c>
      <c r="D92" s="15" t="s">
        <v>78</v>
      </c>
      <c r="E92" s="13"/>
      <c r="F92" s="13">
        <v>2700</v>
      </c>
      <c r="G92" s="26">
        <f t="shared" si="1"/>
        <v>13676.270000000002</v>
      </c>
    </row>
    <row r="93" spans="1:7" s="19" customFormat="1" ht="12.6">
      <c r="A93" s="18">
        <v>45230</v>
      </c>
      <c r="E93" s="30"/>
      <c r="F93" s="30"/>
      <c r="G93" s="31">
        <f t="shared" si="1"/>
        <v>13676.270000000002</v>
      </c>
    </row>
    <row r="94" spans="1:7" s="15" customFormat="1" ht="12.6">
      <c r="A94" s="14">
        <v>45232</v>
      </c>
      <c r="D94" s="15" t="s">
        <v>91</v>
      </c>
      <c r="E94" s="13"/>
      <c r="F94" s="13">
        <v>300</v>
      </c>
      <c r="G94" s="26">
        <f t="shared" si="1"/>
        <v>13376.270000000002</v>
      </c>
    </row>
    <row r="95" spans="1:7" s="15" customFormat="1" ht="12.6">
      <c r="A95" s="14">
        <v>45238</v>
      </c>
      <c r="D95" s="15" t="s">
        <v>92</v>
      </c>
      <c r="E95" s="13"/>
      <c r="F95" s="13">
        <v>8200</v>
      </c>
      <c r="G95" s="26">
        <f t="shared" si="1"/>
        <v>5176.2700000000023</v>
      </c>
    </row>
    <row r="96" spans="1:7" s="15" customFormat="1" ht="12.6">
      <c r="A96" s="14">
        <v>45257</v>
      </c>
      <c r="D96" s="45" t="s">
        <v>108</v>
      </c>
      <c r="E96" s="36"/>
      <c r="F96" s="36">
        <v>20</v>
      </c>
      <c r="G96" s="26">
        <f t="shared" si="1"/>
        <v>5156.2700000000023</v>
      </c>
    </row>
    <row r="97" spans="1:7" s="15" customFormat="1" ht="12.6">
      <c r="A97" s="14">
        <v>45257</v>
      </c>
      <c r="D97" s="45" t="s">
        <v>102</v>
      </c>
      <c r="E97" s="36"/>
      <c r="F97" s="36">
        <v>20</v>
      </c>
      <c r="G97" s="26">
        <f t="shared" si="1"/>
        <v>5136.2700000000023</v>
      </c>
    </row>
    <row r="98" spans="1:7" s="15" customFormat="1" ht="12.6">
      <c r="A98" s="14">
        <v>45257</v>
      </c>
      <c r="D98" s="45" t="s">
        <v>103</v>
      </c>
      <c r="E98" s="36"/>
      <c r="F98" s="36">
        <v>21.63</v>
      </c>
      <c r="G98" s="26">
        <f t="shared" si="1"/>
        <v>5114.6400000000021</v>
      </c>
    </row>
    <row r="99" spans="1:7" s="15" customFormat="1" ht="12.6">
      <c r="A99" s="14">
        <v>45257</v>
      </c>
      <c r="D99" s="45" t="s">
        <v>104</v>
      </c>
      <c r="E99" s="36"/>
      <c r="F99" s="36">
        <v>20</v>
      </c>
      <c r="G99" s="26">
        <f t="shared" si="1"/>
        <v>5094.6400000000021</v>
      </c>
    </row>
    <row r="100" spans="1:7" s="15" customFormat="1" ht="12.6">
      <c r="A100" s="14">
        <v>45257</v>
      </c>
      <c r="D100" s="45" t="s">
        <v>94</v>
      </c>
      <c r="E100" s="36">
        <v>7678.67</v>
      </c>
      <c r="F100" s="36"/>
      <c r="G100" s="26">
        <f t="shared" si="1"/>
        <v>12773.310000000001</v>
      </c>
    </row>
    <row r="101" spans="1:7" s="15" customFormat="1" ht="12.6">
      <c r="A101" s="14">
        <v>45257</v>
      </c>
      <c r="D101" s="45" t="s">
        <v>95</v>
      </c>
      <c r="E101" s="36">
        <v>1196.9000000000001</v>
      </c>
      <c r="F101" s="36"/>
      <c r="G101" s="26">
        <f t="shared" si="1"/>
        <v>13970.210000000001</v>
      </c>
    </row>
    <row r="102" spans="1:7" s="15" customFormat="1" ht="12.6">
      <c r="A102" s="14">
        <v>45257</v>
      </c>
      <c r="D102" s="45" t="s">
        <v>101</v>
      </c>
      <c r="E102" s="36">
        <v>14423.18</v>
      </c>
      <c r="F102" s="36"/>
      <c r="G102" s="26">
        <f t="shared" si="1"/>
        <v>28393.39</v>
      </c>
    </row>
    <row r="103" spans="1:7" s="15" customFormat="1" ht="12.6">
      <c r="A103" s="14">
        <v>45258</v>
      </c>
      <c r="D103" s="45" t="s">
        <v>93</v>
      </c>
      <c r="E103" s="36">
        <v>5668.72</v>
      </c>
      <c r="F103" s="36"/>
      <c r="G103" s="26">
        <f t="shared" si="1"/>
        <v>34062.11</v>
      </c>
    </row>
    <row r="104" spans="1:7" s="15" customFormat="1" ht="12.6">
      <c r="A104" s="14">
        <v>45259</v>
      </c>
      <c r="D104" s="15" t="s">
        <v>113</v>
      </c>
      <c r="E104" s="13"/>
      <c r="F104" s="13">
        <v>909.11</v>
      </c>
      <c r="G104" s="26">
        <f t="shared" si="1"/>
        <v>33153</v>
      </c>
    </row>
    <row r="105" spans="1:7" s="15" customFormat="1" ht="12.6">
      <c r="A105" s="14">
        <v>45259</v>
      </c>
      <c r="D105" s="15" t="s">
        <v>114</v>
      </c>
      <c r="E105" s="13"/>
      <c r="F105" s="13">
        <v>0.75</v>
      </c>
      <c r="G105" s="26">
        <f t="shared" si="1"/>
        <v>33152.25</v>
      </c>
    </row>
    <row r="106" spans="1:7" s="15" customFormat="1" ht="12.6">
      <c r="A106" s="14">
        <v>45259</v>
      </c>
      <c r="D106" s="15" t="s">
        <v>112</v>
      </c>
      <c r="E106" s="13"/>
      <c r="F106" s="13">
        <v>4558.24</v>
      </c>
      <c r="G106" s="26">
        <f t="shared" si="1"/>
        <v>28594.010000000002</v>
      </c>
    </row>
    <row r="107" spans="1:7" s="15" customFormat="1" ht="12.6">
      <c r="A107" s="14">
        <v>45259</v>
      </c>
      <c r="D107" s="15" t="s">
        <v>115</v>
      </c>
      <c r="E107" s="13"/>
      <c r="F107" s="13">
        <v>1924.56</v>
      </c>
      <c r="G107" s="26">
        <f t="shared" si="1"/>
        <v>26669.45</v>
      </c>
    </row>
    <row r="108" spans="1:7" s="15" customFormat="1" ht="12.6">
      <c r="A108" s="14">
        <v>45259</v>
      </c>
      <c r="D108" s="15" t="s">
        <v>116</v>
      </c>
      <c r="E108" s="13"/>
      <c r="F108" s="13">
        <v>132.79</v>
      </c>
      <c r="G108" s="26">
        <f t="shared" si="1"/>
        <v>26536.66</v>
      </c>
    </row>
    <row r="109" spans="1:7" s="15" customFormat="1" ht="12.6">
      <c r="A109" s="14">
        <v>45259</v>
      </c>
      <c r="D109" s="15" t="s">
        <v>111</v>
      </c>
      <c r="E109" s="13"/>
      <c r="F109" s="13">
        <v>5513.72</v>
      </c>
      <c r="G109" s="26">
        <f t="shared" si="1"/>
        <v>21022.94</v>
      </c>
    </row>
    <row r="110" spans="1:7" s="15" customFormat="1" ht="12.6">
      <c r="A110" s="14">
        <v>45259</v>
      </c>
      <c r="D110" s="15" t="s">
        <v>117</v>
      </c>
      <c r="E110" s="13"/>
      <c r="F110" s="13">
        <v>5599.11</v>
      </c>
      <c r="G110" s="26">
        <f t="shared" si="1"/>
        <v>15423.829999999998</v>
      </c>
    </row>
    <row r="111" spans="1:7" s="15" customFormat="1" ht="12.6">
      <c r="A111" s="14">
        <v>45259</v>
      </c>
      <c r="D111" s="15" t="s">
        <v>118</v>
      </c>
      <c r="E111" s="13"/>
      <c r="F111" s="13">
        <v>9708.31</v>
      </c>
      <c r="G111" s="26">
        <f t="shared" si="1"/>
        <v>5715.5199999999986</v>
      </c>
    </row>
    <row r="112" spans="1:7" s="19" customFormat="1" ht="12.6">
      <c r="A112" s="18">
        <v>45260</v>
      </c>
      <c r="E112" s="30"/>
      <c r="F112" s="30"/>
      <c r="G112" s="31">
        <f t="shared" si="1"/>
        <v>5715.5199999999986</v>
      </c>
    </row>
    <row r="113" spans="1:7" s="15" customFormat="1" ht="12.6">
      <c r="A113" s="14">
        <v>45280</v>
      </c>
      <c r="D113" s="45" t="s">
        <v>126</v>
      </c>
      <c r="E113" s="36">
        <v>4263.5</v>
      </c>
      <c r="F113" s="13"/>
      <c r="G113" s="26">
        <f t="shared" si="1"/>
        <v>9979.0199999999986</v>
      </c>
    </row>
    <row r="114" spans="1:7" ht="12.6">
      <c r="A114" s="14">
        <v>45280</v>
      </c>
      <c r="D114" s="45" t="s">
        <v>125</v>
      </c>
      <c r="E114" s="36">
        <v>5479.6</v>
      </c>
      <c r="F114" s="13"/>
      <c r="G114" s="26">
        <f t="shared" si="1"/>
        <v>15458.619999999999</v>
      </c>
    </row>
    <row r="115" spans="1:7" ht="12.6">
      <c r="A115" s="14">
        <v>45280</v>
      </c>
      <c r="D115" s="45" t="s">
        <v>108</v>
      </c>
      <c r="E115" s="36"/>
      <c r="F115" s="36">
        <v>20</v>
      </c>
      <c r="G115" s="26">
        <f t="shared" si="1"/>
        <v>15438.619999999999</v>
      </c>
    </row>
    <row r="116" spans="1:7" ht="12.6">
      <c r="A116" s="14">
        <v>45280</v>
      </c>
      <c r="D116" s="45" t="s">
        <v>104</v>
      </c>
      <c r="E116" s="36"/>
      <c r="F116" s="36">
        <v>20</v>
      </c>
      <c r="G116" s="26">
        <f t="shared" si="1"/>
        <v>15418.619999999999</v>
      </c>
    </row>
    <row r="117" spans="1:7" ht="12.6">
      <c r="A117" s="14">
        <v>45287</v>
      </c>
      <c r="D117" s="45" t="s">
        <v>128</v>
      </c>
      <c r="E117" s="36">
        <v>11158.46</v>
      </c>
      <c r="F117" s="13"/>
      <c r="G117" s="26">
        <f t="shared" si="1"/>
        <v>26577.079999999998</v>
      </c>
    </row>
    <row r="118" spans="1:7" ht="12.6">
      <c r="A118" s="14">
        <v>45287</v>
      </c>
      <c r="D118" s="45" t="s">
        <v>103</v>
      </c>
      <c r="E118" s="13"/>
      <c r="F118" s="13">
        <v>20</v>
      </c>
      <c r="G118" s="26">
        <f t="shared" si="1"/>
        <v>26557.079999999998</v>
      </c>
    </row>
    <row r="119" spans="1:7" ht="12.6">
      <c r="A119" s="14">
        <v>45288</v>
      </c>
      <c r="D119" s="15" t="s">
        <v>129</v>
      </c>
      <c r="E119" s="13"/>
      <c r="F119" s="13">
        <v>6488.59</v>
      </c>
      <c r="G119" s="26">
        <f t="shared" si="1"/>
        <v>20068.489999999998</v>
      </c>
    </row>
    <row r="120" spans="1:7" ht="12.6">
      <c r="A120" s="14">
        <v>45288</v>
      </c>
      <c r="D120" s="15" t="s">
        <v>130</v>
      </c>
      <c r="E120" s="13"/>
      <c r="F120" s="13">
        <v>3400.04</v>
      </c>
      <c r="G120" s="26">
        <f t="shared" si="1"/>
        <v>16668.449999999997</v>
      </c>
    </row>
    <row r="121" spans="1:7" ht="12.6">
      <c r="A121" s="14">
        <v>45288</v>
      </c>
      <c r="D121" s="15" t="s">
        <v>111</v>
      </c>
      <c r="E121" s="13"/>
      <c r="F121" s="13">
        <v>4108.5</v>
      </c>
      <c r="G121" s="26">
        <f t="shared" si="1"/>
        <v>12559.949999999997</v>
      </c>
    </row>
    <row r="122" spans="1:7" ht="12.6">
      <c r="A122" s="14">
        <v>45288</v>
      </c>
      <c r="D122" s="15" t="s">
        <v>112</v>
      </c>
      <c r="E122" s="13"/>
      <c r="F122" s="13">
        <v>4514.87</v>
      </c>
      <c r="G122" s="26">
        <f t="shared" si="1"/>
        <v>8045.0799999999972</v>
      </c>
    </row>
    <row r="123" spans="1:7" ht="12.6">
      <c r="A123" s="14">
        <v>45288</v>
      </c>
      <c r="D123" s="15" t="s">
        <v>115</v>
      </c>
      <c r="E123" s="13"/>
      <c r="F123" s="13">
        <v>1924.56</v>
      </c>
      <c r="G123" s="26">
        <f t="shared" si="1"/>
        <v>6120.5199999999968</v>
      </c>
    </row>
    <row r="124" spans="1:7" s="19" customFormat="1" ht="12.6">
      <c r="A124" s="18">
        <v>45290</v>
      </c>
      <c r="E124" s="30"/>
      <c r="F124" s="30"/>
      <c r="G124" s="31">
        <f t="shared" si="1"/>
        <v>6120.5199999999968</v>
      </c>
    </row>
    <row r="125" spans="1:7" ht="12.6">
      <c r="A125" s="14">
        <v>45292</v>
      </c>
      <c r="D125" s="15"/>
      <c r="E125" s="13"/>
      <c r="F125" s="13"/>
      <c r="G125" s="26">
        <f t="shared" si="1"/>
        <v>6120.5199999999968</v>
      </c>
    </row>
    <row r="126" spans="1:7" ht="12.6">
      <c r="A126" s="14">
        <v>45309</v>
      </c>
      <c r="D126" s="15" t="s">
        <v>136</v>
      </c>
      <c r="E126" s="13"/>
      <c r="F126" s="13">
        <v>303.05</v>
      </c>
      <c r="G126" s="26">
        <f t="shared" si="1"/>
        <v>5817.4699999999966</v>
      </c>
    </row>
    <row r="127" spans="1:7" ht="12.6">
      <c r="A127" s="14">
        <v>45314</v>
      </c>
      <c r="D127" s="45" t="s">
        <v>138</v>
      </c>
      <c r="E127" s="13">
        <v>11158.46</v>
      </c>
      <c r="F127" s="13"/>
      <c r="G127" s="26">
        <f t="shared" si="1"/>
        <v>16975.929999999997</v>
      </c>
    </row>
    <row r="128" spans="1:7" ht="12.6">
      <c r="A128" s="14">
        <v>45314</v>
      </c>
      <c r="D128" s="45" t="s">
        <v>146</v>
      </c>
      <c r="E128" s="13">
        <v>2293.64</v>
      </c>
      <c r="F128" s="13"/>
      <c r="G128" s="26">
        <f t="shared" si="1"/>
        <v>19269.569999999996</v>
      </c>
    </row>
    <row r="129" spans="1:7" ht="12.6">
      <c r="A129" s="14">
        <v>45314</v>
      </c>
      <c r="D129" s="45" t="s">
        <v>139</v>
      </c>
      <c r="E129" s="13">
        <v>4319.87</v>
      </c>
      <c r="F129" s="13"/>
      <c r="G129" s="26">
        <f t="shared" si="1"/>
        <v>23589.439999999995</v>
      </c>
    </row>
    <row r="130" spans="1:7" ht="12.6">
      <c r="A130" s="14">
        <v>45314</v>
      </c>
      <c r="D130" s="45" t="s">
        <v>140</v>
      </c>
      <c r="E130" s="13">
        <v>4674.78</v>
      </c>
      <c r="F130" s="13"/>
      <c r="G130" s="26">
        <f t="shared" si="1"/>
        <v>28264.219999999994</v>
      </c>
    </row>
    <row r="131" spans="1:7" ht="12.6">
      <c r="A131" s="14">
        <v>45314</v>
      </c>
      <c r="D131" s="45" t="s">
        <v>141</v>
      </c>
      <c r="E131" s="13">
        <v>5434.66</v>
      </c>
      <c r="F131" s="13"/>
      <c r="G131" s="26">
        <f t="shared" si="1"/>
        <v>33698.87999999999</v>
      </c>
    </row>
    <row r="132" spans="1:7" ht="12.6">
      <c r="A132" s="14">
        <v>45314</v>
      </c>
      <c r="D132" s="45" t="s">
        <v>142</v>
      </c>
      <c r="E132" s="13"/>
      <c r="F132" s="36">
        <v>20</v>
      </c>
      <c r="G132" s="26">
        <f t="shared" si="1"/>
        <v>33678.87999999999</v>
      </c>
    </row>
    <row r="133" spans="1:7" ht="12.6">
      <c r="A133" s="14">
        <v>45314</v>
      </c>
      <c r="D133" s="45" t="s">
        <v>145</v>
      </c>
      <c r="E133" s="13"/>
      <c r="F133" s="36">
        <v>20</v>
      </c>
      <c r="G133" s="26">
        <f t="shared" si="1"/>
        <v>33658.87999999999</v>
      </c>
    </row>
    <row r="134" spans="1:7" ht="12.6">
      <c r="A134" s="14">
        <v>45314</v>
      </c>
      <c r="D134" s="45" t="s">
        <v>143</v>
      </c>
      <c r="E134" s="13"/>
      <c r="F134" s="36">
        <v>20</v>
      </c>
      <c r="G134" s="26">
        <f t="shared" si="1"/>
        <v>33638.87999999999</v>
      </c>
    </row>
    <row r="135" spans="1:7" ht="12.6">
      <c r="A135" s="14">
        <v>45314</v>
      </c>
      <c r="D135" s="45" t="s">
        <v>144</v>
      </c>
      <c r="E135" s="13"/>
      <c r="F135" s="36">
        <v>20</v>
      </c>
      <c r="G135" s="26">
        <f t="shared" si="1"/>
        <v>33618.87999999999</v>
      </c>
    </row>
    <row r="136" spans="1:7" ht="12.6">
      <c r="A136" s="14">
        <v>45314</v>
      </c>
      <c r="D136" s="45" t="s">
        <v>108</v>
      </c>
      <c r="E136" s="13"/>
      <c r="F136" s="36">
        <v>20</v>
      </c>
      <c r="G136" s="26">
        <f t="shared" si="1"/>
        <v>33598.87999999999</v>
      </c>
    </row>
    <row r="137" spans="1:7" ht="12.6">
      <c r="A137" s="14">
        <v>45317</v>
      </c>
      <c r="D137" s="15" t="s">
        <v>157</v>
      </c>
      <c r="E137" s="13"/>
      <c r="F137" s="13">
        <v>6537.57</v>
      </c>
      <c r="G137" s="26">
        <f t="shared" si="1"/>
        <v>27061.30999999999</v>
      </c>
    </row>
    <row r="138" spans="1:7" ht="12.6">
      <c r="A138" s="14">
        <v>45317</v>
      </c>
      <c r="D138" s="15" t="s">
        <v>158</v>
      </c>
      <c r="E138" s="13"/>
      <c r="F138" s="13">
        <v>3407.31</v>
      </c>
      <c r="G138" s="26">
        <f t="shared" si="1"/>
        <v>23653.999999999989</v>
      </c>
    </row>
    <row r="139" spans="1:7" ht="12.6">
      <c r="A139" s="14">
        <v>45317</v>
      </c>
      <c r="D139" s="15" t="s">
        <v>161</v>
      </c>
      <c r="E139" s="13"/>
      <c r="F139" s="13">
        <v>8.9</v>
      </c>
      <c r="G139" s="26">
        <f t="shared" si="1"/>
        <v>23645.099999999988</v>
      </c>
    </row>
    <row r="140" spans="1:7" ht="12.6">
      <c r="A140" s="14">
        <v>45317</v>
      </c>
      <c r="D140" s="15" t="s">
        <v>112</v>
      </c>
      <c r="E140" s="13"/>
      <c r="F140" s="13">
        <v>4510.8899999999994</v>
      </c>
      <c r="G140" s="26">
        <f t="shared" si="1"/>
        <v>19134.209999999988</v>
      </c>
    </row>
    <row r="141" spans="1:7" ht="12.6">
      <c r="A141" s="14">
        <v>45317</v>
      </c>
      <c r="D141" s="15" t="s">
        <v>115</v>
      </c>
      <c r="E141" s="13"/>
      <c r="F141" s="13">
        <v>1917.35</v>
      </c>
      <c r="G141" s="26">
        <f t="shared" si="1"/>
        <v>17216.85999999999</v>
      </c>
    </row>
    <row r="142" spans="1:7" ht="12.6">
      <c r="A142" s="14">
        <v>45317</v>
      </c>
      <c r="D142" s="15" t="s">
        <v>159</v>
      </c>
      <c r="E142" s="13"/>
      <c r="F142" s="13">
        <v>2178.64</v>
      </c>
      <c r="G142" s="26">
        <f t="shared" si="1"/>
        <v>15038.21999999999</v>
      </c>
    </row>
    <row r="143" spans="1:7" ht="12.6">
      <c r="A143" s="14">
        <v>45317</v>
      </c>
      <c r="D143" s="15" t="s">
        <v>111</v>
      </c>
      <c r="E143" s="13"/>
      <c r="F143" s="13">
        <v>4204.87</v>
      </c>
      <c r="G143" s="26">
        <f t="shared" ref="G143:G206" si="2">G142+E143-F143</f>
        <v>10833.349999999991</v>
      </c>
    </row>
    <row r="144" spans="1:7" ht="12.6">
      <c r="A144" s="14">
        <v>45317</v>
      </c>
      <c r="D144" s="15" t="s">
        <v>160</v>
      </c>
      <c r="E144" s="13"/>
      <c r="F144" s="13">
        <v>4559.78</v>
      </c>
      <c r="G144" s="26">
        <f t="shared" si="2"/>
        <v>6273.5699999999915</v>
      </c>
    </row>
    <row r="145" spans="1:7" s="19" customFormat="1" ht="12.6">
      <c r="A145" s="18">
        <v>45322</v>
      </c>
      <c r="G145" s="31">
        <f t="shared" si="2"/>
        <v>6273.5699999999915</v>
      </c>
    </row>
    <row r="146" spans="1:7" ht="12.6">
      <c r="A146" s="14">
        <v>45323</v>
      </c>
      <c r="G146" s="26">
        <f t="shared" si="2"/>
        <v>6273.5699999999915</v>
      </c>
    </row>
    <row r="147" spans="1:7" ht="12.6">
      <c r="A147" s="14">
        <v>45348</v>
      </c>
      <c r="D147" s="45" t="s">
        <v>177</v>
      </c>
      <c r="E147" s="13">
        <v>19852.337575710331</v>
      </c>
      <c r="F147" s="13"/>
      <c r="G147" s="26">
        <f t="shared" si="2"/>
        <v>26125.907575710324</v>
      </c>
    </row>
    <row r="148" spans="1:7" ht="12.6">
      <c r="A148" s="14">
        <v>45348</v>
      </c>
      <c r="D148" s="45" t="s">
        <v>173</v>
      </c>
      <c r="E148" s="13">
        <v>4435.5313330770723</v>
      </c>
      <c r="F148" s="13"/>
      <c r="G148" s="26">
        <f t="shared" si="2"/>
        <v>30561.438908787397</v>
      </c>
    </row>
    <row r="149" spans="1:7" ht="12.6">
      <c r="A149" s="14">
        <v>45348</v>
      </c>
      <c r="D149" s="45" t="s">
        <v>174</v>
      </c>
      <c r="E149" s="13">
        <v>2467.5618498526715</v>
      </c>
      <c r="F149" s="13"/>
      <c r="G149" s="26">
        <f t="shared" si="2"/>
        <v>33029.000758640068</v>
      </c>
    </row>
    <row r="150" spans="1:7" ht="12.6">
      <c r="A150" s="14">
        <v>45348</v>
      </c>
      <c r="D150" s="45" t="s">
        <v>175</v>
      </c>
      <c r="E150" s="13">
        <v>11228.679241359925</v>
      </c>
      <c r="F150" s="13"/>
      <c r="G150" s="26">
        <f t="shared" si="2"/>
        <v>44257.679999999993</v>
      </c>
    </row>
    <row r="151" spans="1:7" ht="12.6">
      <c r="A151" s="14">
        <v>45348</v>
      </c>
      <c r="D151" s="45" t="s">
        <v>176</v>
      </c>
      <c r="E151" s="13"/>
      <c r="F151" s="13">
        <v>40</v>
      </c>
      <c r="G151" s="26">
        <f t="shared" si="2"/>
        <v>44217.679999999993</v>
      </c>
    </row>
    <row r="152" spans="1:7" ht="12.6">
      <c r="A152" s="14">
        <v>45350</v>
      </c>
      <c r="D152" s="15" t="s">
        <v>183</v>
      </c>
      <c r="E152" s="13"/>
      <c r="F152" s="13">
        <v>8342.11</v>
      </c>
      <c r="G152" s="26">
        <f t="shared" si="2"/>
        <v>35875.569999999992</v>
      </c>
    </row>
    <row r="153" spans="1:7" ht="12.6">
      <c r="A153" s="14">
        <v>45350</v>
      </c>
      <c r="D153" s="15" t="s">
        <v>182</v>
      </c>
      <c r="E153" s="13"/>
      <c r="F153" s="13">
        <v>6537.57</v>
      </c>
      <c r="G153" s="26">
        <f t="shared" si="2"/>
        <v>29337.999999999993</v>
      </c>
    </row>
    <row r="154" spans="1:7" ht="12.6">
      <c r="A154" s="14">
        <v>45350</v>
      </c>
      <c r="D154" s="11" t="s">
        <v>775</v>
      </c>
      <c r="E154" s="13"/>
      <c r="F154" s="13">
        <v>22389.43</v>
      </c>
      <c r="G154" s="26">
        <f t="shared" si="2"/>
        <v>6948.5699999999924</v>
      </c>
    </row>
    <row r="155" spans="1:7" s="19" customFormat="1" ht="12.6">
      <c r="A155" s="18">
        <v>45351</v>
      </c>
      <c r="G155" s="31">
        <f t="shared" si="2"/>
        <v>6948.5699999999924</v>
      </c>
    </row>
    <row r="156" spans="1:7" ht="12.6">
      <c r="A156" s="14">
        <v>45352</v>
      </c>
      <c r="D156" s="45"/>
      <c r="E156" s="15"/>
      <c r="F156" s="15"/>
      <c r="G156" s="26">
        <f t="shared" si="2"/>
        <v>6948.5699999999924</v>
      </c>
    </row>
    <row r="157" spans="1:7" ht="12.6">
      <c r="A157" s="14">
        <v>45378</v>
      </c>
      <c r="D157" s="45" t="s">
        <v>207</v>
      </c>
      <c r="E157" s="13">
        <v>31597.77</v>
      </c>
      <c r="F157" s="15"/>
      <c r="G157" s="26">
        <f t="shared" si="2"/>
        <v>38546.339999999997</v>
      </c>
    </row>
    <row r="158" spans="1:7" ht="12.6">
      <c r="A158" s="14">
        <v>45378</v>
      </c>
      <c r="D158" s="45" t="s">
        <v>176</v>
      </c>
      <c r="E158" s="13"/>
      <c r="F158" s="13">
        <v>40</v>
      </c>
      <c r="G158" s="26">
        <f t="shared" si="2"/>
        <v>38506.339999999997</v>
      </c>
    </row>
    <row r="159" spans="1:7" ht="12.6">
      <c r="A159" s="14">
        <v>45378</v>
      </c>
      <c r="D159" s="15" t="s">
        <v>208</v>
      </c>
      <c r="E159" s="15"/>
      <c r="F159" s="13">
        <v>6537.57</v>
      </c>
      <c r="G159" s="26">
        <f t="shared" si="2"/>
        <v>31968.769999999997</v>
      </c>
    </row>
    <row r="160" spans="1:7" ht="12.6">
      <c r="A160" s="14">
        <v>45378</v>
      </c>
      <c r="D160" s="15" t="s">
        <v>209</v>
      </c>
      <c r="E160" s="15"/>
      <c r="F160" s="13">
        <v>3410.59</v>
      </c>
      <c r="G160" s="26">
        <f t="shared" si="2"/>
        <v>28558.179999999997</v>
      </c>
    </row>
    <row r="161" spans="1:7" ht="12.6">
      <c r="A161" s="14">
        <v>45378</v>
      </c>
      <c r="D161" s="11" t="s">
        <v>780</v>
      </c>
      <c r="E161" s="15"/>
      <c r="F161" s="13">
        <v>20849.61</v>
      </c>
      <c r="G161" s="26">
        <f t="shared" si="2"/>
        <v>7708.5699999999961</v>
      </c>
    </row>
    <row r="162" spans="1:7" s="19" customFormat="1" ht="12.6">
      <c r="A162" s="18">
        <v>45382</v>
      </c>
      <c r="F162" s="30"/>
      <c r="G162" s="31">
        <f t="shared" si="2"/>
        <v>7708.5699999999961</v>
      </c>
    </row>
    <row r="163" spans="1:7" ht="12.6">
      <c r="A163" s="14">
        <v>45406</v>
      </c>
      <c r="D163" s="11" t="s">
        <v>300</v>
      </c>
      <c r="E163" s="15"/>
      <c r="F163" s="13">
        <v>1000</v>
      </c>
      <c r="G163" s="26">
        <f t="shared" si="2"/>
        <v>6708.5699999999961</v>
      </c>
    </row>
    <row r="164" spans="1:7" ht="12.6">
      <c r="A164" s="14">
        <v>45408</v>
      </c>
      <c r="D164" s="45" t="s">
        <v>304</v>
      </c>
      <c r="E164" s="13">
        <v>10652.89</v>
      </c>
      <c r="F164" s="13"/>
      <c r="G164" s="26">
        <f t="shared" si="2"/>
        <v>17361.459999999995</v>
      </c>
    </row>
    <row r="165" spans="1:7" ht="12.6">
      <c r="A165" s="14">
        <v>45408</v>
      </c>
      <c r="D165" s="45" t="s">
        <v>176</v>
      </c>
      <c r="E165" s="13"/>
      <c r="F165" s="13">
        <v>20</v>
      </c>
      <c r="G165" s="26">
        <f t="shared" si="2"/>
        <v>17341.459999999995</v>
      </c>
    </row>
    <row r="166" spans="1:7" ht="12.6">
      <c r="A166" s="14">
        <v>45411</v>
      </c>
      <c r="D166" s="15" t="s">
        <v>306</v>
      </c>
      <c r="E166" s="13"/>
      <c r="F166" s="13">
        <v>3443</v>
      </c>
      <c r="G166" s="26">
        <f t="shared" si="2"/>
        <v>13898.459999999995</v>
      </c>
    </row>
    <row r="167" spans="1:7" ht="12.6">
      <c r="A167" s="14">
        <v>45411</v>
      </c>
      <c r="D167" s="11" t="s">
        <v>303</v>
      </c>
      <c r="E167" s="13"/>
      <c r="F167" s="13">
        <v>4972.8999999999996</v>
      </c>
      <c r="G167" s="26">
        <f t="shared" si="2"/>
        <v>8925.5599999999959</v>
      </c>
    </row>
    <row r="168" spans="1:7" ht="12.6">
      <c r="A168" s="14">
        <v>45412</v>
      </c>
      <c r="D168" s="45" t="s">
        <v>305</v>
      </c>
      <c r="E168" s="13">
        <v>22670.57</v>
      </c>
      <c r="F168" s="13"/>
      <c r="G168" s="26">
        <f t="shared" si="2"/>
        <v>31596.129999999997</v>
      </c>
    </row>
    <row r="169" spans="1:7" ht="12.6">
      <c r="A169" s="14">
        <v>45412</v>
      </c>
      <c r="D169" s="45" t="s">
        <v>176</v>
      </c>
      <c r="E169" s="15"/>
      <c r="F169" s="13">
        <v>34</v>
      </c>
      <c r="G169" s="26">
        <f t="shared" si="2"/>
        <v>31562.129999999997</v>
      </c>
    </row>
    <row r="170" spans="1:7" ht="12.6">
      <c r="A170" s="14">
        <v>45412</v>
      </c>
      <c r="D170" s="15" t="s">
        <v>307</v>
      </c>
      <c r="E170" s="15"/>
      <c r="F170" s="13">
        <v>6577.89</v>
      </c>
      <c r="G170" s="26">
        <f t="shared" si="2"/>
        <v>24984.239999999998</v>
      </c>
    </row>
    <row r="171" spans="1:7" ht="12.6">
      <c r="A171" s="14">
        <v>45412</v>
      </c>
      <c r="D171" s="11" t="s">
        <v>781</v>
      </c>
      <c r="E171" s="15"/>
      <c r="F171" s="13">
        <v>15532.68</v>
      </c>
      <c r="G171" s="26">
        <f t="shared" si="2"/>
        <v>9451.5599999999977</v>
      </c>
    </row>
    <row r="172" spans="1:7" s="19" customFormat="1" ht="12.6">
      <c r="A172" s="18">
        <v>45412</v>
      </c>
      <c r="F172" s="30"/>
      <c r="G172" s="31">
        <f t="shared" si="2"/>
        <v>9451.5599999999977</v>
      </c>
    </row>
    <row r="173" spans="1:7" ht="12.6">
      <c r="A173" s="14">
        <v>45413</v>
      </c>
      <c r="E173" s="15"/>
      <c r="F173" s="13"/>
      <c r="G173" s="26">
        <f t="shared" si="2"/>
        <v>9451.5599999999977</v>
      </c>
    </row>
    <row r="174" spans="1:7" ht="12.6">
      <c r="A174" s="14">
        <v>45422</v>
      </c>
      <c r="D174" s="11" t="s">
        <v>329</v>
      </c>
      <c r="E174" s="15"/>
      <c r="F174" s="13">
        <v>2300</v>
      </c>
      <c r="G174" s="26">
        <f t="shared" si="2"/>
        <v>7151.5599999999977</v>
      </c>
    </row>
    <row r="175" spans="1:7" ht="12.6">
      <c r="A175" s="14">
        <v>45442</v>
      </c>
      <c r="D175" s="11" t="s">
        <v>387</v>
      </c>
      <c r="E175" s="13">
        <v>34324.82</v>
      </c>
      <c r="F175" s="15"/>
      <c r="G175" s="26">
        <f t="shared" si="2"/>
        <v>41476.379999999997</v>
      </c>
    </row>
    <row r="176" spans="1:7" ht="12.6">
      <c r="A176" s="14">
        <v>45442</v>
      </c>
      <c r="D176" s="45" t="s">
        <v>176</v>
      </c>
      <c r="E176" s="15"/>
      <c r="F176" s="13">
        <v>40</v>
      </c>
      <c r="G176" s="26">
        <f t="shared" si="2"/>
        <v>41436.379999999997</v>
      </c>
    </row>
    <row r="177" spans="1:9" ht="12.6">
      <c r="A177" s="14">
        <v>45442</v>
      </c>
      <c r="D177" s="15" t="s">
        <v>344</v>
      </c>
      <c r="E177" s="15"/>
      <c r="F177" s="13">
        <v>6554.87</v>
      </c>
      <c r="G177" s="26">
        <f t="shared" si="2"/>
        <v>34881.509999999995</v>
      </c>
    </row>
    <row r="178" spans="1:9" ht="12.6">
      <c r="A178" s="14">
        <v>45442</v>
      </c>
      <c r="D178" s="15" t="s">
        <v>392</v>
      </c>
      <c r="E178" s="15"/>
      <c r="F178" s="13">
        <v>3400.63</v>
      </c>
      <c r="G178" s="26">
        <f t="shared" si="2"/>
        <v>31480.879999999994</v>
      </c>
    </row>
    <row r="179" spans="1:9" ht="12.6">
      <c r="A179" s="14">
        <v>45442</v>
      </c>
      <c r="D179" s="11" t="s">
        <v>781</v>
      </c>
      <c r="E179" s="15"/>
      <c r="F179" s="13">
        <v>23424.32</v>
      </c>
      <c r="G179" s="26">
        <f t="shared" si="2"/>
        <v>8056.559999999994</v>
      </c>
    </row>
    <row r="180" spans="1:9" s="19" customFormat="1" ht="12.6">
      <c r="A180" s="18">
        <v>45443</v>
      </c>
      <c r="F180" s="30"/>
      <c r="G180" s="31">
        <f t="shared" si="2"/>
        <v>8056.559999999994</v>
      </c>
    </row>
    <row r="181" spans="1:9" ht="12.6">
      <c r="A181" s="14">
        <v>45444</v>
      </c>
      <c r="E181" s="15"/>
      <c r="F181" s="15"/>
      <c r="G181" s="26">
        <f t="shared" si="2"/>
        <v>8056.559999999994</v>
      </c>
    </row>
    <row r="182" spans="1:9" ht="12.6">
      <c r="A182" s="14">
        <v>45467</v>
      </c>
      <c r="D182" s="45" t="s">
        <v>388</v>
      </c>
      <c r="E182" s="13">
        <v>32514.17</v>
      </c>
      <c r="F182" s="15"/>
      <c r="G182" s="26">
        <f t="shared" si="2"/>
        <v>40570.729999999996</v>
      </c>
    </row>
    <row r="183" spans="1:9" ht="12.6">
      <c r="A183" s="14">
        <v>45467</v>
      </c>
      <c r="D183" s="45" t="s">
        <v>176</v>
      </c>
      <c r="E183" s="15"/>
      <c r="F183" s="13">
        <v>40</v>
      </c>
      <c r="G183" s="26">
        <f t="shared" si="2"/>
        <v>40530.729999999996</v>
      </c>
      <c r="I183" s="29"/>
    </row>
    <row r="184" spans="1:9" ht="12.6">
      <c r="A184" s="14">
        <v>45470</v>
      </c>
      <c r="D184" s="45" t="s">
        <v>389</v>
      </c>
      <c r="E184" s="13">
        <v>1018.87</v>
      </c>
      <c r="F184" s="15"/>
      <c r="G184" s="26">
        <f t="shared" si="2"/>
        <v>41549.599999999999</v>
      </c>
    </row>
    <row r="185" spans="1:9" ht="12.6">
      <c r="A185" s="14">
        <v>45470</v>
      </c>
      <c r="D185" s="45" t="s">
        <v>176</v>
      </c>
      <c r="E185" s="15"/>
      <c r="F185" s="13">
        <v>20</v>
      </c>
      <c r="G185" s="26">
        <f t="shared" si="2"/>
        <v>41529.599999999999</v>
      </c>
    </row>
    <row r="186" spans="1:9" ht="12.6">
      <c r="A186" s="14">
        <v>45471</v>
      </c>
      <c r="D186" s="15" t="s">
        <v>393</v>
      </c>
      <c r="E186" s="15"/>
      <c r="F186" s="13">
        <v>6532.77</v>
      </c>
      <c r="G186" s="26">
        <f t="shared" si="2"/>
        <v>34996.83</v>
      </c>
    </row>
    <row r="187" spans="1:9" ht="12.6">
      <c r="A187" s="14">
        <v>45471</v>
      </c>
      <c r="D187" s="15" t="s">
        <v>394</v>
      </c>
      <c r="E187" s="15"/>
      <c r="F187" s="13">
        <v>3407.81</v>
      </c>
      <c r="G187" s="26">
        <f t="shared" si="2"/>
        <v>31589.02</v>
      </c>
    </row>
    <row r="188" spans="1:9" ht="12.6">
      <c r="A188" s="14">
        <v>45471</v>
      </c>
      <c r="D188" s="11" t="s">
        <v>782</v>
      </c>
      <c r="E188" s="15"/>
      <c r="F188" s="13">
        <v>22587.461599229286</v>
      </c>
      <c r="G188" s="26">
        <f t="shared" si="2"/>
        <v>9001.5584007707148</v>
      </c>
    </row>
    <row r="189" spans="1:9" s="19" customFormat="1" ht="12.6">
      <c r="A189" s="18">
        <v>45473</v>
      </c>
      <c r="F189" s="30"/>
      <c r="G189" s="31">
        <f t="shared" si="2"/>
        <v>9001.5584007707148</v>
      </c>
    </row>
    <row r="190" spans="1:9" ht="12.6">
      <c r="A190" s="14">
        <v>45474</v>
      </c>
      <c r="E190" s="15"/>
      <c r="F190" s="15"/>
      <c r="G190" s="26">
        <f t="shared" si="2"/>
        <v>9001.5584007707148</v>
      </c>
    </row>
    <row r="191" spans="1:9" ht="12.6">
      <c r="A191" s="14">
        <v>45495</v>
      </c>
      <c r="D191" s="45" t="s">
        <v>430</v>
      </c>
      <c r="E191" s="13">
        <v>36466.75</v>
      </c>
      <c r="F191" s="15"/>
      <c r="G191" s="26">
        <f t="shared" si="2"/>
        <v>45468.308400770715</v>
      </c>
    </row>
    <row r="192" spans="1:9" ht="12.6">
      <c r="A192" s="14">
        <v>45495</v>
      </c>
      <c r="D192" s="45" t="s">
        <v>176</v>
      </c>
      <c r="E192" s="15"/>
      <c r="F192" s="13">
        <v>40</v>
      </c>
      <c r="G192" s="26">
        <f t="shared" si="2"/>
        <v>45428.308400770715</v>
      </c>
    </row>
    <row r="193" spans="1:7" ht="12.6">
      <c r="A193" s="14">
        <v>45499</v>
      </c>
      <c r="D193" s="15" t="s">
        <v>441</v>
      </c>
      <c r="E193" s="13"/>
      <c r="F193" s="13">
        <v>6535.92</v>
      </c>
      <c r="G193" s="26">
        <f t="shared" si="2"/>
        <v>38892.388400770717</v>
      </c>
    </row>
    <row r="194" spans="1:7" ht="12.6">
      <c r="A194" s="14">
        <v>45499</v>
      </c>
      <c r="D194" s="15" t="s">
        <v>440</v>
      </c>
      <c r="E194" s="15"/>
      <c r="F194" s="13">
        <v>3409.64</v>
      </c>
      <c r="G194" s="26">
        <f t="shared" si="2"/>
        <v>35482.748400770717</v>
      </c>
    </row>
    <row r="195" spans="1:7" ht="12.6">
      <c r="A195" s="14">
        <v>45499</v>
      </c>
      <c r="D195" s="11" t="s">
        <v>777</v>
      </c>
      <c r="E195" s="13"/>
      <c r="F195" s="13">
        <v>25536.199233716474</v>
      </c>
      <c r="G195" s="26">
        <f t="shared" si="2"/>
        <v>9946.5491670542433</v>
      </c>
    </row>
    <row r="196" spans="1:7" s="19" customFormat="1" ht="12.6">
      <c r="A196" s="18">
        <v>45504</v>
      </c>
      <c r="G196" s="31">
        <f t="shared" si="2"/>
        <v>9946.5491670542433</v>
      </c>
    </row>
    <row r="197" spans="1:7" ht="12.6">
      <c r="A197" s="14">
        <v>45505</v>
      </c>
      <c r="E197" s="15"/>
      <c r="F197" s="15"/>
      <c r="G197" s="26">
        <f t="shared" si="2"/>
        <v>9946.5491670542433</v>
      </c>
    </row>
    <row r="198" spans="1:7" ht="12.6">
      <c r="A198" s="14">
        <v>45526</v>
      </c>
      <c r="D198" s="45" t="s">
        <v>471</v>
      </c>
      <c r="E198" s="13">
        <v>38756.480000000003</v>
      </c>
      <c r="F198" s="13"/>
      <c r="G198" s="26">
        <f t="shared" si="2"/>
        <v>48703.02916705425</v>
      </c>
    </row>
    <row r="199" spans="1:7" ht="12.6">
      <c r="A199" s="14">
        <v>45526</v>
      </c>
      <c r="D199" s="45" t="s">
        <v>176</v>
      </c>
      <c r="E199" s="13"/>
      <c r="F199" s="13">
        <v>40</v>
      </c>
      <c r="G199" s="26">
        <f t="shared" si="2"/>
        <v>48663.02916705425</v>
      </c>
    </row>
    <row r="200" spans="1:7" ht="12.6">
      <c r="A200" s="14">
        <v>45532</v>
      </c>
      <c r="D200" s="15" t="s">
        <v>478</v>
      </c>
      <c r="E200" s="13"/>
      <c r="F200" s="13">
        <v>6536.09</v>
      </c>
      <c r="G200" s="26">
        <f t="shared" si="2"/>
        <v>42126.939167054254</v>
      </c>
    </row>
    <row r="201" spans="1:7" ht="12.6">
      <c r="A201" s="14">
        <v>45532</v>
      </c>
      <c r="D201" s="15" t="s">
        <v>479</v>
      </c>
      <c r="E201" s="13"/>
      <c r="F201" s="13">
        <v>4557.74</v>
      </c>
      <c r="G201" s="26">
        <f t="shared" si="2"/>
        <v>37569.199167054256</v>
      </c>
    </row>
    <row r="202" spans="1:7" ht="12.6">
      <c r="A202" s="14">
        <v>45532</v>
      </c>
      <c r="D202" s="11" t="s">
        <v>777</v>
      </c>
      <c r="E202" s="13"/>
      <c r="F202" s="13">
        <v>26542.646158301162</v>
      </c>
      <c r="G202" s="26">
        <f t="shared" si="2"/>
        <v>11026.553008753093</v>
      </c>
    </row>
    <row r="203" spans="1:7" s="19" customFormat="1" ht="12.6">
      <c r="A203" s="18">
        <v>45535</v>
      </c>
      <c r="G203" s="31">
        <f t="shared" si="2"/>
        <v>11026.553008753093</v>
      </c>
    </row>
    <row r="204" spans="1:7" ht="12.6">
      <c r="A204" s="14">
        <v>45536</v>
      </c>
      <c r="E204" s="13"/>
      <c r="F204" s="13"/>
      <c r="G204" s="26">
        <f t="shared" si="2"/>
        <v>11026.553008753093</v>
      </c>
    </row>
    <row r="205" spans="1:7" ht="12.6">
      <c r="A205" s="14">
        <v>45548</v>
      </c>
      <c r="D205" s="45" t="s">
        <v>503</v>
      </c>
      <c r="E205" s="13">
        <v>40583.935176470586</v>
      </c>
      <c r="F205" s="13"/>
      <c r="G205" s="26">
        <f t="shared" si="2"/>
        <v>51610.488185223679</v>
      </c>
    </row>
    <row r="206" spans="1:7" ht="12.6">
      <c r="A206" s="14">
        <v>45548</v>
      </c>
      <c r="D206" s="45" t="s">
        <v>176</v>
      </c>
      <c r="E206" s="13"/>
      <c r="F206" s="13">
        <v>40</v>
      </c>
      <c r="G206" s="26">
        <f t="shared" si="2"/>
        <v>51570.488185223679</v>
      </c>
    </row>
    <row r="207" spans="1:7" ht="12.6">
      <c r="A207" s="14">
        <v>45562</v>
      </c>
      <c r="D207" s="15" t="s">
        <v>505</v>
      </c>
      <c r="E207" s="13"/>
      <c r="F207" s="13">
        <f>6540.32</f>
        <v>6540.32</v>
      </c>
      <c r="G207" s="26">
        <f t="shared" ref="G207:G231" si="3">G206+E207-F207</f>
        <v>45030.16818522368</v>
      </c>
    </row>
    <row r="208" spans="1:7" ht="12.6">
      <c r="A208" s="14">
        <v>45562</v>
      </c>
      <c r="D208" s="15" t="s">
        <v>506</v>
      </c>
      <c r="E208" s="13"/>
      <c r="F208" s="13">
        <f>5428.63</f>
        <v>5428.63</v>
      </c>
      <c r="G208" s="26">
        <f t="shared" si="3"/>
        <v>39601.538185223682</v>
      </c>
    </row>
    <row r="209" spans="1:7" ht="12.6">
      <c r="A209" s="14">
        <v>45562</v>
      </c>
      <c r="D209" s="11" t="s">
        <v>777</v>
      </c>
      <c r="E209" s="13"/>
      <c r="F209" s="13">
        <v>28574.99</v>
      </c>
      <c r="G209" s="26">
        <f t="shared" si="3"/>
        <v>11026.548185223681</v>
      </c>
    </row>
    <row r="210" spans="1:7" s="19" customFormat="1" ht="12.6">
      <c r="A210" s="18">
        <v>45565</v>
      </c>
      <c r="E210" s="30"/>
      <c r="F210" s="30"/>
      <c r="G210" s="31">
        <f t="shared" si="3"/>
        <v>11026.548185223681</v>
      </c>
    </row>
    <row r="211" spans="1:7" ht="12.6">
      <c r="A211" s="14">
        <v>45566</v>
      </c>
      <c r="E211" s="13"/>
      <c r="F211" s="13"/>
      <c r="G211" s="26">
        <f t="shared" si="3"/>
        <v>11026.548185223681</v>
      </c>
    </row>
    <row r="212" spans="1:7" ht="12.6">
      <c r="A212" s="14">
        <v>45586</v>
      </c>
      <c r="D212" s="45" t="s">
        <v>531</v>
      </c>
      <c r="E212" s="13">
        <v>36951.599999999999</v>
      </c>
      <c r="F212" s="13"/>
      <c r="G212" s="26">
        <f t="shared" si="3"/>
        <v>47978.148185223676</v>
      </c>
    </row>
    <row r="213" spans="1:7" ht="12.6">
      <c r="A213" s="14">
        <v>45586</v>
      </c>
      <c r="D213" s="45" t="s">
        <v>176</v>
      </c>
      <c r="E213" s="13"/>
      <c r="F213" s="13">
        <v>40</v>
      </c>
      <c r="G213" s="26">
        <f t="shared" si="3"/>
        <v>47938.148185223676</v>
      </c>
    </row>
    <row r="214" spans="1:7" ht="12.6">
      <c r="A214" s="14">
        <v>45593</v>
      </c>
      <c r="D214" s="15" t="s">
        <v>536</v>
      </c>
      <c r="E214" s="13"/>
      <c r="F214" s="13">
        <f>6544.46</f>
        <v>6544.46</v>
      </c>
      <c r="G214" s="26">
        <f t="shared" si="3"/>
        <v>41393.688185223677</v>
      </c>
    </row>
    <row r="215" spans="1:7" ht="12.6">
      <c r="A215" s="14">
        <v>45593</v>
      </c>
      <c r="D215" s="15" t="s">
        <v>537</v>
      </c>
      <c r="E215" s="13"/>
      <c r="F215" s="13">
        <v>3414.59</v>
      </c>
      <c r="G215" s="26">
        <f t="shared" si="3"/>
        <v>37979.098185223673</v>
      </c>
    </row>
    <row r="216" spans="1:7" ht="12.6">
      <c r="A216" s="14">
        <v>45593</v>
      </c>
      <c r="D216" s="11" t="s">
        <v>777</v>
      </c>
      <c r="E216" s="13"/>
      <c r="F216" s="13">
        <v>26952.55</v>
      </c>
      <c r="G216" s="26">
        <f t="shared" si="3"/>
        <v>11026.548185223673</v>
      </c>
    </row>
    <row r="217" spans="1:7" ht="12.6">
      <c r="A217" s="14">
        <v>45595</v>
      </c>
      <c r="D217" s="45" t="s">
        <v>543</v>
      </c>
      <c r="E217" s="13">
        <v>5476.8</v>
      </c>
      <c r="F217" s="13"/>
      <c r="G217" s="26">
        <f t="shared" si="3"/>
        <v>16503.348185223673</v>
      </c>
    </row>
    <row r="218" spans="1:7" ht="12.6">
      <c r="A218" s="14">
        <v>45595</v>
      </c>
      <c r="D218" s="45" t="s">
        <v>176</v>
      </c>
      <c r="E218" s="13"/>
      <c r="F218" s="13">
        <v>20</v>
      </c>
      <c r="G218" s="26">
        <f t="shared" si="3"/>
        <v>16483.348185223673</v>
      </c>
    </row>
    <row r="219" spans="1:7" ht="12.6">
      <c r="A219" s="14">
        <v>45595</v>
      </c>
      <c r="D219" s="15" t="s">
        <v>597</v>
      </c>
      <c r="E219" s="13"/>
      <c r="F219" s="13">
        <v>3287.33</v>
      </c>
      <c r="G219" s="26">
        <f t="shared" si="3"/>
        <v>13196.018185223673</v>
      </c>
    </row>
    <row r="220" spans="1:7" ht="12.6">
      <c r="A220" s="14">
        <v>45595</v>
      </c>
      <c r="D220" s="11" t="s">
        <v>547</v>
      </c>
      <c r="E220" s="13"/>
      <c r="F220" s="13">
        <v>2034.4700000000003</v>
      </c>
      <c r="G220" s="26">
        <f t="shared" si="3"/>
        <v>11161.548185223673</v>
      </c>
    </row>
    <row r="221" spans="1:7" s="19" customFormat="1" ht="12.6">
      <c r="A221" s="18">
        <v>45596</v>
      </c>
      <c r="E221" s="30"/>
      <c r="F221" s="30"/>
      <c r="G221" s="31">
        <f t="shared" si="3"/>
        <v>11161.548185223673</v>
      </c>
    </row>
    <row r="222" spans="1:7" ht="12.6">
      <c r="A222" s="14">
        <v>45597</v>
      </c>
      <c r="E222" s="13"/>
      <c r="F222" s="13"/>
      <c r="G222" s="26">
        <f t="shared" si="3"/>
        <v>11161.548185223673</v>
      </c>
    </row>
    <row r="223" spans="1:7" ht="12.6">
      <c r="A223" s="14">
        <v>45603</v>
      </c>
      <c r="D223" s="11" t="s">
        <v>562</v>
      </c>
      <c r="E223" s="13"/>
      <c r="F223" s="13">
        <v>2225</v>
      </c>
      <c r="G223" s="26">
        <f t="shared" si="3"/>
        <v>8936.5481852236735</v>
      </c>
    </row>
    <row r="224" spans="1:7" ht="12.6">
      <c r="A224" s="14">
        <v>45603</v>
      </c>
      <c r="D224" s="11" t="s">
        <v>563</v>
      </c>
      <c r="E224" s="13"/>
      <c r="F224" s="13">
        <v>30</v>
      </c>
      <c r="G224" s="26">
        <f t="shared" si="3"/>
        <v>8906.5481852236735</v>
      </c>
    </row>
    <row r="225" spans="1:7" ht="12.6">
      <c r="A225" s="14">
        <v>45615</v>
      </c>
      <c r="D225" s="45" t="s">
        <v>599</v>
      </c>
      <c r="E225" s="13">
        <v>37223.072589641437</v>
      </c>
      <c r="F225" s="13"/>
      <c r="G225" s="26">
        <f t="shared" si="3"/>
        <v>46129.620774865107</v>
      </c>
    </row>
    <row r="226" spans="1:7" ht="12.6">
      <c r="A226" s="14">
        <v>45615</v>
      </c>
      <c r="D226" s="45" t="s">
        <v>176</v>
      </c>
      <c r="E226" s="13"/>
      <c r="F226" s="13">
        <v>40</v>
      </c>
      <c r="G226" s="26">
        <f t="shared" si="3"/>
        <v>46089.620774865107</v>
      </c>
    </row>
    <row r="227" spans="1:7" ht="12.6">
      <c r="A227" s="14">
        <v>45624</v>
      </c>
      <c r="D227" s="15" t="s">
        <v>641</v>
      </c>
      <c r="E227" s="13"/>
      <c r="F227" s="13">
        <v>6664.55</v>
      </c>
      <c r="G227" s="26">
        <f t="shared" si="3"/>
        <v>39425.070774865104</v>
      </c>
    </row>
    <row r="228" spans="1:7" ht="12.6">
      <c r="A228" s="14">
        <v>45624</v>
      </c>
      <c r="D228" s="15" t="s">
        <v>642</v>
      </c>
      <c r="E228" s="13"/>
      <c r="F228" s="13">
        <v>3417.34</v>
      </c>
      <c r="G228" s="26">
        <f t="shared" si="3"/>
        <v>36007.730774865107</v>
      </c>
    </row>
    <row r="229" spans="1:7" ht="12.6">
      <c r="A229" s="14">
        <v>45624</v>
      </c>
      <c r="D229" s="11" t="s">
        <v>777</v>
      </c>
      <c r="E229" s="13"/>
      <c r="F229" s="13">
        <v>26156.18</v>
      </c>
      <c r="G229" s="26">
        <f t="shared" si="3"/>
        <v>9851.5507748651071</v>
      </c>
    </row>
    <row r="230" spans="1:7" s="19" customFormat="1" ht="12.6">
      <c r="A230" s="18">
        <v>45626</v>
      </c>
      <c r="E230" s="30"/>
      <c r="F230" s="30"/>
      <c r="G230" s="31">
        <f t="shared" si="3"/>
        <v>9851.5507748651071</v>
      </c>
    </row>
    <row r="231" spans="1:7" ht="12.6">
      <c r="A231" s="14">
        <v>45627</v>
      </c>
      <c r="E231" s="13"/>
      <c r="F231" s="13"/>
      <c r="G231" s="26">
        <f t="shared" si="3"/>
        <v>9851.5507748651071</v>
      </c>
    </row>
    <row r="232" spans="1:7" ht="12.6">
      <c r="A232" s="14">
        <v>45630</v>
      </c>
      <c r="D232" s="15" t="s">
        <v>598</v>
      </c>
      <c r="E232" s="13"/>
      <c r="F232" s="13">
        <v>4018.67</v>
      </c>
      <c r="G232" s="26">
        <f>G231+E232-F232</f>
        <v>5832.880774865107</v>
      </c>
    </row>
    <row r="233" spans="1:7" ht="12.6">
      <c r="A233" s="14">
        <v>45631</v>
      </c>
      <c r="D233" s="45" t="s">
        <v>600</v>
      </c>
      <c r="E233" s="13">
        <v>7069.05</v>
      </c>
      <c r="F233" s="13"/>
      <c r="G233" s="26">
        <f>G232+E233-F233</f>
        <v>12901.930774865108</v>
      </c>
    </row>
    <row r="234" spans="1:7" ht="12.6">
      <c r="A234" s="14">
        <v>45631</v>
      </c>
      <c r="D234" s="45" t="s">
        <v>176</v>
      </c>
      <c r="E234" s="13"/>
      <c r="F234" s="13">
        <v>20</v>
      </c>
      <c r="G234" s="26">
        <f>G233+E234-F234</f>
        <v>12881.930774865108</v>
      </c>
    </row>
    <row r="235" spans="1:7" ht="12.6">
      <c r="A235" s="14">
        <v>45631</v>
      </c>
      <c r="D235" s="11" t="s">
        <v>547</v>
      </c>
      <c r="E235" s="13"/>
      <c r="F235" s="13">
        <v>2895.38</v>
      </c>
      <c r="G235" s="26">
        <f>G234+E235-F235</f>
        <v>9986.5507748651071</v>
      </c>
    </row>
    <row r="236" spans="1:7" ht="12.6">
      <c r="A236" s="14">
        <v>45645</v>
      </c>
      <c r="D236" s="45" t="s">
        <v>606</v>
      </c>
      <c r="E236" s="13">
        <v>63252.88</v>
      </c>
      <c r="F236" s="13"/>
      <c r="G236" s="26">
        <f t="shared" ref="G236:G298" si="4">G235+E236-F236</f>
        <v>73239.430774865104</v>
      </c>
    </row>
    <row r="237" spans="1:7" ht="12.6">
      <c r="A237" s="14">
        <v>45645</v>
      </c>
      <c r="D237" s="45" t="s">
        <v>176</v>
      </c>
      <c r="E237" s="13"/>
      <c r="F237" s="13">
        <v>40</v>
      </c>
      <c r="G237" s="26">
        <f t="shared" si="4"/>
        <v>73199.430774865104</v>
      </c>
    </row>
    <row r="238" spans="1:7" ht="12.6">
      <c r="A238" s="14">
        <v>45645</v>
      </c>
      <c r="D238" s="11" t="s">
        <v>608</v>
      </c>
      <c r="E238" s="13"/>
      <c r="F238" s="13">
        <v>8650</v>
      </c>
      <c r="G238" s="26">
        <f t="shared" si="4"/>
        <v>64549.430774865104</v>
      </c>
    </row>
    <row r="239" spans="1:7" ht="12.6">
      <c r="A239" s="14">
        <v>45645</v>
      </c>
      <c r="D239" s="11" t="s">
        <v>609</v>
      </c>
      <c r="E239" s="13"/>
      <c r="F239" s="13">
        <v>5144.18</v>
      </c>
      <c r="G239" s="26">
        <f t="shared" si="4"/>
        <v>59405.250774865104</v>
      </c>
    </row>
    <row r="240" spans="1:7" ht="12.6">
      <c r="A240" s="14">
        <v>45645</v>
      </c>
      <c r="D240" s="11" t="s">
        <v>610</v>
      </c>
      <c r="E240" s="13"/>
      <c r="F240" s="13">
        <v>750</v>
      </c>
      <c r="G240" s="26">
        <f t="shared" si="4"/>
        <v>58655.250774865104</v>
      </c>
    </row>
    <row r="241" spans="1:7" ht="12.6">
      <c r="A241" s="14">
        <v>45645</v>
      </c>
      <c r="D241" s="11" t="s">
        <v>778</v>
      </c>
      <c r="E241" s="13"/>
      <c r="F241" s="13">
        <v>33623.14</v>
      </c>
      <c r="G241" s="26">
        <f t="shared" si="4"/>
        <v>25032.110774865105</v>
      </c>
    </row>
    <row r="242" spans="1:7" ht="12.6">
      <c r="A242" s="14">
        <v>45653</v>
      </c>
      <c r="D242" s="15" t="s">
        <v>643</v>
      </c>
      <c r="E242" s="13"/>
      <c r="F242" s="13">
        <v>6491.74</v>
      </c>
      <c r="G242" s="26">
        <f t="shared" si="4"/>
        <v>18540.370774865107</v>
      </c>
    </row>
    <row r="243" spans="1:7" ht="12.6">
      <c r="A243" s="14">
        <v>45653</v>
      </c>
      <c r="D243" s="15" t="s">
        <v>644</v>
      </c>
      <c r="E243" s="13"/>
      <c r="F243" s="13">
        <v>3419.7</v>
      </c>
      <c r="G243" s="26">
        <f t="shared" si="4"/>
        <v>15120.670774865106</v>
      </c>
    </row>
    <row r="244" spans="1:7" ht="12.6">
      <c r="A244" s="14">
        <v>45653</v>
      </c>
      <c r="D244" s="15" t="s">
        <v>655</v>
      </c>
      <c r="E244" s="13"/>
      <c r="F244" s="13">
        <v>2796.86</v>
      </c>
      <c r="G244" s="26">
        <f t="shared" si="4"/>
        <v>12323.810774865105</v>
      </c>
    </row>
    <row r="245" spans="1:7" ht="12.6">
      <c r="A245" s="14">
        <v>45656</v>
      </c>
      <c r="D245" s="45" t="s">
        <v>660</v>
      </c>
      <c r="E245" s="13">
        <v>5946.77</v>
      </c>
      <c r="F245" s="13"/>
      <c r="G245" s="26">
        <f t="shared" si="4"/>
        <v>18270.580774865106</v>
      </c>
    </row>
    <row r="246" spans="1:7" ht="12.6">
      <c r="A246" s="14">
        <v>45656</v>
      </c>
      <c r="D246" s="45" t="s">
        <v>176</v>
      </c>
      <c r="E246" s="13"/>
      <c r="F246" s="13">
        <v>20</v>
      </c>
      <c r="G246" s="26">
        <f t="shared" si="4"/>
        <v>18250.580774865106</v>
      </c>
    </row>
    <row r="247" spans="1:7" s="19" customFormat="1" ht="12.6">
      <c r="A247" s="18">
        <v>45657</v>
      </c>
      <c r="E247" s="30"/>
      <c r="F247" s="30"/>
      <c r="G247" s="31">
        <f t="shared" si="4"/>
        <v>18250.580774865106</v>
      </c>
    </row>
    <row r="248" spans="1:7" ht="12.6">
      <c r="A248" s="14">
        <v>45658</v>
      </c>
      <c r="E248" s="13"/>
      <c r="F248" s="13"/>
      <c r="G248" s="26">
        <f t="shared" si="4"/>
        <v>18250.580774865106</v>
      </c>
    </row>
    <row r="249" spans="1:7" ht="12.6">
      <c r="A249" s="14">
        <v>45670</v>
      </c>
      <c r="D249" s="11" t="s">
        <v>675</v>
      </c>
      <c r="E249" s="13"/>
      <c r="F249" s="13">
        <v>3434.3434343434342</v>
      </c>
      <c r="G249" s="26">
        <f t="shared" si="4"/>
        <v>14816.237340521671</v>
      </c>
    </row>
    <row r="250" spans="1:7" ht="12.6">
      <c r="A250" s="14">
        <v>45672</v>
      </c>
      <c r="D250" s="11" t="s">
        <v>683</v>
      </c>
      <c r="E250" s="13"/>
      <c r="F250" s="13">
        <v>394.74</v>
      </c>
      <c r="G250" s="26">
        <f t="shared" si="4"/>
        <v>14421.497340521672</v>
      </c>
    </row>
    <row r="251" spans="1:7" ht="12.6">
      <c r="A251" s="14">
        <v>45315</v>
      </c>
      <c r="D251" s="45" t="s">
        <v>723</v>
      </c>
      <c r="E251" s="13">
        <v>37502.639999999999</v>
      </c>
      <c r="F251" s="13"/>
      <c r="G251" s="26">
        <f t="shared" si="4"/>
        <v>51924.137340521673</v>
      </c>
    </row>
    <row r="252" spans="1:7" ht="12.6">
      <c r="A252" s="14">
        <v>45315</v>
      </c>
      <c r="D252" s="45" t="s">
        <v>176</v>
      </c>
      <c r="E252" s="13"/>
      <c r="F252" s="13">
        <v>40</v>
      </c>
      <c r="G252" s="26">
        <f t="shared" si="4"/>
        <v>51884.137340521673</v>
      </c>
    </row>
    <row r="253" spans="1:7" ht="12.6">
      <c r="A253" s="14">
        <v>45319</v>
      </c>
      <c r="D253" s="15" t="s">
        <v>688</v>
      </c>
      <c r="E253" s="13"/>
      <c r="F253" s="13">
        <f>6550.96</f>
        <v>6550.96</v>
      </c>
      <c r="G253" s="26">
        <f t="shared" si="4"/>
        <v>45333.177340521674</v>
      </c>
    </row>
    <row r="254" spans="1:7" ht="12.6">
      <c r="A254" s="14">
        <v>45319</v>
      </c>
      <c r="D254" s="15" t="s">
        <v>689</v>
      </c>
      <c r="E254" s="13"/>
      <c r="F254" s="13">
        <f>3418.61</f>
        <v>3418.61</v>
      </c>
      <c r="G254" s="26">
        <f t="shared" si="4"/>
        <v>41914.567340521673</v>
      </c>
    </row>
    <row r="255" spans="1:7" ht="12.6">
      <c r="A255" s="14">
        <v>45319</v>
      </c>
      <c r="D255" s="11" t="s">
        <v>777</v>
      </c>
      <c r="E255" s="13"/>
      <c r="F255" s="13">
        <v>26548.07</v>
      </c>
      <c r="G255" s="26">
        <f t="shared" si="4"/>
        <v>15366.497340521673</v>
      </c>
    </row>
    <row r="256" spans="1:7" s="19" customFormat="1" ht="12.6">
      <c r="A256" s="18">
        <v>45688</v>
      </c>
      <c r="E256" s="30"/>
      <c r="F256" s="30"/>
      <c r="G256" s="31">
        <f t="shared" si="4"/>
        <v>15366.497340521673</v>
      </c>
    </row>
    <row r="257" spans="1:7" ht="12.6">
      <c r="A257" s="14">
        <v>45689</v>
      </c>
      <c r="E257" s="13"/>
      <c r="F257" s="13"/>
      <c r="G257" s="26">
        <f t="shared" si="4"/>
        <v>15366.497340521673</v>
      </c>
    </row>
    <row r="258" spans="1:7" ht="12.6">
      <c r="A258" s="14">
        <v>45699</v>
      </c>
      <c r="D258" s="11" t="s">
        <v>714</v>
      </c>
      <c r="E258" s="13"/>
      <c r="F258" s="13">
        <v>569.61</v>
      </c>
      <c r="G258" s="26">
        <f t="shared" si="4"/>
        <v>14796.887340521673</v>
      </c>
    </row>
    <row r="259" spans="1:7" ht="12.6">
      <c r="A259" s="14">
        <v>45709</v>
      </c>
      <c r="D259" s="45" t="s">
        <v>722</v>
      </c>
      <c r="E259" s="13">
        <v>37823.360000000001</v>
      </c>
      <c r="F259" s="13"/>
      <c r="G259" s="26">
        <f t="shared" si="4"/>
        <v>52620.247340521673</v>
      </c>
    </row>
    <row r="260" spans="1:7" ht="12.6">
      <c r="A260" s="14">
        <v>45709</v>
      </c>
      <c r="D260" s="45" t="s">
        <v>176</v>
      </c>
      <c r="E260" s="13"/>
      <c r="F260" s="13">
        <v>40</v>
      </c>
      <c r="G260" s="26">
        <f t="shared" si="4"/>
        <v>52580.247340521673</v>
      </c>
    </row>
    <row r="261" spans="1:7" ht="12.6">
      <c r="A261" s="14">
        <v>45716</v>
      </c>
      <c r="D261" s="15" t="s">
        <v>729</v>
      </c>
      <c r="E261" s="13"/>
      <c r="F261" s="13">
        <v>6794.9</v>
      </c>
      <c r="G261" s="26">
        <f t="shared" si="4"/>
        <v>45785.347340521672</v>
      </c>
    </row>
    <row r="262" spans="1:7" ht="12.6">
      <c r="A262" s="14">
        <v>45716</v>
      </c>
      <c r="D262" s="15" t="s">
        <v>730</v>
      </c>
      <c r="E262" s="15"/>
      <c r="F262" s="13">
        <v>3420.66</v>
      </c>
      <c r="G262" s="26">
        <f t="shared" si="4"/>
        <v>42364.687340521676</v>
      </c>
    </row>
    <row r="263" spans="1:7" ht="12.6">
      <c r="A263" s="14">
        <v>45716</v>
      </c>
      <c r="D263" s="11" t="s">
        <v>779</v>
      </c>
      <c r="E263" s="15"/>
      <c r="F263" s="13">
        <v>27122.799999999999</v>
      </c>
      <c r="G263" s="26">
        <f t="shared" si="4"/>
        <v>15241.887340521676</v>
      </c>
    </row>
    <row r="264" spans="1:7" s="19" customFormat="1" ht="12.6">
      <c r="A264" s="18">
        <v>45716</v>
      </c>
      <c r="F264" s="30"/>
      <c r="G264" s="31">
        <f t="shared" si="4"/>
        <v>15241.887340521676</v>
      </c>
    </row>
    <row r="265" spans="1:7" ht="12.6">
      <c r="A265" s="14">
        <v>45717</v>
      </c>
      <c r="E265" s="15"/>
      <c r="F265" s="15"/>
      <c r="G265" s="26">
        <f t="shared" si="4"/>
        <v>15241.887340521676</v>
      </c>
    </row>
    <row r="266" spans="1:7" ht="12.6">
      <c r="A266" s="14">
        <v>45733</v>
      </c>
      <c r="D266" s="11" t="s">
        <v>763</v>
      </c>
      <c r="E266" s="13"/>
      <c r="F266" s="13">
        <v>1000</v>
      </c>
      <c r="G266" s="26">
        <f t="shared" si="4"/>
        <v>14241.887340521676</v>
      </c>
    </row>
    <row r="267" spans="1:7" ht="12.6">
      <c r="A267" s="14">
        <v>45737</v>
      </c>
      <c r="D267" s="45" t="s">
        <v>765</v>
      </c>
      <c r="E267" s="13">
        <v>46062.6</v>
      </c>
      <c r="F267" s="13"/>
      <c r="G267" s="26">
        <f t="shared" si="4"/>
        <v>60304.487340521679</v>
      </c>
    </row>
    <row r="268" spans="1:7" ht="12.6">
      <c r="A268" s="14">
        <v>45737</v>
      </c>
      <c r="D268" s="45" t="s">
        <v>176</v>
      </c>
      <c r="E268" s="13"/>
      <c r="F268" s="13">
        <v>40</v>
      </c>
      <c r="G268" s="26">
        <f t="shared" si="4"/>
        <v>60264.487340521679</v>
      </c>
    </row>
    <row r="269" spans="1:7" ht="12.6">
      <c r="A269" s="14">
        <v>45741</v>
      </c>
      <c r="D269" s="45" t="s">
        <v>766</v>
      </c>
      <c r="E269" s="13">
        <v>17793.96</v>
      </c>
      <c r="F269" s="13"/>
      <c r="G269" s="26">
        <f t="shared" si="4"/>
        <v>78058.44734052167</v>
      </c>
    </row>
    <row r="270" spans="1:7" ht="12.6">
      <c r="A270" s="14">
        <v>45741</v>
      </c>
      <c r="D270" s="45" t="s">
        <v>176</v>
      </c>
      <c r="E270" s="13"/>
      <c r="F270" s="13">
        <v>26.69</v>
      </c>
      <c r="G270" s="26">
        <f t="shared" si="4"/>
        <v>78031.757340521668</v>
      </c>
    </row>
    <row r="271" spans="1:7" ht="12.6">
      <c r="A271" s="14">
        <v>45744</v>
      </c>
      <c r="D271" s="15" t="s">
        <v>772</v>
      </c>
      <c r="E271" s="13"/>
      <c r="F271" s="13">
        <v>6704.79</v>
      </c>
      <c r="G271" s="26">
        <f t="shared" si="4"/>
        <v>71326.967340521674</v>
      </c>
    </row>
    <row r="272" spans="1:7" ht="12.6">
      <c r="A272" s="14">
        <v>45744</v>
      </c>
      <c r="D272" s="15" t="s">
        <v>774</v>
      </c>
      <c r="E272" s="15"/>
      <c r="F272" s="13">
        <v>5067.32</v>
      </c>
      <c r="G272" s="26">
        <f t="shared" si="4"/>
        <v>66259.647340521682</v>
      </c>
    </row>
    <row r="273" spans="1:7" ht="12.6">
      <c r="A273" s="14">
        <v>45744</v>
      </c>
      <c r="D273" s="15" t="s">
        <v>773</v>
      </c>
      <c r="E273" s="15"/>
      <c r="F273" s="13">
        <v>3422.34</v>
      </c>
      <c r="G273" s="26">
        <f t="shared" si="4"/>
        <v>62837.307340521686</v>
      </c>
    </row>
    <row r="274" spans="1:7" ht="12.6">
      <c r="A274" s="14">
        <v>45744</v>
      </c>
      <c r="D274" s="11" t="s">
        <v>779</v>
      </c>
      <c r="E274" s="15"/>
      <c r="F274" s="13">
        <v>47380.39</v>
      </c>
      <c r="G274" s="26">
        <f t="shared" si="4"/>
        <v>15456.917340521686</v>
      </c>
    </row>
    <row r="275" spans="1:7" ht="12.6">
      <c r="A275" s="14">
        <v>45747</v>
      </c>
      <c r="D275" s="11" t="s">
        <v>791</v>
      </c>
      <c r="E275" s="15">
        <v>0.67</v>
      </c>
      <c r="F275" s="15"/>
      <c r="G275" s="26">
        <f t="shared" si="4"/>
        <v>15457.587340521686</v>
      </c>
    </row>
    <row r="276" spans="1:7" s="19" customFormat="1" ht="12.6">
      <c r="A276" s="18">
        <v>45747</v>
      </c>
      <c r="G276" s="31">
        <f t="shared" si="4"/>
        <v>15457.587340521686</v>
      </c>
    </row>
    <row r="277" spans="1:7" ht="12.6">
      <c r="A277" s="14">
        <v>45748</v>
      </c>
      <c r="E277" s="15"/>
      <c r="F277" s="15"/>
      <c r="G277" s="26">
        <f t="shared" si="4"/>
        <v>15457.587340521686</v>
      </c>
    </row>
    <row r="278" spans="1:7" ht="12.6">
      <c r="A278" s="14">
        <v>45768</v>
      </c>
      <c r="D278" s="45" t="s">
        <v>814</v>
      </c>
      <c r="E278" s="13">
        <v>17537.54</v>
      </c>
      <c r="F278" s="13"/>
      <c r="G278" s="26">
        <f t="shared" si="4"/>
        <v>32995.127340521685</v>
      </c>
    </row>
    <row r="279" spans="1:7" ht="12.6">
      <c r="A279" s="14">
        <v>45768</v>
      </c>
      <c r="D279" s="45" t="s">
        <v>176</v>
      </c>
      <c r="E279" s="13"/>
      <c r="F279" s="13">
        <v>26.3</v>
      </c>
      <c r="G279" s="26">
        <f t="shared" si="4"/>
        <v>32968.827340521682</v>
      </c>
    </row>
    <row r="280" spans="1:7" ht="12.6">
      <c r="A280" s="14">
        <v>45775</v>
      </c>
      <c r="D280" s="11" t="s">
        <v>815</v>
      </c>
      <c r="E280" s="13"/>
      <c r="F280" s="13">
        <v>17376.240000000002</v>
      </c>
      <c r="G280" s="26">
        <f t="shared" si="4"/>
        <v>15592.587340521681</v>
      </c>
    </row>
    <row r="281" spans="1:7" ht="12.6">
      <c r="A281" s="14">
        <v>45775</v>
      </c>
      <c r="D281" s="15" t="s">
        <v>817</v>
      </c>
      <c r="E281" s="13"/>
      <c r="F281" s="13">
        <v>5068.8599999999997</v>
      </c>
      <c r="G281" s="26">
        <f t="shared" si="4"/>
        <v>10523.72734052168</v>
      </c>
    </row>
    <row r="282" spans="1:7" ht="12.6">
      <c r="A282" s="14">
        <v>45775</v>
      </c>
      <c r="D282" s="15" t="s">
        <v>818</v>
      </c>
      <c r="E282" s="13"/>
      <c r="F282" s="13">
        <v>3423.24</v>
      </c>
      <c r="G282" s="26">
        <f t="shared" si="4"/>
        <v>7100.4873405216804</v>
      </c>
    </row>
    <row r="283" spans="1:7" ht="12.6">
      <c r="A283" s="14">
        <v>45775</v>
      </c>
      <c r="D283" s="11" t="s">
        <v>821</v>
      </c>
      <c r="E283" s="13"/>
      <c r="F283" s="13">
        <v>5100</v>
      </c>
      <c r="G283" s="26">
        <f t="shared" si="4"/>
        <v>2000.4873405216804</v>
      </c>
    </row>
    <row r="284" spans="1:7" ht="12.6">
      <c r="A284" s="14">
        <v>45777</v>
      </c>
      <c r="D284" s="11" t="s">
        <v>822</v>
      </c>
      <c r="E284" s="13">
        <v>13951.4</v>
      </c>
      <c r="F284" s="15"/>
      <c r="G284" s="26">
        <f t="shared" si="4"/>
        <v>15951.88734052168</v>
      </c>
    </row>
    <row r="285" spans="1:7" ht="12.6">
      <c r="A285" s="14">
        <v>45777</v>
      </c>
      <c r="D285" s="45" t="s">
        <v>176</v>
      </c>
      <c r="E285" s="13"/>
      <c r="F285" s="13">
        <v>20.93</v>
      </c>
      <c r="G285" s="26">
        <f t="shared" si="4"/>
        <v>15930.95734052168</v>
      </c>
    </row>
    <row r="286" spans="1:7" ht="12.6">
      <c r="A286" s="14">
        <v>45777</v>
      </c>
      <c r="D286" s="15" t="s">
        <v>864</v>
      </c>
      <c r="E286" s="13"/>
      <c r="F286" s="13">
        <v>13951.4</v>
      </c>
      <c r="G286" s="26">
        <f t="shared" si="4"/>
        <v>1979.5573405216801</v>
      </c>
    </row>
    <row r="287" spans="1:7" ht="12.6">
      <c r="A287" s="14">
        <v>45777</v>
      </c>
      <c r="D287" s="45" t="s">
        <v>823</v>
      </c>
      <c r="E287" s="13">
        <v>60377.66</v>
      </c>
      <c r="F287" s="15"/>
      <c r="G287" s="26">
        <f t="shared" si="4"/>
        <v>62357.217340521682</v>
      </c>
    </row>
    <row r="288" spans="1:7" ht="12.6">
      <c r="A288" s="14">
        <v>45777</v>
      </c>
      <c r="D288" s="45" t="s">
        <v>176</v>
      </c>
      <c r="E288" s="13"/>
      <c r="F288" s="13">
        <v>40</v>
      </c>
      <c r="G288" s="26">
        <f t="shared" si="4"/>
        <v>62317.217340521682</v>
      </c>
    </row>
    <row r="289" spans="1:7" ht="12.6">
      <c r="A289" s="14">
        <v>45777</v>
      </c>
      <c r="D289" s="11" t="s">
        <v>791</v>
      </c>
      <c r="E289" s="13">
        <v>7.0000000000000007E-2</v>
      </c>
      <c r="F289" s="15"/>
      <c r="G289" s="26">
        <f t="shared" si="4"/>
        <v>62317.287340521681</v>
      </c>
    </row>
    <row r="290" spans="1:7" s="19" customFormat="1" ht="12.6">
      <c r="A290" s="18">
        <v>45777</v>
      </c>
      <c r="E290" s="30"/>
      <c r="G290" s="31">
        <f t="shared" si="4"/>
        <v>62317.287340521681</v>
      </c>
    </row>
    <row r="291" spans="1:7" ht="12.6">
      <c r="A291" s="14">
        <v>45778</v>
      </c>
      <c r="E291" s="15"/>
      <c r="F291" s="15"/>
      <c r="G291" s="26">
        <f t="shared" si="4"/>
        <v>62317.287340521681</v>
      </c>
    </row>
    <row r="292" spans="1:7" ht="12.6">
      <c r="A292" s="14">
        <v>45778</v>
      </c>
      <c r="D292" s="11" t="s">
        <v>825</v>
      </c>
      <c r="E292" s="13"/>
      <c r="F292" s="13">
        <v>44879.67</v>
      </c>
      <c r="G292" s="26">
        <f t="shared" si="4"/>
        <v>17437.617340521683</v>
      </c>
    </row>
    <row r="293" spans="1:7" ht="12.6">
      <c r="A293" s="14">
        <v>45782</v>
      </c>
      <c r="D293" s="11" t="s">
        <v>827</v>
      </c>
      <c r="E293" s="13"/>
      <c r="F293" s="13">
        <v>13951.4</v>
      </c>
      <c r="G293" s="26">
        <f t="shared" si="4"/>
        <v>3486.2173405216836</v>
      </c>
    </row>
    <row r="294" spans="1:7" ht="12.6">
      <c r="A294" s="14">
        <v>45782</v>
      </c>
      <c r="D294" s="11" t="s">
        <v>828</v>
      </c>
      <c r="E294" s="13"/>
      <c r="F294" s="13">
        <v>30</v>
      </c>
      <c r="G294" s="26">
        <f t="shared" si="4"/>
        <v>3456.2173405216836</v>
      </c>
    </row>
    <row r="295" spans="1:7" ht="12.6">
      <c r="A295" s="14">
        <v>45799</v>
      </c>
      <c r="D295" s="45" t="s">
        <v>860</v>
      </c>
      <c r="E295" s="13">
        <v>44791.41</v>
      </c>
      <c r="F295" s="13"/>
      <c r="G295" s="26">
        <f t="shared" si="4"/>
        <v>48247.627340521685</v>
      </c>
    </row>
    <row r="296" spans="1:7" ht="12.6">
      <c r="A296" s="14">
        <v>45799</v>
      </c>
      <c r="D296" s="45" t="s">
        <v>176</v>
      </c>
      <c r="E296" s="13"/>
      <c r="F296" s="13">
        <v>40</v>
      </c>
      <c r="G296" s="26">
        <f t="shared" si="4"/>
        <v>48207.627340521685</v>
      </c>
    </row>
    <row r="297" spans="1:7" ht="12.6">
      <c r="A297" s="14">
        <v>45800</v>
      </c>
      <c r="D297" s="45" t="s">
        <v>861</v>
      </c>
      <c r="E297" s="13">
        <v>17572.23</v>
      </c>
      <c r="F297" s="13"/>
      <c r="G297" s="26">
        <f t="shared" si="4"/>
        <v>65779.857340521688</v>
      </c>
    </row>
    <row r="298" spans="1:7" ht="12.6">
      <c r="A298" s="14">
        <v>45800</v>
      </c>
      <c r="D298" s="45" t="s">
        <v>176</v>
      </c>
      <c r="E298" s="13"/>
      <c r="F298" s="13">
        <v>26.35</v>
      </c>
      <c r="G298" s="26">
        <f t="shared" si="4"/>
        <v>65753.507340521683</v>
      </c>
    </row>
    <row r="299" spans="1:7" ht="12.6">
      <c r="A299" s="14">
        <v>45805</v>
      </c>
      <c r="D299" s="15" t="s">
        <v>862</v>
      </c>
      <c r="E299" s="13"/>
      <c r="F299" s="13">
        <v>6649.61</v>
      </c>
      <c r="G299" s="26">
        <f>G298+E299-F299</f>
        <v>59103.897340521682</v>
      </c>
    </row>
    <row r="300" spans="1:7" ht="12.6">
      <c r="A300" s="14">
        <v>45805</v>
      </c>
      <c r="D300" s="15" t="s">
        <v>863</v>
      </c>
      <c r="E300" s="13"/>
      <c r="F300" s="13">
        <v>5737.02</v>
      </c>
      <c r="G300" s="26">
        <f t="shared" ref="G300:G363" si="5">G299+E300-F300</f>
        <v>53366.877340521678</v>
      </c>
    </row>
    <row r="301" spans="1:7" ht="12.6">
      <c r="A301" s="14">
        <v>45805</v>
      </c>
      <c r="D301" s="15" t="s">
        <v>865</v>
      </c>
      <c r="E301" s="13"/>
      <c r="F301" s="13">
        <v>3408.72</v>
      </c>
      <c r="G301" s="26">
        <f t="shared" si="5"/>
        <v>49958.157340521677</v>
      </c>
    </row>
    <row r="302" spans="1:7" ht="12.6">
      <c r="A302" s="14">
        <v>45805</v>
      </c>
      <c r="D302" s="11" t="s">
        <v>866</v>
      </c>
      <c r="E302" s="13"/>
      <c r="F302" s="13">
        <v>45286.95</v>
      </c>
      <c r="G302" s="26">
        <f t="shared" si="5"/>
        <v>4671.2073405216797</v>
      </c>
    </row>
    <row r="303" spans="1:7" ht="12.6">
      <c r="A303" s="14">
        <v>45808</v>
      </c>
      <c r="D303" s="11" t="s">
        <v>791</v>
      </c>
      <c r="E303" s="13">
        <v>0.52</v>
      </c>
      <c r="F303" s="13"/>
      <c r="G303" s="26">
        <f t="shared" si="5"/>
        <v>4671.7273405216802</v>
      </c>
    </row>
    <row r="304" spans="1:7" s="19" customFormat="1" ht="12.6">
      <c r="A304" s="18">
        <v>45808</v>
      </c>
      <c r="E304" s="30"/>
      <c r="G304" s="31">
        <f t="shared" si="5"/>
        <v>4671.7273405216802</v>
      </c>
    </row>
    <row r="305" spans="1:9" ht="12.6">
      <c r="A305" s="14">
        <v>45809</v>
      </c>
      <c r="D305" s="15"/>
      <c r="E305" s="13"/>
      <c r="F305" s="15"/>
      <c r="G305" s="26">
        <f>G304+E305-F305</f>
        <v>4671.7273405216802</v>
      </c>
    </row>
    <row r="306" spans="1:9" ht="12.6">
      <c r="A306" s="14">
        <v>45817</v>
      </c>
      <c r="D306" s="45" t="s">
        <v>882</v>
      </c>
      <c r="E306" s="13">
        <v>1361.7</v>
      </c>
      <c r="F306" s="15"/>
      <c r="G306" s="26">
        <f t="shared" si="5"/>
        <v>6033.42734052168</v>
      </c>
    </row>
    <row r="307" spans="1:9" ht="12.6">
      <c r="A307" s="14">
        <v>45817</v>
      </c>
      <c r="D307" s="45" t="s">
        <v>176</v>
      </c>
      <c r="E307" s="13"/>
      <c r="F307" s="13">
        <v>20</v>
      </c>
      <c r="G307" s="26">
        <f t="shared" si="5"/>
        <v>6013.42734052168</v>
      </c>
    </row>
    <row r="308" spans="1:9" ht="12.6">
      <c r="A308" s="14">
        <v>45828</v>
      </c>
      <c r="D308" s="45" t="s">
        <v>904</v>
      </c>
      <c r="E308" s="13">
        <v>17572.23</v>
      </c>
      <c r="F308" s="15"/>
      <c r="G308" s="26">
        <f t="shared" si="5"/>
        <v>23585.65734052168</v>
      </c>
      <c r="I308" s="29"/>
    </row>
    <row r="309" spans="1:9" ht="12.6">
      <c r="A309" s="14">
        <v>45828</v>
      </c>
      <c r="D309" s="45" t="s">
        <v>176</v>
      </c>
      <c r="E309" s="13"/>
      <c r="F309" s="13">
        <v>26.35</v>
      </c>
      <c r="G309" s="26">
        <f t="shared" si="5"/>
        <v>23559.307340521682</v>
      </c>
    </row>
    <row r="310" spans="1:9" ht="12.6">
      <c r="A310" s="14">
        <v>45832</v>
      </c>
      <c r="D310" s="45" t="s">
        <v>905</v>
      </c>
      <c r="E310" s="13">
        <v>36654.059700598809</v>
      </c>
      <c r="F310" s="13"/>
      <c r="G310" s="26">
        <f t="shared" si="5"/>
        <v>60213.367041120495</v>
      </c>
    </row>
    <row r="311" spans="1:9" ht="12.6">
      <c r="A311" s="14">
        <v>45832</v>
      </c>
      <c r="D311" s="45" t="s">
        <v>906</v>
      </c>
      <c r="E311" s="13">
        <v>136.01</v>
      </c>
      <c r="F311" s="13"/>
      <c r="G311" s="26">
        <f t="shared" si="5"/>
        <v>60349.377041120497</v>
      </c>
    </row>
    <row r="312" spans="1:9" ht="12.6">
      <c r="A312" s="14">
        <v>45832</v>
      </c>
      <c r="D312" s="45" t="s">
        <v>176</v>
      </c>
      <c r="E312" s="13"/>
      <c r="F312" s="13">
        <v>40</v>
      </c>
      <c r="G312" s="26">
        <f t="shared" si="5"/>
        <v>60309.377041120497</v>
      </c>
    </row>
    <row r="313" spans="1:9" ht="12.6">
      <c r="A313" s="14">
        <v>45833</v>
      </c>
      <c r="D313" s="11" t="s">
        <v>907</v>
      </c>
      <c r="E313" s="13">
        <v>100</v>
      </c>
      <c r="F313" s="13"/>
      <c r="G313" s="26">
        <f t="shared" si="5"/>
        <v>60409.377041120497</v>
      </c>
    </row>
    <row r="314" spans="1:9" ht="12.6">
      <c r="A314" s="14">
        <v>45833</v>
      </c>
      <c r="D314" s="45" t="s">
        <v>176</v>
      </c>
      <c r="E314" s="13"/>
      <c r="F314" s="13">
        <v>20</v>
      </c>
      <c r="G314" s="26">
        <f t="shared" si="5"/>
        <v>60389.377041120497</v>
      </c>
    </row>
    <row r="315" spans="1:9" ht="12.6">
      <c r="A315" s="14">
        <v>45834</v>
      </c>
      <c r="D315" s="15" t="s">
        <v>910</v>
      </c>
      <c r="E315" s="13"/>
      <c r="F315" s="13">
        <v>6670.78</v>
      </c>
      <c r="G315" s="26">
        <f t="shared" si="5"/>
        <v>53718.597041120498</v>
      </c>
    </row>
    <row r="316" spans="1:9" ht="12.6">
      <c r="A316" s="14">
        <v>45834</v>
      </c>
      <c r="D316" s="15" t="s">
        <v>911</v>
      </c>
      <c r="E316" s="15"/>
      <c r="F316" s="13">
        <v>5060.24</v>
      </c>
      <c r="G316" s="26">
        <f t="shared" si="5"/>
        <v>48658.3570411205</v>
      </c>
    </row>
    <row r="317" spans="1:9" ht="12.6">
      <c r="A317" s="14">
        <v>45834</v>
      </c>
      <c r="D317" s="15" t="s">
        <v>912</v>
      </c>
      <c r="E317" s="15"/>
      <c r="F317" s="13">
        <v>3418.59</v>
      </c>
      <c r="G317" s="26">
        <f t="shared" si="5"/>
        <v>45239.767041120504</v>
      </c>
    </row>
    <row r="318" spans="1:9" ht="12.6">
      <c r="A318" s="14">
        <v>45834</v>
      </c>
      <c r="D318" s="11" t="s">
        <v>866</v>
      </c>
      <c r="E318" s="15"/>
      <c r="F318" s="13">
        <v>39000</v>
      </c>
      <c r="G318" s="26">
        <f t="shared" si="5"/>
        <v>6239.7670411205036</v>
      </c>
      <c r="I318" s="29"/>
    </row>
    <row r="319" spans="1:9" ht="12.6">
      <c r="A319" s="14">
        <v>45838</v>
      </c>
      <c r="D319" s="11" t="s">
        <v>791</v>
      </c>
      <c r="E319" s="15">
        <v>0.12</v>
      </c>
      <c r="F319" s="13"/>
      <c r="G319" s="26">
        <f t="shared" si="5"/>
        <v>6239.8870411205035</v>
      </c>
    </row>
    <row r="320" spans="1:9" s="19" customFormat="1" ht="12.6">
      <c r="A320" s="18">
        <v>45838</v>
      </c>
      <c r="E320" s="30"/>
      <c r="G320" s="31">
        <f t="shared" si="5"/>
        <v>6239.8870411205035</v>
      </c>
    </row>
    <row r="321" spans="1:7" ht="12.6">
      <c r="A321" s="14">
        <v>45839</v>
      </c>
      <c r="E321" s="15"/>
      <c r="F321" s="13"/>
      <c r="G321" s="26">
        <f t="shared" si="5"/>
        <v>6239.8870411205035</v>
      </c>
    </row>
    <row r="322" spans="1:7" ht="12.6">
      <c r="A322" s="14">
        <v>45852</v>
      </c>
      <c r="D322" s="11" t="s">
        <v>942</v>
      </c>
      <c r="E322" s="15"/>
      <c r="F322" s="13">
        <v>136.01</v>
      </c>
      <c r="G322" s="26">
        <f t="shared" si="5"/>
        <v>6103.8770411205032</v>
      </c>
    </row>
    <row r="323" spans="1:7" ht="12.6">
      <c r="A323" s="14">
        <v>45855</v>
      </c>
      <c r="D323" s="15" t="s">
        <v>962</v>
      </c>
      <c r="E323" s="15"/>
      <c r="F323" s="13">
        <v>531.22</v>
      </c>
      <c r="G323" s="26">
        <f t="shared" si="5"/>
        <v>5572.657041120503</v>
      </c>
    </row>
    <row r="324" spans="1:7" ht="12.6">
      <c r="A324" s="14">
        <v>45855</v>
      </c>
      <c r="D324" s="15" t="s">
        <v>963</v>
      </c>
      <c r="E324" s="15"/>
      <c r="F324" s="13">
        <f>128.93</f>
        <v>128.93</v>
      </c>
      <c r="G324" s="26">
        <f t="shared" si="5"/>
        <v>5443.7270411205027</v>
      </c>
    </row>
    <row r="325" spans="1:7" ht="12.6">
      <c r="A325" s="14">
        <v>45855</v>
      </c>
      <c r="D325" s="45" t="s">
        <v>965</v>
      </c>
      <c r="E325" s="15"/>
      <c r="F325" s="13">
        <v>0.75</v>
      </c>
      <c r="G325" s="26">
        <f t="shared" si="5"/>
        <v>5442.9770411205027</v>
      </c>
    </row>
    <row r="326" spans="1:7" ht="12.6">
      <c r="A326" s="14">
        <v>45855</v>
      </c>
      <c r="D326" s="15" t="s">
        <v>966</v>
      </c>
      <c r="E326" s="15"/>
      <c r="F326" s="13">
        <v>226</v>
      </c>
      <c r="G326" s="26">
        <f t="shared" si="5"/>
        <v>5216.9770411205027</v>
      </c>
    </row>
    <row r="327" spans="1:7" ht="12.6">
      <c r="A327" s="14">
        <v>45856</v>
      </c>
      <c r="D327" s="45" t="s">
        <v>965</v>
      </c>
      <c r="E327" s="15"/>
      <c r="F327" s="13">
        <v>0.75</v>
      </c>
      <c r="G327" s="26">
        <f t="shared" si="5"/>
        <v>5216.2270411205027</v>
      </c>
    </row>
    <row r="328" spans="1:7" ht="12.6">
      <c r="A328" s="14">
        <v>45862</v>
      </c>
      <c r="D328" s="45" t="s">
        <v>968</v>
      </c>
      <c r="E328" s="13">
        <v>18766.939999999999</v>
      </c>
      <c r="F328" s="13"/>
      <c r="G328" s="26">
        <f t="shared" si="5"/>
        <v>23983.167041120501</v>
      </c>
    </row>
    <row r="329" spans="1:7" ht="12.6">
      <c r="A329" s="14">
        <v>45862</v>
      </c>
      <c r="D329" s="45" t="s">
        <v>176</v>
      </c>
      <c r="E329" s="13"/>
      <c r="F329" s="13">
        <v>28.15</v>
      </c>
      <c r="G329" s="26">
        <f t="shared" si="5"/>
        <v>23955.0170411205</v>
      </c>
    </row>
    <row r="330" spans="1:7" ht="12.6">
      <c r="A330" s="14">
        <v>45866</v>
      </c>
      <c r="D330" s="45" t="s">
        <v>972</v>
      </c>
      <c r="E330" s="13">
        <v>53970.239999999998</v>
      </c>
      <c r="F330" s="13"/>
      <c r="G330" s="26">
        <f t="shared" si="5"/>
        <v>77925.257041120494</v>
      </c>
    </row>
    <row r="331" spans="1:7" ht="12.6">
      <c r="A331" s="14">
        <v>45866</v>
      </c>
      <c r="D331" s="45" t="s">
        <v>176</v>
      </c>
      <c r="E331" s="13"/>
      <c r="F331" s="13">
        <v>40</v>
      </c>
      <c r="G331" s="26">
        <f t="shared" si="5"/>
        <v>77885.257041120494</v>
      </c>
    </row>
    <row r="332" spans="1:7" ht="12.6">
      <c r="A332" s="14">
        <v>45866</v>
      </c>
      <c r="D332" s="15" t="s">
        <v>969</v>
      </c>
      <c r="E332" s="15"/>
      <c r="F332" s="13">
        <v>6671.21</v>
      </c>
      <c r="G332" s="26">
        <f t="shared" si="5"/>
        <v>71214.047041120488</v>
      </c>
    </row>
    <row r="333" spans="1:7" ht="12.6">
      <c r="A333" s="14">
        <v>45866</v>
      </c>
      <c r="D333" s="15" t="s">
        <v>970</v>
      </c>
      <c r="E333" s="15"/>
      <c r="F333" s="13">
        <v>5060.67</v>
      </c>
      <c r="G333" s="26">
        <f t="shared" si="5"/>
        <v>66153.37704112049</v>
      </c>
    </row>
    <row r="334" spans="1:7" ht="12.6">
      <c r="A334" s="14">
        <v>45866</v>
      </c>
      <c r="D334" s="15" t="s">
        <v>971</v>
      </c>
      <c r="E334" s="15"/>
      <c r="F334" s="13">
        <v>3418.53</v>
      </c>
      <c r="G334" s="26">
        <f t="shared" si="5"/>
        <v>62734.847041120491</v>
      </c>
    </row>
    <row r="335" spans="1:7" ht="12.6">
      <c r="A335" s="14">
        <v>45866</v>
      </c>
      <c r="D335" s="15" t="s">
        <v>973</v>
      </c>
      <c r="E335" s="15"/>
      <c r="F335" s="13">
        <v>6173.07</v>
      </c>
      <c r="G335" s="26">
        <f t="shared" si="5"/>
        <v>56561.777041120491</v>
      </c>
    </row>
    <row r="336" spans="1:7" ht="12.6">
      <c r="A336" s="14">
        <v>45866</v>
      </c>
      <c r="D336" s="45" t="s">
        <v>965</v>
      </c>
      <c r="E336" s="15"/>
      <c r="F336" s="13">
        <v>0.75</v>
      </c>
      <c r="G336" s="26">
        <f t="shared" si="5"/>
        <v>56561.027041120491</v>
      </c>
    </row>
    <row r="337" spans="1:7" ht="12.6">
      <c r="A337" s="14">
        <v>45866</v>
      </c>
      <c r="D337" s="15" t="s">
        <v>963</v>
      </c>
      <c r="E337" s="15"/>
      <c r="F337" s="13">
        <v>3536.55</v>
      </c>
      <c r="G337" s="26">
        <f t="shared" si="5"/>
        <v>53024.477041120488</v>
      </c>
    </row>
    <row r="338" spans="1:7" ht="12.6">
      <c r="A338" s="14">
        <v>45866</v>
      </c>
      <c r="D338" s="45" t="s">
        <v>965</v>
      </c>
      <c r="E338" s="15"/>
      <c r="F338" s="13">
        <v>0.75</v>
      </c>
      <c r="G338" s="26">
        <f t="shared" si="5"/>
        <v>53023.727041120488</v>
      </c>
    </row>
    <row r="339" spans="1:7" ht="12.6">
      <c r="A339" s="14">
        <v>45866</v>
      </c>
      <c r="D339" s="11" t="s">
        <v>866</v>
      </c>
      <c r="E339" s="15"/>
      <c r="F339" s="13">
        <v>46593.99</v>
      </c>
      <c r="G339" s="26">
        <f t="shared" si="5"/>
        <v>6429.7370411204902</v>
      </c>
    </row>
    <row r="340" spans="1:7" s="19" customFormat="1" ht="12.6">
      <c r="A340" s="18">
        <v>45869</v>
      </c>
      <c r="E340" s="30"/>
      <c r="G340" s="31">
        <f t="shared" si="5"/>
        <v>6429.7370411204902</v>
      </c>
    </row>
    <row r="341" spans="1:7" ht="12.6">
      <c r="A341" s="14">
        <v>45870</v>
      </c>
      <c r="E341" s="15"/>
      <c r="F341" s="15"/>
      <c r="G341" s="26">
        <f t="shared" si="5"/>
        <v>6429.7370411204902</v>
      </c>
    </row>
    <row r="342" spans="1:7" ht="12.6">
      <c r="A342" s="14">
        <v>45881</v>
      </c>
      <c r="D342" s="11" t="s">
        <v>996</v>
      </c>
      <c r="E342" s="13">
        <v>8278.4</v>
      </c>
      <c r="F342" s="15"/>
      <c r="G342" s="26">
        <f t="shared" si="5"/>
        <v>14708.13704112049</v>
      </c>
    </row>
    <row r="343" spans="1:7" ht="12.6">
      <c r="A343" s="14">
        <v>45881</v>
      </c>
      <c r="D343" s="45" t="s">
        <v>176</v>
      </c>
      <c r="E343" s="13"/>
      <c r="F343" s="13">
        <v>20</v>
      </c>
      <c r="G343" s="26">
        <f t="shared" si="5"/>
        <v>14688.13704112049</v>
      </c>
    </row>
    <row r="344" spans="1:7" ht="12.6">
      <c r="A344" s="14">
        <v>45882</v>
      </c>
      <c r="D344" s="15" t="s">
        <v>1003</v>
      </c>
      <c r="E344" s="15"/>
      <c r="F344" s="13">
        <v>226</v>
      </c>
      <c r="G344" s="26">
        <f t="shared" si="5"/>
        <v>14462.13704112049</v>
      </c>
    </row>
    <row r="345" spans="1:7" ht="12.6">
      <c r="A345" s="14">
        <v>45882</v>
      </c>
      <c r="D345" s="45" t="s">
        <v>965</v>
      </c>
      <c r="E345" s="15"/>
      <c r="F345" s="13">
        <v>0.75</v>
      </c>
      <c r="G345" s="26">
        <f t="shared" si="5"/>
        <v>14461.38704112049</v>
      </c>
    </row>
    <row r="346" spans="1:7" ht="12.6">
      <c r="A346" s="14">
        <v>45890</v>
      </c>
      <c r="D346" s="11" t="s">
        <v>1029</v>
      </c>
      <c r="E346" s="13">
        <v>5627.33</v>
      </c>
      <c r="F346" s="15"/>
      <c r="G346" s="26">
        <f t="shared" si="5"/>
        <v>20088.71704112049</v>
      </c>
    </row>
    <row r="347" spans="1:7" ht="12.6">
      <c r="A347" s="14">
        <v>45890</v>
      </c>
      <c r="D347" s="45" t="s">
        <v>176</v>
      </c>
      <c r="E347" s="13"/>
      <c r="F347" s="13">
        <v>20</v>
      </c>
      <c r="G347" s="26">
        <f t="shared" si="5"/>
        <v>20068.71704112049</v>
      </c>
    </row>
    <row r="348" spans="1:7" ht="12.6">
      <c r="A348" s="14">
        <v>45891</v>
      </c>
      <c r="D348" s="11" t="s">
        <v>1033</v>
      </c>
      <c r="E348" s="13">
        <v>19067.43</v>
      </c>
      <c r="F348" s="15"/>
      <c r="G348" s="26">
        <f t="shared" si="5"/>
        <v>39136.147041120494</v>
      </c>
    </row>
    <row r="349" spans="1:7" ht="12.6">
      <c r="A349" s="14">
        <v>45891</v>
      </c>
      <c r="D349" s="45" t="s">
        <v>176</v>
      </c>
      <c r="E349" s="13"/>
      <c r="F349" s="13">
        <v>28.6</v>
      </c>
      <c r="G349" s="26">
        <f t="shared" si="5"/>
        <v>39107.547041120495</v>
      </c>
    </row>
    <row r="350" spans="1:7" ht="12.6">
      <c r="A350" s="14">
        <v>45891</v>
      </c>
      <c r="D350" s="11" t="s">
        <v>1034</v>
      </c>
      <c r="E350" s="13">
        <v>6009.61</v>
      </c>
      <c r="F350" s="13"/>
      <c r="G350" s="26">
        <f t="shared" si="5"/>
        <v>45117.157041120496</v>
      </c>
    </row>
    <row r="351" spans="1:7" ht="12.6">
      <c r="A351" s="14">
        <v>45891</v>
      </c>
      <c r="D351" s="45" t="s">
        <v>176</v>
      </c>
      <c r="E351" s="13"/>
      <c r="F351" s="13">
        <v>20</v>
      </c>
      <c r="G351" s="26">
        <f t="shared" si="5"/>
        <v>45097.157041120496</v>
      </c>
    </row>
    <row r="352" spans="1:7" ht="12.6">
      <c r="A352" s="14">
        <v>45891</v>
      </c>
      <c r="D352" s="11" t="s">
        <v>1059</v>
      </c>
      <c r="E352" s="13"/>
      <c r="F352" s="13">
        <v>51</v>
      </c>
      <c r="G352" s="26">
        <f t="shared" si="5"/>
        <v>45046.157041120496</v>
      </c>
    </row>
    <row r="353" spans="1:10" ht="12.6">
      <c r="A353" s="14">
        <v>45896</v>
      </c>
      <c r="D353" s="45" t="s">
        <v>1072</v>
      </c>
      <c r="E353" s="13">
        <v>387.26</v>
      </c>
      <c r="F353" s="13"/>
      <c r="G353" s="26">
        <f t="shared" si="5"/>
        <v>45433.417041120498</v>
      </c>
    </row>
    <row r="354" spans="1:10" ht="12.6">
      <c r="A354" s="14">
        <v>45896</v>
      </c>
      <c r="D354" s="45" t="s">
        <v>176</v>
      </c>
      <c r="E354" s="13"/>
      <c r="F354" s="13">
        <v>20</v>
      </c>
      <c r="G354" s="26">
        <f t="shared" si="5"/>
        <v>45413.417041120498</v>
      </c>
    </row>
    <row r="355" spans="1:10" ht="12.6">
      <c r="A355" s="14">
        <v>45896</v>
      </c>
      <c r="D355" s="15" t="s">
        <v>1047</v>
      </c>
      <c r="E355" s="13"/>
      <c r="F355" s="13">
        <v>3361.91</v>
      </c>
      <c r="G355" s="26">
        <f t="shared" si="5"/>
        <v>42051.507041120494</v>
      </c>
    </row>
    <row r="356" spans="1:10" ht="12.6">
      <c r="A356" s="14">
        <v>45896</v>
      </c>
      <c r="D356" s="15" t="s">
        <v>1043</v>
      </c>
      <c r="E356" s="13"/>
      <c r="F356" s="13">
        <v>6671.27</v>
      </c>
      <c r="G356" s="26">
        <f t="shared" si="5"/>
        <v>35380.23704112049</v>
      </c>
    </row>
    <row r="357" spans="1:10" ht="12.6">
      <c r="A357" s="14">
        <v>45896</v>
      </c>
      <c r="D357" s="15" t="s">
        <v>1044</v>
      </c>
      <c r="E357" s="13"/>
      <c r="F357" s="13">
        <v>5060.7299999999996</v>
      </c>
      <c r="G357" s="26">
        <f t="shared" si="5"/>
        <v>30319.507041120491</v>
      </c>
    </row>
    <row r="358" spans="1:10" ht="12.6">
      <c r="A358" s="14">
        <v>45896</v>
      </c>
      <c r="D358" s="15" t="s">
        <v>1048</v>
      </c>
      <c r="E358" s="13"/>
      <c r="F358" s="13">
        <v>3306.17</v>
      </c>
      <c r="G358" s="26">
        <f t="shared" si="5"/>
        <v>27013.337041120489</v>
      </c>
    </row>
    <row r="359" spans="1:10" ht="12.6">
      <c r="A359" s="14">
        <v>45896</v>
      </c>
      <c r="D359" s="15" t="s">
        <v>1045</v>
      </c>
      <c r="E359" s="13"/>
      <c r="F359" s="13">
        <v>3418.62</v>
      </c>
      <c r="G359" s="26">
        <f t="shared" si="5"/>
        <v>23594.71704112049</v>
      </c>
    </row>
    <row r="360" spans="1:10" ht="12.6">
      <c r="A360" s="14">
        <v>45896</v>
      </c>
      <c r="D360" s="15" t="s">
        <v>1049</v>
      </c>
      <c r="E360" s="13"/>
      <c r="F360" s="13">
        <v>371.61</v>
      </c>
      <c r="G360" s="26">
        <f>G359+E360-F360</f>
        <v>23223.107041120489</v>
      </c>
    </row>
    <row r="361" spans="1:10" ht="12.6">
      <c r="A361" s="14">
        <v>45896</v>
      </c>
      <c r="D361" s="15" t="s">
        <v>1046</v>
      </c>
      <c r="E361" s="13"/>
      <c r="F361" s="13">
        <v>7566.77</v>
      </c>
      <c r="G361" s="26">
        <f>G360+E361-F361</f>
        <v>15656.337041120489</v>
      </c>
    </row>
    <row r="362" spans="1:10" ht="12.6">
      <c r="A362" s="14">
        <v>45896</v>
      </c>
      <c r="D362" s="45" t="s">
        <v>965</v>
      </c>
      <c r="E362" s="15"/>
      <c r="F362" s="13">
        <v>0.75</v>
      </c>
      <c r="G362" s="26">
        <f>G361+E362-F362</f>
        <v>15655.587041120489</v>
      </c>
    </row>
    <row r="363" spans="1:10" ht="12.6">
      <c r="A363" s="14">
        <v>45896</v>
      </c>
      <c r="D363" s="15" t="s">
        <v>1050</v>
      </c>
      <c r="E363" s="13"/>
      <c r="F363" s="13">
        <v>3536.59</v>
      </c>
      <c r="G363" s="26">
        <f t="shared" si="5"/>
        <v>12118.997041120489</v>
      </c>
    </row>
    <row r="364" spans="1:10" ht="12.6">
      <c r="A364" s="14">
        <v>45896</v>
      </c>
      <c r="D364" s="45" t="s">
        <v>965</v>
      </c>
      <c r="E364" s="15"/>
      <c r="F364" s="13">
        <v>0.75</v>
      </c>
      <c r="G364" s="26">
        <f t="shared" ref="G364:G427" si="6">G363+E364-F364</f>
        <v>12118.247041120489</v>
      </c>
    </row>
    <row r="365" spans="1:10" ht="12.6">
      <c r="A365" s="14">
        <v>45897</v>
      </c>
      <c r="D365" s="11" t="s">
        <v>1054</v>
      </c>
      <c r="E365" s="15"/>
      <c r="F365" s="13">
        <v>12118.19</v>
      </c>
      <c r="G365" s="26">
        <f t="shared" si="6"/>
        <v>5.7041120488065644E-2</v>
      </c>
      <c r="I365" s="29"/>
      <c r="J365" s="29"/>
    </row>
    <row r="366" spans="1:10" ht="12.6">
      <c r="A366" s="14">
        <v>45897</v>
      </c>
      <c r="D366" s="45" t="s">
        <v>1070</v>
      </c>
      <c r="E366" s="13">
        <v>68656.789999999994</v>
      </c>
      <c r="F366" s="15"/>
      <c r="G366" s="26">
        <f t="shared" si="6"/>
        <v>68656.847041120476</v>
      </c>
    </row>
    <row r="367" spans="1:10" ht="12.6">
      <c r="A367" s="14">
        <v>45897</v>
      </c>
      <c r="D367" s="45" t="s">
        <v>176</v>
      </c>
      <c r="E367" s="13"/>
      <c r="F367" s="13">
        <v>40</v>
      </c>
      <c r="G367" s="26">
        <f t="shared" si="6"/>
        <v>68616.847041120476</v>
      </c>
    </row>
    <row r="368" spans="1:10" ht="12.6">
      <c r="A368" s="14">
        <v>45897</v>
      </c>
      <c r="D368" s="11" t="s">
        <v>1055</v>
      </c>
      <c r="E368" s="13"/>
      <c r="F368" s="13">
        <v>40000</v>
      </c>
      <c r="G368" s="26">
        <f t="shared" si="6"/>
        <v>28616.847041120476</v>
      </c>
    </row>
    <row r="369" spans="1:7" ht="12.6">
      <c r="A369" s="14">
        <v>45897</v>
      </c>
      <c r="D369" s="340" t="s">
        <v>1062</v>
      </c>
      <c r="E369" s="13"/>
      <c r="F369" s="13">
        <v>1231.7</v>
      </c>
      <c r="G369" s="26">
        <f t="shared" si="6"/>
        <v>27385.147041120475</v>
      </c>
    </row>
    <row r="370" spans="1:7" s="19" customFormat="1" ht="12.6">
      <c r="A370" s="18">
        <v>45900</v>
      </c>
      <c r="E370" s="30"/>
      <c r="F370" s="30"/>
      <c r="G370" s="31">
        <f t="shared" si="6"/>
        <v>27385.147041120475</v>
      </c>
    </row>
    <row r="371" spans="1:7" ht="12.6">
      <c r="A371" s="14">
        <v>45901</v>
      </c>
      <c r="E371" s="13"/>
      <c r="F371" s="13"/>
      <c r="G371" s="26">
        <f t="shared" si="6"/>
        <v>27385.147041120475</v>
      </c>
    </row>
    <row r="372" spans="1:7" ht="12.6">
      <c r="A372" s="14">
        <v>45915</v>
      </c>
      <c r="D372" s="15" t="s">
        <v>1112</v>
      </c>
      <c r="E372" s="13"/>
      <c r="F372" s="13">
        <v>226</v>
      </c>
      <c r="G372" s="26">
        <f t="shared" si="6"/>
        <v>27159.147041120475</v>
      </c>
    </row>
    <row r="373" spans="1:7" ht="12.6">
      <c r="A373" s="14">
        <v>45915</v>
      </c>
      <c r="D373" s="45" t="s">
        <v>965</v>
      </c>
      <c r="E373" s="13"/>
      <c r="F373" s="13">
        <v>0.75</v>
      </c>
      <c r="G373" s="26">
        <f t="shared" si="6"/>
        <v>27158.397041120475</v>
      </c>
    </row>
    <row r="374" spans="1:7" ht="12.6">
      <c r="A374" s="14">
        <v>45917</v>
      </c>
      <c r="D374" s="15" t="s">
        <v>1117</v>
      </c>
      <c r="E374" s="13"/>
      <c r="F374" s="13">
        <v>3373.87</v>
      </c>
      <c r="G374" s="26">
        <f t="shared" si="6"/>
        <v>23784.527041120476</v>
      </c>
    </row>
    <row r="375" spans="1:7" ht="12.6">
      <c r="A375" s="14">
        <v>45917</v>
      </c>
      <c r="D375" s="45" t="s">
        <v>965</v>
      </c>
      <c r="E375" s="13"/>
      <c r="F375" s="13">
        <v>0.75</v>
      </c>
      <c r="G375" s="26">
        <f t="shared" si="6"/>
        <v>23783.777041120476</v>
      </c>
    </row>
    <row r="376" spans="1:7" ht="12.6">
      <c r="A376" s="14">
        <v>45922</v>
      </c>
      <c r="B376" s="15"/>
      <c r="C376" s="15"/>
      <c r="D376" s="15" t="s">
        <v>1122</v>
      </c>
      <c r="E376" s="13">
        <v>8361</v>
      </c>
      <c r="F376" s="13"/>
      <c r="G376" s="26">
        <f t="shared" si="6"/>
        <v>32144.777041120476</v>
      </c>
    </row>
    <row r="377" spans="1:7" ht="12.6">
      <c r="A377" s="14">
        <v>45922</v>
      </c>
      <c r="B377" s="15"/>
      <c r="C377" s="15"/>
      <c r="D377" s="45" t="s">
        <v>176</v>
      </c>
      <c r="E377" s="13"/>
      <c r="F377" s="13">
        <v>20</v>
      </c>
      <c r="G377" s="26">
        <f t="shared" si="6"/>
        <v>32124.777041120476</v>
      </c>
    </row>
    <row r="378" spans="1:7" ht="12.6">
      <c r="A378" s="14">
        <v>45922</v>
      </c>
      <c r="B378" s="15"/>
      <c r="C378" s="15"/>
      <c r="D378" s="15" t="s">
        <v>1121</v>
      </c>
      <c r="E378" s="13">
        <v>17607.05</v>
      </c>
      <c r="F378" s="13"/>
      <c r="G378" s="26">
        <f>G377+E378-F378</f>
        <v>49731.827041120472</v>
      </c>
    </row>
    <row r="379" spans="1:7" ht="12.6">
      <c r="A379" s="14">
        <v>45922</v>
      </c>
      <c r="B379" s="15"/>
      <c r="C379" s="15"/>
      <c r="D379" s="45" t="s">
        <v>176</v>
      </c>
      <c r="E379" s="13"/>
      <c r="F379" s="13">
        <v>26.41</v>
      </c>
      <c r="G379" s="26">
        <f t="shared" si="6"/>
        <v>49705.417041120469</v>
      </c>
    </row>
    <row r="380" spans="1:7" ht="12.6">
      <c r="A380" s="14">
        <v>45925</v>
      </c>
      <c r="B380" s="15"/>
      <c r="C380" s="15"/>
      <c r="D380" s="45" t="s">
        <v>1125</v>
      </c>
      <c r="E380" s="13">
        <v>76540.11</v>
      </c>
      <c r="F380" s="13"/>
      <c r="G380" s="26">
        <f t="shared" si="6"/>
        <v>126245.52704112047</v>
      </c>
    </row>
    <row r="381" spans="1:7" ht="12.6">
      <c r="A381" s="14">
        <v>45925</v>
      </c>
      <c r="B381" s="15"/>
      <c r="C381" s="15"/>
      <c r="D381" s="45" t="s">
        <v>176</v>
      </c>
      <c r="E381" s="13"/>
      <c r="F381" s="13">
        <v>40</v>
      </c>
      <c r="G381" s="26">
        <f t="shared" si="6"/>
        <v>126205.52704112047</v>
      </c>
    </row>
    <row r="382" spans="1:7" ht="12.6">
      <c r="A382" s="14">
        <v>45926</v>
      </c>
      <c r="B382" s="15"/>
      <c r="C382" s="15"/>
      <c r="D382" s="15" t="s">
        <v>1054</v>
      </c>
      <c r="E382" s="13"/>
      <c r="F382" s="13">
        <v>71402.350000000006</v>
      </c>
      <c r="G382" s="26">
        <f t="shared" si="6"/>
        <v>54803.177041120463</v>
      </c>
    </row>
    <row r="383" spans="1:7" ht="12.6">
      <c r="A383" s="14">
        <v>45926</v>
      </c>
      <c r="B383" s="15"/>
      <c r="C383" s="15"/>
      <c r="D383" s="15" t="s">
        <v>1139</v>
      </c>
      <c r="E383" s="13"/>
      <c r="F383" s="13">
        <v>6671.21</v>
      </c>
      <c r="G383" s="26">
        <f t="shared" si="6"/>
        <v>48131.967041120464</v>
      </c>
    </row>
    <row r="384" spans="1:7" ht="12.6">
      <c r="A384" s="14">
        <v>45926</v>
      </c>
      <c r="B384" s="15"/>
      <c r="C384" s="15"/>
      <c r="D384" s="15" t="s">
        <v>1140</v>
      </c>
      <c r="E384" s="13"/>
      <c r="F384" s="13">
        <v>3418.62</v>
      </c>
      <c r="G384" s="26">
        <f t="shared" si="6"/>
        <v>44713.347041120462</v>
      </c>
    </row>
    <row r="385" spans="1:7" ht="12.6">
      <c r="A385" s="14">
        <v>45926</v>
      </c>
      <c r="B385" s="15"/>
      <c r="C385" s="15"/>
      <c r="D385" s="15" t="s">
        <v>1141</v>
      </c>
      <c r="E385" s="13"/>
      <c r="F385" s="13">
        <v>7105.74</v>
      </c>
      <c r="G385" s="26">
        <f t="shared" si="6"/>
        <v>37607.607041120464</v>
      </c>
    </row>
    <row r="386" spans="1:7" ht="12.6">
      <c r="A386" s="14">
        <v>45926</v>
      </c>
      <c r="B386" s="15"/>
      <c r="C386" s="15"/>
      <c r="D386" s="15" t="s">
        <v>1154</v>
      </c>
      <c r="E386" s="13"/>
      <c r="F386" s="13">
        <v>1833.59</v>
      </c>
      <c r="G386" s="26">
        <f t="shared" si="6"/>
        <v>35774.017041120467</v>
      </c>
    </row>
    <row r="387" spans="1:7" ht="12.6">
      <c r="A387" s="14">
        <v>45927</v>
      </c>
      <c r="B387" s="15"/>
      <c r="C387" s="15"/>
      <c r="D387" s="15" t="s">
        <v>1156</v>
      </c>
      <c r="E387" s="15"/>
      <c r="F387" s="13">
        <f>5060.73</f>
        <v>5060.7299999999996</v>
      </c>
      <c r="G387" s="26">
        <f t="shared" si="6"/>
        <v>30713.287041120468</v>
      </c>
    </row>
    <row r="388" spans="1:7" ht="12.6">
      <c r="A388" s="14">
        <v>45927</v>
      </c>
      <c r="B388" s="15"/>
      <c r="C388" s="15"/>
      <c r="D388" s="15" t="s">
        <v>1157</v>
      </c>
      <c r="E388" s="15"/>
      <c r="F388" s="13">
        <f>4734.88</f>
        <v>4734.88</v>
      </c>
      <c r="G388" s="26">
        <f>G387+E388-F388</f>
        <v>25978.407041120467</v>
      </c>
    </row>
    <row r="389" spans="1:7" ht="12.6">
      <c r="A389" s="14">
        <v>45929</v>
      </c>
      <c r="B389" s="15"/>
      <c r="C389" s="15"/>
      <c r="D389" s="15" t="s">
        <v>1122</v>
      </c>
      <c r="E389" s="13">
        <v>7282.2</v>
      </c>
      <c r="F389" s="13"/>
      <c r="G389" s="26">
        <f t="shared" si="6"/>
        <v>33260.607041120464</v>
      </c>
    </row>
    <row r="390" spans="1:7" ht="12.6">
      <c r="A390" s="14">
        <v>45929</v>
      </c>
      <c r="B390" s="15"/>
      <c r="C390" s="15"/>
      <c r="D390" s="45" t="s">
        <v>176</v>
      </c>
      <c r="E390" s="13"/>
      <c r="F390" s="13">
        <v>20</v>
      </c>
      <c r="G390" s="26">
        <f t="shared" si="6"/>
        <v>33240.607041120464</v>
      </c>
    </row>
    <row r="391" spans="1:7" ht="12.6">
      <c r="A391" s="14">
        <v>45929</v>
      </c>
      <c r="D391" s="15" t="s">
        <v>1155</v>
      </c>
      <c r="E391" s="15"/>
      <c r="F391" s="13">
        <f>7566.77</f>
        <v>7566.77</v>
      </c>
      <c r="G391" s="26">
        <f t="shared" si="6"/>
        <v>25673.837041120463</v>
      </c>
    </row>
    <row r="392" spans="1:7" ht="12.6">
      <c r="A392" s="14">
        <v>45929</v>
      </c>
      <c r="D392" s="45" t="s">
        <v>965</v>
      </c>
      <c r="E392" s="15"/>
      <c r="F392" s="13">
        <f>0.75</f>
        <v>0.75</v>
      </c>
      <c r="G392" s="26">
        <f t="shared" si="6"/>
        <v>25673.087041120463</v>
      </c>
    </row>
    <row r="393" spans="1:7" ht="12.6">
      <c r="A393" s="14">
        <v>45929</v>
      </c>
      <c r="D393" s="15" t="s">
        <v>1159</v>
      </c>
      <c r="E393" s="15"/>
      <c r="F393" s="13">
        <f>2016.09</f>
        <v>2016.09</v>
      </c>
      <c r="G393" s="26">
        <f t="shared" si="6"/>
        <v>23656.997041120463</v>
      </c>
    </row>
    <row r="394" spans="1:7" ht="12.6">
      <c r="A394" s="14">
        <v>45929</v>
      </c>
      <c r="D394" s="45" t="s">
        <v>965</v>
      </c>
      <c r="E394" s="15"/>
      <c r="F394" s="13">
        <f>0.75</f>
        <v>0.75</v>
      </c>
      <c r="G394" s="26">
        <f t="shared" si="6"/>
        <v>23656.247041120463</v>
      </c>
    </row>
    <row r="395" spans="1:7" ht="12.6">
      <c r="A395" s="14">
        <v>45930</v>
      </c>
      <c r="D395" s="11" t="s">
        <v>791</v>
      </c>
      <c r="E395" s="15">
        <v>0.42</v>
      </c>
      <c r="F395" s="15"/>
      <c r="G395" s="26">
        <f t="shared" si="6"/>
        <v>23656.667041120461</v>
      </c>
    </row>
    <row r="396" spans="1:7" s="19" customFormat="1" ht="12.6">
      <c r="A396" s="18">
        <v>45930</v>
      </c>
      <c r="G396" s="31">
        <f t="shared" si="6"/>
        <v>23656.667041120461</v>
      </c>
    </row>
    <row r="397" spans="1:7" ht="12.6">
      <c r="A397" s="14">
        <v>45931</v>
      </c>
      <c r="D397" s="15"/>
      <c r="E397" s="13"/>
      <c r="F397" s="13"/>
      <c r="G397" s="26">
        <f t="shared" si="6"/>
        <v>23656.667041120461</v>
      </c>
    </row>
    <row r="398" spans="1:7" ht="12.6">
      <c r="A398" s="14">
        <v>45947</v>
      </c>
      <c r="D398" s="15" t="s">
        <v>1174</v>
      </c>
      <c r="E398" s="13"/>
      <c r="F398" s="13">
        <v>226</v>
      </c>
      <c r="G398" s="26">
        <f t="shared" si="6"/>
        <v>23430.667041120461</v>
      </c>
    </row>
    <row r="399" spans="1:7" ht="12.6">
      <c r="A399" s="14">
        <v>45947</v>
      </c>
      <c r="D399" s="45" t="s">
        <v>965</v>
      </c>
      <c r="E399" s="13"/>
      <c r="F399" s="13">
        <v>0.75</v>
      </c>
      <c r="G399" s="26">
        <f t="shared" si="6"/>
        <v>23429.917041120461</v>
      </c>
    </row>
    <row r="400" spans="1:7" ht="12.6">
      <c r="A400" s="14">
        <v>45947</v>
      </c>
      <c r="D400" s="15" t="s">
        <v>1176</v>
      </c>
      <c r="E400" s="13"/>
      <c r="F400" s="13">
        <v>51</v>
      </c>
      <c r="G400" s="26">
        <f t="shared" si="6"/>
        <v>23378.917041120461</v>
      </c>
    </row>
    <row r="401" spans="1:9" ht="12.6">
      <c r="A401" s="14">
        <v>45947</v>
      </c>
      <c r="D401" s="15" t="s">
        <v>1177</v>
      </c>
      <c r="E401" s="13"/>
      <c r="F401" s="13">
        <v>757.1</v>
      </c>
      <c r="G401" s="26">
        <f t="shared" si="6"/>
        <v>22621.817041120463</v>
      </c>
    </row>
    <row r="402" spans="1:9" ht="12.6">
      <c r="A402" s="14">
        <v>45952</v>
      </c>
      <c r="D402" s="15" t="s">
        <v>1186</v>
      </c>
      <c r="E402" s="13">
        <v>17642.02</v>
      </c>
      <c r="F402" s="13"/>
      <c r="G402" s="26">
        <f t="shared" si="6"/>
        <v>40263.837041120467</v>
      </c>
    </row>
    <row r="403" spans="1:9" ht="12.6">
      <c r="A403" s="14">
        <v>45952</v>
      </c>
      <c r="D403" s="45" t="s">
        <v>176</v>
      </c>
      <c r="E403" s="13"/>
      <c r="F403" s="13">
        <v>26.46</v>
      </c>
      <c r="G403" s="26">
        <f t="shared" si="6"/>
        <v>40237.377041120468</v>
      </c>
    </row>
    <row r="404" spans="1:9" ht="12.6">
      <c r="A404" s="14">
        <v>45952</v>
      </c>
      <c r="D404" s="45" t="s">
        <v>1183</v>
      </c>
      <c r="E404" s="13">
        <v>5220.75</v>
      </c>
      <c r="F404" s="13"/>
      <c r="G404" s="26">
        <f t="shared" si="6"/>
        <v>45458.127041120468</v>
      </c>
    </row>
    <row r="405" spans="1:9" ht="12.6">
      <c r="A405" s="14">
        <v>45952</v>
      </c>
      <c r="D405" s="45" t="s">
        <v>176</v>
      </c>
      <c r="E405" s="13"/>
      <c r="F405" s="13">
        <v>20</v>
      </c>
      <c r="G405" s="26">
        <f t="shared" si="6"/>
        <v>45438.127041120468</v>
      </c>
    </row>
    <row r="406" spans="1:9" ht="12.6">
      <c r="A406" s="14">
        <v>45953</v>
      </c>
      <c r="D406" s="45" t="s">
        <v>1185</v>
      </c>
      <c r="E406" s="13">
        <v>75810.38</v>
      </c>
      <c r="F406" s="13"/>
      <c r="G406" s="26">
        <f t="shared" si="6"/>
        <v>121248.50704112047</v>
      </c>
    </row>
    <row r="407" spans="1:9" ht="12.6">
      <c r="A407" s="14">
        <v>45952</v>
      </c>
      <c r="D407" s="45" t="s">
        <v>176</v>
      </c>
      <c r="E407" s="13"/>
      <c r="F407" s="13">
        <v>40</v>
      </c>
      <c r="G407" s="26">
        <f t="shared" si="6"/>
        <v>121208.50704112047</v>
      </c>
    </row>
    <row r="408" spans="1:9" ht="12.6">
      <c r="A408" s="14">
        <v>45957</v>
      </c>
      <c r="D408" s="15" t="s">
        <v>1187</v>
      </c>
      <c r="E408" s="13">
        <v>11503.49</v>
      </c>
      <c r="F408" s="13"/>
      <c r="G408" s="26">
        <f t="shared" si="6"/>
        <v>132711.99704112046</v>
      </c>
    </row>
    <row r="409" spans="1:9" ht="12.6">
      <c r="A409" s="14">
        <v>45957</v>
      </c>
      <c r="D409" s="45" t="s">
        <v>176</v>
      </c>
      <c r="E409" s="13"/>
      <c r="F409" s="13">
        <v>20</v>
      </c>
      <c r="G409" s="26">
        <f t="shared" si="6"/>
        <v>132691.99704112046</v>
      </c>
    </row>
    <row r="410" spans="1:9" ht="12.6">
      <c r="A410" s="14">
        <v>45957</v>
      </c>
      <c r="D410" s="15" t="s">
        <v>1199</v>
      </c>
      <c r="E410" s="13"/>
      <c r="F410" s="13">
        <v>6675.01</v>
      </c>
      <c r="G410" s="26">
        <f t="shared" si="6"/>
        <v>126016.98704112046</v>
      </c>
    </row>
    <row r="411" spans="1:9" ht="12.6">
      <c r="A411" s="14">
        <v>45957</v>
      </c>
      <c r="D411" s="15" t="s">
        <v>1200</v>
      </c>
      <c r="F411" s="13">
        <v>3421.04</v>
      </c>
      <c r="G411" s="26">
        <f t="shared" si="6"/>
        <v>122595.94704112047</v>
      </c>
    </row>
    <row r="412" spans="1:9" ht="12.6">
      <c r="A412" s="14">
        <v>45957</v>
      </c>
      <c r="D412" s="15" t="s">
        <v>1201</v>
      </c>
      <c r="F412" s="13">
        <v>7109.7</v>
      </c>
      <c r="G412" s="26">
        <f t="shared" si="6"/>
        <v>115486.24704112047</v>
      </c>
    </row>
    <row r="413" spans="1:9" ht="12.6">
      <c r="A413" s="14">
        <v>45957</v>
      </c>
      <c r="D413" s="15" t="s">
        <v>1202</v>
      </c>
      <c r="F413" s="13">
        <v>1834.83</v>
      </c>
      <c r="G413" s="26">
        <f t="shared" si="6"/>
        <v>113651.41704112047</v>
      </c>
    </row>
    <row r="414" spans="1:9" ht="12.6">
      <c r="A414" s="14">
        <v>45957</v>
      </c>
      <c r="D414" s="15" t="s">
        <v>1203</v>
      </c>
      <c r="F414" s="13">
        <v>5064.47</v>
      </c>
      <c r="G414" s="26">
        <f t="shared" si="6"/>
        <v>108586.94704112047</v>
      </c>
    </row>
    <row r="415" spans="1:9" ht="12.6">
      <c r="A415" s="14">
        <v>45957</v>
      </c>
      <c r="D415" s="15" t="s">
        <v>1204</v>
      </c>
      <c r="F415" s="13">
        <v>4738.62</v>
      </c>
      <c r="G415" s="26">
        <f t="shared" si="6"/>
        <v>103848.32704112047</v>
      </c>
    </row>
    <row r="416" spans="1:9" ht="12.6">
      <c r="A416" s="14">
        <v>45957</v>
      </c>
      <c r="D416" s="15" t="s">
        <v>1206</v>
      </c>
      <c r="F416" s="13">
        <v>1300</v>
      </c>
      <c r="G416" s="26">
        <f t="shared" si="6"/>
        <v>102548.32704112047</v>
      </c>
      <c r="I416" s="334"/>
    </row>
    <row r="417" spans="1:7" ht="12.6">
      <c r="A417" s="14">
        <v>45958</v>
      </c>
      <c r="D417" s="15" t="s">
        <v>1205</v>
      </c>
      <c r="F417" s="13">
        <f>7573.9</f>
        <v>7573.9</v>
      </c>
      <c r="G417" s="26">
        <f t="shared" si="6"/>
        <v>94974.427041120478</v>
      </c>
    </row>
    <row r="418" spans="1:7" ht="12.6">
      <c r="A418" s="14">
        <v>45958</v>
      </c>
      <c r="D418" s="45" t="s">
        <v>965</v>
      </c>
      <c r="F418" s="13">
        <v>1</v>
      </c>
      <c r="G418" s="26">
        <f t="shared" si="6"/>
        <v>94973.427041120478</v>
      </c>
    </row>
    <row r="419" spans="1:7" ht="12.6">
      <c r="A419" s="14">
        <v>45958</v>
      </c>
      <c r="D419" s="15" t="s">
        <v>1054</v>
      </c>
      <c r="F419" s="13">
        <v>69000</v>
      </c>
      <c r="G419" s="26">
        <f t="shared" si="6"/>
        <v>25973.427041120478</v>
      </c>
    </row>
    <row r="420" spans="1:7" ht="12.6">
      <c r="A420" s="14">
        <v>45961</v>
      </c>
      <c r="D420" s="11" t="s">
        <v>791</v>
      </c>
      <c r="E420" s="11">
        <v>1.85</v>
      </c>
      <c r="F420" s="13"/>
      <c r="G420" s="26">
        <f t="shared" si="6"/>
        <v>25975.277041120476</v>
      </c>
    </row>
    <row r="421" spans="1:7" s="19" customFormat="1" ht="12.6">
      <c r="A421" s="18">
        <v>45961</v>
      </c>
      <c r="G421" s="31">
        <f t="shared" si="6"/>
        <v>25975.277041120476</v>
      </c>
    </row>
    <row r="422" spans="1:7" ht="12.6">
      <c r="A422" s="14">
        <v>45962</v>
      </c>
      <c r="F422" s="13"/>
      <c r="G422" s="26">
        <f t="shared" si="6"/>
        <v>25975.277041120476</v>
      </c>
    </row>
    <row r="423" spans="1:7" ht="12.6">
      <c r="A423" s="14">
        <v>45964</v>
      </c>
      <c r="D423" s="11" t="s">
        <v>1223</v>
      </c>
      <c r="E423" s="13">
        <v>2428.5100000000002</v>
      </c>
      <c r="F423" s="13"/>
      <c r="G423" s="26">
        <f t="shared" si="6"/>
        <v>28403.787041120479</v>
      </c>
    </row>
    <row r="424" spans="1:7" ht="12.6">
      <c r="A424" s="14">
        <v>45964</v>
      </c>
      <c r="D424" s="45" t="s">
        <v>176</v>
      </c>
      <c r="E424" s="13"/>
      <c r="F424" s="13">
        <v>20</v>
      </c>
      <c r="G424" s="26">
        <f t="shared" si="6"/>
        <v>28383.787041120479</v>
      </c>
    </row>
    <row r="425" spans="1:7" ht="12.6">
      <c r="A425" s="14">
        <v>45972</v>
      </c>
      <c r="D425" s="11" t="s">
        <v>1231</v>
      </c>
      <c r="F425" s="13">
        <v>4482.0600000000004</v>
      </c>
      <c r="G425" s="26">
        <f t="shared" si="6"/>
        <v>23901.727041120477</v>
      </c>
    </row>
    <row r="426" spans="1:7" ht="12.6">
      <c r="A426" s="14">
        <v>45972</v>
      </c>
      <c r="D426" s="11" t="s">
        <v>1232</v>
      </c>
      <c r="F426" s="13">
        <v>4500</v>
      </c>
      <c r="G426" s="26">
        <f t="shared" si="6"/>
        <v>19401.727041120477</v>
      </c>
    </row>
    <row r="427" spans="1:7" ht="12.6">
      <c r="A427" s="14">
        <v>45972</v>
      </c>
      <c r="D427" s="11" t="s">
        <v>1233</v>
      </c>
      <c r="F427" s="13">
        <v>30</v>
      </c>
      <c r="G427" s="26">
        <f t="shared" si="6"/>
        <v>19371.727041120477</v>
      </c>
    </row>
    <row r="428" spans="1:7" ht="12.6">
      <c r="A428" s="14">
        <v>45979</v>
      </c>
      <c r="D428" s="15" t="s">
        <v>1241</v>
      </c>
      <c r="F428" s="13">
        <v>226</v>
      </c>
      <c r="G428" s="26">
        <f t="shared" ref="G428:G491" si="7">G427+E428-F428</f>
        <v>19145.727041120477</v>
      </c>
    </row>
    <row r="429" spans="1:7" ht="12.6">
      <c r="A429" s="14">
        <v>45979</v>
      </c>
      <c r="D429" s="11" t="s">
        <v>1256</v>
      </c>
      <c r="F429" s="13">
        <v>1</v>
      </c>
      <c r="G429" s="26">
        <f t="shared" si="7"/>
        <v>19144.727041120477</v>
      </c>
    </row>
    <row r="430" spans="1:7" ht="12.6">
      <c r="A430" s="14">
        <v>45979</v>
      </c>
      <c r="D430" s="45" t="s">
        <v>1254</v>
      </c>
      <c r="E430" s="13">
        <v>4482.0600000000004</v>
      </c>
      <c r="F430" s="13"/>
      <c r="G430" s="26">
        <f t="shared" si="7"/>
        <v>23626.787041120479</v>
      </c>
    </row>
    <row r="431" spans="1:7" ht="12.6">
      <c r="A431" s="14">
        <v>45979</v>
      </c>
      <c r="D431" s="11" t="s">
        <v>1255</v>
      </c>
      <c r="E431" s="13">
        <f>4500-55</f>
        <v>4445</v>
      </c>
      <c r="G431" s="26">
        <f t="shared" si="7"/>
        <v>28071.787041120479</v>
      </c>
    </row>
    <row r="432" spans="1:7" ht="12.6">
      <c r="A432" s="14">
        <v>45981</v>
      </c>
      <c r="D432" s="15" t="s">
        <v>1257</v>
      </c>
      <c r="E432" s="13">
        <v>20156.25</v>
      </c>
      <c r="F432" s="13"/>
      <c r="G432" s="26">
        <f t="shared" si="7"/>
        <v>48228.037041120479</v>
      </c>
    </row>
    <row r="433" spans="1:7" ht="12.6">
      <c r="A433" s="14">
        <v>45981</v>
      </c>
      <c r="D433" s="11" t="s">
        <v>1256</v>
      </c>
      <c r="E433" s="13"/>
      <c r="F433" s="13">
        <v>30.23</v>
      </c>
      <c r="G433" s="26">
        <f t="shared" si="7"/>
        <v>48197.807041120475</v>
      </c>
    </row>
    <row r="434" spans="1:7" ht="12.6">
      <c r="A434" s="14">
        <v>45981</v>
      </c>
      <c r="D434" s="15" t="s">
        <v>1258</v>
      </c>
      <c r="E434" s="13">
        <v>8361</v>
      </c>
      <c r="F434" s="13"/>
      <c r="G434" s="26">
        <f t="shared" si="7"/>
        <v>56558.807041120475</v>
      </c>
    </row>
    <row r="435" spans="1:7" ht="12.6">
      <c r="A435" s="14">
        <v>45981</v>
      </c>
      <c r="D435" s="11" t="s">
        <v>1256</v>
      </c>
      <c r="E435" s="13"/>
      <c r="F435" s="13">
        <v>20</v>
      </c>
      <c r="G435" s="26">
        <f t="shared" si="7"/>
        <v>56538.807041120475</v>
      </c>
    </row>
    <row r="436" spans="1:7" ht="12.6">
      <c r="A436" s="14">
        <v>45981</v>
      </c>
      <c r="D436" s="11" t="s">
        <v>1260</v>
      </c>
      <c r="E436" s="334"/>
      <c r="F436" s="13">
        <v>94</v>
      </c>
      <c r="G436" s="26">
        <f t="shared" si="7"/>
        <v>56444.807041120475</v>
      </c>
    </row>
    <row r="437" spans="1:7" ht="12.6">
      <c r="A437" s="14">
        <v>45982</v>
      </c>
      <c r="D437" s="11" t="s">
        <v>1231</v>
      </c>
      <c r="F437" s="13">
        <v>4482.0600000000004</v>
      </c>
      <c r="G437" s="26">
        <f t="shared" si="7"/>
        <v>51962.747041120478</v>
      </c>
    </row>
    <row r="438" spans="1:7" ht="12.6">
      <c r="A438" s="14">
        <v>45982</v>
      </c>
      <c r="D438" s="11" t="s">
        <v>1232</v>
      </c>
      <c r="F438" s="13">
        <v>4500</v>
      </c>
      <c r="G438" s="26">
        <f t="shared" si="7"/>
        <v>47462.747041120478</v>
      </c>
    </row>
    <row r="439" spans="1:7" ht="12.6">
      <c r="A439" s="14">
        <v>45982</v>
      </c>
      <c r="D439" s="11" t="s">
        <v>1233</v>
      </c>
      <c r="F439" s="13">
        <v>30</v>
      </c>
      <c r="G439" s="26">
        <f t="shared" si="7"/>
        <v>47432.747041120478</v>
      </c>
    </row>
    <row r="440" spans="1:7" ht="12.6">
      <c r="A440" s="14">
        <v>45988</v>
      </c>
      <c r="D440" s="15" t="s">
        <v>1266</v>
      </c>
      <c r="F440" s="13">
        <v>4735.8099999999995</v>
      </c>
      <c r="G440" s="26">
        <f t="shared" si="7"/>
        <v>42696.93704112048</v>
      </c>
    </row>
    <row r="441" spans="1:7" ht="12.6">
      <c r="A441" s="14">
        <v>45988</v>
      </c>
      <c r="D441" s="15" t="s">
        <v>1267</v>
      </c>
      <c r="F441" s="13">
        <v>2354.13</v>
      </c>
      <c r="G441" s="26">
        <f t="shared" si="7"/>
        <v>40342.807041120483</v>
      </c>
    </row>
    <row r="442" spans="1:7" ht="12.6">
      <c r="A442" s="14">
        <v>45988</v>
      </c>
      <c r="D442" s="15" t="s">
        <v>1268</v>
      </c>
      <c r="F442" s="13">
        <v>23461.21</v>
      </c>
      <c r="G442" s="26">
        <f t="shared" si="7"/>
        <v>16881.597041120483</v>
      </c>
    </row>
    <row r="443" spans="1:7" ht="12.6">
      <c r="A443" s="14">
        <v>45988</v>
      </c>
      <c r="D443" s="15" t="s">
        <v>1271</v>
      </c>
      <c r="F443" s="13">
        <v>168.7</v>
      </c>
      <c r="G443" s="26">
        <f t="shared" si="7"/>
        <v>16712.897041120483</v>
      </c>
    </row>
    <row r="444" spans="1:7" ht="12.6">
      <c r="A444" s="14">
        <v>45989</v>
      </c>
      <c r="D444" s="45" t="s">
        <v>1279</v>
      </c>
      <c r="E444" s="13">
        <v>4044.8</v>
      </c>
      <c r="F444" s="13"/>
      <c r="G444" s="26">
        <f t="shared" si="7"/>
        <v>20757.697041120482</v>
      </c>
    </row>
    <row r="445" spans="1:7" ht="12.6">
      <c r="A445" s="14">
        <v>45989</v>
      </c>
      <c r="D445" s="45" t="s">
        <v>176</v>
      </c>
      <c r="F445" s="13">
        <v>20</v>
      </c>
      <c r="G445" s="26">
        <f t="shared" si="7"/>
        <v>20737.697041120482</v>
      </c>
    </row>
    <row r="446" spans="1:7" ht="12.6">
      <c r="A446" s="14">
        <v>45989</v>
      </c>
      <c r="D446" s="15" t="s">
        <v>1340</v>
      </c>
      <c r="E446" s="13">
        <v>4053.1</v>
      </c>
      <c r="F446" s="13"/>
      <c r="G446" s="26">
        <f t="shared" si="7"/>
        <v>24790.797041120481</v>
      </c>
    </row>
    <row r="447" spans="1:7" ht="12.6">
      <c r="A447" s="14">
        <v>45989</v>
      </c>
      <c r="D447" s="45" t="s">
        <v>176</v>
      </c>
      <c r="E447" s="13"/>
      <c r="F447" s="13">
        <v>20</v>
      </c>
      <c r="G447" s="26">
        <f t="shared" si="7"/>
        <v>24770.797041120481</v>
      </c>
    </row>
    <row r="448" spans="1:7" ht="12.6">
      <c r="A448" s="14">
        <v>45989</v>
      </c>
      <c r="D448" s="11" t="s">
        <v>1280</v>
      </c>
      <c r="E448" s="13">
        <v>11945</v>
      </c>
      <c r="F448" s="13"/>
      <c r="G448" s="26">
        <f t="shared" si="7"/>
        <v>36715.797041120481</v>
      </c>
    </row>
    <row r="449" spans="1:9" ht="12.6">
      <c r="A449" s="14">
        <v>45989</v>
      </c>
      <c r="D449" s="45" t="s">
        <v>176</v>
      </c>
      <c r="E449" s="13"/>
      <c r="F449" s="13">
        <v>20</v>
      </c>
      <c r="G449" s="26">
        <f t="shared" si="7"/>
        <v>36695.797041120481</v>
      </c>
    </row>
    <row r="450" spans="1:9" ht="12.6">
      <c r="A450" s="14">
        <v>45989</v>
      </c>
      <c r="D450" s="15" t="s">
        <v>1282</v>
      </c>
      <c r="E450" s="13"/>
      <c r="F450" s="13">
        <v>7106.8899999999994</v>
      </c>
      <c r="G450" s="26">
        <f t="shared" si="7"/>
        <v>29588.907041120481</v>
      </c>
    </row>
    <row r="451" spans="1:9" ht="12.6">
      <c r="A451" s="14">
        <v>45989</v>
      </c>
      <c r="D451" s="15" t="s">
        <v>1283</v>
      </c>
      <c r="E451" s="13"/>
      <c r="F451" s="13">
        <v>6672.199999999998</v>
      </c>
      <c r="G451" s="26">
        <f t="shared" si="7"/>
        <v>22916.707041120484</v>
      </c>
    </row>
    <row r="452" spans="1:9" ht="12.6">
      <c r="A452" s="14">
        <v>45989</v>
      </c>
      <c r="D452" s="15" t="s">
        <v>1284</v>
      </c>
      <c r="F452" s="13">
        <v>5061.66</v>
      </c>
      <c r="G452" s="26">
        <f t="shared" si="7"/>
        <v>17855.047041120484</v>
      </c>
    </row>
    <row r="453" spans="1:9" ht="12.6">
      <c r="A453" s="14">
        <v>45989</v>
      </c>
      <c r="D453" s="15" t="s">
        <v>1285</v>
      </c>
      <c r="F453" s="13">
        <v>3419.4099999999989</v>
      </c>
      <c r="G453" s="26">
        <f t="shared" si="7"/>
        <v>14435.637041120484</v>
      </c>
    </row>
    <row r="454" spans="1:9" ht="12.6">
      <c r="A454" s="14">
        <v>45989</v>
      </c>
      <c r="D454" s="15" t="s">
        <v>1286</v>
      </c>
      <c r="F454" s="13">
        <v>8191.3099999999977</v>
      </c>
      <c r="G454" s="26">
        <f t="shared" si="7"/>
        <v>6244.3270411204867</v>
      </c>
    </row>
    <row r="455" spans="1:9" ht="12.6">
      <c r="A455" s="14">
        <v>45989</v>
      </c>
      <c r="D455" s="45" t="s">
        <v>965</v>
      </c>
      <c r="F455" s="13">
        <v>1</v>
      </c>
      <c r="G455" s="26">
        <f t="shared" si="7"/>
        <v>6243.3270411204867</v>
      </c>
    </row>
    <row r="456" spans="1:9" ht="12.6">
      <c r="A456" s="14">
        <v>45991</v>
      </c>
      <c r="B456" s="15"/>
      <c r="C456" s="15"/>
      <c r="D456" s="15" t="s">
        <v>345</v>
      </c>
      <c r="E456" s="15">
        <v>0.04</v>
      </c>
      <c r="F456" s="13"/>
      <c r="G456" s="26">
        <f t="shared" si="7"/>
        <v>6243.3670411204866</v>
      </c>
    </row>
    <row r="457" spans="1:9" s="19" customFormat="1" ht="12.6">
      <c r="A457" s="18">
        <v>45991</v>
      </c>
      <c r="F457" s="30"/>
      <c r="G457" s="31">
        <f t="shared" si="7"/>
        <v>6243.3670411204866</v>
      </c>
    </row>
    <row r="458" spans="1:9" ht="12.6">
      <c r="A458" s="14">
        <v>45992</v>
      </c>
      <c r="F458" s="13"/>
      <c r="G458" s="26">
        <f t="shared" si="7"/>
        <v>6243.3670411204866</v>
      </c>
      <c r="H458" s="26"/>
      <c r="I458" s="29"/>
    </row>
    <row r="459" spans="1:9" ht="12.6">
      <c r="A459" s="14">
        <v>45993</v>
      </c>
      <c r="D459" s="45" t="s">
        <v>1287</v>
      </c>
      <c r="E459" s="13">
        <v>108962.09</v>
      </c>
      <c r="F459" s="13"/>
      <c r="G459" s="26">
        <f t="shared" si="7"/>
        <v>115205.45704112048</v>
      </c>
      <c r="H459" s="26"/>
      <c r="I459" s="29"/>
    </row>
    <row r="460" spans="1:9" ht="12.6">
      <c r="A460" s="14">
        <v>45993</v>
      </c>
      <c r="D460" s="45" t="s">
        <v>176</v>
      </c>
      <c r="E460" s="13"/>
      <c r="F460" s="13">
        <v>40</v>
      </c>
      <c r="G460" s="26">
        <f t="shared" si="7"/>
        <v>115165.45704112048</v>
      </c>
      <c r="H460" s="26"/>
      <c r="I460" s="29"/>
    </row>
    <row r="461" spans="1:9" ht="12.6">
      <c r="A461" s="14">
        <v>46000</v>
      </c>
      <c r="D461" s="11" t="s">
        <v>1295</v>
      </c>
      <c r="F461" s="13">
        <v>12000</v>
      </c>
      <c r="G461" s="26">
        <f t="shared" si="7"/>
        <v>103165.45704112048</v>
      </c>
      <c r="H461" s="26"/>
      <c r="I461" s="29"/>
    </row>
    <row r="462" spans="1:9" ht="12.6">
      <c r="A462" s="14">
        <v>46001</v>
      </c>
      <c r="D462" s="45" t="s">
        <v>176</v>
      </c>
      <c r="E462" s="13"/>
      <c r="F462" s="13">
        <v>30</v>
      </c>
      <c r="G462" s="26">
        <f t="shared" si="7"/>
        <v>103135.45704112048</v>
      </c>
      <c r="H462" s="26"/>
      <c r="I462" s="29"/>
    </row>
    <row r="463" spans="1:9" ht="12.6">
      <c r="A463" s="14">
        <v>46001</v>
      </c>
      <c r="D463" s="15" t="s">
        <v>1300</v>
      </c>
      <c r="F463" s="13">
        <v>2703.75</v>
      </c>
      <c r="G463" s="26">
        <f t="shared" si="7"/>
        <v>100431.70704112048</v>
      </c>
      <c r="H463" s="26"/>
      <c r="I463" s="29"/>
    </row>
    <row r="464" spans="1:9" ht="12.6">
      <c r="A464" s="14">
        <v>46001</v>
      </c>
      <c r="D464" s="15" t="s">
        <v>1301</v>
      </c>
      <c r="F464" s="13">
        <v>9745.67</v>
      </c>
      <c r="G464" s="26">
        <f t="shared" si="7"/>
        <v>90686.037041120479</v>
      </c>
      <c r="H464" s="26"/>
      <c r="I464" s="29"/>
    </row>
    <row r="465" spans="1:11" ht="12.6">
      <c r="A465" s="14">
        <v>46001</v>
      </c>
      <c r="D465" s="15" t="s">
        <v>1302</v>
      </c>
      <c r="F465" s="13">
        <v>4958.33</v>
      </c>
      <c r="G465" s="26">
        <f t="shared" si="7"/>
        <v>85727.707041120477</v>
      </c>
      <c r="H465" s="26"/>
      <c r="I465" s="29"/>
    </row>
    <row r="466" spans="1:11" ht="12.6">
      <c r="A466" s="14">
        <v>46001</v>
      </c>
      <c r="D466" s="15" t="s">
        <v>1305</v>
      </c>
      <c r="F466" s="13">
        <v>1842.5</v>
      </c>
      <c r="G466" s="26">
        <f t="shared" si="7"/>
        <v>83885.207041120477</v>
      </c>
      <c r="H466" s="26"/>
      <c r="I466" s="29"/>
    </row>
    <row r="467" spans="1:11" ht="12.6">
      <c r="A467" s="14">
        <v>46001</v>
      </c>
      <c r="D467" s="15" t="s">
        <v>1303</v>
      </c>
      <c r="F467" s="13">
        <v>4166.8100000000004</v>
      </c>
      <c r="G467" s="26">
        <f t="shared" si="7"/>
        <v>79718.397041120479</v>
      </c>
      <c r="H467" s="26"/>
      <c r="I467" s="29"/>
      <c r="K467" s="334"/>
    </row>
    <row r="468" spans="1:11" ht="12.6">
      <c r="A468" s="14">
        <v>46001</v>
      </c>
      <c r="D468" s="15" t="s">
        <v>1306</v>
      </c>
      <c r="F468" s="13">
        <v>609.54</v>
      </c>
      <c r="G468" s="26">
        <f t="shared" si="7"/>
        <v>79108.857041120486</v>
      </c>
      <c r="H468" s="26"/>
      <c r="I468" s="29"/>
    </row>
    <row r="469" spans="1:11" ht="12.6">
      <c r="A469" s="14">
        <v>46001</v>
      </c>
      <c r="D469" s="15" t="s">
        <v>1304</v>
      </c>
      <c r="F469" s="13">
        <v>4147.38</v>
      </c>
      <c r="G469" s="26">
        <f t="shared" si="7"/>
        <v>74961.477041120481</v>
      </c>
      <c r="H469" s="26"/>
      <c r="I469" s="29"/>
    </row>
    <row r="470" spans="1:11" ht="12.6">
      <c r="A470" s="14">
        <v>46001</v>
      </c>
      <c r="D470" s="45" t="s">
        <v>965</v>
      </c>
      <c r="F470" s="13">
        <v>1</v>
      </c>
      <c r="G470" s="26">
        <f t="shared" si="7"/>
        <v>74960.477041120481</v>
      </c>
      <c r="H470" s="26"/>
      <c r="I470" s="29"/>
    </row>
    <row r="471" spans="1:11" ht="12.6">
      <c r="A471" s="14">
        <v>46001</v>
      </c>
      <c r="D471" s="15" t="s">
        <v>1309</v>
      </c>
      <c r="F471" s="13">
        <v>226</v>
      </c>
      <c r="G471" s="26">
        <f t="shared" si="7"/>
        <v>74734.477041120481</v>
      </c>
      <c r="H471" s="26"/>
      <c r="I471" s="29"/>
    </row>
    <row r="472" spans="1:11" s="15" customFormat="1" ht="12.6">
      <c r="A472" s="14">
        <v>46001</v>
      </c>
      <c r="D472" s="45" t="s">
        <v>965</v>
      </c>
      <c r="E472" s="13"/>
      <c r="F472" s="13">
        <v>1</v>
      </c>
      <c r="G472" s="26">
        <f t="shared" si="7"/>
        <v>74733.477041120481</v>
      </c>
      <c r="H472" s="26"/>
      <c r="I472" s="34"/>
    </row>
    <row r="473" spans="1:11" ht="12.6">
      <c r="A473" s="14">
        <v>46001</v>
      </c>
      <c r="D473" s="11" t="s">
        <v>1352</v>
      </c>
      <c r="E473" s="13"/>
      <c r="F473" s="13">
        <v>65000</v>
      </c>
      <c r="G473" s="26">
        <f>G472+E473-F473</f>
        <v>9733.4770411204809</v>
      </c>
      <c r="H473" s="26"/>
      <c r="I473" s="29"/>
    </row>
    <row r="474" spans="1:11" ht="12.6">
      <c r="A474" s="14">
        <v>46002</v>
      </c>
      <c r="D474" s="11" t="s">
        <v>1319</v>
      </c>
      <c r="E474" s="13"/>
      <c r="F474" s="13">
        <v>254.25</v>
      </c>
      <c r="G474" s="26">
        <f t="shared" si="7"/>
        <v>9479.2270411204809</v>
      </c>
      <c r="H474" s="26"/>
      <c r="I474" s="29"/>
    </row>
    <row r="475" spans="1:11" ht="12.6">
      <c r="A475" s="14">
        <v>46002</v>
      </c>
      <c r="D475" s="45" t="s">
        <v>965</v>
      </c>
      <c r="E475" s="13"/>
      <c r="F475" s="13">
        <v>1</v>
      </c>
      <c r="G475" s="26">
        <f t="shared" si="7"/>
        <v>9478.2270411204809</v>
      </c>
      <c r="H475" s="26"/>
      <c r="I475" s="29"/>
    </row>
    <row r="476" spans="1:11" ht="12.6">
      <c r="A476" s="14">
        <v>46006</v>
      </c>
      <c r="D476" s="11" t="s">
        <v>1325</v>
      </c>
      <c r="E476" s="13"/>
      <c r="F476" s="13">
        <v>68</v>
      </c>
      <c r="G476" s="26">
        <f t="shared" si="7"/>
        <v>9410.2270411204809</v>
      </c>
      <c r="H476" s="26"/>
      <c r="I476" s="29"/>
    </row>
    <row r="477" spans="1:11" ht="12.6">
      <c r="A477" s="14">
        <v>46006</v>
      </c>
      <c r="D477" s="45" t="s">
        <v>1326</v>
      </c>
      <c r="E477" s="13"/>
      <c r="F477" s="13">
        <v>30</v>
      </c>
      <c r="G477" s="26">
        <f t="shared" si="7"/>
        <v>9380.2270411204809</v>
      </c>
      <c r="H477" s="26"/>
      <c r="I477" s="29"/>
    </row>
    <row r="478" spans="1:11" ht="12.6">
      <c r="A478" s="14">
        <v>46009</v>
      </c>
      <c r="D478" s="45" t="s">
        <v>1335</v>
      </c>
      <c r="E478" s="13">
        <v>85000.09</v>
      </c>
      <c r="F478" s="13"/>
      <c r="G478" s="26">
        <f t="shared" si="7"/>
        <v>94380.317041120477</v>
      </c>
      <c r="H478" s="26"/>
      <c r="I478" s="29"/>
    </row>
    <row r="479" spans="1:11" ht="12.6">
      <c r="A479" s="14">
        <v>46009</v>
      </c>
      <c r="D479" s="45" t="s">
        <v>176</v>
      </c>
      <c r="E479" s="13"/>
      <c r="F479" s="13">
        <v>40</v>
      </c>
      <c r="G479" s="26">
        <f t="shared" si="7"/>
        <v>94340.317041120477</v>
      </c>
      <c r="H479" s="26"/>
      <c r="I479" s="29"/>
    </row>
    <row r="480" spans="1:11" ht="12.6">
      <c r="A480" s="14">
        <v>46009</v>
      </c>
      <c r="D480" s="45" t="s">
        <v>1331</v>
      </c>
      <c r="E480" s="13">
        <v>19871.14</v>
      </c>
      <c r="F480" s="13"/>
      <c r="G480" s="26">
        <f t="shared" si="7"/>
        <v>114211.45704112048</v>
      </c>
      <c r="H480" s="26"/>
      <c r="I480" s="29"/>
    </row>
    <row r="481" spans="1:9" ht="12.6">
      <c r="A481" s="14">
        <v>46009</v>
      </c>
      <c r="D481" s="45" t="s">
        <v>176</v>
      </c>
      <c r="E481" s="13"/>
      <c r="F481" s="13">
        <v>29.81</v>
      </c>
      <c r="G481" s="26">
        <f t="shared" si="7"/>
        <v>114181.64704112048</v>
      </c>
      <c r="H481" s="26"/>
      <c r="I481" s="29"/>
    </row>
    <row r="482" spans="1:9" ht="12.6">
      <c r="A482" s="14">
        <v>46013</v>
      </c>
      <c r="D482" s="45" t="s">
        <v>1336</v>
      </c>
      <c r="E482" s="13">
        <v>2494.2800000000002</v>
      </c>
      <c r="F482" s="13"/>
      <c r="G482" s="26">
        <f t="shared" si="7"/>
        <v>116675.92704112048</v>
      </c>
      <c r="H482" s="26"/>
      <c r="I482" s="29"/>
    </row>
    <row r="483" spans="1:9" ht="12.6">
      <c r="A483" s="14">
        <v>46013</v>
      </c>
      <c r="D483" s="45" t="s">
        <v>176</v>
      </c>
      <c r="E483" s="13"/>
      <c r="F483" s="13">
        <v>20</v>
      </c>
      <c r="G483" s="26">
        <f t="shared" si="7"/>
        <v>116655.92704112048</v>
      </c>
      <c r="H483" s="26"/>
      <c r="I483" s="29"/>
    </row>
    <row r="484" spans="1:9" ht="12.6">
      <c r="A484" s="14">
        <v>46014</v>
      </c>
      <c r="D484" s="15" t="s">
        <v>1341</v>
      </c>
      <c r="E484" s="13">
        <v>3493.93</v>
      </c>
      <c r="F484" s="13"/>
      <c r="G484" s="26">
        <f t="shared" si="7"/>
        <v>120149.85704112047</v>
      </c>
      <c r="H484" s="26"/>
      <c r="I484" s="29"/>
    </row>
    <row r="485" spans="1:9" ht="12.6">
      <c r="A485" s="14">
        <v>46014</v>
      </c>
      <c r="D485" s="45" t="s">
        <v>176</v>
      </c>
      <c r="E485" s="13"/>
      <c r="F485" s="13">
        <v>20</v>
      </c>
      <c r="G485" s="26">
        <f t="shared" si="7"/>
        <v>120129.85704112047</v>
      </c>
      <c r="H485" s="26"/>
      <c r="I485" s="29"/>
    </row>
    <row r="486" spans="1:9" ht="12.6">
      <c r="A486" s="14">
        <v>46014</v>
      </c>
      <c r="D486" s="15" t="s">
        <v>1342</v>
      </c>
      <c r="E486" s="13">
        <v>8562.5499999999993</v>
      </c>
      <c r="F486" s="13"/>
      <c r="G486" s="26">
        <f t="shared" si="7"/>
        <v>128692.40704112047</v>
      </c>
      <c r="H486" s="26"/>
      <c r="I486" s="29"/>
    </row>
    <row r="487" spans="1:9" ht="12.6">
      <c r="A487" s="14">
        <v>46014</v>
      </c>
      <c r="D487" s="45" t="s">
        <v>176</v>
      </c>
      <c r="E487" s="13"/>
      <c r="F487" s="13">
        <v>20</v>
      </c>
      <c r="G487" s="26">
        <f t="shared" si="7"/>
        <v>128672.40704112047</v>
      </c>
      <c r="H487" s="26"/>
      <c r="I487" s="29"/>
    </row>
    <row r="488" spans="1:9" ht="12.6">
      <c r="A488" s="14">
        <v>46014</v>
      </c>
      <c r="D488" s="15" t="s">
        <v>1339</v>
      </c>
      <c r="E488" s="13"/>
      <c r="F488" s="13">
        <v>201.55</v>
      </c>
      <c r="G488" s="26">
        <f t="shared" si="7"/>
        <v>128470.85704112047</v>
      </c>
      <c r="H488" s="26"/>
      <c r="I488" s="29"/>
    </row>
    <row r="489" spans="1:9" ht="12.6">
      <c r="A489" s="14">
        <v>46014</v>
      </c>
      <c r="D489" s="11" t="s">
        <v>1353</v>
      </c>
      <c r="F489" s="13">
        <v>75709.759999999995</v>
      </c>
      <c r="G489" s="26">
        <f t="shared" si="7"/>
        <v>52761.097041120476</v>
      </c>
      <c r="H489" s="26"/>
      <c r="I489" s="29"/>
    </row>
    <row r="490" spans="1:9" ht="12.6">
      <c r="A490" s="14">
        <v>46017</v>
      </c>
      <c r="D490" s="15" t="s">
        <v>1354</v>
      </c>
      <c r="F490" s="13">
        <v>9519.84</v>
      </c>
      <c r="G490" s="26">
        <f t="shared" si="7"/>
        <v>43241.25704112048</v>
      </c>
      <c r="H490" s="26"/>
      <c r="I490" s="29"/>
    </row>
    <row r="491" spans="1:9" ht="12.6">
      <c r="A491" s="14">
        <v>46017</v>
      </c>
      <c r="D491" s="15" t="s">
        <v>1355</v>
      </c>
      <c r="F491" s="13">
        <v>6672.2</v>
      </c>
      <c r="G491" s="26">
        <f t="shared" si="7"/>
        <v>36569.057041120483</v>
      </c>
      <c r="H491" s="26"/>
      <c r="I491" s="29"/>
    </row>
    <row r="492" spans="1:9" ht="12.6">
      <c r="A492" s="14">
        <v>46017</v>
      </c>
      <c r="D492" s="15" t="s">
        <v>1356</v>
      </c>
      <c r="F492" s="13">
        <v>7782.92</v>
      </c>
      <c r="G492" s="26">
        <f t="shared" ref="G492:G555" si="8">G491+E492-F492</f>
        <v>28786.137041120484</v>
      </c>
      <c r="H492" s="26"/>
      <c r="I492" s="29"/>
    </row>
    <row r="493" spans="1:9" ht="12.6">
      <c r="A493" s="14">
        <v>46017</v>
      </c>
      <c r="D493" s="15" t="s">
        <v>1359</v>
      </c>
      <c r="F493" s="13">
        <v>4735.8100000000004</v>
      </c>
      <c r="G493" s="26">
        <f t="shared" si="8"/>
        <v>24050.327041120483</v>
      </c>
      <c r="H493" s="26"/>
      <c r="I493" s="29"/>
    </row>
    <row r="494" spans="1:9" ht="12.6">
      <c r="A494" s="14">
        <v>46017</v>
      </c>
      <c r="D494" s="15" t="s">
        <v>1357</v>
      </c>
      <c r="F494" s="13">
        <v>3419.41</v>
      </c>
      <c r="G494" s="26">
        <f t="shared" si="8"/>
        <v>20630.917041120483</v>
      </c>
      <c r="H494" s="26"/>
      <c r="I494" s="29"/>
    </row>
    <row r="495" spans="1:9" ht="12.6">
      <c r="A495" s="14">
        <v>46017</v>
      </c>
      <c r="D495" s="15" t="s">
        <v>1360</v>
      </c>
      <c r="F495" s="13">
        <v>2128.54</v>
      </c>
      <c r="G495" s="26">
        <f t="shared" si="8"/>
        <v>18502.377041120482</v>
      </c>
      <c r="H495" s="26"/>
      <c r="I495" s="29"/>
    </row>
    <row r="496" spans="1:9" ht="12.6">
      <c r="A496" s="14">
        <v>46018</v>
      </c>
      <c r="D496" s="15" t="s">
        <v>1358</v>
      </c>
      <c r="F496" s="13">
        <v>7568.7</v>
      </c>
      <c r="G496" s="26">
        <f t="shared" si="8"/>
        <v>10933.677041120482</v>
      </c>
      <c r="H496" s="26"/>
      <c r="I496" s="29"/>
    </row>
    <row r="497" spans="1:11" ht="12.6">
      <c r="A497" s="14">
        <v>46018</v>
      </c>
      <c r="D497" s="45" t="s">
        <v>965</v>
      </c>
      <c r="F497" s="13">
        <v>1</v>
      </c>
      <c r="G497" s="26">
        <f t="shared" si="8"/>
        <v>10932.677041120482</v>
      </c>
      <c r="H497" s="26"/>
      <c r="I497" s="29"/>
    </row>
    <row r="498" spans="1:11" ht="12.6">
      <c r="A498" s="14">
        <v>46018</v>
      </c>
      <c r="D498" s="11" t="s">
        <v>1368</v>
      </c>
      <c r="F498" s="13">
        <f>1419</f>
        <v>1419</v>
      </c>
      <c r="G498" s="26">
        <f t="shared" si="8"/>
        <v>9513.6770411204816</v>
      </c>
      <c r="H498" s="26"/>
      <c r="I498" s="29"/>
    </row>
    <row r="499" spans="1:11" ht="12.6">
      <c r="A499" s="14">
        <v>46018</v>
      </c>
      <c r="D499" s="45" t="s">
        <v>965</v>
      </c>
      <c r="F499" s="13">
        <v>30</v>
      </c>
      <c r="G499" s="26">
        <f t="shared" si="8"/>
        <v>9483.6770411204816</v>
      </c>
      <c r="H499" s="26"/>
      <c r="I499" s="29"/>
    </row>
    <row r="500" spans="1:11" ht="12.6">
      <c r="A500" s="14">
        <v>46022</v>
      </c>
      <c r="D500" s="15" t="s">
        <v>345</v>
      </c>
      <c r="E500" s="13">
        <v>4.53</v>
      </c>
      <c r="F500" s="13"/>
      <c r="G500" s="26">
        <f t="shared" si="8"/>
        <v>9488.2070411204822</v>
      </c>
      <c r="H500" s="26"/>
      <c r="I500" s="29"/>
      <c r="K500" s="29"/>
    </row>
    <row r="501" spans="1:11" s="19" customFormat="1" ht="12.6">
      <c r="A501" s="18">
        <v>46022</v>
      </c>
      <c r="D501" s="525"/>
      <c r="E501" s="30"/>
      <c r="F501" s="30"/>
      <c r="G501" s="31">
        <f t="shared" si="8"/>
        <v>9488.2070411204822</v>
      </c>
    </row>
    <row r="502" spans="1:11" ht="12.6">
      <c r="A502" s="14">
        <v>46023</v>
      </c>
      <c r="E502" s="13"/>
      <c r="F502" s="13"/>
      <c r="G502" s="26">
        <f t="shared" si="8"/>
        <v>9488.2070411204822</v>
      </c>
    </row>
    <row r="503" spans="1:11" ht="12.6">
      <c r="A503" s="14">
        <v>46023</v>
      </c>
      <c r="D503" s="15" t="s">
        <v>1386</v>
      </c>
      <c r="E503" s="13">
        <v>1950</v>
      </c>
      <c r="F503" s="13"/>
      <c r="G503" s="26">
        <f t="shared" si="8"/>
        <v>11438.207041120482</v>
      </c>
    </row>
    <row r="504" spans="1:11" ht="12.6">
      <c r="A504" s="14">
        <v>46023</v>
      </c>
      <c r="D504" s="45" t="s">
        <v>176</v>
      </c>
      <c r="E504" s="13"/>
      <c r="F504" s="13">
        <v>20</v>
      </c>
      <c r="G504" s="26">
        <f t="shared" si="8"/>
        <v>11418.207041120482</v>
      </c>
    </row>
    <row r="505" spans="1:11" ht="12.6">
      <c r="A505" s="14">
        <v>46028</v>
      </c>
      <c r="D505" s="45" t="s">
        <v>1373</v>
      </c>
      <c r="E505" s="13">
        <v>13482.73</v>
      </c>
      <c r="F505" s="13"/>
      <c r="G505" s="26">
        <f t="shared" si="8"/>
        <v>24900.93704112048</v>
      </c>
    </row>
    <row r="506" spans="1:11" ht="12.6">
      <c r="A506" s="14">
        <v>46028</v>
      </c>
      <c r="D506" s="45" t="s">
        <v>176</v>
      </c>
      <c r="E506" s="13"/>
      <c r="F506" s="13">
        <v>20.22</v>
      </c>
      <c r="G506" s="26">
        <f t="shared" si="8"/>
        <v>24880.717041120479</v>
      </c>
    </row>
    <row r="507" spans="1:11" ht="12.6">
      <c r="A507" s="14">
        <v>46030</v>
      </c>
      <c r="D507" s="11" t="s">
        <v>1375</v>
      </c>
      <c r="E507" s="13"/>
      <c r="F507" s="13">
        <v>15</v>
      </c>
      <c r="G507" s="26">
        <f t="shared" si="8"/>
        <v>24865.717041120479</v>
      </c>
    </row>
    <row r="508" spans="1:11" ht="12.6">
      <c r="A508" s="14">
        <v>46038</v>
      </c>
      <c r="D508" s="15" t="s">
        <v>1380</v>
      </c>
      <c r="E508" s="13"/>
      <c r="F508" s="13">
        <v>226</v>
      </c>
      <c r="G508" s="26">
        <f t="shared" si="8"/>
        <v>24639.717041120479</v>
      </c>
    </row>
    <row r="509" spans="1:11" ht="12.6">
      <c r="A509" s="14">
        <v>46038</v>
      </c>
      <c r="D509" s="45" t="s">
        <v>965</v>
      </c>
      <c r="E509" s="13"/>
      <c r="F509" s="13">
        <v>1</v>
      </c>
      <c r="G509" s="26">
        <f t="shared" si="8"/>
        <v>24638.717041120479</v>
      </c>
    </row>
    <row r="510" spans="1:11" ht="12.6">
      <c r="A510" s="14">
        <v>46042</v>
      </c>
      <c r="D510" s="15" t="s">
        <v>1404</v>
      </c>
      <c r="E510" s="13">
        <v>18775.3</v>
      </c>
      <c r="F510" s="13"/>
      <c r="G510" s="26">
        <f t="shared" si="8"/>
        <v>43414.017041120474</v>
      </c>
    </row>
    <row r="511" spans="1:11" ht="12.6">
      <c r="A511" s="14">
        <v>46042</v>
      </c>
      <c r="D511" s="45" t="s">
        <v>176</v>
      </c>
      <c r="E511" s="13"/>
      <c r="F511" s="13">
        <v>28.16</v>
      </c>
      <c r="G511" s="26">
        <f t="shared" si="8"/>
        <v>43385.857041120471</v>
      </c>
    </row>
    <row r="512" spans="1:11" ht="12.6">
      <c r="A512" s="14">
        <v>46044</v>
      </c>
      <c r="D512" s="15" t="s">
        <v>1390</v>
      </c>
      <c r="E512" s="13">
        <v>8370.65</v>
      </c>
      <c r="F512" s="13"/>
      <c r="G512" s="26">
        <f t="shared" si="8"/>
        <v>51756.507041120472</v>
      </c>
    </row>
    <row r="513" spans="1:9" ht="12.6">
      <c r="A513" s="14">
        <v>46044</v>
      </c>
      <c r="D513" s="45" t="s">
        <v>176</v>
      </c>
      <c r="E513" s="13"/>
      <c r="F513" s="13">
        <v>20</v>
      </c>
      <c r="G513" s="26">
        <f t="shared" si="8"/>
        <v>51736.507041120472</v>
      </c>
    </row>
    <row r="514" spans="1:9" ht="12.6">
      <c r="A514" s="14">
        <v>45680</v>
      </c>
      <c r="D514" s="45" t="s">
        <v>1408</v>
      </c>
      <c r="E514" s="13">
        <v>80955.41</v>
      </c>
      <c r="F514" s="13"/>
      <c r="G514" s="26">
        <f t="shared" si="8"/>
        <v>132691.91704112047</v>
      </c>
    </row>
    <row r="515" spans="1:9" ht="12.6">
      <c r="A515" s="14">
        <v>45680</v>
      </c>
      <c r="D515" s="45" t="s">
        <v>176</v>
      </c>
      <c r="E515" s="13"/>
      <c r="F515" s="13">
        <v>40</v>
      </c>
      <c r="G515" s="26">
        <f t="shared" si="8"/>
        <v>132651.91704112047</v>
      </c>
    </row>
    <row r="516" spans="1:9" ht="12.6">
      <c r="A516" s="14">
        <v>45680</v>
      </c>
      <c r="D516" s="15" t="s">
        <v>1413</v>
      </c>
      <c r="E516" s="13">
        <v>23035.8</v>
      </c>
      <c r="F516" s="13"/>
      <c r="G516" s="26">
        <f t="shared" si="8"/>
        <v>155687.71704112046</v>
      </c>
    </row>
    <row r="517" spans="1:9" ht="12.6">
      <c r="A517" s="14">
        <v>45680</v>
      </c>
      <c r="D517" s="45" t="s">
        <v>176</v>
      </c>
      <c r="E517" s="13"/>
      <c r="F517" s="11">
        <v>34.549999999999997</v>
      </c>
      <c r="G517" s="26">
        <f t="shared" si="8"/>
        <v>155653.16704112047</v>
      </c>
    </row>
    <row r="518" spans="1:9" ht="12.6">
      <c r="A518" s="14">
        <v>46049</v>
      </c>
      <c r="D518" s="15" t="s">
        <v>1442</v>
      </c>
      <c r="E518" s="13">
        <v>725.78</v>
      </c>
      <c r="G518" s="26">
        <f t="shared" si="8"/>
        <v>156378.94704112047</v>
      </c>
    </row>
    <row r="519" spans="1:9" ht="12.6">
      <c r="A519" s="14">
        <v>46049</v>
      </c>
      <c r="D519" s="15" t="s">
        <v>1409</v>
      </c>
      <c r="E519" s="13">
        <v>4332.28</v>
      </c>
      <c r="G519" s="26">
        <f t="shared" si="8"/>
        <v>160711.22704112047</v>
      </c>
    </row>
    <row r="520" spans="1:9" ht="12.6">
      <c r="A520" s="14">
        <v>46049</v>
      </c>
      <c r="D520" s="45" t="s">
        <v>176</v>
      </c>
      <c r="E520" s="13"/>
      <c r="F520" s="13">
        <v>20</v>
      </c>
      <c r="G520" s="26">
        <f t="shared" si="8"/>
        <v>160691.22704112047</v>
      </c>
    </row>
    <row r="521" spans="1:9" ht="12.6">
      <c r="A521" s="14">
        <v>46050</v>
      </c>
      <c r="D521" s="11" t="s">
        <v>1415</v>
      </c>
      <c r="F521" s="13">
        <v>95772.01999999999</v>
      </c>
      <c r="G521" s="26">
        <f t="shared" si="8"/>
        <v>64919.207041120477</v>
      </c>
    </row>
    <row r="522" spans="1:9" ht="12.6">
      <c r="A522" s="14">
        <v>46050</v>
      </c>
      <c r="D522" s="15" t="s">
        <v>1417</v>
      </c>
      <c r="F522" s="13">
        <v>7088.35</v>
      </c>
      <c r="G522" s="26">
        <f t="shared" si="8"/>
        <v>57830.857041120478</v>
      </c>
    </row>
    <row r="523" spans="1:9" ht="12.6">
      <c r="A523" s="14">
        <v>46050</v>
      </c>
      <c r="D523" s="15" t="s">
        <v>1416</v>
      </c>
      <c r="F523" s="13">
        <v>6655.89</v>
      </c>
      <c r="G523" s="26">
        <f t="shared" si="8"/>
        <v>51174.967041120479</v>
      </c>
    </row>
    <row r="524" spans="1:9" ht="12.6">
      <c r="A524" s="14">
        <v>46050</v>
      </c>
      <c r="D524" s="15" t="s">
        <v>1418</v>
      </c>
      <c r="F524" s="13">
        <v>4723.91</v>
      </c>
      <c r="G524" s="26">
        <f t="shared" si="8"/>
        <v>46451.057041120483</v>
      </c>
    </row>
    <row r="525" spans="1:9" ht="12.6">
      <c r="A525" s="14">
        <v>46050</v>
      </c>
      <c r="D525" s="15" t="s">
        <v>1419</v>
      </c>
      <c r="F525" s="13">
        <v>3411.45</v>
      </c>
      <c r="G525" s="26">
        <f t="shared" si="8"/>
        <v>43039.607041120486</v>
      </c>
      <c r="I525" s="334"/>
    </row>
    <row r="526" spans="1:9" ht="12.6">
      <c r="A526" s="14">
        <v>46050</v>
      </c>
      <c r="D526" s="15" t="s">
        <v>1420</v>
      </c>
      <c r="F526" s="13">
        <v>2542.5300000000002</v>
      </c>
      <c r="G526" s="26">
        <f t="shared" si="8"/>
        <v>40497.077041120487</v>
      </c>
    </row>
    <row r="527" spans="1:9" ht="12.6">
      <c r="A527" s="14">
        <v>46050</v>
      </c>
      <c r="D527" s="15" t="s">
        <v>1421</v>
      </c>
      <c r="E527" s="13"/>
      <c r="F527" s="13">
        <v>7548.45</v>
      </c>
      <c r="G527" s="26">
        <f t="shared" si="8"/>
        <v>32948.62704112049</v>
      </c>
    </row>
    <row r="528" spans="1:9" ht="12.6">
      <c r="A528" s="14">
        <v>46050</v>
      </c>
      <c r="D528" s="45" t="s">
        <v>965</v>
      </c>
      <c r="E528" s="13"/>
      <c r="F528" s="13">
        <v>1</v>
      </c>
      <c r="G528" s="26">
        <f t="shared" si="8"/>
        <v>32947.62704112049</v>
      </c>
    </row>
    <row r="529" spans="1:7" ht="12.6">
      <c r="A529" s="14">
        <v>46050</v>
      </c>
      <c r="D529" s="15" t="s">
        <v>1422</v>
      </c>
      <c r="E529" s="13"/>
      <c r="F529" s="13">
        <v>356.68</v>
      </c>
      <c r="G529" s="26">
        <f t="shared" si="8"/>
        <v>32590.947041120489</v>
      </c>
    </row>
    <row r="530" spans="1:7" ht="12.6">
      <c r="A530" s="14">
        <v>46051</v>
      </c>
      <c r="D530" s="15" t="s">
        <v>1425</v>
      </c>
      <c r="E530" s="13"/>
      <c r="F530" s="13">
        <v>5049.07</v>
      </c>
      <c r="G530" s="26">
        <f t="shared" si="8"/>
        <v>27541.87704112049</v>
      </c>
    </row>
    <row r="531" spans="1:7" ht="12.6">
      <c r="A531" s="14">
        <v>46051</v>
      </c>
      <c r="D531" s="15" t="s">
        <v>1437</v>
      </c>
      <c r="E531" s="13"/>
      <c r="F531" s="13">
        <v>87.88</v>
      </c>
      <c r="G531" s="26">
        <f t="shared" si="8"/>
        <v>27453.997041120489</v>
      </c>
    </row>
    <row r="532" spans="1:7" ht="12.6">
      <c r="A532" s="14">
        <v>46053</v>
      </c>
      <c r="D532" s="15" t="s">
        <v>345</v>
      </c>
      <c r="E532" s="13">
        <v>2.94</v>
      </c>
      <c r="F532" s="13"/>
      <c r="G532" s="26">
        <f t="shared" si="8"/>
        <v>27456.937041120487</v>
      </c>
    </row>
    <row r="533" spans="1:7" s="19" customFormat="1" ht="12.6">
      <c r="A533" s="18">
        <v>46053</v>
      </c>
      <c r="E533" s="30"/>
      <c r="F533" s="30"/>
      <c r="G533" s="31">
        <f t="shared" si="8"/>
        <v>27456.937041120487</v>
      </c>
    </row>
    <row r="534" spans="1:7" ht="12.6">
      <c r="A534" s="14">
        <v>46054</v>
      </c>
      <c r="D534" s="15"/>
      <c r="E534" s="26"/>
      <c r="F534" s="26"/>
      <c r="G534" s="26">
        <f t="shared" si="8"/>
        <v>27456.937041120487</v>
      </c>
    </row>
    <row r="535" spans="1:7" ht="12.6">
      <c r="A535" s="14">
        <v>46065</v>
      </c>
      <c r="D535" s="15" t="s">
        <v>1450</v>
      </c>
      <c r="F535" s="13">
        <f>4485</f>
        <v>4485</v>
      </c>
      <c r="G535" s="26">
        <f t="shared" si="8"/>
        <v>22971.937041120487</v>
      </c>
    </row>
    <row r="536" spans="1:7" ht="12.6">
      <c r="A536" s="14">
        <v>46065</v>
      </c>
      <c r="D536" s="45" t="s">
        <v>965</v>
      </c>
      <c r="F536" s="13">
        <f>30</f>
        <v>30</v>
      </c>
      <c r="G536" s="26">
        <f t="shared" si="8"/>
        <v>22941.937041120487</v>
      </c>
    </row>
    <row r="537" spans="1:7" ht="12.6">
      <c r="A537" s="14">
        <v>46066</v>
      </c>
      <c r="D537" s="15" t="s">
        <v>1452</v>
      </c>
      <c r="E537" s="26">
        <v>18784.400000000001</v>
      </c>
      <c r="F537" s="26"/>
      <c r="G537" s="26">
        <f t="shared" si="8"/>
        <v>41726.337041120489</v>
      </c>
    </row>
    <row r="538" spans="1:7" ht="12.6">
      <c r="A538" s="14">
        <v>46066</v>
      </c>
      <c r="D538" s="45" t="s">
        <v>965</v>
      </c>
      <c r="E538" s="26"/>
      <c r="F538" s="26">
        <v>28.18</v>
      </c>
      <c r="G538" s="26">
        <f t="shared" si="8"/>
        <v>41698.157041120488</v>
      </c>
    </row>
    <row r="539" spans="1:7" ht="12.6">
      <c r="A539" s="14">
        <v>46066</v>
      </c>
      <c r="D539" s="15" t="s">
        <v>1453</v>
      </c>
      <c r="E539" s="26">
        <v>9779.81</v>
      </c>
      <c r="F539" s="26"/>
      <c r="G539" s="26">
        <f t="shared" si="8"/>
        <v>51477.967041120486</v>
      </c>
    </row>
    <row r="540" spans="1:7" ht="12.6">
      <c r="A540" s="14">
        <v>46066</v>
      </c>
      <c r="D540" s="45" t="s">
        <v>965</v>
      </c>
      <c r="E540" s="26"/>
      <c r="F540" s="26">
        <v>20</v>
      </c>
      <c r="G540" s="26">
        <f t="shared" si="8"/>
        <v>51457.967041120486</v>
      </c>
    </row>
    <row r="541" spans="1:7" ht="12.6">
      <c r="A541" s="14">
        <v>46070</v>
      </c>
      <c r="D541" s="15" t="s">
        <v>1477</v>
      </c>
      <c r="E541" s="26"/>
      <c r="F541" s="26">
        <v>226</v>
      </c>
      <c r="G541" s="26">
        <f t="shared" si="8"/>
        <v>51231.967041120486</v>
      </c>
    </row>
    <row r="542" spans="1:7" ht="12.6">
      <c r="A542" s="14">
        <v>46070</v>
      </c>
      <c r="D542" s="45" t="s">
        <v>965</v>
      </c>
      <c r="E542" s="26"/>
      <c r="F542" s="26">
        <v>3</v>
      </c>
      <c r="G542" s="26">
        <f t="shared" si="8"/>
        <v>51228.967041120486</v>
      </c>
    </row>
    <row r="543" spans="1:7" ht="12.6">
      <c r="A543" s="14">
        <v>46076</v>
      </c>
      <c r="D543" s="15" t="s">
        <v>1478</v>
      </c>
      <c r="E543" s="26">
        <v>24342.95</v>
      </c>
      <c r="F543" s="26"/>
      <c r="G543" s="26">
        <f t="shared" si="8"/>
        <v>75571.917041120483</v>
      </c>
    </row>
    <row r="544" spans="1:7" ht="12.6">
      <c r="A544" s="14">
        <v>46076</v>
      </c>
      <c r="D544" s="45" t="s">
        <v>965</v>
      </c>
      <c r="E544" s="26"/>
      <c r="F544" s="26">
        <v>36.51</v>
      </c>
      <c r="G544" s="26">
        <f t="shared" si="8"/>
        <v>75535.407041120488</v>
      </c>
    </row>
    <row r="545" spans="1:10" ht="12.6">
      <c r="A545" s="14">
        <v>46077</v>
      </c>
      <c r="D545" s="15" t="s">
        <v>1479</v>
      </c>
      <c r="E545" s="26">
        <v>76924.39</v>
      </c>
      <c r="F545" s="26"/>
      <c r="G545" s="26">
        <f t="shared" si="8"/>
        <v>152459.79704112047</v>
      </c>
    </row>
    <row r="546" spans="1:10" ht="12.6">
      <c r="A546" s="14">
        <v>46077</v>
      </c>
      <c r="D546" s="45" t="s">
        <v>965</v>
      </c>
      <c r="E546" s="26"/>
      <c r="F546" s="26">
        <v>40</v>
      </c>
      <c r="G546" s="26">
        <f t="shared" si="8"/>
        <v>152419.79704112047</v>
      </c>
    </row>
    <row r="547" spans="1:10" ht="12.6">
      <c r="A547" s="14">
        <v>46078</v>
      </c>
      <c r="D547" s="15" t="s">
        <v>1480</v>
      </c>
      <c r="E547" s="26">
        <v>3164.23</v>
      </c>
      <c r="F547" s="13"/>
      <c r="G547" s="26">
        <f t="shared" si="8"/>
        <v>155584.02704112048</v>
      </c>
    </row>
    <row r="548" spans="1:10" ht="12.6">
      <c r="A548" s="14">
        <v>46078</v>
      </c>
      <c r="D548" s="45" t="s">
        <v>965</v>
      </c>
      <c r="E548" s="26"/>
      <c r="F548" s="26">
        <v>20</v>
      </c>
      <c r="G548" s="26">
        <f t="shared" si="8"/>
        <v>155564.02704112048</v>
      </c>
    </row>
    <row r="549" spans="1:10" ht="12.6">
      <c r="A549" s="14">
        <v>46078</v>
      </c>
      <c r="D549" s="11" t="s">
        <v>1481</v>
      </c>
      <c r="F549" s="26">
        <v>15</v>
      </c>
      <c r="G549" s="26">
        <f t="shared" si="8"/>
        <v>155549.02704112048</v>
      </c>
    </row>
    <row r="550" spans="1:10" ht="12.6">
      <c r="A550" s="14">
        <v>46079</v>
      </c>
      <c r="D550" s="11" t="s">
        <v>1486</v>
      </c>
      <c r="E550" s="26"/>
      <c r="F550" s="26">
        <v>115000</v>
      </c>
      <c r="G550" s="26">
        <f t="shared" si="8"/>
        <v>40549.027041120484</v>
      </c>
      <c r="H550" s="26"/>
      <c r="I550" s="29"/>
      <c r="J550" s="29"/>
    </row>
    <row r="551" spans="1:10" ht="12.6">
      <c r="A551" s="14">
        <v>46079</v>
      </c>
      <c r="D551" s="15" t="s">
        <v>1495</v>
      </c>
      <c r="E551" s="26">
        <v>1773.7</v>
      </c>
      <c r="F551" s="26"/>
      <c r="G551" s="26">
        <f t="shared" si="8"/>
        <v>42322.727041120481</v>
      </c>
      <c r="H551" s="334"/>
    </row>
    <row r="552" spans="1:10" ht="12.6">
      <c r="A552" s="14">
        <v>46079</v>
      </c>
      <c r="D552" s="45" t="s">
        <v>965</v>
      </c>
      <c r="E552" s="26"/>
      <c r="F552" s="26">
        <v>20</v>
      </c>
      <c r="G552" s="26">
        <f t="shared" si="8"/>
        <v>42302.727041120481</v>
      </c>
    </row>
    <row r="553" spans="1:10" ht="12.6">
      <c r="A553" s="14">
        <v>46079</v>
      </c>
      <c r="D553" s="15" t="s">
        <v>1494</v>
      </c>
      <c r="E553" s="26"/>
      <c r="F553" s="26">
        <v>1070.04</v>
      </c>
      <c r="G553" s="26">
        <f t="shared" si="8"/>
        <v>41232.68704112048</v>
      </c>
    </row>
    <row r="554" spans="1:10" ht="12.6">
      <c r="A554" s="14">
        <v>46079</v>
      </c>
      <c r="D554" s="15" t="s">
        <v>1498</v>
      </c>
      <c r="E554" s="26"/>
      <c r="F554" s="26">
        <v>5518.04</v>
      </c>
      <c r="G554" s="26">
        <f t="shared" si="8"/>
        <v>35714.647041120479</v>
      </c>
    </row>
    <row r="555" spans="1:10" ht="12.6">
      <c r="A555" s="14">
        <v>46079</v>
      </c>
      <c r="D555" s="15" t="s">
        <v>1499</v>
      </c>
      <c r="E555" s="26"/>
      <c r="F555" s="26">
        <v>1936.29</v>
      </c>
      <c r="G555" s="26">
        <f t="shared" si="8"/>
        <v>33778.357041120478</v>
      </c>
    </row>
    <row r="556" spans="1:10" ht="12.6">
      <c r="A556" s="14">
        <v>46080</v>
      </c>
      <c r="D556" s="15" t="s">
        <v>1500</v>
      </c>
      <c r="E556" s="26"/>
      <c r="F556" s="26">
        <v>7369.09</v>
      </c>
      <c r="G556" s="26">
        <f t="shared" ref="G556:G600" si="9">G555+E556-F556</f>
        <v>26409.267041120478</v>
      </c>
    </row>
    <row r="557" spans="1:10" ht="12.6">
      <c r="A557" s="14">
        <v>46080</v>
      </c>
      <c r="D557" s="15" t="s">
        <v>1501</v>
      </c>
      <c r="E557" s="26"/>
      <c r="F557" s="26">
        <v>6655.89</v>
      </c>
      <c r="G557" s="26">
        <f t="shared" si="9"/>
        <v>19753.377041120479</v>
      </c>
    </row>
    <row r="558" spans="1:10" ht="12.6">
      <c r="A558" s="14">
        <v>46080</v>
      </c>
      <c r="D558" s="15" t="s">
        <v>1502</v>
      </c>
      <c r="E558" s="26"/>
      <c r="F558" s="26">
        <v>3411.45</v>
      </c>
      <c r="G558" s="26">
        <f t="shared" si="9"/>
        <v>16341.927041120478</v>
      </c>
    </row>
    <row r="559" spans="1:10" ht="12.6">
      <c r="A559" s="14">
        <v>46080</v>
      </c>
      <c r="D559" s="15" t="s">
        <v>1559</v>
      </c>
      <c r="E559" s="26"/>
      <c r="F559" s="26">
        <v>7877.79</v>
      </c>
      <c r="G559" s="26">
        <f t="shared" si="9"/>
        <v>8464.1370411204771</v>
      </c>
    </row>
    <row r="560" spans="1:10" ht="12.6">
      <c r="A560" s="14">
        <v>46080</v>
      </c>
      <c r="B560" s="14"/>
      <c r="D560" s="45" t="s">
        <v>965</v>
      </c>
      <c r="E560" s="26"/>
      <c r="F560" s="26">
        <v>1</v>
      </c>
      <c r="G560" s="26">
        <f t="shared" si="9"/>
        <v>8463.1370411204771</v>
      </c>
    </row>
    <row r="561" spans="1:7" ht="12.6">
      <c r="A561" s="14">
        <v>46081</v>
      </c>
      <c r="D561" s="15" t="s">
        <v>1425</v>
      </c>
      <c r="E561" s="26"/>
      <c r="F561" s="26">
        <v>5049.07</v>
      </c>
      <c r="G561" s="26">
        <f t="shared" si="9"/>
        <v>3414.0670411204774</v>
      </c>
    </row>
    <row r="562" spans="1:7" ht="12.6">
      <c r="A562" s="14">
        <v>46081</v>
      </c>
      <c r="D562" s="15" t="s">
        <v>345</v>
      </c>
      <c r="E562" s="26">
        <v>1.38</v>
      </c>
      <c r="G562" s="26">
        <f t="shared" si="9"/>
        <v>3415.4470411204775</v>
      </c>
    </row>
    <row r="563" spans="1:7" s="19" customFormat="1" ht="12.6">
      <c r="A563" s="18">
        <v>46081</v>
      </c>
      <c r="G563" s="31">
        <f t="shared" si="9"/>
        <v>3415.4470411204775</v>
      </c>
    </row>
    <row r="564" spans="1:7" ht="12.6">
      <c r="A564" s="14">
        <v>46082</v>
      </c>
      <c r="E564" s="26"/>
      <c r="F564" s="26"/>
      <c r="G564" s="26">
        <f t="shared" si="9"/>
        <v>3415.4470411204775</v>
      </c>
    </row>
    <row r="565" spans="1:7" ht="12.6">
      <c r="A565" s="14">
        <v>46085</v>
      </c>
      <c r="D565" s="15" t="s">
        <v>1511</v>
      </c>
      <c r="E565" s="26"/>
      <c r="F565" s="26">
        <v>50</v>
      </c>
      <c r="G565" s="26">
        <f t="shared" si="9"/>
        <v>3365.4470411204775</v>
      </c>
    </row>
    <row r="566" spans="1:7" ht="12.6">
      <c r="A566" s="14">
        <v>46097</v>
      </c>
      <c r="D566" s="15" t="s">
        <v>1543</v>
      </c>
      <c r="E566" s="26"/>
      <c r="F566" s="26">
        <v>226</v>
      </c>
      <c r="G566" s="26">
        <f t="shared" si="9"/>
        <v>3139.4470411204775</v>
      </c>
    </row>
    <row r="567" spans="1:7" ht="12.6">
      <c r="A567" s="14">
        <v>46097</v>
      </c>
      <c r="D567" s="45" t="s">
        <v>965</v>
      </c>
      <c r="E567" s="26"/>
      <c r="F567" s="26">
        <v>1</v>
      </c>
      <c r="G567" s="26">
        <f t="shared" si="9"/>
        <v>3138.4470411204775</v>
      </c>
    </row>
    <row r="568" spans="1:7" ht="12.6">
      <c r="A568" s="14">
        <v>46101</v>
      </c>
      <c r="D568" s="11" t="s">
        <v>1544</v>
      </c>
      <c r="E568" s="26">
        <v>27263.03</v>
      </c>
      <c r="F568" s="26"/>
      <c r="G568" s="26">
        <f t="shared" si="9"/>
        <v>30401.477041120477</v>
      </c>
    </row>
    <row r="569" spans="1:7" ht="12.6">
      <c r="A569" s="14">
        <v>46101</v>
      </c>
      <c r="D569" s="45" t="s">
        <v>965</v>
      </c>
      <c r="E569" s="26"/>
      <c r="F569" s="26">
        <v>40</v>
      </c>
      <c r="G569" s="26">
        <f t="shared" si="9"/>
        <v>30361.477041120477</v>
      </c>
    </row>
    <row r="570" spans="1:7" ht="12.6">
      <c r="A570" s="14">
        <v>46104</v>
      </c>
      <c r="D570" s="11" t="s">
        <v>1527</v>
      </c>
      <c r="E570" s="26">
        <v>8370.65</v>
      </c>
      <c r="F570" s="26"/>
      <c r="G570" s="26">
        <f t="shared" si="9"/>
        <v>38732.127041120475</v>
      </c>
    </row>
    <row r="571" spans="1:7" ht="12.6">
      <c r="A571" s="14">
        <v>46104</v>
      </c>
      <c r="D571" s="45" t="s">
        <v>965</v>
      </c>
      <c r="E571" s="26"/>
      <c r="F571" s="26">
        <v>20</v>
      </c>
      <c r="G571" s="26">
        <f t="shared" si="9"/>
        <v>38712.127041120475</v>
      </c>
    </row>
    <row r="572" spans="1:7" ht="12.6">
      <c r="A572" s="14">
        <v>46106</v>
      </c>
      <c r="D572" s="11" t="s">
        <v>1548</v>
      </c>
      <c r="E572" s="26">
        <v>89243.32</v>
      </c>
      <c r="F572" s="26"/>
      <c r="G572" s="26">
        <f t="shared" si="9"/>
        <v>127955.44704112048</v>
      </c>
    </row>
    <row r="573" spans="1:7" ht="12.6">
      <c r="A573" s="14">
        <v>46106</v>
      </c>
      <c r="D573" s="45" t="s">
        <v>965</v>
      </c>
      <c r="E573" s="26"/>
      <c r="F573" s="26">
        <v>40</v>
      </c>
      <c r="G573" s="26">
        <f t="shared" si="9"/>
        <v>127915.44704112048</v>
      </c>
    </row>
    <row r="574" spans="1:7" ht="12.6">
      <c r="A574" s="14">
        <v>46108</v>
      </c>
      <c r="D574" s="11" t="s">
        <v>1549</v>
      </c>
      <c r="E574" s="26">
        <v>2992.19</v>
      </c>
      <c r="G574" s="26">
        <f t="shared" si="9"/>
        <v>130907.63704112048</v>
      </c>
    </row>
    <row r="575" spans="1:7" ht="12.6">
      <c r="A575" s="14">
        <v>46108</v>
      </c>
      <c r="D575" s="45" t="s">
        <v>965</v>
      </c>
      <c r="E575" s="26"/>
      <c r="F575" s="26">
        <v>20</v>
      </c>
      <c r="G575" s="26">
        <f t="shared" si="9"/>
        <v>130887.63704112048</v>
      </c>
    </row>
    <row r="576" spans="1:7" ht="12.6">
      <c r="A576" s="14">
        <v>46108</v>
      </c>
      <c r="D576" s="11" t="s">
        <v>1550</v>
      </c>
      <c r="E576" s="26">
        <v>22914.19</v>
      </c>
      <c r="F576" s="13"/>
      <c r="G576" s="26">
        <f t="shared" si="9"/>
        <v>153801.82704112047</v>
      </c>
    </row>
    <row r="577" spans="1:9" ht="12.6">
      <c r="A577" s="14">
        <v>46108</v>
      </c>
      <c r="D577" s="45" t="s">
        <v>965</v>
      </c>
      <c r="E577" s="26"/>
      <c r="F577" s="26">
        <v>34.369999999999997</v>
      </c>
      <c r="G577" s="26">
        <f t="shared" si="9"/>
        <v>153767.45704112048</v>
      </c>
    </row>
    <row r="578" spans="1:9" ht="12.6">
      <c r="A578" s="14">
        <v>46108</v>
      </c>
      <c r="D578" s="15" t="s">
        <v>1551</v>
      </c>
      <c r="E578" s="26"/>
      <c r="F578" s="26">
        <v>7442.47</v>
      </c>
      <c r="G578" s="26">
        <f t="shared" si="9"/>
        <v>146324.98704112048</v>
      </c>
    </row>
    <row r="579" spans="1:9" ht="12.6">
      <c r="A579" s="14">
        <v>46108</v>
      </c>
      <c r="D579" s="15" t="s">
        <v>1552</v>
      </c>
      <c r="E579" s="26"/>
      <c r="F579" s="26">
        <v>6705.81</v>
      </c>
      <c r="G579" s="26">
        <f t="shared" si="9"/>
        <v>139619.17704112048</v>
      </c>
    </row>
    <row r="580" spans="1:9" ht="12.6">
      <c r="A580" s="14">
        <v>46108</v>
      </c>
      <c r="D580" s="15" t="s">
        <v>1553</v>
      </c>
      <c r="E580" s="26"/>
      <c r="F580" s="26">
        <v>5098.9799999999996</v>
      </c>
      <c r="G580" s="26">
        <f t="shared" si="9"/>
        <v>134520.19704112047</v>
      </c>
    </row>
    <row r="581" spans="1:9" ht="12.6">
      <c r="A581" s="14">
        <v>46108</v>
      </c>
      <c r="D581" s="15" t="s">
        <v>1554</v>
      </c>
      <c r="E581" s="26"/>
      <c r="F581" s="26">
        <v>1070.04</v>
      </c>
      <c r="G581" s="26">
        <f t="shared" si="9"/>
        <v>133450.15704112046</v>
      </c>
    </row>
    <row r="582" spans="1:9" ht="12.6">
      <c r="A582" s="14">
        <v>46108</v>
      </c>
      <c r="D582" s="15" t="s">
        <v>1555</v>
      </c>
      <c r="E582" s="26"/>
      <c r="F582" s="26">
        <v>4773.8900000000003</v>
      </c>
      <c r="G582" s="26">
        <f t="shared" si="9"/>
        <v>128676.26704112046</v>
      </c>
    </row>
    <row r="583" spans="1:9" ht="12.6">
      <c r="A583" s="14">
        <v>46108</v>
      </c>
      <c r="D583" s="15" t="s">
        <v>1556</v>
      </c>
      <c r="E583" s="26"/>
      <c r="F583" s="26">
        <v>3464.17</v>
      </c>
      <c r="G583" s="26">
        <f t="shared" si="9"/>
        <v>125212.09704112046</v>
      </c>
    </row>
    <row r="584" spans="1:9" ht="12.6">
      <c r="A584" s="14">
        <v>46108</v>
      </c>
      <c r="D584" s="15" t="s">
        <v>1557</v>
      </c>
      <c r="E584" s="26"/>
      <c r="F584" s="26">
        <v>1846.31</v>
      </c>
      <c r="G584" s="26">
        <f t="shared" si="9"/>
        <v>123365.78704112046</v>
      </c>
    </row>
    <row r="585" spans="1:9" ht="12.6">
      <c r="A585" s="14">
        <v>46108</v>
      </c>
      <c r="D585" s="15" t="s">
        <v>1588</v>
      </c>
      <c r="E585" s="26"/>
      <c r="F585" s="26">
        <v>1200</v>
      </c>
      <c r="G585" s="26">
        <f t="shared" si="9"/>
        <v>122165.78704112046</v>
      </c>
    </row>
    <row r="586" spans="1:9" ht="12.6">
      <c r="A586" s="14">
        <v>46110</v>
      </c>
      <c r="D586" s="15" t="s">
        <v>1588</v>
      </c>
      <c r="E586" s="26"/>
      <c r="F586" s="26">
        <v>5482</v>
      </c>
      <c r="G586" s="26">
        <f t="shared" si="9"/>
        <v>116683.78704112046</v>
      </c>
    </row>
    <row r="587" spans="1:9" ht="12.6">
      <c r="A587" s="14">
        <v>46110</v>
      </c>
      <c r="D587" s="15" t="s">
        <v>1558</v>
      </c>
      <c r="E587" s="26"/>
      <c r="F587" s="26">
        <f>7635.44</f>
        <v>7635.44</v>
      </c>
      <c r="G587" s="26">
        <f t="shared" si="9"/>
        <v>109048.34704112046</v>
      </c>
    </row>
    <row r="588" spans="1:9" ht="12.6">
      <c r="A588" s="14">
        <v>46110</v>
      </c>
      <c r="D588" s="45" t="s">
        <v>965</v>
      </c>
      <c r="E588" s="26"/>
      <c r="F588" s="26">
        <f>3</f>
        <v>3</v>
      </c>
      <c r="G588" s="26">
        <f t="shared" si="9"/>
        <v>109045.34704112046</v>
      </c>
    </row>
    <row r="589" spans="1:9" ht="12.6">
      <c r="A589" s="14">
        <v>46111</v>
      </c>
      <c r="D589" s="45" t="s">
        <v>1586</v>
      </c>
      <c r="E589" s="26"/>
      <c r="F589" s="26">
        <v>80000</v>
      </c>
      <c r="G589" s="26">
        <f t="shared" si="9"/>
        <v>29045.347041120462</v>
      </c>
      <c r="I589" s="29"/>
    </row>
    <row r="590" spans="1:9" ht="12.6">
      <c r="A590" s="14">
        <v>46112</v>
      </c>
      <c r="B590" s="15"/>
      <c r="C590" s="15"/>
      <c r="D590" s="15" t="s">
        <v>1589</v>
      </c>
      <c r="E590" s="15"/>
      <c r="F590" s="26">
        <v>1896</v>
      </c>
      <c r="G590" s="26">
        <f t="shared" si="9"/>
        <v>27149.347041120462</v>
      </c>
    </row>
    <row r="591" spans="1:9" ht="12.6">
      <c r="A591" s="14">
        <v>46112</v>
      </c>
      <c r="B591" s="15"/>
      <c r="C591" s="15"/>
      <c r="D591" s="15" t="s">
        <v>965</v>
      </c>
      <c r="E591" s="15"/>
      <c r="F591" s="26">
        <v>30</v>
      </c>
      <c r="G591" s="26">
        <f t="shared" si="9"/>
        <v>27119.347041120462</v>
      </c>
    </row>
    <row r="592" spans="1:9" ht="12.6">
      <c r="A592" s="14">
        <v>46112</v>
      </c>
      <c r="D592" s="15" t="s">
        <v>1594</v>
      </c>
      <c r="E592" s="26">
        <v>1773.96</v>
      </c>
      <c r="F592" s="26"/>
      <c r="G592" s="26">
        <f t="shared" si="9"/>
        <v>28893.307041120461</v>
      </c>
    </row>
    <row r="593" spans="1:7" ht="12.6">
      <c r="A593" s="14">
        <v>46112</v>
      </c>
      <c r="D593" s="45" t="s">
        <v>965</v>
      </c>
      <c r="E593" s="26"/>
      <c r="F593" s="26">
        <v>20</v>
      </c>
      <c r="G593" s="26">
        <f t="shared" si="9"/>
        <v>28873.307041120461</v>
      </c>
    </row>
    <row r="594" spans="1:7" ht="12.6">
      <c r="A594" s="14">
        <v>46112</v>
      </c>
      <c r="D594" s="15" t="s">
        <v>345</v>
      </c>
      <c r="E594" s="26">
        <v>1.92</v>
      </c>
      <c r="F594" s="26"/>
      <c r="G594" s="26">
        <f t="shared" si="9"/>
        <v>28875.227041120459</v>
      </c>
    </row>
    <row r="595" spans="1:7" s="19" customFormat="1" ht="12.6">
      <c r="A595" s="18">
        <v>46112</v>
      </c>
      <c r="E595" s="31"/>
      <c r="G595" s="31">
        <f t="shared" si="9"/>
        <v>28875.227041120459</v>
      </c>
    </row>
    <row r="596" spans="1:7" ht="12.6">
      <c r="E596" s="26"/>
      <c r="G596" s="26">
        <f t="shared" si="9"/>
        <v>28875.227041120459</v>
      </c>
    </row>
    <row r="597" spans="1:7" ht="12.6">
      <c r="E597" s="26"/>
      <c r="G597" s="26">
        <f t="shared" si="9"/>
        <v>28875.227041120459</v>
      </c>
    </row>
    <row r="598" spans="1:7" ht="12.6">
      <c r="E598" s="26"/>
      <c r="G598" s="26">
        <f t="shared" si="9"/>
        <v>28875.227041120459</v>
      </c>
    </row>
    <row r="599" spans="1:7" ht="12.6">
      <c r="E599" s="26"/>
      <c r="G599" s="26">
        <f t="shared" si="9"/>
        <v>28875.227041120459</v>
      </c>
    </row>
    <row r="600" spans="1:7" ht="12.6">
      <c r="E600" s="26"/>
      <c r="G600" s="26">
        <f t="shared" si="9"/>
        <v>28875.227041120459</v>
      </c>
    </row>
    <row r="601" spans="1:7" ht="12.6">
      <c r="G601" s="26"/>
    </row>
  </sheetData>
  <protectedRanges>
    <protectedRange sqref="F589:F591" name="Presupuestos_5_3"/>
  </protectedRanges>
  <pageMargins left="0.7" right="0.7" top="0.75" bottom="0.75" header="0.3" footer="0.3"/>
  <pageSetup paperSize="2833" orientation="portrait" horizontalDpi="180" verticalDpi="180" r:id="rId1"/>
  <ignoredErrors>
    <ignoredError sqref="F39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ADFD-D7F2-4627-A23C-DCDB13582F93}">
  <dimension ref="A1:S78"/>
  <sheetViews>
    <sheetView showGridLines="0" topLeftCell="A58" workbookViewId="0">
      <selection activeCell="E13" sqref="E13"/>
    </sheetView>
  </sheetViews>
  <sheetFormatPr baseColWidth="10" defaultColWidth="9.109375" defaultRowHeight="14.4" outlineLevelRow="1"/>
  <cols>
    <col min="1" max="1" width="2.109375" style="86" customWidth="1"/>
    <col min="2" max="2" width="12" style="87" bestFit="1" customWidth="1"/>
    <col min="3" max="3" width="54.33203125" style="86" bestFit="1" customWidth="1"/>
    <col min="4" max="4" width="24.44140625" style="88" customWidth="1"/>
    <col min="5" max="5" width="18.6640625" style="88" bestFit="1" customWidth="1"/>
    <col min="6" max="6" width="23.5546875" style="86" customWidth="1"/>
    <col min="7" max="7" width="16.88671875" style="86" customWidth="1"/>
    <col min="8" max="8" width="7.6640625" style="86" hidden="1" customWidth="1"/>
    <col min="9" max="9" width="12.109375" style="86" hidden="1" customWidth="1"/>
    <col min="10" max="10" width="16.5546875" style="86" customWidth="1"/>
    <col min="11" max="11" width="2.109375" style="86" customWidth="1"/>
    <col min="12" max="12" width="2.33203125" style="86" customWidth="1"/>
    <col min="13" max="13" width="14.5546875" style="86" bestFit="1" customWidth="1"/>
    <col min="14" max="14" width="13.109375" style="86" bestFit="1" customWidth="1"/>
    <col min="15" max="15" width="26.109375" style="86" customWidth="1"/>
    <col min="16" max="16" width="19.33203125" style="86" bestFit="1" customWidth="1"/>
    <col min="17" max="17" width="15.33203125" style="86" bestFit="1" customWidth="1"/>
    <col min="18" max="18" width="14" style="86" bestFit="1" customWidth="1"/>
    <col min="19" max="19" width="13" style="86" bestFit="1" customWidth="1"/>
    <col min="20" max="16384" width="9.109375" style="86"/>
  </cols>
  <sheetData>
    <row r="1" spans="1:9" hidden="1">
      <c r="D1" s="88">
        <v>42400</v>
      </c>
    </row>
    <row r="2" spans="1:9">
      <c r="D2" s="89"/>
      <c r="E2" s="89"/>
      <c r="I2" s="90"/>
    </row>
    <row r="3" spans="1:9">
      <c r="E3" s="91"/>
      <c r="I3" s="90"/>
    </row>
    <row r="4" spans="1:9" ht="15.6">
      <c r="B4" s="92"/>
      <c r="C4" s="92"/>
      <c r="D4" s="160" t="s">
        <v>216</v>
      </c>
      <c r="E4" s="161">
        <v>45385</v>
      </c>
      <c r="I4" s="90"/>
    </row>
    <row r="5" spans="1:9">
      <c r="D5" s="89"/>
      <c r="E5" s="89"/>
      <c r="I5" s="90"/>
    </row>
    <row r="6" spans="1:9">
      <c r="C6" s="93" t="s">
        <v>217</v>
      </c>
      <c r="D6" s="26">
        <v>501</v>
      </c>
      <c r="E6" s="89"/>
      <c r="I6" s="90"/>
    </row>
    <row r="7" spans="1:9" ht="15.6">
      <c r="C7" s="94"/>
      <c r="D7" s="590" t="s">
        <v>218</v>
      </c>
      <c r="E7" s="590"/>
      <c r="I7" s="90"/>
    </row>
    <row r="8" spans="1:9">
      <c r="D8" s="95" t="s">
        <v>242</v>
      </c>
      <c r="E8" s="95" t="s">
        <v>219</v>
      </c>
    </row>
    <row r="9" spans="1:9" s="96" customFormat="1" ht="15.6">
      <c r="C9" s="97" t="s">
        <v>220</v>
      </c>
      <c r="D9" s="167">
        <f>SUBTOTAL(9,D10:D11)</f>
        <v>9666655.2199999969</v>
      </c>
      <c r="E9" s="98">
        <f>SUBTOTAL(9,E10:E11)</f>
        <v>19294.720998003984</v>
      </c>
      <c r="F9" s="99"/>
      <c r="I9" s="90"/>
    </row>
    <row r="10" spans="1:9" s="90" customFormat="1" outlineLevel="1">
      <c r="B10" s="100"/>
      <c r="C10" s="101" t="s">
        <v>243</v>
      </c>
      <c r="D10" s="169">
        <f>'BAC SAN JOSE COLONES  '!$G$155</f>
        <v>5804661.6499999994</v>
      </c>
      <c r="E10" s="102">
        <f>D10/$D$6</f>
        <v>11586.15099800399</v>
      </c>
      <c r="F10" s="103"/>
    </row>
    <row r="11" spans="1:9" s="90" customFormat="1" outlineLevel="1">
      <c r="B11" s="100"/>
      <c r="C11" s="101" t="s">
        <v>221</v>
      </c>
      <c r="D11" s="169">
        <f>'BAC SAN JOSE USD'!$G$162*'FLUJO CAJA ABRIL'!$D$6</f>
        <v>3861993.569999998</v>
      </c>
      <c r="E11" s="102">
        <f>D11/$D$6</f>
        <v>7708.5699999999961</v>
      </c>
      <c r="F11" s="103"/>
    </row>
    <row r="12" spans="1:9" s="90" customFormat="1" ht="15.6">
      <c r="B12" s="100"/>
      <c r="C12" s="104" t="s">
        <v>222</v>
      </c>
      <c r="D12" s="167">
        <f>SUBTOTAL(9,D13:D16)</f>
        <v>16450881.09</v>
      </c>
      <c r="E12" s="98">
        <f>SUBTOTAL(9,E13:E16)</f>
        <v>32836.089999999997</v>
      </c>
      <c r="F12" s="105"/>
    </row>
    <row r="13" spans="1:9" s="90" customFormat="1" outlineLevel="1">
      <c r="A13" s="106"/>
      <c r="B13" s="107"/>
      <c r="C13" s="101" t="s">
        <v>245</v>
      </c>
      <c r="D13" s="169">
        <f>E13*$D$6</f>
        <v>5099608.8599999994</v>
      </c>
      <c r="E13" s="218">
        <v>10178.859999999999</v>
      </c>
      <c r="F13" s="105"/>
      <c r="G13" s="108"/>
    </row>
    <row r="14" spans="1:9" s="90" customFormat="1" outlineLevel="1">
      <c r="A14" s="106"/>
      <c r="B14" s="107"/>
      <c r="C14" s="101" t="s">
        <v>244</v>
      </c>
      <c r="D14" s="169">
        <f>E14*$D$6</f>
        <v>4506364.74</v>
      </c>
      <c r="E14" s="218">
        <v>8994.74</v>
      </c>
      <c r="F14" s="105"/>
      <c r="G14" s="108"/>
    </row>
    <row r="15" spans="1:9" s="90" customFormat="1" outlineLevel="1">
      <c r="B15" s="100"/>
      <c r="C15" s="101" t="s">
        <v>246</v>
      </c>
      <c r="D15" s="169">
        <f>E15*$D$6</f>
        <v>1239904.8600000001</v>
      </c>
      <c r="E15" s="218">
        <v>2474.86</v>
      </c>
      <c r="F15" s="105"/>
      <c r="G15" s="108"/>
    </row>
    <row r="16" spans="1:9" s="90" customFormat="1" outlineLevel="1">
      <c r="B16" s="100"/>
      <c r="C16" s="101" t="s">
        <v>247</v>
      </c>
      <c r="D16" s="169">
        <f>E16*$D$6</f>
        <v>5605002.6299999999</v>
      </c>
      <c r="E16" s="218">
        <v>11187.63</v>
      </c>
      <c r="F16" s="105"/>
      <c r="G16" s="108"/>
    </row>
    <row r="17" spans="2:19" s="90" customFormat="1" ht="15.6">
      <c r="B17" s="100"/>
      <c r="C17" s="109" t="s">
        <v>223</v>
      </c>
      <c r="D17" s="168">
        <f>SUBTOTAL(9,D9:D16)</f>
        <v>26117536.309999995</v>
      </c>
      <c r="E17" s="207">
        <f>SUBTOTAL(9,E9:E16)</f>
        <v>52130.810998003981</v>
      </c>
      <c r="F17" s="110"/>
      <c r="G17" s="110"/>
      <c r="J17" s="108"/>
      <c r="K17" s="111"/>
      <c r="O17" s="112"/>
      <c r="P17" s="113"/>
      <c r="Q17" s="114"/>
    </row>
    <row r="18" spans="2:19" s="90" customFormat="1" ht="15.6">
      <c r="B18" s="100"/>
      <c r="C18" s="115"/>
      <c r="D18" s="116"/>
      <c r="E18" s="116"/>
      <c r="G18" s="117"/>
      <c r="O18" s="113"/>
      <c r="P18" s="113"/>
    </row>
    <row r="19" spans="2:19" s="90" customFormat="1" ht="15.6">
      <c r="B19" s="100"/>
      <c r="N19" s="118"/>
      <c r="O19" s="119"/>
      <c r="P19" s="120"/>
    </row>
    <row r="20" spans="2:19" s="90" customFormat="1" ht="15.6">
      <c r="B20" s="590" t="s">
        <v>224</v>
      </c>
      <c r="C20" s="590"/>
      <c r="D20" s="590" t="s">
        <v>218</v>
      </c>
      <c r="E20" s="590"/>
      <c r="K20" s="120"/>
      <c r="L20" s="120"/>
      <c r="N20" s="118"/>
      <c r="R20" s="108"/>
      <c r="S20" s="108"/>
    </row>
    <row r="21" spans="2:19" s="90" customFormat="1" ht="16.2" thickBot="1">
      <c r="B21" s="121" t="s">
        <v>225</v>
      </c>
      <c r="C21" s="122" t="s">
        <v>226</v>
      </c>
      <c r="D21" s="95" t="s">
        <v>242</v>
      </c>
      <c r="E21" s="95" t="s">
        <v>219</v>
      </c>
      <c r="F21" s="123" t="s">
        <v>227</v>
      </c>
      <c r="G21" s="118" t="s">
        <v>228</v>
      </c>
      <c r="H21" s="118"/>
      <c r="I21" s="118"/>
      <c r="J21" s="124" t="s">
        <v>229</v>
      </c>
      <c r="N21" s="125"/>
      <c r="R21" s="108"/>
      <c r="S21" s="126"/>
    </row>
    <row r="22" spans="2:19" s="90" customFormat="1" ht="16.2" thickBot="1">
      <c r="B22" s="100"/>
      <c r="C22" s="127" t="s">
        <v>230</v>
      </c>
      <c r="D22" s="172">
        <f>SUBTOTAL(9,D23:D23)</f>
        <v>4490553</v>
      </c>
      <c r="E22" s="128">
        <f>SUBTOTAL(9,E23:E23)</f>
        <v>8963.179640718563</v>
      </c>
      <c r="F22" s="129"/>
      <c r="J22" s="130"/>
    </row>
    <row r="23" spans="2:19" s="90" customFormat="1" ht="15" outlineLevel="1" thickBot="1">
      <c r="B23" s="131">
        <v>176206200</v>
      </c>
      <c r="C23" s="234" t="s">
        <v>299</v>
      </c>
      <c r="D23" s="169">
        <v>4490553</v>
      </c>
      <c r="E23" s="142">
        <f>D23/$D$6</f>
        <v>8963.179640718563</v>
      </c>
      <c r="F23" s="129">
        <v>45406</v>
      </c>
      <c r="G23" s="90" t="s">
        <v>235</v>
      </c>
      <c r="H23" s="90">
        <f>IF(OR(G23="Sin pagar",G23="Pagar"),_xlfn.SINGLE(NETWORKDAYS($E$4,F23,'Festivos CR'!$A$3:$A$15)),0)</f>
        <v>0</v>
      </c>
      <c r="I23" s="90">
        <f>NETWORKDAYS($E$4,F23,'Festivos CR'!$A$3:$A$15)</f>
        <v>15</v>
      </c>
      <c r="J23" s="132">
        <f t="shared" ref="J23:J29" si="0">H23</f>
        <v>0</v>
      </c>
      <c r="K23" s="108"/>
      <c r="L23" s="108"/>
    </row>
    <row r="24" spans="2:19" s="90" customFormat="1" ht="16.2" thickBot="1">
      <c r="B24" s="100"/>
      <c r="C24" s="127" t="s">
        <v>232</v>
      </c>
      <c r="D24" s="172">
        <f>SUBTOTAL(9,D25:D26)</f>
        <v>1096496</v>
      </c>
      <c r="E24" s="128">
        <f>SUBTOTAL(9,E25:E26)</f>
        <v>2188.6147704590821</v>
      </c>
      <c r="J24" s="130">
        <f t="shared" si="0"/>
        <v>0</v>
      </c>
    </row>
    <row r="25" spans="2:19" s="90" customFormat="1" outlineLevel="1">
      <c r="B25" s="133"/>
      <c r="C25" s="101" t="s">
        <v>292</v>
      </c>
      <c r="D25" s="169">
        <v>985183</v>
      </c>
      <c r="E25" s="142">
        <f>D25/$D$6</f>
        <v>1966.433133732535</v>
      </c>
      <c r="F25" s="134">
        <v>45393</v>
      </c>
      <c r="G25" s="90" t="s">
        <v>235</v>
      </c>
      <c r="H25" s="90">
        <f>IF(OR(G25="Sin pagar",G25="Pagar"),_xlfn.SINGLE(NETWORKDAYS($E$4,F25,'Festivos CR'!$A$3:$A$15)),0)</f>
        <v>0</v>
      </c>
      <c r="I25" s="90">
        <f>NETWORKDAYS($E$4,F25,'Festivos CR'!$A$3:$A$15)</f>
        <v>6</v>
      </c>
      <c r="J25" s="132">
        <f t="shared" si="0"/>
        <v>0</v>
      </c>
      <c r="K25" s="135"/>
      <c r="L25" s="111"/>
    </row>
    <row r="26" spans="2:19" s="90" customFormat="1" ht="29.4" outlineLevel="1" thickBot="1">
      <c r="B26" s="133"/>
      <c r="C26" s="101" t="s">
        <v>296</v>
      </c>
      <c r="D26" s="169">
        <v>111313</v>
      </c>
      <c r="E26" s="142">
        <f>D26/$D$6</f>
        <v>222.18163672654691</v>
      </c>
      <c r="F26" s="134">
        <v>45393</v>
      </c>
      <c r="G26" s="90" t="s">
        <v>235</v>
      </c>
      <c r="H26" s="90">
        <f>IF(OR(G26="Sin pagar",G26="Pagar"),_xlfn.SINGLE(NETWORKDAYS($E$4,F26,'Festivos CR'!$A$3:$A$15)),0)</f>
        <v>0</v>
      </c>
      <c r="I26" s="90">
        <f>NETWORKDAYS($E$4,F26,'Festivos CR'!$A$3:$A$15)</f>
        <v>6</v>
      </c>
      <c r="J26" s="132">
        <f>H26</f>
        <v>0</v>
      </c>
      <c r="K26" s="135"/>
      <c r="L26" s="111"/>
    </row>
    <row r="27" spans="2:19" s="90" customFormat="1" ht="16.2" thickBot="1">
      <c r="B27" s="100"/>
      <c r="C27" s="127" t="s">
        <v>233</v>
      </c>
      <c r="D27" s="172">
        <f>SUBTOTAL(9,D28:D29)</f>
        <v>365700</v>
      </c>
      <c r="E27" s="128">
        <f>SUBTOTAL(9,E28:E29)</f>
        <v>729.94011976047909</v>
      </c>
      <c r="J27" s="130">
        <f t="shared" si="0"/>
        <v>0</v>
      </c>
      <c r="K27" s="108"/>
      <c r="L27" s="108"/>
    </row>
    <row r="28" spans="2:19" s="90" customFormat="1" outlineLevel="1">
      <c r="B28" s="100">
        <v>55</v>
      </c>
      <c r="C28" s="101" t="s">
        <v>249</v>
      </c>
      <c r="D28" s="169">
        <v>178500</v>
      </c>
      <c r="E28" s="137">
        <f>D28/$D$6</f>
        <v>356.2874251497006</v>
      </c>
      <c r="F28" s="129">
        <v>45390</v>
      </c>
      <c r="G28" s="90" t="s">
        <v>235</v>
      </c>
      <c r="H28" s="90">
        <f>IF(OR(G28="Sin pagar",G28="Pagar"),_xlfn.SINGLE(NETWORKDAYS($E$4,F28,'Festivos CR'!$A$3:$A$15)),0)</f>
        <v>0</v>
      </c>
      <c r="I28" s="90">
        <f>NETWORKDAYS($E$4,F28,'Festivos CR'!$A$3:$A$15)</f>
        <v>4</v>
      </c>
      <c r="J28" s="132">
        <f t="shared" si="0"/>
        <v>0</v>
      </c>
      <c r="N28" s="103"/>
    </row>
    <row r="29" spans="2:19" s="90" customFormat="1" ht="15" outlineLevel="1" thickBot="1">
      <c r="B29" s="100">
        <v>14</v>
      </c>
      <c r="C29" s="101" t="s">
        <v>248</v>
      </c>
      <c r="D29" s="169">
        <v>187200</v>
      </c>
      <c r="E29" s="137">
        <f>D29/$D$6</f>
        <v>373.65269461077844</v>
      </c>
      <c r="F29" s="129">
        <v>45406</v>
      </c>
      <c r="G29" s="90" t="s">
        <v>235</v>
      </c>
      <c r="H29" s="90">
        <f>IF(OR(G29="Sin pagar",G29="Pagar"),_xlfn.SINGLE(NETWORKDAYS($E$4,F29,'Festivos CR'!$A$3:$A$15)),0)</f>
        <v>0</v>
      </c>
      <c r="I29" s="90">
        <f>NETWORKDAYS($E$4,F29,'Festivos CR'!$A$3:$A$15)</f>
        <v>15</v>
      </c>
      <c r="J29" s="132">
        <f t="shared" si="0"/>
        <v>0</v>
      </c>
      <c r="N29" s="103"/>
    </row>
    <row r="30" spans="2:19" s="90" customFormat="1" ht="16.2" thickBot="1">
      <c r="C30" s="127" t="s">
        <v>250</v>
      </c>
      <c r="D30" s="172">
        <f>SUBTOTAL(9,D31:D31)</f>
        <v>77000</v>
      </c>
      <c r="E30" s="128">
        <f>SUBTOTAL(9,E31:E31)</f>
        <v>153.69261477045907</v>
      </c>
      <c r="K30" s="103"/>
      <c r="L30" s="103"/>
      <c r="O30" s="103"/>
      <c r="P30" s="103"/>
    </row>
    <row r="31" spans="2:19" s="90" customFormat="1" ht="14.25" customHeight="1" outlineLevel="1" thickBot="1">
      <c r="B31" s="138" t="s">
        <v>252</v>
      </c>
      <c r="C31" s="101" t="s">
        <v>251</v>
      </c>
      <c r="D31" s="169">
        <v>77000</v>
      </c>
      <c r="E31" s="137">
        <f>D31/$D$6</f>
        <v>153.69261477045907</v>
      </c>
      <c r="F31" s="129">
        <v>45383</v>
      </c>
      <c r="G31" s="90" t="s">
        <v>235</v>
      </c>
      <c r="H31" s="90">
        <f>IF(OR(G31="Sin pagar",G31="Pagar"),_xlfn.SINGLE(NETWORKDAYS($E$4,F31,'Festivos CR'!$A$3:$A$15)),0)</f>
        <v>0</v>
      </c>
      <c r="I31" s="90">
        <f>NETWORKDAYS($E$4,F31,'Festivos CR'!$A$3:$A$15)</f>
        <v>-3</v>
      </c>
      <c r="J31" s="132">
        <f>H31</f>
        <v>0</v>
      </c>
      <c r="K31" s="103"/>
      <c r="L31" s="103"/>
      <c r="O31" s="103"/>
      <c r="P31" s="103"/>
    </row>
    <row r="32" spans="2:19" s="90" customFormat="1" ht="16.2" thickBot="1">
      <c r="B32" s="136"/>
      <c r="C32" s="139" t="s">
        <v>234</v>
      </c>
      <c r="D32" s="173">
        <f>SUBTOTAL(9,D33:D34)</f>
        <v>0</v>
      </c>
      <c r="E32" s="140">
        <f>SUBTOTAL(9,E33:E34)</f>
        <v>0</v>
      </c>
      <c r="K32" s="108"/>
    </row>
    <row r="33" spans="1:16" s="90" customFormat="1" outlineLevel="1">
      <c r="B33" s="141">
        <v>4699</v>
      </c>
      <c r="C33" s="174" t="s">
        <v>259</v>
      </c>
      <c r="D33" s="169">
        <f>E33*$D$6*0</f>
        <v>0</v>
      </c>
      <c r="E33" s="137">
        <f>880*0</f>
        <v>0</v>
      </c>
      <c r="F33" s="129">
        <v>45443</v>
      </c>
      <c r="G33" s="90" t="s">
        <v>231</v>
      </c>
      <c r="H33" s="90">
        <f>IF(OR(G33="Sin pagar",G33="Pagar"),_xlfn.SINGLE(NETWORKDAYS($E$4,F33,'Festivos CR'!$A$3:$A$15)),0)</f>
        <v>41</v>
      </c>
      <c r="I33" s="90">
        <f>NETWORKDAYS($E$4,F33,'Festivos CR'!$A$3:$A$15)</f>
        <v>41</v>
      </c>
      <c r="J33" s="132">
        <f>H33</f>
        <v>41</v>
      </c>
      <c r="N33" s="103"/>
    </row>
    <row r="34" spans="1:16" s="90" customFormat="1" ht="15" outlineLevel="1" thickBot="1">
      <c r="B34" s="141">
        <v>4777</v>
      </c>
      <c r="C34" s="174" t="s">
        <v>297</v>
      </c>
      <c r="D34" s="169">
        <f>E34*$D$6*0</f>
        <v>0</v>
      </c>
      <c r="E34" s="137">
        <f>720*0</f>
        <v>0</v>
      </c>
      <c r="F34" s="129">
        <v>45496</v>
      </c>
      <c r="G34" s="90" t="s">
        <v>231</v>
      </c>
      <c r="H34" s="90">
        <f>IF(OR(G34="Sin pagar",G34="Pagar"),_xlfn.SINGLE(NETWORKDAYS($E$4,F34,'Festivos CR'!$A$3:$A$15)),0)</f>
        <v>78</v>
      </c>
      <c r="I34" s="90">
        <f>NETWORKDAYS($E$4,F34,'Festivos CR'!$A$3:$A$15)</f>
        <v>78</v>
      </c>
      <c r="J34" s="132">
        <f>H34</f>
        <v>78</v>
      </c>
      <c r="N34" s="103"/>
    </row>
    <row r="35" spans="1:16" s="90" customFormat="1" ht="15.75" customHeight="1" thickBot="1">
      <c r="C35" s="127" t="s">
        <v>236</v>
      </c>
      <c r="D35" s="172">
        <f>SUBTOTAL(9,D36:D36)</f>
        <v>7.1197604790419158E-2</v>
      </c>
      <c r="E35" s="128">
        <f>SUBTOTAL(9,E36:E36)</f>
        <v>35.67</v>
      </c>
    </row>
    <row r="36" spans="1:16" s="90" customFormat="1" ht="15" outlineLevel="1" thickBot="1">
      <c r="B36" s="100"/>
      <c r="C36" s="101" t="s">
        <v>236</v>
      </c>
      <c r="D36" s="169">
        <f>E36/$D$6</f>
        <v>7.1197604790419158E-2</v>
      </c>
      <c r="E36" s="142">
        <v>35.67</v>
      </c>
      <c r="F36" s="129">
        <v>45412</v>
      </c>
      <c r="G36" s="90" t="s">
        <v>235</v>
      </c>
      <c r="H36" s="90">
        <f>IF(OR(G36="Sin pagar",G36="Pagar"),_xlfn.SINGLE(NETWORKDAYS($E$4,F36,'Festivos CR'!$A$3:$A$15)),0)</f>
        <v>0</v>
      </c>
      <c r="I36" s="90">
        <f>NETWORKDAYS($E$4,F36,'Festivos CR'!$A$3:$A$15)</f>
        <v>19</v>
      </c>
      <c r="J36" s="132">
        <f>H36</f>
        <v>0</v>
      </c>
    </row>
    <row r="37" spans="1:16" s="90" customFormat="1" ht="16.2" thickBot="1">
      <c r="C37" s="127" t="s">
        <v>237</v>
      </c>
      <c r="D37" s="172">
        <f>SUBTOTAL(9,D38:D43)</f>
        <v>10255108.82</v>
      </c>
      <c r="E37" s="128">
        <f>SUBTOTAL(9,E38:E43)</f>
        <v>20482.590624071858</v>
      </c>
      <c r="K37" s="108"/>
      <c r="L37" s="143"/>
    </row>
    <row r="38" spans="1:16" s="90" customFormat="1" outlineLevel="1">
      <c r="B38" s="100"/>
      <c r="C38" s="174" t="s">
        <v>254</v>
      </c>
      <c r="D38" s="170">
        <v>1612916.33</v>
      </c>
      <c r="E38" s="142">
        <f>D38/500</f>
        <v>3225.83266</v>
      </c>
      <c r="F38" s="129">
        <v>45412</v>
      </c>
      <c r="G38" s="90" t="s">
        <v>235</v>
      </c>
      <c r="H38" s="90">
        <f>IF(OR(G38="Sin pagar",G38="Pagar"),_xlfn.SINGLE(NETWORKDAYS($E$4,F38,'Festivos CR'!$A$3:$A$15)),0)</f>
        <v>0</v>
      </c>
      <c r="I38" s="90">
        <f>NETWORKDAYS($E$4,F38,'Festivos CR'!$A$3:$A$15)</f>
        <v>19</v>
      </c>
      <c r="J38" s="132">
        <f t="shared" ref="J38:J43" si="1">H38</f>
        <v>0</v>
      </c>
      <c r="K38" s="135"/>
      <c r="L38" s="135"/>
    </row>
    <row r="39" spans="1:16" s="180" customFormat="1" outlineLevel="1">
      <c r="B39" s="175"/>
      <c r="C39" s="174" t="s">
        <v>258</v>
      </c>
      <c r="D39" s="170">
        <f>E39*500</f>
        <v>1721625</v>
      </c>
      <c r="E39" s="142">
        <v>3443.25</v>
      </c>
      <c r="F39" s="177">
        <v>45412</v>
      </c>
      <c r="G39" s="178" t="s">
        <v>235</v>
      </c>
      <c r="H39" s="90">
        <f>IF(OR(G39="Sin pagar",G39="Pagar"),_xlfn.SINGLE(NETWORKDAYS($E$4,F39,'Festivos CR'!$A$3:$A$15)),0)</f>
        <v>0</v>
      </c>
      <c r="I39" s="90">
        <f>NETWORKDAYS($E$4,F39,'Festivos CR'!$A$3:$A$15)</f>
        <v>19</v>
      </c>
      <c r="J39" s="132">
        <f t="shared" si="1"/>
        <v>0</v>
      </c>
      <c r="L39" s="179"/>
    </row>
    <row r="40" spans="1:16" s="180" customFormat="1" outlineLevel="1">
      <c r="B40" s="144"/>
      <c r="C40" s="174" t="s">
        <v>253</v>
      </c>
      <c r="D40" s="170">
        <v>1410537.3</v>
      </c>
      <c r="E40" s="142">
        <f>D40/501</f>
        <v>2815.4437125748505</v>
      </c>
      <c r="F40" s="129">
        <v>45412</v>
      </c>
      <c r="G40" s="90" t="s">
        <v>235</v>
      </c>
      <c r="H40" s="90">
        <f>IF(OR(G40="Sin pagar",G40="Pagar"),_xlfn.SINGLE(NETWORKDAYS($E$4,F40,'Festivos CR'!$A$3:$A$15)),0)</f>
        <v>0</v>
      </c>
      <c r="I40" s="90">
        <f>NETWORKDAYS($E$4,F40,'Festivos CR'!$A$3:$A$15)</f>
        <v>19</v>
      </c>
      <c r="J40" s="132">
        <f t="shared" si="1"/>
        <v>0</v>
      </c>
      <c r="L40" s="179"/>
    </row>
    <row r="41" spans="1:16" s="180" customFormat="1" outlineLevel="1">
      <c r="B41" s="176"/>
      <c r="C41" s="174" t="s">
        <v>255</v>
      </c>
      <c r="D41" s="170">
        <v>1410537.3</v>
      </c>
      <c r="E41" s="142">
        <f>D41/501</f>
        <v>2815.4437125748505</v>
      </c>
      <c r="F41" s="177">
        <v>45412</v>
      </c>
      <c r="G41" s="178" t="s">
        <v>235</v>
      </c>
      <c r="H41" s="90">
        <f>IF(OR(G41="Sin pagar",G41="Pagar"),_xlfn.SINGLE(NETWORKDAYS($E$4,F41,'Festivos CR'!$A$3:$A$15)),0)</f>
        <v>0</v>
      </c>
      <c r="I41" s="90">
        <f>NETWORKDAYS($E$4,F41,'Festivos CR'!$A$3:$A$15)</f>
        <v>19</v>
      </c>
      <c r="J41" s="132">
        <f t="shared" si="1"/>
        <v>0</v>
      </c>
      <c r="L41" s="179"/>
    </row>
    <row r="42" spans="1:16" s="180" customFormat="1" outlineLevel="1">
      <c r="B42" s="176"/>
      <c r="C42" s="174" t="s">
        <v>256</v>
      </c>
      <c r="D42" s="170">
        <v>803970</v>
      </c>
      <c r="E42" s="142">
        <f>D42/501</f>
        <v>1604.7305389221558</v>
      </c>
      <c r="F42" s="177">
        <v>45412</v>
      </c>
      <c r="G42" s="178" t="s">
        <v>235</v>
      </c>
      <c r="H42" s="90">
        <f>IF(OR(G42="Sin pagar",G42="Pagar"),_xlfn.SINGLE(NETWORKDAYS($E$4,F42,'Festivos CR'!$A$3:$A$15)),0)</f>
        <v>0</v>
      </c>
      <c r="I42" s="90">
        <f>NETWORKDAYS($E$4,F42,'Festivos CR'!$A$3:$A$15)</f>
        <v>19</v>
      </c>
      <c r="J42" s="132">
        <f t="shared" si="1"/>
        <v>0</v>
      </c>
      <c r="K42" s="179"/>
      <c r="L42" s="181"/>
    </row>
    <row r="43" spans="1:16" s="180" customFormat="1" ht="15" outlineLevel="1" thickBot="1">
      <c r="B43" s="176"/>
      <c r="C43" s="174" t="s">
        <v>257</v>
      </c>
      <c r="D43" s="170">
        <f>E43*501</f>
        <v>3295522.89</v>
      </c>
      <c r="E43" s="142">
        <v>6577.89</v>
      </c>
      <c r="F43" s="177">
        <v>45412</v>
      </c>
      <c r="G43" s="178" t="s">
        <v>235</v>
      </c>
      <c r="H43" s="90">
        <f>IF(OR(G43="Sin pagar",G43="Pagar"),_xlfn.SINGLE(NETWORKDAYS($E$4,F43,'Festivos CR'!$A$3:$A$15)),0)</f>
        <v>0</v>
      </c>
      <c r="I43" s="90">
        <f>NETWORKDAYS($E$4,F43,'Festivos CR'!$A$3:$A$15)</f>
        <v>19</v>
      </c>
      <c r="J43" s="132">
        <f t="shared" si="1"/>
        <v>0</v>
      </c>
      <c r="L43" s="179"/>
    </row>
    <row r="44" spans="1:16" s="90" customFormat="1" ht="16.2" thickBot="1">
      <c r="A44" s="180"/>
      <c r="B44" s="145"/>
      <c r="C44" s="127" t="s">
        <v>238</v>
      </c>
      <c r="D44" s="172">
        <f>SUBTOTAL(9,D45:D45)</f>
        <v>0</v>
      </c>
      <c r="E44" s="128">
        <f>SUBTOTAL(9,E45:E45)</f>
        <v>0</v>
      </c>
      <c r="L44" s="108"/>
    </row>
    <row r="45" spans="1:16" s="90" customFormat="1" ht="15" outlineLevel="1" thickBot="1">
      <c r="A45" s="180"/>
      <c r="B45" s="146"/>
      <c r="C45" s="101"/>
      <c r="D45" s="170">
        <v>0</v>
      </c>
      <c r="E45" s="142">
        <f>D45/$D$6</f>
        <v>0</v>
      </c>
      <c r="F45" s="129">
        <v>45412</v>
      </c>
      <c r="G45" s="90" t="s">
        <v>235</v>
      </c>
      <c r="H45" s="90">
        <f>IF(OR(G45="Sin pagar",G45="Pagar"),_xlfn.SINGLE(NETWORKDAYS($E$4,F45,'Festivos CR'!$A$3:$A$15)),0)</f>
        <v>0</v>
      </c>
      <c r="I45" s="90">
        <f>NETWORKDAYS($E$4,F45,'Festivos CR'!$A$3:$A$15)</f>
        <v>19</v>
      </c>
      <c r="J45" s="132">
        <f>H45</f>
        <v>0</v>
      </c>
      <c r="L45" s="108"/>
    </row>
    <row r="46" spans="1:16" s="90" customFormat="1" ht="14.25" customHeight="1">
      <c r="B46" s="100"/>
      <c r="C46" s="147" t="s">
        <v>239</v>
      </c>
      <c r="D46" s="171">
        <f>SUBTOTAL(9,D22:D45)</f>
        <v>16284857.891197607</v>
      </c>
      <c r="E46" s="148">
        <f>SUBTOTAL(9,E22:E45)</f>
        <v>32553.687769780441</v>
      </c>
      <c r="K46" s="86"/>
      <c r="L46" s="86"/>
      <c r="N46" s="86"/>
      <c r="O46" s="86"/>
      <c r="P46" s="86"/>
    </row>
    <row r="47" spans="1:16" ht="15.6">
      <c r="A47" s="90"/>
      <c r="E47" s="149"/>
      <c r="F47" s="239"/>
      <c r="G47" s="150"/>
      <c r="H47" s="150"/>
      <c r="I47" s="150"/>
      <c r="J47" s="150"/>
    </row>
    <row r="48" spans="1:16" ht="15.6">
      <c r="A48" s="90"/>
      <c r="C48" s="151" t="s">
        <v>3</v>
      </c>
      <c r="D48" s="182">
        <f>D17-D46</f>
        <v>9832678.418802388</v>
      </c>
      <c r="E48" s="152">
        <f>E17-E46</f>
        <v>19577.12322822354</v>
      </c>
      <c r="F48" s="243"/>
      <c r="G48" s="153"/>
      <c r="J48" s="153"/>
    </row>
    <row r="49" spans="1:16" s="157" customFormat="1" ht="15.6">
      <c r="A49" s="90"/>
      <c r="B49" s="154"/>
      <c r="C49" s="151" t="s">
        <v>240</v>
      </c>
      <c r="D49" s="155">
        <f>IF($D$17=0,0,D48/$D$17)</f>
        <v>0.37647802235609834</v>
      </c>
      <c r="E49" s="155">
        <f>IF($E$17=0,0,E48/$E$17)</f>
        <v>0.37553843597355741</v>
      </c>
      <c r="F49" s="156"/>
      <c r="G49" s="153"/>
      <c r="J49" s="158"/>
      <c r="K49" s="86"/>
      <c r="L49" s="86"/>
      <c r="N49" s="86"/>
      <c r="O49" s="86"/>
      <c r="P49" s="86"/>
    </row>
    <row r="50" spans="1:16">
      <c r="A50" s="90"/>
      <c r="F50" s="156"/>
      <c r="G50" s="153"/>
    </row>
    <row r="52" spans="1:16" ht="15" thickBot="1"/>
    <row r="53" spans="1:16" ht="15" thickBot="1">
      <c r="C53" s="189" t="s">
        <v>260</v>
      </c>
      <c r="D53" s="190" t="s">
        <v>261</v>
      </c>
      <c r="E53" s="191" t="s">
        <v>265</v>
      </c>
      <c r="F53" s="191" t="s">
        <v>266</v>
      </c>
    </row>
    <row r="54" spans="1:16">
      <c r="C54" s="192">
        <v>45383</v>
      </c>
      <c r="D54" s="193">
        <v>45389</v>
      </c>
      <c r="E54" s="195">
        <f t="shared" ref="E54:E59" si="2">SUMIFS($D$21:$D$51,$F$21:$F$51,"&gt;="&amp;C54,$F$21:$F$51,"&lt;="&amp;D54,$G$21:$G$51,$D$69)</f>
        <v>0</v>
      </c>
      <c r="F54" s="201">
        <f t="shared" ref="F54:F59" si="3">SUMIFS($E$21:$E$51,$F$21:$F$51,"&gt;="&amp;C54,$F$21:$F$51,"&lt;="&amp;D54,$G$21:$G$51,$D$69)</f>
        <v>0</v>
      </c>
    </row>
    <row r="55" spans="1:16">
      <c r="C55" s="183">
        <v>45390</v>
      </c>
      <c r="D55" s="184">
        <v>45396</v>
      </c>
      <c r="E55" s="196">
        <f t="shared" si="2"/>
        <v>0</v>
      </c>
      <c r="F55" s="202">
        <f t="shared" si="3"/>
        <v>0</v>
      </c>
    </row>
    <row r="56" spans="1:16">
      <c r="C56" s="183">
        <v>45397</v>
      </c>
      <c r="D56" s="184">
        <v>45403</v>
      </c>
      <c r="E56" s="196">
        <f t="shared" si="2"/>
        <v>0</v>
      </c>
      <c r="F56" s="202">
        <f t="shared" si="3"/>
        <v>0</v>
      </c>
      <c r="J56" s="591"/>
    </row>
    <row r="57" spans="1:16">
      <c r="C57" s="183">
        <v>45404</v>
      </c>
      <c r="D57" s="184">
        <v>45410</v>
      </c>
      <c r="E57" s="196">
        <f t="shared" si="2"/>
        <v>0</v>
      </c>
      <c r="F57" s="202">
        <f t="shared" si="3"/>
        <v>0</v>
      </c>
      <c r="J57" s="591"/>
    </row>
    <row r="58" spans="1:16">
      <c r="C58" s="183">
        <v>45411</v>
      </c>
      <c r="D58" s="184">
        <v>45412</v>
      </c>
      <c r="E58" s="196">
        <f t="shared" si="2"/>
        <v>0</v>
      </c>
      <c r="F58" s="202">
        <f t="shared" si="3"/>
        <v>0</v>
      </c>
      <c r="J58" s="591"/>
    </row>
    <row r="59" spans="1:16" s="159" customFormat="1" ht="15" thickBot="1">
      <c r="B59" s="87"/>
      <c r="C59" s="187">
        <v>45413</v>
      </c>
      <c r="D59" s="188">
        <v>45443</v>
      </c>
      <c r="E59" s="197">
        <f t="shared" si="2"/>
        <v>0</v>
      </c>
      <c r="F59" s="203">
        <f t="shared" si="3"/>
        <v>0</v>
      </c>
    </row>
    <row r="60" spans="1:16" ht="15.6">
      <c r="C60" s="589" t="s">
        <v>262</v>
      </c>
      <c r="D60" s="589"/>
      <c r="E60" s="186">
        <f>SUM(E54:E59)</f>
        <v>0</v>
      </c>
      <c r="F60" s="200">
        <f>SUM(F54:F59)</f>
        <v>0</v>
      </c>
      <c r="G60" s="94"/>
      <c r="J60" s="153"/>
      <c r="K60" s="153"/>
    </row>
    <row r="62" spans="1:16" s="159" customFormat="1">
      <c r="B62" s="87"/>
      <c r="D62" s="88"/>
      <c r="E62" s="88"/>
    </row>
    <row r="63" spans="1:16">
      <c r="C63" s="592" t="s">
        <v>267</v>
      </c>
      <c r="D63" s="592"/>
      <c r="E63" s="204">
        <f>$D$9</f>
        <v>9666655.2199999969</v>
      </c>
      <c r="F63" s="206">
        <f>$E$9</f>
        <v>19294.720998003984</v>
      </c>
    </row>
    <row r="64" spans="1:16" s="159" customFormat="1">
      <c r="B64" s="87"/>
      <c r="C64" s="592" t="s">
        <v>268</v>
      </c>
      <c r="D64" s="592"/>
      <c r="E64" s="204">
        <f>SUM($E$54:$E$57)</f>
        <v>0</v>
      </c>
      <c r="F64" s="204">
        <f>SUM($F$54:$F$57)</f>
        <v>0</v>
      </c>
    </row>
    <row r="65" spans="2:10" s="159" customFormat="1">
      <c r="B65" s="87"/>
      <c r="C65" s="588" t="s">
        <v>152</v>
      </c>
      <c r="D65" s="588"/>
      <c r="E65" s="205">
        <f>E63-E64</f>
        <v>9666655.2199999969</v>
      </c>
      <c r="F65" s="199">
        <f>F63-F64</f>
        <v>19294.720998003984</v>
      </c>
    </row>
    <row r="66" spans="2:10" s="159" customFormat="1">
      <c r="B66" s="87"/>
      <c r="D66" s="88"/>
      <c r="E66" s="88"/>
    </row>
    <row r="67" spans="2:10" s="159" customFormat="1">
      <c r="B67" s="87"/>
      <c r="D67" s="88"/>
      <c r="E67" s="88"/>
    </row>
    <row r="68" spans="2:10">
      <c r="D68" s="90" t="s">
        <v>235</v>
      </c>
      <c r="E68" s="170">
        <f>SUMIFS($D$21:$D$51,$F$21:$F$51,"&gt;="&amp;C54,$F$21:$F$51,"&lt;="&amp;D58,$G$21:$G$51,$D$68)</f>
        <v>16284857.891197607</v>
      </c>
      <c r="F68" s="198">
        <f>SUMIFS($E$21:$E$51,$F$21:$F$51,"&gt;="&amp;C54,$F$21:$F$51,"&lt;="&amp;D59,$G$21:$G$51,$D$68)</f>
        <v>32553.687769780441</v>
      </c>
    </row>
    <row r="69" spans="2:10">
      <c r="D69" s="90" t="s">
        <v>231</v>
      </c>
      <c r="E69" s="170">
        <f>SUMIFS($D$21:$D$51,$F$21:$F$51,"&gt;="&amp;C54,$F$21:$F$51,"&lt;="&amp;D59,$G$21:$G$51,$D$69)</f>
        <v>0</v>
      </c>
      <c r="F69" s="198">
        <f>SUMIFS($E$21:$E$51,$F$21:$F$51,"&gt;="&amp;C54,$F$21:$F$51,"&lt;="&amp;D59,$G$21:$G$51,$D$69)</f>
        <v>0</v>
      </c>
    </row>
    <row r="70" spans="2:10">
      <c r="D70" s="185" t="s">
        <v>263</v>
      </c>
      <c r="E70" s="194">
        <f>SUM(E68:E69)</f>
        <v>16284857.891197607</v>
      </c>
      <c r="F70" s="199">
        <f>SUM(F68:F69)</f>
        <v>32553.687769780441</v>
      </c>
    </row>
    <row r="71" spans="2:10">
      <c r="D71" s="185" t="s">
        <v>264</v>
      </c>
      <c r="E71" s="194">
        <f>E70-D46</f>
        <v>0</v>
      </c>
      <c r="F71" s="199">
        <f>F70-E46</f>
        <v>0</v>
      </c>
    </row>
    <row r="74" spans="2:10">
      <c r="F74" s="237" t="s">
        <v>313</v>
      </c>
    </row>
    <row r="75" spans="2:10">
      <c r="D75" s="88" t="s">
        <v>311</v>
      </c>
      <c r="E75" s="241">
        <f>F75/521</f>
        <v>10125.558541266795</v>
      </c>
      <c r="F75" s="26">
        <v>5275416</v>
      </c>
      <c r="G75" s="26"/>
      <c r="J75" s="240"/>
    </row>
    <row r="76" spans="2:10">
      <c r="D76" s="88" t="s">
        <v>312</v>
      </c>
      <c r="E76" s="241">
        <v>9451.5599999999977</v>
      </c>
      <c r="G76" s="206"/>
    </row>
    <row r="77" spans="2:10">
      <c r="D77" s="185" t="s">
        <v>198</v>
      </c>
      <c r="E77" s="242">
        <f>SUM(E75:E76)</f>
        <v>19577.118541266791</v>
      </c>
    </row>
    <row r="78" spans="2:10">
      <c r="E78" s="241"/>
    </row>
  </sheetData>
  <protectedRanges>
    <protectedRange sqref="F17:G17 D50:E50 D10:E11" name="Presupuestos"/>
    <protectedRange sqref="D8:E8 D21:E21" name="Presupuestos_1"/>
    <protectedRange sqref="D28:E29" name="Presupuestos_13_1"/>
    <protectedRange sqref="D31:E31" name="Presupuestos_14"/>
    <protectedRange sqref="D42:E43 E38:E41" name="Presupuestos_2_1_1_1"/>
    <protectedRange sqref="D38 E45 K38" name="Presupuestos_6_1_1_1"/>
    <protectedRange sqref="D39:D41" name="Presupuestos_5_2_1"/>
    <protectedRange sqref="D36:E36" name="Presupuestos_7_1"/>
    <protectedRange sqref="D45" name="Presupuestos_5_3"/>
    <protectedRange sqref="D33:E34" name="Presupuestos_13_1_1"/>
  </protectedRanges>
  <autoFilter ref="A21:S45" xr:uid="{4E26386C-E33B-43DE-BB78-3BCF9ED0D596}"/>
  <mergeCells count="8">
    <mergeCell ref="C65:D65"/>
    <mergeCell ref="C60:D60"/>
    <mergeCell ref="D7:E7"/>
    <mergeCell ref="B20:C20"/>
    <mergeCell ref="D20:E20"/>
    <mergeCell ref="J56:J58"/>
    <mergeCell ref="C64:D64"/>
    <mergeCell ref="C63:D63"/>
  </mergeCells>
  <conditionalFormatting sqref="D73:E73">
    <cfRule type="cellIs" dxfId="55" priority="33" operator="lessThan">
      <formula>0</formula>
    </cfRule>
    <cfRule type="cellIs" dxfId="54" priority="34" operator="greaterThan">
      <formula>0</formula>
    </cfRule>
  </conditionalFormatting>
  <dataValidations count="2">
    <dataValidation type="list" allowBlank="1" showInputMessage="1" showErrorMessage="1" sqref="G36 G22:G23 D68:D69 G31 G45 G51:G52 G28:G29 G25:G26 G38:G43 G33:G34" xr:uid="{FA238A71-F2AA-4925-80CD-9845C0739537}">
      <formula1>"Cancelado,Pagar,Sin Pagar"</formula1>
    </dataValidation>
    <dataValidation type="list" allowBlank="1" showInputMessage="1" showErrorMessage="1" sqref="D20 D7" xr:uid="{8E7F1CB3-552A-4413-A814-0B2D445B927C}">
      <formula1>"ENERO,FEBRERO,MARZO,ABRIL,MAYO,JUNIO,JULIO,AGOSTO,SEPTIEMBRE,OCTUBRE,NOVIEMBRE,DICIEMBRE"</formula1>
    </dataValidation>
  </dataValidations>
  <pageMargins left="0.7" right="0.7" top="0.75" bottom="0.75" header="0.3" footer="0.3"/>
  <ignoredErrors>
    <ignoredError sqref="E35 E23 E25 E27:E31 E44:E46" formula="1"/>
    <ignoredError sqref="J23:J45" unlockedFormula="1"/>
    <ignoredError sqref="B3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D215-583F-44A7-A6BD-B6CC300BA169}">
  <dimension ref="A1:S80"/>
  <sheetViews>
    <sheetView showGridLines="0" topLeftCell="B60" workbookViewId="0">
      <selection activeCell="E13" sqref="E13"/>
    </sheetView>
  </sheetViews>
  <sheetFormatPr baseColWidth="10" defaultColWidth="9.109375" defaultRowHeight="14.4" outlineLevelRow="1"/>
  <cols>
    <col min="1" max="1" width="2.109375" style="236" customWidth="1"/>
    <col min="2" max="2" width="12" style="237" bestFit="1" customWidth="1"/>
    <col min="3" max="3" width="54.33203125" style="236" bestFit="1" customWidth="1"/>
    <col min="4" max="4" width="24.44140625" style="88" customWidth="1"/>
    <col min="5" max="5" width="18.6640625" style="88" bestFit="1" customWidth="1"/>
    <col min="6" max="6" width="23.5546875" style="236" customWidth="1"/>
    <col min="7" max="7" width="16.88671875" style="236" customWidth="1"/>
    <col min="8" max="8" width="7.6640625" style="236" hidden="1" customWidth="1"/>
    <col min="9" max="9" width="12.109375" style="236" hidden="1" customWidth="1"/>
    <col min="10" max="10" width="16.5546875" style="236" customWidth="1"/>
    <col min="11" max="11" width="2.109375" style="236" customWidth="1"/>
    <col min="12" max="12" width="2.33203125" style="236" customWidth="1"/>
    <col min="13" max="13" width="14.5546875" style="236" bestFit="1" customWidth="1"/>
    <col min="14" max="14" width="13.109375" style="236" bestFit="1" customWidth="1"/>
    <col min="15" max="15" width="26.109375" style="236" customWidth="1"/>
    <col min="16" max="16" width="19.33203125" style="236" bestFit="1" customWidth="1"/>
    <col min="17" max="17" width="15.33203125" style="236" bestFit="1" customWidth="1"/>
    <col min="18" max="18" width="14" style="236" bestFit="1" customWidth="1"/>
    <col min="19" max="19" width="13" style="236" bestFit="1" customWidth="1"/>
    <col min="20" max="16384" width="9.109375" style="236"/>
  </cols>
  <sheetData>
    <row r="1" spans="1:9" hidden="1">
      <c r="D1" s="88">
        <v>42400</v>
      </c>
    </row>
    <row r="2" spans="1:9">
      <c r="D2" s="89"/>
      <c r="E2" s="89"/>
      <c r="I2" s="90"/>
    </row>
    <row r="3" spans="1:9">
      <c r="E3" s="220"/>
      <c r="I3" s="90"/>
    </row>
    <row r="4" spans="1:9" ht="15.6">
      <c r="B4" s="92"/>
      <c r="C4" s="92"/>
      <c r="D4" s="160" t="s">
        <v>216</v>
      </c>
      <c r="E4" s="161">
        <v>45415</v>
      </c>
      <c r="I4" s="90"/>
    </row>
    <row r="5" spans="1:9">
      <c r="D5" s="89"/>
      <c r="E5" s="89"/>
      <c r="I5" s="90"/>
    </row>
    <row r="6" spans="1:9">
      <c r="C6" s="93" t="s">
        <v>217</v>
      </c>
      <c r="D6" s="26">
        <v>521</v>
      </c>
      <c r="E6" s="89"/>
      <c r="I6" s="90"/>
    </row>
    <row r="7" spans="1:9" ht="15.6">
      <c r="C7" s="94"/>
      <c r="D7" s="590" t="s">
        <v>319</v>
      </c>
      <c r="E7" s="590"/>
      <c r="I7" s="90"/>
    </row>
    <row r="8" spans="1:9">
      <c r="D8" s="95" t="s">
        <v>242</v>
      </c>
      <c r="E8" s="95" t="s">
        <v>219</v>
      </c>
    </row>
    <row r="9" spans="1:9" s="96" customFormat="1" ht="15.6">
      <c r="C9" s="97" t="s">
        <v>220</v>
      </c>
      <c r="D9" s="167">
        <f>SUBTOTAL(9,D10:D11)</f>
        <v>10199678.759999998</v>
      </c>
      <c r="E9" s="98">
        <f>SUBTOTAL(9,E10:E11)</f>
        <v>19577.118541266791</v>
      </c>
      <c r="F9" s="99"/>
      <c r="I9" s="90"/>
    </row>
    <row r="10" spans="1:9" s="90" customFormat="1" outlineLevel="1">
      <c r="B10" s="100"/>
      <c r="C10" s="101" t="s">
        <v>243</v>
      </c>
      <c r="D10" s="169">
        <f>'BAC SAN JOSE COLONES  '!$G$174</f>
        <v>5275416</v>
      </c>
      <c r="E10" s="218">
        <f>D10/$D$6</f>
        <v>10125.558541266795</v>
      </c>
      <c r="F10" s="103"/>
    </row>
    <row r="11" spans="1:9" s="90" customFormat="1" outlineLevel="1">
      <c r="B11" s="100"/>
      <c r="C11" s="101" t="s">
        <v>221</v>
      </c>
      <c r="D11" s="169">
        <f>'BAC SAN JOSE USD'!$G$172*'FLUJO CAJA MAYO'!$D$6</f>
        <v>4924262.7599999988</v>
      </c>
      <c r="E11" s="218">
        <f>D11/$D$6</f>
        <v>9451.5599999999977</v>
      </c>
      <c r="F11" s="103"/>
    </row>
    <row r="12" spans="1:9" s="90" customFormat="1" ht="15.6">
      <c r="B12" s="100"/>
      <c r="C12" s="104" t="s">
        <v>222</v>
      </c>
      <c r="D12" s="167">
        <f>SUBTOTAL(9,D13:D17)</f>
        <v>17809248.723306287</v>
      </c>
      <c r="E12" s="98">
        <f>SUBTOTAL(9,E13:E17)</f>
        <v>34182.819046653145</v>
      </c>
      <c r="F12" s="105"/>
    </row>
    <row r="13" spans="1:9" s="90" customFormat="1" outlineLevel="1">
      <c r="A13" s="106"/>
      <c r="B13" s="107"/>
      <c r="C13" s="101" t="s">
        <v>325</v>
      </c>
      <c r="D13" s="169">
        <f>E13*$D$6</f>
        <v>5566149.5339959422</v>
      </c>
      <c r="E13" s="218">
        <f>CONVERSIONES!$C$87+CONVERSIONES!$D$87</f>
        <v>10683.588356997971</v>
      </c>
      <c r="F13" s="105"/>
      <c r="G13" s="108"/>
    </row>
    <row r="14" spans="1:9" s="90" customFormat="1" outlineLevel="1">
      <c r="A14" s="106"/>
      <c r="B14" s="107"/>
      <c r="C14" s="101" t="s">
        <v>324</v>
      </c>
      <c r="D14" s="169">
        <f>E14*$D$6</f>
        <v>4621343.2993103452</v>
      </c>
      <c r="E14" s="218">
        <f>(CONVERSIONES!$E$87+CONVERSIONES!$F$87-142)</f>
        <v>8870.1406896551725</v>
      </c>
      <c r="F14" s="105"/>
      <c r="G14" s="108"/>
    </row>
    <row r="15" spans="1:9" s="90" customFormat="1" outlineLevel="1">
      <c r="B15" s="100"/>
      <c r="C15" s="101" t="s">
        <v>323</v>
      </c>
      <c r="D15" s="169">
        <f>E15*$D$6</f>
        <v>520854.12</v>
      </c>
      <c r="E15" s="218">
        <f>CONVERSIONES!$G$87</f>
        <v>999.72</v>
      </c>
      <c r="F15" s="105"/>
      <c r="G15" s="108"/>
    </row>
    <row r="16" spans="1:9" s="90" customFormat="1" outlineLevel="1">
      <c r="B16" s="100"/>
      <c r="C16" s="101" t="s">
        <v>322</v>
      </c>
      <c r="D16" s="169">
        <f>E16*$D$6</f>
        <v>5833282.7199999997</v>
      </c>
      <c r="E16" s="218">
        <f>CONVERSIONES!$H$87</f>
        <v>11196.32</v>
      </c>
      <c r="F16" s="105"/>
      <c r="G16" s="108"/>
    </row>
    <row r="17" spans="2:19" s="90" customFormat="1" outlineLevel="1">
      <c r="B17" s="100"/>
      <c r="C17" s="101" t="s">
        <v>321</v>
      </c>
      <c r="D17" s="169">
        <f>E17*$D$6</f>
        <v>1267619.05</v>
      </c>
      <c r="E17" s="218">
        <f>CONVERSIONES!$I$87</f>
        <v>2433.0500000000002</v>
      </c>
      <c r="F17" s="105"/>
      <c r="G17" s="108"/>
    </row>
    <row r="18" spans="2:19" s="90" customFormat="1" ht="15.6">
      <c r="B18" s="100"/>
      <c r="C18" s="109" t="s">
        <v>223</v>
      </c>
      <c r="D18" s="168">
        <f>SUBTOTAL(9,D9:D17)</f>
        <v>28008927.483306285</v>
      </c>
      <c r="E18" s="207">
        <f>SUBTOTAL(9,E9:E17)</f>
        <v>53759.937587919936</v>
      </c>
      <c r="F18" s="110"/>
      <c r="G18" s="110"/>
      <c r="J18" s="108"/>
      <c r="K18" s="111"/>
      <c r="O18" s="112"/>
      <c r="P18" s="113"/>
      <c r="Q18" s="114"/>
    </row>
    <row r="19" spans="2:19" s="90" customFormat="1" ht="15.6">
      <c r="B19" s="100"/>
      <c r="C19" s="115"/>
      <c r="D19" s="116"/>
      <c r="E19" s="116"/>
      <c r="G19" s="117"/>
      <c r="O19" s="113"/>
      <c r="P19" s="113"/>
    </row>
    <row r="20" spans="2:19" s="90" customFormat="1" ht="15.6">
      <c r="B20" s="100"/>
      <c r="N20" s="118"/>
      <c r="O20" s="119"/>
      <c r="P20" s="120"/>
    </row>
    <row r="21" spans="2:19" s="90" customFormat="1" ht="15.6">
      <c r="B21" s="590" t="s">
        <v>224</v>
      </c>
      <c r="C21" s="590"/>
      <c r="D21" s="590" t="s">
        <v>319</v>
      </c>
      <c r="E21" s="590"/>
      <c r="K21" s="120"/>
      <c r="L21" s="120"/>
      <c r="N21" s="118"/>
      <c r="R21" s="108"/>
      <c r="S21" s="108"/>
    </row>
    <row r="22" spans="2:19" s="90" customFormat="1" ht="16.2" thickBot="1">
      <c r="B22" s="121" t="s">
        <v>225</v>
      </c>
      <c r="C22" s="122" t="s">
        <v>226</v>
      </c>
      <c r="D22" s="95" t="s">
        <v>242</v>
      </c>
      <c r="E22" s="95" t="s">
        <v>219</v>
      </c>
      <c r="F22" s="123" t="s">
        <v>227</v>
      </c>
      <c r="G22" s="118" t="s">
        <v>228</v>
      </c>
      <c r="H22" s="118"/>
      <c r="I22" s="118"/>
      <c r="J22" s="124" t="s">
        <v>229</v>
      </c>
      <c r="N22" s="125"/>
      <c r="R22" s="108"/>
      <c r="S22" s="126"/>
    </row>
    <row r="23" spans="2:19" s="90" customFormat="1" ht="16.2" thickBot="1">
      <c r="B23" s="100"/>
      <c r="C23" s="127" t="s">
        <v>230</v>
      </c>
      <c r="D23" s="172">
        <f>SUBTOTAL(9,D24:D24)</f>
        <v>4718443</v>
      </c>
      <c r="E23" s="128">
        <f>SUBTOTAL(9,E24:E24)</f>
        <v>9056.5124760076778</v>
      </c>
      <c r="F23" s="129"/>
      <c r="J23" s="130"/>
    </row>
    <row r="24" spans="2:19" s="90" customFormat="1" ht="15" outlineLevel="1" thickBot="1">
      <c r="B24" s="131">
        <v>176206200</v>
      </c>
      <c r="C24" s="234" t="s">
        <v>317</v>
      </c>
      <c r="D24" s="169">
        <v>4718443</v>
      </c>
      <c r="E24" s="142">
        <f>D24/$D$6</f>
        <v>9056.5124760076778</v>
      </c>
      <c r="F24" s="129">
        <v>45422</v>
      </c>
      <c r="G24" s="90" t="s">
        <v>235</v>
      </c>
      <c r="H24" s="90">
        <f>IF(OR(G24="Sin pagar",G24="Pagar"),_xlfn.SINGLE(NETWORKDAYS($E$4,F24,'Festivos CR'!$A$3:$A$15)),0)</f>
        <v>0</v>
      </c>
      <c r="I24" s="90">
        <f>NETWORKDAYS($E$4,F24,'Festivos CR'!$A$3:$A$15)</f>
        <v>6</v>
      </c>
      <c r="J24" s="132">
        <f t="shared" ref="J24:J29" si="0">H24</f>
        <v>0</v>
      </c>
      <c r="K24" s="108"/>
      <c r="L24" s="108"/>
    </row>
    <row r="25" spans="2:19" s="90" customFormat="1" ht="16.2" thickBot="1">
      <c r="B25" s="100"/>
      <c r="C25" s="127" t="s">
        <v>232</v>
      </c>
      <c r="D25" s="172">
        <f>SUBTOTAL(9,D26:D27)</f>
        <v>1139287.6299999999</v>
      </c>
      <c r="E25" s="128">
        <f>SUBTOTAL(9,E26:E27)</f>
        <v>2186.7324952015356</v>
      </c>
      <c r="J25" s="130">
        <f t="shared" si="0"/>
        <v>0</v>
      </c>
    </row>
    <row r="26" spans="2:19" s="90" customFormat="1" outlineLevel="1">
      <c r="B26" s="133"/>
      <c r="C26" s="101" t="s">
        <v>292</v>
      </c>
      <c r="D26" s="169">
        <v>1029558.63</v>
      </c>
      <c r="E26" s="142">
        <f>D26/$D$6</f>
        <v>1976.1202111324376</v>
      </c>
      <c r="F26" s="134">
        <v>45422</v>
      </c>
      <c r="G26" s="90" t="s">
        <v>235</v>
      </c>
      <c r="H26" s="90">
        <f>IF(OR(G26="Sin pagar",G26="Pagar"),_xlfn.SINGLE(NETWORKDAYS($E$4,F26,'Festivos CR'!$A$3:$A$15)),0)</f>
        <v>0</v>
      </c>
      <c r="I26" s="90">
        <f>NETWORKDAYS($E$4,F26,'Festivos CR'!$A$3:$A$15)</f>
        <v>6</v>
      </c>
      <c r="J26" s="132">
        <f t="shared" si="0"/>
        <v>0</v>
      </c>
      <c r="K26" s="135"/>
      <c r="L26" s="111"/>
    </row>
    <row r="27" spans="2:19" s="90" customFormat="1" ht="29.4" outlineLevel="1" thickBot="1">
      <c r="B27" s="133"/>
      <c r="C27" s="101" t="s">
        <v>296</v>
      </c>
      <c r="D27" s="169">
        <v>109729</v>
      </c>
      <c r="E27" s="142">
        <f>D27/$D$6</f>
        <v>210.61228406909788</v>
      </c>
      <c r="F27" s="134">
        <v>45422</v>
      </c>
      <c r="G27" s="90" t="s">
        <v>235</v>
      </c>
      <c r="H27" s="90">
        <f>IF(OR(G27="Sin pagar",G27="Pagar"),_xlfn.SINGLE(NETWORKDAYS($E$4,F27,'Festivos CR'!$A$3:$A$15)),0)</f>
        <v>0</v>
      </c>
      <c r="I27" s="90">
        <f>NETWORKDAYS($E$4,F27,'Festivos CR'!$A$3:$A$15)</f>
        <v>6</v>
      </c>
      <c r="J27" s="132">
        <f>H27</f>
        <v>0</v>
      </c>
      <c r="K27" s="135"/>
      <c r="L27" s="111"/>
    </row>
    <row r="28" spans="2:19" s="90" customFormat="1" ht="16.2" thickBot="1">
      <c r="B28" s="100"/>
      <c r="C28" s="127" t="s">
        <v>233</v>
      </c>
      <c r="D28" s="172">
        <f>SUBTOTAL(9,D29:D29)</f>
        <v>62400</v>
      </c>
      <c r="E28" s="128">
        <f>SUBTOTAL(9,E29:E29)</f>
        <v>119.76967370441459</v>
      </c>
      <c r="J28" s="130">
        <f t="shared" si="0"/>
        <v>0</v>
      </c>
      <c r="K28" s="108"/>
      <c r="L28" s="108"/>
    </row>
    <row r="29" spans="2:19" s="90" customFormat="1" ht="15" outlineLevel="1" thickBot="1">
      <c r="B29" s="100"/>
      <c r="C29" s="101" t="s">
        <v>332</v>
      </c>
      <c r="D29" s="169">
        <v>62400</v>
      </c>
      <c r="E29" s="137">
        <f>D29/$D$6</f>
        <v>119.76967370441459</v>
      </c>
      <c r="F29" s="129">
        <v>45440</v>
      </c>
      <c r="G29" s="90" t="s">
        <v>235</v>
      </c>
      <c r="H29" s="90">
        <f>IF(OR(G29="Sin pagar",G29="Pagar"),_xlfn.SINGLE(NETWORKDAYS($E$4,F29,'Festivos CR'!$A$3:$A$15)),0)</f>
        <v>0</v>
      </c>
      <c r="I29" s="90">
        <f>NETWORKDAYS($E$4,F29,'Festivos CR'!$A$3:$A$15)</f>
        <v>18</v>
      </c>
      <c r="J29" s="132">
        <f t="shared" si="0"/>
        <v>0</v>
      </c>
      <c r="N29" s="103"/>
    </row>
    <row r="30" spans="2:19" s="90" customFormat="1" ht="16.2" thickBot="1">
      <c r="C30" s="127" t="s">
        <v>250</v>
      </c>
      <c r="D30" s="172">
        <f>SUBTOTAL(9,D31:D31)</f>
        <v>77000</v>
      </c>
      <c r="E30" s="128">
        <f>SUBTOTAL(9,E31:E31)</f>
        <v>147.79270633397311</v>
      </c>
      <c r="K30" s="103"/>
      <c r="L30" s="103"/>
      <c r="O30" s="103"/>
      <c r="P30" s="103"/>
    </row>
    <row r="31" spans="2:19" s="90" customFormat="1" ht="14.25" customHeight="1" outlineLevel="1" thickBot="1">
      <c r="B31" s="138" t="s">
        <v>252</v>
      </c>
      <c r="C31" s="101" t="s">
        <v>251</v>
      </c>
      <c r="D31" s="169">
        <v>77000</v>
      </c>
      <c r="E31" s="137">
        <f>D31/$D$6</f>
        <v>147.79270633397311</v>
      </c>
      <c r="F31" s="129">
        <v>45415</v>
      </c>
      <c r="G31" s="90" t="s">
        <v>235</v>
      </c>
      <c r="H31" s="90">
        <f>IF(OR(G31="Sin pagar",G31="Pagar"),_xlfn.SINGLE(NETWORKDAYS($E$4,F31,'Festivos CR'!$A$3:$A$15)),0)</f>
        <v>0</v>
      </c>
      <c r="I31" s="90">
        <f>NETWORKDAYS($E$4,F31,'Festivos CR'!$A$3:$A$15)</f>
        <v>1</v>
      </c>
      <c r="J31" s="132">
        <f>H31</f>
        <v>0</v>
      </c>
      <c r="K31" s="103"/>
      <c r="L31" s="103"/>
      <c r="O31" s="103"/>
      <c r="P31" s="103"/>
    </row>
    <row r="32" spans="2:19" s="90" customFormat="1" ht="16.2" thickBot="1">
      <c r="B32" s="136"/>
      <c r="C32" s="139" t="s">
        <v>234</v>
      </c>
      <c r="D32" s="173">
        <f>SUBTOTAL(9,D33:D35)</f>
        <v>0</v>
      </c>
      <c r="E32" s="140">
        <f>SUBTOTAL(9,E33:E35)</f>
        <v>0</v>
      </c>
      <c r="K32" s="108"/>
    </row>
    <row r="33" spans="1:16" s="90" customFormat="1" outlineLevel="1">
      <c r="B33" s="141">
        <v>4699</v>
      </c>
      <c r="C33" s="174" t="s">
        <v>259</v>
      </c>
      <c r="D33" s="169">
        <f>E33*$D$6*0</f>
        <v>0</v>
      </c>
      <c r="E33" s="137">
        <f>880*0</f>
        <v>0</v>
      </c>
      <c r="F33" s="129">
        <v>45443</v>
      </c>
      <c r="G33" s="90" t="s">
        <v>235</v>
      </c>
      <c r="H33" s="90">
        <f>IF(OR(G33="Sin pagar",G33="Pagar"),_xlfn.SINGLE(NETWORKDAYS($E$4,F33,'Festivos CR'!$A$3:$A$15)),0)</f>
        <v>0</v>
      </c>
      <c r="I33" s="90">
        <f>NETWORKDAYS($E$4,F33,'Festivos CR'!$A$3:$A$15)</f>
        <v>21</v>
      </c>
      <c r="J33" s="132">
        <f>H33</f>
        <v>0</v>
      </c>
      <c r="N33" s="103"/>
    </row>
    <row r="34" spans="1:16" s="90" customFormat="1" outlineLevel="1">
      <c r="B34" s="141">
        <v>4777</v>
      </c>
      <c r="C34" s="174" t="s">
        <v>297</v>
      </c>
      <c r="D34" s="169">
        <f>E34*$D$6*0</f>
        <v>0</v>
      </c>
      <c r="E34" s="137">
        <f>720*0</f>
        <v>0</v>
      </c>
      <c r="F34" s="129">
        <v>45443</v>
      </c>
      <c r="G34" s="90" t="s">
        <v>235</v>
      </c>
      <c r="H34" s="90">
        <f>IF(OR(G34="Sin pagar",G34="Pagar"),_xlfn.SINGLE(NETWORKDAYS($E$4,F34,'Festivos CR'!$A$3:$A$15)),0)</f>
        <v>0</v>
      </c>
      <c r="I34" s="90">
        <f>NETWORKDAYS($E$4,F34,'Festivos CR'!$A$3:$A$15)</f>
        <v>21</v>
      </c>
      <c r="J34" s="132">
        <f>H34</f>
        <v>0</v>
      </c>
      <c r="N34" s="103"/>
    </row>
    <row r="35" spans="1:16" s="90" customFormat="1" ht="15" outlineLevel="1" thickBot="1">
      <c r="B35" s="136">
        <v>4777</v>
      </c>
      <c r="C35" s="174" t="s">
        <v>318</v>
      </c>
      <c r="D35" s="169">
        <f>E35*$D$6*0</f>
        <v>0</v>
      </c>
      <c r="E35" s="137">
        <f>720*0</f>
        <v>0</v>
      </c>
      <c r="H35" s="90">
        <f>IF(OR(G47="Sin pagar",G47="Pagar"),_xlfn.SINGLE(NETWORKDAYS($E$4,F47,'Festivos CR'!$A$3:$A$15)),0)</f>
        <v>0</v>
      </c>
      <c r="I35" s="90">
        <f>NETWORKDAYS($E$4,F47,'Festivos CR'!$A$3:$A$15)</f>
        <v>21</v>
      </c>
      <c r="J35" s="132">
        <f>H35</f>
        <v>0</v>
      </c>
      <c r="N35" s="103"/>
    </row>
    <row r="36" spans="1:16" s="90" customFormat="1" ht="15.75" customHeight="1" thickBot="1">
      <c r="C36" s="127" t="s">
        <v>236</v>
      </c>
      <c r="D36" s="172">
        <f>SUBTOTAL(9,D37:D37)</f>
        <v>430.47</v>
      </c>
      <c r="E36" s="128">
        <f>SUBTOTAL(9,E37:E37)</f>
        <v>0.82623800383877166</v>
      </c>
    </row>
    <row r="37" spans="1:16" s="90" customFormat="1" ht="15" outlineLevel="1" thickBot="1">
      <c r="B37" s="100"/>
      <c r="C37" s="174" t="s">
        <v>236</v>
      </c>
      <c r="D37" s="169">
        <f>(386.25+386.25)-342.03</f>
        <v>430.47</v>
      </c>
      <c r="E37" s="142">
        <f>D37/D6</f>
        <v>0.82623800383877166</v>
      </c>
      <c r="F37" s="129">
        <v>45443</v>
      </c>
      <c r="G37" s="90" t="s">
        <v>235</v>
      </c>
      <c r="H37" s="90">
        <f>IF(OR(G37="Sin pagar",G37="Pagar"),_xlfn.SINGLE(NETWORKDAYS($E$4,F37,'Festivos CR'!$A$3:$A$15)),0)</f>
        <v>0</v>
      </c>
      <c r="I37" s="90">
        <f>NETWORKDAYS($E$4,F37,'Festivos CR'!$A$3:$A$15)</f>
        <v>21</v>
      </c>
      <c r="J37" s="132">
        <f>H37</f>
        <v>0</v>
      </c>
    </row>
    <row r="38" spans="1:16" s="90" customFormat="1" ht="16.2" thickBot="1">
      <c r="C38" s="127" t="s">
        <v>237</v>
      </c>
      <c r="D38" s="172">
        <f>SUBTOTAL(9,D39:D45)</f>
        <v>10824357.970000001</v>
      </c>
      <c r="E38" s="128">
        <f>SUBTOTAL(9,E39:E45)</f>
        <v>20776.118944337813</v>
      </c>
      <c r="K38" s="108"/>
      <c r="L38" s="143"/>
    </row>
    <row r="39" spans="1:16" s="90" customFormat="1" outlineLevel="1">
      <c r="B39" s="100"/>
      <c r="C39" s="174" t="s">
        <v>254</v>
      </c>
      <c r="D39" s="258">
        <v>1612916.33</v>
      </c>
      <c r="E39" s="142">
        <f>D39/$D$6</f>
        <v>3095.8086948176583</v>
      </c>
      <c r="F39" s="129">
        <v>45440</v>
      </c>
      <c r="G39" s="90" t="s">
        <v>235</v>
      </c>
      <c r="H39" s="90">
        <f>IF(OR(G39="Sin pagar",G39="Pagar"),_xlfn.SINGLE(NETWORKDAYS($E$4,F39,'Festivos CR'!$A$3:$A$15)),0)</f>
        <v>0</v>
      </c>
      <c r="I39" s="90">
        <f>NETWORKDAYS($E$4,F39,'Festivos CR'!$A$3:$A$15)</f>
        <v>18</v>
      </c>
      <c r="J39" s="132">
        <f t="shared" ref="J39:J45" si="1">H39</f>
        <v>0</v>
      </c>
      <c r="K39" s="135"/>
      <c r="L39" s="135"/>
    </row>
    <row r="40" spans="1:16" s="180" customFormat="1" outlineLevel="1">
      <c r="B40" s="175"/>
      <c r="C40" s="174" t="s">
        <v>258</v>
      </c>
      <c r="D40" s="170">
        <f>E40*$D$6</f>
        <v>1771728.23</v>
      </c>
      <c r="E40" s="257">
        <v>3400.63</v>
      </c>
      <c r="F40" s="129">
        <v>45440</v>
      </c>
      <c r="G40" s="90" t="s">
        <v>235</v>
      </c>
      <c r="H40" s="90">
        <f>IF(OR(G40="Sin pagar",G40="Pagar"),_xlfn.SINGLE(NETWORKDAYS($E$4,F40,'Festivos CR'!$A$3:$A$15)),0)</f>
        <v>0</v>
      </c>
      <c r="I40" s="90">
        <f>NETWORKDAYS($E$4,F40,'Festivos CR'!$A$3:$A$15)</f>
        <v>18</v>
      </c>
      <c r="J40" s="132">
        <f t="shared" si="1"/>
        <v>0</v>
      </c>
      <c r="L40" s="179"/>
    </row>
    <row r="41" spans="1:16" s="180" customFormat="1" outlineLevel="1">
      <c r="B41" s="144"/>
      <c r="C41" s="174" t="s">
        <v>253</v>
      </c>
      <c r="D41" s="258">
        <v>1410537.3</v>
      </c>
      <c r="E41" s="142">
        <f>D41/$D$6</f>
        <v>2707.3652591170826</v>
      </c>
      <c r="F41" s="129">
        <v>45440</v>
      </c>
      <c r="G41" s="90" t="s">
        <v>235</v>
      </c>
      <c r="H41" s="90">
        <f>IF(OR(G41="Sin pagar",G41="Pagar"),_xlfn.SINGLE(NETWORKDAYS($E$4,F41,'Festivos CR'!$A$3:$A$15)),0)</f>
        <v>0</v>
      </c>
      <c r="I41" s="90">
        <f>NETWORKDAYS($E$4,F41,'Festivos CR'!$A$3:$A$15)</f>
        <v>18</v>
      </c>
      <c r="J41" s="132">
        <f t="shared" si="1"/>
        <v>0</v>
      </c>
      <c r="L41" s="179"/>
    </row>
    <row r="42" spans="1:16" s="180" customFormat="1" outlineLevel="1">
      <c r="B42" s="176"/>
      <c r="C42" s="174" t="s">
        <v>255</v>
      </c>
      <c r="D42" s="258">
        <v>1410537.3</v>
      </c>
      <c r="E42" s="142">
        <f>D42/$D$6</f>
        <v>2707.3652591170826</v>
      </c>
      <c r="F42" s="129">
        <v>45440</v>
      </c>
      <c r="G42" s="90" t="s">
        <v>235</v>
      </c>
      <c r="H42" s="90">
        <f>IF(OR(G42="Sin pagar",G42="Pagar"),_xlfn.SINGLE(NETWORKDAYS($E$4,F42,'Festivos CR'!$A$3:$A$15)),0)</f>
        <v>0</v>
      </c>
      <c r="I42" s="90">
        <f>NETWORKDAYS($E$4,F42,'Festivos CR'!$A$3:$A$15)</f>
        <v>18</v>
      </c>
      <c r="J42" s="132">
        <f t="shared" si="1"/>
        <v>0</v>
      </c>
      <c r="L42" s="179"/>
    </row>
    <row r="43" spans="1:16" s="180" customFormat="1" outlineLevel="1">
      <c r="B43" s="176"/>
      <c r="C43" s="174" t="s">
        <v>331</v>
      </c>
      <c r="D43" s="170">
        <v>417000</v>
      </c>
      <c r="E43" s="142">
        <f>D43/$D$6</f>
        <v>800.38387715930901</v>
      </c>
      <c r="F43" s="129">
        <v>45440</v>
      </c>
      <c r="G43" s="90" t="s">
        <v>235</v>
      </c>
      <c r="H43" s="90">
        <f>IF(OR(G43="Sin pagar",G43="Pagar"),_xlfn.SINGLE(NETWORKDAYS($E$4,F43,'Festivos CR'!$A$3:$A$15)),0)</f>
        <v>0</v>
      </c>
      <c r="I43" s="90">
        <f>NETWORKDAYS($E$4,F43,'Festivos CR'!$A$3:$A$15)</f>
        <v>18</v>
      </c>
      <c r="J43" s="132">
        <f t="shared" si="1"/>
        <v>0</v>
      </c>
      <c r="K43" s="179"/>
      <c r="L43" s="181"/>
    </row>
    <row r="44" spans="1:16" s="180" customFormat="1" outlineLevel="1">
      <c r="B44" s="176"/>
      <c r="C44" s="174" t="s">
        <v>330</v>
      </c>
      <c r="D44" s="258">
        <v>786551.54</v>
      </c>
      <c r="E44" s="142">
        <f>D44/$D$6</f>
        <v>1509.6958541266795</v>
      </c>
      <c r="F44" s="129">
        <v>45440</v>
      </c>
      <c r="G44" s="90" t="s">
        <v>235</v>
      </c>
      <c r="H44" s="90">
        <f>IF(OR(G44="Sin pagar",G44="Pagar"),_xlfn.SINGLE(NETWORKDAYS($E$4,F44,'Festivos CR'!$A$3:$A$15)),0)</f>
        <v>0</v>
      </c>
      <c r="I44" s="90">
        <f>NETWORKDAYS($E$4,F44,'Festivos CR'!$A$3:$A$15)</f>
        <v>18</v>
      </c>
      <c r="J44" s="132">
        <f>H44</f>
        <v>0</v>
      </c>
      <c r="L44" s="179"/>
    </row>
    <row r="45" spans="1:16" s="180" customFormat="1" ht="15" outlineLevel="1" thickBot="1">
      <c r="B45" s="176"/>
      <c r="C45" s="174" t="s">
        <v>257</v>
      </c>
      <c r="D45" s="170">
        <f>E45*$D$6</f>
        <v>3415087.27</v>
      </c>
      <c r="E45" s="257">
        <v>6554.87</v>
      </c>
      <c r="F45" s="129">
        <v>45440</v>
      </c>
      <c r="G45" s="90" t="s">
        <v>235</v>
      </c>
      <c r="H45" s="90">
        <f>IF(OR(G45="Sin pagar",G45="Pagar"),_xlfn.SINGLE(NETWORKDAYS($E$4,F45,'Festivos CR'!$A$3:$A$15)),0)</f>
        <v>0</v>
      </c>
      <c r="I45" s="90">
        <f>NETWORKDAYS($E$4,F45,'Festivos CR'!$A$3:$A$15)</f>
        <v>18</v>
      </c>
      <c r="J45" s="132">
        <f t="shared" si="1"/>
        <v>0</v>
      </c>
      <c r="L45" s="179"/>
    </row>
    <row r="46" spans="1:16" s="90" customFormat="1" ht="16.2" thickBot="1">
      <c r="A46" s="180"/>
      <c r="B46" s="145"/>
      <c r="C46" s="127" t="s">
        <v>238</v>
      </c>
      <c r="D46" s="172">
        <f>SUBTOTAL(9,D47:D47)</f>
        <v>0</v>
      </c>
      <c r="E46" s="128">
        <f>SUBTOTAL(9,E47:E47)</f>
        <v>0</v>
      </c>
      <c r="L46" s="108"/>
    </row>
    <row r="47" spans="1:16" s="90" customFormat="1" ht="15" outlineLevel="1" thickBot="1">
      <c r="A47" s="180"/>
      <c r="B47" s="146"/>
      <c r="C47" s="101"/>
      <c r="D47" s="170">
        <v>0</v>
      </c>
      <c r="E47" s="142">
        <f>D47/$D$6</f>
        <v>0</v>
      </c>
      <c r="F47" s="129">
        <v>45443</v>
      </c>
      <c r="G47" s="90" t="s">
        <v>235</v>
      </c>
      <c r="H47" s="90" t="e">
        <f>IF(OR(#REF!="Sin pagar",#REF!="Pagar"),_xlfn.SINGLE(NETWORKDAYS($E$4,#REF!,'Festivos CR'!$A$3:$A$15)),0)</f>
        <v>#REF!</v>
      </c>
      <c r="I47" s="90" t="e">
        <f>NETWORKDAYS($E$4,#REF!,'Festivos CR'!$A$3:$A$15)</f>
        <v>#REF!</v>
      </c>
      <c r="J47" s="132"/>
      <c r="L47" s="108"/>
    </row>
    <row r="48" spans="1:16" s="90" customFormat="1" ht="14.25" customHeight="1">
      <c r="B48" s="100"/>
      <c r="C48" s="147" t="s">
        <v>239</v>
      </c>
      <c r="D48" s="171">
        <f>SUBTOTAL(9,D23:D47)</f>
        <v>16821919.07</v>
      </c>
      <c r="E48" s="148">
        <f>SUBTOTAL(9,E23:E47)</f>
        <v>32287.752533589253</v>
      </c>
      <c r="K48" s="236"/>
      <c r="L48" s="236"/>
      <c r="N48" s="236"/>
      <c r="O48" s="236"/>
      <c r="P48" s="236"/>
    </row>
    <row r="49" spans="1:16" ht="15.6">
      <c r="A49" s="90"/>
      <c r="E49" s="149"/>
      <c r="F49" s="239"/>
      <c r="G49" s="150"/>
      <c r="H49" s="150"/>
      <c r="I49" s="150"/>
      <c r="J49" s="150"/>
    </row>
    <row r="50" spans="1:16" ht="15.6">
      <c r="A50" s="90"/>
      <c r="C50" s="151" t="s">
        <v>3</v>
      </c>
      <c r="D50" s="182">
        <f>D18-D48</f>
        <v>11187008.413306285</v>
      </c>
      <c r="E50" s="152">
        <f>E18-E48</f>
        <v>21472.185054330683</v>
      </c>
      <c r="F50" s="243"/>
      <c r="G50" s="153"/>
      <c r="J50" s="153"/>
    </row>
    <row r="51" spans="1:16" s="157" customFormat="1" ht="15.6">
      <c r="A51" s="90"/>
      <c r="B51" s="154"/>
      <c r="C51" s="151" t="s">
        <v>240</v>
      </c>
      <c r="D51" s="155">
        <f>IF($D$18=0,0,D50/$D$18)</f>
        <v>0.39940866782471052</v>
      </c>
      <c r="E51" s="155">
        <f>IF($E$18=0,0,E50/$E$18)</f>
        <v>0.39940866782471052</v>
      </c>
      <c r="F51" s="156"/>
      <c r="G51" s="153"/>
      <c r="J51" s="158"/>
      <c r="K51" s="236"/>
      <c r="L51" s="236"/>
      <c r="N51" s="236"/>
      <c r="O51" s="236"/>
      <c r="P51" s="236"/>
    </row>
    <row r="52" spans="1:16">
      <c r="A52" s="90"/>
      <c r="F52" s="156"/>
      <c r="G52" s="153"/>
    </row>
    <row r="54" spans="1:16" ht="15" thickBot="1"/>
    <row r="55" spans="1:16" ht="15" thickBot="1">
      <c r="C55" s="189" t="s">
        <v>260</v>
      </c>
      <c r="D55" s="190" t="s">
        <v>261</v>
      </c>
      <c r="E55" s="191" t="s">
        <v>265</v>
      </c>
      <c r="F55" s="191" t="s">
        <v>266</v>
      </c>
    </row>
    <row r="56" spans="1:16">
      <c r="C56" s="192">
        <v>45413</v>
      </c>
      <c r="D56" s="193">
        <v>45417</v>
      </c>
      <c r="E56" s="195">
        <f>SUMIFS($D$22:$D$53,$F$22:$F$53,"&gt;="&amp;C56,$F$22:$F$53,"&lt;="&amp;D56,$G$22:$G$53,$D$70)</f>
        <v>0</v>
      </c>
      <c r="F56" s="201">
        <f>SUMIFS($E$22:$E$53,$F$22:$F$53,"&gt;="&amp;C56,$F$22:$F$53,"&lt;="&amp;D56,$G$22:$G$53,$D$70)</f>
        <v>0</v>
      </c>
    </row>
    <row r="57" spans="1:16">
      <c r="C57" s="183">
        <v>45418</v>
      </c>
      <c r="D57" s="184">
        <v>45425</v>
      </c>
      <c r="E57" s="196">
        <f>SUMIFS($D$22:$D$53,$F$22:$F$53,"&gt;="&amp;C57,$F$22:$F$53,"&lt;="&amp;D57,$G$22:$G$53,$D$70)</f>
        <v>0</v>
      </c>
      <c r="F57" s="202">
        <f>SUMIFS($E$22:$E$53,$F$22:$F$53,"&gt;="&amp;C57,$F$22:$F$53,"&lt;="&amp;D57,$G$22:$G$53,$D$70)</f>
        <v>0</v>
      </c>
    </row>
    <row r="58" spans="1:16">
      <c r="C58" s="183">
        <v>45426</v>
      </c>
      <c r="D58" s="184">
        <v>45431</v>
      </c>
      <c r="E58" s="196">
        <f>SUMIFS($D$22:$D$53,$F$22:$F$53,"&gt;="&amp;C58,$F$22:$F$53,"&lt;="&amp;D58,$G$22:$G$53,$D$70)</f>
        <v>0</v>
      </c>
      <c r="F58" s="202">
        <f>SUMIFS($E$22:$E$53,$F$22:$F$53,"&gt;="&amp;C58,$F$22:$F$53,"&lt;="&amp;D58,$G$22:$G$53,$D$70)</f>
        <v>0</v>
      </c>
      <c r="J58" s="591"/>
    </row>
    <row r="59" spans="1:16">
      <c r="C59" s="183">
        <v>45432</v>
      </c>
      <c r="D59" s="184">
        <v>45438</v>
      </c>
      <c r="E59" s="196">
        <f>SUMIFS($D$22:$D$53,$F$22:$F$53,"&gt;="&amp;C59,$F$22:$F$53,"&lt;="&amp;D59,$G$22:$G$53,$D$70)</f>
        <v>0</v>
      </c>
      <c r="F59" s="202">
        <f>SUMIFS($E$22:$E$53,$F$22:$F$53,"&gt;="&amp;C59,$F$22:$F$53,"&lt;="&amp;D59,$G$22:$G$53,$D$70)</f>
        <v>0</v>
      </c>
      <c r="J59" s="591"/>
    </row>
    <row r="60" spans="1:16">
      <c r="C60" s="183">
        <v>45439</v>
      </c>
      <c r="D60" s="184">
        <v>45443</v>
      </c>
      <c r="E60" s="196">
        <f>SUMIFS($D$22:$D$53,$F$22:$F$53,"&gt;="&amp;C60,$F$22:$F$53,"&lt;="&amp;D60,$G$22:$G$53,$D$70)</f>
        <v>0</v>
      </c>
      <c r="F60" s="202">
        <f>SUMIFS($E$22:$E$53,$F$22:$F$53,"&gt;="&amp;C60,$F$22:$F$53,"&lt;="&amp;D60,$G$22:$G$53,$D$70)</f>
        <v>0</v>
      </c>
      <c r="J60" s="591"/>
    </row>
    <row r="61" spans="1:16" ht="15.6">
      <c r="C61" s="589" t="s">
        <v>262</v>
      </c>
      <c r="D61" s="589"/>
      <c r="E61" s="186">
        <f>SUM(E56:E60)</f>
        <v>0</v>
      </c>
      <c r="F61" s="200">
        <f>SUM(F56:F60)</f>
        <v>0</v>
      </c>
      <c r="G61" s="94"/>
      <c r="J61" s="153"/>
      <c r="K61" s="153"/>
    </row>
    <row r="64" spans="1:16">
      <c r="C64" s="592" t="s">
        <v>267</v>
      </c>
      <c r="D64" s="592"/>
      <c r="E64" s="204">
        <f>('BAC SAN JOSE COLONES  '!$G$176)+('BAC SAN JOSE USD'!G173*'FLUJO CAJA MAYO'!$D$6)</f>
        <v>10122678.759999998</v>
      </c>
      <c r="F64" s="206">
        <f>$E$9</f>
        <v>19577.118541266791</v>
      </c>
    </row>
    <row r="65" spans="3:10">
      <c r="C65" s="592" t="s">
        <v>320</v>
      </c>
      <c r="D65" s="592"/>
      <c r="E65" s="204">
        <f>SUM($E$56:$E$59)</f>
        <v>0</v>
      </c>
      <c r="F65" s="204">
        <f>SUM($F$56:$F$59)</f>
        <v>0</v>
      </c>
    </row>
    <row r="66" spans="3:10">
      <c r="C66" s="588" t="s">
        <v>152</v>
      </c>
      <c r="D66" s="588"/>
      <c r="E66" s="205">
        <f>E64-E65</f>
        <v>10122678.759999998</v>
      </c>
      <c r="F66" s="199">
        <f>F64-F65</f>
        <v>19577.118541266791</v>
      </c>
    </row>
    <row r="69" spans="3:10">
      <c r="D69" s="90" t="s">
        <v>235</v>
      </c>
      <c r="E69" s="170">
        <f>SUMIFS($D$22:$D$53,$F$22:$F$53,"&gt;="&amp;C56,$F$22:$F$53,"&lt;="&amp;D60,$G$22:$G$53,$D$69)</f>
        <v>16821919.07</v>
      </c>
      <c r="F69" s="170">
        <f>SUMIFS($E$22:$E$53,$F$22:$F$53,"&gt;="&amp;C56,$F$22:$F$53,"&lt;="&amp;D60,$G$22:$G$53,$D$69)</f>
        <v>32287.752533589253</v>
      </c>
    </row>
    <row r="70" spans="3:10">
      <c r="D70" s="90" t="s">
        <v>231</v>
      </c>
      <c r="E70" s="170">
        <f>SUMIFS($D$22:$D$53,$F$22:$F$53,"&gt;="&amp;C56,$F$22:$F$53,"&lt;="&amp;D60,$G$22:$G$53,$D$70)</f>
        <v>0</v>
      </c>
      <c r="F70" s="170">
        <f>SUMIFS($E$22:$E$53,$F$22:$F$53,"&gt;="&amp;C56,$F$22:$F$53,"&lt;="&amp;D60,$G$22:$G$53,$D$70)</f>
        <v>0</v>
      </c>
    </row>
    <row r="71" spans="3:10">
      <c r="D71" s="185" t="s">
        <v>263</v>
      </c>
      <c r="E71" s="194">
        <f>SUM(E69:E70)</f>
        <v>16821919.07</v>
      </c>
      <c r="F71" s="199">
        <f>SUM(F69:F70)</f>
        <v>32287.752533589253</v>
      </c>
    </row>
    <row r="72" spans="3:10">
      <c r="D72" s="185" t="s">
        <v>264</v>
      </c>
      <c r="E72" s="194">
        <f>D48-E71</f>
        <v>0</v>
      </c>
      <c r="F72" s="199">
        <f>F71-E48</f>
        <v>0</v>
      </c>
    </row>
    <row r="75" spans="3:10">
      <c r="F75" s="237"/>
    </row>
    <row r="76" spans="3:10">
      <c r="E76" s="241"/>
      <c r="F76" s="26"/>
      <c r="G76" s="26"/>
      <c r="J76" s="240"/>
    </row>
    <row r="77" spans="3:10">
      <c r="F77" s="251" t="s">
        <v>313</v>
      </c>
      <c r="G77" s="206"/>
    </row>
    <row r="78" spans="3:10">
      <c r="D78" s="88" t="s">
        <v>365</v>
      </c>
      <c r="E78" s="241">
        <f>F78/522</f>
        <v>13415.843448275862</v>
      </c>
      <c r="F78" s="26">
        <f>'BAC SAN JOSE COLONES  '!$G$191</f>
        <v>7003070.2800000003</v>
      </c>
    </row>
    <row r="79" spans="3:10">
      <c r="D79" s="88" t="s">
        <v>366</v>
      </c>
      <c r="E79" s="241">
        <f>'BAC SAN JOSE USD'!G180</f>
        <v>8056.559999999994</v>
      </c>
      <c r="F79" s="250"/>
    </row>
    <row r="80" spans="3:10">
      <c r="D80" s="185" t="s">
        <v>198</v>
      </c>
      <c r="E80" s="242">
        <f>SUM(E78:E79)</f>
        <v>21472.403448275858</v>
      </c>
      <c r="F80" s="250"/>
    </row>
  </sheetData>
  <protectedRanges>
    <protectedRange sqref="F18:G18 D52:E52 D10:E11" name="Presupuestos"/>
    <protectedRange sqref="D8:E8 D22:E22" name="Presupuestos_1"/>
    <protectedRange sqref="D29:E29" name="Presupuestos_13_1"/>
    <protectedRange sqref="D31:E31" name="Presupuestos_14"/>
    <protectedRange sqref="E39:E42 D43:E45" name="Presupuestos_2_1_1_1"/>
    <protectedRange sqref="D39 E47 K39" name="Presupuestos_6_1_1_1"/>
    <protectedRange sqref="D40:D42" name="Presupuestos_5_2_1"/>
    <protectedRange sqref="D37:E37" name="Presupuestos_7_1"/>
    <protectedRange sqref="D47" name="Presupuestos_5_3"/>
    <protectedRange sqref="D33:E35" name="Presupuestos_13_1_1"/>
  </protectedRanges>
  <autoFilter ref="A22:S47" xr:uid="{9A7621CF-6AF2-4162-B644-4EFF7243C3F9}"/>
  <mergeCells count="8">
    <mergeCell ref="C65:D65"/>
    <mergeCell ref="C66:D66"/>
    <mergeCell ref="D7:E7"/>
    <mergeCell ref="B21:C21"/>
    <mergeCell ref="D21:E21"/>
    <mergeCell ref="J58:J60"/>
    <mergeCell ref="C61:D61"/>
    <mergeCell ref="C64:D64"/>
  </mergeCells>
  <conditionalFormatting sqref="D74:E74">
    <cfRule type="cellIs" dxfId="53" priority="9" operator="lessThan">
      <formula>0</formula>
    </cfRule>
    <cfRule type="cellIs" dxfId="52" priority="10" operator="greaterThan">
      <formula>0</formula>
    </cfRule>
  </conditionalFormatting>
  <dataValidations disablePrompts="1" count="2">
    <dataValidation type="list" allowBlank="1" showInputMessage="1" showErrorMessage="1" sqref="D21 D7" xr:uid="{B214D29A-85EC-46C4-BB76-78F963687D48}">
      <formula1>"ENERO,FEBRERO,MARZO,ABRIL,MAYO,JUNIO,JULIO,AGOSTO,SEPTIEMBRE,OCTUBRE,NOVIEMBRE,DICIEMBRE"</formula1>
    </dataValidation>
    <dataValidation type="list" allowBlank="1" showInputMessage="1" showErrorMessage="1" sqref="G37 G23:G24 D69:D70 G31 G53:G54 G29 G26:G27 G39:G45 G47 G33:G34" xr:uid="{A67DA3BC-9B52-4792-AA3B-5BA6FCADE46B}">
      <formula1>"Cancelado,Pagar,Sin Pagar"</formula1>
    </dataValidation>
  </dataValidations>
  <pageMargins left="0.7" right="0.7" top="0.75" bottom="0.75" header="0.3" footer="0.3"/>
  <ignoredErrors>
    <ignoredError sqref="J45:J46 J24:J44" unlockedFormula="1"/>
    <ignoredError sqref="E2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9F8F-B516-4682-8E3D-4526EFFC77EC}">
  <dimension ref="A1:S80"/>
  <sheetViews>
    <sheetView showGridLines="0" topLeftCell="B60" workbookViewId="0">
      <selection activeCell="E13" sqref="E13"/>
    </sheetView>
  </sheetViews>
  <sheetFormatPr baseColWidth="10" defaultColWidth="9.109375" defaultRowHeight="14.4" outlineLevelRow="1"/>
  <cols>
    <col min="1" max="1" width="2.109375" style="250" customWidth="1"/>
    <col min="2" max="2" width="12" style="251" bestFit="1" customWidth="1"/>
    <col min="3" max="3" width="54.33203125" style="250" bestFit="1" customWidth="1"/>
    <col min="4" max="4" width="24.44140625" style="88" customWidth="1"/>
    <col min="5" max="5" width="18.6640625" style="88" bestFit="1" customWidth="1"/>
    <col min="6" max="6" width="23.5546875" style="250" customWidth="1"/>
    <col min="7" max="7" width="16.88671875" style="250" customWidth="1"/>
    <col min="8" max="8" width="7.6640625" style="250" hidden="1" customWidth="1"/>
    <col min="9" max="9" width="12.109375" style="250" hidden="1" customWidth="1"/>
    <col min="10" max="10" width="16.5546875" style="250" customWidth="1"/>
    <col min="11" max="11" width="2.109375" style="250" customWidth="1"/>
    <col min="12" max="12" width="2.33203125" style="250" customWidth="1"/>
    <col min="13" max="13" width="14.5546875" style="250" bestFit="1" customWidth="1"/>
    <col min="14" max="14" width="13.109375" style="250" bestFit="1" customWidth="1"/>
    <col min="15" max="15" width="26.109375" style="250" customWidth="1"/>
    <col min="16" max="16" width="19.33203125" style="250" bestFit="1" customWidth="1"/>
    <col min="17" max="17" width="15.33203125" style="250" bestFit="1" customWidth="1"/>
    <col min="18" max="18" width="14" style="250" bestFit="1" customWidth="1"/>
    <col min="19" max="19" width="13" style="250" bestFit="1" customWidth="1"/>
    <col min="20" max="16384" width="9.109375" style="250"/>
  </cols>
  <sheetData>
    <row r="1" spans="1:9" hidden="1">
      <c r="D1" s="88">
        <v>42400</v>
      </c>
    </row>
    <row r="2" spans="1:9">
      <c r="D2" s="89"/>
      <c r="E2" s="89"/>
      <c r="I2" s="90"/>
    </row>
    <row r="3" spans="1:9">
      <c r="E3" s="220"/>
      <c r="I3" s="90"/>
    </row>
    <row r="4" spans="1:9" ht="15.6">
      <c r="B4" s="92"/>
      <c r="C4" s="92"/>
      <c r="D4" s="160" t="s">
        <v>216</v>
      </c>
      <c r="E4" s="161">
        <v>45448</v>
      </c>
      <c r="I4" s="90"/>
    </row>
    <row r="5" spans="1:9">
      <c r="D5" s="89"/>
      <c r="E5" s="89"/>
      <c r="I5" s="90"/>
    </row>
    <row r="6" spans="1:9">
      <c r="C6" s="93" t="s">
        <v>217</v>
      </c>
      <c r="D6" s="26">
        <v>519</v>
      </c>
      <c r="E6" s="89"/>
      <c r="I6" s="90"/>
    </row>
    <row r="7" spans="1:9" ht="15.6">
      <c r="C7" s="94"/>
      <c r="D7" s="590" t="s">
        <v>367</v>
      </c>
      <c r="E7" s="590"/>
      <c r="I7" s="90"/>
    </row>
    <row r="8" spans="1:9">
      <c r="D8" s="95" t="s">
        <v>242</v>
      </c>
      <c r="E8" s="95" t="s">
        <v>219</v>
      </c>
    </row>
    <row r="9" spans="1:9" s="96" customFormat="1" ht="15.6">
      <c r="C9" s="97" t="s">
        <v>220</v>
      </c>
      <c r="D9" s="167">
        <f>SUBTOTAL(9,D10:D11)</f>
        <v>11184424.919999998</v>
      </c>
      <c r="E9" s="98">
        <f>SUBTOTAL(9,E10:E11)</f>
        <v>21549.951676300574</v>
      </c>
      <c r="F9" s="99"/>
      <c r="I9" s="90"/>
    </row>
    <row r="10" spans="1:9" s="90" customFormat="1" outlineLevel="1">
      <c r="B10" s="100"/>
      <c r="C10" s="101" t="s">
        <v>243</v>
      </c>
      <c r="D10" s="169">
        <f>'BAC SAN JOSE COLONES  '!$G$191</f>
        <v>7003070.2800000003</v>
      </c>
      <c r="E10" s="218">
        <f>D10/$D$6</f>
        <v>13493.391676300578</v>
      </c>
      <c r="F10" s="103"/>
    </row>
    <row r="11" spans="1:9" s="90" customFormat="1" outlineLevel="1">
      <c r="B11" s="100"/>
      <c r="C11" s="101" t="s">
        <v>221</v>
      </c>
      <c r="D11" s="169">
        <f>'BAC SAN JOSE USD'!$G$180*'FLUJO CAJA JUNIO '!$D$6</f>
        <v>4181354.6399999969</v>
      </c>
      <c r="E11" s="218">
        <f>D11/$D$6</f>
        <v>8056.559999999994</v>
      </c>
      <c r="F11" s="103"/>
    </row>
    <row r="12" spans="1:9" s="90" customFormat="1" ht="15.6">
      <c r="B12" s="100"/>
      <c r="C12" s="104" t="s">
        <v>222</v>
      </c>
      <c r="D12" s="167">
        <f>SUBTOTAL(9,D13:D17)</f>
        <v>17395559.645491328</v>
      </c>
      <c r="E12" s="98">
        <f>SUBTOTAL(9,E13:E17)</f>
        <v>33473.041599229291</v>
      </c>
      <c r="F12" s="105"/>
    </row>
    <row r="13" spans="1:9" s="90" customFormat="1" outlineLevel="1">
      <c r="A13" s="106"/>
      <c r="B13" s="107"/>
      <c r="C13" s="101" t="s">
        <v>373</v>
      </c>
      <c r="D13" s="169">
        <f>E13*519</f>
        <v>5409010.79</v>
      </c>
      <c r="E13" s="218">
        <f>CONVERSIONES!$C$106+CONVERSIONES!$D$106</f>
        <v>10421.986107899807</v>
      </c>
      <c r="F13" s="105"/>
      <c r="G13" s="108"/>
    </row>
    <row r="14" spans="1:9" s="90" customFormat="1" outlineLevel="1">
      <c r="A14" s="106"/>
      <c r="B14" s="107"/>
      <c r="C14" s="101" t="s">
        <v>374</v>
      </c>
      <c r="D14" s="169">
        <f>E14*520</f>
        <v>4455235.6608863194</v>
      </c>
      <c r="E14" s="218">
        <f>CONVERSIONES!$E$106+CONVERSIONES!$F$106</f>
        <v>8567.7608863198457</v>
      </c>
      <c r="F14" s="105"/>
      <c r="G14" s="108"/>
    </row>
    <row r="15" spans="1:9" s="90" customFormat="1" outlineLevel="1">
      <c r="B15" s="100"/>
      <c r="C15" s="101" t="s">
        <v>375</v>
      </c>
      <c r="D15" s="169">
        <f>E15*520</f>
        <v>5814099.1999999993</v>
      </c>
      <c r="E15" s="218">
        <f>CONVERSIONES!$G$106</f>
        <v>11180.96</v>
      </c>
      <c r="F15" s="105"/>
      <c r="G15" s="108"/>
    </row>
    <row r="16" spans="1:9" s="90" customFormat="1" outlineLevel="1">
      <c r="B16" s="100"/>
      <c r="C16" s="101" t="s">
        <v>376</v>
      </c>
      <c r="D16" s="169">
        <f>E16*520</f>
        <v>1197801.5946050093</v>
      </c>
      <c r="E16" s="218">
        <f>CONVERSIONES!$H$106</f>
        <v>2303.4646050096335</v>
      </c>
      <c r="F16" s="105"/>
      <c r="G16" s="108"/>
    </row>
    <row r="17" spans="2:19" s="90" customFormat="1" outlineLevel="1">
      <c r="B17" s="100"/>
      <c r="C17" s="101" t="s">
        <v>385</v>
      </c>
      <c r="D17" s="169">
        <f>E17*520</f>
        <v>519412.39999999997</v>
      </c>
      <c r="E17" s="218">
        <f>CONVERSIONES!$I$106</f>
        <v>998.86999999999989</v>
      </c>
      <c r="F17" s="105"/>
      <c r="G17" s="108"/>
    </row>
    <row r="18" spans="2:19" s="90" customFormat="1" ht="15.6">
      <c r="B18" s="100"/>
      <c r="C18" s="109" t="s">
        <v>223</v>
      </c>
      <c r="D18" s="168">
        <f>SUBTOTAL(9,D9:D17)</f>
        <v>28579984.565491326</v>
      </c>
      <c r="E18" s="207">
        <f>SUBTOTAL(9,E9:E17)</f>
        <v>55022.993275529865</v>
      </c>
      <c r="F18" s="110"/>
      <c r="G18" s="110"/>
      <c r="J18" s="108"/>
      <c r="K18" s="111"/>
      <c r="O18" s="112"/>
      <c r="P18" s="113"/>
      <c r="Q18" s="114"/>
    </row>
    <row r="19" spans="2:19" s="90" customFormat="1" ht="15.6">
      <c r="B19" s="100"/>
      <c r="C19" s="115"/>
      <c r="D19" s="116"/>
      <c r="E19" s="116"/>
      <c r="G19" s="117"/>
      <c r="O19" s="113"/>
      <c r="P19" s="113"/>
    </row>
    <row r="20" spans="2:19" s="90" customFormat="1" ht="15.6">
      <c r="B20" s="100"/>
      <c r="N20" s="118"/>
      <c r="O20" s="119"/>
      <c r="P20" s="120"/>
    </row>
    <row r="21" spans="2:19" s="90" customFormat="1" ht="15.6">
      <c r="B21" s="590" t="s">
        <v>224</v>
      </c>
      <c r="C21" s="590"/>
      <c r="D21" s="590" t="s">
        <v>367</v>
      </c>
      <c r="E21" s="590"/>
      <c r="K21" s="120"/>
      <c r="L21" s="120"/>
      <c r="N21" s="118"/>
      <c r="R21" s="108"/>
      <c r="S21" s="108"/>
    </row>
    <row r="22" spans="2:19" s="90" customFormat="1" ht="16.2" thickBot="1">
      <c r="B22" s="121" t="s">
        <v>225</v>
      </c>
      <c r="C22" s="122" t="s">
        <v>226</v>
      </c>
      <c r="D22" s="95" t="s">
        <v>242</v>
      </c>
      <c r="E22" s="95" t="s">
        <v>219</v>
      </c>
      <c r="F22" s="123" t="s">
        <v>227</v>
      </c>
      <c r="G22" s="118" t="s">
        <v>228</v>
      </c>
      <c r="H22" s="118"/>
      <c r="I22" s="118"/>
      <c r="J22" s="124" t="s">
        <v>229</v>
      </c>
      <c r="N22" s="125"/>
      <c r="R22" s="108"/>
      <c r="S22" s="126"/>
    </row>
    <row r="23" spans="2:19" s="90" customFormat="1" ht="16.2" thickBot="1">
      <c r="B23" s="100"/>
      <c r="C23" s="127" t="s">
        <v>230</v>
      </c>
      <c r="D23" s="172">
        <f>SUBTOTAL(9,D24:D24)</f>
        <v>4806878</v>
      </c>
      <c r="E23" s="128">
        <f>SUBTOTAL(9,E24:E24)</f>
        <v>9261.8073217726396</v>
      </c>
      <c r="F23" s="129"/>
      <c r="J23" s="130"/>
    </row>
    <row r="24" spans="2:19" s="90" customFormat="1" ht="15" outlineLevel="1" thickBot="1">
      <c r="B24" s="131">
        <v>176206200</v>
      </c>
      <c r="C24" s="234" t="s">
        <v>368</v>
      </c>
      <c r="D24" s="169">
        <v>4806878</v>
      </c>
      <c r="E24" s="137">
        <f>D24/$D$6</f>
        <v>9261.8073217726396</v>
      </c>
      <c r="F24" s="129">
        <v>45450</v>
      </c>
      <c r="G24" s="90" t="s">
        <v>235</v>
      </c>
      <c r="H24" s="90">
        <f>IF(OR(G24="Sin pagar",G24="Pagar"),_xlfn.SINGLE(NETWORKDAYS($E$4,F24,'Festivos CR'!$A$3:$A$15)),0)</f>
        <v>0</v>
      </c>
      <c r="I24" s="90">
        <f>NETWORKDAYS($E$4,F24,'Festivos CR'!$A$3:$A$15)</f>
        <v>3</v>
      </c>
      <c r="J24" s="132">
        <f t="shared" ref="J24:J29" si="0">H24</f>
        <v>0</v>
      </c>
      <c r="K24" s="108"/>
      <c r="L24" s="108"/>
    </row>
    <row r="25" spans="2:19" s="90" customFormat="1" ht="16.2" thickBot="1">
      <c r="B25" s="100"/>
      <c r="C25" s="127" t="s">
        <v>232</v>
      </c>
      <c r="D25" s="172">
        <f>SUBTOTAL(9,D26:D27)</f>
        <v>1174829.67</v>
      </c>
      <c r="E25" s="128">
        <f>SUBTOTAL(9,E26:E27)</f>
        <v>2263.6409826589597</v>
      </c>
      <c r="J25" s="130">
        <f t="shared" si="0"/>
        <v>0</v>
      </c>
    </row>
    <row r="26" spans="2:19" s="90" customFormat="1" outlineLevel="1">
      <c r="B26" s="133"/>
      <c r="C26" s="101" t="s">
        <v>292</v>
      </c>
      <c r="D26" s="169">
        <v>1092316.67</v>
      </c>
      <c r="E26" s="137">
        <f>D26/$D$6</f>
        <v>2104.6563969171484</v>
      </c>
      <c r="F26" s="134">
        <v>45457</v>
      </c>
      <c r="G26" s="90" t="s">
        <v>235</v>
      </c>
      <c r="H26" s="90">
        <f>IF(OR(G26="Sin pagar",G26="Pagar"),_xlfn.SINGLE(NETWORKDAYS($E$4,F26,'Festivos CR'!$A$3:$A$15)),0)</f>
        <v>0</v>
      </c>
      <c r="I26" s="90">
        <f>NETWORKDAYS($E$4,F26,'Festivos CR'!$A$3:$A$15)</f>
        <v>8</v>
      </c>
      <c r="J26" s="132">
        <f t="shared" si="0"/>
        <v>0</v>
      </c>
      <c r="K26" s="135"/>
      <c r="L26" s="111"/>
    </row>
    <row r="27" spans="2:19" s="90" customFormat="1" ht="29.4" outlineLevel="1" thickBot="1">
      <c r="B27" s="133"/>
      <c r="C27" s="101" t="s">
        <v>296</v>
      </c>
      <c r="D27" s="169">
        <v>82513</v>
      </c>
      <c r="E27" s="137">
        <f>D27/$D$6</f>
        <v>158.98458574181117</v>
      </c>
      <c r="F27" s="134">
        <v>45457</v>
      </c>
      <c r="G27" s="90" t="s">
        <v>235</v>
      </c>
      <c r="H27" s="90">
        <f>IF(OR(G27="Sin pagar",G27="Pagar"),_xlfn.SINGLE(NETWORKDAYS($E$4,F27,'Festivos CR'!$A$3:$A$15)),0)</f>
        <v>0</v>
      </c>
      <c r="I27" s="90">
        <f>NETWORKDAYS($E$4,F27,'Festivos CR'!$A$3:$A$15)</f>
        <v>8</v>
      </c>
      <c r="J27" s="132">
        <f>H27</f>
        <v>0</v>
      </c>
      <c r="K27" s="135"/>
      <c r="L27" s="111"/>
    </row>
    <row r="28" spans="2:19" s="90" customFormat="1" ht="16.2" thickBot="1">
      <c r="B28" s="100"/>
      <c r="C28" s="127" t="s">
        <v>233</v>
      </c>
      <c r="D28" s="172">
        <f>SUBTOTAL(9,D29:D29)</f>
        <v>62400</v>
      </c>
      <c r="E28" s="128">
        <f>SUBTOTAL(9,E29:E29)</f>
        <v>120.23121387283237</v>
      </c>
      <c r="J28" s="130">
        <f t="shared" si="0"/>
        <v>0</v>
      </c>
      <c r="K28" s="108"/>
      <c r="L28" s="108"/>
    </row>
    <row r="29" spans="2:19" s="90" customFormat="1" ht="15" outlineLevel="1" thickBot="1">
      <c r="B29" s="100">
        <v>16</v>
      </c>
      <c r="C29" s="101" t="s">
        <v>369</v>
      </c>
      <c r="D29" s="169">
        <v>62400</v>
      </c>
      <c r="E29" s="137">
        <f>D29/$D$6</f>
        <v>120.23121387283237</v>
      </c>
      <c r="F29" s="129">
        <v>45471</v>
      </c>
      <c r="G29" s="90" t="s">
        <v>235</v>
      </c>
      <c r="H29" s="90">
        <f>IF(OR(G29="Sin pagar",G29="Pagar"),_xlfn.SINGLE(NETWORKDAYS($E$4,F29,'Festivos CR'!$A$3:$A$15)),0)</f>
        <v>0</v>
      </c>
      <c r="I29" s="90">
        <f>NETWORKDAYS($E$4,F29,'Festivos CR'!$A$3:$A$15)</f>
        <v>18</v>
      </c>
      <c r="J29" s="132">
        <f t="shared" si="0"/>
        <v>0</v>
      </c>
      <c r="N29" s="103"/>
    </row>
    <row r="30" spans="2:19" s="90" customFormat="1" ht="16.2" thickBot="1">
      <c r="C30" s="127" t="s">
        <v>250</v>
      </c>
      <c r="D30" s="172">
        <f>SUBTOTAL(9,D31:D31)</f>
        <v>77000</v>
      </c>
      <c r="E30" s="128">
        <f>SUBTOTAL(9,E31:E31)</f>
        <v>148.36223506743738</v>
      </c>
      <c r="K30" s="103"/>
      <c r="L30" s="103"/>
      <c r="O30" s="103"/>
      <c r="P30" s="103"/>
    </row>
    <row r="31" spans="2:19" s="90" customFormat="1" ht="14.25" customHeight="1" outlineLevel="1" thickBot="1">
      <c r="B31" s="138" t="s">
        <v>370</v>
      </c>
      <c r="C31" s="101" t="s">
        <v>251</v>
      </c>
      <c r="D31" s="169">
        <v>77000</v>
      </c>
      <c r="E31" s="137">
        <f>D31/$D$6</f>
        <v>148.36223506743738</v>
      </c>
      <c r="F31" s="129">
        <v>45447</v>
      </c>
      <c r="G31" s="90" t="s">
        <v>235</v>
      </c>
      <c r="H31" s="90">
        <f>IF(OR(G31="Sin pagar",G31="Pagar"),_xlfn.SINGLE(NETWORKDAYS($E$4,F31,'Festivos CR'!$A$3:$A$15)),0)</f>
        <v>0</v>
      </c>
      <c r="I31" s="90">
        <f>NETWORKDAYS($E$4,F31,'Festivos CR'!$A$3:$A$15)</f>
        <v>-2</v>
      </c>
      <c r="J31" s="132">
        <f>H31</f>
        <v>0</v>
      </c>
      <c r="K31" s="103"/>
      <c r="L31" s="103"/>
      <c r="O31" s="103"/>
      <c r="P31" s="103"/>
    </row>
    <row r="32" spans="2:19" s="90" customFormat="1" ht="16.2" thickBot="1">
      <c r="B32" s="136"/>
      <c r="C32" s="139" t="s">
        <v>234</v>
      </c>
      <c r="D32" s="173">
        <f>SUBTOTAL(9,D33:D36)</f>
        <v>0</v>
      </c>
      <c r="E32" s="140">
        <f>SUBTOTAL(9,E33:E36)</f>
        <v>0</v>
      </c>
      <c r="K32" s="108"/>
    </row>
    <row r="33" spans="1:14" s="90" customFormat="1" outlineLevel="1">
      <c r="B33" s="141">
        <v>4699</v>
      </c>
      <c r="C33" s="174" t="s">
        <v>259</v>
      </c>
      <c r="D33" s="169">
        <f>E33*$D$6*0</f>
        <v>0</v>
      </c>
      <c r="E33" s="137">
        <f>880*0</f>
        <v>0</v>
      </c>
      <c r="F33" s="129">
        <v>45504</v>
      </c>
      <c r="G33" s="90" t="s">
        <v>235</v>
      </c>
      <c r="H33" s="90">
        <f>IF(OR(G33="Sin pagar",G33="Pagar"),_xlfn.SINGLE(NETWORKDAYS($E$4,F33,'Festivos CR'!$A$3:$A$15)),0)</f>
        <v>0</v>
      </c>
      <c r="I33" s="90">
        <f>NETWORKDAYS($E$4,F33,'Festivos CR'!$A$3:$A$15)</f>
        <v>40</v>
      </c>
      <c r="J33" s="132">
        <f>H33</f>
        <v>0</v>
      </c>
      <c r="N33" s="103"/>
    </row>
    <row r="34" spans="1:14" s="90" customFormat="1" outlineLevel="1">
      <c r="B34" s="141">
        <v>4777</v>
      </c>
      <c r="C34" s="174" t="s">
        <v>297</v>
      </c>
      <c r="D34" s="169">
        <f>E34*$D$6*0</f>
        <v>0</v>
      </c>
      <c r="E34" s="137">
        <f>720*0</f>
        <v>0</v>
      </c>
      <c r="F34" s="129">
        <v>45504</v>
      </c>
      <c r="G34" s="90" t="s">
        <v>235</v>
      </c>
      <c r="H34" s="90">
        <f>IF(OR(G34="Sin pagar",G34="Pagar"),_xlfn.SINGLE(NETWORKDAYS($E$4,F34,'Festivos CR'!$A$3:$A$15)),0)</f>
        <v>0</v>
      </c>
      <c r="I34" s="90">
        <f>NETWORKDAYS($E$4,F34,'Festivos CR'!$A$3:$A$15)</f>
        <v>40</v>
      </c>
      <c r="J34" s="132">
        <f>H34</f>
        <v>0</v>
      </c>
      <c r="N34" s="103"/>
    </row>
    <row r="35" spans="1:14" s="90" customFormat="1" outlineLevel="1">
      <c r="B35" s="100">
        <v>4878</v>
      </c>
      <c r="C35" s="174" t="s">
        <v>318</v>
      </c>
      <c r="D35" s="169">
        <f>E35*$D$6*0</f>
        <v>0</v>
      </c>
      <c r="E35" s="137">
        <f>720*0</f>
        <v>0</v>
      </c>
      <c r="F35" s="129">
        <v>45504</v>
      </c>
      <c r="G35" s="90" t="s">
        <v>235</v>
      </c>
      <c r="H35" s="90">
        <f>IF(OR(G48="Sin pagar",G48="Pagar"),_xlfn.SINGLE(NETWORKDAYS($E$4,F48,'Festivos CR'!$A$3:$A$15)),0)</f>
        <v>0</v>
      </c>
      <c r="I35" s="90">
        <f>NETWORKDAYS($E$4,F48,'Festivos CR'!$A$3:$A$15)</f>
        <v>18</v>
      </c>
      <c r="J35" s="132">
        <f>H35</f>
        <v>0</v>
      </c>
      <c r="N35" s="103"/>
    </row>
    <row r="36" spans="1:14" s="90" customFormat="1" ht="15" outlineLevel="1" thickBot="1">
      <c r="B36" s="100" t="s">
        <v>371</v>
      </c>
      <c r="C36" s="174" t="s">
        <v>372</v>
      </c>
      <c r="D36" s="169">
        <f>E36*$D$6*0</f>
        <v>0</v>
      </c>
      <c r="E36" s="137">
        <f>720*0</f>
        <v>0</v>
      </c>
      <c r="F36" s="129">
        <v>45504</v>
      </c>
      <c r="G36" s="90" t="s">
        <v>235</v>
      </c>
      <c r="H36" s="90">
        <f>IF(OR(G49="Sin pagar",G49="Pagar"),_xlfn.SINGLE(NETWORKDAYS($E$4,F49,'Festivos CR'!$A$3:$A$15)),0)</f>
        <v>0</v>
      </c>
      <c r="I36" s="90">
        <f>NETWORKDAYS($E$4,F49,'Festivos CR'!$A$3:$A$15)</f>
        <v>-32458</v>
      </c>
      <c r="J36" s="132">
        <f>H36</f>
        <v>0</v>
      </c>
      <c r="N36" s="103"/>
    </row>
    <row r="37" spans="1:14" s="90" customFormat="1" ht="15.75" customHeight="1" thickBot="1">
      <c r="C37" s="127" t="s">
        <v>236</v>
      </c>
      <c r="D37" s="172">
        <f>SUBTOTAL(9,D38:D38)</f>
        <v>403.5</v>
      </c>
      <c r="E37" s="128">
        <f>SUBTOTAL(9,E38:E38)</f>
        <v>0.7774566473988439</v>
      </c>
    </row>
    <row r="38" spans="1:14" s="90" customFormat="1" ht="15" outlineLevel="1" thickBot="1">
      <c r="B38" s="100"/>
      <c r="C38" s="174" t="s">
        <v>236</v>
      </c>
      <c r="D38" s="271">
        <v>403.5</v>
      </c>
      <c r="E38" s="142">
        <f>D38/D6</f>
        <v>0.7774566473988439</v>
      </c>
      <c r="F38" s="129">
        <v>45473</v>
      </c>
      <c r="G38" s="90" t="s">
        <v>235</v>
      </c>
      <c r="H38" s="90">
        <f>IF(OR(G38="Sin pagar",G38="Pagar"),_xlfn.SINGLE(NETWORKDAYS($E$4,F38,'Festivos CR'!$A$3:$A$15)),0)</f>
        <v>0</v>
      </c>
      <c r="I38" s="90">
        <f>NETWORKDAYS($E$4,F38,'Festivos CR'!$A$3:$A$15)</f>
        <v>18</v>
      </c>
      <c r="J38" s="132">
        <f>H38</f>
        <v>0</v>
      </c>
    </row>
    <row r="39" spans="1:14" s="90" customFormat="1" ht="16.2" thickBot="1">
      <c r="C39" s="127" t="s">
        <v>237</v>
      </c>
      <c r="D39" s="172">
        <f>SUBTOTAL(9,D40:D46)</f>
        <v>10706121.359999999</v>
      </c>
      <c r="E39" s="128">
        <f>SUBTOTAL(9,E40:E46)</f>
        <v>20628.364855491331</v>
      </c>
      <c r="K39" s="108"/>
      <c r="L39" s="143"/>
    </row>
    <row r="40" spans="1:14" s="90" customFormat="1" outlineLevel="1">
      <c r="B40" s="145" t="s">
        <v>391</v>
      </c>
      <c r="C40" s="174" t="s">
        <v>254</v>
      </c>
      <c r="D40" s="266">
        <v>1612916.33</v>
      </c>
      <c r="E40" s="142">
        <f>D40/$D$6</f>
        <v>3107.7385934489403</v>
      </c>
      <c r="F40" s="129">
        <v>45471</v>
      </c>
      <c r="G40" s="90" t="s">
        <v>235</v>
      </c>
      <c r="H40" s="90">
        <f>IF(OR(G40="Sin pagar",G40="Pagar"),_xlfn.SINGLE(NETWORKDAYS($E$4,F40,'Festivos CR'!$A$3:$A$15)),0)</f>
        <v>0</v>
      </c>
      <c r="I40" s="90">
        <f>NETWORKDAYS($E$4,F40,'Festivos CR'!$A$3:$A$15)</f>
        <v>18</v>
      </c>
      <c r="J40" s="132">
        <f t="shared" ref="J40:J46" si="1">H40</f>
        <v>0</v>
      </c>
      <c r="K40" s="135"/>
      <c r="L40" s="135"/>
    </row>
    <row r="41" spans="1:14" s="180" customFormat="1" outlineLevel="1">
      <c r="B41" s="265" t="s">
        <v>270</v>
      </c>
      <c r="C41" s="174" t="s">
        <v>258</v>
      </c>
      <c r="D41" s="170">
        <f>E41*$D$6</f>
        <v>1768653.39</v>
      </c>
      <c r="E41" s="264">
        <v>3407.81</v>
      </c>
      <c r="F41" s="129">
        <v>45471</v>
      </c>
      <c r="G41" s="90" t="s">
        <v>235</v>
      </c>
      <c r="H41" s="90">
        <f>IF(OR(G41="Sin pagar",G41="Pagar"),_xlfn.SINGLE(NETWORKDAYS($E$4,F41,'Festivos CR'!$A$3:$A$15)),0)</f>
        <v>0</v>
      </c>
      <c r="I41" s="90">
        <f>NETWORKDAYS($E$4,F41,'Festivos CR'!$A$3:$A$15)</f>
        <v>18</v>
      </c>
      <c r="J41" s="132">
        <f t="shared" si="1"/>
        <v>0</v>
      </c>
      <c r="L41" s="179"/>
    </row>
    <row r="42" spans="1:14" s="90" customFormat="1" outlineLevel="1">
      <c r="B42" s="145" t="s">
        <v>391</v>
      </c>
      <c r="C42" s="174" t="s">
        <v>390</v>
      </c>
      <c r="D42" s="266">
        <v>326417.87</v>
      </c>
      <c r="E42" s="142">
        <f>D42/$D$6</f>
        <v>628.93616570327549</v>
      </c>
      <c r="F42" s="129">
        <v>45471</v>
      </c>
      <c r="G42" s="90" t="s">
        <v>235</v>
      </c>
      <c r="H42" s="90">
        <f>IF(OR(G42="Sin pagar",G42="Pagar"),_xlfn.SINGLE(NETWORKDAYS($E$4,F42,'Festivos CR'!$A$3:$A$15)),0)</f>
        <v>0</v>
      </c>
      <c r="I42" s="90">
        <f>NETWORKDAYS($E$4,F42,'Festivos CR'!$A$3:$A$15)</f>
        <v>18</v>
      </c>
      <c r="J42" s="132">
        <f>H42</f>
        <v>0</v>
      </c>
      <c r="K42" s="135"/>
      <c r="L42" s="135"/>
    </row>
    <row r="43" spans="1:14" s="180" customFormat="1" outlineLevel="1">
      <c r="B43" s="145" t="s">
        <v>391</v>
      </c>
      <c r="C43" s="174" t="s">
        <v>253</v>
      </c>
      <c r="D43" s="266">
        <v>1410537.3</v>
      </c>
      <c r="E43" s="142">
        <f>D43/$D$6</f>
        <v>2717.798265895954</v>
      </c>
      <c r="F43" s="129">
        <v>45471</v>
      </c>
      <c r="G43" s="90" t="s">
        <v>235</v>
      </c>
      <c r="H43" s="90">
        <f>IF(OR(G43="Sin pagar",G43="Pagar"),_xlfn.SINGLE(NETWORKDAYS($E$4,F43,'Festivos CR'!$A$3:$A$15)),0)</f>
        <v>0</v>
      </c>
      <c r="I43" s="90">
        <f>NETWORKDAYS($E$4,F43,'Festivos CR'!$A$3:$A$15)</f>
        <v>18</v>
      </c>
      <c r="J43" s="132">
        <f t="shared" si="1"/>
        <v>0</v>
      </c>
      <c r="L43" s="179"/>
    </row>
    <row r="44" spans="1:14" s="180" customFormat="1" outlineLevel="1">
      <c r="B44" s="145" t="s">
        <v>391</v>
      </c>
      <c r="C44" s="174" t="s">
        <v>255</v>
      </c>
      <c r="D44" s="266">
        <v>1410537.3</v>
      </c>
      <c r="E44" s="142">
        <f>D44/$D$6</f>
        <v>2717.798265895954</v>
      </c>
      <c r="F44" s="129">
        <v>45471</v>
      </c>
      <c r="G44" s="90" t="s">
        <v>235</v>
      </c>
      <c r="H44" s="90">
        <f>IF(OR(G44="Sin pagar",G44="Pagar"),_xlfn.SINGLE(NETWORKDAYS($E$4,F44,'Festivos CR'!$A$3:$A$15)),0)</f>
        <v>0</v>
      </c>
      <c r="I44" s="90">
        <f>NETWORKDAYS($E$4,F44,'Festivos CR'!$A$3:$A$15)</f>
        <v>18</v>
      </c>
      <c r="J44" s="132">
        <f t="shared" si="1"/>
        <v>0</v>
      </c>
      <c r="L44" s="179"/>
    </row>
    <row r="45" spans="1:14" s="180" customFormat="1" outlineLevel="1">
      <c r="B45" s="145" t="s">
        <v>391</v>
      </c>
      <c r="C45" s="174" t="s">
        <v>330</v>
      </c>
      <c r="D45" s="266">
        <v>786551.54</v>
      </c>
      <c r="E45" s="142">
        <f>D45/$D$6</f>
        <v>1515.5135645472062</v>
      </c>
      <c r="F45" s="129">
        <v>45471</v>
      </c>
      <c r="G45" s="90" t="s">
        <v>235</v>
      </c>
      <c r="H45" s="90">
        <f>IF(OR(G45="Sin pagar",G45="Pagar"),_xlfn.SINGLE(NETWORKDAYS($E$4,F45,'Festivos CR'!$A$3:$A$15)),0)</f>
        <v>0</v>
      </c>
      <c r="I45" s="90">
        <f>NETWORKDAYS($E$4,F45,'Festivos CR'!$A$3:$A$15)</f>
        <v>18</v>
      </c>
      <c r="J45" s="132">
        <f>H45</f>
        <v>0</v>
      </c>
      <c r="L45" s="179"/>
    </row>
    <row r="46" spans="1:14" s="180" customFormat="1" ht="15" outlineLevel="1" thickBot="1">
      <c r="B46" s="265" t="s">
        <v>270</v>
      </c>
      <c r="C46" s="174" t="s">
        <v>257</v>
      </c>
      <c r="D46" s="170">
        <f>E46*$D$6</f>
        <v>3390507.6300000004</v>
      </c>
      <c r="E46" s="264">
        <v>6532.77</v>
      </c>
      <c r="F46" s="129">
        <v>45471</v>
      </c>
      <c r="G46" s="90" t="s">
        <v>235</v>
      </c>
      <c r="H46" s="90">
        <f>IF(OR(G46="Sin pagar",G46="Pagar"),_xlfn.SINGLE(NETWORKDAYS($E$4,F46,'Festivos CR'!$A$3:$A$15)),0)</f>
        <v>0</v>
      </c>
      <c r="I46" s="90">
        <f>NETWORKDAYS($E$4,F46,'Festivos CR'!$A$3:$A$15)</f>
        <v>18</v>
      </c>
      <c r="J46" s="132">
        <f t="shared" si="1"/>
        <v>0</v>
      </c>
      <c r="L46" s="179"/>
    </row>
    <row r="47" spans="1:14" s="90" customFormat="1" ht="16.2" thickBot="1">
      <c r="A47" s="180"/>
      <c r="B47" s="145"/>
      <c r="C47" s="127" t="s">
        <v>238</v>
      </c>
      <c r="D47" s="172">
        <f>SUBTOTAL(9,D48:D48)</f>
        <v>0</v>
      </c>
      <c r="E47" s="128">
        <f>SUBTOTAL(9,E48:E48)</f>
        <v>0</v>
      </c>
      <c r="L47" s="108"/>
    </row>
    <row r="48" spans="1:14" s="90" customFormat="1" ht="15" outlineLevel="1" thickBot="1">
      <c r="A48" s="180"/>
      <c r="B48" s="146"/>
      <c r="C48" s="101"/>
      <c r="D48" s="170">
        <v>0</v>
      </c>
      <c r="E48" s="142">
        <f>D48/$D$6</f>
        <v>0</v>
      </c>
      <c r="F48" s="129">
        <v>45473</v>
      </c>
      <c r="G48" s="90" t="s">
        <v>235</v>
      </c>
      <c r="H48" s="90" t="e">
        <f>IF(OR(#REF!="Sin pagar",#REF!="Pagar"),_xlfn.SINGLE(NETWORKDAYS($E$4,#REF!,'Festivos CR'!$A$3:$A$15)),0)</f>
        <v>#REF!</v>
      </c>
      <c r="I48" s="90" t="e">
        <f>NETWORKDAYS($E$4,#REF!,'Festivos CR'!$A$3:$A$15)</f>
        <v>#REF!</v>
      </c>
      <c r="J48" s="132"/>
      <c r="L48" s="108"/>
    </row>
    <row r="49" spans="1:16" s="90" customFormat="1" ht="14.25" customHeight="1">
      <c r="B49" s="100"/>
      <c r="C49" s="147" t="s">
        <v>239</v>
      </c>
      <c r="D49" s="171">
        <f>SUBTOTAL(9,D23:D48)</f>
        <v>16827632.530000001</v>
      </c>
      <c r="E49" s="148">
        <f>SUBTOTAL(9,E23:E48)</f>
        <v>32423.184065510603</v>
      </c>
      <c r="K49" s="250"/>
      <c r="L49" s="250"/>
      <c r="N49" s="250"/>
      <c r="O49" s="250"/>
      <c r="P49" s="250"/>
    </row>
    <row r="50" spans="1:16" ht="15.6">
      <c r="A50" s="90"/>
      <c r="E50" s="149"/>
      <c r="F50" s="239"/>
      <c r="G50" s="150"/>
      <c r="H50" s="150"/>
      <c r="I50" s="150"/>
      <c r="J50" s="150"/>
    </row>
    <row r="51" spans="1:16" ht="15.6">
      <c r="A51" s="90"/>
      <c r="C51" s="151" t="s">
        <v>3</v>
      </c>
      <c r="D51" s="182">
        <f>D18-D49</f>
        <v>11752352.035491325</v>
      </c>
      <c r="E51" s="152">
        <f>E18-E49</f>
        <v>22599.809210019263</v>
      </c>
      <c r="F51" s="243"/>
      <c r="G51" s="153"/>
      <c r="J51" s="153"/>
    </row>
    <row r="52" spans="1:16" s="157" customFormat="1" ht="15.6">
      <c r="A52" s="90"/>
      <c r="B52" s="154"/>
      <c r="C52" s="151" t="s">
        <v>240</v>
      </c>
      <c r="D52" s="155">
        <f>IF($D$18=0,0,D51/$D$18)</f>
        <v>0.4112091806264167</v>
      </c>
      <c r="E52" s="155">
        <f>IF($E$18=0,0,E51/$E$18)</f>
        <v>0.41073391076435634</v>
      </c>
      <c r="F52" s="156"/>
      <c r="G52" s="153"/>
      <c r="J52" s="158"/>
      <c r="K52" s="250"/>
      <c r="L52" s="250"/>
      <c r="N52" s="250"/>
      <c r="O52" s="250"/>
      <c r="P52" s="250"/>
    </row>
    <row r="53" spans="1:16">
      <c r="A53" s="90"/>
      <c r="F53" s="156"/>
      <c r="G53" s="153"/>
    </row>
    <row r="55" spans="1:16" ht="15" thickBot="1"/>
    <row r="56" spans="1:16" ht="15" thickBot="1">
      <c r="C56" s="189" t="s">
        <v>260</v>
      </c>
      <c r="D56" s="190" t="s">
        <v>261</v>
      </c>
      <c r="E56" s="191" t="s">
        <v>265</v>
      </c>
      <c r="F56" s="191" t="s">
        <v>266</v>
      </c>
    </row>
    <row r="57" spans="1:16">
      <c r="C57" s="192">
        <v>45446</v>
      </c>
      <c r="D57" s="193">
        <v>45452</v>
      </c>
      <c r="E57" s="195">
        <f>SUMIFS($D$22:$D$54,$F$22:$F$54,"&gt;="&amp;C57,$F$22:$F$54,"&lt;="&amp;D57,$G$22:$G$54,$D$70)</f>
        <v>0</v>
      </c>
      <c r="F57" s="201">
        <f>SUMIFS($E$22:$E$54,$F$22:$F$54,"&gt;="&amp;C57,$F$22:$F$54,"&lt;="&amp;D57,$G$22:$G$54,$D$70)</f>
        <v>0</v>
      </c>
    </row>
    <row r="58" spans="1:16">
      <c r="C58" s="183">
        <v>45453</v>
      </c>
      <c r="D58" s="184">
        <v>45459</v>
      </c>
      <c r="E58" s="196">
        <f>SUMIFS($D$22:$D$54,$F$22:$F$54,"&gt;="&amp;C58,$F$22:$F$54,"&lt;="&amp;D58,$G$22:$G$54,$D$70)</f>
        <v>0</v>
      </c>
      <c r="F58" s="202">
        <f>SUMIFS($E$22:$E$54,$F$22:$F$54,"&gt;="&amp;C58,$F$22:$F$54,"&lt;="&amp;D58,$G$22:$G$54,$D$70)</f>
        <v>0</v>
      </c>
    </row>
    <row r="59" spans="1:16">
      <c r="C59" s="183">
        <v>45460</v>
      </c>
      <c r="D59" s="184">
        <v>45466</v>
      </c>
      <c r="E59" s="196">
        <f>SUMIFS($D$22:$D$54,$F$22:$F$54,"&gt;="&amp;C59,$F$22:$F$54,"&lt;="&amp;D59,$G$22:$G$54,$D$70)</f>
        <v>0</v>
      </c>
      <c r="F59" s="202">
        <f>SUMIFS($E$22:$E$54,$F$22:$F$54,"&gt;="&amp;C59,$F$22:$F$54,"&lt;="&amp;D59,$G$22:$G$54,$D$70)</f>
        <v>0</v>
      </c>
      <c r="J59" s="591"/>
    </row>
    <row r="60" spans="1:16">
      <c r="C60" s="183">
        <v>45467</v>
      </c>
      <c r="D60" s="184">
        <v>45473</v>
      </c>
      <c r="E60" s="196">
        <f>SUMIFS($D$22:$D$54,$F$22:$F$54,"&gt;="&amp;C60,$F$22:$F$54,"&lt;="&amp;D60,$G$22:$G$54,$D$70)</f>
        <v>0</v>
      </c>
      <c r="F60" s="202">
        <f>SUMIFS($E$22:$E$54,$F$22:$F$54,"&gt;="&amp;C60,$F$22:$F$54,"&lt;="&amp;D60,$G$22:$G$54,$D$70)</f>
        <v>0</v>
      </c>
      <c r="J60" s="591"/>
    </row>
    <row r="61" spans="1:16" ht="15.6">
      <c r="C61" s="589" t="s">
        <v>262</v>
      </c>
      <c r="D61" s="589"/>
      <c r="E61" s="186">
        <f>SUM(E57:E60)</f>
        <v>0</v>
      </c>
      <c r="F61" s="200">
        <f>SUM(F57:F60)</f>
        <v>0</v>
      </c>
      <c r="G61" s="94"/>
      <c r="J61" s="153"/>
      <c r="K61" s="153"/>
    </row>
    <row r="64" spans="1:16">
      <c r="C64" s="592" t="s">
        <v>267</v>
      </c>
      <c r="D64" s="592"/>
      <c r="E64" s="204">
        <f>943958.78+(41529.6*520)</f>
        <v>22539350.780000001</v>
      </c>
      <c r="F64" s="206">
        <f>E64/517</f>
        <v>43596.423172147006</v>
      </c>
    </row>
    <row r="65" spans="3:10">
      <c r="C65" s="592" t="s">
        <v>382</v>
      </c>
      <c r="D65" s="592"/>
      <c r="E65" s="204">
        <f>E60</f>
        <v>0</v>
      </c>
      <c r="F65" s="204">
        <f>F60</f>
        <v>0</v>
      </c>
    </row>
    <row r="66" spans="3:10">
      <c r="C66" s="588" t="s">
        <v>152</v>
      </c>
      <c r="D66" s="588"/>
      <c r="E66" s="205">
        <f>E64-E65</f>
        <v>22539350.780000001</v>
      </c>
      <c r="F66" s="199">
        <f>F64-F65</f>
        <v>43596.423172147006</v>
      </c>
    </row>
    <row r="69" spans="3:10">
      <c r="D69" s="90" t="s">
        <v>235</v>
      </c>
      <c r="E69" s="170">
        <f>SUMIFS($D$22:$D$54,$F$22:$F$54,"&gt;="&amp;C57,$F$22:$F$54,"&lt;="&amp;$D$60,$G$22:$G$54,$D$69)</f>
        <v>16827632.530000001</v>
      </c>
      <c r="F69" s="170">
        <f>SUMIFS($E$22:$E$54,$F$22:$F$54,"&gt;="&amp;C57,$F$22:$F$54,"&lt;="&amp;D60,$G$22:$G$54,$D$69)</f>
        <v>32423.184065510603</v>
      </c>
    </row>
    <row r="70" spans="3:10">
      <c r="D70" s="90" t="s">
        <v>231</v>
      </c>
      <c r="E70" s="170">
        <f>SUMIFS($D$22:$D$54,$F$22:$F$54,"&gt;="&amp;C57,$F$22:$F$54,"&lt;="&amp;$D$60,$G$22:$G$54,$D$70)</f>
        <v>0</v>
      </c>
      <c r="F70" s="170">
        <f>SUMIFS($E$22:$E$54,$F$22:$F$54,"&gt;="&amp;C57,$F$22:$F$54,"&lt;="&amp;D60,$G$22:$G$54,$D$70)</f>
        <v>0</v>
      </c>
    </row>
    <row r="71" spans="3:10">
      <c r="D71" s="185" t="s">
        <v>263</v>
      </c>
      <c r="E71" s="194">
        <f>SUM(E69:E70)</f>
        <v>16827632.530000001</v>
      </c>
      <c r="F71" s="199">
        <f>SUM(F69:F70)</f>
        <v>32423.184065510603</v>
      </c>
    </row>
    <row r="72" spans="3:10">
      <c r="D72" s="185" t="s">
        <v>264</v>
      </c>
      <c r="E72" s="194">
        <f>D49-E71</f>
        <v>0</v>
      </c>
      <c r="F72" s="199">
        <f>F71-E49</f>
        <v>0</v>
      </c>
    </row>
    <row r="75" spans="3:10">
      <c r="D75" s="88" t="s">
        <v>400</v>
      </c>
      <c r="E75" s="170">
        <f>D51</f>
        <v>11752352.035491325</v>
      </c>
      <c r="F75" s="251"/>
    </row>
    <row r="76" spans="3:10">
      <c r="D76" s="88" t="s">
        <v>401</v>
      </c>
      <c r="E76" s="170">
        <f>'BAC SAN JOSE COLONES  '!G207+('BAC SAN JOSE USD'!G190*$D$6)</f>
        <v>11752303.291599229</v>
      </c>
      <c r="F76" s="26"/>
      <c r="G76" s="26"/>
      <c r="J76" s="240"/>
    </row>
    <row r="77" spans="3:10">
      <c r="D77" s="88" t="s">
        <v>336</v>
      </c>
      <c r="E77" s="170">
        <f>E75-E76</f>
        <v>48.743892095983028</v>
      </c>
      <c r="F77" s="206">
        <f>+E77/D6</f>
        <v>9.3918867236961523E-2</v>
      </c>
      <c r="G77" s="206"/>
    </row>
    <row r="78" spans="3:10">
      <c r="E78" s="241"/>
      <c r="F78" s="26"/>
    </row>
    <row r="79" spans="3:10">
      <c r="E79" s="241"/>
    </row>
    <row r="80" spans="3:10">
      <c r="D80" s="185"/>
      <c r="E80" s="242"/>
    </row>
  </sheetData>
  <protectedRanges>
    <protectedRange sqref="F18:G18 D53:E53 D10:E11" name="Presupuestos"/>
    <protectedRange sqref="D8:E8 D22:E22" name="Presupuestos_1"/>
    <protectedRange sqref="D29:E29" name="Presupuestos_13_1"/>
    <protectedRange sqref="D31:E31" name="Presupuestos_14"/>
    <protectedRange sqref="E40:E44 D45:E46" name="Presupuestos_2_1_1_1"/>
    <protectedRange sqref="D40 E48 K40 D42 K42" name="Presupuestos_6_1_1_1"/>
    <protectedRange sqref="D41 D43:D44" name="Presupuestos_5_2_1"/>
    <protectedRange sqref="D38:E38" name="Presupuestos_7_1"/>
    <protectedRange sqref="D48" name="Presupuestos_5_3"/>
    <protectedRange sqref="D33:E36" name="Presupuestos_13_1_1"/>
  </protectedRanges>
  <autoFilter ref="A22:S48" xr:uid="{3447C1A1-3338-4000-BB3A-F62025060AED}"/>
  <mergeCells count="8">
    <mergeCell ref="C65:D65"/>
    <mergeCell ref="C66:D66"/>
    <mergeCell ref="D7:E7"/>
    <mergeCell ref="B21:C21"/>
    <mergeCell ref="D21:E21"/>
    <mergeCell ref="J59:J60"/>
    <mergeCell ref="C61:D61"/>
    <mergeCell ref="C64:D64"/>
  </mergeCells>
  <conditionalFormatting sqref="D74:E74">
    <cfRule type="cellIs" dxfId="51" priority="9" operator="lessThan">
      <formula>0</formula>
    </cfRule>
    <cfRule type="cellIs" dxfId="50" priority="10" operator="greaterThan">
      <formula>0</formula>
    </cfRule>
  </conditionalFormatting>
  <dataValidations count="2">
    <dataValidation type="list" allowBlank="1" showInputMessage="1" showErrorMessage="1" sqref="G38 G23:G24 D69:D70 G31 G54:G55 G29 G26:G27 G48 G33:G36 G40:G46" xr:uid="{A3EFC070-4AEF-4000-8E6E-5C585D44BA7C}">
      <formula1>"Cancelado,Pagar,Sin Pagar"</formula1>
    </dataValidation>
    <dataValidation type="list" allowBlank="1" showInputMessage="1" showErrorMessage="1" sqref="D21 D7" xr:uid="{E10C66C0-357F-4B36-BA0B-4EA6091E67FA}">
      <formula1>"ENERO,FEBRERO,MARZO,ABRIL,MAYO,JUNIO,JULIO,AGOSTO,SEPTIEMBRE,OCTUBRE,NOVIEMBRE,DICIEMBRE"</formula1>
    </dataValidation>
  </dataValidations>
  <pageMargins left="0.7" right="0.7" top="0.75" bottom="0.75" header="0.3" footer="0.3"/>
  <ignoredErrors>
    <ignoredError sqref="J24:J34 J37:J41 J43:J46 J47:J49 J35:J36 J42" unlockedFormula="1"/>
    <ignoredError sqref="E2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6120-CE76-4E87-8DE7-8E91C371144F}">
  <dimension ref="A1:S77"/>
  <sheetViews>
    <sheetView showGridLines="0" topLeftCell="B57" workbookViewId="0">
      <selection activeCell="E13" sqref="E13"/>
    </sheetView>
  </sheetViews>
  <sheetFormatPr baseColWidth="10" defaultColWidth="9.109375" defaultRowHeight="14.4" outlineLevelRow="1"/>
  <cols>
    <col min="1" max="1" width="2.109375" style="269" customWidth="1"/>
    <col min="2" max="2" width="12" style="270" bestFit="1" customWidth="1"/>
    <col min="3" max="3" width="54.33203125" style="269" bestFit="1" customWidth="1"/>
    <col min="4" max="4" width="24.44140625" style="88" customWidth="1"/>
    <col min="5" max="5" width="18.6640625" style="88" bestFit="1" customWidth="1"/>
    <col min="6" max="6" width="23.5546875" style="269" customWidth="1"/>
    <col min="7" max="7" width="16.88671875" style="269" customWidth="1"/>
    <col min="8" max="8" width="7.6640625" style="269" hidden="1" customWidth="1"/>
    <col min="9" max="9" width="12.109375" style="269" hidden="1" customWidth="1"/>
    <col min="10" max="10" width="16.5546875" style="269" customWidth="1"/>
    <col min="11" max="11" width="2.109375" style="269" customWidth="1"/>
    <col min="12" max="12" width="2.33203125" style="269" customWidth="1"/>
    <col min="13" max="13" width="14.5546875" style="269" bestFit="1" customWidth="1"/>
    <col min="14" max="14" width="13.109375" style="269" bestFit="1" customWidth="1"/>
    <col min="15" max="15" width="26.109375" style="269" customWidth="1"/>
    <col min="16" max="16" width="19.33203125" style="269" bestFit="1" customWidth="1"/>
    <col min="17" max="17" width="15.33203125" style="269" bestFit="1" customWidth="1"/>
    <col min="18" max="18" width="14" style="269" bestFit="1" customWidth="1"/>
    <col min="19" max="19" width="13" style="269" bestFit="1" customWidth="1"/>
    <col min="20" max="16384" width="9.109375" style="269"/>
  </cols>
  <sheetData>
    <row r="1" spans="1:9" hidden="1">
      <c r="D1" s="88">
        <v>42400</v>
      </c>
    </row>
    <row r="2" spans="1:9">
      <c r="D2" s="89"/>
      <c r="E2" s="89"/>
      <c r="I2" s="90"/>
    </row>
    <row r="3" spans="1:9">
      <c r="E3" s="220"/>
      <c r="I3" s="90"/>
    </row>
    <row r="4" spans="1:9" ht="15.6">
      <c r="B4" s="92"/>
      <c r="C4" s="92"/>
      <c r="D4" s="160" t="s">
        <v>216</v>
      </c>
      <c r="E4" s="161">
        <v>45474</v>
      </c>
      <c r="I4" s="90"/>
    </row>
    <row r="5" spans="1:9">
      <c r="D5" s="89"/>
      <c r="E5" s="89"/>
      <c r="I5" s="90"/>
    </row>
    <row r="6" spans="1:9">
      <c r="C6" s="93" t="s">
        <v>217</v>
      </c>
      <c r="D6" s="26">
        <v>522</v>
      </c>
      <c r="E6" s="89"/>
      <c r="I6" s="90"/>
    </row>
    <row r="7" spans="1:9" ht="15.6">
      <c r="C7" s="94"/>
      <c r="D7" s="590" t="s">
        <v>402</v>
      </c>
      <c r="E7" s="590"/>
      <c r="I7" s="90"/>
    </row>
    <row r="8" spans="1:9">
      <c r="D8" s="95" t="s">
        <v>242</v>
      </c>
      <c r="E8" s="95" t="s">
        <v>219</v>
      </c>
    </row>
    <row r="9" spans="1:9" s="96" customFormat="1" ht="15.6">
      <c r="C9" s="97" t="s">
        <v>220</v>
      </c>
      <c r="D9" s="167">
        <f>SUBTOTAL(9,D10:D11)</f>
        <v>11779307.966801541</v>
      </c>
      <c r="E9" s="98">
        <f>SUBTOTAL(9,E10:E11)</f>
        <v>22565.724074332451</v>
      </c>
      <c r="F9" s="99"/>
      <c r="I9" s="90"/>
    </row>
    <row r="10" spans="1:9" s="90" customFormat="1" outlineLevel="1">
      <c r="B10" s="100"/>
      <c r="C10" s="101" t="s">
        <v>243</v>
      </c>
      <c r="D10" s="169">
        <f>'BAC SAN JOSE COLONES  '!G207</f>
        <v>7080494.4815992275</v>
      </c>
      <c r="E10" s="218">
        <f>D10/$D$6</f>
        <v>13564.165673561738</v>
      </c>
      <c r="F10" s="103"/>
    </row>
    <row r="11" spans="1:9" s="90" customFormat="1" outlineLevel="1">
      <c r="B11" s="100"/>
      <c r="C11" s="101" t="s">
        <v>221</v>
      </c>
      <c r="D11" s="169">
        <f>'BAC SAN JOSE USD'!G190*$D$6</f>
        <v>4698813.4852023134</v>
      </c>
      <c r="E11" s="218">
        <f>D11/$D$6</f>
        <v>9001.5584007707148</v>
      </c>
      <c r="F11" s="103"/>
    </row>
    <row r="12" spans="1:9" s="90" customFormat="1" ht="15.6">
      <c r="B12" s="100"/>
      <c r="C12" s="104" t="s">
        <v>222</v>
      </c>
      <c r="D12" s="167">
        <f>SUBTOTAL(9,D13:D16)</f>
        <v>19014768.319999997</v>
      </c>
      <c r="E12" s="98">
        <f>SUBTOTAL(9,E13:E16)</f>
        <v>36426.759233716468</v>
      </c>
      <c r="F12" s="105"/>
    </row>
    <row r="13" spans="1:9" s="90" customFormat="1" outlineLevel="1">
      <c r="A13" s="106"/>
      <c r="B13" s="107"/>
      <c r="C13" s="101" t="s">
        <v>411</v>
      </c>
      <c r="D13" s="271">
        <f>E13*$D$6</f>
        <v>7515256.29</v>
      </c>
      <c r="E13" s="272">
        <f>CONVERSIONES!$C$124+CONVERSIONES!$D$124+CONVERSIONES!$E$124</f>
        <v>14397.042701149425</v>
      </c>
      <c r="F13" s="105"/>
      <c r="G13" s="108"/>
    </row>
    <row r="14" spans="1:9" s="90" customFormat="1" outlineLevel="1">
      <c r="A14" s="106"/>
      <c r="B14" s="107"/>
      <c r="C14" s="101" t="s">
        <v>410</v>
      </c>
      <c r="D14" s="271">
        <f>E14*$D$6</f>
        <v>4454090.28</v>
      </c>
      <c r="E14" s="272">
        <f>CONVERSIONES!$F$124+CONVERSIONES!$G$124</f>
        <v>8532.74</v>
      </c>
      <c r="F14" s="105"/>
      <c r="G14" s="108"/>
    </row>
    <row r="15" spans="1:9" s="90" customFormat="1" outlineLevel="1">
      <c r="B15" s="100"/>
      <c r="C15" s="101" t="s">
        <v>412</v>
      </c>
      <c r="D15" s="271">
        <f>E15*$D$6</f>
        <v>5842986.1199999992</v>
      </c>
      <c r="E15" s="272">
        <f>CONVERSIONES!$H$124</f>
        <v>11193.46</v>
      </c>
      <c r="F15" s="105"/>
      <c r="G15" s="108"/>
    </row>
    <row r="16" spans="1:9" s="90" customFormat="1" outlineLevel="1">
      <c r="B16" s="100"/>
      <c r="C16" s="101" t="s">
        <v>413</v>
      </c>
      <c r="D16" s="271">
        <f>E16*$D$6</f>
        <v>1202435.6299999999</v>
      </c>
      <c r="E16" s="272">
        <f>CONVERSIONES!$I$124</f>
        <v>2303.5165325670496</v>
      </c>
      <c r="F16" s="105"/>
      <c r="G16" s="108"/>
    </row>
    <row r="17" spans="2:19" s="90" customFormat="1" ht="15.6">
      <c r="B17" s="100"/>
      <c r="C17" s="109" t="s">
        <v>223</v>
      </c>
      <c r="D17" s="168">
        <f>SUBTOTAL(9,D9:D16)</f>
        <v>30794076.286801543</v>
      </c>
      <c r="E17" s="207">
        <f>SUBTOTAL(9,E9:E16)</f>
        <v>58992.483308048919</v>
      </c>
      <c r="F17" s="110"/>
      <c r="G17" s="110"/>
      <c r="J17" s="108"/>
      <c r="K17" s="111"/>
      <c r="O17" s="112"/>
      <c r="P17" s="113"/>
      <c r="Q17" s="114"/>
    </row>
    <row r="18" spans="2:19" s="90" customFormat="1" ht="15.6">
      <c r="B18" s="100"/>
      <c r="C18" s="115"/>
      <c r="D18" s="116"/>
      <c r="E18" s="116"/>
      <c r="G18" s="117"/>
      <c r="O18" s="113"/>
      <c r="P18" s="113"/>
    </row>
    <row r="19" spans="2:19" s="90" customFormat="1" ht="15.6">
      <c r="B19" s="100"/>
      <c r="N19" s="118"/>
      <c r="O19" s="119"/>
      <c r="P19" s="120"/>
    </row>
    <row r="20" spans="2:19" s="90" customFormat="1" ht="15.6">
      <c r="B20" s="590" t="s">
        <v>224</v>
      </c>
      <c r="C20" s="590"/>
      <c r="D20" s="590" t="s">
        <v>402</v>
      </c>
      <c r="E20" s="590"/>
      <c r="K20" s="120"/>
      <c r="L20" s="120"/>
      <c r="N20" s="118"/>
      <c r="R20" s="108"/>
      <c r="S20" s="108"/>
    </row>
    <row r="21" spans="2:19" s="90" customFormat="1" ht="16.2" thickBot="1">
      <c r="B21" s="121" t="s">
        <v>225</v>
      </c>
      <c r="C21" s="122" t="s">
        <v>226</v>
      </c>
      <c r="D21" s="95" t="s">
        <v>242</v>
      </c>
      <c r="E21" s="95" t="s">
        <v>219</v>
      </c>
      <c r="F21" s="123" t="s">
        <v>227</v>
      </c>
      <c r="G21" s="118" t="s">
        <v>228</v>
      </c>
      <c r="H21" s="118"/>
      <c r="I21" s="118"/>
      <c r="J21" s="124" t="s">
        <v>229</v>
      </c>
      <c r="N21" s="125"/>
      <c r="R21" s="108"/>
      <c r="S21" s="126"/>
    </row>
    <row r="22" spans="2:19" s="90" customFormat="1" ht="16.2" thickBot="1">
      <c r="B22" s="100"/>
      <c r="C22" s="127" t="s">
        <v>230</v>
      </c>
      <c r="D22" s="172">
        <f>SUBTOTAL(9,D23:D23)</f>
        <v>5040051.47</v>
      </c>
      <c r="E22" s="128">
        <f>SUBTOTAL(9,E23:E23)</f>
        <v>9655.2710153256703</v>
      </c>
      <c r="F22" s="129"/>
      <c r="J22" s="130"/>
    </row>
    <row r="23" spans="2:19" s="90" customFormat="1" ht="15" outlineLevel="1" thickBot="1">
      <c r="B23" s="131">
        <v>176206200</v>
      </c>
      <c r="C23" s="234" t="s">
        <v>403</v>
      </c>
      <c r="D23" s="271">
        <v>5040051.47</v>
      </c>
      <c r="E23" s="142">
        <f>D23/$D$6</f>
        <v>9655.2710153256703</v>
      </c>
      <c r="F23" s="134">
        <v>45482</v>
      </c>
      <c r="G23" s="90" t="s">
        <v>235</v>
      </c>
      <c r="H23" s="90">
        <f>IF(OR(G23="Sin pagar",G23="Pagar"),_xlfn.SINGLE(NETWORKDAYS($E$4,F23,'Festivos CR'!$A$3:$A$15)),0)</f>
        <v>0</v>
      </c>
      <c r="I23" s="90">
        <f>NETWORKDAYS($E$4,F23,'Festivos CR'!$A$3:$A$15)</f>
        <v>7</v>
      </c>
      <c r="J23" s="132">
        <f t="shared" ref="J23:J28" si="0">H23</f>
        <v>0</v>
      </c>
      <c r="K23" s="108"/>
      <c r="L23" s="108"/>
    </row>
    <row r="24" spans="2:19" s="90" customFormat="1" ht="16.2" thickBot="1">
      <c r="B24" s="100"/>
      <c r="C24" s="127" t="s">
        <v>232</v>
      </c>
      <c r="D24" s="172">
        <f>SUBTOTAL(9,D25:D26)</f>
        <v>1121832.45</v>
      </c>
      <c r="E24" s="128">
        <f>SUBTOTAL(9,E25:E26)</f>
        <v>2149.1043103448278</v>
      </c>
      <c r="J24" s="130">
        <f t="shared" si="0"/>
        <v>0</v>
      </c>
    </row>
    <row r="25" spans="2:19" s="90" customFormat="1" outlineLevel="1">
      <c r="B25" s="133"/>
      <c r="C25" s="101" t="s">
        <v>292</v>
      </c>
      <c r="D25" s="271">
        <v>1098581.45</v>
      </c>
      <c r="E25" s="142">
        <f>D25/$D$6</f>
        <v>2104.5621647509579</v>
      </c>
      <c r="F25" s="134">
        <v>45482</v>
      </c>
      <c r="G25" s="90" t="s">
        <v>235</v>
      </c>
      <c r="H25" s="90">
        <f>IF(OR(G25="Sin pagar",G25="Pagar"),_xlfn.SINGLE(NETWORKDAYS($E$4,F25,'Festivos CR'!$A$3:$A$15)),0)</f>
        <v>0</v>
      </c>
      <c r="I25" s="90">
        <f>NETWORKDAYS($E$4,F25,'Festivos CR'!$A$3:$A$15)</f>
        <v>7</v>
      </c>
      <c r="J25" s="132">
        <f t="shared" si="0"/>
        <v>0</v>
      </c>
      <c r="K25" s="135"/>
      <c r="L25" s="111"/>
    </row>
    <row r="26" spans="2:19" s="90" customFormat="1" ht="29.4" outlineLevel="1" thickBot="1">
      <c r="B26" s="133"/>
      <c r="C26" s="101" t="s">
        <v>296</v>
      </c>
      <c r="D26" s="271">
        <v>23251</v>
      </c>
      <c r="E26" s="142">
        <f>D26/$D$6</f>
        <v>44.542145593869733</v>
      </c>
      <c r="F26" s="134">
        <v>45482</v>
      </c>
      <c r="G26" s="90" t="s">
        <v>235</v>
      </c>
      <c r="H26" s="90">
        <f>IF(OR(G26="Sin pagar",G26="Pagar"),_xlfn.SINGLE(NETWORKDAYS($E$4,F26,'Festivos CR'!$A$3:$A$15)),0)</f>
        <v>0</v>
      </c>
      <c r="I26" s="90">
        <f>NETWORKDAYS($E$4,F26,'Festivos CR'!$A$3:$A$15)</f>
        <v>7</v>
      </c>
      <c r="J26" s="132">
        <f>H26</f>
        <v>0</v>
      </c>
      <c r="K26" s="135"/>
      <c r="L26" s="111"/>
    </row>
    <row r="27" spans="2:19" s="90" customFormat="1" ht="16.2" thickBot="1">
      <c r="B27" s="100"/>
      <c r="C27" s="127" t="s">
        <v>233</v>
      </c>
      <c r="D27" s="172">
        <f>SUBTOTAL(9,D28:D28)</f>
        <v>62400</v>
      </c>
      <c r="E27" s="128">
        <f>SUBTOTAL(9,E28:E28)</f>
        <v>119.54022988505747</v>
      </c>
      <c r="J27" s="130">
        <f t="shared" si="0"/>
        <v>0</v>
      </c>
      <c r="K27" s="108"/>
      <c r="L27" s="108"/>
    </row>
    <row r="28" spans="2:19" s="90" customFormat="1" ht="15" outlineLevel="1" thickBot="1">
      <c r="B28" s="100">
        <v>17</v>
      </c>
      <c r="C28" s="101" t="s">
        <v>369</v>
      </c>
      <c r="D28" s="169">
        <v>62400</v>
      </c>
      <c r="E28" s="137">
        <f>D28/$D$6</f>
        <v>119.54022988505747</v>
      </c>
      <c r="F28" s="129">
        <v>45499</v>
      </c>
      <c r="G28" s="90" t="s">
        <v>235</v>
      </c>
      <c r="H28" s="90">
        <f>IF(OR(G28="Sin pagar",G28="Pagar"),_xlfn.SINGLE(NETWORKDAYS($E$4,F28,'Festivos CR'!$A$3:$A$15)),0)</f>
        <v>0</v>
      </c>
      <c r="I28" s="90">
        <f>NETWORKDAYS($E$4,F28,'Festivos CR'!$A$3:$A$15)</f>
        <v>19</v>
      </c>
      <c r="J28" s="132">
        <f t="shared" si="0"/>
        <v>0</v>
      </c>
      <c r="N28" s="103"/>
    </row>
    <row r="29" spans="2:19" s="90" customFormat="1" ht="16.2" thickBot="1">
      <c r="C29" s="127" t="s">
        <v>250</v>
      </c>
      <c r="D29" s="172">
        <f>SUBTOTAL(9,D30:D30)</f>
        <v>77000</v>
      </c>
      <c r="E29" s="128">
        <f>SUBTOTAL(9,E30:E30)</f>
        <v>147.5095785440613</v>
      </c>
      <c r="K29" s="103"/>
      <c r="L29" s="103"/>
      <c r="O29" s="103"/>
      <c r="P29" s="103"/>
    </row>
    <row r="30" spans="2:19" s="90" customFormat="1" ht="14.25" customHeight="1" outlineLevel="1" thickBot="1">
      <c r="B30" s="138" t="s">
        <v>409</v>
      </c>
      <c r="C30" s="101" t="s">
        <v>251</v>
      </c>
      <c r="D30" s="169">
        <v>77000</v>
      </c>
      <c r="E30" s="137">
        <f>D30/$D$6</f>
        <v>147.5095785440613</v>
      </c>
      <c r="F30" s="129">
        <v>45475</v>
      </c>
      <c r="G30" s="90" t="s">
        <v>235</v>
      </c>
      <c r="H30" s="90">
        <f>IF(OR(G30="Sin pagar",G30="Pagar"),_xlfn.SINGLE(NETWORKDAYS($E$4,F30,'Festivos CR'!$A$3:$A$15)),0)</f>
        <v>0</v>
      </c>
      <c r="I30" s="90">
        <f>NETWORKDAYS($E$4,F30,'Festivos CR'!$A$3:$A$15)</f>
        <v>2</v>
      </c>
      <c r="J30" s="132">
        <f>H30</f>
        <v>0</v>
      </c>
      <c r="K30" s="103"/>
      <c r="L30" s="103"/>
      <c r="O30" s="103"/>
      <c r="P30" s="103"/>
    </row>
    <row r="31" spans="2:19" s="90" customFormat="1" ht="16.2" thickBot="1">
      <c r="B31" s="136"/>
      <c r="C31" s="139" t="s">
        <v>234</v>
      </c>
      <c r="D31" s="173">
        <f>SUBTOTAL(9,D32:D35)</f>
        <v>0</v>
      </c>
      <c r="E31" s="140">
        <f>SUBTOTAL(9,E32:E35)</f>
        <v>0</v>
      </c>
      <c r="K31" s="108"/>
    </row>
    <row r="32" spans="2:19" s="90" customFormat="1" outlineLevel="1">
      <c r="B32" s="141">
        <v>4699</v>
      </c>
      <c r="C32" s="174" t="s">
        <v>259</v>
      </c>
      <c r="D32" s="169">
        <f>E32*$D$6*0</f>
        <v>0</v>
      </c>
      <c r="E32" s="137">
        <f>880*0</f>
        <v>0</v>
      </c>
      <c r="F32" s="129">
        <v>45504</v>
      </c>
      <c r="G32" s="90" t="s">
        <v>235</v>
      </c>
      <c r="H32" s="90">
        <f>IF(OR(G32="Sin pagar",G32="Pagar"),_xlfn.SINGLE(NETWORKDAYS($E$4,F32,'Festivos CR'!$A$3:$A$15)),0)</f>
        <v>0</v>
      </c>
      <c r="I32" s="90">
        <f>NETWORKDAYS($E$4,F32,'Festivos CR'!$A$3:$A$15)</f>
        <v>22</v>
      </c>
      <c r="J32" s="132">
        <f>H32</f>
        <v>0</v>
      </c>
      <c r="N32" s="103"/>
    </row>
    <row r="33" spans="1:16" s="90" customFormat="1" outlineLevel="1">
      <c r="B33" s="141">
        <v>4777</v>
      </c>
      <c r="C33" s="174" t="s">
        <v>297</v>
      </c>
      <c r="D33" s="169">
        <f>E33*$D$6*0</f>
        <v>0</v>
      </c>
      <c r="E33" s="137">
        <f>720*0</f>
        <v>0</v>
      </c>
      <c r="F33" s="129">
        <v>45504</v>
      </c>
      <c r="G33" s="90" t="s">
        <v>235</v>
      </c>
      <c r="H33" s="90">
        <f>IF(OR(G33="Sin pagar",G33="Pagar"),_xlfn.SINGLE(NETWORKDAYS($E$4,F33,'Festivos CR'!$A$3:$A$15)),0)</f>
        <v>0</v>
      </c>
      <c r="I33" s="90">
        <f>NETWORKDAYS($E$4,F33,'Festivos CR'!$A$3:$A$15)</f>
        <v>22</v>
      </c>
      <c r="J33" s="132">
        <f>H33</f>
        <v>0</v>
      </c>
      <c r="N33" s="103"/>
    </row>
    <row r="34" spans="1:16" s="90" customFormat="1" outlineLevel="1">
      <c r="B34" s="100">
        <v>4878</v>
      </c>
      <c r="C34" s="174" t="s">
        <v>318</v>
      </c>
      <c r="D34" s="169">
        <f>E34*$D$6*0</f>
        <v>0</v>
      </c>
      <c r="E34" s="137">
        <f>720*0</f>
        <v>0</v>
      </c>
      <c r="F34" s="129">
        <v>45504</v>
      </c>
      <c r="G34" s="90" t="s">
        <v>235</v>
      </c>
      <c r="H34" s="90">
        <f>IF(OR(G47="Sin pagar",G47="Pagar"),_xlfn.SINGLE(NETWORKDAYS($E$4,F47,'Festivos CR'!$A$3:$A$15)),0)</f>
        <v>0</v>
      </c>
      <c r="I34" s="90">
        <f>NETWORKDAYS($E$4,F47,'Festivos CR'!$A$3:$A$15)</f>
        <v>21</v>
      </c>
      <c r="J34" s="132">
        <f>H34</f>
        <v>0</v>
      </c>
      <c r="N34" s="103"/>
    </row>
    <row r="35" spans="1:16" s="90" customFormat="1" ht="15" outlineLevel="1" thickBot="1">
      <c r="B35" s="100">
        <v>4957</v>
      </c>
      <c r="C35" s="174" t="s">
        <v>372</v>
      </c>
      <c r="D35" s="169">
        <f>E35*$D$6*0</f>
        <v>0</v>
      </c>
      <c r="E35" s="137">
        <f>330*0</f>
        <v>0</v>
      </c>
      <c r="F35" s="129">
        <v>45504</v>
      </c>
      <c r="G35" s="90" t="s">
        <v>235</v>
      </c>
      <c r="H35" s="90">
        <f>IF(OR(G48="Sin pagar",G48="Pagar"),_xlfn.SINGLE(NETWORKDAYS($E$4,F48,'Festivos CR'!$A$3:$A$15)),0)</f>
        <v>0</v>
      </c>
      <c r="I35" s="90">
        <f>NETWORKDAYS($E$4,F48,'Festivos CR'!$A$3:$A$15)</f>
        <v>-32476</v>
      </c>
      <c r="J35" s="132">
        <f>H35</f>
        <v>0</v>
      </c>
      <c r="N35" s="103"/>
    </row>
    <row r="36" spans="1:16" s="90" customFormat="1" ht="15.75" customHeight="1" thickBot="1">
      <c r="C36" s="127" t="s">
        <v>236</v>
      </c>
      <c r="D36" s="172">
        <f>SUBTOTAL(9,D37:D37)</f>
        <v>399.75</v>
      </c>
      <c r="E36" s="128">
        <f>SUBTOTAL(9,E37:E37)</f>
        <v>0.76580459770114939</v>
      </c>
    </row>
    <row r="37" spans="1:16" s="90" customFormat="1" ht="15" outlineLevel="1" thickBot="1">
      <c r="B37" s="100"/>
      <c r="C37" s="174" t="s">
        <v>236</v>
      </c>
      <c r="D37" s="271">
        <v>399.75</v>
      </c>
      <c r="E37" s="142">
        <f>D37/D6</f>
        <v>0.76580459770114939</v>
      </c>
      <c r="F37" s="129">
        <v>45504</v>
      </c>
      <c r="G37" s="90" t="s">
        <v>235</v>
      </c>
      <c r="H37" s="90">
        <f>IF(OR(G37="Sin pagar",G37="Pagar"),_xlfn.SINGLE(NETWORKDAYS($E$4,F37,'Festivos CR'!$A$3:$A$15)),0)</f>
        <v>0</v>
      </c>
      <c r="I37" s="90">
        <f>NETWORKDAYS($E$4,F37,'Festivos CR'!$A$3:$A$15)</f>
        <v>22</v>
      </c>
      <c r="J37" s="132">
        <f>H37</f>
        <v>0</v>
      </c>
    </row>
    <row r="38" spans="1:16" s="90" customFormat="1" ht="16.2" thickBot="1">
      <c r="C38" s="127" t="s">
        <v>237</v>
      </c>
      <c r="D38" s="172">
        <f>SUBTOTAL(9,D39:D45)</f>
        <v>11737204.15</v>
      </c>
      <c r="E38" s="128">
        <f>SUBTOTAL(9,E39:E45)</f>
        <v>22485.06542145594</v>
      </c>
      <c r="K38" s="108"/>
      <c r="L38" s="143"/>
    </row>
    <row r="39" spans="1:16" s="90" customFormat="1" outlineLevel="1">
      <c r="B39" s="145" t="s">
        <v>391</v>
      </c>
      <c r="C39" s="174" t="s">
        <v>254</v>
      </c>
      <c r="D39" s="170">
        <v>1612916.33</v>
      </c>
      <c r="E39" s="142">
        <f>D39/$D$6</f>
        <v>3089.8780268199234</v>
      </c>
      <c r="F39" s="129">
        <v>45499</v>
      </c>
      <c r="G39" s="90" t="s">
        <v>235</v>
      </c>
      <c r="H39" s="90">
        <f>IF(OR(G39="Sin pagar",G39="Pagar"),_xlfn.SINGLE(NETWORKDAYS($E$4,F39,'Festivos CR'!$A$3:$A$15)),0)</f>
        <v>0</v>
      </c>
      <c r="I39" s="90">
        <f>NETWORKDAYS($E$4,F39,'Festivos CR'!$A$3:$A$15)</f>
        <v>19</v>
      </c>
      <c r="J39" s="132">
        <f t="shared" ref="J39:J45" si="1">H39</f>
        <v>0</v>
      </c>
      <c r="K39" s="135"/>
      <c r="L39" s="135"/>
    </row>
    <row r="40" spans="1:16" s="180" customFormat="1" outlineLevel="1">
      <c r="B40" s="265" t="s">
        <v>270</v>
      </c>
      <c r="C40" s="174" t="s">
        <v>258</v>
      </c>
      <c r="D40" s="170">
        <f>E40*$D$6</f>
        <v>1779832.0799999998</v>
      </c>
      <c r="E40" s="142">
        <v>3409.64</v>
      </c>
      <c r="F40" s="129">
        <v>45499</v>
      </c>
      <c r="G40" s="90" t="s">
        <v>235</v>
      </c>
      <c r="H40" s="90">
        <f>IF(OR(G40="Sin pagar",G40="Pagar"),_xlfn.SINGLE(NETWORKDAYS($E$4,F40,'Festivos CR'!$A$3:$A$15)),0)</f>
        <v>0</v>
      </c>
      <c r="I40" s="90">
        <f>NETWORKDAYS($E$4,F40,'Festivos CR'!$A$3:$A$15)</f>
        <v>19</v>
      </c>
      <c r="J40" s="132">
        <f t="shared" si="1"/>
        <v>0</v>
      </c>
      <c r="L40" s="179"/>
    </row>
    <row r="41" spans="1:16" s="90" customFormat="1" outlineLevel="1">
      <c r="B41" s="145" t="s">
        <v>391</v>
      </c>
      <c r="C41" s="174" t="s">
        <v>390</v>
      </c>
      <c r="D41" s="170">
        <v>1325079.3600000001</v>
      </c>
      <c r="E41" s="142">
        <f>D41/$D$6</f>
        <v>2538.4662068965517</v>
      </c>
      <c r="F41" s="129">
        <v>45499</v>
      </c>
      <c r="G41" s="90" t="s">
        <v>235</v>
      </c>
      <c r="H41" s="90">
        <f>IF(OR(G41="Sin pagar",G41="Pagar"),_xlfn.SINGLE(NETWORKDAYS($E$4,F41,'Festivos CR'!$A$3:$A$15)),0)</f>
        <v>0</v>
      </c>
      <c r="I41" s="90">
        <f>NETWORKDAYS($E$4,F41,'Festivos CR'!$A$3:$A$15)</f>
        <v>19</v>
      </c>
      <c r="J41" s="132">
        <f>H41</f>
        <v>0</v>
      </c>
      <c r="K41" s="135"/>
      <c r="L41" s="135"/>
    </row>
    <row r="42" spans="1:16" s="180" customFormat="1" outlineLevel="1">
      <c r="B42" s="145" t="s">
        <v>391</v>
      </c>
      <c r="C42" s="174" t="s">
        <v>253</v>
      </c>
      <c r="D42" s="170">
        <v>1410537.3</v>
      </c>
      <c r="E42" s="142">
        <f>D42/$D$6</f>
        <v>2702.1787356321838</v>
      </c>
      <c r="F42" s="129">
        <v>45499</v>
      </c>
      <c r="G42" s="90" t="s">
        <v>235</v>
      </c>
      <c r="H42" s="90">
        <f>IF(OR(G42="Sin pagar",G42="Pagar"),_xlfn.SINGLE(NETWORKDAYS($E$4,F42,'Festivos CR'!$A$3:$A$15)),0)</f>
        <v>0</v>
      </c>
      <c r="I42" s="90">
        <f>NETWORKDAYS($E$4,F42,'Festivos CR'!$A$3:$A$15)</f>
        <v>19</v>
      </c>
      <c r="J42" s="132">
        <f t="shared" si="1"/>
        <v>0</v>
      </c>
      <c r="L42" s="179"/>
    </row>
    <row r="43" spans="1:16" s="180" customFormat="1" outlineLevel="1">
      <c r="B43" s="145" t="s">
        <v>391</v>
      </c>
      <c r="C43" s="174" t="s">
        <v>255</v>
      </c>
      <c r="D43" s="170">
        <v>1410537.3</v>
      </c>
      <c r="E43" s="142">
        <f>D43/$D$6</f>
        <v>2702.1787356321838</v>
      </c>
      <c r="F43" s="129">
        <v>45499</v>
      </c>
      <c r="G43" s="90" t="s">
        <v>235</v>
      </c>
      <c r="H43" s="90">
        <f>IF(OR(G43="Sin pagar",G43="Pagar"),_xlfn.SINGLE(NETWORKDAYS($E$4,F43,'Festivos CR'!$A$3:$A$15)),0)</f>
        <v>0</v>
      </c>
      <c r="I43" s="90">
        <f>NETWORKDAYS($E$4,F43,'Festivos CR'!$A$3:$A$15)</f>
        <v>19</v>
      </c>
      <c r="J43" s="132">
        <f t="shared" si="1"/>
        <v>0</v>
      </c>
      <c r="L43" s="179"/>
    </row>
    <row r="44" spans="1:16" s="180" customFormat="1" outlineLevel="1">
      <c r="B44" s="145" t="s">
        <v>391</v>
      </c>
      <c r="C44" s="174" t="s">
        <v>330</v>
      </c>
      <c r="D44" s="170">
        <v>786551.54</v>
      </c>
      <c r="E44" s="142">
        <f>D44/$D$6</f>
        <v>1506.8037164750958</v>
      </c>
      <c r="F44" s="129">
        <v>45499</v>
      </c>
      <c r="G44" s="90" t="s">
        <v>235</v>
      </c>
      <c r="H44" s="90">
        <f>IF(OR(G44="Sin pagar",G44="Pagar"),_xlfn.SINGLE(NETWORKDAYS($E$4,F44,'Festivos CR'!$A$3:$A$15)),0)</f>
        <v>0</v>
      </c>
      <c r="I44" s="90">
        <f>NETWORKDAYS($E$4,F44,'Festivos CR'!$A$3:$A$15)</f>
        <v>19</v>
      </c>
      <c r="J44" s="132">
        <f>H44</f>
        <v>0</v>
      </c>
      <c r="L44" s="179"/>
    </row>
    <row r="45" spans="1:16" s="180" customFormat="1" ht="15" outlineLevel="1" thickBot="1">
      <c r="B45" s="265" t="s">
        <v>270</v>
      </c>
      <c r="C45" s="174" t="s">
        <v>257</v>
      </c>
      <c r="D45" s="170">
        <f>E45*$D$6</f>
        <v>3411750.24</v>
      </c>
      <c r="E45" s="142">
        <v>6535.92</v>
      </c>
      <c r="F45" s="129">
        <v>45499</v>
      </c>
      <c r="G45" s="90" t="s">
        <v>235</v>
      </c>
      <c r="H45" s="90">
        <f>IF(OR(G45="Sin pagar",G45="Pagar"),_xlfn.SINGLE(NETWORKDAYS($E$4,F45,'Festivos CR'!$A$3:$A$15)),0)</f>
        <v>0</v>
      </c>
      <c r="I45" s="90">
        <f>NETWORKDAYS($E$4,F45,'Festivos CR'!$A$3:$A$15)</f>
        <v>19</v>
      </c>
      <c r="J45" s="132">
        <f t="shared" si="1"/>
        <v>0</v>
      </c>
      <c r="L45" s="179"/>
    </row>
    <row r="46" spans="1:16" s="90" customFormat="1" ht="16.2" thickBot="1">
      <c r="A46" s="180"/>
      <c r="B46" s="145"/>
      <c r="C46" s="127" t="s">
        <v>238</v>
      </c>
      <c r="D46" s="172">
        <f>SUBTOTAL(9,D47:D47)</f>
        <v>0</v>
      </c>
      <c r="E46" s="128">
        <f>SUBTOTAL(9,E47:E47)</f>
        <v>0</v>
      </c>
      <c r="L46" s="108"/>
    </row>
    <row r="47" spans="1:16" s="90" customFormat="1" ht="15" outlineLevel="1" thickBot="1">
      <c r="A47" s="180"/>
      <c r="B47" s="146"/>
      <c r="C47" s="101"/>
      <c r="D47" s="170">
        <v>0</v>
      </c>
      <c r="E47" s="142">
        <f>D47/$D$6</f>
        <v>0</v>
      </c>
      <c r="F47" s="129">
        <v>45503</v>
      </c>
      <c r="G47" s="90" t="s">
        <v>235</v>
      </c>
      <c r="H47" s="90" t="e">
        <f>IF(OR(#REF!="Sin pagar",#REF!="Pagar"),_xlfn.SINGLE(NETWORKDAYS($E$4,#REF!,'Festivos CR'!$A$3:$A$15)),0)</f>
        <v>#REF!</v>
      </c>
      <c r="I47" s="90" t="e">
        <f>NETWORKDAYS($E$4,#REF!,'Festivos CR'!$A$3:$A$15)</f>
        <v>#REF!</v>
      </c>
      <c r="J47" s="132"/>
      <c r="L47" s="108"/>
    </row>
    <row r="48" spans="1:16" s="90" customFormat="1" ht="14.25" customHeight="1">
      <c r="B48" s="100"/>
      <c r="C48" s="147" t="s">
        <v>239</v>
      </c>
      <c r="D48" s="171">
        <f>SUBTOTAL(9,D22:D47)</f>
        <v>18038887.82</v>
      </c>
      <c r="E48" s="148">
        <f>SUBTOTAL(9,E22:E47)</f>
        <v>34557.256360153253</v>
      </c>
      <c r="K48" s="269"/>
      <c r="L48" s="269"/>
      <c r="N48" s="269"/>
      <c r="O48" s="269"/>
      <c r="P48" s="269"/>
    </row>
    <row r="49" spans="1:16" ht="15.6">
      <c r="A49" s="90"/>
      <c r="E49" s="149"/>
      <c r="F49" s="239"/>
      <c r="G49" s="150"/>
      <c r="H49" s="150"/>
      <c r="I49" s="150"/>
      <c r="J49" s="150"/>
    </row>
    <row r="50" spans="1:16" ht="15.6">
      <c r="A50" s="90"/>
      <c r="C50" s="151" t="s">
        <v>3</v>
      </c>
      <c r="D50" s="182">
        <f>D17-D48</f>
        <v>12755188.466801543</v>
      </c>
      <c r="E50" s="152">
        <f>E17-E48</f>
        <v>24435.226947895666</v>
      </c>
      <c r="F50" s="243"/>
      <c r="G50" s="153"/>
      <c r="J50" s="153"/>
    </row>
    <row r="51" spans="1:16" s="157" customFormat="1" ht="15.6">
      <c r="A51" s="90"/>
      <c r="B51" s="154"/>
      <c r="C51" s="151" t="s">
        <v>240</v>
      </c>
      <c r="D51" s="155">
        <f>IF($D$17=0,0,D50/$D$17)</f>
        <v>0.41420915983988987</v>
      </c>
      <c r="E51" s="155">
        <f>IF($E$17=0,0,E50/$E$17)</f>
        <v>0.41420915983988982</v>
      </c>
      <c r="F51" s="156"/>
      <c r="G51" s="153"/>
      <c r="J51" s="158"/>
      <c r="K51" s="269"/>
      <c r="L51" s="269"/>
      <c r="N51" s="269"/>
      <c r="O51" s="269"/>
      <c r="P51" s="269"/>
    </row>
    <row r="52" spans="1:16">
      <c r="A52" s="90"/>
      <c r="F52" s="156"/>
      <c r="G52" s="153"/>
    </row>
    <row r="54" spans="1:16" ht="15" thickBot="1"/>
    <row r="55" spans="1:16" ht="15" thickBot="1">
      <c r="C55" s="189" t="s">
        <v>260</v>
      </c>
      <c r="D55" s="190" t="s">
        <v>261</v>
      </c>
      <c r="E55" s="191" t="s">
        <v>265</v>
      </c>
      <c r="F55" s="191" t="s">
        <v>266</v>
      </c>
    </row>
    <row r="56" spans="1:16">
      <c r="C56" s="192">
        <v>45474</v>
      </c>
      <c r="D56" s="193">
        <v>45480</v>
      </c>
      <c r="E56" s="195">
        <f>SUMIFS($D$21:$D$53,$F$21:$F$53,"&gt;="&amp;C56,$F$21:$F$53,"&lt;="&amp;D56,$G$21:$G$53,$D$70)</f>
        <v>0</v>
      </c>
      <c r="F56" s="201">
        <f>SUMIFS($E$21:$E$53,$F$21:$F$53,"&gt;="&amp;C56,$F$21:$F$53,"&lt;="&amp;D56,$G$21:$G$53,$D$70)</f>
        <v>0</v>
      </c>
    </row>
    <row r="57" spans="1:16">
      <c r="C57" s="183">
        <v>45481</v>
      </c>
      <c r="D57" s="184">
        <v>45487</v>
      </c>
      <c r="E57" s="196">
        <f>SUMIFS($D$21:$D$53,$F$21:$F$53,"&gt;="&amp;C57,$F$21:$F$53,"&lt;="&amp;D57,$G$21:$G$53,$D$70)</f>
        <v>0</v>
      </c>
      <c r="F57" s="202">
        <f>SUMIFS($E$21:$E$53,$F$21:$F$53,"&gt;="&amp;C57,$F$21:$F$53,"&lt;="&amp;D57,$G$21:$G$53,$D$70)</f>
        <v>0</v>
      </c>
      <c r="G57" s="269" t="s">
        <v>405</v>
      </c>
    </row>
    <row r="58" spans="1:16">
      <c r="C58" s="183">
        <v>45488</v>
      </c>
      <c r="D58" s="184">
        <v>45494</v>
      </c>
      <c r="E58" s="196">
        <f>SUMIFS($D$21:$D$53,$F$21:$F$53,"&gt;="&amp;C58,$F$21:$F$53,"&lt;="&amp;D58,$G$21:$G$53,$D$70)</f>
        <v>0</v>
      </c>
      <c r="F58" s="202">
        <f>SUMIFS($E$21:$E$53,$F$21:$F$53,"&gt;="&amp;C58,$F$21:$F$53,"&lt;="&amp;D58,$G$21:$G$53,$D$70)</f>
        <v>0</v>
      </c>
      <c r="G58" s="269" t="s">
        <v>406</v>
      </c>
      <c r="J58" s="591"/>
    </row>
    <row r="59" spans="1:16">
      <c r="C59" s="183">
        <v>45495</v>
      </c>
      <c r="D59" s="184">
        <v>45501</v>
      </c>
      <c r="E59" s="196">
        <f>SUMIFS($D$21:$D$53,$F$21:$F$53,"&gt;="&amp;C59,$F$21:$F$53,"&lt;="&amp;D59,$G$21:$G$53,$D$70)</f>
        <v>0</v>
      </c>
      <c r="F59" s="202">
        <f>SUMIFS($E$21:$E$53,$F$21:$F$53,"&gt;="&amp;C59,$F$21:$F$53,"&lt;="&amp;D59,$G$21:$G$53,$D$70)</f>
        <v>0</v>
      </c>
      <c r="G59" s="269" t="s">
        <v>407</v>
      </c>
      <c r="J59" s="591"/>
    </row>
    <row r="60" spans="1:16">
      <c r="C60" s="183">
        <v>45502</v>
      </c>
      <c r="D60" s="184">
        <v>45504</v>
      </c>
      <c r="E60" s="196">
        <f>SUMIFS($D$21:$D$53,$F$21:$F$53,"&gt;="&amp;C60,$F$21:$F$53,"&lt;="&amp;D60,$G$21:$G$53,$D$70)</f>
        <v>0</v>
      </c>
      <c r="F60" s="202">
        <f>SUMIFS($E$21:$E$53,$F$21:$F$53,"&gt;="&amp;C60,$F$21:$F$53,"&lt;="&amp;D60,$G$21:$G$53,$D$70)</f>
        <v>0</v>
      </c>
      <c r="J60" s="591"/>
    </row>
    <row r="61" spans="1:16" ht="15.6">
      <c r="C61" s="589" t="s">
        <v>262</v>
      </c>
      <c r="D61" s="589"/>
      <c r="E61" s="186">
        <f>SUM(E56:E60)</f>
        <v>0</v>
      </c>
      <c r="F61" s="200">
        <f>SUM(F56:F60)</f>
        <v>0</v>
      </c>
      <c r="G61" s="94"/>
      <c r="J61" s="153"/>
      <c r="K61" s="153"/>
    </row>
    <row r="64" spans="1:16">
      <c r="C64" s="592" t="s">
        <v>267</v>
      </c>
      <c r="D64" s="592"/>
      <c r="E64" s="204">
        <f>('BAC SAN JOSE COLONES  '!$G$212)+('BAC SAN JOSE USD'!$G$190*$D$6)</f>
        <v>5641542.2168015409</v>
      </c>
      <c r="F64" s="206">
        <f>E64/$D$6</f>
        <v>10807.552139466554</v>
      </c>
    </row>
    <row r="65" spans="3:6">
      <c r="C65" s="592" t="s">
        <v>404</v>
      </c>
      <c r="D65" s="592"/>
      <c r="E65" s="204">
        <f>SUM(E56:E58)</f>
        <v>0</v>
      </c>
      <c r="F65" s="206">
        <f>SUM(F56:F58)</f>
        <v>0</v>
      </c>
    </row>
    <row r="66" spans="3:6">
      <c r="C66" s="588" t="s">
        <v>152</v>
      </c>
      <c r="D66" s="588"/>
      <c r="E66" s="205">
        <f>E64-E65</f>
        <v>5641542.2168015409</v>
      </c>
      <c r="F66" s="199">
        <f>F64-F65</f>
        <v>10807.552139466554</v>
      </c>
    </row>
    <row r="69" spans="3:6">
      <c r="D69" s="90" t="s">
        <v>235</v>
      </c>
      <c r="E69" s="170">
        <f>SUMIFS($D$21:$D$53,$F$21:$F$53,"&gt;="&amp;C56,$F$21:$F$53,"&lt;="&amp;$D$60,$G$21:$G$53,$D$69)</f>
        <v>18038887.82</v>
      </c>
      <c r="F69" s="170">
        <f>SUMIFS($E$21:$E$53,$F$21:$F$53,"&gt;="&amp;C56,$F$21:$F$53,"&lt;="&amp;D60,$G$21:$G$53,$D$69)</f>
        <v>34557.256360153253</v>
      </c>
    </row>
    <row r="70" spans="3:6">
      <c r="D70" s="90" t="s">
        <v>231</v>
      </c>
      <c r="E70" s="170">
        <f>SUMIFS($D$21:$D$53,$F$21:$F$53,"&gt;="&amp;C56,$F$21:$F$53,"&lt;="&amp;$D$60,$G$21:$G$53,$D$70)</f>
        <v>0</v>
      </c>
      <c r="F70" s="170">
        <f>SUMIFS($E$21:$E$53,$F$21:$F$53,"&gt;="&amp;C56,$F$21:$F$53,"&lt;="&amp;D60,$G$21:$G$53,$D$70)</f>
        <v>0</v>
      </c>
    </row>
    <row r="71" spans="3:6">
      <c r="D71" s="185" t="s">
        <v>263</v>
      </c>
      <c r="E71" s="194">
        <f>SUM(E69:E70)</f>
        <v>18038887.82</v>
      </c>
      <c r="F71" s="199">
        <f>SUM(F69:F70)</f>
        <v>34557.256360153253</v>
      </c>
    </row>
    <row r="72" spans="3:6">
      <c r="D72" s="185" t="s">
        <v>264</v>
      </c>
      <c r="E72" s="194">
        <f>D48-E71</f>
        <v>0</v>
      </c>
      <c r="F72" s="199">
        <f>F71-E48</f>
        <v>0</v>
      </c>
    </row>
    <row r="75" spans="3:6">
      <c r="D75" s="88" t="s">
        <v>400</v>
      </c>
      <c r="E75" s="204">
        <f>D50</f>
        <v>12755188.466801543</v>
      </c>
    </row>
    <row r="76" spans="3:6">
      <c r="D76" s="88" t="s">
        <v>401</v>
      </c>
      <c r="E76" s="204">
        <f>('BAC SAN JOSE USD'!G197*$D$6)+'BAC SAN JOSE COLONES  '!G221</f>
        <v>12755155.959866673</v>
      </c>
    </row>
    <row r="77" spans="3:6">
      <c r="D77" s="88" t="s">
        <v>336</v>
      </c>
      <c r="E77" s="88">
        <f>E76-E75</f>
        <v>-32.506934870034456</v>
      </c>
    </row>
  </sheetData>
  <protectedRanges>
    <protectedRange sqref="F17:G17 D52:E52 D10:E11" name="Presupuestos"/>
    <protectedRange sqref="D8:E8 D21:E21" name="Presupuestos_1"/>
    <protectedRange sqref="D28:E28" name="Presupuestos_13_1"/>
    <protectedRange sqref="D30:E30" name="Presupuestos_14"/>
    <protectedRange sqref="E39:E43 D44:E45" name="Presupuestos_2_1_1_1"/>
    <protectedRange sqref="D39 E47 K39 D41 K41" name="Presupuestos_6_1_1_1"/>
    <protectedRange sqref="D40 D42:D43" name="Presupuestos_5_2_1"/>
    <protectedRange sqref="D37:E37" name="Presupuestos_7_1"/>
    <protectedRange sqref="D47" name="Presupuestos_5_3"/>
    <protectedRange sqref="D32:E35" name="Presupuestos_13_1_1"/>
  </protectedRanges>
  <autoFilter ref="A21:S47" xr:uid="{3328D4D2-CA64-4825-894B-109D5FCFFD57}"/>
  <mergeCells count="8">
    <mergeCell ref="C65:D65"/>
    <mergeCell ref="C66:D66"/>
    <mergeCell ref="D7:E7"/>
    <mergeCell ref="B20:C20"/>
    <mergeCell ref="D20:E20"/>
    <mergeCell ref="J58:J60"/>
    <mergeCell ref="C61:D61"/>
    <mergeCell ref="C64:D64"/>
  </mergeCells>
  <conditionalFormatting sqref="D74:E74">
    <cfRule type="cellIs" dxfId="49" priority="9" operator="lessThan">
      <formula>0</formula>
    </cfRule>
    <cfRule type="cellIs" dxfId="48" priority="10" operator="greaterThan">
      <formula>0</formula>
    </cfRule>
  </conditionalFormatting>
  <dataValidations disablePrompts="1" count="2">
    <dataValidation type="list" allowBlank="1" showInputMessage="1" showErrorMessage="1" sqref="G37 G22:G23 D69:D70 G30 G53:G54 G28 G25:G26 G47 G32:G35 G39:G45" xr:uid="{D4105E28-0332-4A93-8C4B-8683D6C4524D}">
      <formula1>"Cancelado,Pagar,Sin Pagar"</formula1>
    </dataValidation>
    <dataValidation type="list" allowBlank="1" showInputMessage="1" showErrorMessage="1" sqref="D20 D7" xr:uid="{4F004F20-D1C3-479C-8EEE-DF7F228ED110}">
      <formula1>"ENERO,FEBRERO,MARZO,ABRIL,MAYO,JUNIO,JULIO,AGOSTO,SEPTIEMBRE,OCTUBRE,NOVIEMBRE,DICIEMBRE"</formula1>
    </dataValidation>
  </dataValidations>
  <pageMargins left="0.7" right="0.7" top="0.75" bottom="0.75" header="0.3" footer="0.3"/>
  <ignoredErrors>
    <ignoredError sqref="J23:J46" unlockedFormula="1"/>
    <ignoredError sqref="E2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E929-0CB9-4539-B79F-DF91F397B42F}">
  <dimension ref="A1:S81"/>
  <sheetViews>
    <sheetView showGridLines="0" topLeftCell="A57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294" customWidth="1"/>
    <col min="2" max="2" width="12" style="295" bestFit="1" customWidth="1"/>
    <col min="3" max="3" width="54.33203125" style="294" bestFit="1" customWidth="1"/>
    <col min="4" max="4" width="24.44140625" style="88" customWidth="1"/>
    <col min="5" max="5" width="19.33203125" style="88" bestFit="1" customWidth="1"/>
    <col min="6" max="6" width="23.5546875" style="294" customWidth="1"/>
    <col min="7" max="7" width="16.88671875" style="294" customWidth="1"/>
    <col min="8" max="8" width="7.6640625" style="294" hidden="1" customWidth="1"/>
    <col min="9" max="9" width="12.109375" style="294" hidden="1" customWidth="1"/>
    <col min="10" max="10" width="16.5546875" style="294" customWidth="1"/>
    <col min="11" max="11" width="2.109375" style="294" customWidth="1"/>
    <col min="12" max="12" width="2.33203125" style="294" customWidth="1"/>
    <col min="13" max="13" width="14.5546875" style="294" bestFit="1" customWidth="1"/>
    <col min="14" max="14" width="13.109375" style="294" bestFit="1" customWidth="1"/>
    <col min="15" max="15" width="6.33203125" style="294" bestFit="1" customWidth="1"/>
    <col min="16" max="16" width="19.33203125" style="294" bestFit="1" customWidth="1"/>
    <col min="17" max="17" width="15.33203125" style="294" bestFit="1" customWidth="1"/>
    <col min="18" max="18" width="14" style="294" bestFit="1" customWidth="1"/>
    <col min="19" max="19" width="13" style="294" bestFit="1" customWidth="1"/>
    <col min="20" max="16384" width="9.109375" style="294"/>
  </cols>
  <sheetData>
    <row r="1" spans="1:9" hidden="1">
      <c r="D1" s="88">
        <v>42400</v>
      </c>
    </row>
    <row r="2" spans="1:9">
      <c r="D2" s="89"/>
      <c r="E2" s="89"/>
      <c r="I2" s="90"/>
    </row>
    <row r="3" spans="1:9">
      <c r="E3" s="220"/>
      <c r="I3" s="90"/>
    </row>
    <row r="4" spans="1:9" ht="15.6">
      <c r="B4" s="92"/>
      <c r="C4" s="92"/>
      <c r="D4" s="160" t="s">
        <v>216</v>
      </c>
      <c r="E4" s="161">
        <v>45505</v>
      </c>
      <c r="I4" s="90"/>
    </row>
    <row r="5" spans="1:9">
      <c r="D5" s="89"/>
      <c r="E5" s="89"/>
      <c r="I5" s="90"/>
    </row>
    <row r="6" spans="1:9">
      <c r="C6" s="93" t="s">
        <v>217</v>
      </c>
      <c r="D6" s="26">
        <v>518</v>
      </c>
      <c r="E6" s="89"/>
      <c r="I6" s="90"/>
    </row>
    <row r="7" spans="1:9" ht="15.6">
      <c r="C7" s="94"/>
      <c r="D7" s="590" t="s">
        <v>450</v>
      </c>
      <c r="E7" s="590"/>
      <c r="I7" s="90"/>
    </row>
    <row r="8" spans="1:9">
      <c r="D8" s="95" t="s">
        <v>242</v>
      </c>
      <c r="E8" s="95" t="s">
        <v>219</v>
      </c>
    </row>
    <row r="9" spans="1:9" s="96" customFormat="1" ht="15.6">
      <c r="C9" s="97" t="s">
        <v>220</v>
      </c>
      <c r="D9" s="167">
        <f>SUBTOTAL(9,D10:D11)</f>
        <v>12715369.763198458</v>
      </c>
      <c r="E9" s="98">
        <f>SUBTOTAL(9,E10:E11)</f>
        <v>24547.045874900497</v>
      </c>
      <c r="F9" s="99"/>
      <c r="I9" s="90"/>
    </row>
    <row r="10" spans="1:9" s="90" customFormat="1" outlineLevel="1">
      <c r="B10" s="100"/>
      <c r="C10" s="101" t="s">
        <v>243</v>
      </c>
      <c r="D10" s="169">
        <f>'BAC SAN JOSE COLONES  '!$G$221</f>
        <v>7563057.2946643587</v>
      </c>
      <c r="E10" s="218">
        <f>D10/$D$6</f>
        <v>14600.496707846252</v>
      </c>
      <c r="F10" s="103"/>
    </row>
    <row r="11" spans="1:9" s="90" customFormat="1" outlineLevel="1">
      <c r="B11" s="100"/>
      <c r="C11" s="101" t="s">
        <v>221</v>
      </c>
      <c r="D11" s="169">
        <f>E11*$D$6</f>
        <v>5152312.468534098</v>
      </c>
      <c r="E11" s="218">
        <f>'BAC SAN JOSE USD'!$G$196</f>
        <v>9946.5491670542433</v>
      </c>
      <c r="F11" s="103"/>
    </row>
    <row r="12" spans="1:9" s="90" customFormat="1" ht="15.6">
      <c r="B12" s="100"/>
      <c r="C12" s="104" t="s">
        <v>222</v>
      </c>
      <c r="D12" s="167">
        <f>SUBTOTAL(9,D13:D17)</f>
        <v>19822835.793050192</v>
      </c>
      <c r="E12" s="98">
        <f>SUBTOTAL(9,E13:E17)</f>
        <v>38716.476158301157</v>
      </c>
      <c r="F12" s="105"/>
    </row>
    <row r="13" spans="1:9" s="90" customFormat="1" outlineLevel="1">
      <c r="A13" s="106"/>
      <c r="B13" s="107"/>
      <c r="C13" s="101" t="s">
        <v>457</v>
      </c>
      <c r="D13" s="271">
        <f>E13*CONVERSIONES!$C$146</f>
        <v>7402756.872895753</v>
      </c>
      <c r="E13" s="272">
        <f>CONVERSIONES!$C$142+CONVERSIONES!$D$142+CONVERSIONES!$E$142</f>
        <v>14458.509517374518</v>
      </c>
      <c r="F13" s="105"/>
      <c r="G13" s="108"/>
    </row>
    <row r="14" spans="1:9" s="90" customFormat="1" outlineLevel="1">
      <c r="A14" s="106"/>
      <c r="B14" s="107"/>
      <c r="C14" s="101" t="s">
        <v>458</v>
      </c>
      <c r="D14" s="271">
        <f>E14*CONVERSIONES!$C$146</f>
        <v>4401268.0401544403</v>
      </c>
      <c r="E14" s="272">
        <f>CONVERSIONES!$F$142+CONVERSIONES!$G$142</f>
        <v>8596.2266409266413</v>
      </c>
      <c r="F14" s="105"/>
      <c r="G14" s="108"/>
    </row>
    <row r="15" spans="1:9" s="90" customFormat="1" outlineLevel="1">
      <c r="B15" s="100"/>
      <c r="C15" s="101" t="s">
        <v>459</v>
      </c>
      <c r="D15" s="271">
        <f>E15*CONVERSIONES!$C$146</f>
        <v>5733611.5199999996</v>
      </c>
      <c r="E15" s="272">
        <f>CONVERSIONES!$H$142</f>
        <v>11198.46</v>
      </c>
      <c r="F15" s="105"/>
      <c r="G15" s="108"/>
    </row>
    <row r="16" spans="1:9" s="90" customFormat="1" outlineLevel="1">
      <c r="B16" s="100"/>
      <c r="C16" s="101" t="s">
        <v>460</v>
      </c>
      <c r="D16" s="271">
        <f>E16*CONVERSIONES!$C$146</f>
        <v>1190476.8</v>
      </c>
      <c r="E16" s="272">
        <f>CONVERSIONES!$I$142</f>
        <v>2325.15</v>
      </c>
      <c r="F16" s="105"/>
      <c r="G16" s="108"/>
    </row>
    <row r="17" spans="1:19" s="90" customFormat="1" outlineLevel="1">
      <c r="A17" s="106"/>
      <c r="B17" s="107"/>
      <c r="C17" s="101" t="s">
        <v>472</v>
      </c>
      <c r="D17" s="271">
        <f>E17*CONVERSIONES!$C$146</f>
        <v>1094722.5600000001</v>
      </c>
      <c r="E17" s="272">
        <f>CONVERSIONES!$J$142</f>
        <v>2138.13</v>
      </c>
      <c r="F17" s="105"/>
      <c r="G17" s="108"/>
    </row>
    <row r="18" spans="1:19" s="90" customFormat="1" ht="15.6">
      <c r="B18" s="100"/>
      <c r="C18" s="109" t="s">
        <v>223</v>
      </c>
      <c r="D18" s="168">
        <f>SUBTOTAL(9,D9:D17)</f>
        <v>32538205.556248654</v>
      </c>
      <c r="E18" s="207">
        <f>SUBTOTAL(9,E9:E17)</f>
        <v>63263.522033201654</v>
      </c>
      <c r="F18" s="110"/>
      <c r="G18" s="110"/>
      <c r="J18" s="108"/>
      <c r="K18" s="111"/>
      <c r="O18" s="112"/>
      <c r="P18" s="113"/>
      <c r="Q18" s="114"/>
    </row>
    <row r="19" spans="1:19" s="90" customFormat="1" ht="15.6">
      <c r="B19" s="100"/>
      <c r="C19" s="115"/>
      <c r="D19" s="116"/>
      <c r="E19" s="116"/>
      <c r="G19" s="117"/>
      <c r="O19" s="113"/>
      <c r="P19" s="113"/>
    </row>
    <row r="20" spans="1:19" s="90" customFormat="1" ht="15.6">
      <c r="B20" s="100"/>
      <c r="N20" s="118"/>
      <c r="O20" s="119"/>
      <c r="P20" s="120"/>
    </row>
    <row r="21" spans="1:19" s="90" customFormat="1" ht="15.6">
      <c r="B21" s="590" t="s">
        <v>224</v>
      </c>
      <c r="C21" s="590"/>
      <c r="D21" s="590" t="s">
        <v>450</v>
      </c>
      <c r="E21" s="590"/>
      <c r="K21" s="120"/>
      <c r="L21" s="120"/>
      <c r="N21" s="118"/>
      <c r="R21" s="108"/>
      <c r="S21" s="108"/>
    </row>
    <row r="22" spans="1:19" s="90" customFormat="1" ht="16.2" thickBot="1">
      <c r="B22" s="121" t="s">
        <v>225</v>
      </c>
      <c r="C22" s="122" t="s">
        <v>226</v>
      </c>
      <c r="D22" s="95" t="s">
        <v>242</v>
      </c>
      <c r="E22" s="95" t="s">
        <v>219</v>
      </c>
      <c r="F22" s="123" t="s">
        <v>227</v>
      </c>
      <c r="G22" s="118" t="s">
        <v>228</v>
      </c>
      <c r="H22" s="118"/>
      <c r="I22" s="118"/>
      <c r="J22" s="124" t="s">
        <v>229</v>
      </c>
      <c r="N22" s="125"/>
      <c r="R22" s="108"/>
      <c r="S22" s="126"/>
    </row>
    <row r="23" spans="1:19" s="90" customFormat="1" ht="16.2" thickBot="1">
      <c r="B23" s="100"/>
      <c r="C23" s="127" t="s">
        <v>230</v>
      </c>
      <c r="D23" s="172">
        <f>SUBTOTAL(9,D24:D24)</f>
        <v>5377274</v>
      </c>
      <c r="E23" s="128">
        <f>SUBTOTAL(9,E24:E24)</f>
        <v>10380.837837837838</v>
      </c>
      <c r="F23" s="129"/>
      <c r="J23" s="130"/>
    </row>
    <row r="24" spans="1:19" s="90" customFormat="1" ht="15" outlineLevel="1" thickBot="1">
      <c r="B24" s="100" t="s">
        <v>456</v>
      </c>
      <c r="C24" s="234" t="s">
        <v>449</v>
      </c>
      <c r="D24" s="271">
        <v>5377274</v>
      </c>
      <c r="E24" s="142">
        <f>D24/$D$6</f>
        <v>10380.837837837838</v>
      </c>
      <c r="F24" s="134">
        <v>45513</v>
      </c>
      <c r="G24" s="90" t="s">
        <v>235</v>
      </c>
      <c r="H24" s="90">
        <f>IF(OR(G24="Sin pagar",G24="Pagar"),_xlfn.SINGLE(NETWORKDAYS($E$4,F24,'Festivos CR'!$A$3:$A$15)),0)</f>
        <v>0</v>
      </c>
      <c r="I24" s="90">
        <f>NETWORKDAYS($E$4,F24,'Festivos CR'!$A$3:$A$15)</f>
        <v>6</v>
      </c>
      <c r="J24" s="132">
        <f t="shared" ref="J24:J29" si="0">H24</f>
        <v>0</v>
      </c>
      <c r="K24" s="108"/>
      <c r="L24" s="108"/>
    </row>
    <row r="25" spans="1:19" s="90" customFormat="1" ht="16.2" thickBot="1">
      <c r="B25" s="100"/>
      <c r="C25" s="127" t="s">
        <v>232</v>
      </c>
      <c r="D25" s="172">
        <f>SUBTOTAL(9,D26:D27)</f>
        <v>1235035</v>
      </c>
      <c r="E25" s="128">
        <f>SUBTOTAL(9,E26:E27)</f>
        <v>2384.2374517374519</v>
      </c>
      <c r="J25" s="130">
        <f t="shared" si="0"/>
        <v>0</v>
      </c>
    </row>
    <row r="26" spans="1:19" s="90" customFormat="1" outlineLevel="1">
      <c r="B26" s="133"/>
      <c r="C26" s="101" t="s">
        <v>292</v>
      </c>
      <c r="D26" s="271">
        <v>1166839</v>
      </c>
      <c r="E26" s="142">
        <f>D26/$D$6</f>
        <v>2252.5849420849422</v>
      </c>
      <c r="F26" s="134">
        <v>45516</v>
      </c>
      <c r="G26" s="90" t="s">
        <v>235</v>
      </c>
      <c r="H26" s="90">
        <f>IF(OR(G26="Sin pagar",G26="Pagar"),_xlfn.SINGLE(NETWORKDAYS($E$4,F26,'Festivos CR'!$A$3:$A$15)),0)</f>
        <v>0</v>
      </c>
      <c r="I26" s="90">
        <f>NETWORKDAYS($E$4,F26,'Festivos CR'!$A$3:$A$15)</f>
        <v>7</v>
      </c>
      <c r="J26" s="132">
        <f t="shared" si="0"/>
        <v>0</v>
      </c>
      <c r="K26" s="135"/>
      <c r="L26" s="111"/>
    </row>
    <row r="27" spans="1:19" s="90" customFormat="1" ht="29.4" outlineLevel="1" thickBot="1">
      <c r="B27" s="133"/>
      <c r="C27" s="101" t="s">
        <v>296</v>
      </c>
      <c r="D27" s="271">
        <v>68196</v>
      </c>
      <c r="E27" s="142">
        <f>D27/$D$6</f>
        <v>131.65250965250965</v>
      </c>
      <c r="F27" s="134">
        <v>45516</v>
      </c>
      <c r="G27" s="90" t="s">
        <v>235</v>
      </c>
      <c r="H27" s="90">
        <f>IF(OR(G27="Sin pagar",G27="Pagar"),_xlfn.SINGLE(NETWORKDAYS($E$4,F27,'Festivos CR'!$A$3:$A$15)),0)</f>
        <v>0</v>
      </c>
      <c r="I27" s="90">
        <f>NETWORKDAYS($E$4,F27,'Festivos CR'!$A$3:$A$15)</f>
        <v>7</v>
      </c>
      <c r="J27" s="132">
        <f>H27</f>
        <v>0</v>
      </c>
      <c r="K27" s="135"/>
      <c r="L27" s="111"/>
    </row>
    <row r="28" spans="1:19" s="90" customFormat="1" ht="16.2" thickBot="1">
      <c r="B28" s="100"/>
      <c r="C28" s="127" t="s">
        <v>233</v>
      </c>
      <c r="D28" s="172">
        <f>SUBTOTAL(9,D29:D29)</f>
        <v>62400</v>
      </c>
      <c r="E28" s="128">
        <f>SUBTOTAL(9,E29:E29)</f>
        <v>120.46332046332046</v>
      </c>
      <c r="J28" s="130">
        <f t="shared" si="0"/>
        <v>0</v>
      </c>
      <c r="K28" s="108"/>
      <c r="L28" s="108"/>
    </row>
    <row r="29" spans="1:19" s="90" customFormat="1" ht="15" outlineLevel="1" thickBot="1">
      <c r="B29" s="100">
        <v>18</v>
      </c>
      <c r="C29" s="101" t="s">
        <v>476</v>
      </c>
      <c r="D29" s="169">
        <v>62400</v>
      </c>
      <c r="E29" s="137">
        <f>D29/$D$6</f>
        <v>120.46332046332046</v>
      </c>
      <c r="F29" s="129">
        <v>45531</v>
      </c>
      <c r="G29" s="90" t="s">
        <v>235</v>
      </c>
      <c r="H29" s="90">
        <f>IF(OR(G29="Sin pagar",G29="Pagar"),_xlfn.SINGLE(NETWORKDAYS($E$4,F29,'Festivos CR'!$A$3:$A$15)),0)</f>
        <v>0</v>
      </c>
      <c r="I29" s="90">
        <f>NETWORKDAYS($E$4,F29,'Festivos CR'!$A$3:$A$15)</f>
        <v>17</v>
      </c>
      <c r="J29" s="132">
        <f t="shared" si="0"/>
        <v>0</v>
      </c>
      <c r="N29" s="103"/>
    </row>
    <row r="30" spans="1:19" s="90" customFormat="1" ht="16.2" thickBot="1">
      <c r="C30" s="127" t="s">
        <v>250</v>
      </c>
      <c r="D30" s="172">
        <f>SUBTOTAL(9,D31:D31)</f>
        <v>77000</v>
      </c>
      <c r="E30" s="128">
        <f>SUBTOTAL(9,E31:E31)</f>
        <v>148.64864864864865</v>
      </c>
      <c r="K30" s="103"/>
      <c r="L30" s="103"/>
      <c r="O30" s="103"/>
      <c r="P30" s="103"/>
    </row>
    <row r="31" spans="1:19" s="90" customFormat="1" ht="14.25" customHeight="1" outlineLevel="1" thickBot="1">
      <c r="B31" s="138" t="s">
        <v>455</v>
      </c>
      <c r="C31" s="101" t="s">
        <v>251</v>
      </c>
      <c r="D31" s="169">
        <v>77000</v>
      </c>
      <c r="E31" s="137">
        <f>D31/$D$6</f>
        <v>148.64864864864865</v>
      </c>
      <c r="F31" s="129">
        <v>45512</v>
      </c>
      <c r="G31" s="90" t="s">
        <v>235</v>
      </c>
      <c r="H31" s="90">
        <f>IF(OR(G31="Sin pagar",G31="Pagar"),_xlfn.SINGLE(NETWORKDAYS($E$4,F31,'Festivos CR'!$A$3:$A$15)),0)</f>
        <v>0</v>
      </c>
      <c r="I31" s="90">
        <f>NETWORKDAYS($E$4,F31,'Festivos CR'!$A$3:$A$15)</f>
        <v>5</v>
      </c>
      <c r="J31" s="132">
        <f>H31</f>
        <v>0</v>
      </c>
      <c r="K31" s="103"/>
      <c r="L31" s="103"/>
      <c r="O31" s="103"/>
      <c r="P31" s="103"/>
    </row>
    <row r="32" spans="1:19" s="90" customFormat="1" ht="16.2" thickBot="1">
      <c r="B32" s="136"/>
      <c r="C32" s="139" t="s">
        <v>234</v>
      </c>
      <c r="D32" s="173">
        <f>SUBTOTAL(9,D33:D38)</f>
        <v>0</v>
      </c>
      <c r="E32" s="140">
        <f>SUBTOTAL(9,E33:E38)</f>
        <v>0</v>
      </c>
      <c r="K32" s="108"/>
      <c r="M32" s="90" t="s">
        <v>359</v>
      </c>
      <c r="N32" s="90" t="s">
        <v>453</v>
      </c>
      <c r="O32" s="90">
        <v>0</v>
      </c>
    </row>
    <row r="33" spans="2:16" s="90" customFormat="1" outlineLevel="1">
      <c r="B33" s="141">
        <v>4699</v>
      </c>
      <c r="C33" s="174" t="s">
        <v>259</v>
      </c>
      <c r="D33" s="169">
        <f t="shared" ref="D33:D38" si="1">E33*$D$6</f>
        <v>0</v>
      </c>
      <c r="E33" s="137">
        <f>(228818/3888.02)*$O$32</f>
        <v>0</v>
      </c>
      <c r="F33" s="129">
        <v>45535</v>
      </c>
      <c r="G33" s="90" t="s">
        <v>235</v>
      </c>
      <c r="H33" s="90">
        <f>IF(OR(G33="Sin pagar",G33="Pagar"),_xlfn.SINGLE(NETWORKDAYS($E$4,F33,'Festivos CR'!$A$3:$A$15)),0)</f>
        <v>0</v>
      </c>
      <c r="I33" s="90">
        <f>NETWORKDAYS($E$4,F33,'Festivos CR'!$A$3:$A$15)</f>
        <v>20</v>
      </c>
      <c r="J33" s="132">
        <f t="shared" ref="J33:J38" si="2">H33</f>
        <v>0</v>
      </c>
      <c r="M33" s="297">
        <v>880</v>
      </c>
      <c r="N33" s="298">
        <f>M33-E33</f>
        <v>880</v>
      </c>
    </row>
    <row r="34" spans="2:16" s="90" customFormat="1" outlineLevel="1">
      <c r="B34" s="141">
        <v>4777</v>
      </c>
      <c r="C34" s="174" t="s">
        <v>297</v>
      </c>
      <c r="D34" s="169">
        <f t="shared" si="1"/>
        <v>0</v>
      </c>
      <c r="E34" s="137">
        <f>(160718/3924.82)*$O$32</f>
        <v>0</v>
      </c>
      <c r="F34" s="129">
        <v>45535</v>
      </c>
      <c r="G34" s="90" t="s">
        <v>235</v>
      </c>
      <c r="H34" s="90">
        <f>IF(OR(G34="Sin pagar",G34="Pagar"),_xlfn.SINGLE(NETWORKDAYS($E$4,F34,'Festivos CR'!$A$3:$A$15)),0)</f>
        <v>0</v>
      </c>
      <c r="I34" s="90">
        <f>NETWORKDAYS($E$4,F34,'Festivos CR'!$A$3:$A$15)</f>
        <v>20</v>
      </c>
      <c r="J34" s="132">
        <f t="shared" si="2"/>
        <v>0</v>
      </c>
      <c r="M34" s="297">
        <v>720</v>
      </c>
      <c r="N34" s="298">
        <f>M34-E34</f>
        <v>720</v>
      </c>
    </row>
    <row r="35" spans="2:16" s="90" customFormat="1" outlineLevel="1">
      <c r="B35" s="100">
        <v>4878</v>
      </c>
      <c r="C35" s="174" t="s">
        <v>318</v>
      </c>
      <c r="D35" s="169">
        <f t="shared" si="1"/>
        <v>0</v>
      </c>
      <c r="E35" s="137">
        <f>(205400/3829.59)*$O$32</f>
        <v>0</v>
      </c>
      <c r="F35" s="129">
        <v>45535</v>
      </c>
      <c r="G35" s="90" t="s">
        <v>235</v>
      </c>
      <c r="H35" s="90">
        <f>IF(OR(G50="Sin pagar",G50="Pagar"),_xlfn.SINGLE(NETWORKDAYS($E$4,F50,'Festivos CR'!$A$3:$A$15)),0)</f>
        <v>0</v>
      </c>
      <c r="I35" s="90">
        <f>NETWORKDAYS($E$4,F50,'Festivos CR'!$A$3:$A$15)</f>
        <v>-3</v>
      </c>
      <c r="J35" s="132">
        <f t="shared" si="2"/>
        <v>0</v>
      </c>
      <c r="M35" s="297">
        <v>645</v>
      </c>
      <c r="N35" s="298">
        <f>M35-E35</f>
        <v>645</v>
      </c>
    </row>
    <row r="36" spans="2:16" s="90" customFormat="1" outlineLevel="1">
      <c r="B36" s="100">
        <v>4957</v>
      </c>
      <c r="C36" s="174" t="s">
        <v>372</v>
      </c>
      <c r="D36" s="169">
        <f t="shared" si="1"/>
        <v>0</v>
      </c>
      <c r="E36" s="137">
        <v>0</v>
      </c>
      <c r="F36" s="129">
        <v>45535</v>
      </c>
      <c r="G36" s="90" t="s">
        <v>235</v>
      </c>
      <c r="H36" s="90">
        <f>IF(OR(G51="Sin pagar",G51="Pagar"),_xlfn.SINGLE(NETWORKDAYS($E$4,F51,'Festivos CR'!$A$3:$A$15)),0)</f>
        <v>0</v>
      </c>
      <c r="I36" s="90">
        <f>NETWORKDAYS($E$4,F51,'Festivos CR'!$A$3:$A$15)</f>
        <v>-32498</v>
      </c>
      <c r="J36" s="132">
        <f t="shared" si="2"/>
        <v>0</v>
      </c>
      <c r="M36" s="297">
        <v>330</v>
      </c>
      <c r="N36" s="298">
        <v>330</v>
      </c>
    </row>
    <row r="37" spans="2:16" s="90" customFormat="1" outlineLevel="1">
      <c r="B37" s="100">
        <v>4957</v>
      </c>
      <c r="C37" s="174" t="s">
        <v>452</v>
      </c>
      <c r="D37" s="169">
        <f t="shared" si="1"/>
        <v>0</v>
      </c>
      <c r="E37" s="137">
        <f>515*$O$32</f>
        <v>0</v>
      </c>
      <c r="F37" s="129">
        <v>45535</v>
      </c>
      <c r="G37" s="90" t="s">
        <v>235</v>
      </c>
      <c r="H37" s="90">
        <f>IF(OR(G52="Sin pagar",G52="Pagar"),_xlfn.SINGLE(NETWORKDAYS($E$4,F52,'Festivos CR'!$A$3:$A$15)),0)</f>
        <v>0</v>
      </c>
      <c r="I37" s="90">
        <f>NETWORKDAYS($E$4,F52,'Festivos CR'!$A$3:$A$15)</f>
        <v>-32498</v>
      </c>
      <c r="J37" s="132">
        <f t="shared" si="2"/>
        <v>0</v>
      </c>
      <c r="M37" s="297">
        <v>550</v>
      </c>
      <c r="N37" s="298">
        <v>0</v>
      </c>
    </row>
    <row r="38" spans="2:16" s="90" customFormat="1" ht="15" outlineLevel="1" thickBot="1">
      <c r="B38" s="100">
        <v>5160</v>
      </c>
      <c r="C38" s="174" t="s">
        <v>475</v>
      </c>
      <c r="D38" s="169">
        <f t="shared" si="1"/>
        <v>0</v>
      </c>
      <c r="E38" s="137">
        <f>755*0</f>
        <v>0</v>
      </c>
      <c r="F38" s="129">
        <v>45535</v>
      </c>
      <c r="G38" s="90" t="s">
        <v>235</v>
      </c>
      <c r="H38" s="90">
        <f>IF(OR(G53="Sin pagar",G53="Pagar"),_xlfn.SINGLE(NETWORKDAYS($E$4,F53,'Festivos CR'!$A$3:$A$15)),0)</f>
        <v>0</v>
      </c>
      <c r="I38" s="90">
        <f>NETWORKDAYS($E$4,F53,'Festivos CR'!$A$3:$A$15)</f>
        <v>-32498</v>
      </c>
      <c r="J38" s="132">
        <f t="shared" si="2"/>
        <v>0</v>
      </c>
      <c r="M38" s="297">
        <v>550</v>
      </c>
      <c r="N38" s="298">
        <v>0</v>
      </c>
    </row>
    <row r="39" spans="2:16" s="90" customFormat="1" ht="15.75" customHeight="1" thickBot="1">
      <c r="C39" s="127" t="s">
        <v>236</v>
      </c>
      <c r="D39" s="172">
        <f>SUBTOTAL(9,D40:D40)</f>
        <v>59521.679999999993</v>
      </c>
      <c r="E39" s="128">
        <f>SUBTOTAL(9,E40:E40)</f>
        <v>114.90671814671813</v>
      </c>
      <c r="M39" s="299">
        <f>SUM(M33:M37)</f>
        <v>3125</v>
      </c>
      <c r="N39" s="299">
        <f>SUM(N33:N37)</f>
        <v>2575</v>
      </c>
      <c r="O39" s="118" t="s">
        <v>454</v>
      </c>
      <c r="P39" s="300">
        <f>M39-N39</f>
        <v>550</v>
      </c>
    </row>
    <row r="40" spans="2:16" s="90" customFormat="1" ht="15" outlineLevel="1" thickBot="1">
      <c r="B40" s="100"/>
      <c r="C40" s="174" t="s">
        <v>236</v>
      </c>
      <c r="D40" s="271">
        <v>59521.679999999993</v>
      </c>
      <c r="E40" s="142">
        <f>D40/D6</f>
        <v>114.90671814671813</v>
      </c>
      <c r="F40" s="129">
        <v>45534</v>
      </c>
      <c r="G40" s="90" t="s">
        <v>235</v>
      </c>
      <c r="H40" s="90">
        <f>IF(OR(G40="Sin pagar",G40="Pagar"),_xlfn.SINGLE(NETWORKDAYS($E$4,F40,'Festivos CR'!$A$3:$A$15)),0)</f>
        <v>0</v>
      </c>
      <c r="I40" s="90">
        <f>NETWORKDAYS($E$4,F40,'Festivos CR'!$A$3:$A$15)</f>
        <v>20</v>
      </c>
      <c r="J40" s="132">
        <f>H40</f>
        <v>0</v>
      </c>
    </row>
    <row r="41" spans="2:16" s="90" customFormat="1" ht="16.2" thickBot="1">
      <c r="C41" s="127" t="s">
        <v>237</v>
      </c>
      <c r="D41" s="172">
        <f>SUBTOTAL(9,D42:D48)</f>
        <v>12225662.790000001</v>
      </c>
      <c r="E41" s="128">
        <f>SUBTOTAL(9,E42:E48)</f>
        <v>23878.247636718752</v>
      </c>
      <c r="K41" s="108"/>
      <c r="L41" s="143"/>
    </row>
    <row r="42" spans="2:16" s="90" customFormat="1" outlineLevel="1">
      <c r="B42" s="145" t="s">
        <v>391</v>
      </c>
      <c r="C42" s="174" t="s">
        <v>254</v>
      </c>
      <c r="D42" s="170">
        <v>1612916.33</v>
      </c>
      <c r="E42" s="142">
        <f>D42/CONVERSIONES!$C$146</f>
        <v>3150.2272070312501</v>
      </c>
      <c r="F42" s="129">
        <v>45532</v>
      </c>
      <c r="G42" s="90" t="s">
        <v>235</v>
      </c>
      <c r="H42" s="90">
        <f>IF(OR(G42="Sin pagar",G42="Pagar"),_xlfn.SINGLE(NETWORKDAYS($E$4,F42,'Festivos CR'!$A$3:$A$15)),0)</f>
        <v>0</v>
      </c>
      <c r="I42" s="90">
        <f>NETWORKDAYS($E$4,F42,'Festivos CR'!$A$3:$A$15)</f>
        <v>18</v>
      </c>
      <c r="J42" s="132">
        <f t="shared" ref="J42:J48" si="3">H42</f>
        <v>0</v>
      </c>
      <c r="K42" s="135"/>
      <c r="L42" s="135"/>
    </row>
    <row r="43" spans="2:16" s="180" customFormat="1" outlineLevel="1">
      <c r="B43" s="265" t="s">
        <v>270</v>
      </c>
      <c r="C43" s="174" t="s">
        <v>258</v>
      </c>
      <c r="D43" s="170">
        <f>E43*CONVERSIONES!$C$146</f>
        <v>2333562.8799999999</v>
      </c>
      <c r="E43" s="142">
        <v>4557.74</v>
      </c>
      <c r="F43" s="129">
        <v>45532</v>
      </c>
      <c r="G43" s="90" t="s">
        <v>235</v>
      </c>
      <c r="H43" s="90">
        <f>IF(OR(G43="Sin pagar",G43="Pagar"),_xlfn.SINGLE(NETWORKDAYS($E$4,F43,'Festivos CR'!$A$3:$A$15)),0)</f>
        <v>0</v>
      </c>
      <c r="I43" s="90">
        <f>NETWORKDAYS($E$4,F43,'Festivos CR'!$A$3:$A$15)</f>
        <v>18</v>
      </c>
      <c r="J43" s="132">
        <f t="shared" si="3"/>
        <v>0</v>
      </c>
      <c r="L43" s="179"/>
    </row>
    <row r="44" spans="2:16" s="90" customFormat="1" outlineLevel="1">
      <c r="B44" s="145" t="s">
        <v>391</v>
      </c>
      <c r="C44" s="174" t="s">
        <v>390</v>
      </c>
      <c r="D44" s="170">
        <v>1325079.3600000001</v>
      </c>
      <c r="E44" s="142">
        <f>D44/CONVERSIONES!$C$146</f>
        <v>2588.0456250000002</v>
      </c>
      <c r="F44" s="129">
        <v>45532</v>
      </c>
      <c r="G44" s="90" t="s">
        <v>235</v>
      </c>
      <c r="H44" s="90">
        <f>IF(OR(G44="Sin pagar",G44="Pagar"),_xlfn.SINGLE(NETWORKDAYS($E$4,F44,'Festivos CR'!$A$3:$A$15)),0)</f>
        <v>0</v>
      </c>
      <c r="I44" s="90">
        <f>NETWORKDAYS($E$4,F44,'Festivos CR'!$A$3:$A$15)</f>
        <v>18</v>
      </c>
      <c r="J44" s="132">
        <f>H44</f>
        <v>0</v>
      </c>
      <c r="K44" s="135"/>
      <c r="L44" s="135"/>
    </row>
    <row r="45" spans="2:16" s="180" customFormat="1" outlineLevel="1">
      <c r="B45" s="145" t="s">
        <v>391</v>
      </c>
      <c r="C45" s="174" t="s">
        <v>253</v>
      </c>
      <c r="D45" s="170">
        <v>1410537.3</v>
      </c>
      <c r="E45" s="142">
        <f>D45/CONVERSIONES!$C$146</f>
        <v>2754.9556640625001</v>
      </c>
      <c r="F45" s="129">
        <v>45532</v>
      </c>
      <c r="G45" s="90" t="s">
        <v>235</v>
      </c>
      <c r="H45" s="90">
        <f>IF(OR(G45="Sin pagar",G45="Pagar"),_xlfn.SINGLE(NETWORKDAYS($E$4,F45,'Festivos CR'!$A$3:$A$15)),0)</f>
        <v>0</v>
      </c>
      <c r="I45" s="90">
        <f>NETWORKDAYS($E$4,F45,'Festivos CR'!$A$3:$A$15)</f>
        <v>18</v>
      </c>
      <c r="J45" s="132">
        <f t="shared" si="3"/>
        <v>0</v>
      </c>
      <c r="L45" s="179"/>
    </row>
    <row r="46" spans="2:16" s="180" customFormat="1" outlineLevel="1">
      <c r="B46" s="145" t="s">
        <v>391</v>
      </c>
      <c r="C46" s="174" t="s">
        <v>255</v>
      </c>
      <c r="D46" s="170">
        <v>1410537.3</v>
      </c>
      <c r="E46" s="142">
        <f>D46/CONVERSIONES!$C$146</f>
        <v>2754.9556640625001</v>
      </c>
      <c r="F46" s="129">
        <v>45532</v>
      </c>
      <c r="G46" s="90" t="s">
        <v>235</v>
      </c>
      <c r="H46" s="90">
        <f>IF(OR(G46="Sin pagar",G46="Pagar"),_xlfn.SINGLE(NETWORKDAYS($E$4,F46,'Festivos CR'!$A$3:$A$15)),0)</f>
        <v>0</v>
      </c>
      <c r="I46" s="90">
        <f>NETWORKDAYS($E$4,F46,'Festivos CR'!$A$3:$A$15)</f>
        <v>18</v>
      </c>
      <c r="J46" s="132">
        <f t="shared" si="3"/>
        <v>0</v>
      </c>
      <c r="L46" s="179"/>
    </row>
    <row r="47" spans="2:16" s="180" customFormat="1" outlineLevel="1">
      <c r="B47" s="145" t="s">
        <v>391</v>
      </c>
      <c r="C47" s="174" t="s">
        <v>330</v>
      </c>
      <c r="D47" s="170">
        <v>786551.54</v>
      </c>
      <c r="E47" s="142">
        <f>D47/CONVERSIONES!$C$146</f>
        <v>1536.2334765625001</v>
      </c>
      <c r="F47" s="129">
        <v>45532</v>
      </c>
      <c r="G47" s="90" t="s">
        <v>235</v>
      </c>
      <c r="H47" s="90">
        <f>IF(OR(G47="Sin pagar",G47="Pagar"),_xlfn.SINGLE(NETWORKDAYS($E$4,F47,'Festivos CR'!$A$3:$A$15)),0)</f>
        <v>0</v>
      </c>
      <c r="I47" s="90">
        <f>NETWORKDAYS($E$4,F47,'Festivos CR'!$A$3:$A$15)</f>
        <v>18</v>
      </c>
      <c r="J47" s="132">
        <f>H47</f>
        <v>0</v>
      </c>
      <c r="L47" s="179"/>
    </row>
    <row r="48" spans="2:16" s="180" customFormat="1" ht="15" outlineLevel="1" thickBot="1">
      <c r="B48" s="265" t="s">
        <v>270</v>
      </c>
      <c r="C48" s="174" t="s">
        <v>257</v>
      </c>
      <c r="D48" s="170">
        <f>E48*CONVERSIONES!$C$146</f>
        <v>3346478.08</v>
      </c>
      <c r="E48" s="142">
        <v>6536.09</v>
      </c>
      <c r="F48" s="129">
        <v>45532</v>
      </c>
      <c r="G48" s="90" t="s">
        <v>235</v>
      </c>
      <c r="H48" s="90">
        <f>IF(OR(G48="Sin pagar",G48="Pagar"),_xlfn.SINGLE(NETWORKDAYS($E$4,F48,'Festivos CR'!$A$3:$A$15)),0)</f>
        <v>0</v>
      </c>
      <c r="I48" s="90">
        <f>NETWORKDAYS($E$4,F48,'Festivos CR'!$A$3:$A$15)</f>
        <v>18</v>
      </c>
      <c r="J48" s="132">
        <f t="shared" si="3"/>
        <v>0</v>
      </c>
      <c r="L48" s="179"/>
    </row>
    <row r="49" spans="1:16" s="90" customFormat="1" ht="16.2" thickBot="1">
      <c r="A49" s="180"/>
      <c r="B49" s="145"/>
      <c r="C49" s="127" t="s">
        <v>238</v>
      </c>
      <c r="D49" s="172">
        <f>SUBTOTAL(9,D50:D50)</f>
        <v>0</v>
      </c>
      <c r="E49" s="128">
        <f>SUBTOTAL(9,E50:E50)</f>
        <v>0</v>
      </c>
      <c r="L49" s="108"/>
    </row>
    <row r="50" spans="1:16" s="90" customFormat="1" ht="15" outlineLevel="1" thickBot="1">
      <c r="A50" s="180"/>
      <c r="B50" s="146"/>
      <c r="C50" s="101"/>
      <c r="D50" s="170">
        <v>0</v>
      </c>
      <c r="E50" s="142">
        <f>D50/$D$6</f>
        <v>0</v>
      </c>
      <c r="F50" s="129">
        <v>45503</v>
      </c>
      <c r="G50" s="90" t="s">
        <v>235</v>
      </c>
      <c r="H50" s="90" t="e">
        <f>IF(OR(#REF!="Sin pagar",#REF!="Pagar"),_xlfn.SINGLE(NETWORKDAYS($E$4,#REF!,'Festivos CR'!$A$3:$A$15)),0)</f>
        <v>#REF!</v>
      </c>
      <c r="I50" s="90" t="e">
        <f>NETWORKDAYS($E$4,#REF!,'Festivos CR'!$A$3:$A$15)</f>
        <v>#REF!</v>
      </c>
      <c r="J50" s="132"/>
      <c r="L50" s="108"/>
    </row>
    <row r="51" spans="1:16" s="90" customFormat="1" ht="14.25" customHeight="1">
      <c r="B51" s="100"/>
      <c r="C51" s="147" t="s">
        <v>239</v>
      </c>
      <c r="D51" s="171">
        <f>SUBTOTAL(9,D23:D50)</f>
        <v>19036893.469999999</v>
      </c>
      <c r="E51" s="148">
        <f>SUBTOTAL(9,E23:E50)</f>
        <v>37027.341613552722</v>
      </c>
      <c r="K51" s="294"/>
      <c r="L51" s="294"/>
      <c r="N51" s="294"/>
      <c r="O51" s="294"/>
      <c r="P51" s="294"/>
    </row>
    <row r="52" spans="1:16" ht="15.6">
      <c r="A52" s="90"/>
      <c r="E52" s="149"/>
      <c r="F52" s="239"/>
      <c r="G52" s="150"/>
      <c r="H52" s="150"/>
      <c r="I52" s="150"/>
      <c r="J52" s="150"/>
    </row>
    <row r="53" spans="1:16" ht="15.6">
      <c r="A53" s="90"/>
      <c r="C53" s="151" t="s">
        <v>3</v>
      </c>
      <c r="D53" s="182">
        <f>D18-D51</f>
        <v>13501312.086248655</v>
      </c>
      <c r="E53" s="152">
        <f>E18-E51</f>
        <v>26236.180419648932</v>
      </c>
      <c r="F53" s="243"/>
      <c r="G53" s="153"/>
      <c r="J53" s="153"/>
    </row>
    <row r="54" spans="1:16" s="157" customFormat="1" ht="15.6">
      <c r="A54" s="90"/>
      <c r="B54" s="154"/>
      <c r="C54" s="151" t="s">
        <v>240</v>
      </c>
      <c r="D54" s="155">
        <f>IF($D$18=0,0,D53/$D$18)</f>
        <v>0.41493720552318092</v>
      </c>
      <c r="E54" s="155">
        <f>IF($E$18=0,0,E53/$E$18)</f>
        <v>0.41471261125613251</v>
      </c>
      <c r="F54" s="156"/>
      <c r="G54" s="153"/>
      <c r="J54" s="158"/>
      <c r="K54" s="294"/>
      <c r="L54" s="294"/>
      <c r="N54" s="294"/>
      <c r="O54" s="294"/>
      <c r="P54" s="294"/>
    </row>
    <row r="55" spans="1:16">
      <c r="A55" s="90"/>
      <c r="F55" s="156"/>
      <c r="G55" s="153"/>
    </row>
    <row r="57" spans="1:16" ht="15" thickBot="1"/>
    <row r="58" spans="1:16" ht="15" thickBot="1">
      <c r="C58" s="189" t="s">
        <v>260</v>
      </c>
      <c r="D58" s="190" t="s">
        <v>261</v>
      </c>
      <c r="E58" s="191" t="s">
        <v>265</v>
      </c>
      <c r="F58" s="191" t="s">
        <v>266</v>
      </c>
    </row>
    <row r="59" spans="1:16">
      <c r="C59" s="303">
        <v>45505</v>
      </c>
      <c r="D59" s="304">
        <v>45508</v>
      </c>
      <c r="E59" s="195">
        <f>SUMIFS($D$22:$D$56,$F$22:$F$56,"&gt;="&amp;C59,$F$22:$F$56,"&lt;="&amp;D59,$G$22:$G$56,$D$73)</f>
        <v>0</v>
      </c>
      <c r="F59" s="201">
        <f>SUMIFS($E$22:$E$56,$F$22:$F$56,"&gt;="&amp;C59,$F$22:$F$56,"&lt;="&amp;D59,$G$22:$G$56,$D$73)</f>
        <v>0</v>
      </c>
    </row>
    <row r="60" spans="1:16">
      <c r="C60" s="305">
        <v>45509</v>
      </c>
      <c r="D60" s="306">
        <v>45515</v>
      </c>
      <c r="E60" s="196">
        <f>SUMIFS($D$22:$D$56,$F$22:$F$56,"&gt;="&amp;C60,$F$22:$F$56,"&lt;="&amp;D60,$G$22:$G$56,$D$73)</f>
        <v>0</v>
      </c>
      <c r="F60" s="202">
        <f>SUMIFS($E$22:$E$56,$F$22:$F$56,"&gt;="&amp;C60,$F$22:$F$56,"&lt;="&amp;D60,$G$22:$G$56,$D$73)</f>
        <v>0</v>
      </c>
      <c r="G60" s="294" t="s">
        <v>451</v>
      </c>
    </row>
    <row r="61" spans="1:16">
      <c r="C61" s="183">
        <v>45516</v>
      </c>
      <c r="D61" s="184">
        <v>45522</v>
      </c>
      <c r="E61" s="196">
        <f>SUMIFS($D$22:$D$56,$F$22:$F$56,"&gt;="&amp;C61,$F$22:$F$56,"&lt;="&amp;D61,$G$22:$G$56,$D$73)</f>
        <v>0</v>
      </c>
      <c r="F61" s="202">
        <f>SUMIFS($E$22:$E$56,$F$22:$F$56,"&gt;="&amp;C61,$F$22:$F$56,"&lt;="&amp;D61,$G$22:$G$56,$D$73)</f>
        <v>0</v>
      </c>
      <c r="J61" s="591"/>
    </row>
    <row r="62" spans="1:16">
      <c r="C62" s="183">
        <v>45523</v>
      </c>
      <c r="D62" s="184">
        <v>45529</v>
      </c>
      <c r="E62" s="196">
        <f>SUMIFS($D$22:$D$56,$F$22:$F$56,"&gt;="&amp;C62,$F$22:$F$56,"&lt;="&amp;D62,$G$22:$G$56,$D$73)</f>
        <v>0</v>
      </c>
      <c r="F62" s="202">
        <f>SUMIFS($E$22:$E$56,$F$22:$F$56,"&gt;="&amp;C62,$F$22:$F$56,"&lt;="&amp;D62,$G$22:$G$56,$D$73)</f>
        <v>0</v>
      </c>
      <c r="J62" s="591"/>
    </row>
    <row r="63" spans="1:16">
      <c r="C63" s="183">
        <v>45530</v>
      </c>
      <c r="D63" s="184">
        <v>45535</v>
      </c>
      <c r="E63" s="196">
        <f>SUMIFS($D$22:$D$56,$F$22:$F$56,"&gt;="&amp;C63,$F$22:$F$56,"&lt;="&amp;D63,$G$22:$G$56,$D$73)</f>
        <v>0</v>
      </c>
      <c r="F63" s="202">
        <f>SUMIFS($E$22:$E$56,$F$22:$F$56,"&gt;="&amp;C63,$F$22:$F$56,"&lt;="&amp;D63,$G$22:$G$56,$D$73)</f>
        <v>0</v>
      </c>
      <c r="G63" s="294" t="s">
        <v>407</v>
      </c>
      <c r="J63" s="591"/>
    </row>
    <row r="64" spans="1:16" ht="15.6">
      <c r="C64" s="589" t="s">
        <v>262</v>
      </c>
      <c r="D64" s="589"/>
      <c r="E64" s="186">
        <f>SUM(E59:E63)</f>
        <v>0</v>
      </c>
      <c r="F64" s="200">
        <f>SUM(F59:F63)</f>
        <v>0</v>
      </c>
      <c r="G64" s="94"/>
      <c r="J64" s="153"/>
      <c r="K64" s="153"/>
    </row>
    <row r="67" spans="3:10">
      <c r="C67" s="592" t="s">
        <v>267</v>
      </c>
      <c r="D67" s="592"/>
      <c r="E67" s="204">
        <f>'BAC SAN JOSE COLONES  '!G236+('BAC SAN JOSE USD'!G203*$D$6)</f>
        <v>13567483.393198457</v>
      </c>
      <c r="F67" s="206">
        <f>E67/517</f>
        <v>26242.714493614036</v>
      </c>
    </row>
    <row r="68" spans="3:10">
      <c r="C68" s="592" t="s">
        <v>474</v>
      </c>
      <c r="D68" s="592"/>
      <c r="E68" s="204">
        <f>SUM(E59:E61)</f>
        <v>0</v>
      </c>
      <c r="F68" s="206">
        <f>SUM(F59:F61)</f>
        <v>0</v>
      </c>
    </row>
    <row r="69" spans="3:10">
      <c r="C69" s="588" t="s">
        <v>152</v>
      </c>
      <c r="D69" s="588"/>
      <c r="E69" s="205">
        <f>E67-E68</f>
        <v>13567483.393198457</v>
      </c>
      <c r="F69" s="199">
        <f>F67-F68</f>
        <v>26242.714493614036</v>
      </c>
      <c r="G69" s="206">
        <f>F69-E53</f>
        <v>6.5340739651037438</v>
      </c>
      <c r="J69" s="206"/>
    </row>
    <row r="72" spans="3:10">
      <c r="D72" s="90" t="s">
        <v>235</v>
      </c>
      <c r="E72" s="170">
        <f>SUMIFS($D$22:$D$56,$F$22:$F$56,"&gt;="&amp;C59,$F$22:$F$56,"&lt;="&amp;$D$63,$G$22:$G$56,$D$72)</f>
        <v>19036893.469999999</v>
      </c>
      <c r="F72" s="170">
        <f>SUMIFS($E$22:$E$56,$F$22:$F$56,"&gt;="&amp;C59,$F$22:$F$56,"&lt;="&amp;D63,$G$22:$G$56,$D$72)</f>
        <v>37027.341613552722</v>
      </c>
    </row>
    <row r="73" spans="3:10">
      <c r="D73" s="90" t="s">
        <v>231</v>
      </c>
      <c r="E73" s="170">
        <f>SUMIFS($D$22:$D$56,$F$22:$F$56,"&gt;="&amp;C59,$F$22:$F$56,"&lt;="&amp;$D$63,$G$22:$G$56,$D$73)</f>
        <v>0</v>
      </c>
      <c r="F73" s="170">
        <f>SUMIFS($E$22:$E$56,$F$22:$F$56,"&gt;="&amp;C59,$F$22:$F$56,"&lt;="&amp;D63,$G$22:$G$56,$D$73)</f>
        <v>0</v>
      </c>
    </row>
    <row r="74" spans="3:10">
      <c r="D74" s="185" t="s">
        <v>263</v>
      </c>
      <c r="E74" s="194">
        <f>SUM(E72:E73)</f>
        <v>19036893.469999999</v>
      </c>
      <c r="F74" s="199">
        <f>SUM(F72:F73)</f>
        <v>37027.341613552722</v>
      </c>
    </row>
    <row r="75" spans="3:10">
      <c r="D75" s="185" t="s">
        <v>264</v>
      </c>
      <c r="E75" s="194">
        <f>D51-E74</f>
        <v>0</v>
      </c>
      <c r="F75" s="199">
        <f>F74-E51</f>
        <v>0</v>
      </c>
    </row>
    <row r="78" spans="3:10">
      <c r="D78" s="88" t="s">
        <v>400</v>
      </c>
      <c r="E78" s="204">
        <f>D53</f>
        <v>13501312.086248655</v>
      </c>
    </row>
    <row r="79" spans="3:10">
      <c r="D79" s="88" t="s">
        <v>401</v>
      </c>
      <c r="E79" s="204">
        <f>'BAC SAN JOSE COLONES  '!$G$236+('BAC SAN JOSE USD'!$G$203*CONVERSIONES!$C$146)</f>
        <v>13501324.075145939</v>
      </c>
    </row>
    <row r="80" spans="3:10">
      <c r="D80" s="88" t="s">
        <v>336</v>
      </c>
      <c r="E80" s="88">
        <f>E79-E78</f>
        <v>11.98889728449285</v>
      </c>
    </row>
    <row r="81" spans="5:5">
      <c r="E81" s="88">
        <f>E80/518</f>
        <v>2.3144589352302798E-2</v>
      </c>
    </row>
  </sheetData>
  <protectedRanges>
    <protectedRange sqref="F18:G18 D55:E55 D10:E11" name="Presupuestos"/>
    <protectedRange sqref="D8:E8 D22:E22" name="Presupuestos_1"/>
    <protectedRange sqref="D29:E29" name="Presupuestos_13_1"/>
    <protectedRange sqref="D31:E31" name="Presupuestos_14"/>
    <protectedRange sqref="E42:E46 D47:E48" name="Presupuestos_2_1_1_1"/>
    <protectedRange sqref="D42 E50 K42 D44 K44" name="Presupuestos_6_1_1_1"/>
    <protectedRange sqref="D43 D45:D46" name="Presupuestos_5_2_1"/>
    <protectedRange sqref="D40:E40" name="Presupuestos_7_1"/>
    <protectedRange sqref="D50" name="Presupuestos_5_3"/>
    <protectedRange sqref="D33:E38" name="Presupuestos_13_1_1"/>
  </protectedRanges>
  <autoFilter ref="A22:S50" xr:uid="{EB797380-F2F0-4C5D-8020-5AAF2530B1F6}"/>
  <mergeCells count="8">
    <mergeCell ref="C68:D68"/>
    <mergeCell ref="C69:D69"/>
    <mergeCell ref="D7:E7"/>
    <mergeCell ref="B21:C21"/>
    <mergeCell ref="D21:E21"/>
    <mergeCell ref="J61:J63"/>
    <mergeCell ref="C64:D64"/>
    <mergeCell ref="C67:D67"/>
  </mergeCells>
  <conditionalFormatting sqref="D77:E77">
    <cfRule type="cellIs" dxfId="47" priority="9" operator="lessThan">
      <formula>0</formula>
    </cfRule>
    <cfRule type="cellIs" dxfId="46" priority="10" operator="greaterThan">
      <formula>0</formula>
    </cfRule>
  </conditionalFormatting>
  <dataValidations count="3">
    <dataValidation type="list" allowBlank="1" showInputMessage="1" showErrorMessage="1" sqref="D21 D7" xr:uid="{2F712B0C-82D3-465F-B597-A7197AA3E490}">
      <formula1>"ENERO,FEBRERO,MARZO,ABRIL,MAYO,JUNIO,JULIO,AGOSTO,SEPTIEMBRE,OCTUBRE,NOVIEMBRE,DICIEMBRE"</formula1>
    </dataValidation>
    <dataValidation type="list" allowBlank="1" showInputMessage="1" showErrorMessage="1" sqref="G40 G23:G24 D72:D73 G31 G56:G57 G29 G26:G27 G50 G33:G38 G42:G48" xr:uid="{28D35FCC-41DA-4E4B-A097-1B8C462DEB52}">
      <formula1>"Cancelado,Pagar,Sin Pagar"</formula1>
    </dataValidation>
    <dataValidation type="list" allowBlank="1" showInputMessage="1" showErrorMessage="1" sqref="O32" xr:uid="{B214ADBA-5882-4C0C-9E8D-3C94C03F9B6A}">
      <formula1>"0,1"</formula1>
    </dataValidation>
  </dataValidations>
  <pageMargins left="0.7" right="0.7" top="0.75" bottom="0.75" header="0.3" footer="0.3"/>
  <ignoredErrors>
    <ignoredError sqref="J39:J51 N33:N36 J24:J36 J37:O38 K39:O39" unlockedFormula="1"/>
    <ignoredError sqref="P39" formulaRange="1" unlockedFormula="1"/>
    <ignoredError sqref="E29" formula="1"/>
    <ignoredError sqref="B3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FAD2-C449-46C6-A779-87C668882007}">
  <dimension ref="A1:S80"/>
  <sheetViews>
    <sheetView showGridLines="0" topLeftCell="A56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309" customWidth="1"/>
    <col min="2" max="2" width="12" style="310" bestFit="1" customWidth="1"/>
    <col min="3" max="3" width="54.33203125" style="309" bestFit="1" customWidth="1"/>
    <col min="4" max="4" width="24.44140625" style="88" customWidth="1"/>
    <col min="5" max="5" width="19.33203125" style="88" bestFit="1" customWidth="1"/>
    <col min="6" max="6" width="23.5546875" style="309" customWidth="1"/>
    <col min="7" max="7" width="16.88671875" style="309" customWidth="1"/>
    <col min="8" max="8" width="7.6640625" style="309" hidden="1" customWidth="1"/>
    <col min="9" max="9" width="12.109375" style="309" hidden="1" customWidth="1"/>
    <col min="10" max="10" width="16.5546875" style="309" customWidth="1"/>
    <col min="11" max="11" width="2.109375" style="309" customWidth="1"/>
    <col min="12" max="12" width="2.33203125" style="309" customWidth="1"/>
    <col min="13" max="13" width="14.5546875" style="309" bestFit="1" customWidth="1"/>
    <col min="14" max="14" width="13.109375" style="309" bestFit="1" customWidth="1"/>
    <col min="15" max="15" width="6.33203125" style="309" bestFit="1" customWidth="1"/>
    <col min="16" max="16" width="19.33203125" style="309" bestFit="1" customWidth="1"/>
    <col min="17" max="17" width="15.33203125" style="309" bestFit="1" customWidth="1"/>
    <col min="18" max="18" width="14" style="309" bestFit="1" customWidth="1"/>
    <col min="19" max="19" width="13" style="309" bestFit="1" customWidth="1"/>
    <col min="20" max="16384" width="9.109375" style="309"/>
  </cols>
  <sheetData>
    <row r="1" spans="1:9" hidden="1">
      <c r="D1" s="88">
        <v>42400</v>
      </c>
    </row>
    <row r="2" spans="1:9">
      <c r="D2" s="89"/>
      <c r="E2" s="89"/>
      <c r="I2" s="90"/>
    </row>
    <row r="3" spans="1:9">
      <c r="E3" s="220"/>
      <c r="I3" s="90"/>
    </row>
    <row r="4" spans="1:9" ht="15.6">
      <c r="B4" s="92"/>
      <c r="C4" s="92"/>
      <c r="D4" s="160" t="s">
        <v>216</v>
      </c>
      <c r="E4" s="161">
        <v>45536</v>
      </c>
      <c r="I4" s="90"/>
    </row>
    <row r="5" spans="1:9">
      <c r="D5" s="89"/>
      <c r="E5" s="89"/>
      <c r="I5" s="90"/>
    </row>
    <row r="6" spans="1:9">
      <c r="C6" s="93" t="s">
        <v>217</v>
      </c>
      <c r="D6" s="26">
        <v>522</v>
      </c>
      <c r="E6" s="89"/>
      <c r="I6" s="90"/>
    </row>
    <row r="7" spans="1:9" ht="15.6">
      <c r="C7" s="94"/>
      <c r="D7" s="590" t="s">
        <v>553</v>
      </c>
      <c r="E7" s="590"/>
      <c r="I7" s="90"/>
    </row>
    <row r="8" spans="1:9">
      <c r="D8" s="95" t="s">
        <v>242</v>
      </c>
      <c r="E8" s="95" t="s">
        <v>219</v>
      </c>
    </row>
    <row r="9" spans="1:9" s="96" customFormat="1" ht="15.6">
      <c r="C9" s="97" t="s">
        <v>220</v>
      </c>
      <c r="D9" s="167">
        <f>SUBTOTAL(9,D10:D11)</f>
        <v>13534195.85523347</v>
      </c>
      <c r="E9" s="98">
        <f>SUBTOTAL(9,E10:E11)</f>
        <v>25927.578266730787</v>
      </c>
      <c r="F9" s="99"/>
      <c r="I9" s="90"/>
    </row>
    <row r="10" spans="1:9" s="90" customFormat="1" outlineLevel="1">
      <c r="B10" s="100"/>
      <c r="C10" s="101" t="s">
        <v>243</v>
      </c>
      <c r="D10" s="169">
        <f>'BAC SAN JOSE COLONES  '!$G$239</f>
        <v>7778335.1846643556</v>
      </c>
      <c r="E10" s="218">
        <f>D10/$D$6</f>
        <v>14901.025257977693</v>
      </c>
      <c r="F10" s="103"/>
    </row>
    <row r="11" spans="1:9" s="90" customFormat="1" outlineLevel="1">
      <c r="B11" s="100"/>
      <c r="C11" s="101" t="s">
        <v>221</v>
      </c>
      <c r="D11" s="169">
        <f>E11*$D$6</f>
        <v>5755860.6705691144</v>
      </c>
      <c r="E11" s="218">
        <f>'BAC SAN JOSE USD'!G203</f>
        <v>11026.553008753093</v>
      </c>
      <c r="F11" s="103"/>
    </row>
    <row r="12" spans="1:9" s="90" customFormat="1" ht="15.6">
      <c r="B12" s="100"/>
      <c r="C12" s="104" t="s">
        <v>222</v>
      </c>
      <c r="D12" s="167">
        <f>SUBTOTAL(9,D13:D16)</f>
        <v>20839582.680705883</v>
      </c>
      <c r="E12" s="98">
        <f>SUBTOTAL(9,E13:E16)</f>
        <v>40543.935176470586</v>
      </c>
      <c r="F12" s="105"/>
    </row>
    <row r="13" spans="1:9" s="90" customFormat="1" outlineLevel="1">
      <c r="A13" s="106"/>
      <c r="B13" s="107"/>
      <c r="C13" s="174" t="s">
        <v>487</v>
      </c>
      <c r="D13" s="271">
        <f>E13*CONVERSIONES!$C$165</f>
        <v>9387150.2054285724</v>
      </c>
      <c r="E13" s="272">
        <f>CONVERSIONES!$C$161+CONVERSIONES!$D$161+CONVERSIONES!$E$161</f>
        <v>18262.938142857143</v>
      </c>
      <c r="F13" s="105"/>
      <c r="G13" s="108"/>
    </row>
    <row r="14" spans="1:9" s="90" customFormat="1" outlineLevel="1">
      <c r="A14" s="106"/>
      <c r="B14" s="107"/>
      <c r="C14" s="174" t="s">
        <v>488</v>
      </c>
      <c r="D14" s="271">
        <f>E14*CONVERSIONES!$F$165</f>
        <v>4484535.9409523811</v>
      </c>
      <c r="E14" s="272">
        <f>CONVERSIONES!F161+CONVERSIONES!G161</f>
        <v>8724.7780952380963</v>
      </c>
      <c r="F14" s="105"/>
      <c r="G14" s="108"/>
    </row>
    <row r="15" spans="1:9" s="90" customFormat="1" outlineLevel="1">
      <c r="B15" s="100"/>
      <c r="C15" s="174" t="s">
        <v>489</v>
      </c>
      <c r="D15" s="271">
        <f>$E$15*CONVERSIONES!$H$165</f>
        <v>5755641.2971428568</v>
      </c>
      <c r="E15" s="272">
        <f>CONVERSIONES!H161</f>
        <v>11197.745714285713</v>
      </c>
      <c r="F15" s="105"/>
      <c r="G15" s="108"/>
    </row>
    <row r="16" spans="1:9" s="90" customFormat="1" outlineLevel="1">
      <c r="B16" s="100"/>
      <c r="C16" s="174" t="s">
        <v>490</v>
      </c>
      <c r="D16" s="271">
        <f>$E$16*CONVERSIONES!$I$165</f>
        <v>1212255.2371820726</v>
      </c>
      <c r="E16" s="272">
        <f>CONVERSIONES!$I$161</f>
        <v>2358.4732240896356</v>
      </c>
      <c r="F16" s="105"/>
      <c r="G16" s="108"/>
    </row>
    <row r="17" spans="2:19" s="90" customFormat="1" ht="15.6">
      <c r="B17" s="100"/>
      <c r="C17" s="109" t="s">
        <v>223</v>
      </c>
      <c r="D17" s="168">
        <f>SUBTOTAL(9,D9:D16)</f>
        <v>34373778.535939351</v>
      </c>
      <c r="E17" s="207">
        <f>SUBTOTAL(9,E9:E16)</f>
        <v>66471.513443201387</v>
      </c>
      <c r="F17" s="110"/>
      <c r="G17" s="110"/>
      <c r="J17" s="108"/>
      <c r="K17" s="111"/>
      <c r="O17" s="112"/>
      <c r="P17" s="113"/>
      <c r="Q17" s="114"/>
    </row>
    <row r="18" spans="2:19" s="90" customFormat="1" ht="15.6">
      <c r="B18" s="100"/>
      <c r="C18" s="115"/>
      <c r="D18" s="116"/>
      <c r="E18" s="116"/>
      <c r="G18" s="117"/>
      <c r="O18" s="113"/>
      <c r="P18" s="113"/>
    </row>
    <row r="19" spans="2:19" s="90" customFormat="1" ht="15.6">
      <c r="B19" s="100"/>
      <c r="N19" s="118"/>
      <c r="O19" s="119"/>
      <c r="P19" s="120"/>
    </row>
    <row r="20" spans="2:19" s="90" customFormat="1" ht="15.6">
      <c r="B20" s="590" t="s">
        <v>224</v>
      </c>
      <c r="C20" s="590"/>
      <c r="D20" s="590" t="s">
        <v>450</v>
      </c>
      <c r="E20" s="590"/>
      <c r="K20" s="120"/>
      <c r="L20" s="120"/>
      <c r="N20" s="118"/>
      <c r="R20" s="108"/>
      <c r="S20" s="108"/>
    </row>
    <row r="21" spans="2:19" s="90" customFormat="1" ht="16.2" thickBot="1">
      <c r="B21" s="121" t="s">
        <v>225</v>
      </c>
      <c r="C21" s="122" t="s">
        <v>226</v>
      </c>
      <c r="D21" s="95" t="s">
        <v>242</v>
      </c>
      <c r="E21" s="95" t="s">
        <v>219</v>
      </c>
      <c r="F21" s="123" t="s">
        <v>227</v>
      </c>
      <c r="G21" s="118" t="s">
        <v>228</v>
      </c>
      <c r="H21" s="118"/>
      <c r="I21" s="118"/>
      <c r="J21" s="124" t="s">
        <v>229</v>
      </c>
      <c r="N21" s="125"/>
      <c r="R21" s="108"/>
      <c r="S21" s="126"/>
    </row>
    <row r="22" spans="2:19" s="90" customFormat="1" ht="16.2" thickBot="1">
      <c r="B22" s="100"/>
      <c r="C22" s="127" t="s">
        <v>230</v>
      </c>
      <c r="D22" s="172">
        <f>SUBTOTAL(9,D23:D23)</f>
        <v>5659227</v>
      </c>
      <c r="E22" s="128">
        <f>SUBTOTAL(9,E23:E23)</f>
        <v>10841.431034482759</v>
      </c>
      <c r="F22" s="129"/>
      <c r="J22" s="130"/>
    </row>
    <row r="23" spans="2:19" s="90" customFormat="1" ht="15" outlineLevel="1" thickBot="1">
      <c r="B23" s="100" t="s">
        <v>497</v>
      </c>
      <c r="C23" s="234" t="s">
        <v>496</v>
      </c>
      <c r="D23" s="271">
        <v>5659227</v>
      </c>
      <c r="E23" s="142">
        <f>D23/$D$6</f>
        <v>10841.431034482759</v>
      </c>
      <c r="F23" s="134">
        <v>45548</v>
      </c>
      <c r="G23" s="90" t="s">
        <v>235</v>
      </c>
      <c r="H23" s="90">
        <f>IF(OR(G23="Sin pagar",G23="Pagar"),_xlfn.SINGLE(NETWORKDAYS($E$4,F23,'Festivos CR'!$A$3:$A$15)),0)</f>
        <v>0</v>
      </c>
      <c r="I23" s="90">
        <f>NETWORKDAYS($E$4,F23,'Festivos CR'!$A$3:$A$15)</f>
        <v>10</v>
      </c>
      <c r="J23" s="132">
        <f t="shared" ref="J23:J28" si="0">H23</f>
        <v>0</v>
      </c>
      <c r="K23" s="108"/>
      <c r="L23" s="108"/>
    </row>
    <row r="24" spans="2:19" s="90" customFormat="1" ht="16.2" thickBot="1">
      <c r="B24" s="100"/>
      <c r="C24" s="127" t="s">
        <v>232</v>
      </c>
      <c r="D24" s="172">
        <f>SUBTOTAL(9,D25:D26)</f>
        <v>1412173.92</v>
      </c>
      <c r="E24" s="128">
        <f>SUBTOTAL(9,E25:E26)</f>
        <v>2705.3140229885053</v>
      </c>
      <c r="J24" s="130">
        <f t="shared" si="0"/>
        <v>0</v>
      </c>
    </row>
    <row r="25" spans="2:19" s="90" customFormat="1" outlineLevel="1">
      <c r="B25" s="133"/>
      <c r="C25" s="101" t="s">
        <v>292</v>
      </c>
      <c r="D25" s="271">
        <v>1313132.92</v>
      </c>
      <c r="E25" s="142">
        <f>D25/$D$6</f>
        <v>2515.5803065134096</v>
      </c>
      <c r="F25" s="134">
        <v>45548</v>
      </c>
      <c r="G25" s="90" t="s">
        <v>235</v>
      </c>
      <c r="H25" s="90">
        <f>IF(OR(G25="Sin pagar",G25="Pagar"),_xlfn.SINGLE(NETWORKDAYS($E$4,F25,'Festivos CR'!$A$3:$A$15)),0)</f>
        <v>0</v>
      </c>
      <c r="I25" s="90">
        <f>NETWORKDAYS($E$4,F25,'Festivos CR'!$A$3:$A$15)</f>
        <v>10</v>
      </c>
      <c r="J25" s="132">
        <f t="shared" si="0"/>
        <v>0</v>
      </c>
      <c r="K25" s="135"/>
      <c r="L25" s="111"/>
    </row>
    <row r="26" spans="2:19" s="90" customFormat="1" ht="29.4" outlineLevel="1" thickBot="1">
      <c r="B26" s="133"/>
      <c r="C26" s="101" t="s">
        <v>296</v>
      </c>
      <c r="D26" s="271">
        <v>99041</v>
      </c>
      <c r="E26" s="142">
        <f>D26/$D$6</f>
        <v>189.73371647509578</v>
      </c>
      <c r="F26" s="134">
        <v>45548</v>
      </c>
      <c r="G26" s="90" t="s">
        <v>235</v>
      </c>
      <c r="H26" s="90">
        <f>IF(OR(G26="Sin pagar",G26="Pagar"),_xlfn.SINGLE(NETWORKDAYS($E$4,F26,'Festivos CR'!$A$3:$A$15)),0)</f>
        <v>0</v>
      </c>
      <c r="I26" s="90">
        <f>NETWORKDAYS($E$4,F26,'Festivos CR'!$A$3:$A$15)</f>
        <v>10</v>
      </c>
      <c r="J26" s="132">
        <f>H26</f>
        <v>0</v>
      </c>
      <c r="K26" s="135"/>
      <c r="L26" s="111"/>
    </row>
    <row r="27" spans="2:19" s="90" customFormat="1" ht="16.2" thickBot="1">
      <c r="B27" s="100"/>
      <c r="C27" s="127" t="s">
        <v>233</v>
      </c>
      <c r="D27" s="172">
        <f>SUBTOTAL(9,D28:D28)</f>
        <v>62400</v>
      </c>
      <c r="E27" s="128">
        <f>SUBTOTAL(9,E28:E28)</f>
        <v>119.54022988505747</v>
      </c>
      <c r="J27" s="130">
        <f t="shared" si="0"/>
        <v>0</v>
      </c>
      <c r="K27" s="108"/>
      <c r="L27" s="108"/>
    </row>
    <row r="28" spans="2:19" s="90" customFormat="1" ht="15" outlineLevel="1" thickBot="1">
      <c r="B28" s="100">
        <v>19</v>
      </c>
      <c r="C28" s="101" t="s">
        <v>476</v>
      </c>
      <c r="D28" s="169">
        <v>62400</v>
      </c>
      <c r="E28" s="137">
        <f>D28/$D$6</f>
        <v>119.54022988505747</v>
      </c>
      <c r="F28" s="129">
        <v>45561</v>
      </c>
      <c r="G28" s="90" t="s">
        <v>235</v>
      </c>
      <c r="H28" s="90">
        <f>IF(OR(G28="Sin pagar",G28="Pagar"),_xlfn.SINGLE(NETWORKDAYS($E$4,F28,'Festivos CR'!$A$3:$A$15)),0)</f>
        <v>0</v>
      </c>
      <c r="I28" s="90">
        <f>NETWORKDAYS($E$4,F28,'Festivos CR'!$A$3:$A$15)</f>
        <v>19</v>
      </c>
      <c r="J28" s="132">
        <f t="shared" si="0"/>
        <v>0</v>
      </c>
      <c r="N28" s="103"/>
    </row>
    <row r="29" spans="2:19" s="90" customFormat="1" ht="16.2" thickBot="1">
      <c r="C29" s="127" t="s">
        <v>250</v>
      </c>
      <c r="D29" s="172">
        <f>SUBTOTAL(9,D30:D31)</f>
        <v>628208</v>
      </c>
      <c r="E29" s="128">
        <f>SUBTOTAL(9,E30:E31)</f>
        <v>1203.4636015325671</v>
      </c>
      <c r="K29" s="103"/>
      <c r="L29" s="103"/>
      <c r="O29" s="103"/>
      <c r="P29" s="103"/>
    </row>
    <row r="30" spans="2:19" s="90" customFormat="1" ht="14.25" customHeight="1" outlineLevel="1">
      <c r="B30" s="138" t="s">
        <v>455</v>
      </c>
      <c r="C30" s="101" t="s">
        <v>251</v>
      </c>
      <c r="D30" s="169">
        <v>77000</v>
      </c>
      <c r="E30" s="137">
        <f>D30/$D$6</f>
        <v>147.5095785440613</v>
      </c>
      <c r="F30" s="129">
        <v>45538</v>
      </c>
      <c r="G30" s="90" t="s">
        <v>235</v>
      </c>
      <c r="H30" s="90">
        <f>IF(OR(G30="Sin pagar",G30="Pagar"),_xlfn.SINGLE(NETWORKDAYS($E$4,F30,'Festivos CR'!$A$3:$A$15)),0)</f>
        <v>0</v>
      </c>
      <c r="I30" s="90">
        <f>NETWORKDAYS($E$4,F30,'Festivos CR'!$A$3:$A$15)</f>
        <v>2</v>
      </c>
      <c r="J30" s="132">
        <f>H30</f>
        <v>0</v>
      </c>
      <c r="K30" s="103"/>
      <c r="L30" s="103"/>
      <c r="O30" s="103"/>
      <c r="P30" s="103"/>
    </row>
    <row r="31" spans="2:19" s="90" customFormat="1" ht="14.25" customHeight="1" outlineLevel="1" thickBot="1">
      <c r="B31" s="138" t="s">
        <v>486</v>
      </c>
      <c r="C31" s="101" t="s">
        <v>1080</v>
      </c>
      <c r="D31" s="169">
        <v>551208</v>
      </c>
      <c r="E31" s="137">
        <f>D31/$D$6</f>
        <v>1055.9540229885058</v>
      </c>
      <c r="F31" s="129">
        <v>45548</v>
      </c>
      <c r="G31" s="90" t="s">
        <v>235</v>
      </c>
      <c r="H31" s="90">
        <f>IF(OR(G31="Sin pagar",G31="Pagar"),_xlfn.SINGLE(NETWORKDAYS($E$4,F31,'Festivos CR'!$A$3:$A$15)),0)</f>
        <v>0</v>
      </c>
      <c r="I31" s="90">
        <f>NETWORKDAYS($E$4,F31,'Festivos CR'!$A$3:$A$15)</f>
        <v>10</v>
      </c>
      <c r="J31" s="132">
        <f>H31</f>
        <v>0</v>
      </c>
      <c r="K31" s="103"/>
      <c r="L31" s="103"/>
      <c r="O31" s="103"/>
      <c r="P31" s="103"/>
    </row>
    <row r="32" spans="2:19" s="90" customFormat="1" ht="16.2" thickBot="1">
      <c r="B32" s="136"/>
      <c r="C32" s="139" t="s">
        <v>234</v>
      </c>
      <c r="D32" s="173">
        <f>SUBTOTAL(9,D33:D39)</f>
        <v>0</v>
      </c>
      <c r="E32" s="140">
        <f>SUBTOTAL(9,E33:E39)</f>
        <v>0</v>
      </c>
      <c r="K32" s="108"/>
      <c r="M32" s="90" t="s">
        <v>359</v>
      </c>
      <c r="N32" s="90" t="s">
        <v>453</v>
      </c>
      <c r="O32" s="90">
        <v>0</v>
      </c>
    </row>
    <row r="33" spans="2:16" s="90" customFormat="1" outlineLevel="1">
      <c r="B33" s="141">
        <v>4699</v>
      </c>
      <c r="C33" s="174" t="s">
        <v>259</v>
      </c>
      <c r="D33" s="169">
        <f t="shared" ref="D33:D38" si="1">E33*$D$6</f>
        <v>0</v>
      </c>
      <c r="E33" s="137">
        <f>(228818/3888.02)*$O$32</f>
        <v>0</v>
      </c>
      <c r="F33" s="129">
        <v>45565</v>
      </c>
      <c r="G33" s="90" t="s">
        <v>235</v>
      </c>
      <c r="H33" s="90">
        <f>IF(OR(G33="Sin pagar",G33="Pagar"),_xlfn.SINGLE(NETWORKDAYS($E$4,F33,'Festivos CR'!$A$3:$A$15)),0)</f>
        <v>0</v>
      </c>
      <c r="I33" s="90">
        <f>NETWORKDAYS($E$4,F33,'Festivos CR'!$A$3:$A$15)</f>
        <v>21</v>
      </c>
      <c r="J33" s="132">
        <f t="shared" ref="J33:J38" si="2">H33</f>
        <v>0</v>
      </c>
      <c r="M33" s="297">
        <v>880</v>
      </c>
      <c r="N33" s="298">
        <f>M33-E33</f>
        <v>880</v>
      </c>
    </row>
    <row r="34" spans="2:16" s="90" customFormat="1" outlineLevel="1">
      <c r="B34" s="141">
        <v>4777</v>
      </c>
      <c r="C34" s="174" t="s">
        <v>297</v>
      </c>
      <c r="D34" s="169">
        <f t="shared" si="1"/>
        <v>0</v>
      </c>
      <c r="E34" s="137">
        <f>(160718/3924.82)*$O$32</f>
        <v>0</v>
      </c>
      <c r="F34" s="129">
        <v>45565</v>
      </c>
      <c r="G34" s="90" t="s">
        <v>235</v>
      </c>
      <c r="H34" s="90">
        <f>IF(OR(G34="Sin pagar",G34="Pagar"),_xlfn.SINGLE(NETWORKDAYS($E$4,F34,'Festivos CR'!$A$3:$A$15)),0)</f>
        <v>0</v>
      </c>
      <c r="I34" s="90">
        <f>NETWORKDAYS($E$4,F34,'Festivos CR'!$A$3:$A$15)</f>
        <v>21</v>
      </c>
      <c r="J34" s="132">
        <f t="shared" si="2"/>
        <v>0</v>
      </c>
      <c r="M34" s="297">
        <v>720</v>
      </c>
      <c r="N34" s="298">
        <f>M34-E34</f>
        <v>720</v>
      </c>
    </row>
    <row r="35" spans="2:16" s="90" customFormat="1" outlineLevel="1">
      <c r="B35" s="100">
        <v>4878</v>
      </c>
      <c r="C35" s="174" t="s">
        <v>318</v>
      </c>
      <c r="D35" s="169">
        <f t="shared" si="1"/>
        <v>0</v>
      </c>
      <c r="E35" s="137">
        <f>(205400/3829.59)*$O$32</f>
        <v>0</v>
      </c>
      <c r="F35" s="129">
        <v>45565</v>
      </c>
      <c r="G35" s="90" t="s">
        <v>235</v>
      </c>
      <c r="H35" s="90">
        <f>IF(OR(G51="Sin pagar",G51="Pagar"),_xlfn.SINGLE(NETWORKDAYS($E$4,F51,'Festivos CR'!$A$3:$A$15)),0)</f>
        <v>0</v>
      </c>
      <c r="I35" s="90">
        <f>NETWORKDAYS($E$4,F51,'Festivos CR'!$A$3:$A$15)</f>
        <v>21</v>
      </c>
      <c r="J35" s="132">
        <f t="shared" si="2"/>
        <v>0</v>
      </c>
      <c r="M35" s="297">
        <v>645</v>
      </c>
      <c r="N35" s="298">
        <f>M35-E35</f>
        <v>645</v>
      </c>
    </row>
    <row r="36" spans="2:16" s="90" customFormat="1" outlineLevel="1">
      <c r="B36" s="100">
        <v>4957</v>
      </c>
      <c r="C36" s="174" t="s">
        <v>372</v>
      </c>
      <c r="D36" s="169">
        <f t="shared" si="1"/>
        <v>0</v>
      </c>
      <c r="E36" s="137">
        <v>0</v>
      </c>
      <c r="F36" s="129">
        <v>45565</v>
      </c>
      <c r="G36" s="90" t="s">
        <v>235</v>
      </c>
      <c r="H36" s="90">
        <f>IF(OR(G52="Sin pagar",G52="Pagar"),_xlfn.SINGLE(NETWORKDAYS($E$4,F52,'Festivos CR'!$A$3:$A$15)),0)</f>
        <v>0</v>
      </c>
      <c r="I36" s="90">
        <f>NETWORKDAYS($E$4,F52,'Festivos CR'!$A$3:$A$15)</f>
        <v>-32517</v>
      </c>
      <c r="J36" s="132">
        <f t="shared" si="2"/>
        <v>0</v>
      </c>
      <c r="M36" s="297">
        <v>330</v>
      </c>
      <c r="N36" s="298">
        <v>330</v>
      </c>
    </row>
    <row r="37" spans="2:16" s="90" customFormat="1" outlineLevel="1">
      <c r="B37" s="100">
        <v>4957</v>
      </c>
      <c r="C37" s="174" t="s">
        <v>452</v>
      </c>
      <c r="D37" s="169">
        <f t="shared" si="1"/>
        <v>0</v>
      </c>
      <c r="E37" s="137">
        <f>515*$O$32</f>
        <v>0</v>
      </c>
      <c r="F37" s="129">
        <v>45565</v>
      </c>
      <c r="G37" s="90" t="s">
        <v>235</v>
      </c>
      <c r="H37" s="90">
        <f>IF(OR(G53="Sin pagar",G53="Pagar"),_xlfn.SINGLE(NETWORKDAYS($E$4,F53,'Festivos CR'!$A$3:$A$15)),0)</f>
        <v>0</v>
      </c>
      <c r="I37" s="90">
        <f>NETWORKDAYS($E$4,F53,'Festivos CR'!$A$3:$A$15)</f>
        <v>-32517</v>
      </c>
      <c r="J37" s="132">
        <f t="shared" si="2"/>
        <v>0</v>
      </c>
      <c r="M37" s="297">
        <v>550</v>
      </c>
      <c r="N37" s="298">
        <v>0</v>
      </c>
    </row>
    <row r="38" spans="2:16" s="90" customFormat="1" outlineLevel="1">
      <c r="B38" s="100">
        <v>5160</v>
      </c>
      <c r="C38" s="174" t="s">
        <v>475</v>
      </c>
      <c r="D38" s="169">
        <f t="shared" si="1"/>
        <v>0</v>
      </c>
      <c r="E38" s="137">
        <f>755*0</f>
        <v>0</v>
      </c>
      <c r="F38" s="129">
        <v>45565</v>
      </c>
      <c r="G38" s="90" t="s">
        <v>235</v>
      </c>
      <c r="H38" s="90">
        <f>IF(OR(G54="Sin pagar",G54="Pagar"),_xlfn.SINGLE(NETWORKDAYS($E$4,F54,'Festivos CR'!$A$3:$A$15)),0)</f>
        <v>0</v>
      </c>
      <c r="I38" s="90">
        <f>NETWORKDAYS($E$4,F54,'Festivos CR'!$A$3:$A$15)</f>
        <v>-32517</v>
      </c>
      <c r="J38" s="132">
        <f t="shared" si="2"/>
        <v>0</v>
      </c>
      <c r="M38" s="297">
        <v>550</v>
      </c>
      <c r="N38" s="298">
        <v>0</v>
      </c>
    </row>
    <row r="39" spans="2:16" s="90" customFormat="1" ht="15" outlineLevel="1" thickBot="1">
      <c r="B39" s="100">
        <v>5283</v>
      </c>
      <c r="C39" s="174" t="s">
        <v>475</v>
      </c>
      <c r="D39" s="169">
        <f>E39*$D$6</f>
        <v>0</v>
      </c>
      <c r="E39" s="137">
        <f>515*0</f>
        <v>0</v>
      </c>
      <c r="F39" s="129">
        <v>45565</v>
      </c>
      <c r="G39" s="90" t="s">
        <v>235</v>
      </c>
      <c r="H39" s="90">
        <f>IF(OR(G55="Sin pagar",G55="Pagar"),_xlfn.SINGLE(NETWORKDAYS($E$4,F55,'Festivos CR'!$A$3:$A$15)),0)</f>
        <v>0</v>
      </c>
      <c r="I39" s="90">
        <f>NETWORKDAYS($E$4,F55,'Festivos CR'!$A$3:$A$15)</f>
        <v>-32517</v>
      </c>
      <c r="J39" s="132">
        <f>H39</f>
        <v>0</v>
      </c>
      <c r="M39" s="297">
        <v>550</v>
      </c>
      <c r="N39" s="298">
        <v>0</v>
      </c>
    </row>
    <row r="40" spans="2:16" s="90" customFormat="1" ht="15.75" customHeight="1" thickBot="1">
      <c r="C40" s="127" t="s">
        <v>236</v>
      </c>
      <c r="D40" s="172">
        <f>SUBTOTAL(9,D41:D41)</f>
        <v>11279.25</v>
      </c>
      <c r="E40" s="128">
        <f>SUBTOTAL(9,E41:E41)</f>
        <v>21.607758620689655</v>
      </c>
      <c r="M40" s="299">
        <f>SUM(M33:M37)</f>
        <v>3125</v>
      </c>
      <c r="N40" s="299">
        <f>SUM(N33:N37)</f>
        <v>2575</v>
      </c>
      <c r="O40" s="118" t="s">
        <v>454</v>
      </c>
      <c r="P40" s="300">
        <f>M40-N40</f>
        <v>550</v>
      </c>
    </row>
    <row r="41" spans="2:16" s="90" customFormat="1" ht="15" outlineLevel="1" thickBot="1">
      <c r="B41" s="100"/>
      <c r="C41" s="174" t="s">
        <v>236</v>
      </c>
      <c r="D41" s="271">
        <f>(('BAC SAN JOSE COLONES  '!$F$239+'BAC SAN JOSE COLONES  '!$F$244)+(CONVERSIONES!$J$160*CONVERSIONES!$H$155))-9909</f>
        <v>11279.25</v>
      </c>
      <c r="E41" s="142">
        <f>D41/D6</f>
        <v>21.607758620689655</v>
      </c>
      <c r="F41" s="129">
        <v>45565</v>
      </c>
      <c r="G41" s="90" t="s">
        <v>235</v>
      </c>
      <c r="H41" s="90">
        <f>IF(OR(G41="Sin pagar",G41="Pagar"),_xlfn.SINGLE(NETWORKDAYS($E$4,F41,'Festivos CR'!$A$3:$A$15)),0)</f>
        <v>0</v>
      </c>
      <c r="I41" s="90">
        <f>NETWORKDAYS($E$4,F41,'Festivos CR'!$A$3:$A$15)</f>
        <v>21</v>
      </c>
      <c r="J41" s="132">
        <f>H41</f>
        <v>0</v>
      </c>
    </row>
    <row r="42" spans="2:16" s="90" customFormat="1" ht="16.2" thickBot="1">
      <c r="C42" s="127" t="s">
        <v>237</v>
      </c>
      <c r="D42" s="172">
        <f>SUBTOTAL(9,D43:D49)</f>
        <v>12697662.130000003</v>
      </c>
      <c r="E42" s="128">
        <f>SUBTOTAL(9,E43:E49)</f>
        <v>14538.95</v>
      </c>
      <c r="K42" s="108"/>
      <c r="L42" s="143"/>
    </row>
    <row r="43" spans="2:16" s="90" customFormat="1" outlineLevel="1">
      <c r="B43" s="145" t="s">
        <v>391</v>
      </c>
      <c r="C43" s="174" t="s">
        <v>254</v>
      </c>
      <c r="D43" s="170">
        <v>1612916.33</v>
      </c>
      <c r="E43" s="142">
        <f>CONVERSIONES!$C$165</f>
        <v>514</v>
      </c>
      <c r="F43" s="129">
        <v>45562</v>
      </c>
      <c r="G43" s="90" t="s">
        <v>235</v>
      </c>
      <c r="H43" s="90">
        <f>IF(OR(G43="Sin pagar",G43="Pagar"),_xlfn.SINGLE(NETWORKDAYS($E$4,F43,'Festivos CR'!$A$3:$A$15)),0)</f>
        <v>0</v>
      </c>
      <c r="I43" s="90">
        <f>NETWORKDAYS($E$4,F43,'Festivos CR'!$A$3:$A$15)</f>
        <v>20</v>
      </c>
      <c r="J43" s="132">
        <f t="shared" ref="J43:J49" si="3">H43</f>
        <v>0</v>
      </c>
      <c r="K43" s="135"/>
      <c r="L43" s="135"/>
    </row>
    <row r="44" spans="2:16" s="180" customFormat="1" outlineLevel="1">
      <c r="B44" s="265" t="s">
        <v>270</v>
      </c>
      <c r="C44" s="174" t="s">
        <v>258</v>
      </c>
      <c r="D44" s="170">
        <f>E44*CONVERSIONES!$C$165</f>
        <v>2790315.82</v>
      </c>
      <c r="E44" s="142">
        <v>5428.63</v>
      </c>
      <c r="F44" s="129">
        <v>45562</v>
      </c>
      <c r="G44" s="90" t="s">
        <v>235</v>
      </c>
      <c r="H44" s="90">
        <f>IF(OR(G44="Sin pagar",G44="Pagar"),_xlfn.SINGLE(NETWORKDAYS($E$4,F44,'Festivos CR'!$A$3:$A$15)),0)</f>
        <v>0</v>
      </c>
      <c r="I44" s="90">
        <f>NETWORKDAYS($E$4,F44,'Festivos CR'!$A$3:$A$15)</f>
        <v>20</v>
      </c>
      <c r="J44" s="132">
        <f t="shared" si="3"/>
        <v>0</v>
      </c>
      <c r="L44" s="179"/>
    </row>
    <row r="45" spans="2:16" s="90" customFormat="1" outlineLevel="1">
      <c r="B45" s="145" t="s">
        <v>391</v>
      </c>
      <c r="C45" s="174" t="s">
        <v>390</v>
      </c>
      <c r="D45" s="170">
        <v>1325079.3600000001</v>
      </c>
      <c r="E45" s="142">
        <f>CONVERSIONES!$C$165</f>
        <v>514</v>
      </c>
      <c r="F45" s="129">
        <v>45562</v>
      </c>
      <c r="G45" s="90" t="s">
        <v>235</v>
      </c>
      <c r="H45" s="90">
        <f>IF(OR(G45="Sin pagar",G45="Pagar"),_xlfn.SINGLE(NETWORKDAYS($E$4,F45,'Festivos CR'!$A$3:$A$15)),0)</f>
        <v>0</v>
      </c>
      <c r="I45" s="90">
        <f>NETWORKDAYS($E$4,F45,'Festivos CR'!$A$3:$A$15)</f>
        <v>20</v>
      </c>
      <c r="J45" s="132">
        <f>H45</f>
        <v>0</v>
      </c>
      <c r="K45" s="135"/>
      <c r="L45" s="135"/>
    </row>
    <row r="46" spans="2:16" s="180" customFormat="1" outlineLevel="1">
      <c r="B46" s="145" t="s">
        <v>391</v>
      </c>
      <c r="C46" s="174" t="s">
        <v>253</v>
      </c>
      <c r="D46" s="170">
        <v>1410537.3</v>
      </c>
      <c r="E46" s="142">
        <f>CONVERSIONES!$C$165</f>
        <v>514</v>
      </c>
      <c r="F46" s="129">
        <v>45562</v>
      </c>
      <c r="G46" s="90" t="s">
        <v>235</v>
      </c>
      <c r="H46" s="90">
        <f>IF(OR(G46="Sin pagar",G46="Pagar"),_xlfn.SINGLE(NETWORKDAYS($E$4,F46,'Festivos CR'!$A$3:$A$15)),0)</f>
        <v>0</v>
      </c>
      <c r="I46" s="90">
        <f>NETWORKDAYS($E$4,F46,'Festivos CR'!$A$3:$A$15)</f>
        <v>20</v>
      </c>
      <c r="J46" s="132">
        <f t="shared" si="3"/>
        <v>0</v>
      </c>
      <c r="L46" s="179"/>
    </row>
    <row r="47" spans="2:16" s="180" customFormat="1" outlineLevel="1">
      <c r="B47" s="145" t="s">
        <v>391</v>
      </c>
      <c r="C47" s="174" t="s">
        <v>255</v>
      </c>
      <c r="D47" s="170">
        <v>1410537.3</v>
      </c>
      <c r="E47" s="142">
        <f>CONVERSIONES!$C$165</f>
        <v>514</v>
      </c>
      <c r="F47" s="129">
        <v>45562</v>
      </c>
      <c r="G47" s="90" t="s">
        <v>235</v>
      </c>
      <c r="H47" s="90">
        <f>IF(OR(G47="Sin pagar",G47="Pagar"),_xlfn.SINGLE(NETWORKDAYS($E$4,F47,'Festivos CR'!$A$3:$A$15)),0)</f>
        <v>0</v>
      </c>
      <c r="I47" s="90">
        <f>NETWORKDAYS($E$4,F47,'Festivos CR'!$A$3:$A$15)</f>
        <v>20</v>
      </c>
      <c r="J47" s="132">
        <f t="shared" si="3"/>
        <v>0</v>
      </c>
      <c r="L47" s="179"/>
    </row>
    <row r="48" spans="2:16" s="180" customFormat="1" outlineLevel="1">
      <c r="B48" s="145" t="s">
        <v>391</v>
      </c>
      <c r="C48" s="174" t="s">
        <v>330</v>
      </c>
      <c r="D48" s="170">
        <v>786551.54</v>
      </c>
      <c r="E48" s="142">
        <f>CONVERSIONES!$C$165</f>
        <v>514</v>
      </c>
      <c r="F48" s="129">
        <v>45562</v>
      </c>
      <c r="G48" s="90" t="s">
        <v>235</v>
      </c>
      <c r="H48" s="90">
        <f>IF(OR(G48="Sin pagar",G48="Pagar"),_xlfn.SINGLE(NETWORKDAYS($E$4,F48,'Festivos CR'!$A$3:$A$15)),0)</f>
        <v>0</v>
      </c>
      <c r="I48" s="90">
        <f>NETWORKDAYS($E$4,F48,'Festivos CR'!$A$3:$A$15)</f>
        <v>20</v>
      </c>
      <c r="J48" s="132">
        <f>H48</f>
        <v>0</v>
      </c>
      <c r="L48" s="179"/>
    </row>
    <row r="49" spans="1:16" s="180" customFormat="1" ht="15" outlineLevel="1" thickBot="1">
      <c r="B49" s="265" t="s">
        <v>270</v>
      </c>
      <c r="C49" s="174" t="s">
        <v>257</v>
      </c>
      <c r="D49" s="170">
        <f>E49*CONVERSIONES!$C$165</f>
        <v>3361724.48</v>
      </c>
      <c r="E49" s="142">
        <v>6540.32</v>
      </c>
      <c r="F49" s="129">
        <v>45562</v>
      </c>
      <c r="G49" s="90" t="s">
        <v>235</v>
      </c>
      <c r="H49" s="90">
        <f>IF(OR(G49="Sin pagar",G49="Pagar"),_xlfn.SINGLE(NETWORKDAYS($E$4,F49,'Festivos CR'!$A$3:$A$15)),0)</f>
        <v>0</v>
      </c>
      <c r="I49" s="90">
        <f>NETWORKDAYS($E$4,F49,'Festivos CR'!$A$3:$A$15)</f>
        <v>20</v>
      </c>
      <c r="J49" s="132">
        <f t="shared" si="3"/>
        <v>0</v>
      </c>
      <c r="L49" s="179"/>
    </row>
    <row r="50" spans="1:16" s="90" customFormat="1" ht="16.2" thickBot="1">
      <c r="A50" s="180"/>
      <c r="B50" s="145"/>
      <c r="C50" s="127" t="s">
        <v>238</v>
      </c>
      <c r="D50" s="172">
        <f>SUBTOTAL(9,D51:D51)</f>
        <v>0</v>
      </c>
      <c r="E50" s="128">
        <f>SUBTOTAL(9,E51:E51)</f>
        <v>0</v>
      </c>
      <c r="L50" s="108"/>
    </row>
    <row r="51" spans="1:16" s="90" customFormat="1" ht="15" outlineLevel="1" thickBot="1">
      <c r="A51" s="180"/>
      <c r="B51" s="146"/>
      <c r="C51" s="101"/>
      <c r="D51" s="170">
        <v>0</v>
      </c>
      <c r="E51" s="142">
        <f>D51/$D$6</f>
        <v>0</v>
      </c>
      <c r="F51" s="129">
        <v>45565</v>
      </c>
      <c r="G51" s="90" t="s">
        <v>235</v>
      </c>
      <c r="H51" s="90" t="e">
        <f>IF(OR(#REF!="Sin pagar",#REF!="Pagar"),_xlfn.SINGLE(NETWORKDAYS($E$4,#REF!,'Festivos CR'!$A$3:$A$15)),0)</f>
        <v>#REF!</v>
      </c>
      <c r="I51" s="90" t="e">
        <f>NETWORKDAYS($E$4,#REF!,'Festivos CR'!$A$3:$A$15)</f>
        <v>#REF!</v>
      </c>
      <c r="J51" s="132"/>
      <c r="L51" s="108"/>
    </row>
    <row r="52" spans="1:16" s="90" customFormat="1" ht="14.25" customHeight="1">
      <c r="B52" s="100"/>
      <c r="C52" s="147" t="s">
        <v>239</v>
      </c>
      <c r="D52" s="171">
        <f>SUBTOTAL(9,D22:D51)</f>
        <v>20470950.300000001</v>
      </c>
      <c r="E52" s="148">
        <f>SUBTOTAL(9,E22:E51)</f>
        <v>29430.306647509577</v>
      </c>
      <c r="K52" s="309"/>
      <c r="L52" s="309"/>
      <c r="N52" s="309"/>
      <c r="O52" s="309"/>
      <c r="P52" s="309"/>
    </row>
    <row r="53" spans="1:16" ht="15.6">
      <c r="A53" s="90"/>
      <c r="E53" s="149"/>
      <c r="F53" s="239"/>
      <c r="G53" s="150"/>
      <c r="H53" s="150"/>
      <c r="I53" s="150"/>
      <c r="J53" s="150"/>
    </row>
    <row r="54" spans="1:16" ht="15.6">
      <c r="A54" s="90"/>
      <c r="C54" s="151" t="s">
        <v>3</v>
      </c>
      <c r="D54" s="182">
        <f>D17-D52</f>
        <v>13902828.23593935</v>
      </c>
      <c r="E54" s="152">
        <f>E17-E52</f>
        <v>37041.206795691811</v>
      </c>
      <c r="F54" s="243"/>
      <c r="G54" s="153"/>
      <c r="J54" s="153"/>
    </row>
    <row r="55" spans="1:16" s="157" customFormat="1" ht="15.6">
      <c r="A55" s="90"/>
      <c r="B55" s="154"/>
      <c r="C55" s="151" t="s">
        <v>240</v>
      </c>
      <c r="D55" s="155">
        <f>IF($D$17=0,0,D54/$D$17)</f>
        <v>0.40446028420772273</v>
      </c>
      <c r="E55" s="155">
        <f>IF($E$17=0,0,E54/$E$17)</f>
        <v>0.55724933700122237</v>
      </c>
      <c r="F55" s="156"/>
      <c r="G55" s="153"/>
      <c r="J55" s="158"/>
      <c r="K55" s="309"/>
      <c r="L55" s="309"/>
      <c r="N55" s="309"/>
      <c r="O55" s="309"/>
      <c r="P55" s="309"/>
    </row>
    <row r="56" spans="1:16">
      <c r="A56" s="90"/>
      <c r="F56" s="156"/>
      <c r="G56" s="153"/>
    </row>
    <row r="58" spans="1:16" ht="15" thickBot="1"/>
    <row r="59" spans="1:16" ht="15" thickBot="1">
      <c r="C59" s="189" t="s">
        <v>260</v>
      </c>
      <c r="D59" s="190" t="s">
        <v>261</v>
      </c>
      <c r="E59" s="191" t="s">
        <v>265</v>
      </c>
      <c r="F59" s="191" t="s">
        <v>266</v>
      </c>
    </row>
    <row r="60" spans="1:16">
      <c r="C60" s="303">
        <v>45537</v>
      </c>
      <c r="D60" s="304">
        <v>45543</v>
      </c>
      <c r="E60" s="195">
        <f>SUMIFS($D$21:$D$57,$F$21:$F$57,"&gt;="&amp;C60,$F$21:$F$57,"&lt;="&amp;D60,$G$21:$G$57,$D$73)</f>
        <v>0</v>
      </c>
      <c r="F60" s="201">
        <f>SUMIFS($E$21:$E$57,$F$21:$F$57,"&gt;="&amp;C60,$F$21:$F$57,"&lt;="&amp;D60,$G$21:$G$57,$D$73)</f>
        <v>0</v>
      </c>
    </row>
    <row r="61" spans="1:16">
      <c r="C61" s="305">
        <v>45544</v>
      </c>
      <c r="D61" s="306">
        <v>45550</v>
      </c>
      <c r="E61" s="196">
        <f>SUMIFS($D$21:$D$57,$F$21:$F$57,"&gt;="&amp;C61,$F$21:$F$57,"&lt;="&amp;D61,$G$21:$G$57,$D$73)</f>
        <v>0</v>
      </c>
      <c r="F61" s="202">
        <f>SUMIFS($E$21:$E$57,$F$21:$F$57,"&gt;="&amp;C61,$F$21:$F$57,"&lt;="&amp;D61,$G$21:$G$57,$D$73)</f>
        <v>0</v>
      </c>
      <c r="G61" s="309" t="s">
        <v>502</v>
      </c>
    </row>
    <row r="62" spans="1:16">
      <c r="C62" s="183">
        <v>45551</v>
      </c>
      <c r="D62" s="184">
        <v>45557</v>
      </c>
      <c r="E62" s="196">
        <f>SUMIFS($D$21:$D$57,$F$21:$F$57,"&gt;="&amp;C62,$F$21:$F$57,"&lt;="&amp;D62,$G$21:$G$57,$D$73)</f>
        <v>0</v>
      </c>
      <c r="F62" s="202">
        <f>SUMIFS($E$21:$E$57,$F$21:$F$57,"&gt;="&amp;C62,$F$21:$F$57,"&lt;="&amp;D62,$G$21:$G$57,$D$73)</f>
        <v>0</v>
      </c>
      <c r="J62" s="591"/>
    </row>
    <row r="63" spans="1:16">
      <c r="C63" s="183">
        <v>45558</v>
      </c>
      <c r="D63" s="184">
        <v>45565</v>
      </c>
      <c r="E63" s="196">
        <f>SUMIFS($D$21:$D$57,$F$21:$F$57,"&gt;="&amp;C63,$F$21:$F$57,"&lt;="&amp;D63,$G$21:$G$57,$D$73)</f>
        <v>0</v>
      </c>
      <c r="F63" s="202">
        <f>SUMIFS($E$21:$E$57,$F$21:$F$57,"&gt;="&amp;C63,$F$21:$F$57,"&lt;="&amp;D63,$G$21:$G$57,$D$73)</f>
        <v>0</v>
      </c>
      <c r="G63" s="309" t="s">
        <v>407</v>
      </c>
      <c r="J63" s="591"/>
    </row>
    <row r="64" spans="1:16" ht="15.6">
      <c r="C64" s="589" t="s">
        <v>262</v>
      </c>
      <c r="D64" s="589"/>
      <c r="E64" s="186">
        <f>SUM(E60:E63)</f>
        <v>0</v>
      </c>
      <c r="F64" s="200">
        <f>SUM(F60:F63)</f>
        <v>0</v>
      </c>
      <c r="G64" s="94"/>
      <c r="J64" s="153"/>
      <c r="K64" s="153"/>
    </row>
    <row r="67" spans="3:10">
      <c r="C67" s="592" t="s">
        <v>267</v>
      </c>
      <c r="D67" s="592"/>
      <c r="E67" s="204">
        <f>'BAC SAN JOSE COLONES  '!$G$250+(('BAC SAN JOSE USD'!G203*526))</f>
        <v>15359898.47726848</v>
      </c>
      <c r="F67" s="206">
        <f>E67/526</f>
        <v>29201.327903552243</v>
      </c>
    </row>
    <row r="68" spans="3:10">
      <c r="C68" s="592" t="s">
        <v>485</v>
      </c>
      <c r="D68" s="592"/>
      <c r="E68" s="204">
        <f>SUM(E60:E62)</f>
        <v>0</v>
      </c>
      <c r="F68" s="206">
        <f>SUM(F60:F62)</f>
        <v>0</v>
      </c>
    </row>
    <row r="69" spans="3:10">
      <c r="C69" s="588" t="s">
        <v>152</v>
      </c>
      <c r="D69" s="588"/>
      <c r="E69" s="205">
        <f>E67-E68</f>
        <v>15359898.47726848</v>
      </c>
      <c r="F69" s="199">
        <f>F67-F68</f>
        <v>29201.327903552243</v>
      </c>
      <c r="G69" s="206"/>
      <c r="J69" s="206"/>
    </row>
    <row r="72" spans="3:10">
      <c r="D72" s="90" t="s">
        <v>235</v>
      </c>
      <c r="E72" s="170">
        <f>SUMIFS($D$21:$D$57,$F$21:$F$57,"&gt;="&amp;C60,$F$21:$F$57,"&lt;="&amp;D63,$G$21:$G$57,$D$72)</f>
        <v>20470950.300000001</v>
      </c>
      <c r="F72" s="206">
        <f>SUMIFS($E$21:$E$57,$F$21:$F$57,"&gt;="&amp;C60,$F$21:$F$57,"&lt;="&amp;$D$63,$G$21:$G$57,$D$72)</f>
        <v>29430.306647509577</v>
      </c>
    </row>
    <row r="73" spans="3:10">
      <c r="D73" s="90" t="s">
        <v>231</v>
      </c>
      <c r="E73" s="170">
        <f>SUMIFS($D$21:$D$57,$F$21:$F$57,"&gt;="&amp;C60,$F$21:$F$57,"&lt;="&amp;D63,$G$21:$G$57,$D$73)</f>
        <v>0</v>
      </c>
      <c r="F73" s="206">
        <f>SUMIFS($E$21:$E$57,$F$21:$F$57,"&gt;="&amp;$C$60,$F$21:$F$57,"&lt;="&amp;$D$63,$G$21:$G$57,$D$73)</f>
        <v>0</v>
      </c>
    </row>
    <row r="74" spans="3:10">
      <c r="D74" s="185" t="s">
        <v>263</v>
      </c>
      <c r="E74" s="194">
        <f>SUM(E72:E73)</f>
        <v>20470950.300000001</v>
      </c>
      <c r="F74" s="199">
        <f>SUM(F72:F73)</f>
        <v>29430.306647509577</v>
      </c>
    </row>
    <row r="75" spans="3:10">
      <c r="D75" s="185" t="s">
        <v>264</v>
      </c>
      <c r="E75" s="194">
        <f>D52-E74</f>
        <v>0</v>
      </c>
      <c r="F75" s="199">
        <f>F74-E52</f>
        <v>0</v>
      </c>
    </row>
    <row r="78" spans="3:10">
      <c r="D78" s="88" t="s">
        <v>400</v>
      </c>
      <c r="E78" s="88">
        <f>D54</f>
        <v>13902828.23593935</v>
      </c>
    </row>
    <row r="79" spans="3:10">
      <c r="D79" s="88" t="s">
        <v>401</v>
      </c>
      <c r="E79" s="88">
        <f>'BAC SAN JOSE COLONES  '!$G$253+('BAC SAN JOSE USD'!$G$210*CONVERSIONES!$C$165)</f>
        <v>13902828.721869325</v>
      </c>
    </row>
    <row r="80" spans="3:10">
      <c r="D80" s="88" t="s">
        <v>336</v>
      </c>
      <c r="E80" s="88">
        <f>E78-E79</f>
        <v>-0.48592997528612614</v>
      </c>
      <c r="F80" s="153">
        <f>E80/514</f>
        <v>-9.4538905697689915E-4</v>
      </c>
    </row>
  </sheetData>
  <protectedRanges>
    <protectedRange sqref="F17:G17 D56:E56 D10:E11" name="Presupuestos"/>
    <protectedRange sqref="D8:E8 D21:E21" name="Presupuestos_1"/>
    <protectedRange sqref="D28:E28" name="Presupuestos_13_1"/>
    <protectedRange sqref="D30:E31" name="Presupuestos_14"/>
    <protectedRange sqref="E43:E47 D48:E49 D44" name="Presupuestos_2_1_1_1"/>
    <protectedRange sqref="D43 E51 K43 D45 K45" name="Presupuestos_6_1_1_1"/>
    <protectedRange sqref="D46:D47" name="Presupuestos_5_2_1"/>
    <protectedRange sqref="D41:E41" name="Presupuestos_7_1"/>
    <protectedRange sqref="D51" name="Presupuestos_5_3"/>
    <protectedRange sqref="D33:E39" name="Presupuestos_13_1_1"/>
  </protectedRanges>
  <autoFilter ref="A21:S51" xr:uid="{BFE0946E-9C33-4F80-8C3B-9E7F9D776C08}"/>
  <mergeCells count="8">
    <mergeCell ref="C68:D68"/>
    <mergeCell ref="C69:D69"/>
    <mergeCell ref="D7:E7"/>
    <mergeCell ref="B20:C20"/>
    <mergeCell ref="D20:E20"/>
    <mergeCell ref="J62:J63"/>
    <mergeCell ref="C64:D64"/>
    <mergeCell ref="C67:D67"/>
  </mergeCells>
  <conditionalFormatting sqref="D77:E77">
    <cfRule type="cellIs" dxfId="45" priority="9" operator="lessThan">
      <formula>0</formula>
    </cfRule>
    <cfRule type="cellIs" dxfId="44" priority="10" operator="greaterThan">
      <formula>0</formula>
    </cfRule>
  </conditionalFormatting>
  <dataValidations count="3">
    <dataValidation type="list" allowBlank="1" showInputMessage="1" showErrorMessage="1" sqref="O32" xr:uid="{378E7BE0-3C7C-4F77-86A5-F292FDD71ABD}">
      <formula1>"0,1"</formula1>
    </dataValidation>
    <dataValidation type="list" allowBlank="1" showInputMessage="1" showErrorMessage="1" sqref="G41 G22:G23 D72:D73 G33:G39 G57:G58 G28 G30:G31 G51 G25:G26 G43:G49" xr:uid="{31D125E7-1364-4365-B34D-93B7C703B336}">
      <formula1>"Cancelado,Pagar,Sin Pagar"</formula1>
    </dataValidation>
    <dataValidation type="list" allowBlank="1" showInputMessage="1" showErrorMessage="1" sqref="D20 D7" xr:uid="{48F382D0-388D-4982-8DEF-1F080B075215}">
      <formula1>"ENERO,FEBRERO,MARZO,ABRIL,MAYO,JUNIO,JULIO,AGOSTO,SEPTIEMBRE,OCTUBRE,NOVIEMBRE,DICIEMBRE"</formula1>
    </dataValidation>
  </dataValidations>
  <pageMargins left="0.7" right="0.7" top="0.75" bottom="0.75" header="0.3" footer="0.3"/>
  <ignoredErrors>
    <ignoredError sqref="J40:J50 N33:N38 N40:P40 J23:J30 J32:J38" unlockedFormula="1"/>
    <ignoredError sqref="B30:B31" numberStoredAsText="1"/>
    <ignoredError sqref="E28" formula="1"/>
    <ignoredError sqref="M40" formulaRange="1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4BB5-4DB9-46D5-9EDC-02769100AFF2}">
  <dimension ref="A1:S73"/>
  <sheetViews>
    <sheetView showGridLines="0" topLeftCell="A49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316" customWidth="1"/>
    <col min="2" max="2" width="12" style="317" bestFit="1" customWidth="1"/>
    <col min="3" max="3" width="54.33203125" style="316" bestFit="1" customWidth="1"/>
    <col min="4" max="4" width="24.44140625" style="88" customWidth="1"/>
    <col min="5" max="5" width="19.33203125" style="88" bestFit="1" customWidth="1"/>
    <col min="6" max="6" width="23.5546875" style="316" customWidth="1"/>
    <col min="7" max="7" width="16.88671875" style="316" customWidth="1"/>
    <col min="8" max="8" width="7.6640625" style="316" hidden="1" customWidth="1"/>
    <col min="9" max="9" width="12.109375" style="316" hidden="1" customWidth="1"/>
    <col min="10" max="10" width="16.5546875" style="316" customWidth="1"/>
    <col min="11" max="11" width="2.109375" style="316" customWidth="1"/>
    <col min="12" max="12" width="2.33203125" style="316" customWidth="1"/>
    <col min="13" max="13" width="14.5546875" style="316" bestFit="1" customWidth="1"/>
    <col min="14" max="14" width="13.109375" style="316" bestFit="1" customWidth="1"/>
    <col min="15" max="15" width="6.33203125" style="316" bestFit="1" customWidth="1"/>
    <col min="16" max="16" width="19.33203125" style="316" bestFit="1" customWidth="1"/>
    <col min="17" max="17" width="15.33203125" style="316" bestFit="1" customWidth="1"/>
    <col min="18" max="18" width="14" style="316" bestFit="1" customWidth="1"/>
    <col min="19" max="19" width="13" style="316" bestFit="1" customWidth="1"/>
    <col min="20" max="16384" width="9.109375" style="316"/>
  </cols>
  <sheetData>
    <row r="1" spans="1:9" hidden="1">
      <c r="D1" s="88">
        <v>42400</v>
      </c>
    </row>
    <row r="2" spans="1:9">
      <c r="D2" s="89"/>
      <c r="E2" s="89"/>
      <c r="I2" s="90"/>
    </row>
    <row r="3" spans="1:9">
      <c r="E3" s="220"/>
      <c r="I3" s="90"/>
    </row>
    <row r="4" spans="1:9" ht="15.6">
      <c r="B4" s="92"/>
      <c r="C4" s="92"/>
      <c r="D4" s="160" t="s">
        <v>216</v>
      </c>
      <c r="E4" s="161">
        <v>45601</v>
      </c>
      <c r="I4" s="90"/>
    </row>
    <row r="5" spans="1:9">
      <c r="D5" s="89"/>
      <c r="E5" s="89"/>
      <c r="I5" s="90"/>
    </row>
    <row r="6" spans="1:9">
      <c r="C6" s="93" t="s">
        <v>217</v>
      </c>
      <c r="D6" s="26">
        <v>511</v>
      </c>
      <c r="E6" s="89"/>
      <c r="I6" s="90"/>
    </row>
    <row r="7" spans="1:9" ht="15.6">
      <c r="C7" s="94"/>
      <c r="D7" s="590" t="s">
        <v>552</v>
      </c>
      <c r="E7" s="590"/>
      <c r="I7" s="90"/>
    </row>
    <row r="8" spans="1:9">
      <c r="D8" s="95" t="s">
        <v>242</v>
      </c>
      <c r="E8" s="95" t="s">
        <v>219</v>
      </c>
    </row>
    <row r="9" spans="1:9" s="96" customFormat="1" ht="15.6">
      <c r="C9" s="97" t="s">
        <v>220</v>
      </c>
      <c r="D9" s="167">
        <f>SUBTOTAL(9,D10:D11)</f>
        <v>13869749.077313654</v>
      </c>
      <c r="E9" s="98">
        <f>SUBTOTAL(9,E10:E12)</f>
        <v>32689.245956212446</v>
      </c>
      <c r="F9" s="99"/>
      <c r="I9" s="90"/>
    </row>
    <row r="10" spans="1:9" s="90" customFormat="1" outlineLevel="1">
      <c r="B10" s="100"/>
      <c r="C10" s="101" t="s">
        <v>243</v>
      </c>
      <c r="D10" s="169">
        <f>'BAC SAN JOSE COLONES  '!$G$253</f>
        <v>8235182.9546643533</v>
      </c>
      <c r="E10" s="218">
        <f>D10/$D$6</f>
        <v>16115.81791519443</v>
      </c>
      <c r="F10" s="103"/>
    </row>
    <row r="11" spans="1:9" s="90" customFormat="1" outlineLevel="1">
      <c r="B11" s="100"/>
      <c r="C11" s="101" t="s">
        <v>221</v>
      </c>
      <c r="D11" s="169">
        <f>E11*$D$6</f>
        <v>5634566.1226493008</v>
      </c>
      <c r="E11" s="218">
        <f>'BAC SAN JOSE USD'!G210</f>
        <v>11026.548185223681</v>
      </c>
      <c r="F11" s="103"/>
    </row>
    <row r="12" spans="1:9" s="90" customFormat="1" outlineLevel="1">
      <c r="B12" s="100"/>
      <c r="C12" s="101" t="s">
        <v>550</v>
      </c>
      <c r="D12" s="169">
        <f>E12*$D$6</f>
        <v>2834455.6063109045</v>
      </c>
      <c r="E12" s="218">
        <v>5546.8798557943337</v>
      </c>
      <c r="F12" s="103"/>
    </row>
    <row r="13" spans="1:9" s="90" customFormat="1" ht="15.6">
      <c r="B13" s="100"/>
      <c r="C13" s="104" t="s">
        <v>222</v>
      </c>
      <c r="D13" s="167">
        <f>SUBTOTAL(9,D14:D18)</f>
        <v>21438409.793595288</v>
      </c>
      <c r="E13" s="98">
        <f>SUBTOTAL(9,E14:E18)</f>
        <v>42368.398801571711</v>
      </c>
      <c r="F13" s="105"/>
    </row>
    <row r="14" spans="1:9" s="90" customFormat="1" outlineLevel="1">
      <c r="A14" s="106"/>
      <c r="B14" s="107" t="s">
        <v>533</v>
      </c>
      <c r="C14" s="174" t="s">
        <v>525</v>
      </c>
      <c r="D14" s="271">
        <f>E14*CONVERSIONES!$C$183</f>
        <v>7392526.6960538868</v>
      </c>
      <c r="E14" s="272">
        <f>CONVERSIONES!$C$179+CONVERSIONES!$D$179+CONVERSIONES!$E$179</f>
        <v>14609.73655346618</v>
      </c>
      <c r="F14" s="105"/>
      <c r="G14" s="108"/>
    </row>
    <row r="15" spans="1:9" s="90" customFormat="1" outlineLevel="1">
      <c r="A15" s="106"/>
      <c r="B15" s="107" t="s">
        <v>533</v>
      </c>
      <c r="C15" s="174" t="s">
        <v>526</v>
      </c>
      <c r="D15" s="271">
        <f>E15*CONVERSIONES!$C$183</f>
        <v>4423104.3184956508</v>
      </c>
      <c r="E15" s="272">
        <f>CONVERSIONES!$F$179+CONVERSIONES!$G$179</f>
        <v>8741.3128824024716</v>
      </c>
      <c r="F15" s="105"/>
      <c r="G15" s="108"/>
    </row>
    <row r="16" spans="1:9" s="90" customFormat="1" outlineLevel="1">
      <c r="B16" s="107" t="s">
        <v>533</v>
      </c>
      <c r="C16" s="174" t="s">
        <v>527</v>
      </c>
      <c r="D16" s="271">
        <f>E16*CONVERSIONES!$C$183</f>
        <v>5666059.3314285707</v>
      </c>
      <c r="E16" s="272">
        <f>CONVERSIONES!$H$179</f>
        <v>11197.745714285713</v>
      </c>
      <c r="F16" s="105"/>
      <c r="G16" s="108"/>
    </row>
    <row r="17" spans="2:19" s="90" customFormat="1" outlineLevel="1">
      <c r="B17" s="107" t="s">
        <v>533</v>
      </c>
      <c r="C17" s="174" t="s">
        <v>528</v>
      </c>
      <c r="D17" s="271">
        <f>E17*CONVERSIONES!$C$183</f>
        <v>1195578.6476171764</v>
      </c>
      <c r="E17" s="272">
        <f>CONVERSIONES!$I$179</f>
        <v>2362.8036514173446</v>
      </c>
      <c r="F17" s="105"/>
      <c r="G17" s="108"/>
    </row>
    <row r="18" spans="2:19" s="90" customFormat="1" outlineLevel="1">
      <c r="B18" s="107" t="s">
        <v>533</v>
      </c>
      <c r="C18" s="174" t="s">
        <v>532</v>
      </c>
      <c r="D18" s="271">
        <f>E18*CONVERSIONES!$J$183</f>
        <v>2761140.8000000003</v>
      </c>
      <c r="E18" s="272">
        <f>CONVERSIONES!$J$179</f>
        <v>5456.8</v>
      </c>
      <c r="F18" s="105"/>
      <c r="G18" s="108"/>
    </row>
    <row r="19" spans="2:19" s="90" customFormat="1" ht="15.6">
      <c r="B19" s="100"/>
      <c r="C19" s="109" t="s">
        <v>223</v>
      </c>
      <c r="D19" s="168">
        <f>SUBTOTAL(9,D9:D17)</f>
        <v>35381473.677219838</v>
      </c>
      <c r="E19" s="207">
        <f>SUBTOTAL(9,E9:E17)</f>
        <v>69600.844757784158</v>
      </c>
      <c r="F19" s="110"/>
      <c r="G19" s="110"/>
      <c r="J19" s="108"/>
      <c r="K19" s="111"/>
      <c r="O19" s="112"/>
      <c r="P19" s="113"/>
      <c r="Q19" s="114"/>
    </row>
    <row r="20" spans="2:19" s="90" customFormat="1" ht="15.6">
      <c r="B20" s="100"/>
      <c r="C20" s="115"/>
      <c r="D20" s="116"/>
      <c r="E20" s="116"/>
      <c r="G20" s="117"/>
      <c r="O20" s="113"/>
      <c r="P20" s="113"/>
    </row>
    <row r="21" spans="2:19" s="90" customFormat="1" ht="15.6">
      <c r="B21" s="100"/>
      <c r="N21" s="118"/>
      <c r="O21" s="119"/>
      <c r="P21" s="120"/>
    </row>
    <row r="22" spans="2:19" s="90" customFormat="1" ht="15.6">
      <c r="B22" s="590" t="s">
        <v>224</v>
      </c>
      <c r="C22" s="590"/>
      <c r="D22" s="590" t="s">
        <v>450</v>
      </c>
      <c r="E22" s="590"/>
      <c r="K22" s="120"/>
      <c r="L22" s="120"/>
      <c r="N22" s="118"/>
      <c r="R22" s="108"/>
      <c r="S22" s="108"/>
    </row>
    <row r="23" spans="2:19" s="90" customFormat="1" ht="16.2" thickBot="1">
      <c r="B23" s="121" t="s">
        <v>225</v>
      </c>
      <c r="C23" s="122" t="s">
        <v>226</v>
      </c>
      <c r="D23" s="95" t="s">
        <v>242</v>
      </c>
      <c r="E23" s="95" t="s">
        <v>219</v>
      </c>
      <c r="F23" s="123" t="s">
        <v>227</v>
      </c>
      <c r="G23" s="118" t="s">
        <v>228</v>
      </c>
      <c r="H23" s="118"/>
      <c r="I23" s="118"/>
      <c r="J23" s="124" t="s">
        <v>229</v>
      </c>
      <c r="N23" s="125"/>
      <c r="R23" s="108"/>
      <c r="S23" s="126"/>
    </row>
    <row r="24" spans="2:19" s="90" customFormat="1" ht="16.2" thickBot="1">
      <c r="B24" s="100"/>
      <c r="C24" s="127" t="s">
        <v>230</v>
      </c>
      <c r="D24" s="172">
        <f>SUBTOTAL(9,D25:D25)</f>
        <v>5909923</v>
      </c>
      <c r="E24" s="128">
        <f>SUBTOTAL(9,E25:E25)</f>
        <v>11565.407045009784</v>
      </c>
      <c r="F24" s="129"/>
      <c r="J24" s="130"/>
    </row>
    <row r="25" spans="2:19" s="90" customFormat="1" ht="15" outlineLevel="1" thickBot="1">
      <c r="B25" s="100" t="s">
        <v>497</v>
      </c>
      <c r="C25" s="234" t="s">
        <v>496</v>
      </c>
      <c r="D25" s="271">
        <v>5909923</v>
      </c>
      <c r="E25" s="142">
        <f>D25/$D$6</f>
        <v>11565.407045009784</v>
      </c>
      <c r="F25" s="134">
        <v>45579</v>
      </c>
      <c r="G25" s="90" t="s">
        <v>235</v>
      </c>
      <c r="H25" s="90">
        <f>IF(OR(G25="Sin pagar",G25="Pagar"),_xlfn.SINGLE(NETWORKDAYS($E$4,F25,'Festivos CR'!$A$3:$A$15)),0)</f>
        <v>0</v>
      </c>
      <c r="I25" s="90">
        <f>NETWORKDAYS($E$4,F25,'Festivos CR'!$A$3:$A$15)</f>
        <v>-17</v>
      </c>
      <c r="J25" s="132">
        <f t="shared" ref="J25:J30" si="0">H25</f>
        <v>0</v>
      </c>
      <c r="K25" s="108"/>
      <c r="L25" s="108"/>
    </row>
    <row r="26" spans="2:19" s="90" customFormat="1" ht="16.2" thickBot="1">
      <c r="B26" s="100"/>
      <c r="C26" s="127" t="s">
        <v>232</v>
      </c>
      <c r="D26" s="172">
        <f>SUBTOTAL(9,D27:D28)</f>
        <v>1508002</v>
      </c>
      <c r="E26" s="128">
        <f>SUBTOTAL(9,E27:E28)</f>
        <v>2951.0802348336592</v>
      </c>
      <c r="F26" s="90" t="s">
        <v>512</v>
      </c>
      <c r="J26" s="130">
        <f t="shared" si="0"/>
        <v>0</v>
      </c>
    </row>
    <row r="27" spans="2:19" s="90" customFormat="1" outlineLevel="1">
      <c r="B27" s="133"/>
      <c r="C27" s="101" t="s">
        <v>292</v>
      </c>
      <c r="D27" s="271">
        <v>1440883</v>
      </c>
      <c r="E27" s="142">
        <f>D27/$D$6</f>
        <v>2819.7318982387474</v>
      </c>
      <c r="F27" s="134">
        <v>45579</v>
      </c>
      <c r="G27" s="90" t="s">
        <v>235</v>
      </c>
      <c r="H27" s="90">
        <f>IF(OR(G27="Sin pagar",G27="Pagar"),_xlfn.SINGLE(NETWORKDAYS($E$4,F27,'Festivos CR'!$A$3:$A$15)),0)</f>
        <v>0</v>
      </c>
      <c r="I27" s="90">
        <f>NETWORKDAYS($E$4,F27,'Festivos CR'!$A$3:$A$15)</f>
        <v>-17</v>
      </c>
      <c r="J27" s="132">
        <f t="shared" si="0"/>
        <v>0</v>
      </c>
      <c r="K27" s="135"/>
      <c r="L27" s="111"/>
    </row>
    <row r="28" spans="2:19" s="90" customFormat="1" ht="29.4" outlineLevel="1" thickBot="1">
      <c r="B28" s="133"/>
      <c r="C28" s="101" t="s">
        <v>296</v>
      </c>
      <c r="D28" s="271">
        <v>67119</v>
      </c>
      <c r="E28" s="142">
        <f>D28/$D$6</f>
        <v>131.34833659491193</v>
      </c>
      <c r="F28" s="134">
        <v>45579</v>
      </c>
      <c r="G28" s="90" t="s">
        <v>235</v>
      </c>
      <c r="H28" s="90">
        <f>IF(OR(G28="Sin pagar",G28="Pagar"),_xlfn.SINGLE(NETWORKDAYS($E$4,F28,'Festivos CR'!$A$3:$A$15)),0)</f>
        <v>0</v>
      </c>
      <c r="I28" s="90">
        <f>NETWORKDAYS($E$4,F28,'Festivos CR'!$A$3:$A$15)</f>
        <v>-17</v>
      </c>
      <c r="J28" s="132">
        <f>H28</f>
        <v>0</v>
      </c>
      <c r="K28" s="135"/>
      <c r="L28" s="111"/>
    </row>
    <row r="29" spans="2:19" s="90" customFormat="1" ht="16.2" thickBot="1">
      <c r="B29" s="100"/>
      <c r="C29" s="127" t="s">
        <v>233</v>
      </c>
      <c r="D29" s="172">
        <f>SUBTOTAL(9,D30:D30)</f>
        <v>62400</v>
      </c>
      <c r="E29" s="128">
        <f>SUBTOTAL(9,E30:E30)</f>
        <v>122.11350293542074</v>
      </c>
      <c r="J29" s="130">
        <f t="shared" si="0"/>
        <v>0</v>
      </c>
      <c r="K29" s="108"/>
      <c r="L29" s="108"/>
    </row>
    <row r="30" spans="2:19" s="90" customFormat="1" ht="15" outlineLevel="1" thickBot="1">
      <c r="B30" s="100">
        <v>20</v>
      </c>
      <c r="C30" s="101" t="s">
        <v>535</v>
      </c>
      <c r="D30" s="169">
        <v>62400</v>
      </c>
      <c r="E30" s="137">
        <f>D30/$D$6</f>
        <v>122.11350293542074</v>
      </c>
      <c r="F30" s="129">
        <v>45590</v>
      </c>
      <c r="G30" s="90" t="s">
        <v>235</v>
      </c>
      <c r="H30" s="90">
        <f>IF(OR(G30="Sin pagar",G30="Pagar"),_xlfn.SINGLE(NETWORKDAYS($E$4,F30,'Festivos CR'!$A$3:$A$15)),0)</f>
        <v>0</v>
      </c>
      <c r="I30" s="90">
        <f>NETWORKDAYS($E$4,F30,'Festivos CR'!$A$3:$A$15)</f>
        <v>-8</v>
      </c>
      <c r="J30" s="132">
        <f t="shared" si="0"/>
        <v>0</v>
      </c>
      <c r="N30" s="103"/>
    </row>
    <row r="31" spans="2:19" s="90" customFormat="1" ht="16.2" thickBot="1">
      <c r="C31" s="127" t="s">
        <v>250</v>
      </c>
      <c r="D31" s="172">
        <f>SUBTOTAL(9,D32:D32)</f>
        <v>77000</v>
      </c>
      <c r="E31" s="128">
        <f>SUBTOTAL(9,E32:E32)</f>
        <v>150.68493150684932</v>
      </c>
      <c r="K31" s="103"/>
      <c r="L31" s="103"/>
      <c r="O31" s="103"/>
      <c r="P31" s="103"/>
    </row>
    <row r="32" spans="2:19" s="90" customFormat="1" ht="14.25" customHeight="1" outlineLevel="1" thickBot="1">
      <c r="B32" s="138" t="s">
        <v>455</v>
      </c>
      <c r="C32" s="101" t="s">
        <v>251</v>
      </c>
      <c r="D32" s="169">
        <v>77000</v>
      </c>
      <c r="E32" s="137">
        <f>D32/$D$6</f>
        <v>150.68493150684932</v>
      </c>
      <c r="F32" s="129">
        <v>45567</v>
      </c>
      <c r="G32" s="90" t="s">
        <v>235</v>
      </c>
      <c r="H32" s="90">
        <f>IF(OR(G32="Sin pagar",G32="Pagar"),_xlfn.SINGLE(NETWORKDAYS($E$4,F32,'Festivos CR'!$A$3:$A$15)),0)</f>
        <v>0</v>
      </c>
      <c r="I32" s="90">
        <f>NETWORKDAYS($E$4,F32,'Festivos CR'!$A$3:$A$15)</f>
        <v>-25</v>
      </c>
      <c r="J32" s="132">
        <f>H32</f>
        <v>0</v>
      </c>
      <c r="K32" s="103"/>
      <c r="L32" s="103"/>
      <c r="O32" s="103"/>
      <c r="P32" s="103"/>
    </row>
    <row r="33" spans="1:16" s="90" customFormat="1" ht="16.2" thickBot="1">
      <c r="B33" s="136"/>
      <c r="C33" s="139" t="s">
        <v>234</v>
      </c>
      <c r="D33" s="173">
        <f>SUBTOTAL(9,D34:D36)</f>
        <v>0</v>
      </c>
      <c r="E33" s="140">
        <f>SUBTOTAL(9,E34:E36)</f>
        <v>0</v>
      </c>
      <c r="K33" s="108"/>
    </row>
    <row r="34" spans="1:16" s="90" customFormat="1" outlineLevel="1">
      <c r="B34" s="176">
        <v>5059</v>
      </c>
      <c r="C34" s="174" t="s">
        <v>452</v>
      </c>
      <c r="D34" s="169">
        <f>E34*$D$6</f>
        <v>0</v>
      </c>
      <c r="E34" s="137">
        <f>515*0</f>
        <v>0</v>
      </c>
      <c r="F34" s="129">
        <v>45596</v>
      </c>
      <c r="G34" s="90" t="s">
        <v>231</v>
      </c>
      <c r="H34" s="90">
        <f>IF(OR(G34="Sin pagar",G34="Pagar"),_xlfn.SINGLE(NETWORKDAYS($E$4,F34,'Festivos CR'!$A$3:$A$15)),0)</f>
        <v>-4</v>
      </c>
      <c r="I34" s="90">
        <f>NETWORKDAYS($E$4,F34,'Festivos CR'!$A$3:$A$15)</f>
        <v>-4</v>
      </c>
      <c r="J34" s="132">
        <f>H34</f>
        <v>-4</v>
      </c>
      <c r="M34" s="297"/>
      <c r="N34" s="298"/>
    </row>
    <row r="35" spans="1:16" s="90" customFormat="1" outlineLevel="1">
      <c r="B35" s="176">
        <v>5160</v>
      </c>
      <c r="C35" s="174" t="s">
        <v>475</v>
      </c>
      <c r="D35" s="169">
        <f>E35*$D$6</f>
        <v>0</v>
      </c>
      <c r="E35" s="137">
        <f>755*0</f>
        <v>0</v>
      </c>
      <c r="F35" s="129">
        <v>45596</v>
      </c>
      <c r="G35" s="90" t="s">
        <v>231</v>
      </c>
      <c r="H35" s="90">
        <f>IF(OR(G35="Sin pagar",G35="Pagar"),_xlfn.SINGLE(NETWORKDAYS($E$4,F35,'Festivos CR'!$A$3:$A$15)),0)</f>
        <v>-4</v>
      </c>
      <c r="I35" s="90">
        <f>NETWORKDAYS($E$4,F35,'Festivos CR'!$A$3:$A$15)</f>
        <v>-4</v>
      </c>
      <c r="J35" s="132">
        <f>H35</f>
        <v>-4</v>
      </c>
      <c r="M35" s="297"/>
      <c r="N35" s="298"/>
    </row>
    <row r="36" spans="1:16" s="90" customFormat="1" ht="15" outlineLevel="1" thickBot="1">
      <c r="B36" s="176">
        <v>5283</v>
      </c>
      <c r="C36" s="174" t="s">
        <v>513</v>
      </c>
      <c r="D36" s="169">
        <f>E36*$D$6</f>
        <v>0</v>
      </c>
      <c r="E36" s="137">
        <f>515*0</f>
        <v>0</v>
      </c>
      <c r="F36" s="129">
        <v>45596</v>
      </c>
      <c r="G36" s="90" t="s">
        <v>231</v>
      </c>
      <c r="H36" s="90">
        <f>IF(OR(G36="Sin pagar",G36="Pagar"),_xlfn.SINGLE(NETWORKDAYS($E$4,F36,'Festivos CR'!$A$3:$A$15)),0)</f>
        <v>-4</v>
      </c>
      <c r="I36" s="90">
        <f>NETWORKDAYS($E$4,F36,'Festivos CR'!$A$3:$A$15)</f>
        <v>-4</v>
      </c>
      <c r="J36" s="132">
        <f>H36</f>
        <v>-4</v>
      </c>
      <c r="M36" s="297"/>
      <c r="N36" s="298"/>
    </row>
    <row r="37" spans="1:16" s="90" customFormat="1" ht="15.75" customHeight="1" thickBot="1">
      <c r="C37" s="127" t="s">
        <v>236</v>
      </c>
      <c r="D37" s="172">
        <f>SUBTOTAL(9,D38:D38)</f>
        <v>172870</v>
      </c>
      <c r="E37" s="128">
        <f>SUBTOTAL(9,E38:E38)</f>
        <v>77.054794520547944</v>
      </c>
      <c r="M37" s="299"/>
      <c r="N37" s="299"/>
      <c r="O37" s="118"/>
      <c r="P37" s="300"/>
    </row>
    <row r="38" spans="1:16" s="90" customFormat="1" ht="15" outlineLevel="1" thickBot="1">
      <c r="B38" s="100"/>
      <c r="C38" s="174" t="s">
        <v>236</v>
      </c>
      <c r="D38" s="271">
        <f>39375+133495</f>
        <v>172870</v>
      </c>
      <c r="E38" s="142">
        <f>39375/D6</f>
        <v>77.054794520547944</v>
      </c>
      <c r="F38" s="129">
        <v>45595</v>
      </c>
      <c r="G38" s="90" t="s">
        <v>235</v>
      </c>
      <c r="H38" s="90">
        <f>IF(OR(G38="Sin pagar",G38="Pagar"),_xlfn.SINGLE(NETWORKDAYS($E$4,F38,'Festivos CR'!$A$3:$A$15)),0)</f>
        <v>0</v>
      </c>
      <c r="I38" s="90">
        <f>NETWORKDAYS($E$4,F38,'Festivos CR'!$A$3:$A$15)</f>
        <v>-5</v>
      </c>
      <c r="J38" s="132">
        <f>H38</f>
        <v>0</v>
      </c>
    </row>
    <row r="39" spans="1:16" s="90" customFormat="1" ht="16.2" thickBot="1">
      <c r="C39" s="127" t="s">
        <v>237</v>
      </c>
      <c r="D39" s="172">
        <f>SUBTOTAL(9,D40:D47)</f>
        <v>13203900.440000001</v>
      </c>
      <c r="E39" s="128">
        <f>SUBTOTAL(9,E40:E47)</f>
        <v>26182.391521739133</v>
      </c>
      <c r="K39" s="108"/>
      <c r="L39" s="143"/>
    </row>
    <row r="40" spans="1:16" s="90" customFormat="1" outlineLevel="1">
      <c r="B40" s="145" t="s">
        <v>391</v>
      </c>
      <c r="C40" s="174" t="s">
        <v>254</v>
      </c>
      <c r="D40" s="170">
        <v>1612916.33</v>
      </c>
      <c r="E40" s="142">
        <f>D40/CONVERSIONES!$C$183</f>
        <v>3187.5816798418973</v>
      </c>
      <c r="F40" s="129">
        <v>45593</v>
      </c>
      <c r="G40" s="90" t="s">
        <v>235</v>
      </c>
      <c r="H40" s="90">
        <f>IF(OR(G40="Sin pagar",G40="Pagar"),_xlfn.SINGLE(NETWORKDAYS($E$4,F40,'Festivos CR'!$A$3:$A$15)),0)</f>
        <v>0</v>
      </c>
      <c r="I40" s="90">
        <f>NETWORKDAYS($E$4,F40,'Festivos CR'!$A$3:$A$15)</f>
        <v>-7</v>
      </c>
      <c r="J40" s="132">
        <f t="shared" ref="J40:J46" si="1">H40</f>
        <v>0</v>
      </c>
      <c r="K40" s="135"/>
      <c r="L40" s="135"/>
    </row>
    <row r="41" spans="1:16" s="180" customFormat="1" outlineLevel="1">
      <c r="B41" s="265" t="s">
        <v>270</v>
      </c>
      <c r="C41" s="174" t="s">
        <v>258</v>
      </c>
      <c r="D41" s="170">
        <f>$E$41*CONVERSIONES!$C$83</f>
        <v>1683392.87</v>
      </c>
      <c r="E41" s="142">
        <v>3414.59</v>
      </c>
      <c r="F41" s="129">
        <v>45593</v>
      </c>
      <c r="G41" s="90" t="s">
        <v>235</v>
      </c>
      <c r="H41" s="90">
        <f>IF(OR(G41="Sin pagar",G41="Pagar"),_xlfn.SINGLE(NETWORKDAYS($E$4,F41,'Festivos CR'!$A$3:$A$15)),0)</f>
        <v>0</v>
      </c>
      <c r="I41" s="90">
        <f>NETWORKDAYS($E$4,F41,'Festivos CR'!$A$3:$A$15)</f>
        <v>-7</v>
      </c>
      <c r="J41" s="132">
        <f t="shared" si="1"/>
        <v>0</v>
      </c>
      <c r="L41" s="179"/>
    </row>
    <row r="42" spans="1:16" s="90" customFormat="1" outlineLevel="1">
      <c r="B42" s="145" t="s">
        <v>391</v>
      </c>
      <c r="C42" s="174" t="s">
        <v>390</v>
      </c>
      <c r="D42" s="170">
        <v>1325079.3600000001</v>
      </c>
      <c r="E42" s="142">
        <f>D42/CONVERSIONES!$C$183</f>
        <v>2618.7339130434784</v>
      </c>
      <c r="F42" s="129">
        <v>45593</v>
      </c>
      <c r="G42" s="90" t="s">
        <v>235</v>
      </c>
      <c r="H42" s="90">
        <f>IF(OR(G42="Sin pagar",G42="Pagar"),_xlfn.SINGLE(NETWORKDAYS($E$4,F42,'Festivos CR'!$A$3:$A$15)),0)</f>
        <v>0</v>
      </c>
      <c r="I42" s="90">
        <f>NETWORKDAYS($E$4,F42,'Festivos CR'!$A$3:$A$15)</f>
        <v>-7</v>
      </c>
      <c r="J42" s="132">
        <f>H42</f>
        <v>0</v>
      </c>
      <c r="K42" s="135"/>
      <c r="L42" s="135"/>
    </row>
    <row r="43" spans="1:16" s="180" customFormat="1" outlineLevel="1">
      <c r="B43" s="145" t="s">
        <v>391</v>
      </c>
      <c r="C43" s="174" t="s">
        <v>253</v>
      </c>
      <c r="D43" s="170">
        <v>1410537.3</v>
      </c>
      <c r="E43" s="142">
        <f>$D$43/CONVERSIONES!$C$183</f>
        <v>2787.6231225296442</v>
      </c>
      <c r="F43" s="129">
        <v>45593</v>
      </c>
      <c r="G43" s="90" t="s">
        <v>235</v>
      </c>
      <c r="H43" s="90">
        <f>IF(OR(G43="Sin pagar",G43="Pagar"),_xlfn.SINGLE(NETWORKDAYS($E$4,F43,'Festivos CR'!$A$3:$A$15)),0)</f>
        <v>0</v>
      </c>
      <c r="I43" s="90">
        <f>NETWORKDAYS($E$4,F43,'Festivos CR'!$A$3:$A$15)</f>
        <v>-7</v>
      </c>
      <c r="J43" s="132">
        <f t="shared" si="1"/>
        <v>0</v>
      </c>
      <c r="L43" s="179"/>
    </row>
    <row r="44" spans="1:16" s="180" customFormat="1" outlineLevel="1">
      <c r="B44" s="145" t="s">
        <v>391</v>
      </c>
      <c r="C44" s="174" t="s">
        <v>255</v>
      </c>
      <c r="D44" s="170">
        <v>1410537.3</v>
      </c>
      <c r="E44" s="142">
        <f>$D$44/CONVERSIONES!$C$183</f>
        <v>2787.6231225296442</v>
      </c>
      <c r="F44" s="129">
        <v>45593</v>
      </c>
      <c r="G44" s="90" t="s">
        <v>235</v>
      </c>
      <c r="H44" s="90">
        <f>IF(OR(G44="Sin pagar",G44="Pagar"),_xlfn.SINGLE(NETWORKDAYS($E$4,F44,'Festivos CR'!$A$3:$A$15)),0)</f>
        <v>0</v>
      </c>
      <c r="I44" s="90">
        <f>NETWORKDAYS($E$4,F44,'Festivos CR'!$A$3:$A$15)</f>
        <v>-7</v>
      </c>
      <c r="J44" s="132">
        <f t="shared" si="1"/>
        <v>0</v>
      </c>
      <c r="L44" s="179"/>
    </row>
    <row r="45" spans="1:16" s="180" customFormat="1" outlineLevel="1">
      <c r="B45" s="145" t="s">
        <v>391</v>
      </c>
      <c r="C45" s="174" t="s">
        <v>330</v>
      </c>
      <c r="D45" s="170">
        <v>786551.54</v>
      </c>
      <c r="E45" s="142">
        <f>$D$45/CONVERSIONES!$C$183</f>
        <v>1554.4496837944664</v>
      </c>
      <c r="F45" s="129">
        <v>45593</v>
      </c>
      <c r="G45" s="90" t="s">
        <v>235</v>
      </c>
      <c r="H45" s="90">
        <f>IF(OR(G45="Sin pagar",G45="Pagar"),_xlfn.SINGLE(NETWORKDAYS($E$4,F45,'Festivos CR'!$A$3:$A$15)),0)</f>
        <v>0</v>
      </c>
      <c r="I45" s="90">
        <f>NETWORKDAYS($E$4,F45,'Festivos CR'!$A$3:$A$15)</f>
        <v>-7</v>
      </c>
      <c r="J45" s="132">
        <f>H45</f>
        <v>0</v>
      </c>
      <c r="L45" s="179"/>
    </row>
    <row r="46" spans="1:16" s="180" customFormat="1" outlineLevel="1">
      <c r="B46" s="265" t="s">
        <v>270</v>
      </c>
      <c r="C46" s="174" t="s">
        <v>257</v>
      </c>
      <c r="D46" s="170">
        <f>$E$46*CONVERSIONES!$C$183</f>
        <v>3311496.7600000002</v>
      </c>
      <c r="E46" s="142">
        <v>6544.46</v>
      </c>
      <c r="F46" s="129">
        <v>45593</v>
      </c>
      <c r="G46" s="90" t="s">
        <v>235</v>
      </c>
      <c r="H46" s="90">
        <f>IF(OR(G46="Sin pagar",G46="Pagar"),_xlfn.SINGLE(NETWORKDAYS($E$4,F46,'Festivos CR'!$A$3:$A$15)),0)</f>
        <v>0</v>
      </c>
      <c r="I46" s="90">
        <f>NETWORKDAYS($E$4,F46,'Festivos CR'!$A$3:$A$15)</f>
        <v>-7</v>
      </c>
      <c r="J46" s="132">
        <f t="shared" si="1"/>
        <v>0</v>
      </c>
      <c r="L46" s="179"/>
    </row>
    <row r="47" spans="1:16" s="180" customFormat="1" ht="15" outlineLevel="1" thickBot="1">
      <c r="B47" s="265" t="s">
        <v>270</v>
      </c>
      <c r="C47" s="174" t="s">
        <v>549</v>
      </c>
      <c r="D47" s="170">
        <f>$E$47*CONVERSIONES!$C$183</f>
        <v>1663388.98</v>
      </c>
      <c r="E47" s="142">
        <f>CONVERSIONES!J180</f>
        <v>3287.33</v>
      </c>
      <c r="F47" s="129"/>
      <c r="G47" s="90"/>
      <c r="H47" s="90"/>
      <c r="I47" s="90"/>
      <c r="J47" s="132"/>
      <c r="L47" s="179"/>
    </row>
    <row r="48" spans="1:16" s="90" customFormat="1" ht="16.2" thickBot="1">
      <c r="A48" s="180"/>
      <c r="B48" s="145"/>
      <c r="C48" s="127" t="s">
        <v>238</v>
      </c>
      <c r="D48" s="172">
        <f>SUBTOTAL(9,D49:D49)</f>
        <v>0</v>
      </c>
      <c r="E48" s="128">
        <f>SUBTOTAL(9,E49:E49)</f>
        <v>0</v>
      </c>
      <c r="L48" s="108"/>
    </row>
    <row r="49" spans="1:16" s="90" customFormat="1" ht="15" outlineLevel="1" thickBot="1">
      <c r="A49" s="180"/>
      <c r="B49" s="146"/>
      <c r="C49" s="101"/>
      <c r="D49" s="170">
        <v>0</v>
      </c>
      <c r="E49" s="142">
        <f>D49/$D$6</f>
        <v>0</v>
      </c>
      <c r="F49" s="129">
        <v>45565</v>
      </c>
      <c r="G49" s="90" t="s">
        <v>235</v>
      </c>
      <c r="H49" s="90" t="e">
        <f>IF(OR(#REF!="Sin pagar",#REF!="Pagar"),_xlfn.SINGLE(NETWORKDAYS($E$4,#REF!,'Festivos CR'!$A$3:$A$15)),0)</f>
        <v>#REF!</v>
      </c>
      <c r="I49" s="90" t="e">
        <f>NETWORKDAYS($E$4,#REF!,'Festivos CR'!$A$3:$A$15)</f>
        <v>#REF!</v>
      </c>
      <c r="J49" s="132"/>
      <c r="L49" s="108"/>
    </row>
    <row r="50" spans="1:16" s="90" customFormat="1" ht="14.25" customHeight="1">
      <c r="B50" s="100"/>
      <c r="C50" s="147" t="s">
        <v>239</v>
      </c>
      <c r="D50" s="171">
        <f>SUBTOTAL(9,D24:D49)</f>
        <v>20934095.440000001</v>
      </c>
      <c r="E50" s="148">
        <f>SUBTOTAL(9,E24:E49)</f>
        <v>41048.73203054539</v>
      </c>
      <c r="K50" s="316"/>
      <c r="L50" s="316"/>
      <c r="N50" s="316"/>
      <c r="O50" s="316"/>
      <c r="P50" s="316"/>
    </row>
    <row r="51" spans="1:16" ht="15.6">
      <c r="A51" s="90"/>
      <c r="E51" s="149"/>
      <c r="F51" s="239"/>
      <c r="G51" s="150"/>
      <c r="H51" s="150"/>
      <c r="I51" s="150"/>
      <c r="J51" s="150"/>
    </row>
    <row r="52" spans="1:16" ht="15.6">
      <c r="A52" s="90"/>
      <c r="C52" s="151" t="s">
        <v>3</v>
      </c>
      <c r="D52" s="182">
        <f>D19-D50</f>
        <v>14447378.237219837</v>
      </c>
      <c r="E52" s="152">
        <f>E19-E50</f>
        <v>28552.112727238768</v>
      </c>
      <c r="F52" s="243"/>
      <c r="G52" s="153"/>
      <c r="J52" s="153"/>
    </row>
    <row r="53" spans="1:16" s="157" customFormat="1" ht="15.6">
      <c r="A53" s="90"/>
      <c r="B53" s="154"/>
      <c r="C53" s="151" t="s">
        <v>240</v>
      </c>
      <c r="D53" s="155">
        <f>IF($D$19=0,0,D52/$D$19)</f>
        <v>0.40833172662679962</v>
      </c>
      <c r="E53" s="155">
        <f>IF($E$19=0,0,E52/$E$19)</f>
        <v>0.41022652564925227</v>
      </c>
      <c r="F53" s="156"/>
      <c r="G53" s="153"/>
      <c r="J53" s="158"/>
      <c r="K53" s="316"/>
      <c r="L53" s="316"/>
      <c r="N53" s="316"/>
      <c r="O53" s="316"/>
      <c r="P53" s="316"/>
    </row>
    <row r="54" spans="1:16">
      <c r="A54" s="90"/>
      <c r="F54" s="156"/>
      <c r="G54" s="153"/>
    </row>
    <row r="56" spans="1:16" ht="15" thickBot="1"/>
    <row r="57" spans="1:16" ht="15" thickBot="1">
      <c r="C57" s="189" t="s">
        <v>260</v>
      </c>
      <c r="D57" s="190" t="s">
        <v>261</v>
      </c>
      <c r="E57" s="191" t="s">
        <v>265</v>
      </c>
      <c r="F57" s="191" t="s">
        <v>266</v>
      </c>
    </row>
    <row r="58" spans="1:16">
      <c r="C58" s="303">
        <v>45566</v>
      </c>
      <c r="D58" s="304">
        <v>45571</v>
      </c>
      <c r="E58" s="195">
        <f>SUMIFS($D$23:$D$55,$F$23:$F$55,"&gt;="&amp;C58,$F$23:$F$55,"&lt;="&amp;D58,$G$23:$G$55,#REF!)</f>
        <v>0</v>
      </c>
      <c r="F58" s="201">
        <f>SUMIFS($E$23:$E$55,$F$23:$F$55,"&gt;="&amp;C58,$F$23:$F$55,"&lt;="&amp;D58,$G$23:$G$55,#REF!)</f>
        <v>0</v>
      </c>
      <c r="G58" s="316" t="s">
        <v>515</v>
      </c>
    </row>
    <row r="59" spans="1:16">
      <c r="C59" s="305">
        <v>45572</v>
      </c>
      <c r="D59" s="306">
        <v>45578</v>
      </c>
      <c r="E59" s="196">
        <f>SUMIFS($D$23:$D$55,$F$23:$F$55,"&gt;="&amp;C59,$F$23:$F$55,"&lt;="&amp;D59,$G$23:$G$55,#REF!)</f>
        <v>0</v>
      </c>
      <c r="F59" s="202">
        <f>SUMIFS($E$23:$E$55,$F$23:$F$55,"&gt;="&amp;C59,$F$23:$F$55,"&lt;="&amp;D59,$G$23:$G$55,#REF!)</f>
        <v>0</v>
      </c>
    </row>
    <row r="60" spans="1:16">
      <c r="C60" s="183">
        <v>45579</v>
      </c>
      <c r="D60" s="184">
        <v>45585</v>
      </c>
      <c r="E60" s="196">
        <f>SUMIFS($D$23:$D$55,$F$23:$F$55,"&gt;="&amp;C60,$F$23:$F$55,"&lt;="&amp;D60,$G$23:$G$55,#REF!)</f>
        <v>0</v>
      </c>
      <c r="F60" s="202">
        <f>SUMIFS($E$23:$E$55,$F$23:$F$55,"&gt;="&amp;C60,$F$23:$F$55,"&lt;="&amp;D60,$G$23:$G$55,#REF!)</f>
        <v>0</v>
      </c>
      <c r="G60" s="316" t="s">
        <v>502</v>
      </c>
      <c r="J60" s="591"/>
    </row>
    <row r="61" spans="1:16">
      <c r="C61" s="183">
        <v>45586</v>
      </c>
      <c r="D61" s="184">
        <v>45592</v>
      </c>
      <c r="E61" s="196">
        <f>SUMIFS($D$23:$D$55,$F$23:$F$55,"&gt;="&amp;C61,$F$23:$F$55,"&lt;="&amp;D61,$G$23:$G$55,#REF!)</f>
        <v>0</v>
      </c>
      <c r="F61" s="202">
        <f>SUMIFS($E$23:$E$55,$F$23:$F$55,"&gt;="&amp;C61,$F$23:$F$55,"&lt;="&amp;D61,$G$23:$G$55,#REF!)</f>
        <v>0</v>
      </c>
      <c r="G61" s="316" t="s">
        <v>516</v>
      </c>
      <c r="J61" s="591"/>
    </row>
    <row r="62" spans="1:16">
      <c r="C62" s="183">
        <v>45593</v>
      </c>
      <c r="D62" s="184">
        <v>46691</v>
      </c>
      <c r="E62" s="196">
        <f>SUMIFS($D$23:$D$55,$F$23:$F$55,"&gt;="&amp;C62,$F$23:$F$55,"&lt;="&amp;D62,$G$23:$G$55,#REF!)</f>
        <v>0</v>
      </c>
      <c r="F62" s="202">
        <f>SUMIFS($E$23:$E$55,$F$23:$F$55,"&gt;="&amp;C62,$F$23:$F$55,"&lt;="&amp;D62,$G$23:$G$55,#REF!)</f>
        <v>0</v>
      </c>
      <c r="G62" s="316" t="s">
        <v>407</v>
      </c>
    </row>
    <row r="63" spans="1:16" ht="15.6">
      <c r="C63" s="589" t="s">
        <v>262</v>
      </c>
      <c r="D63" s="589"/>
      <c r="E63" s="186">
        <f>SUM(E58:E62)</f>
        <v>0</v>
      </c>
      <c r="F63" s="200">
        <f>SUM(F58:F62)</f>
        <v>0</v>
      </c>
      <c r="G63" s="94"/>
      <c r="J63" s="153"/>
      <c r="K63" s="153"/>
    </row>
    <row r="66" spans="3:10">
      <c r="C66" s="592" t="s">
        <v>267</v>
      </c>
      <c r="D66" s="592"/>
      <c r="E66" s="204">
        <f>'BAC SAN JOSE COLONES  '!$G$269+('BAC SAN JOSE USD'!$G$221*CONVERSIONES!$C$183)</f>
        <v>14447369.039982814</v>
      </c>
      <c r="F66" s="206">
        <f>E66/CONVERSIONES!$C$183</f>
        <v>28552.112727238764</v>
      </c>
    </row>
    <row r="67" spans="3:10">
      <c r="C67" s="592" t="s">
        <v>551</v>
      </c>
      <c r="D67" s="592"/>
      <c r="E67" s="204">
        <f>SUM(E58:E61)</f>
        <v>0</v>
      </c>
      <c r="F67" s="206">
        <f>SUM(F58:F61)</f>
        <v>0</v>
      </c>
    </row>
    <row r="68" spans="3:10">
      <c r="C68" s="588" t="s">
        <v>152</v>
      </c>
      <c r="D68" s="588"/>
      <c r="E68" s="205">
        <f>E66-E67</f>
        <v>14447369.039982814</v>
      </c>
      <c r="F68" s="199">
        <f>F66-F67</f>
        <v>28552.112727238764</v>
      </c>
      <c r="G68" s="206"/>
      <c r="J68" s="206">
        <f>F68-E52</f>
        <v>0</v>
      </c>
    </row>
    <row r="70" spans="3:10">
      <c r="E70" s="88" t="s">
        <v>400</v>
      </c>
      <c r="F70" s="88">
        <f>D52</f>
        <v>14447378.237219837</v>
      </c>
      <c r="G70" s="322"/>
    </row>
    <row r="71" spans="3:10">
      <c r="E71" s="88" t="s">
        <v>401</v>
      </c>
      <c r="F71" s="88">
        <f>('BAC SAN JOSE USD'!$G$221*CONVERSIONES!$C$183)+'BAC SAN JOSE COLONES  '!$G$269</f>
        <v>14447369.039982814</v>
      </c>
      <c r="G71" s="322"/>
    </row>
    <row r="72" spans="3:10">
      <c r="E72" s="88" t="s">
        <v>336</v>
      </c>
      <c r="F72" s="88">
        <f>F70-F71</f>
        <v>9.1972370222210884</v>
      </c>
      <c r="G72" s="206"/>
    </row>
    <row r="73" spans="3:10">
      <c r="F73" s="88"/>
      <c r="G73" s="322"/>
    </row>
  </sheetData>
  <protectedRanges>
    <protectedRange sqref="F19:G19 D54:E54 D10:E12" name="Presupuestos"/>
    <protectedRange sqref="D8:E8 D23:E23" name="Presupuestos_1"/>
    <protectedRange sqref="D30:E30" name="Presupuestos_13_1"/>
    <protectedRange sqref="D32:E32" name="Presupuestos_14"/>
    <protectedRange sqref="D41 E40:E44 D45:E47" name="Presupuestos_2_1_1_1"/>
    <protectedRange sqref="D40 E49 K40 D42 K42" name="Presupuestos_6_1_1_1"/>
    <protectedRange sqref="D43:D44" name="Presupuestos_5_2_1"/>
    <protectedRange sqref="D38:E38" name="Presupuestos_7_1"/>
    <protectedRange sqref="D49" name="Presupuestos_5_3"/>
    <protectedRange sqref="D34:E36" name="Presupuestos_13_1_1"/>
  </protectedRanges>
  <autoFilter ref="A23:S49" xr:uid="{67F5DF66-AEC4-40D0-81E9-DFD73F3C9312}"/>
  <mergeCells count="8">
    <mergeCell ref="C67:D67"/>
    <mergeCell ref="C68:D68"/>
    <mergeCell ref="D7:E7"/>
    <mergeCell ref="B22:C22"/>
    <mergeCell ref="D22:E22"/>
    <mergeCell ref="J60:J61"/>
    <mergeCell ref="C63:D63"/>
    <mergeCell ref="C66:D66"/>
  </mergeCells>
  <dataValidations count="4">
    <dataValidation type="list" allowBlank="1" showInputMessage="1" showErrorMessage="1" sqref="D22 D7" xr:uid="{AE866B0D-3779-4DE9-A2B8-E566FA0E4E1A}">
      <formula1>"ENERO,FEBRERO,MARZO,ABRIL,MAYO,JUNIO,JULIO,AGOSTO,SEPTIEMBRE,OCTUBRE,NOVIEMBRE,DICIEMBRE"</formula1>
    </dataValidation>
    <dataValidation type="list" allowBlank="1" showInputMessage="1" showErrorMessage="1" sqref="G38 G24:G25 G55:G56 G30 G32 G49 G27:G28 G40:G47 G34:G36" xr:uid="{22BEE6EB-32BC-4E1C-AA71-3B0C6092E31A}">
      <formula1>"Cancelado,Pagar,Sin Pagar"</formula1>
    </dataValidation>
    <dataValidation type="list" allowBlank="1" showInputMessage="1" showErrorMessage="1" sqref="O33" xr:uid="{A24DDA17-C585-44CF-9EB6-2D6747792E50}">
      <formula1>"0,1"</formula1>
    </dataValidation>
    <dataValidation type="list" allowBlank="1" showInputMessage="1" showErrorMessage="1" sqref="B14:B18" xr:uid="{2D27DCB6-91C0-4315-A192-30795DE28B84}">
      <formula1>"Sin Pagar,Pagado"</formula1>
    </dataValidation>
  </dataValidations>
  <pageMargins left="0.7" right="0.7" top="0.75" bottom="0.75" header="0.3" footer="0.3"/>
  <ignoredErrors>
    <ignoredError sqref="J48 J25:J46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2AD9-F798-488F-8EE5-114461770209}">
  <dimension ref="A1:S78"/>
  <sheetViews>
    <sheetView showGridLines="0" topLeftCell="A54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322" customWidth="1"/>
    <col min="2" max="2" width="12" style="323" bestFit="1" customWidth="1"/>
    <col min="3" max="3" width="54.33203125" style="322" bestFit="1" customWidth="1"/>
    <col min="4" max="4" width="24.44140625" style="88" customWidth="1"/>
    <col min="5" max="5" width="19.33203125" style="88" bestFit="1" customWidth="1"/>
    <col min="6" max="6" width="23.5546875" style="322" customWidth="1"/>
    <col min="7" max="7" width="16.88671875" style="322" customWidth="1"/>
    <col min="8" max="8" width="7.6640625" style="322" hidden="1" customWidth="1"/>
    <col min="9" max="9" width="12.109375" style="322" hidden="1" customWidth="1"/>
    <col min="10" max="10" width="16.5546875" style="322" customWidth="1"/>
    <col min="11" max="11" width="2.109375" style="322" customWidth="1"/>
    <col min="12" max="12" width="2.33203125" style="322" customWidth="1"/>
    <col min="13" max="13" width="14.5546875" style="322" bestFit="1" customWidth="1"/>
    <col min="14" max="14" width="13.109375" style="322" bestFit="1" customWidth="1"/>
    <col min="15" max="15" width="6.33203125" style="322" bestFit="1" customWidth="1"/>
    <col min="16" max="16" width="19.33203125" style="322" bestFit="1" customWidth="1"/>
    <col min="17" max="17" width="15.33203125" style="322" bestFit="1" customWidth="1"/>
    <col min="18" max="18" width="14" style="322" bestFit="1" customWidth="1"/>
    <col min="19" max="19" width="13" style="322" bestFit="1" customWidth="1"/>
    <col min="20" max="16384" width="9.109375" style="322"/>
  </cols>
  <sheetData>
    <row r="1" spans="1:9" hidden="1">
      <c r="D1" s="88">
        <v>42400</v>
      </c>
    </row>
    <row r="2" spans="1:9">
      <c r="D2" s="89"/>
      <c r="E2" s="89"/>
      <c r="I2" s="90"/>
    </row>
    <row r="3" spans="1:9">
      <c r="E3" s="220"/>
      <c r="I3" s="90"/>
    </row>
    <row r="4" spans="1:9" ht="15.6">
      <c r="B4" s="92"/>
      <c r="C4" s="92"/>
      <c r="D4" s="160" t="s">
        <v>216</v>
      </c>
      <c r="E4" s="161">
        <v>45598</v>
      </c>
      <c r="I4" s="90"/>
    </row>
    <row r="5" spans="1:9">
      <c r="D5" s="89"/>
      <c r="E5" s="89"/>
      <c r="I5" s="90"/>
    </row>
    <row r="6" spans="1:9">
      <c r="C6" s="93" t="s">
        <v>217</v>
      </c>
      <c r="D6" s="26">
        <v>506</v>
      </c>
      <c r="E6" s="89"/>
      <c r="I6" s="90"/>
    </row>
    <row r="7" spans="1:9" ht="15.6">
      <c r="C7" s="94"/>
      <c r="D7" s="590" t="s">
        <v>554</v>
      </c>
      <c r="E7" s="590"/>
      <c r="I7" s="90"/>
    </row>
    <row r="8" spans="1:9">
      <c r="D8" s="95" t="s">
        <v>242</v>
      </c>
      <c r="E8" s="95" t="s">
        <v>219</v>
      </c>
    </row>
    <row r="9" spans="1:9" s="96" customFormat="1" ht="15.6">
      <c r="C9" s="97" t="s">
        <v>220</v>
      </c>
      <c r="D9" s="167">
        <f>SUBTOTAL(9,D10:D11)</f>
        <v>14369981.289982814</v>
      </c>
      <c r="E9" s="98">
        <f>SUBTOTAL(9,E10:E11)</f>
        <v>28399.17250984746</v>
      </c>
      <c r="F9" s="99"/>
      <c r="I9" s="90"/>
    </row>
    <row r="10" spans="1:9" s="90" customFormat="1" outlineLevel="1">
      <c r="B10" s="100"/>
      <c r="C10" s="101" t="s">
        <v>243</v>
      </c>
      <c r="D10" s="169">
        <f>'BAC SAN JOSE COLONES  '!$G$269-'BAC SAN JOSE COLONES  '!$F$271-'BAC SAN JOSE COLONES  '!$F$272</f>
        <v>8722237.9082596358</v>
      </c>
      <c r="E10" s="218">
        <f>D10/$D$6</f>
        <v>17237.624324623786</v>
      </c>
      <c r="F10" s="103"/>
    </row>
    <row r="11" spans="1:9" s="90" customFormat="1" outlineLevel="1">
      <c r="B11" s="100"/>
      <c r="C11" s="101" t="s">
        <v>221</v>
      </c>
      <c r="D11" s="169">
        <f>E11*$D$6</f>
        <v>5647743.3817231786</v>
      </c>
      <c r="E11" s="218">
        <f>'BAC SAN JOSE USD'!$G$221</f>
        <v>11161.548185223673</v>
      </c>
      <c r="F11" s="103"/>
    </row>
    <row r="12" spans="1:9" s="90" customFormat="1" ht="15.6">
      <c r="B12" s="100"/>
      <c r="C12" s="104" t="s">
        <v>222</v>
      </c>
      <c r="D12" s="167">
        <f>SUBTOTAL(9,D13:D17)</f>
        <v>20430754.440000001</v>
      </c>
      <c r="E12" s="98">
        <f>SUBTOTAL(9,E13:E17)</f>
        <v>37183.072589641437</v>
      </c>
      <c r="F12" s="105"/>
    </row>
    <row r="13" spans="1:9" s="90" customFormat="1" outlineLevel="1">
      <c r="A13" s="106"/>
      <c r="B13" s="328" t="s">
        <v>533</v>
      </c>
      <c r="C13" s="329" t="s">
        <v>565</v>
      </c>
      <c r="D13" s="330">
        <f>E13*CONVERSIONES!$C$191</f>
        <v>4647993.1671428578</v>
      </c>
      <c r="E13" s="331">
        <f>CONVERSIONES!$C$197+CONVERSIONES!$D$197</f>
        <v>9258.9505321570869</v>
      </c>
      <c r="F13" s="105"/>
      <c r="G13" s="108"/>
    </row>
    <row r="14" spans="1:9" s="90" customFormat="1" outlineLevel="1">
      <c r="A14" s="106"/>
      <c r="B14" s="328" t="s">
        <v>533</v>
      </c>
      <c r="C14" s="329" t="s">
        <v>566</v>
      </c>
      <c r="D14" s="330">
        <f>E14*CONVERSIONES!$F$191</f>
        <v>7195053.8657142874</v>
      </c>
      <c r="E14" s="331">
        <f>CONVERSIONES!$E$197+CONVERSIONES!$F$197+CONVERSIONES!$G$197</f>
        <v>14332.77662492886</v>
      </c>
      <c r="F14" s="105"/>
      <c r="G14" s="108"/>
    </row>
    <row r="15" spans="1:9" s="90" customFormat="1" outlineLevel="1">
      <c r="B15" s="328" t="s">
        <v>533</v>
      </c>
      <c r="C15" s="329" t="s">
        <v>567</v>
      </c>
      <c r="D15" s="330">
        <f>E15*CONVERSIONES!$H$191</f>
        <v>5621268.3485714281</v>
      </c>
      <c r="E15" s="331">
        <f>CONVERSIONES!$H$197</f>
        <v>11197.745714285713</v>
      </c>
      <c r="F15" s="105"/>
      <c r="G15" s="108"/>
    </row>
    <row r="16" spans="1:9" s="90" customFormat="1" outlineLevel="1">
      <c r="B16" s="328" t="s">
        <v>533</v>
      </c>
      <c r="C16" s="329" t="s">
        <v>568</v>
      </c>
      <c r="D16" s="330">
        <f>$E$16*CONVERSIONES!$I$191</f>
        <v>1201587.0585714285</v>
      </c>
      <c r="E16" s="331">
        <f>CONVERSIONES!$I$197</f>
        <v>2393.5997182697779</v>
      </c>
      <c r="F16" s="105"/>
      <c r="G16" s="108"/>
    </row>
    <row r="17" spans="2:19" s="90" customFormat="1" outlineLevel="1">
      <c r="B17" s="107" t="s">
        <v>231</v>
      </c>
      <c r="C17" s="174" t="s">
        <v>582</v>
      </c>
      <c r="D17" s="271">
        <v>1764852</v>
      </c>
      <c r="E17" s="272">
        <f>CONVERSIONES!$J$193*0</f>
        <v>0</v>
      </c>
      <c r="F17" s="105"/>
      <c r="G17" s="108"/>
    </row>
    <row r="18" spans="2:19" s="90" customFormat="1" ht="15.6">
      <c r="B18" s="100"/>
      <c r="C18" s="109" t="s">
        <v>223</v>
      </c>
      <c r="D18" s="168">
        <f>SUBTOTAL(9,D9:D17)</f>
        <v>34800735.729982816</v>
      </c>
      <c r="E18" s="207">
        <f>SUBTOTAL(9,E9:E17)</f>
        <v>65582.245099488893</v>
      </c>
      <c r="F18" s="110"/>
      <c r="G18" s="110"/>
      <c r="J18" s="108"/>
      <c r="K18" s="111"/>
      <c r="O18" s="112"/>
      <c r="P18" s="113"/>
      <c r="Q18" s="114"/>
    </row>
    <row r="19" spans="2:19" s="90" customFormat="1" ht="15.6">
      <c r="B19" s="100"/>
      <c r="C19" s="115"/>
      <c r="D19" s="116"/>
      <c r="E19" s="116"/>
      <c r="G19" s="117"/>
      <c r="O19" s="113"/>
      <c r="P19" s="113"/>
    </row>
    <row r="20" spans="2:19" s="90" customFormat="1" ht="15.6">
      <c r="B20" s="100"/>
      <c r="N20" s="118"/>
      <c r="O20" s="119"/>
      <c r="P20" s="120"/>
    </row>
    <row r="21" spans="2:19" s="90" customFormat="1" ht="15.6">
      <c r="B21" s="590" t="s">
        <v>224</v>
      </c>
      <c r="C21" s="590"/>
      <c r="D21" s="590" t="s">
        <v>554</v>
      </c>
      <c r="E21" s="590"/>
      <c r="K21" s="120"/>
      <c r="L21" s="120"/>
      <c r="N21" s="118"/>
      <c r="R21" s="108"/>
      <c r="S21" s="108"/>
    </row>
    <row r="22" spans="2:19" s="90" customFormat="1" ht="16.2" thickBot="1">
      <c r="B22" s="121" t="s">
        <v>225</v>
      </c>
      <c r="C22" s="122" t="s">
        <v>226</v>
      </c>
      <c r="D22" s="95" t="s">
        <v>242</v>
      </c>
      <c r="E22" s="95" t="s">
        <v>219</v>
      </c>
      <c r="F22" s="123" t="s">
        <v>227</v>
      </c>
      <c r="G22" s="118" t="s">
        <v>228</v>
      </c>
      <c r="H22" s="118"/>
      <c r="I22" s="118"/>
      <c r="J22" s="124" t="s">
        <v>229</v>
      </c>
      <c r="N22" s="125"/>
      <c r="R22" s="108"/>
      <c r="S22" s="126"/>
    </row>
    <row r="23" spans="2:19" s="90" customFormat="1" ht="16.2" thickBot="1">
      <c r="B23" s="100"/>
      <c r="C23" s="127" t="s">
        <v>230</v>
      </c>
      <c r="D23" s="172">
        <f>SUBTOTAL(9,D24:D24)</f>
        <v>6075608</v>
      </c>
      <c r="E23" s="128">
        <f>SUBTOTAL(9,E24:E24)</f>
        <v>12007.130434782608</v>
      </c>
      <c r="F23" s="129"/>
      <c r="J23" s="130"/>
    </row>
    <row r="24" spans="2:19" s="90" customFormat="1" ht="15" outlineLevel="1" thickBot="1">
      <c r="B24" s="100" t="s">
        <v>580</v>
      </c>
      <c r="C24" s="234" t="s">
        <v>586</v>
      </c>
      <c r="D24" s="271">
        <v>6075608</v>
      </c>
      <c r="E24" s="142">
        <f>D24/$D$6</f>
        <v>12007.130434782608</v>
      </c>
      <c r="F24" s="134">
        <v>45608</v>
      </c>
      <c r="G24" s="90" t="s">
        <v>235</v>
      </c>
      <c r="H24" s="90">
        <f>IF(OR(G24="Sin pagar",G24="Pagar"),_xlfn.SINGLE(NETWORKDAYS($E$4,F24,'Festivos CR'!$A$3:$A$15)),0)</f>
        <v>0</v>
      </c>
      <c r="I24" s="90">
        <f>NETWORKDAYS($E$4,F24,'Festivos CR'!$A$3:$A$15)</f>
        <v>7</v>
      </c>
      <c r="J24" s="132">
        <f t="shared" ref="J24:J29" si="0">H24</f>
        <v>0</v>
      </c>
      <c r="K24" s="108"/>
      <c r="L24" s="108"/>
    </row>
    <row r="25" spans="2:19" s="90" customFormat="1" ht="16.2" thickBot="1">
      <c r="B25" s="100"/>
      <c r="C25" s="127" t="s">
        <v>232</v>
      </c>
      <c r="D25" s="172">
        <f>SUBTOTAL(9,D26:D27)</f>
        <v>1343624</v>
      </c>
      <c r="E25" s="128">
        <f>SUBTOTAL(9,E26:E27)</f>
        <v>2655.383399209486</v>
      </c>
      <c r="F25" s="90" t="s">
        <v>512</v>
      </c>
      <c r="J25" s="130">
        <f t="shared" si="0"/>
        <v>0</v>
      </c>
    </row>
    <row r="26" spans="2:19" s="90" customFormat="1" outlineLevel="1">
      <c r="B26" s="133"/>
      <c r="C26" s="101" t="s">
        <v>292</v>
      </c>
      <c r="D26" s="271">
        <v>1286621</v>
      </c>
      <c r="E26" s="142">
        <f>D26/$D$6</f>
        <v>2542.7292490118575</v>
      </c>
      <c r="F26" s="134">
        <v>45608</v>
      </c>
      <c r="G26" s="90" t="s">
        <v>235</v>
      </c>
      <c r="H26" s="90">
        <f>IF(OR(G26="Sin pagar",G26="Pagar"),_xlfn.SINGLE(NETWORKDAYS($E$4,F26,'Festivos CR'!$A$3:$A$15)),0)</f>
        <v>0</v>
      </c>
      <c r="I26" s="90">
        <f>NETWORKDAYS($E$4,F26,'Festivos CR'!$A$3:$A$15)</f>
        <v>7</v>
      </c>
      <c r="J26" s="132">
        <f t="shared" si="0"/>
        <v>0</v>
      </c>
      <c r="K26" s="135"/>
      <c r="L26" s="111"/>
    </row>
    <row r="27" spans="2:19" s="90" customFormat="1" ht="29.4" outlineLevel="1" thickBot="1">
      <c r="B27" s="133"/>
      <c r="C27" s="101" t="s">
        <v>296</v>
      </c>
      <c r="D27" s="271">
        <v>57003</v>
      </c>
      <c r="E27" s="142">
        <f>D27/$D$6</f>
        <v>112.65415019762845</v>
      </c>
      <c r="F27" s="134">
        <v>45608</v>
      </c>
      <c r="G27" s="90" t="s">
        <v>235</v>
      </c>
      <c r="H27" s="90">
        <f>IF(OR(G27="Sin pagar",G27="Pagar"),_xlfn.SINGLE(NETWORKDAYS($E$4,F27,'Festivos CR'!$A$3:$A$15)),0)</f>
        <v>0</v>
      </c>
      <c r="I27" s="90">
        <f>NETWORKDAYS($E$4,F27,'Festivos CR'!$A$3:$A$15)</f>
        <v>7</v>
      </c>
      <c r="J27" s="132">
        <f>H27</f>
        <v>0</v>
      </c>
      <c r="K27" s="135"/>
      <c r="L27" s="111"/>
    </row>
    <row r="28" spans="2:19" s="90" customFormat="1" ht="16.2" thickBot="1">
      <c r="B28" s="100"/>
      <c r="C28" s="127" t="s">
        <v>233</v>
      </c>
      <c r="D28" s="172">
        <f>SUBTOTAL(9,D29:D29)</f>
        <v>62400</v>
      </c>
      <c r="E28" s="128">
        <f>SUBTOTAL(9,E29:E29)</f>
        <v>123.3201581027668</v>
      </c>
      <c r="J28" s="130">
        <f t="shared" si="0"/>
        <v>0</v>
      </c>
      <c r="K28" s="108"/>
      <c r="L28" s="108"/>
    </row>
    <row r="29" spans="2:19" s="90" customFormat="1" ht="15" outlineLevel="1" thickBot="1">
      <c r="B29" s="100">
        <v>21</v>
      </c>
      <c r="C29" s="101" t="s">
        <v>583</v>
      </c>
      <c r="D29" s="169">
        <v>62400</v>
      </c>
      <c r="E29" s="137">
        <f>D29/$D$6</f>
        <v>123.3201581027668</v>
      </c>
      <c r="F29" s="129">
        <v>45611</v>
      </c>
      <c r="G29" s="90" t="s">
        <v>235</v>
      </c>
      <c r="H29" s="90">
        <f>IF(OR(G29="Sin pagar",G29="Pagar"),_xlfn.SINGLE(NETWORKDAYS($E$4,F29,'Festivos CR'!$A$3:$A$15)),0)</f>
        <v>0</v>
      </c>
      <c r="I29" s="90">
        <f>NETWORKDAYS($E$4,F29,'Festivos CR'!$A$3:$A$15)</f>
        <v>10</v>
      </c>
      <c r="J29" s="132">
        <f t="shared" si="0"/>
        <v>0</v>
      </c>
      <c r="N29" s="103"/>
    </row>
    <row r="30" spans="2:19" s="90" customFormat="1" ht="16.2" thickBot="1">
      <c r="C30" s="127" t="s">
        <v>250</v>
      </c>
      <c r="D30" s="172">
        <f>SUBTOTAL(9,D31:D31)</f>
        <v>77000</v>
      </c>
      <c r="E30" s="128">
        <f>SUBTOTAL(9,E31:E31)</f>
        <v>152.17391304347825</v>
      </c>
      <c r="K30" s="103"/>
      <c r="L30" s="103"/>
      <c r="O30" s="103"/>
      <c r="P30" s="103"/>
    </row>
    <row r="31" spans="2:19" s="90" customFormat="1" ht="14.25" customHeight="1" outlineLevel="1" thickBot="1">
      <c r="B31" s="138" t="s">
        <v>558</v>
      </c>
      <c r="C31" s="101" t="s">
        <v>251</v>
      </c>
      <c r="D31" s="169">
        <v>77000</v>
      </c>
      <c r="E31" s="137">
        <f>D31/$D$6</f>
        <v>152.17391304347825</v>
      </c>
      <c r="F31" s="129">
        <v>45601</v>
      </c>
      <c r="G31" s="90" t="s">
        <v>235</v>
      </c>
      <c r="H31" s="90">
        <f>IF(OR(G31="Sin pagar",G31="Pagar"),_xlfn.SINGLE(NETWORKDAYS($E$4,F31,'Festivos CR'!$A$3:$A$15)),0)</f>
        <v>0</v>
      </c>
      <c r="I31" s="90">
        <f>NETWORKDAYS($E$4,F31,'Festivos CR'!$A$3:$A$15)</f>
        <v>2</v>
      </c>
      <c r="J31" s="132">
        <f>H31</f>
        <v>0</v>
      </c>
      <c r="K31" s="103"/>
      <c r="L31" s="103"/>
      <c r="O31" s="103"/>
      <c r="P31" s="103"/>
    </row>
    <row r="32" spans="2:19" s="90" customFormat="1" ht="16.2" thickBot="1">
      <c r="B32" s="136"/>
      <c r="C32" s="139" t="s">
        <v>234</v>
      </c>
      <c r="D32" s="173">
        <f>SUBTOTAL(9,D33:D35)</f>
        <v>903210</v>
      </c>
      <c r="E32" s="140">
        <f>SUBTOTAL(9,E33:E36)</f>
        <v>2225</v>
      </c>
      <c r="K32" s="108"/>
    </row>
    <row r="33" spans="1:16" s="90" customFormat="1" outlineLevel="1">
      <c r="B33" s="176">
        <v>5059</v>
      </c>
      <c r="C33" s="174" t="s">
        <v>452</v>
      </c>
      <c r="D33" s="169">
        <f>E33*$D$6</f>
        <v>260590</v>
      </c>
      <c r="E33" s="137">
        <f>515</f>
        <v>515</v>
      </c>
      <c r="F33" s="129">
        <v>45603</v>
      </c>
      <c r="G33" s="90" t="s">
        <v>235</v>
      </c>
      <c r="H33" s="90">
        <f>IF(OR(G33="Sin pagar",G33="Pagar"),_xlfn.SINGLE(NETWORKDAYS($E$4,F33,'Festivos CR'!$A$3:$A$15)),0)</f>
        <v>0</v>
      </c>
      <c r="I33" s="90">
        <f>NETWORKDAYS($E$4,F33,'Festivos CR'!$A$3:$A$15)</f>
        <v>4</v>
      </c>
      <c r="J33" s="132">
        <f>H33</f>
        <v>0</v>
      </c>
      <c r="M33" s="297"/>
      <c r="N33" s="298"/>
    </row>
    <row r="34" spans="1:16" s="90" customFormat="1" outlineLevel="1">
      <c r="B34" s="176">
        <v>5160</v>
      </c>
      <c r="C34" s="174" t="s">
        <v>475</v>
      </c>
      <c r="D34" s="169">
        <f>E34*$D$6</f>
        <v>382030</v>
      </c>
      <c r="E34" s="137">
        <f>755</f>
        <v>755</v>
      </c>
      <c r="F34" s="129">
        <v>45603</v>
      </c>
      <c r="G34" s="90" t="s">
        <v>235</v>
      </c>
      <c r="H34" s="90">
        <f>IF(OR(G34="Sin pagar",G34="Pagar"),_xlfn.SINGLE(NETWORKDAYS($E$4,F34,'Festivos CR'!$A$3:$A$15)),0)</f>
        <v>0</v>
      </c>
      <c r="I34" s="90">
        <f>NETWORKDAYS($E$4,F34,'Festivos CR'!$A$3:$A$15)</f>
        <v>4</v>
      </c>
      <c r="J34" s="132">
        <f>H34</f>
        <v>0</v>
      </c>
      <c r="M34" s="297"/>
      <c r="N34" s="298"/>
    </row>
    <row r="35" spans="1:16" s="90" customFormat="1" outlineLevel="1">
      <c r="B35" s="176">
        <v>5283</v>
      </c>
      <c r="C35" s="174" t="s">
        <v>513</v>
      </c>
      <c r="D35" s="169">
        <f>E35*$D$6</f>
        <v>260590</v>
      </c>
      <c r="E35" s="137">
        <f>515</f>
        <v>515</v>
      </c>
      <c r="F35" s="129">
        <v>45603</v>
      </c>
      <c r="G35" s="90" t="s">
        <v>235</v>
      </c>
      <c r="H35" s="90">
        <f>IF(OR(G35="Sin pagar",G35="Pagar"),_xlfn.SINGLE(NETWORKDAYS($E$4,F35,'Festivos CR'!$A$3:$A$15)),0)</f>
        <v>0</v>
      </c>
      <c r="I35" s="90">
        <f>NETWORKDAYS($E$4,F35,'Festivos CR'!$A$3:$A$15)</f>
        <v>4</v>
      </c>
      <c r="J35" s="132">
        <f>H35</f>
        <v>0</v>
      </c>
      <c r="M35" s="297"/>
      <c r="N35" s="298"/>
    </row>
    <row r="36" spans="1:16" s="90" customFormat="1" ht="15" outlineLevel="1" thickBot="1">
      <c r="B36" s="176">
        <v>5383</v>
      </c>
      <c r="C36" s="174" t="s">
        <v>561</v>
      </c>
      <c r="D36" s="169">
        <f>E36*$D$6</f>
        <v>222640</v>
      </c>
      <c r="E36" s="137">
        <v>440</v>
      </c>
      <c r="F36" s="129">
        <v>45603</v>
      </c>
      <c r="G36" s="90" t="s">
        <v>235</v>
      </c>
      <c r="H36" s="90">
        <f>IF(OR(G36="Sin pagar",G36="Pagar"),_xlfn.SINGLE(NETWORKDAYS($E$4,F36,'Festivos CR'!$A$3:$A$15)),0)</f>
        <v>0</v>
      </c>
      <c r="I36" s="90">
        <f>NETWORKDAYS($E$4,F36,'Festivos CR'!$A$3:$A$15)</f>
        <v>4</v>
      </c>
      <c r="J36" s="132">
        <f>H36</f>
        <v>0</v>
      </c>
      <c r="M36" s="297"/>
      <c r="N36" s="298"/>
    </row>
    <row r="37" spans="1:16" s="90" customFormat="1" ht="15.75" customHeight="1" thickBot="1">
      <c r="C37" s="127" t="s">
        <v>236</v>
      </c>
      <c r="D37" s="172">
        <f>SUBTOTAL(9,D38:D38)</f>
        <v>39375</v>
      </c>
      <c r="E37" s="128">
        <f>SUBTOTAL(9,E38:E38)</f>
        <v>77.816205533596843</v>
      </c>
      <c r="M37" s="299"/>
      <c r="N37" s="299"/>
      <c r="O37" s="118"/>
      <c r="P37" s="300"/>
    </row>
    <row r="38" spans="1:16" s="90" customFormat="1" ht="15" outlineLevel="1" thickBot="1">
      <c r="B38" s="100"/>
      <c r="C38" s="174" t="s">
        <v>236</v>
      </c>
      <c r="D38" s="271">
        <v>39375</v>
      </c>
      <c r="E38" s="142">
        <f>D38/D6</f>
        <v>77.816205533596843</v>
      </c>
      <c r="F38" s="129">
        <v>45626</v>
      </c>
      <c r="G38" s="90" t="s">
        <v>235</v>
      </c>
      <c r="H38" s="90">
        <f>IF(OR(G38="Sin pagar",G38="Pagar"),_xlfn.SINGLE(NETWORKDAYS($E$4,F38,'Festivos CR'!$A$3:$A$15)),0)</f>
        <v>0</v>
      </c>
      <c r="I38" s="90">
        <f>NETWORKDAYS($E$4,F38,'Festivos CR'!$A$3:$A$15)</f>
        <v>20</v>
      </c>
      <c r="J38" s="132">
        <f>H38</f>
        <v>0</v>
      </c>
    </row>
    <row r="39" spans="1:16" s="90" customFormat="1" ht="16.2" thickBot="1">
      <c r="C39" s="127" t="s">
        <v>237</v>
      </c>
      <c r="D39" s="172">
        <f>SUBTOTAL(9,D40:D47)</f>
        <v>13223500.930000003</v>
      </c>
      <c r="E39" s="128">
        <f>SUBTOTAL(9,E40:E47)</f>
        <v>26592.159560878241</v>
      </c>
      <c r="K39" s="108"/>
      <c r="L39" s="143"/>
    </row>
    <row r="40" spans="1:16" s="90" customFormat="1" outlineLevel="1">
      <c r="B40" s="145" t="s">
        <v>391</v>
      </c>
      <c r="C40" s="174" t="s">
        <v>254</v>
      </c>
      <c r="D40" s="170">
        <v>1612916.33</v>
      </c>
      <c r="E40" s="142">
        <f>CONVERSIONES!E198</f>
        <v>3417.34</v>
      </c>
      <c r="F40" s="129">
        <v>45624</v>
      </c>
      <c r="G40" s="90" t="s">
        <v>235</v>
      </c>
      <c r="H40" s="90">
        <f>IF(OR(G40="Sin pagar",G40="Pagar"),_xlfn.SINGLE(NETWORKDAYS($E$4,F40,'Festivos CR'!$A$3:$A$15)),0)</f>
        <v>0</v>
      </c>
      <c r="I40" s="90">
        <f>NETWORKDAYS($E$4,F40,'Festivos CR'!$A$3:$A$15)</f>
        <v>19</v>
      </c>
      <c r="J40" s="132">
        <f t="shared" ref="J40:J46" si="1">H40</f>
        <v>0</v>
      </c>
      <c r="K40" s="135"/>
      <c r="L40" s="135"/>
    </row>
    <row r="41" spans="1:16" s="180" customFormat="1" outlineLevel="1">
      <c r="B41" s="265" t="s">
        <v>270</v>
      </c>
      <c r="C41" s="174" t="s">
        <v>258</v>
      </c>
      <c r="D41" s="170">
        <f>E41*CONVERSIONES!$C$201</f>
        <v>3338939.5500000003</v>
      </c>
      <c r="E41" s="142">
        <v>6664.55</v>
      </c>
      <c r="F41" s="129">
        <v>45624</v>
      </c>
      <c r="G41" s="90" t="s">
        <v>235</v>
      </c>
      <c r="H41" s="90">
        <f>IF(OR(G41="Sin pagar",G41="Pagar"),_xlfn.SINGLE(NETWORKDAYS($E$4,F41,'Festivos CR'!$A$3:$A$15)),0)</f>
        <v>0</v>
      </c>
      <c r="I41" s="90">
        <f>NETWORKDAYS($E$4,F41,'Festivos CR'!$A$3:$A$15)</f>
        <v>19</v>
      </c>
      <c r="J41" s="132">
        <f t="shared" si="1"/>
        <v>0</v>
      </c>
      <c r="L41" s="179"/>
    </row>
    <row r="42" spans="1:16" s="90" customFormat="1" outlineLevel="1">
      <c r="B42" s="145" t="s">
        <v>391</v>
      </c>
      <c r="C42" s="174" t="s">
        <v>390</v>
      </c>
      <c r="D42" s="170">
        <v>1325079.3600000001</v>
      </c>
      <c r="E42" s="142">
        <f>D42/CONVERSIONES!$C$201</f>
        <v>2644.8689820359282</v>
      </c>
      <c r="F42" s="129">
        <v>45624</v>
      </c>
      <c r="G42" s="90" t="s">
        <v>235</v>
      </c>
      <c r="H42" s="90">
        <f>IF(OR(G42="Sin pagar",G42="Pagar"),_xlfn.SINGLE(NETWORKDAYS($E$4,F42,'Festivos CR'!$A$3:$A$15)),0)</f>
        <v>0</v>
      </c>
      <c r="I42" s="90">
        <f>NETWORKDAYS($E$4,F42,'Festivos CR'!$A$3:$A$15)</f>
        <v>19</v>
      </c>
      <c r="J42" s="132">
        <f>H42</f>
        <v>0</v>
      </c>
      <c r="K42" s="135"/>
      <c r="L42" s="135"/>
    </row>
    <row r="43" spans="1:16" s="180" customFormat="1" outlineLevel="1">
      <c r="B43" s="145" t="s">
        <v>391</v>
      </c>
      <c r="C43" s="174" t="s">
        <v>253</v>
      </c>
      <c r="D43" s="170">
        <v>1410537.3</v>
      </c>
      <c r="E43" s="142">
        <f>$D$43/CONVERSIONES!$C$201</f>
        <v>2815.4437125748505</v>
      </c>
      <c r="F43" s="129">
        <v>45624</v>
      </c>
      <c r="G43" s="90" t="s">
        <v>235</v>
      </c>
      <c r="H43" s="90">
        <f>IF(OR(G43="Sin pagar",G43="Pagar"),_xlfn.SINGLE(NETWORKDAYS($E$4,F43,'Festivos CR'!$A$3:$A$15)),0)</f>
        <v>0</v>
      </c>
      <c r="I43" s="90">
        <f>NETWORKDAYS($E$4,F43,'Festivos CR'!$A$3:$A$15)</f>
        <v>19</v>
      </c>
      <c r="J43" s="132">
        <f t="shared" si="1"/>
        <v>0</v>
      </c>
      <c r="L43" s="179"/>
    </row>
    <row r="44" spans="1:16" s="180" customFormat="1" outlineLevel="1">
      <c r="B44" s="145" t="s">
        <v>391</v>
      </c>
      <c r="C44" s="174" t="s">
        <v>255</v>
      </c>
      <c r="D44" s="170">
        <v>1410537.3</v>
      </c>
      <c r="E44" s="142">
        <f>$D$44/CONVERSIONES!$C$201</f>
        <v>2815.4437125748505</v>
      </c>
      <c r="F44" s="129">
        <v>45624</v>
      </c>
      <c r="G44" s="90" t="s">
        <v>235</v>
      </c>
      <c r="H44" s="90">
        <f>IF(OR(G44="Sin pagar",G44="Pagar"),_xlfn.SINGLE(NETWORKDAYS($E$4,F44,'Festivos CR'!$A$3:$A$15)),0)</f>
        <v>0</v>
      </c>
      <c r="I44" s="90">
        <f>NETWORKDAYS($E$4,F44,'Festivos CR'!$A$3:$A$15)</f>
        <v>19</v>
      </c>
      <c r="J44" s="132">
        <f t="shared" si="1"/>
        <v>0</v>
      </c>
      <c r="L44" s="179"/>
    </row>
    <row r="45" spans="1:16" s="180" customFormat="1" outlineLevel="1">
      <c r="B45" s="145" t="s">
        <v>391</v>
      </c>
      <c r="C45" s="174" t="s">
        <v>330</v>
      </c>
      <c r="D45" s="170">
        <v>786551.54</v>
      </c>
      <c r="E45" s="142">
        <f>$D$45/CONVERSIONES!$C$201</f>
        <v>1569.9631536926149</v>
      </c>
      <c r="F45" s="129">
        <v>45624</v>
      </c>
      <c r="G45" s="90" t="s">
        <v>235</v>
      </c>
      <c r="H45" s="90">
        <f>IF(OR(G45="Sin pagar",G45="Pagar"),_xlfn.SINGLE(NETWORKDAYS($E$4,F45,'Festivos CR'!$A$3:$A$15)),0)</f>
        <v>0</v>
      </c>
      <c r="I45" s="90">
        <f>NETWORKDAYS($E$4,F45,'Festivos CR'!$A$3:$A$15)</f>
        <v>19</v>
      </c>
      <c r="J45" s="132">
        <f>H45</f>
        <v>0</v>
      </c>
      <c r="L45" s="179"/>
    </row>
    <row r="46" spans="1:16" s="180" customFormat="1" outlineLevel="1">
      <c r="B46" s="265" t="s">
        <v>270</v>
      </c>
      <c r="C46" s="174" t="s">
        <v>257</v>
      </c>
      <c r="D46" s="170">
        <f>E46*CONVERSIONES!$C$201</f>
        <v>3338939.5500000003</v>
      </c>
      <c r="E46" s="142">
        <f>CONVERSIONES!H198</f>
        <v>6664.55</v>
      </c>
      <c r="F46" s="129">
        <v>45624</v>
      </c>
      <c r="G46" s="90" t="s">
        <v>235</v>
      </c>
      <c r="H46" s="90">
        <f>IF(OR(G46="Sin pagar",G46="Pagar"),_xlfn.SINGLE(NETWORKDAYS($E$4,F46,'Festivos CR'!$A$3:$A$15)),0)</f>
        <v>0</v>
      </c>
      <c r="I46" s="90">
        <f>NETWORKDAYS($E$4,F46,'Festivos CR'!$A$3:$A$15)</f>
        <v>19</v>
      </c>
      <c r="J46" s="132">
        <f t="shared" si="1"/>
        <v>0</v>
      </c>
      <c r="L46" s="179"/>
    </row>
    <row r="47" spans="1:16" s="180" customFormat="1" ht="15" outlineLevel="1" thickBot="1">
      <c r="B47" s="265" t="s">
        <v>270</v>
      </c>
      <c r="C47" s="174" t="s">
        <v>549</v>
      </c>
      <c r="D47" s="170">
        <f>$E$47*CONVERSIONES!$C$183</f>
        <v>0</v>
      </c>
      <c r="E47" s="325">
        <f>CONVERSIONES!J180*0</f>
        <v>0</v>
      </c>
      <c r="F47" s="129">
        <v>45624</v>
      </c>
      <c r="G47" s="90" t="s">
        <v>231</v>
      </c>
      <c r="H47" s="90">
        <f>IF(OR(G47="Sin pagar",G47="Pagar"),_xlfn.SINGLE(NETWORKDAYS($E$4,F47,'Festivos CR'!$A$3:$A$15)),0)</f>
        <v>19</v>
      </c>
      <c r="I47" s="90">
        <f>NETWORKDAYS($E$4,F47,'Festivos CR'!$A$3:$A$15)</f>
        <v>19</v>
      </c>
      <c r="J47" s="132">
        <f>H47</f>
        <v>19</v>
      </c>
      <c r="L47" s="179"/>
    </row>
    <row r="48" spans="1:16" s="90" customFormat="1" ht="16.2" thickBot="1">
      <c r="A48" s="180"/>
      <c r="B48" s="145"/>
      <c r="C48" s="127" t="s">
        <v>238</v>
      </c>
      <c r="D48" s="172">
        <f>SUBTOTAL(9,D49:D49)</f>
        <v>0</v>
      </c>
      <c r="E48" s="128">
        <f>SUBTOTAL(9,E49:E49)</f>
        <v>0</v>
      </c>
      <c r="L48" s="108"/>
    </row>
    <row r="49" spans="1:16" s="90" customFormat="1" ht="15" outlineLevel="1" thickBot="1">
      <c r="A49" s="180"/>
      <c r="B49" s="146"/>
      <c r="C49" s="101"/>
      <c r="D49" s="170">
        <v>0</v>
      </c>
      <c r="E49" s="142">
        <f>D49/$D$6</f>
        <v>0</v>
      </c>
      <c r="F49" s="129">
        <v>45626</v>
      </c>
      <c r="G49" s="90" t="s">
        <v>235</v>
      </c>
      <c r="H49" s="90" t="e">
        <f>IF(OR(#REF!="Sin pagar",#REF!="Pagar"),_xlfn.SINGLE(NETWORKDAYS($E$4,#REF!,'Festivos CR'!$A$3:$A$15)),0)</f>
        <v>#REF!</v>
      </c>
      <c r="I49" s="90" t="e">
        <f>NETWORKDAYS($E$4,#REF!,'Festivos CR'!$A$3:$A$15)</f>
        <v>#REF!</v>
      </c>
      <c r="J49" s="132"/>
      <c r="L49" s="108"/>
    </row>
    <row r="50" spans="1:16" s="90" customFormat="1" ht="14.25" customHeight="1">
      <c r="B50" s="100"/>
      <c r="C50" s="147" t="s">
        <v>239</v>
      </c>
      <c r="D50" s="171">
        <f>SUBTOTAL(9,D23:D49)</f>
        <v>21947357.93</v>
      </c>
      <c r="E50" s="148">
        <f>SUBTOTAL(9,E23:E49)</f>
        <v>43832.983671550181</v>
      </c>
      <c r="K50" s="322"/>
      <c r="L50" s="322"/>
      <c r="N50" s="322"/>
      <c r="O50" s="322"/>
      <c r="P50" s="322"/>
    </row>
    <row r="51" spans="1:16" ht="15.6">
      <c r="A51" s="90"/>
      <c r="E51" s="149"/>
      <c r="F51" s="239"/>
      <c r="G51" s="150"/>
      <c r="H51" s="150"/>
      <c r="I51" s="150"/>
      <c r="J51" s="150"/>
    </row>
    <row r="52" spans="1:16" ht="15.6">
      <c r="A52" s="90"/>
      <c r="C52" s="151" t="s">
        <v>3</v>
      </c>
      <c r="D52" s="182">
        <f>D18-D50</f>
        <v>12853377.799982816</v>
      </c>
      <c r="E52" s="152">
        <f>E18-E50</f>
        <v>21749.261427938713</v>
      </c>
      <c r="F52" s="243"/>
      <c r="G52" s="153"/>
      <c r="J52" s="153"/>
    </row>
    <row r="53" spans="1:16" s="157" customFormat="1" ht="15.6">
      <c r="A53" s="90"/>
      <c r="B53" s="154"/>
      <c r="C53" s="151" t="s">
        <v>240</v>
      </c>
      <c r="D53" s="155">
        <f>IF($D$18=0,0,D52/$D$18)</f>
        <v>0.36934212827313589</v>
      </c>
      <c r="E53" s="155">
        <f>IF($E$18=0,0,E52/$E$18)</f>
        <v>0.33163337721886277</v>
      </c>
      <c r="F53" s="156"/>
      <c r="G53" s="153"/>
      <c r="J53" s="158"/>
      <c r="K53" s="322"/>
      <c r="L53" s="322"/>
      <c r="N53" s="322"/>
      <c r="O53" s="322"/>
      <c r="P53" s="322"/>
    </row>
    <row r="54" spans="1:16">
      <c r="A54" s="90"/>
      <c r="F54" s="156"/>
      <c r="G54" s="153"/>
    </row>
    <row r="56" spans="1:16" ht="15" thickBot="1"/>
    <row r="57" spans="1:16" ht="15" thickBot="1">
      <c r="C57" s="189" t="s">
        <v>260</v>
      </c>
      <c r="D57" s="190" t="s">
        <v>261</v>
      </c>
      <c r="E57" s="191" t="s">
        <v>265</v>
      </c>
      <c r="F57" s="191" t="s">
        <v>266</v>
      </c>
    </row>
    <row r="58" spans="1:16">
      <c r="C58" s="303">
        <v>45597</v>
      </c>
      <c r="D58" s="304">
        <v>45606</v>
      </c>
      <c r="E58" s="195">
        <f>SUMIFS($D$22:$D$55,$F$22:$F$55,"&gt;="&amp;C58,$F$22:$F$55,"&lt;="&amp;D58,$G$22:$G$55,$D$71)</f>
        <v>0</v>
      </c>
      <c r="F58" s="201">
        <f>SUMIFS($E$22:$E$55,$F$22:$F$55,"&gt;="&amp;C58,$F$22:$F$55,"&lt;="&amp;D58,$G$22:$G$55,$D$71)</f>
        <v>0</v>
      </c>
      <c r="G58" s="322" t="s">
        <v>560</v>
      </c>
    </row>
    <row r="59" spans="1:16">
      <c r="C59" s="305">
        <v>45607</v>
      </c>
      <c r="D59" s="306">
        <v>45613</v>
      </c>
      <c r="E59" s="196">
        <f>SUMIFS($D$22:$D$55,$F$22:$F$55,"&gt;="&amp;C59,$F$22:$F$55,"&lt;="&amp;D59,$G$22:$G$55,$D$71)</f>
        <v>0</v>
      </c>
      <c r="F59" s="202">
        <f>SUMIFS($E$22:$E$55,$F$22:$F$55,"&gt;="&amp;C59,$F$22:$F$55,"&lt;="&amp;D59,$G$22:$G$55,$D$71)</f>
        <v>0</v>
      </c>
      <c r="G59" s="322" t="s">
        <v>451</v>
      </c>
    </row>
    <row r="60" spans="1:16">
      <c r="C60" s="183">
        <v>45614</v>
      </c>
      <c r="D60" s="184">
        <v>45620</v>
      </c>
      <c r="E60" s="196">
        <f>SUMIFS($D$22:$D$55,$F$22:$F$55,"&gt;="&amp;C60,$F$22:$F$55,"&lt;="&amp;D60,$G$22:$G$55,$D$71)</f>
        <v>0</v>
      </c>
      <c r="F60" s="202">
        <f>SUMIFS($E$22:$E$55,$F$22:$F$55,"&gt;="&amp;C60,$F$22:$F$55,"&lt;="&amp;D60,$G$22:$G$55,$D$71)</f>
        <v>0</v>
      </c>
      <c r="G60" s="322" t="s">
        <v>555</v>
      </c>
      <c r="J60" s="591"/>
    </row>
    <row r="61" spans="1:16">
      <c r="C61" s="183">
        <v>45621</v>
      </c>
      <c r="D61" s="184">
        <v>45626</v>
      </c>
      <c r="E61" s="196">
        <f>SUMIFS($D$22:$D$55,$F$22:$F$55,"&gt;="&amp;C61,$F$22:$F$55,"&lt;="&amp;D61,$G$22:$G$55,$D$71)</f>
        <v>0</v>
      </c>
      <c r="F61" s="202">
        <f>SUMIFS($E$22:$E$55,$F$22:$F$55,"&gt;="&amp;C61,$F$22:$F$55,"&lt;="&amp;D61,$G$22:$G$55,$D$71)</f>
        <v>0</v>
      </c>
      <c r="G61" s="322" t="s">
        <v>556</v>
      </c>
      <c r="J61" s="591"/>
    </row>
    <row r="62" spans="1:16" ht="15.6">
      <c r="C62" s="589" t="s">
        <v>262</v>
      </c>
      <c r="D62" s="589"/>
      <c r="E62" s="186">
        <f>SUM(E58:E61)</f>
        <v>0</v>
      </c>
      <c r="F62" s="200">
        <f>SUM(F58:F61)</f>
        <v>0</v>
      </c>
      <c r="G62" s="94"/>
      <c r="J62" s="153"/>
      <c r="K62" s="153"/>
      <c r="M62" s="206"/>
    </row>
    <row r="65" spans="3:10">
      <c r="C65" s="592" t="s">
        <v>267</v>
      </c>
      <c r="D65" s="592"/>
      <c r="E65" s="204">
        <f>'BAC SAN JOSE COLONES  '!$G$286+('BAC SAN JOSE USD'!$G$232*CONVERSIONES!$C$183)</f>
        <v>10673969.787751736</v>
      </c>
      <c r="F65" s="206">
        <f>E65/CONVERSIONES!$C$183</f>
        <v>21094.801952078531</v>
      </c>
    </row>
    <row r="66" spans="3:10">
      <c r="C66" s="592" t="s">
        <v>557</v>
      </c>
      <c r="D66" s="592"/>
      <c r="E66" s="204">
        <f>SUM(E58:E60)</f>
        <v>0</v>
      </c>
      <c r="F66" s="206">
        <f>SUM(F58:F60)</f>
        <v>0</v>
      </c>
      <c r="J66" s="324"/>
    </row>
    <row r="67" spans="3:10">
      <c r="C67" s="588" t="s">
        <v>152</v>
      </c>
      <c r="D67" s="588"/>
      <c r="E67" s="205">
        <f>E65-E66</f>
        <v>10673969.787751736</v>
      </c>
      <c r="F67" s="199">
        <f>F65-F66</f>
        <v>21094.801952078531</v>
      </c>
      <c r="G67" s="206"/>
      <c r="J67" s="206"/>
    </row>
    <row r="70" spans="3:10">
      <c r="D70" s="90" t="s">
        <v>235</v>
      </c>
      <c r="E70" s="170">
        <f>SUMIFS($D$22:$D$55,$F$22:$F$55,"&gt;="&amp;C58,$F$22:$F$55,"&lt;="&amp;$D$61,$G$22:$G$55,$D$70)</f>
        <v>21947357.93</v>
      </c>
      <c r="F70" s="206">
        <f>SUMIFS($E$22:$E$55,$F$22:$F$55,"&gt;="&amp;C58,$F$22:$F$55,"&lt;="&amp;D61,$G$22:$G$55,$D$70)</f>
        <v>43832.983671550181</v>
      </c>
    </row>
    <row r="71" spans="3:10">
      <c r="D71" s="90" t="s">
        <v>231</v>
      </c>
      <c r="E71" s="170">
        <f>SUMIFS($D$22:$D$55,$F$22:$F$55,"&gt;="&amp;C58,$F$22:$F$55,"&lt;="&amp;$D$61,$G$22:$G$55,$D$71)</f>
        <v>0</v>
      </c>
      <c r="F71" s="206">
        <f>SUMIFS($E$22:$E$55,$F$22:$F$55,"&gt;="&amp;C58,$F$22:$F$55,"&lt;="&amp;D61,$G$22:$G$55,$D$71)</f>
        <v>0</v>
      </c>
    </row>
    <row r="72" spans="3:10">
      <c r="D72" s="185" t="s">
        <v>263</v>
      </c>
      <c r="E72" s="194">
        <f>SUM(E70:E71)</f>
        <v>21947357.93</v>
      </c>
      <c r="F72" s="199">
        <f>SUM(F70:F71)</f>
        <v>43832.983671550181</v>
      </c>
    </row>
    <row r="73" spans="3:10">
      <c r="D73" s="185" t="s">
        <v>264</v>
      </c>
      <c r="E73" s="194">
        <f>D50-E72</f>
        <v>0</v>
      </c>
      <c r="F73" s="199">
        <f>F72-E50</f>
        <v>0</v>
      </c>
    </row>
    <row r="76" spans="3:10">
      <c r="E76" s="88" t="s">
        <v>400</v>
      </c>
      <c r="F76" s="88">
        <f>D52</f>
        <v>12853377.799982816</v>
      </c>
    </row>
    <row r="77" spans="3:10">
      <c r="E77" s="88" t="s">
        <v>401</v>
      </c>
      <c r="F77" s="88">
        <f>'BAC SAN JOSE COLONES  '!G284+('BAC SAN JOSE USD'!G230*513)</f>
        <v>12853377.663175792</v>
      </c>
    </row>
    <row r="78" spans="3:10">
      <c r="E78" s="88" t="s">
        <v>336</v>
      </c>
      <c r="F78" s="88">
        <f>F76-F77</f>
        <v>0.13680702447891235</v>
      </c>
    </row>
  </sheetData>
  <protectedRanges>
    <protectedRange sqref="F18:G18 D54:E54 D10:E11" name="Presupuestos"/>
    <protectedRange sqref="D8:E8 D22:E22" name="Presupuestos_1"/>
    <protectedRange sqref="D29:E29" name="Presupuestos_13_1"/>
    <protectedRange sqref="D31:E31" name="Presupuestos_14"/>
    <protectedRange sqref="D41 E40:E44 D45:E47" name="Presupuestos_2_1_1_1"/>
    <protectedRange sqref="D40 E49 K40 D42 K42" name="Presupuestos_6_1_1_1"/>
    <protectedRange sqref="D43:D44" name="Presupuestos_5_2_1"/>
    <protectedRange sqref="D38:E38" name="Presupuestos_7_1"/>
    <protectedRange sqref="D49" name="Presupuestos_5_3"/>
    <protectedRange sqref="D33:E36" name="Presupuestos_13_1_1"/>
  </protectedRanges>
  <autoFilter ref="A22:S49" xr:uid="{82EC990F-4DD3-48B7-814E-2CF10940D3AD}"/>
  <mergeCells count="8">
    <mergeCell ref="C66:D66"/>
    <mergeCell ref="C67:D67"/>
    <mergeCell ref="D7:E7"/>
    <mergeCell ref="B21:C21"/>
    <mergeCell ref="D21:E21"/>
    <mergeCell ref="J60:J61"/>
    <mergeCell ref="C62:D62"/>
    <mergeCell ref="C65:D65"/>
  </mergeCells>
  <dataValidations count="4">
    <dataValidation type="list" allowBlank="1" showInputMessage="1" showErrorMessage="1" sqref="B13:B17" xr:uid="{1D3E2E3B-AD27-4A7E-8D8E-077B5E85DD20}">
      <formula1>"Sin Pagar,Pagado"</formula1>
    </dataValidation>
    <dataValidation type="list" allowBlank="1" showInputMessage="1" showErrorMessage="1" sqref="O32" xr:uid="{76DD1FF0-8C8A-46EC-AAA4-AA8887D35250}">
      <formula1>"0,1"</formula1>
    </dataValidation>
    <dataValidation type="list" allowBlank="1" showInputMessage="1" showErrorMessage="1" sqref="G38 G23:G24 D70:D71 G55:G56 G29 G31 G49 G33:G36 G40:G47 G26:G27" xr:uid="{3333EA29-3A2E-423E-8812-472614A0103E}">
      <formula1>"Cancelado,Pagar,Sin Pagar"</formula1>
    </dataValidation>
    <dataValidation type="list" allowBlank="1" showInputMessage="1" showErrorMessage="1" sqref="D21 D7" xr:uid="{4596582D-AA0C-4D6C-B298-EC7147A6E3EE}">
      <formula1>"ENERO,FEBRERO,MARZO,ABRIL,MAYO,JUNIO,JULIO,AGOSTO,SEPTIEMBRE,OCTUBRE,NOVIEMBRE,DICIEMBRE"</formula1>
    </dataValidation>
  </dataValidations>
  <pageMargins left="0.7" right="0.7" top="0.75" bottom="0.75" header="0.3" footer="0.3"/>
  <ignoredErrors>
    <ignoredError sqref="J37:J46 J48:J50 J24:J35" unlockedFormula="1"/>
    <ignoredError sqref="E29 E34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F2FD-C925-43F1-95D3-369E60092675}">
  <dimension ref="A1:S87"/>
  <sheetViews>
    <sheetView showGridLines="0" topLeftCell="A63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332" customWidth="1"/>
    <col min="2" max="2" width="12" style="333" bestFit="1" customWidth="1"/>
    <col min="3" max="3" width="54.33203125" style="332" bestFit="1" customWidth="1"/>
    <col min="4" max="4" width="24.44140625" style="88" customWidth="1"/>
    <col min="5" max="5" width="19.33203125" style="88" bestFit="1" customWidth="1"/>
    <col min="6" max="6" width="23.5546875" style="332" customWidth="1"/>
    <col min="7" max="7" width="16.88671875" style="332" customWidth="1"/>
    <col min="8" max="8" width="7.6640625" style="332" hidden="1" customWidth="1"/>
    <col min="9" max="9" width="12.109375" style="332" hidden="1" customWidth="1"/>
    <col min="10" max="10" width="16.5546875" style="332" customWidth="1"/>
    <col min="11" max="11" width="2.109375" style="332" customWidth="1"/>
    <col min="12" max="12" width="2.33203125" style="332" customWidth="1"/>
    <col min="13" max="14" width="15.5546875" style="332" bestFit="1" customWidth="1"/>
    <col min="15" max="15" width="6.33203125" style="332" bestFit="1" customWidth="1"/>
    <col min="16" max="16" width="19.33203125" style="332" bestFit="1" customWidth="1"/>
    <col min="17" max="17" width="15.33203125" style="332" bestFit="1" customWidth="1"/>
    <col min="18" max="18" width="14" style="332" bestFit="1" customWidth="1"/>
    <col min="19" max="19" width="13" style="332" bestFit="1" customWidth="1"/>
    <col min="20" max="16384" width="9.109375" style="332"/>
  </cols>
  <sheetData>
    <row r="1" spans="2:9" hidden="1">
      <c r="D1" s="88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45628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513</v>
      </c>
      <c r="E6" s="89"/>
      <c r="I6" s="90"/>
    </row>
    <row r="7" spans="2:9" ht="15.6">
      <c r="C7" s="94"/>
      <c r="D7" s="590" t="s">
        <v>585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SUBTOTAL(9,D10:D11)</f>
        <v>15978425.323175792</v>
      </c>
      <c r="E9" s="98">
        <f>SUBTOTAL(9,E10:E11)</f>
        <v>31147.027920420645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'!$G$284+61676+2979332</f>
        <v>10840540.115669992</v>
      </c>
      <c r="E10" s="218">
        <f>D10/$D$6</f>
        <v>21131.657145555539</v>
      </c>
      <c r="F10" s="103"/>
    </row>
    <row r="11" spans="2:9" s="90" customFormat="1" outlineLevel="1">
      <c r="B11" s="100"/>
      <c r="C11" s="101" t="s">
        <v>221</v>
      </c>
      <c r="D11" s="169">
        <f>E11*$D$6</f>
        <v>5137885.2075057998</v>
      </c>
      <c r="E11" s="218">
        <f>'BAC SAN JOSE USD'!$G$230+163.82</f>
        <v>10015.370774865107</v>
      </c>
      <c r="F11" s="103"/>
    </row>
    <row r="12" spans="2:9" s="90" customFormat="1" ht="15.6">
      <c r="B12" s="100"/>
      <c r="C12" s="104" t="s">
        <v>222</v>
      </c>
      <c r="D12" s="167">
        <f>SUBTOTAL(9,D13:D18)</f>
        <v>35165983.094112903</v>
      </c>
      <c r="E12" s="98">
        <f>SUBTOTAL(9,E13:E18)</f>
        <v>70261.932822580653</v>
      </c>
      <c r="F12" s="105"/>
    </row>
    <row r="13" spans="2:9" s="90" customFormat="1" outlineLevel="1">
      <c r="B13" s="328" t="s">
        <v>533</v>
      </c>
      <c r="C13" s="329" t="s">
        <v>662</v>
      </c>
      <c r="D13" s="330">
        <f>E13*CONVERSIONES!$J$201</f>
        <v>3496328.8000000003</v>
      </c>
      <c r="E13" s="331">
        <f>CONVERSIONES!J197</f>
        <v>7049.05</v>
      </c>
      <c r="F13" s="105"/>
      <c r="G13" s="108"/>
    </row>
    <row r="14" spans="2:9" s="178" customFormat="1" outlineLevel="1">
      <c r="B14" s="328" t="s">
        <v>533</v>
      </c>
      <c r="C14" s="329" t="s">
        <v>663</v>
      </c>
      <c r="D14" s="330">
        <f>E14*CONVERSIONES!$C$219</f>
        <v>12500058.010809332</v>
      </c>
      <c r="E14" s="331">
        <f>(CONVERSIONES!$C$215+CONVERSIONES!$D$215+CONVERSIONES!$E$215)</f>
        <v>24950.215590437787</v>
      </c>
      <c r="F14" s="345"/>
      <c r="G14" s="346"/>
    </row>
    <row r="15" spans="2:9" s="178" customFormat="1" outlineLevel="1">
      <c r="B15" s="328" t="s">
        <v>533</v>
      </c>
      <c r="C15" s="329" t="s">
        <v>664</v>
      </c>
      <c r="D15" s="330">
        <f>E15*CONVERSIONES!$C$219</f>
        <v>7414368.0779723516</v>
      </c>
      <c r="E15" s="331">
        <f>(CONVERSIONES!$F$215+CONVERSIONES!$G$215)</f>
        <v>14799.137880184335</v>
      </c>
      <c r="F15" s="345"/>
      <c r="G15" s="346"/>
    </row>
    <row r="16" spans="2:9" s="178" customFormat="1" outlineLevel="1">
      <c r="B16" s="328" t="s">
        <v>533</v>
      </c>
      <c r="C16" s="329" t="s">
        <v>665</v>
      </c>
      <c r="D16" s="330">
        <f>E16*CONVERSIONES!$C$219</f>
        <v>10023660.162857143</v>
      </c>
      <c r="E16" s="331">
        <f>CONVERSIONES!$H$215</f>
        <v>20007.305714285714</v>
      </c>
      <c r="F16" s="345"/>
      <c r="G16" s="346"/>
    </row>
    <row r="17" spans="2:19" s="178" customFormat="1" outlineLevel="1">
      <c r="B17" s="328" t="s">
        <v>533</v>
      </c>
      <c r="C17" s="329" t="s">
        <v>666</v>
      </c>
      <c r="D17" s="330">
        <f>E17*CONVERSIONES!$C$219</f>
        <v>1731568.0424740782</v>
      </c>
      <c r="E17" s="331">
        <f>CONVERSIONES!I215</f>
        <v>3456.223637672811</v>
      </c>
      <c r="F17" s="345"/>
      <c r="G17" s="346"/>
    </row>
    <row r="18" spans="2:19" s="178" customFormat="1" outlineLevel="1">
      <c r="B18" s="328" t="s">
        <v>533</v>
      </c>
      <c r="C18" s="329" t="s">
        <v>661</v>
      </c>
      <c r="D18" s="330">
        <f>E18*CONVERSIONES!$C$219</f>
        <v>0</v>
      </c>
      <c r="E18" s="331">
        <f>(7453.5-1506.73)*0</f>
        <v>0</v>
      </c>
      <c r="F18" s="345"/>
      <c r="G18" s="346"/>
    </row>
    <row r="19" spans="2:19" s="90" customFormat="1" ht="15.6">
      <c r="B19" s="100"/>
      <c r="C19" s="109" t="s">
        <v>223</v>
      </c>
      <c r="D19" s="168">
        <f>SUBTOTAL(9,D9:D18)</f>
        <v>51144408.417288698</v>
      </c>
      <c r="E19" s="207">
        <f>SUBTOTAL(9,E9:E18)</f>
        <v>101408.9607430013</v>
      </c>
      <c r="F19" s="110"/>
      <c r="G19" s="110"/>
      <c r="J19" s="108"/>
      <c r="K19" s="111"/>
      <c r="O19" s="112"/>
      <c r="P19" s="113"/>
      <c r="Q19" s="114"/>
    </row>
    <row r="20" spans="2:19" s="90" customFormat="1" ht="15.6">
      <c r="B20" s="100"/>
      <c r="C20" s="115"/>
      <c r="D20" s="116"/>
      <c r="E20" s="116"/>
      <c r="G20" s="117"/>
      <c r="O20" s="113"/>
      <c r="P20" s="113"/>
    </row>
    <row r="21" spans="2:19" s="90" customFormat="1" ht="15.6">
      <c r="B21" s="100"/>
      <c r="N21" s="118"/>
      <c r="O21" s="119"/>
      <c r="P21" s="120"/>
    </row>
    <row r="22" spans="2:19" s="90" customFormat="1" ht="15.6">
      <c r="B22" s="590" t="s">
        <v>224</v>
      </c>
      <c r="C22" s="590"/>
      <c r="D22" s="590" t="s">
        <v>585</v>
      </c>
      <c r="E22" s="590"/>
      <c r="K22" s="120"/>
      <c r="L22" s="120"/>
      <c r="N22" s="118"/>
      <c r="R22" s="108"/>
      <c r="S22" s="108"/>
    </row>
    <row r="23" spans="2:19" s="90" customFormat="1" ht="16.2" thickBot="1">
      <c r="B23" s="121" t="s">
        <v>225</v>
      </c>
      <c r="C23" s="122" t="s">
        <v>226</v>
      </c>
      <c r="D23" s="95" t="s">
        <v>242</v>
      </c>
      <c r="E23" s="95" t="s">
        <v>219</v>
      </c>
      <c r="F23" s="123" t="s">
        <v>227</v>
      </c>
      <c r="G23" s="118" t="s">
        <v>228</v>
      </c>
      <c r="H23" s="118"/>
      <c r="I23" s="118"/>
      <c r="J23" s="124" t="s">
        <v>229</v>
      </c>
      <c r="N23" s="125"/>
      <c r="R23" s="108"/>
      <c r="S23" s="126"/>
    </row>
    <row r="24" spans="2:19" s="90" customFormat="1" ht="16.2" thickBot="1">
      <c r="B24" s="100"/>
      <c r="C24" s="127" t="s">
        <v>230</v>
      </c>
      <c r="D24" s="172">
        <f>SUBTOTAL(9,D25:D25)</f>
        <v>6231287</v>
      </c>
      <c r="E24" s="128">
        <f>SUBTOTAL(9,E25:E25)</f>
        <v>12146.75828460039</v>
      </c>
      <c r="F24" s="129"/>
      <c r="J24" s="130"/>
    </row>
    <row r="25" spans="2:19" s="90" customFormat="1" ht="15" outlineLevel="1" thickBot="1">
      <c r="B25" s="100" t="s">
        <v>588</v>
      </c>
      <c r="C25" s="234" t="s">
        <v>587</v>
      </c>
      <c r="D25" s="271">
        <v>6231287</v>
      </c>
      <c r="E25" s="142">
        <f>D25/$D$6</f>
        <v>12146.75828460039</v>
      </c>
      <c r="F25" s="134">
        <v>45638</v>
      </c>
      <c r="G25" s="90" t="s">
        <v>235</v>
      </c>
      <c r="H25" s="90">
        <f>IF(OR(G25="Sin pagar",G25="Pagar"),_xlfn.SINGLE(NETWORKDAYS($E$4,F25,'Festivos CR'!$A$3:$A$15)),0)</f>
        <v>0</v>
      </c>
      <c r="I25" s="90">
        <f>NETWORKDAYS($E$4,F25,'Festivos CR'!$A$3:$A$15)</f>
        <v>9</v>
      </c>
      <c r="J25" s="132">
        <f t="shared" ref="J25:J30" si="0">H25</f>
        <v>0</v>
      </c>
      <c r="K25" s="108"/>
      <c r="L25" s="108"/>
      <c r="M25" s="349"/>
      <c r="N25" s="349"/>
    </row>
    <row r="26" spans="2:19" s="90" customFormat="1" ht="16.2" thickBot="1">
      <c r="B26" s="100"/>
      <c r="C26" s="127" t="s">
        <v>232</v>
      </c>
      <c r="D26" s="172">
        <f>SUBTOTAL(9,D27:D28)</f>
        <v>1353221</v>
      </c>
      <c r="E26" s="128">
        <f>SUBTOTAL(9,E27:E28)</f>
        <v>2637.857699805068</v>
      </c>
      <c r="F26" s="90" t="s">
        <v>512</v>
      </c>
      <c r="J26" s="130">
        <f t="shared" si="0"/>
        <v>0</v>
      </c>
    </row>
    <row r="27" spans="2:19" s="90" customFormat="1" outlineLevel="1">
      <c r="B27" s="133"/>
      <c r="C27" s="101" t="s">
        <v>292</v>
      </c>
      <c r="D27" s="271">
        <v>1297345</v>
      </c>
      <c r="E27" s="142">
        <f>D27/$D$6</f>
        <v>2528.9376218323587</v>
      </c>
      <c r="F27" s="134">
        <v>45638</v>
      </c>
      <c r="G27" s="90" t="s">
        <v>235</v>
      </c>
      <c r="H27" s="90">
        <f>IF(OR(G27="Sin pagar",G27="Pagar"),_xlfn.SINGLE(NETWORKDAYS($E$4,F27,'Festivos CR'!$A$3:$A$15)),0)</f>
        <v>0</v>
      </c>
      <c r="I27" s="90">
        <f>NETWORKDAYS($E$4,F27,'Festivos CR'!$A$3:$A$15)</f>
        <v>9</v>
      </c>
      <c r="J27" s="132">
        <f t="shared" si="0"/>
        <v>0</v>
      </c>
      <c r="K27" s="135"/>
      <c r="L27" s="111"/>
      <c r="M27" s="349"/>
      <c r="N27" s="349"/>
    </row>
    <row r="28" spans="2:19" s="90" customFormat="1" ht="29.4" outlineLevel="1" thickBot="1">
      <c r="B28" s="133"/>
      <c r="C28" s="101" t="s">
        <v>296</v>
      </c>
      <c r="D28" s="271">
        <v>55876</v>
      </c>
      <c r="E28" s="142">
        <f>D28/$D$6</f>
        <v>108.92007797270955</v>
      </c>
      <c r="F28" s="134">
        <v>45638</v>
      </c>
      <c r="G28" s="90" t="s">
        <v>235</v>
      </c>
      <c r="H28" s="90">
        <f>IF(OR(G28="Sin pagar",G28="Pagar"),_xlfn.SINGLE(NETWORKDAYS($E$4,F28,'Festivos CR'!$A$3:$A$15)),0)</f>
        <v>0</v>
      </c>
      <c r="I28" s="90">
        <f>NETWORKDAYS($E$4,F28,'Festivos CR'!$A$3:$A$15)</f>
        <v>9</v>
      </c>
      <c r="J28" s="132">
        <f>H28</f>
        <v>0</v>
      </c>
      <c r="K28" s="135"/>
      <c r="L28" s="111"/>
    </row>
    <row r="29" spans="2:19" s="90" customFormat="1" ht="16.2" thickBot="1">
      <c r="B29" s="100"/>
      <c r="C29" s="127" t="s">
        <v>233</v>
      </c>
      <c r="D29" s="172">
        <f>SUBTOTAL(9,D30:D30)</f>
        <v>62400</v>
      </c>
      <c r="E29" s="128">
        <f>SUBTOTAL(9,E30:E30)</f>
        <v>121.6374269005848</v>
      </c>
      <c r="J29" s="130">
        <f t="shared" si="0"/>
        <v>0</v>
      </c>
      <c r="K29" s="108"/>
      <c r="L29" s="108"/>
    </row>
    <row r="30" spans="2:19" s="90" customFormat="1" ht="15" outlineLevel="1" thickBot="1">
      <c r="B30" s="100">
        <v>22</v>
      </c>
      <c r="C30" s="101" t="s">
        <v>589</v>
      </c>
      <c r="D30" s="169">
        <v>62400</v>
      </c>
      <c r="E30" s="137">
        <f>D30/$D$6</f>
        <v>121.6374269005848</v>
      </c>
      <c r="F30" s="129">
        <v>45645</v>
      </c>
      <c r="G30" s="90" t="s">
        <v>235</v>
      </c>
      <c r="H30" s="90">
        <f>IF(OR(G30="Sin pagar",G30="Pagar"),_xlfn.SINGLE(NETWORKDAYS($E$4,F30,'Festivos CR'!$A$3:$A$15)),0)</f>
        <v>0</v>
      </c>
      <c r="I30" s="90">
        <f>NETWORKDAYS($E$4,F30,'Festivos CR'!$A$3:$A$15)</f>
        <v>14</v>
      </c>
      <c r="J30" s="132">
        <f t="shared" si="0"/>
        <v>0</v>
      </c>
      <c r="N30" s="103"/>
    </row>
    <row r="31" spans="2:19" s="90" customFormat="1" ht="16.2" thickBot="1">
      <c r="C31" s="127" t="s">
        <v>250</v>
      </c>
      <c r="D31" s="172">
        <f>SUBTOTAL(9,D32:D33)</f>
        <v>391642</v>
      </c>
      <c r="E31" s="128">
        <f>SUBTOTAL(9,E32:E33)</f>
        <v>763.43469785575053</v>
      </c>
      <c r="K31" s="103"/>
      <c r="L31" s="103"/>
      <c r="O31" s="103"/>
      <c r="P31" s="103"/>
    </row>
    <row r="32" spans="2:19" s="90" customFormat="1" ht="14.25" customHeight="1" outlineLevel="1">
      <c r="B32" s="138" t="s">
        <v>590</v>
      </c>
      <c r="C32" s="101" t="s">
        <v>251</v>
      </c>
      <c r="D32" s="169">
        <v>77000</v>
      </c>
      <c r="E32" s="137">
        <f>D32/$D$6</f>
        <v>150.09746588693957</v>
      </c>
      <c r="F32" s="129">
        <v>45631</v>
      </c>
      <c r="G32" s="90" t="s">
        <v>235</v>
      </c>
      <c r="H32" s="90">
        <f>IF(OR(G32="Sin pagar",G32="Pagar"),_xlfn.SINGLE(NETWORKDAYS($E$4,F32,'Festivos CR'!$A$3:$A$15)),0)</f>
        <v>0</v>
      </c>
      <c r="I32" s="90">
        <f>NETWORKDAYS($E$4,F32,'Festivos CR'!$A$3:$A$15)</f>
        <v>4</v>
      </c>
      <c r="J32" s="132">
        <f>H32</f>
        <v>0</v>
      </c>
      <c r="K32" s="103"/>
      <c r="L32" s="103"/>
      <c r="O32" s="103"/>
      <c r="P32" s="103"/>
    </row>
    <row r="33" spans="2:16" s="90" customFormat="1" ht="36" customHeight="1" outlineLevel="1" thickBot="1">
      <c r="B33" s="138"/>
      <c r="C33" s="101" t="s">
        <v>605</v>
      </c>
      <c r="D33" s="169">
        <v>314642</v>
      </c>
      <c r="E33" s="137">
        <f>D33/$D$6</f>
        <v>613.3372319688109</v>
      </c>
      <c r="F33" s="129">
        <v>45644</v>
      </c>
      <c r="G33" s="90" t="s">
        <v>235</v>
      </c>
      <c r="H33" s="90">
        <f>IF(OR(G33="Sin pagar",G33="Pagar"),_xlfn.SINGLE(NETWORKDAYS($E$4,F33,'Festivos CR'!$A$3:$A$15)),0)</f>
        <v>0</v>
      </c>
      <c r="I33" s="90">
        <f>NETWORKDAYS($E$4,F33,'Festivos CR'!$A$3:$A$15)</f>
        <v>13</v>
      </c>
      <c r="J33" s="132">
        <f>H33</f>
        <v>0</v>
      </c>
      <c r="K33" s="103"/>
      <c r="L33" s="103"/>
      <c r="O33" s="103"/>
      <c r="P33" s="103"/>
    </row>
    <row r="34" spans="2:16" s="90" customFormat="1" ht="16.2" thickBot="1">
      <c r="B34" s="136"/>
      <c r="C34" s="139" t="s">
        <v>234</v>
      </c>
      <c r="D34" s="173">
        <f>SUBTOTAL(9,D35:D36)</f>
        <v>0</v>
      </c>
      <c r="E34" s="140">
        <f>SUBTOTAL(9,E35:E36)</f>
        <v>0</v>
      </c>
      <c r="K34" s="108"/>
    </row>
    <row r="35" spans="2:16" s="90" customFormat="1" outlineLevel="1">
      <c r="B35" s="176">
        <v>5483</v>
      </c>
      <c r="C35" s="174" t="s">
        <v>591</v>
      </c>
      <c r="D35" s="169">
        <f>E35*$D$6</f>
        <v>0</v>
      </c>
      <c r="E35" s="137">
        <f>440*0</f>
        <v>0</v>
      </c>
      <c r="F35" s="129">
        <v>45657</v>
      </c>
      <c r="G35" s="90" t="s">
        <v>235</v>
      </c>
      <c r="H35" s="90">
        <f>IF(OR(G35="Sin pagar",G35="Pagar"),_xlfn.SINGLE(NETWORKDAYS($E$4,F35,'Festivos CR'!$A$3:$A$15)),0)</f>
        <v>0</v>
      </c>
      <c r="I35" s="90">
        <f>NETWORKDAYS($E$4,F35,'Festivos CR'!$A$3:$A$15)</f>
        <v>20</v>
      </c>
      <c r="J35" s="132">
        <f>H35</f>
        <v>0</v>
      </c>
      <c r="M35" s="297"/>
      <c r="N35" s="298"/>
    </row>
    <row r="36" spans="2:16" s="90" customFormat="1" ht="15" outlineLevel="1" thickBot="1">
      <c r="B36" s="176">
        <v>5582</v>
      </c>
      <c r="C36" s="174" t="s">
        <v>592</v>
      </c>
      <c r="D36" s="169">
        <f>E36*$D$6</f>
        <v>0</v>
      </c>
      <c r="E36" s="137">
        <f>440*0</f>
        <v>0</v>
      </c>
      <c r="F36" s="129">
        <v>45657</v>
      </c>
      <c r="G36" s="90" t="s">
        <v>235</v>
      </c>
      <c r="H36" s="90">
        <f>IF(OR(G36="Sin pagar",G36="Pagar"),_xlfn.SINGLE(NETWORKDAYS($E$4,F36,'Festivos CR'!$A$3:$A$15)),0)</f>
        <v>0</v>
      </c>
      <c r="I36" s="90">
        <f>NETWORKDAYS($E$4,F36,'Festivos CR'!$A$3:$A$15)</f>
        <v>20</v>
      </c>
      <c r="J36" s="132">
        <f>H36</f>
        <v>0</v>
      </c>
      <c r="M36" s="297"/>
      <c r="N36" s="298"/>
    </row>
    <row r="37" spans="2:16" s="90" customFormat="1" ht="15.75" customHeight="1" thickBot="1">
      <c r="C37" s="127" t="s">
        <v>236</v>
      </c>
      <c r="D37" s="172">
        <f>SUBTOTAL(9,D38:D38)</f>
        <v>300.56</v>
      </c>
      <c r="E37" s="128">
        <f>SUBTOTAL(9,E38:E38)</f>
        <v>0.58588693957115012</v>
      </c>
      <c r="M37" s="299"/>
      <c r="N37" s="299"/>
      <c r="O37" s="118"/>
      <c r="P37" s="300"/>
    </row>
    <row r="38" spans="2:16" s="90" customFormat="1" ht="15" outlineLevel="1" thickBot="1">
      <c r="B38" s="100"/>
      <c r="C38" s="174" t="s">
        <v>236</v>
      </c>
      <c r="D38" s="271">
        <v>300.56</v>
      </c>
      <c r="E38" s="142">
        <f>D38/D6</f>
        <v>0.58588693957115012</v>
      </c>
      <c r="F38" s="129">
        <v>45656</v>
      </c>
      <c r="G38" s="90" t="s">
        <v>235</v>
      </c>
      <c r="H38" s="90">
        <f>IF(OR(G38="Sin pagar",G38="Pagar"),_xlfn.SINGLE(NETWORKDAYS($E$4,F38,'Festivos CR'!$A$3:$A$15)),0)</f>
        <v>0</v>
      </c>
      <c r="I38" s="90">
        <f>NETWORKDAYS($E$4,F38,'Festivos CR'!$A$3:$A$15)</f>
        <v>20</v>
      </c>
      <c r="J38" s="132">
        <f>H38</f>
        <v>0</v>
      </c>
    </row>
    <row r="39" spans="2:16" s="90" customFormat="1" ht="16.2" thickBot="1">
      <c r="C39" s="127" t="s">
        <v>237</v>
      </c>
      <c r="D39" s="172">
        <f>SUBTOTAL(9,D40:D56)</f>
        <v>28117836.329999998</v>
      </c>
      <c r="E39" s="128">
        <f>SUBTOTAL(9,E40:E56)</f>
        <v>56253.352674650705</v>
      </c>
      <c r="K39" s="108"/>
      <c r="L39" s="143"/>
    </row>
    <row r="40" spans="2:16" s="180" customFormat="1" outlineLevel="1">
      <c r="B40" s="265" t="s">
        <v>270</v>
      </c>
      <c r="C40" s="174" t="s">
        <v>593</v>
      </c>
      <c r="D40" s="170">
        <f>$E$40*CONVERSIONES!$C$183</f>
        <v>2033447.02</v>
      </c>
      <c r="E40" s="137">
        <v>4018.67</v>
      </c>
      <c r="F40" s="129">
        <v>45630</v>
      </c>
      <c r="G40" s="90" t="s">
        <v>235</v>
      </c>
      <c r="H40" s="90">
        <f>IF(OR(G40="Sin pagar",G40="Pagar"),_xlfn.SINGLE(NETWORKDAYS($E$4,F40,'Festivos CR'!$A$3:$A$15)),0)</f>
        <v>0</v>
      </c>
      <c r="I40" s="90">
        <f>NETWORKDAYS($E$4,F40,'Festivos CR'!$A$3:$A$15)</f>
        <v>3</v>
      </c>
      <c r="J40" s="132">
        <f t="shared" ref="J40:J48" si="1">H40</f>
        <v>0</v>
      </c>
      <c r="L40" s="179"/>
    </row>
    <row r="41" spans="2:16" s="90" customFormat="1" outlineLevel="1">
      <c r="B41" s="145" t="s">
        <v>391</v>
      </c>
      <c r="C41" s="174" t="s">
        <v>632</v>
      </c>
      <c r="D41" s="347">
        <v>1779646.91</v>
      </c>
      <c r="E41" s="137">
        <f>D41/CONVERSIONES!$C$219</f>
        <v>3552.1894411177641</v>
      </c>
      <c r="F41" s="129">
        <v>45645</v>
      </c>
      <c r="G41" s="90" t="s">
        <v>235</v>
      </c>
      <c r="H41" s="90">
        <f>IF(OR(G41="Sin pagar",G41="Pagar"),_xlfn.SINGLE(NETWORKDAYS($E$4,F41,'Festivos CR'!$A$3:$A$15)),0)</f>
        <v>0</v>
      </c>
      <c r="I41" s="90">
        <f>NETWORKDAYS($E$4,F41,'Festivos CR'!$A$3:$A$15)</f>
        <v>14</v>
      </c>
      <c r="J41" s="132">
        <f t="shared" si="1"/>
        <v>0</v>
      </c>
      <c r="K41" s="135"/>
      <c r="L41" s="135"/>
    </row>
    <row r="42" spans="2:16" s="180" customFormat="1" outlineLevel="1">
      <c r="B42" s="265" t="s">
        <v>270</v>
      </c>
      <c r="C42" s="174" t="s">
        <v>633</v>
      </c>
      <c r="D42" s="347">
        <f>E42*CONVERSIONES!$C$219</f>
        <v>2577234.1800000002</v>
      </c>
      <c r="E42" s="137">
        <v>5144.18</v>
      </c>
      <c r="F42" s="129">
        <v>45645</v>
      </c>
      <c r="G42" s="90" t="s">
        <v>235</v>
      </c>
      <c r="H42" s="90">
        <f>IF(OR(G42="Sin pagar",G42="Pagar"),_xlfn.SINGLE(NETWORKDAYS($E$4,F42,'Festivos CR'!$A$3:$A$15)),0)</f>
        <v>0</v>
      </c>
      <c r="I42" s="90">
        <f>NETWORKDAYS($E$4,F42,'Festivos CR'!$A$3:$A$15)</f>
        <v>14</v>
      </c>
      <c r="J42" s="132">
        <f t="shared" si="1"/>
        <v>0</v>
      </c>
      <c r="L42" s="179"/>
    </row>
    <row r="43" spans="2:16" s="90" customFormat="1" outlineLevel="1">
      <c r="B43" s="145" t="s">
        <v>391</v>
      </c>
      <c r="C43" s="174" t="s">
        <v>634</v>
      </c>
      <c r="D43" s="347">
        <v>682962.65</v>
      </c>
      <c r="E43" s="137">
        <f>D43/CONVERSIONES!$C$219</f>
        <v>1363.1989021956088</v>
      </c>
      <c r="F43" s="129">
        <v>45645</v>
      </c>
      <c r="G43" s="90" t="s">
        <v>235</v>
      </c>
      <c r="H43" s="90">
        <f>IF(OR(G43="Sin pagar",G43="Pagar"),_xlfn.SINGLE(NETWORKDAYS($E$4,F43,'Festivos CR'!$A$3:$A$15)),0)</f>
        <v>0</v>
      </c>
      <c r="I43" s="90">
        <f>NETWORKDAYS($E$4,F43,'Festivos CR'!$A$3:$A$15)</f>
        <v>14</v>
      </c>
      <c r="J43" s="132">
        <f t="shared" si="1"/>
        <v>0</v>
      </c>
      <c r="K43" s="135"/>
      <c r="L43" s="135"/>
    </row>
    <row r="44" spans="2:16" s="180" customFormat="1" outlineLevel="1">
      <c r="B44" s="145" t="s">
        <v>391</v>
      </c>
      <c r="C44" s="174" t="s">
        <v>635</v>
      </c>
      <c r="D44" s="347">
        <v>1681000</v>
      </c>
      <c r="E44" s="137">
        <f>D44/CONVERSIONES!$C$219</f>
        <v>3355.2894211576845</v>
      </c>
      <c r="F44" s="129">
        <v>45645</v>
      </c>
      <c r="G44" s="90" t="s">
        <v>235</v>
      </c>
      <c r="H44" s="90">
        <f>IF(OR(G44="Sin pagar",G44="Pagar"),_xlfn.SINGLE(NETWORKDAYS($E$4,F44,'Festivos CR'!$A$3:$A$15)),0)</f>
        <v>0</v>
      </c>
      <c r="I44" s="90">
        <f>NETWORKDAYS($E$4,F44,'Festivos CR'!$A$3:$A$15)</f>
        <v>14</v>
      </c>
      <c r="J44" s="132">
        <f t="shared" si="1"/>
        <v>0</v>
      </c>
      <c r="L44" s="179"/>
    </row>
    <row r="45" spans="2:16" s="180" customFormat="1" outlineLevel="1">
      <c r="B45" s="145" t="s">
        <v>391</v>
      </c>
      <c r="C45" s="174" t="s">
        <v>636</v>
      </c>
      <c r="D45" s="347">
        <v>1214055.56</v>
      </c>
      <c r="E45" s="137">
        <f>D45/CONVERSIONES!$C$219</f>
        <v>2423.2645908183636</v>
      </c>
      <c r="F45" s="129">
        <v>45645</v>
      </c>
      <c r="G45" s="90" t="s">
        <v>235</v>
      </c>
      <c r="H45" s="90">
        <f>IF(OR(G45="Sin pagar",G45="Pagar"),_xlfn.SINGLE(NETWORKDAYS($E$4,F45,'Festivos CR'!$A$3:$A$15)),0)</f>
        <v>0</v>
      </c>
      <c r="I45" s="90">
        <f>NETWORKDAYS($E$4,F45,'Festivos CR'!$A$3:$A$15)</f>
        <v>14</v>
      </c>
      <c r="J45" s="132">
        <f t="shared" si="1"/>
        <v>0</v>
      </c>
      <c r="L45" s="179"/>
    </row>
    <row r="46" spans="2:16" s="180" customFormat="1" ht="28.8" outlineLevel="1">
      <c r="B46" s="145" t="s">
        <v>391</v>
      </c>
      <c r="C46" s="174" t="s">
        <v>637</v>
      </c>
      <c r="D46" s="347">
        <v>513625.58</v>
      </c>
      <c r="E46" s="137">
        <f>D46/CONVERSIONES!$C$219</f>
        <v>1025.200758483034</v>
      </c>
      <c r="F46" s="129">
        <v>45645</v>
      </c>
      <c r="G46" s="90" t="s">
        <v>235</v>
      </c>
      <c r="H46" s="90">
        <f>IF(OR(G46="Sin pagar",G46="Pagar"),_xlfn.SINGLE(NETWORKDAYS($E$4,F46,'Festivos CR'!$A$3:$A$15)),0)</f>
        <v>0</v>
      </c>
      <c r="I46" s="90">
        <f>NETWORKDAYS($E$4,F46,'Festivos CR'!$A$3:$A$15)</f>
        <v>14</v>
      </c>
      <c r="J46" s="132">
        <f t="shared" si="1"/>
        <v>0</v>
      </c>
      <c r="L46" s="179"/>
    </row>
    <row r="47" spans="2:16" s="180" customFormat="1" outlineLevel="1">
      <c r="B47" s="265" t="s">
        <v>270</v>
      </c>
      <c r="C47" s="174" t="s">
        <v>638</v>
      </c>
      <c r="D47" s="347">
        <f>E47*CONVERSIONES!$C$219</f>
        <v>4333650</v>
      </c>
      <c r="E47" s="137">
        <v>8650</v>
      </c>
      <c r="F47" s="129">
        <v>45645</v>
      </c>
      <c r="G47" s="90" t="s">
        <v>235</v>
      </c>
      <c r="H47" s="90">
        <f>IF(OR(G47="Sin pagar",G47="Pagar"),_xlfn.SINGLE(NETWORKDAYS($E$4,F47,'Festivos CR'!$A$3:$A$15)),0)</f>
        <v>0</v>
      </c>
      <c r="I47" s="90">
        <f>NETWORKDAYS($E$4,F47,'Festivos CR'!$A$3:$A$15)</f>
        <v>14</v>
      </c>
      <c r="J47" s="132">
        <f t="shared" si="1"/>
        <v>0</v>
      </c>
      <c r="L47" s="179"/>
    </row>
    <row r="48" spans="2:16" s="180" customFormat="1" outlineLevel="1">
      <c r="B48" s="265" t="s">
        <v>270</v>
      </c>
      <c r="C48" s="174" t="s">
        <v>639</v>
      </c>
      <c r="D48" s="347">
        <f>E48*CONVERSIONES!$C$219</f>
        <v>375750</v>
      </c>
      <c r="E48" s="137">
        <v>750</v>
      </c>
      <c r="F48" s="129">
        <v>45645</v>
      </c>
      <c r="G48" s="90" t="s">
        <v>235</v>
      </c>
      <c r="H48" s="90">
        <f>IF(OR(G48="Sin pagar",G48="Pagar"),_xlfn.SINGLE(NETWORKDAYS($E$4,F48,'Festivos CR'!$A$3:$A$15)),0)</f>
        <v>0</v>
      </c>
      <c r="I48" s="90">
        <f>NETWORKDAYS($E$4,F48,'Festivos CR'!$A$3:$A$15)</f>
        <v>14</v>
      </c>
      <c r="J48" s="132">
        <f t="shared" si="1"/>
        <v>0</v>
      </c>
      <c r="L48" s="179"/>
    </row>
    <row r="49" spans="1:16" s="90" customFormat="1" outlineLevel="1">
      <c r="B49" s="145" t="s">
        <v>391</v>
      </c>
      <c r="C49" s="174" t="s">
        <v>254</v>
      </c>
      <c r="D49" s="170">
        <f>1612916.33</f>
        <v>1612916.33</v>
      </c>
      <c r="E49" s="142">
        <f>CONVERSIONES!E198</f>
        <v>3417.34</v>
      </c>
      <c r="F49" s="129">
        <v>45653</v>
      </c>
      <c r="G49" s="90" t="s">
        <v>235</v>
      </c>
      <c r="H49" s="90">
        <f>IF(OR(G49="Sin pagar",G49="Pagar"),_xlfn.SINGLE(NETWORKDAYS($E$4,F49,'Festivos CR'!$A$3:$A$15)),0)</f>
        <v>0</v>
      </c>
      <c r="I49" s="90">
        <f>NETWORKDAYS($E$4,F49,'Festivos CR'!$A$3:$A$15)</f>
        <v>19</v>
      </c>
      <c r="J49" s="132">
        <f t="shared" ref="J49:J55" si="2">H49</f>
        <v>0</v>
      </c>
      <c r="K49" s="135"/>
      <c r="L49" s="135"/>
    </row>
    <row r="50" spans="1:16" s="180" customFormat="1" outlineLevel="1">
      <c r="B50" s="265" t="s">
        <v>270</v>
      </c>
      <c r="C50" s="174" t="s">
        <v>258</v>
      </c>
      <c r="D50" s="170">
        <f>E50*CONVERSIONES!$C$201</f>
        <v>1713269.7</v>
      </c>
      <c r="E50" s="142">
        <v>3419.7</v>
      </c>
      <c r="F50" s="129">
        <v>45653</v>
      </c>
      <c r="G50" s="90" t="s">
        <v>235</v>
      </c>
      <c r="H50" s="90">
        <f>IF(OR(G50="Sin pagar",G50="Pagar"),_xlfn.SINGLE(NETWORKDAYS($E$4,F50,'Festivos CR'!$A$3:$A$15)),0)</f>
        <v>0</v>
      </c>
      <c r="I50" s="90">
        <f>NETWORKDAYS($E$4,F50,'Festivos CR'!$A$3:$A$15)</f>
        <v>19</v>
      </c>
      <c r="J50" s="132">
        <f t="shared" si="2"/>
        <v>0</v>
      </c>
      <c r="L50" s="179"/>
    </row>
    <row r="51" spans="1:16" s="90" customFormat="1" outlineLevel="1">
      <c r="B51" s="145" t="s">
        <v>391</v>
      </c>
      <c r="C51" s="174" t="s">
        <v>390</v>
      </c>
      <c r="D51" s="170">
        <f>1325079.36</f>
        <v>1325079.3600000001</v>
      </c>
      <c r="E51" s="142">
        <f>D51/CONVERSIONES!$C$201</f>
        <v>2644.8689820359282</v>
      </c>
      <c r="F51" s="129">
        <v>45653</v>
      </c>
      <c r="G51" s="90" t="s">
        <v>235</v>
      </c>
      <c r="H51" s="90">
        <f>IF(OR(G51="Sin pagar",G51="Pagar"),_xlfn.SINGLE(NETWORKDAYS($E$4,F51,'Festivos CR'!$A$3:$A$15)),0)</f>
        <v>0</v>
      </c>
      <c r="I51" s="90">
        <f>NETWORKDAYS($E$4,F51,'Festivos CR'!$A$3:$A$15)</f>
        <v>19</v>
      </c>
      <c r="J51" s="132">
        <f>H51</f>
        <v>0</v>
      </c>
      <c r="K51" s="135"/>
      <c r="L51" s="135"/>
    </row>
    <row r="52" spans="1:16" s="180" customFormat="1" outlineLevel="1">
      <c r="B52" s="145" t="s">
        <v>391</v>
      </c>
      <c r="C52" s="174" t="s">
        <v>253</v>
      </c>
      <c r="D52" s="347">
        <f>1410537.3</f>
        <v>1410537.3</v>
      </c>
      <c r="E52" s="137">
        <f>$D$52/CONVERSIONES!$C$201</f>
        <v>2815.4437125748505</v>
      </c>
      <c r="F52" s="129">
        <v>45653</v>
      </c>
      <c r="G52" s="90" t="s">
        <v>235</v>
      </c>
      <c r="H52" s="90">
        <f>IF(OR(G52="Sin pagar",G52="Pagar"),_xlfn.SINGLE(NETWORKDAYS($E$4,F52,'Festivos CR'!$A$3:$A$15)),0)</f>
        <v>0</v>
      </c>
      <c r="I52" s="90">
        <f>NETWORKDAYS($E$4,F52,'Festivos CR'!$A$3:$A$15)</f>
        <v>19</v>
      </c>
      <c r="J52" s="132">
        <f t="shared" si="2"/>
        <v>0</v>
      </c>
      <c r="L52" s="179"/>
    </row>
    <row r="53" spans="1:16" s="180" customFormat="1" outlineLevel="1">
      <c r="B53" s="145" t="s">
        <v>391</v>
      </c>
      <c r="C53" s="174" t="s">
        <v>255</v>
      </c>
      <c r="D53" s="347">
        <f>1410537.3</f>
        <v>1410537.3</v>
      </c>
      <c r="E53" s="137">
        <f>$D$53/CONVERSIONES!$C$201</f>
        <v>2815.4437125748505</v>
      </c>
      <c r="F53" s="129">
        <v>45653</v>
      </c>
      <c r="G53" s="90" t="s">
        <v>235</v>
      </c>
      <c r="H53" s="90">
        <f>IF(OR(G53="Sin pagar",G53="Pagar"),_xlfn.SINGLE(NETWORKDAYS($E$4,F53,'Festivos CR'!$A$3:$A$15)),0)</f>
        <v>0</v>
      </c>
      <c r="I53" s="90">
        <f>NETWORKDAYS($E$4,F53,'Festivos CR'!$A$3:$A$15)</f>
        <v>19</v>
      </c>
      <c r="J53" s="132">
        <f t="shared" si="2"/>
        <v>0</v>
      </c>
      <c r="L53" s="179"/>
    </row>
    <row r="54" spans="1:16" s="180" customFormat="1" outlineLevel="1">
      <c r="B54" s="145" t="s">
        <v>391</v>
      </c>
      <c r="C54" s="174" t="s">
        <v>330</v>
      </c>
      <c r="D54" s="170">
        <f>786551.54</f>
        <v>786551.54</v>
      </c>
      <c r="E54" s="142">
        <f>$D$54/CONVERSIONES!$C$201</f>
        <v>1569.9631536926149</v>
      </c>
      <c r="F54" s="129">
        <v>45653</v>
      </c>
      <c r="G54" s="90" t="s">
        <v>235</v>
      </c>
      <c r="H54" s="90">
        <f>IF(OR(G54="Sin pagar",G54="Pagar"),_xlfn.SINGLE(NETWORKDAYS($E$4,F54,'Festivos CR'!$A$3:$A$15)),0)</f>
        <v>0</v>
      </c>
      <c r="I54" s="90">
        <f>NETWORKDAYS($E$4,F54,'Festivos CR'!$A$3:$A$15)</f>
        <v>19</v>
      </c>
      <c r="J54" s="132">
        <f>H54</f>
        <v>0</v>
      </c>
      <c r="L54" s="179"/>
    </row>
    <row r="55" spans="1:16" s="180" customFormat="1" outlineLevel="1">
      <c r="B55" s="265" t="s">
        <v>270</v>
      </c>
      <c r="C55" s="174" t="s">
        <v>257</v>
      </c>
      <c r="D55" s="170">
        <f>E55*CONVERSIONES!$C$201</f>
        <v>3252361.7399999998</v>
      </c>
      <c r="E55" s="142">
        <v>6491.74</v>
      </c>
      <c r="F55" s="129">
        <v>45653</v>
      </c>
      <c r="G55" s="90" t="s">
        <v>235</v>
      </c>
      <c r="H55" s="90">
        <f>IF(OR(G55="Sin pagar",G55="Pagar"),_xlfn.SINGLE(NETWORKDAYS($E$4,F55,'Festivos CR'!$A$3:$A$15)),0)</f>
        <v>0</v>
      </c>
      <c r="I55" s="90">
        <f>NETWORKDAYS($E$4,F55,'Festivos CR'!$A$3:$A$15)</f>
        <v>19</v>
      </c>
      <c r="J55" s="132">
        <f t="shared" si="2"/>
        <v>0</v>
      </c>
      <c r="L55" s="179"/>
    </row>
    <row r="56" spans="1:16" s="180" customFormat="1" ht="15" outlineLevel="1" thickBot="1">
      <c r="B56" s="265" t="s">
        <v>270</v>
      </c>
      <c r="C56" s="174" t="s">
        <v>549</v>
      </c>
      <c r="D56" s="347">
        <f>$E$56*CONVERSIONES!$C$183</f>
        <v>1415211.1600000001</v>
      </c>
      <c r="E56" s="137">
        <v>2796.86</v>
      </c>
      <c r="F56" s="129">
        <v>45653</v>
      </c>
      <c r="G56" s="90" t="s">
        <v>235</v>
      </c>
      <c r="H56" s="90">
        <f>IF(OR(G56="Sin pagar",G56="Pagar"),_xlfn.SINGLE(NETWORKDAYS($E$4,F56,'Festivos CR'!$A$3:$A$15)),0)</f>
        <v>0</v>
      </c>
      <c r="I56" s="90">
        <f>NETWORKDAYS($E$4,F56,'Festivos CR'!$A$3:$A$15)</f>
        <v>19</v>
      </c>
      <c r="J56" s="132">
        <f>H56</f>
        <v>0</v>
      </c>
      <c r="L56" s="179"/>
    </row>
    <row r="57" spans="1:16" s="90" customFormat="1" ht="16.2" thickBot="1">
      <c r="A57" s="180"/>
      <c r="B57" s="145"/>
      <c r="C57" s="127" t="s">
        <v>238</v>
      </c>
      <c r="D57" s="172">
        <f>SUBTOTAL(9,D58:D58)</f>
        <v>0</v>
      </c>
      <c r="E57" s="128">
        <f>SUBTOTAL(9,E58:E58)</f>
        <v>0</v>
      </c>
      <c r="L57" s="108"/>
    </row>
    <row r="58" spans="1:16" s="90" customFormat="1" ht="15" outlineLevel="1" thickBot="1">
      <c r="A58" s="180"/>
      <c r="B58" s="146"/>
      <c r="C58" s="101"/>
      <c r="D58" s="170">
        <v>0</v>
      </c>
      <c r="E58" s="142">
        <f>D58/$D$6</f>
        <v>0</v>
      </c>
      <c r="F58" s="129">
        <v>45656</v>
      </c>
      <c r="G58" s="90" t="s">
        <v>235</v>
      </c>
      <c r="H58" s="90" t="e">
        <f>IF(OR(#REF!="Sin pagar",#REF!="Pagar"),_xlfn.SINGLE(NETWORKDAYS($E$4,#REF!,'Festivos CR'!$A$3:$A$15)),0)</f>
        <v>#REF!</v>
      </c>
      <c r="I58" s="90" t="e">
        <f>NETWORKDAYS($E$4,#REF!,'Festivos CR'!$A$3:$A$15)</f>
        <v>#REF!</v>
      </c>
      <c r="J58" s="132"/>
      <c r="L58" s="108"/>
    </row>
    <row r="59" spans="1:16" s="90" customFormat="1" ht="14.25" customHeight="1">
      <c r="B59" s="100"/>
      <c r="C59" s="147" t="s">
        <v>239</v>
      </c>
      <c r="D59" s="171">
        <f>SUBTOTAL(9,D24:D58)</f>
        <v>36156686.890000001</v>
      </c>
      <c r="E59" s="148">
        <f>SUBTOTAL(9,E24:E58)</f>
        <v>71923.62667075207</v>
      </c>
      <c r="K59" s="332"/>
      <c r="L59" s="332"/>
      <c r="N59" s="332"/>
      <c r="O59" s="332"/>
      <c r="P59" s="332"/>
    </row>
    <row r="60" spans="1:16" ht="15.6">
      <c r="A60" s="90"/>
      <c r="E60" s="149"/>
      <c r="F60" s="239"/>
      <c r="G60" s="150"/>
      <c r="H60" s="150"/>
      <c r="I60" s="150"/>
      <c r="J60" s="150"/>
    </row>
    <row r="61" spans="1:16" ht="15.6">
      <c r="A61" s="90"/>
      <c r="C61" s="151" t="s">
        <v>3</v>
      </c>
      <c r="D61" s="182">
        <f>D19-D59</f>
        <v>14987721.527288698</v>
      </c>
      <c r="E61" s="152">
        <f>E19-E59</f>
        <v>29485.334072249228</v>
      </c>
      <c r="F61" s="243"/>
      <c r="G61" s="153"/>
      <c r="J61" s="153"/>
    </row>
    <row r="62" spans="1:16" s="157" customFormat="1" ht="15.6">
      <c r="A62" s="90"/>
      <c r="B62" s="154"/>
      <c r="C62" s="151" t="s">
        <v>240</v>
      </c>
      <c r="D62" s="155">
        <f>IF($D$19=0,0,D61/$D$19)</f>
        <v>0.29304711875838796</v>
      </c>
      <c r="E62" s="155">
        <f>IF($E$19=0,0,E61/$E$19)</f>
        <v>0.29075669305963325</v>
      </c>
      <c r="F62" s="156"/>
      <c r="G62" s="153"/>
      <c r="J62" s="158"/>
      <c r="K62" s="332"/>
      <c r="L62" s="332"/>
      <c r="N62" s="332"/>
      <c r="O62" s="332"/>
      <c r="P62" s="332"/>
    </row>
    <row r="63" spans="1:16">
      <c r="A63" s="90"/>
      <c r="F63" s="156"/>
      <c r="G63" s="153"/>
    </row>
    <row r="65" spans="3:13" ht="15" thickBot="1"/>
    <row r="66" spans="3:13" ht="15" thickBot="1">
      <c r="C66" s="189" t="s">
        <v>260</v>
      </c>
      <c r="D66" s="190" t="s">
        <v>261</v>
      </c>
      <c r="E66" s="191" t="s">
        <v>265</v>
      </c>
      <c r="F66" s="191" t="s">
        <v>266</v>
      </c>
    </row>
    <row r="67" spans="3:13">
      <c r="C67" s="303">
        <v>45627</v>
      </c>
      <c r="D67" s="304">
        <v>45634</v>
      </c>
      <c r="E67" s="195">
        <f>SUMIFS($D$23:$D$64,$F$23:$F$64,"&gt;="&amp;C67,$F$23:$F$64,"&lt;="&amp;D67,$G$23:$G$64,$D$81)</f>
        <v>0</v>
      </c>
      <c r="F67" s="201">
        <f>SUMIFS($E$23:$E$64,$F$23:$F$64,"&gt;="&amp;C67,$F$23:$F$64,"&lt;="&amp;D67,$G$23:$G$64,$D$81)</f>
        <v>0</v>
      </c>
      <c r="G67" s="332" t="s">
        <v>594</v>
      </c>
    </row>
    <row r="68" spans="3:13">
      <c r="C68" s="305">
        <v>45635</v>
      </c>
      <c r="D68" s="306">
        <v>45641</v>
      </c>
      <c r="E68" s="196">
        <f>SUMIFS($D$23:$D$64,$F$23:$F$64,"&gt;="&amp;C68,$F$23:$F$64,"&lt;="&amp;D68,$G$23:$G$64,$D$81)</f>
        <v>0</v>
      </c>
      <c r="F68" s="202">
        <f>SUMIFS($E$23:$E$64,$F$23:$F$64,"&gt;="&amp;C68,$F$23:$F$64,"&lt;="&amp;D68,$G$23:$G$64,$D$81)</f>
        <v>0</v>
      </c>
      <c r="G68" s="332" t="s">
        <v>595</v>
      </c>
    </row>
    <row r="69" spans="3:13">
      <c r="C69" s="183">
        <v>45642</v>
      </c>
      <c r="D69" s="184">
        <v>45648</v>
      </c>
      <c r="E69" s="196">
        <f>SUMIFS($D$23:$D$64,$F$23:$F$64,"&gt;="&amp;C69,$F$23:$F$64,"&lt;="&amp;D69,$G$23:$G$64,$D$81)</f>
        <v>0</v>
      </c>
      <c r="F69" s="202">
        <f>SUMIFS($E$23:$E$64,$F$23:$F$64,"&gt;="&amp;C69,$F$23:$F$64,"&lt;="&amp;D69,$G$23:$G$64,$D$81)</f>
        <v>0</v>
      </c>
      <c r="G69" s="332" t="s">
        <v>555</v>
      </c>
      <c r="J69" s="591"/>
    </row>
    <row r="70" spans="3:13">
      <c r="C70" s="183">
        <v>45649</v>
      </c>
      <c r="D70" s="184">
        <v>45653</v>
      </c>
      <c r="E70" s="196">
        <f>SUMIFS($D$23:$D$64,$F$23:$F$64,"&gt;="&amp;C70,$F$23:$F$64,"&lt;="&amp;D70,$G$23:$G$64,$D$81)</f>
        <v>0</v>
      </c>
      <c r="F70" s="202">
        <f>SUMIFS($E$23:$E$64,$F$23:$F$64,"&gt;="&amp;C70,$F$23:$F$64,"&lt;="&amp;D70,$G$23:$G$64,$D$81)</f>
        <v>0</v>
      </c>
      <c r="G70" s="332" t="s">
        <v>556</v>
      </c>
      <c r="J70" s="591"/>
    </row>
    <row r="71" spans="3:13" ht="15" thickBot="1">
      <c r="C71" s="187">
        <v>45656</v>
      </c>
      <c r="D71" s="348">
        <v>45657</v>
      </c>
      <c r="E71" s="197">
        <f>SUMIFS($D$23:$D$64,$F$23:$F$64,"&gt;="&amp;C71,$F$23:$F$64,"&lt;="&amp;D71,$G$23:$G$64,$D$81)</f>
        <v>0</v>
      </c>
      <c r="F71" s="203">
        <f>SUMIFS($E$23:$E$64,$F$23:$F$64,"&gt;="&amp;C71,$F$23:$F$64,"&lt;="&amp;D71,$G$23:$G$64,$D$81)</f>
        <v>0</v>
      </c>
      <c r="G71" s="332" t="s">
        <v>596</v>
      </c>
    </row>
    <row r="72" spans="3:13" ht="15.6">
      <c r="C72" s="589" t="s">
        <v>262</v>
      </c>
      <c r="D72" s="589"/>
      <c r="E72" s="186">
        <f>SUM(E67:E71)</f>
        <v>0</v>
      </c>
      <c r="F72" s="200">
        <f>SUM(F67:F71)</f>
        <v>0</v>
      </c>
      <c r="G72" s="94"/>
      <c r="J72" s="153"/>
      <c r="K72" s="153"/>
      <c r="M72" s="206"/>
    </row>
    <row r="75" spans="3:13">
      <c r="C75" s="592" t="s">
        <v>267</v>
      </c>
      <c r="D75" s="592"/>
      <c r="E75" s="204">
        <f>'BAC SAN JOSE COLONES  '!$G$350+('BAC SAN JOSE USD'!$G$250*'FLUJO CAJA DICIEMBRE'!$D$6)</f>
        <v>29646998.161357604</v>
      </c>
      <c r="F75" s="206">
        <f>E75/D6</f>
        <v>57791.419417851081</v>
      </c>
    </row>
    <row r="76" spans="3:13">
      <c r="C76" s="592" t="s">
        <v>640</v>
      </c>
      <c r="D76" s="592"/>
      <c r="E76" s="204">
        <f>SUM(E70:E71)</f>
        <v>0</v>
      </c>
      <c r="F76" s="206">
        <f>SUM(F70:F71)</f>
        <v>0</v>
      </c>
      <c r="J76" s="324"/>
    </row>
    <row r="77" spans="3:13">
      <c r="C77" s="588" t="s">
        <v>152</v>
      </c>
      <c r="D77" s="588"/>
      <c r="E77" s="205">
        <f>E75-E76</f>
        <v>29646998.161357604</v>
      </c>
      <c r="F77" s="199">
        <f>F75-F76</f>
        <v>57791.419417851081</v>
      </c>
      <c r="G77" s="206"/>
      <c r="J77" s="206"/>
    </row>
    <row r="80" spans="3:13">
      <c r="D80" s="90" t="s">
        <v>235</v>
      </c>
      <c r="E80" s="170">
        <f>SUMIFS($D$23:$D$64,$F$23:$F$64,"&gt;="&amp;C67,$F$23:$F$64,"&lt;="&amp;$D$71,$G$23:$G$64,$D$80)</f>
        <v>36156686.890000001</v>
      </c>
      <c r="F80" s="206">
        <f>SUMIFS($E$23:$E$64,$F$23:$F$64,"&gt;="&amp;C67,$F$23:$F$64,"&lt;="&amp;D71,$G$23:$G$64,$D$80)</f>
        <v>71923.62667075207</v>
      </c>
    </row>
    <row r="81" spans="4:6">
      <c r="D81" s="90" t="s">
        <v>231</v>
      </c>
      <c r="E81" s="170">
        <f>SUMIFS($D$23:$D$64,$F$23:$F$64,"&gt;="&amp;C67,$F$23:$F$64,"&lt;="&amp;$D$71,$G$23:$G$64,$D$81)</f>
        <v>0</v>
      </c>
      <c r="F81" s="206">
        <f>SUMIFS($E$23:$E$64,$F$23:$F$64,"&gt;="&amp;C67,$F$23:$F$64,"&lt;="&amp;D71,$G$23:$G$64,$D$81)</f>
        <v>0</v>
      </c>
    </row>
    <row r="82" spans="4:6">
      <c r="D82" s="185" t="s">
        <v>263</v>
      </c>
      <c r="E82" s="194">
        <f>SUM(E80:E81)</f>
        <v>36156686.890000001</v>
      </c>
      <c r="F82" s="199">
        <f>SUM(F80:F81)</f>
        <v>71923.62667075207</v>
      </c>
    </row>
    <row r="83" spans="4:6">
      <c r="D83" s="185" t="s">
        <v>264</v>
      </c>
      <c r="E83" s="194">
        <f>D59-E82</f>
        <v>0</v>
      </c>
      <c r="F83" s="199">
        <f>F82-E59</f>
        <v>0</v>
      </c>
    </row>
    <row r="85" spans="4:6">
      <c r="D85" s="88" t="s">
        <v>400</v>
      </c>
      <c r="E85" s="88">
        <f>D61</f>
        <v>14987721.527288698</v>
      </c>
    </row>
    <row r="86" spans="4:6">
      <c r="D86" s="88" t="s">
        <v>401</v>
      </c>
      <c r="E86" s="88">
        <f>'BAC SAN JOSE COLONES  '!G307+('BAC SAN JOSE USD'!G247*$D$6)</f>
        <v>14987721.663175788</v>
      </c>
    </row>
    <row r="87" spans="4:6">
      <c r="D87" s="88" t="s">
        <v>336</v>
      </c>
      <c r="E87" s="88">
        <f>E85-E86</f>
        <v>-0.13588709011673927</v>
      </c>
    </row>
  </sheetData>
  <protectedRanges>
    <protectedRange sqref="F19:G19 D63:E63 D10:E11" name="Presupuestos"/>
    <protectedRange sqref="D8:E8 D23:E23" name="Presupuestos_1"/>
    <protectedRange sqref="D30:E30" name="Presupuestos_13_1"/>
    <protectedRange sqref="D32:E33" name="Presupuestos_14"/>
    <protectedRange sqref="D50 E49:E53 D40:E40 D54:E56 D46 D47:E48 E41:E46 D42" name="Presupuestos_2_1_1_1"/>
    <protectedRange sqref="D49 E58 K49 D51 K51 D43 K43 D41 K41" name="Presupuestos_6_1_1_1"/>
    <protectedRange sqref="D52:D53 D44:D45" name="Presupuestos_5_2_1"/>
    <protectedRange sqref="D38:E38" name="Presupuestos_7_1"/>
    <protectedRange sqref="D58" name="Presupuestos_5_3"/>
    <protectedRange sqref="D35:E36" name="Presupuestos_13_1_1"/>
  </protectedRanges>
  <autoFilter ref="A23:S58" xr:uid="{F427DC51-9401-46C4-9095-67FCC8559C68}"/>
  <mergeCells count="8">
    <mergeCell ref="C76:D76"/>
    <mergeCell ref="C77:D77"/>
    <mergeCell ref="D7:E7"/>
    <mergeCell ref="B22:C22"/>
    <mergeCell ref="D22:E22"/>
    <mergeCell ref="J69:J70"/>
    <mergeCell ref="C72:D72"/>
    <mergeCell ref="C75:D75"/>
  </mergeCells>
  <dataValidations count="4">
    <dataValidation type="list" allowBlank="1" showInputMessage="1" showErrorMessage="1" sqref="D22 D7" xr:uid="{4E2306C6-98EC-4290-88F7-913925340A7E}">
      <formula1>"ENERO,FEBRERO,MARZO,ABRIL,MAYO,JUNIO,JULIO,AGOSTO,SEPTIEMBRE,OCTUBRE,NOVIEMBRE,DICIEMBRE"</formula1>
    </dataValidation>
    <dataValidation type="list" allowBlank="1" showInputMessage="1" showErrorMessage="1" sqref="G38 G24:G25 D80:D81 G64:G65 G30 G40:G56 G58 G27:G28 G32:G33 G35:G36" xr:uid="{48EBCC87-7F1F-4CF6-8860-615208434915}">
      <formula1>"Cancelado,Pagar,Sin Pagar"</formula1>
    </dataValidation>
    <dataValidation type="list" allowBlank="1" showInputMessage="1" showErrorMessage="1" sqref="O34" xr:uid="{0EB4D8CD-1F8F-4459-AAE4-DCAB96901E27}">
      <formula1>"0,1"</formula1>
    </dataValidation>
    <dataValidation type="list" allowBlank="1" showInputMessage="1" showErrorMessage="1" sqref="B13:B18" xr:uid="{68894CF4-2F69-4FD0-98D5-50399AFE5EBD}">
      <formula1>"Sin Pagar,Pagado"</formula1>
    </dataValidation>
  </dataValidations>
  <pageMargins left="0.7" right="0.7" top="0.75" bottom="0.75" header="0.3" footer="0.3"/>
  <ignoredErrors>
    <ignoredError sqref="J49:J56 J34:J39 J25:J32 J40:J48" unlockedFormula="1"/>
    <ignoredError sqref="E30" formula="1"/>
    <ignoredError sqref="B32" numberStoredAsText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4745-F09A-4BEF-A70D-D3569903A9F1}">
  <dimension ref="A1:S76"/>
  <sheetViews>
    <sheetView showGridLines="0" topLeftCell="A55" zoomScale="85" zoomScaleNormal="85" workbookViewId="0">
      <selection activeCell="D11" sqref="D11"/>
    </sheetView>
  </sheetViews>
  <sheetFormatPr baseColWidth="10" defaultColWidth="9.109375" defaultRowHeight="14.4" outlineLevelRow="1"/>
  <cols>
    <col min="1" max="1" width="2.109375" style="350" customWidth="1"/>
    <col min="2" max="2" width="12" style="351" bestFit="1" customWidth="1"/>
    <col min="3" max="3" width="54.33203125" style="350" bestFit="1" customWidth="1"/>
    <col min="4" max="4" width="24.44140625" style="88" customWidth="1"/>
    <col min="5" max="5" width="19.33203125" style="88" bestFit="1" customWidth="1"/>
    <col min="6" max="6" width="23.5546875" style="350" customWidth="1"/>
    <col min="7" max="7" width="16.88671875" style="350" customWidth="1"/>
    <col min="8" max="8" width="7.6640625" style="350" hidden="1" customWidth="1"/>
    <col min="9" max="9" width="12.109375" style="350" hidden="1" customWidth="1"/>
    <col min="10" max="10" width="16.5546875" style="350" customWidth="1"/>
    <col min="11" max="11" width="2.109375" style="350" customWidth="1"/>
    <col min="12" max="12" width="2.33203125" style="350" customWidth="1"/>
    <col min="13" max="14" width="15.5546875" style="350" bestFit="1" customWidth="1"/>
    <col min="15" max="15" width="6.33203125" style="350" bestFit="1" customWidth="1"/>
    <col min="16" max="16" width="19.33203125" style="350" bestFit="1" customWidth="1"/>
    <col min="17" max="17" width="15.33203125" style="350" bestFit="1" customWidth="1"/>
    <col min="18" max="18" width="14" style="350" bestFit="1" customWidth="1"/>
    <col min="19" max="19" width="13" style="350" bestFit="1" customWidth="1"/>
    <col min="20" max="16384" width="9.109375" style="350"/>
  </cols>
  <sheetData>
    <row r="1" spans="2:17" hidden="1">
      <c r="D1" s="88">
        <v>42400</v>
      </c>
    </row>
    <row r="2" spans="2:17">
      <c r="D2" s="89"/>
      <c r="E2" s="89"/>
      <c r="I2" s="90"/>
    </row>
    <row r="3" spans="2:17">
      <c r="E3" s="220"/>
      <c r="I3" s="90"/>
    </row>
    <row r="4" spans="2:17" ht="15.6">
      <c r="B4" s="92"/>
      <c r="C4" s="92"/>
      <c r="D4" s="160" t="s">
        <v>216</v>
      </c>
      <c r="E4" s="161">
        <v>45658</v>
      </c>
      <c r="I4" s="90"/>
    </row>
    <row r="5" spans="2:17">
      <c r="D5" s="89"/>
      <c r="E5" s="89"/>
      <c r="I5" s="90"/>
    </row>
    <row r="6" spans="2:17">
      <c r="C6" s="93" t="s">
        <v>217</v>
      </c>
      <c r="D6" s="26">
        <v>517</v>
      </c>
      <c r="E6" s="89"/>
      <c r="I6" s="90"/>
    </row>
    <row r="7" spans="2:17" ht="15.6">
      <c r="C7" s="94"/>
      <c r="D7" s="590" t="s">
        <v>206</v>
      </c>
      <c r="E7" s="590"/>
      <c r="I7" s="90"/>
    </row>
    <row r="8" spans="2:17">
      <c r="D8" s="95" t="s">
        <v>242</v>
      </c>
      <c r="E8" s="95" t="s">
        <v>219</v>
      </c>
    </row>
    <row r="9" spans="2:17" s="96" customFormat="1" ht="15.6">
      <c r="C9" s="97" t="s">
        <v>220</v>
      </c>
      <c r="D9" s="167">
        <f>SUBTOTAL(9,D10:D11)</f>
        <v>15060723.986275248</v>
      </c>
      <c r="E9" s="98">
        <f>SUBTOTAL(9,E10:E11)</f>
        <v>29130.994170745165</v>
      </c>
      <c r="F9" s="99"/>
      <c r="I9" s="90"/>
    </row>
    <row r="10" spans="2:17" s="90" customFormat="1" outlineLevel="1">
      <c r="B10" s="100"/>
      <c r="C10" s="101" t="s">
        <v>243</v>
      </c>
      <c r="D10" s="353">
        <f>'BAC SAN JOSE COLONES  '!$G$307</f>
        <v>5625173.7256699903</v>
      </c>
      <c r="E10" s="218">
        <f>D10/$D$6</f>
        <v>10880.413395880059</v>
      </c>
      <c r="F10" s="103"/>
    </row>
    <row r="11" spans="2:17" s="90" customFormat="1" outlineLevel="1">
      <c r="B11" s="100"/>
      <c r="C11" s="101" t="s">
        <v>221</v>
      </c>
      <c r="D11" s="169">
        <f>E11*$D$6</f>
        <v>9435550.2606052589</v>
      </c>
      <c r="E11" s="352">
        <f>'BAC SAN JOSE USD'!$G$247</f>
        <v>18250.580774865106</v>
      </c>
      <c r="F11" s="103"/>
    </row>
    <row r="12" spans="2:17" s="90" customFormat="1" ht="15.6">
      <c r="B12" s="100"/>
      <c r="C12" s="104" t="s">
        <v>222</v>
      </c>
      <c r="D12" s="167">
        <f>SUBTOTAL(9,D13:D13)</f>
        <v>18656396.933333334</v>
      </c>
      <c r="E12" s="98">
        <f>SUBTOTAL(9,E13:E13)</f>
        <v>37462.644444444442</v>
      </c>
      <c r="F12" s="105"/>
    </row>
    <row r="13" spans="2:17" s="178" customFormat="1" outlineLevel="1">
      <c r="B13" s="107" t="s">
        <v>533</v>
      </c>
      <c r="C13" s="174" t="s">
        <v>700</v>
      </c>
      <c r="D13" s="169">
        <f>$E$13*CONVERSIONES!$C$278</f>
        <v>18656396.933333334</v>
      </c>
      <c r="E13" s="218">
        <f>CONVERSIONES!J274</f>
        <v>37462.644444444442</v>
      </c>
      <c r="F13" s="345"/>
      <c r="G13" s="346"/>
    </row>
    <row r="14" spans="2:17" s="90" customFormat="1" ht="15.6">
      <c r="B14" s="100"/>
      <c r="C14" s="109" t="s">
        <v>223</v>
      </c>
      <c r="D14" s="168">
        <f>SUBTOTAL(9,D9:D13)</f>
        <v>33717120.919608578</v>
      </c>
      <c r="E14" s="207">
        <f>SUBTOTAL(9,E9:E13)</f>
        <v>66593.638615189615</v>
      </c>
      <c r="F14" s="110"/>
      <c r="G14" s="110"/>
      <c r="J14" s="108"/>
      <c r="K14" s="111"/>
      <c r="O14" s="112"/>
      <c r="P14" s="113"/>
      <c r="Q14" s="114"/>
    </row>
    <row r="15" spans="2:17" s="90" customFormat="1" ht="15.6">
      <c r="B15" s="100"/>
      <c r="C15" s="115"/>
      <c r="D15" s="116"/>
      <c r="E15" s="116"/>
      <c r="G15" s="117"/>
      <c r="O15" s="113"/>
      <c r="P15" s="113"/>
    </row>
    <row r="16" spans="2:17" s="90" customFormat="1" ht="15.6">
      <c r="B16" s="100"/>
      <c r="N16" s="118"/>
      <c r="O16" s="119"/>
      <c r="P16" s="120"/>
    </row>
    <row r="17" spans="2:19" s="90" customFormat="1" ht="15.6">
      <c r="B17" s="590" t="s">
        <v>224</v>
      </c>
      <c r="C17" s="590"/>
      <c r="D17" s="590" t="s">
        <v>585</v>
      </c>
      <c r="E17" s="590"/>
      <c r="K17" s="120"/>
      <c r="L17" s="120"/>
      <c r="N17" s="118"/>
      <c r="R17" s="108"/>
      <c r="S17" s="108"/>
    </row>
    <row r="18" spans="2:19" s="90" customFormat="1" ht="16.2" thickBot="1">
      <c r="B18" s="121" t="s">
        <v>225</v>
      </c>
      <c r="C18" s="122" t="s">
        <v>226</v>
      </c>
      <c r="D18" s="95" t="s">
        <v>242</v>
      </c>
      <c r="E18" s="95" t="s">
        <v>219</v>
      </c>
      <c r="F18" s="123" t="s">
        <v>227</v>
      </c>
      <c r="G18" s="118" t="s">
        <v>228</v>
      </c>
      <c r="H18" s="118"/>
      <c r="I18" s="118"/>
      <c r="J18" s="124" t="s">
        <v>229</v>
      </c>
      <c r="N18" s="125"/>
      <c r="R18" s="108"/>
      <c r="S18" s="126"/>
    </row>
    <row r="19" spans="2:19" s="90" customFormat="1" ht="16.2" thickBot="1">
      <c r="B19" s="100"/>
      <c r="C19" s="127" t="s">
        <v>230</v>
      </c>
      <c r="D19" s="172">
        <f>SUBTOTAL(9,D20:D20)</f>
        <v>5919496</v>
      </c>
      <c r="E19" s="128">
        <f>SUBTOTAL(9,E20:E20)</f>
        <v>11449.702127659575</v>
      </c>
      <c r="F19" s="129"/>
      <c r="J19" s="130"/>
    </row>
    <row r="20" spans="2:19" s="90" customFormat="1" ht="15" outlineLevel="1" thickBot="1">
      <c r="B20" s="100" t="s">
        <v>667</v>
      </c>
      <c r="C20" s="234" t="s">
        <v>656</v>
      </c>
      <c r="D20" s="271">
        <v>5919496</v>
      </c>
      <c r="E20" s="142">
        <f>D20/$D$6</f>
        <v>11449.702127659575</v>
      </c>
      <c r="F20" s="134">
        <v>45670</v>
      </c>
      <c r="G20" s="90" t="s">
        <v>235</v>
      </c>
      <c r="H20" s="90">
        <f>IF(OR(G20="Sin pagar",G20="Pagar"),_xlfn.SINGLE(NETWORKDAYS($E$4,F20,'Festivos CR'!$A$3:$A$29)),0)</f>
        <v>0</v>
      </c>
      <c r="I20" s="90">
        <f>NETWORKDAYS($E$4,F20,'Festivos CR'!$A$3:$A$29)</f>
        <v>8</v>
      </c>
      <c r="J20" s="132">
        <f t="shared" ref="J20:J26" si="0">H20</f>
        <v>0</v>
      </c>
      <c r="K20" s="108"/>
      <c r="L20" s="108"/>
      <c r="M20" s="349"/>
      <c r="N20" s="349"/>
    </row>
    <row r="21" spans="2:19" s="90" customFormat="1" ht="16.2" thickBot="1">
      <c r="B21" s="100"/>
      <c r="C21" s="127" t="s">
        <v>232</v>
      </c>
      <c r="D21" s="172">
        <f>SUBTOTAL(9,D22:D23)</f>
        <v>1299395.46</v>
      </c>
      <c r="E21" s="128">
        <f>SUBTOTAL(9,E22:E23)</f>
        <v>2513.3374468085108</v>
      </c>
      <c r="J21" s="130">
        <f t="shared" si="0"/>
        <v>0</v>
      </c>
    </row>
    <row r="22" spans="2:19" s="90" customFormat="1" outlineLevel="1">
      <c r="B22" s="133"/>
      <c r="C22" s="101" t="s">
        <v>292</v>
      </c>
      <c r="D22" s="271">
        <v>1243933.46</v>
      </c>
      <c r="E22" s="142">
        <f>D22/$D$6</f>
        <v>2406.0608510638299</v>
      </c>
      <c r="F22" s="134">
        <v>45670</v>
      </c>
      <c r="G22" s="90" t="s">
        <v>235</v>
      </c>
      <c r="H22" s="90">
        <f>IF(OR(G22="Sin pagar",G22="Pagar"),_xlfn.SINGLE(NETWORKDAYS($E$4,F22,'Festivos CR'!$A$3:$A$29)),0)</f>
        <v>0</v>
      </c>
      <c r="I22" s="90">
        <f>NETWORKDAYS($E$4,F22,'Festivos CR'!$A$3:$A$29)</f>
        <v>8</v>
      </c>
      <c r="J22" s="132">
        <f t="shared" si="0"/>
        <v>0</v>
      </c>
      <c r="K22" s="135"/>
      <c r="L22" s="111"/>
      <c r="M22" s="349"/>
      <c r="N22" s="349"/>
    </row>
    <row r="23" spans="2:19" s="90" customFormat="1" ht="28.8" outlineLevel="1">
      <c r="B23" s="133"/>
      <c r="C23" s="101" t="s">
        <v>686</v>
      </c>
      <c r="D23" s="271">
        <f>55462</f>
        <v>55462</v>
      </c>
      <c r="E23" s="142">
        <f>D23/$D$6</f>
        <v>107.27659574468085</v>
      </c>
      <c r="F23" s="134">
        <v>45672</v>
      </c>
      <c r="G23" s="90" t="s">
        <v>235</v>
      </c>
      <c r="H23" s="90">
        <f>IF(OR(G23="Sin pagar",G23="Pagar"),_xlfn.SINGLE(NETWORKDAYS($E$4,F23,'Festivos CR'!$A$3:$A$29)),0)</f>
        <v>0</v>
      </c>
      <c r="I23" s="90">
        <f>NETWORKDAYS($E$4,F23,'Festivos CR'!$A$3:$A$29)</f>
        <v>10</v>
      </c>
      <c r="J23" s="132">
        <f>H23</f>
        <v>0</v>
      </c>
      <c r="K23" s="135"/>
      <c r="L23" s="111"/>
      <c r="M23" s="349"/>
    </row>
    <row r="24" spans="2:19" s="90" customFormat="1" ht="15" outlineLevel="1" thickBot="1">
      <c r="B24" s="133"/>
      <c r="C24" s="101" t="s">
        <v>681</v>
      </c>
      <c r="D24" s="271">
        <v>138660</v>
      </c>
      <c r="E24" s="142">
        <f>D24/$D$6</f>
        <v>268.20116054158609</v>
      </c>
      <c r="F24" s="129">
        <v>45672</v>
      </c>
      <c r="G24" s="90" t="s">
        <v>235</v>
      </c>
      <c r="H24" s="90">
        <f>IF(OR(G24="Sin pagar",G24="Pagar"),_xlfn.SINGLE(NETWORKDAYS($E$4,F24,'Festivos CR'!$A$3:$A$29)),0)</f>
        <v>0</v>
      </c>
      <c r="I24" s="90">
        <f>NETWORKDAYS($E$4,F24,'Festivos CR'!$A$3:$A$29)</f>
        <v>10</v>
      </c>
      <c r="J24" s="132">
        <f>H24</f>
        <v>0</v>
      </c>
      <c r="K24" s="135"/>
      <c r="L24" s="111"/>
      <c r="M24" s="349"/>
      <c r="N24" s="349"/>
    </row>
    <row r="25" spans="2:19" s="90" customFormat="1" ht="16.2" thickBot="1">
      <c r="B25" s="100"/>
      <c r="C25" s="127" t="s">
        <v>233</v>
      </c>
      <c r="D25" s="172">
        <f>SUBTOTAL(9,D26:D27)</f>
        <v>79350</v>
      </c>
      <c r="E25" s="128">
        <f>SUBTOTAL(9,E26:E27)</f>
        <v>153.48162475822051</v>
      </c>
      <c r="J25" s="130">
        <f t="shared" si="0"/>
        <v>0</v>
      </c>
      <c r="K25" s="108"/>
      <c r="L25" s="108"/>
      <c r="N25" s="349"/>
    </row>
    <row r="26" spans="2:19" s="90" customFormat="1" ht="28.8" outlineLevel="1">
      <c r="B26" s="100">
        <v>23</v>
      </c>
      <c r="C26" s="101" t="s">
        <v>694</v>
      </c>
      <c r="D26" s="169">
        <v>16950</v>
      </c>
      <c r="E26" s="137">
        <f>D26/$D$6</f>
        <v>32.785299806576404</v>
      </c>
      <c r="F26" s="134">
        <v>45685</v>
      </c>
      <c r="G26" s="90" t="s">
        <v>235</v>
      </c>
      <c r="H26" s="90">
        <f>IF(OR(G26="Sin pagar",G26="Pagar"),_xlfn.SINGLE(NETWORKDAYS($E$4,F26,'Festivos CR'!$A$3:$A$29)),0)</f>
        <v>0</v>
      </c>
      <c r="I26" s="90">
        <f>NETWORKDAYS($E$4,F26,'Festivos CR'!$A$3:$A$29)</f>
        <v>19</v>
      </c>
      <c r="J26" s="132">
        <f t="shared" si="0"/>
        <v>0</v>
      </c>
      <c r="N26" s="103"/>
    </row>
    <row r="27" spans="2:19" s="90" customFormat="1" ht="15" outlineLevel="1" thickBot="1">
      <c r="B27" s="100">
        <v>24</v>
      </c>
      <c r="C27" s="101" t="s">
        <v>695</v>
      </c>
      <c r="D27" s="169">
        <v>62400</v>
      </c>
      <c r="E27" s="137">
        <f>D27/$D$6</f>
        <v>120.6963249516441</v>
      </c>
      <c r="F27" s="134">
        <v>45685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19</v>
      </c>
      <c r="J27" s="132">
        <f>H27</f>
        <v>0</v>
      </c>
      <c r="N27" s="103"/>
    </row>
    <row r="28" spans="2:19" s="90" customFormat="1" ht="16.2" thickBot="1">
      <c r="C28" s="127" t="s">
        <v>250</v>
      </c>
      <c r="D28" s="172">
        <f>SUBTOTAL(9,D29:D30)</f>
        <v>13899</v>
      </c>
      <c r="E28" s="128">
        <f>SUBTOTAL(9,E29:E30)</f>
        <v>26.883945841392649</v>
      </c>
      <c r="K28" s="103"/>
      <c r="L28" s="103"/>
      <c r="O28" s="103"/>
      <c r="P28" s="103"/>
    </row>
    <row r="29" spans="2:19" s="90" customFormat="1" ht="14.25" customHeight="1" outlineLevel="1">
      <c r="B29" s="138" t="s">
        <v>590</v>
      </c>
      <c r="C29" s="101" t="s">
        <v>251</v>
      </c>
      <c r="D29" s="169">
        <f>77000*0</f>
        <v>0</v>
      </c>
      <c r="E29" s="137">
        <f>D29/$D$6</f>
        <v>0</v>
      </c>
      <c r="F29" s="129">
        <v>45322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CR'!$A$3:$A$29)</f>
        <v>-231</v>
      </c>
      <c r="J29" s="132">
        <f>H29</f>
        <v>0</v>
      </c>
      <c r="K29" s="103"/>
      <c r="L29" s="103"/>
      <c r="M29" s="349"/>
      <c r="O29" s="103"/>
      <c r="P29" s="103"/>
    </row>
    <row r="30" spans="2:19" s="90" customFormat="1" ht="14.25" customHeight="1" outlineLevel="1" thickBot="1">
      <c r="B30" s="138" t="s">
        <v>680</v>
      </c>
      <c r="C30" s="101" t="s">
        <v>679</v>
      </c>
      <c r="D30" s="169">
        <v>13899</v>
      </c>
      <c r="E30" s="137">
        <f>D30/$D$6</f>
        <v>26.883945841392649</v>
      </c>
      <c r="F30" s="129">
        <v>45672</v>
      </c>
      <c r="G30" s="90" t="s">
        <v>235</v>
      </c>
      <c r="H30" s="90">
        <f>IF(OR(G30="Sin pagar",G30="Pagar"),_xlfn.SINGLE(NETWORKDAYS($E$4,F30,'Festivos CR'!$A$3:$A$29)),0)</f>
        <v>0</v>
      </c>
      <c r="I30" s="90">
        <f>NETWORKDAYS($E$4,F30,'Festivos CR'!$A$3:$A$29)</f>
        <v>10</v>
      </c>
      <c r="J30" s="132">
        <f>H30</f>
        <v>0</v>
      </c>
      <c r="K30" s="103"/>
      <c r="L30" s="103"/>
      <c r="O30" s="103"/>
      <c r="P30" s="103"/>
    </row>
    <row r="31" spans="2:19" s="90" customFormat="1" ht="16.2" thickBot="1">
      <c r="B31" s="136"/>
      <c r="C31" s="139" t="s">
        <v>234</v>
      </c>
      <c r="D31" s="173">
        <f>SUBTOTAL(9,D32:D33)</f>
        <v>0</v>
      </c>
      <c r="E31" s="140">
        <f>SUBTOTAL(9,E32:E33)</f>
        <v>0</v>
      </c>
      <c r="K31" s="108"/>
    </row>
    <row r="32" spans="2:19" s="90" customFormat="1" outlineLevel="1">
      <c r="B32" s="176">
        <v>5483</v>
      </c>
      <c r="C32" s="174" t="s">
        <v>591</v>
      </c>
      <c r="D32" s="169">
        <f>E32*$D$6</f>
        <v>0</v>
      </c>
      <c r="E32" s="137">
        <f>440*0</f>
        <v>0</v>
      </c>
      <c r="F32" s="129">
        <v>45688</v>
      </c>
      <c r="G32" s="90" t="s">
        <v>235</v>
      </c>
      <c r="H32" s="90">
        <f>IF(OR(G32="Sin pagar",G32="Pagar"),_xlfn.SINGLE(NETWORKDAYS($E$4,F32,'Festivos CR'!$A$3:$A$29)),0)</f>
        <v>0</v>
      </c>
      <c r="I32" s="90">
        <f>NETWORKDAYS($E$4,F32,'Festivos CR'!$A$3:$A$29)</f>
        <v>22</v>
      </c>
      <c r="J32" s="132">
        <f>H32</f>
        <v>0</v>
      </c>
      <c r="M32" s="297"/>
      <c r="N32" s="298"/>
    </row>
    <row r="33" spans="1:16" s="90" customFormat="1" ht="15" outlineLevel="1" thickBot="1">
      <c r="B33" s="176">
        <v>5582</v>
      </c>
      <c r="C33" s="174" t="s">
        <v>592</v>
      </c>
      <c r="D33" s="169">
        <f>E33*$D$6</f>
        <v>0</v>
      </c>
      <c r="E33" s="137">
        <f>440*0</f>
        <v>0</v>
      </c>
      <c r="F33" s="129">
        <v>45688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CR'!$A$3:$A$29)</f>
        <v>22</v>
      </c>
      <c r="J33" s="132">
        <f>H33</f>
        <v>0</v>
      </c>
      <c r="M33" s="297"/>
      <c r="N33" s="298"/>
    </row>
    <row r="34" spans="1:16" s="90" customFormat="1" ht="15.75" customHeight="1" thickBot="1">
      <c r="C34" s="127" t="s">
        <v>236</v>
      </c>
      <c r="D34" s="172">
        <f>SUBTOTAL(9,D35:D35)</f>
        <v>36556.559999999998</v>
      </c>
      <c r="E34" s="128">
        <f>SUBTOTAL(9,E35:E35)</f>
        <v>70.709013539651835</v>
      </c>
      <c r="M34" s="299"/>
      <c r="N34" s="299"/>
      <c r="O34" s="118"/>
      <c r="P34" s="300"/>
    </row>
    <row r="35" spans="1:16" s="90" customFormat="1" ht="15" outlineLevel="1" thickBot="1">
      <c r="B35" s="100"/>
      <c r="C35" s="174" t="s">
        <v>236</v>
      </c>
      <c r="D35" s="271">
        <v>36556.559999999998</v>
      </c>
      <c r="E35" s="142">
        <f>D35/D6</f>
        <v>70.709013539651835</v>
      </c>
      <c r="F35" s="129">
        <v>45688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CR'!$A$3:$A$29)</f>
        <v>22</v>
      </c>
      <c r="J35" s="132">
        <f>H35</f>
        <v>0</v>
      </c>
    </row>
    <row r="36" spans="1:16" s="90" customFormat="1" ht="16.2" thickBot="1">
      <c r="C36" s="127" t="s">
        <v>237</v>
      </c>
      <c r="D36" s="172">
        <f>SUBTOTAL(9,D37:D43)</f>
        <v>11540376.4</v>
      </c>
      <c r="E36" s="128">
        <f>SUBTOTAL(9,E37:E43)</f>
        <v>23232.629560878242</v>
      </c>
      <c r="K36" s="108"/>
      <c r="L36" s="143"/>
    </row>
    <row r="37" spans="1:16" s="90" customFormat="1" outlineLevel="1">
      <c r="B37" s="145" t="s">
        <v>391</v>
      </c>
      <c r="C37" s="174" t="s">
        <v>254</v>
      </c>
      <c r="D37" s="170">
        <v>1612916.33</v>
      </c>
      <c r="E37" s="142">
        <f>CONVERSIONES!E198</f>
        <v>3417.34</v>
      </c>
      <c r="F37" s="129">
        <v>45685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CR'!$A$3:$A$29)</f>
        <v>19</v>
      </c>
      <c r="J37" s="132">
        <f t="shared" ref="J37:J43" si="1">H37</f>
        <v>0</v>
      </c>
      <c r="K37" s="135"/>
      <c r="L37" s="135"/>
    </row>
    <row r="38" spans="1:16" s="180" customFormat="1" outlineLevel="1">
      <c r="B38" s="265" t="s">
        <v>270</v>
      </c>
      <c r="C38" s="174" t="s">
        <v>258</v>
      </c>
      <c r="D38" s="170">
        <f>E38*CONVERSIONES!$C$201</f>
        <v>1712723.61</v>
      </c>
      <c r="E38" s="142">
        <v>3418.61</v>
      </c>
      <c r="F38" s="129">
        <v>45685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19</v>
      </c>
      <c r="J38" s="132">
        <f t="shared" si="1"/>
        <v>0</v>
      </c>
      <c r="L38" s="179"/>
    </row>
    <row r="39" spans="1:16" s="90" customFormat="1" outlineLevel="1">
      <c r="B39" s="145" t="s">
        <v>391</v>
      </c>
      <c r="C39" s="174" t="s">
        <v>390</v>
      </c>
      <c r="D39" s="170">
        <v>1325079.3600000001</v>
      </c>
      <c r="E39" s="142">
        <f>D39/CONVERSIONES!$C$201</f>
        <v>2644.8689820359282</v>
      </c>
      <c r="F39" s="129">
        <v>45685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CR'!$A$3:$A$29)</f>
        <v>19</v>
      </c>
      <c r="J39" s="132">
        <f>H39</f>
        <v>0</v>
      </c>
      <c r="K39" s="135"/>
      <c r="L39" s="135"/>
    </row>
    <row r="40" spans="1:16" s="180" customFormat="1" outlineLevel="1">
      <c r="B40" s="145" t="s">
        <v>391</v>
      </c>
      <c r="C40" s="174" t="s">
        <v>253</v>
      </c>
      <c r="D40" s="347">
        <v>1410537.3</v>
      </c>
      <c r="E40" s="137">
        <f>$D$40/CONVERSIONES!$C$201</f>
        <v>2815.4437125748505</v>
      </c>
      <c r="F40" s="129">
        <v>45685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19</v>
      </c>
      <c r="J40" s="132">
        <f t="shared" si="1"/>
        <v>0</v>
      </c>
      <c r="L40" s="179"/>
    </row>
    <row r="41" spans="1:16" s="180" customFormat="1" outlineLevel="1">
      <c r="B41" s="145" t="s">
        <v>391</v>
      </c>
      <c r="C41" s="174" t="s">
        <v>255</v>
      </c>
      <c r="D41" s="347">
        <v>1410537.3</v>
      </c>
      <c r="E41" s="137">
        <f>$D$41/CONVERSIONES!$C$201</f>
        <v>2815.4437125748505</v>
      </c>
      <c r="F41" s="129">
        <v>45685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19</v>
      </c>
      <c r="J41" s="132">
        <f t="shared" si="1"/>
        <v>0</v>
      </c>
      <c r="L41" s="179"/>
    </row>
    <row r="42" spans="1:16" s="180" customFormat="1" outlineLevel="1">
      <c r="B42" s="145" t="s">
        <v>391</v>
      </c>
      <c r="C42" s="174" t="s">
        <v>330</v>
      </c>
      <c r="D42" s="170">
        <v>786551.54</v>
      </c>
      <c r="E42" s="142">
        <f>$D$42/CONVERSIONES!$C$201</f>
        <v>1569.9631536926149</v>
      </c>
      <c r="F42" s="129">
        <v>45685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19</v>
      </c>
      <c r="J42" s="132">
        <f>H42</f>
        <v>0</v>
      </c>
      <c r="L42" s="179"/>
    </row>
    <row r="43" spans="1:16" s="180" customFormat="1" ht="15" outlineLevel="1" thickBot="1">
      <c r="B43" s="265" t="s">
        <v>270</v>
      </c>
      <c r="C43" s="174" t="s">
        <v>257</v>
      </c>
      <c r="D43" s="170">
        <f>E43*CONVERSIONES!$C$201</f>
        <v>3282030.96</v>
      </c>
      <c r="E43" s="142">
        <v>6550.96</v>
      </c>
      <c r="F43" s="129">
        <v>45685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19</v>
      </c>
      <c r="J43" s="132">
        <f t="shared" si="1"/>
        <v>0</v>
      </c>
      <c r="L43" s="179"/>
    </row>
    <row r="44" spans="1:16" s="90" customFormat="1" ht="16.2" thickBot="1">
      <c r="A44" s="180"/>
      <c r="B44" s="145"/>
      <c r="C44" s="127" t="s">
        <v>238</v>
      </c>
      <c r="D44" s="172">
        <f>SUBTOTAL(9,D45:D45)</f>
        <v>0</v>
      </c>
      <c r="E44" s="128">
        <f>SUBTOTAL(9,E45:E45)</f>
        <v>0</v>
      </c>
      <c r="L44" s="108"/>
    </row>
    <row r="45" spans="1:16" s="90" customFormat="1" ht="15" outlineLevel="1" thickBot="1">
      <c r="A45" s="180"/>
      <c r="B45" s="146"/>
      <c r="C45" s="101"/>
      <c r="D45" s="170">
        <v>0</v>
      </c>
      <c r="E45" s="142">
        <f>D45/$D$6</f>
        <v>0</v>
      </c>
      <c r="F45" s="129">
        <v>45688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CR'!$A$3:$A$29)</f>
        <v>22</v>
      </c>
      <c r="J45" s="132"/>
      <c r="L45" s="108"/>
    </row>
    <row r="46" spans="1:16" s="90" customFormat="1" ht="14.25" customHeight="1">
      <c r="B46" s="100"/>
      <c r="C46" s="147" t="s">
        <v>239</v>
      </c>
      <c r="D46" s="171">
        <f>SUBTOTAL(9,D19:D45)</f>
        <v>19027733.420000002</v>
      </c>
      <c r="E46" s="148">
        <f>SUBTOTAL(9,E19:E45)</f>
        <v>37714.944880027186</v>
      </c>
      <c r="K46" s="350"/>
      <c r="L46" s="350"/>
      <c r="N46" s="350"/>
      <c r="O46" s="350"/>
      <c r="P46" s="350"/>
    </row>
    <row r="47" spans="1:16" ht="15.6">
      <c r="A47" s="90"/>
      <c r="E47" s="149"/>
      <c r="F47" s="239"/>
      <c r="G47" s="150"/>
      <c r="H47" s="150"/>
      <c r="I47" s="150"/>
      <c r="J47" s="150"/>
    </row>
    <row r="48" spans="1:16" ht="15.6">
      <c r="A48" s="90"/>
      <c r="C48" s="151" t="s">
        <v>3</v>
      </c>
      <c r="D48" s="182">
        <f>D14-D46</f>
        <v>14689387.499608576</v>
      </c>
      <c r="E48" s="152">
        <f>E14-E46</f>
        <v>28878.693735162429</v>
      </c>
      <c r="F48" s="243"/>
      <c r="G48" s="153"/>
      <c r="J48" s="153"/>
    </row>
    <row r="49" spans="1:16" s="157" customFormat="1" ht="15.6">
      <c r="A49" s="90"/>
      <c r="B49" s="154"/>
      <c r="C49" s="151" t="s">
        <v>240</v>
      </c>
      <c r="D49" s="155">
        <f>IF($D$14=0,0,D48/$D$14)</f>
        <v>0.435665534273592</v>
      </c>
      <c r="E49" s="155">
        <f>IF($E$14=0,0,E48/$E$14)</f>
        <v>0.43365544120569155</v>
      </c>
      <c r="F49" s="156"/>
      <c r="G49" s="153"/>
      <c r="J49" s="158"/>
      <c r="K49" s="350"/>
      <c r="L49" s="350"/>
      <c r="N49" s="350"/>
      <c r="O49" s="350"/>
      <c r="P49" s="350"/>
    </row>
    <row r="50" spans="1:16">
      <c r="A50" s="90"/>
      <c r="F50" s="156"/>
      <c r="G50" s="153"/>
    </row>
    <row r="52" spans="1:16" ht="15" thickBot="1"/>
    <row r="53" spans="1:16" ht="15" thickBot="1">
      <c r="C53" s="189" t="s">
        <v>260</v>
      </c>
      <c r="D53" s="190" t="s">
        <v>261</v>
      </c>
      <c r="E53" s="191" t="s">
        <v>265</v>
      </c>
      <c r="F53" s="191" t="s">
        <v>266</v>
      </c>
    </row>
    <row r="54" spans="1:16">
      <c r="C54" s="303">
        <v>45658</v>
      </c>
      <c r="D54" s="304">
        <v>45662</v>
      </c>
      <c r="E54" s="195">
        <f>SUMIFS($D$18:$D$51,$F$18:$F$51,"&gt;="&amp;C54,$F$18:$F$51,"&lt;="&amp;D54,$G$18:$G$51,$D$68)</f>
        <v>0</v>
      </c>
      <c r="F54" s="201">
        <f>SUMIFS($E$18:$E$51,$F$18:$F$51,"&gt;="&amp;C54,$F$18:$F$51,"&lt;="&amp;D54,$G$18:$G$51,$D$68)</f>
        <v>0</v>
      </c>
    </row>
    <row r="55" spans="1:16">
      <c r="C55" s="305">
        <v>45663</v>
      </c>
      <c r="D55" s="306">
        <v>45669</v>
      </c>
      <c r="E55" s="196">
        <f>SUMIFS($D$18:$D$51,$F$18:$F$51,"&gt;="&amp;C55,$F$18:$F$51,"&lt;="&amp;D55,$G$18:$G$51,$D$68)</f>
        <v>0</v>
      </c>
      <c r="F55" s="202">
        <f>SUMIFS($E$18:$E$51,$F$18:$F$51,"&gt;="&amp;C55,$F$18:$F$51,"&lt;="&amp;D55,$G$18:$G$51,$D$68)</f>
        <v>0</v>
      </c>
      <c r="G55" s="350" t="s">
        <v>451</v>
      </c>
    </row>
    <row r="56" spans="1:16">
      <c r="C56" s="183">
        <v>45670</v>
      </c>
      <c r="D56" s="184">
        <v>45676</v>
      </c>
      <c r="E56" s="196">
        <f>SUMIFS($D$18:$D$51,$F$18:$F$51,"&gt;="&amp;C56,$F$18:$F$51,"&lt;="&amp;D56,$G$18:$G$51,$D$68)</f>
        <v>0</v>
      </c>
      <c r="F56" s="202">
        <f>SUMIFS($E$18:$E$51,$F$18:$F$51,"&gt;="&amp;C56,$F$18:$F$51,"&lt;="&amp;D56,$G$18:$G$51,$D$68)</f>
        <v>0</v>
      </c>
      <c r="G56" s="350" t="s">
        <v>685</v>
      </c>
      <c r="J56" s="591"/>
    </row>
    <row r="57" spans="1:16">
      <c r="C57" s="183">
        <v>45677</v>
      </c>
      <c r="D57" s="184">
        <v>45683</v>
      </c>
      <c r="E57" s="196">
        <f>SUMIFS($D$18:$D$51,$F$18:$F$51,"&gt;="&amp;C57,$F$18:$F$51,"&lt;="&amp;D57,$G$18:$G$51,$D$68)</f>
        <v>0</v>
      </c>
      <c r="F57" s="202">
        <f>SUMIFS($E$18:$E$51,$F$18:$F$51,"&gt;="&amp;C57,$F$18:$F$51,"&lt;="&amp;D57,$G$18:$G$51,$D$68)</f>
        <v>0</v>
      </c>
      <c r="G57" s="356" t="s">
        <v>555</v>
      </c>
      <c r="J57" s="591"/>
    </row>
    <row r="58" spans="1:16" ht="15" thickBot="1">
      <c r="C58" s="187">
        <v>45684</v>
      </c>
      <c r="D58" s="348">
        <v>45688</v>
      </c>
      <c r="E58" s="197">
        <f>SUMIFS($D$18:$D$51,$F$18:$F$51,"&gt;="&amp;C58,$F$18:$F$51,"&lt;="&amp;D58,$G$18:$G$51,$D$68)</f>
        <v>0</v>
      </c>
      <c r="F58" s="203">
        <f>SUMIFS($E$18:$E$51,$F$18:$F$51,"&gt;="&amp;C58,$F$18:$F$51,"&lt;="&amp;D58,$G$18:$G$51,$D$68)</f>
        <v>0</v>
      </c>
      <c r="G58" s="350" t="s">
        <v>657</v>
      </c>
    </row>
    <row r="59" spans="1:16" ht="15.6">
      <c r="C59" s="589" t="s">
        <v>262</v>
      </c>
      <c r="D59" s="589"/>
      <c r="E59" s="186">
        <f>SUM(E54:E58)</f>
        <v>0</v>
      </c>
      <c r="F59" s="200">
        <f>SUM(F54:F58)</f>
        <v>0</v>
      </c>
      <c r="G59" s="94"/>
      <c r="J59" s="153"/>
      <c r="K59" s="153"/>
      <c r="M59" s="206"/>
    </row>
    <row r="62" spans="1:16">
      <c r="C62" s="592" t="s">
        <v>267</v>
      </c>
      <c r="D62" s="592"/>
      <c r="E62" s="204">
        <f>'BAC SAN JOSE COLONES  '!$G$350+('BAC SAN JOSE USD'!$G$279*'FLUJO CAJA ENERO'!$D$6)</f>
        <v>39293653.760719702</v>
      </c>
      <c r="F62" s="206">
        <f>$E$62/CONVERSIONES!$C$278</f>
        <v>78902.919198232339</v>
      </c>
    </row>
    <row r="63" spans="1:16">
      <c r="C63" s="592" t="s">
        <v>640</v>
      </c>
      <c r="D63" s="592"/>
      <c r="E63" s="204">
        <f>SUM(E54:E57)</f>
        <v>0</v>
      </c>
      <c r="F63" s="206">
        <f>SUM(F54:F57)</f>
        <v>0</v>
      </c>
      <c r="J63" s="324"/>
    </row>
    <row r="64" spans="1:16">
      <c r="C64" s="588" t="s">
        <v>152</v>
      </c>
      <c r="D64" s="588"/>
      <c r="E64" s="205">
        <f>E62-E63</f>
        <v>39293653.760719702</v>
      </c>
      <c r="F64" s="199">
        <f>F62-F63</f>
        <v>78902.919198232339</v>
      </c>
      <c r="G64" s="206"/>
      <c r="J64" s="206"/>
    </row>
    <row r="67" spans="4:6">
      <c r="D67" s="90" t="s">
        <v>235</v>
      </c>
      <c r="E67" s="170">
        <f>SUMIFS($D$18:$D$51,$F$18:$F$51,"&gt;="&amp;C54,$F$18:$F$51,"&lt;="&amp;$D$58,$G$18:$G$51,$D$67)</f>
        <v>19027733.420000002</v>
      </c>
      <c r="F67" s="206">
        <f>SUMIFS($E$18:$E$51,$F$18:$F$51,"&gt;="&amp;C54,$F$18:$F$51,"&lt;="&amp;D58,$G$18:$G$51,$D$67)</f>
        <v>37714.944880027186</v>
      </c>
    </row>
    <row r="68" spans="4:6">
      <c r="D68" s="90" t="s">
        <v>231</v>
      </c>
      <c r="E68" s="170">
        <f>SUMIFS($D$18:$D$51,$F$18:$F$51,"&gt;="&amp;C54,$F$18:$F$51,"&lt;="&amp;$D$58,$G$18:$G$51,$D$68)</f>
        <v>0</v>
      </c>
      <c r="F68" s="206">
        <f>SUMIFS($E$18:$E$51,$F$18:$F$51,"&gt;="&amp;C54,$F$18:$F$51,"&lt;="&amp;D58,$G$18:$G$51,$D$68)</f>
        <v>0</v>
      </c>
    </row>
    <row r="69" spans="4:6">
      <c r="D69" s="185" t="s">
        <v>263</v>
      </c>
      <c r="E69" s="194">
        <f>SUM(E67:E68)</f>
        <v>19027733.420000002</v>
      </c>
      <c r="F69" s="199">
        <f>SUM(F67:F68)</f>
        <v>37714.944880027186</v>
      </c>
    </row>
    <row r="70" spans="4:6">
      <c r="D70" s="185" t="s">
        <v>264</v>
      </c>
      <c r="E70" s="194">
        <f>D46-E69</f>
        <v>0</v>
      </c>
      <c r="F70" s="199">
        <f>F69-E46</f>
        <v>0</v>
      </c>
    </row>
    <row r="73" spans="4:6">
      <c r="D73" s="88" t="s">
        <v>400</v>
      </c>
      <c r="E73" s="88">
        <f>D48</f>
        <v>14689387.499608576</v>
      </c>
    </row>
    <row r="74" spans="4:6">
      <c r="D74" s="88" t="s">
        <v>401</v>
      </c>
      <c r="E74" s="88">
        <f>'BAC SAN JOSE COLONES  '!$G$327+('BAC SAN JOSE USD'!$G$256*$D$6)</f>
        <v>14689387.090719696</v>
      </c>
    </row>
    <row r="75" spans="4:6">
      <c r="D75" s="88" t="s">
        <v>701</v>
      </c>
      <c r="E75" s="88">
        <f>E73-E74</f>
        <v>0.40888888016343117</v>
      </c>
    </row>
    <row r="76" spans="4:6">
      <c r="D76" s="88" t="s">
        <v>702</v>
      </c>
      <c r="E76" s="206">
        <f>E75/D6</f>
        <v>7.9088758252114351E-4</v>
      </c>
    </row>
  </sheetData>
  <protectedRanges>
    <protectedRange sqref="F14:G14 D50:E50 D10:E11" name="Presupuestos"/>
    <protectedRange sqref="D8:E8 D18:E18" name="Presupuestos_1"/>
    <protectedRange sqref="D26:E27" name="Presupuestos_13_1"/>
    <protectedRange sqref="D29:E30" name="Presupuestos_14"/>
    <protectedRange sqref="D38 E37:E41 D42:E43" name="Presupuestos_2_1_1_1"/>
    <protectedRange sqref="D37 E45 K37 D39 K39" name="Presupuestos_6_1_1_1"/>
    <protectedRange sqref="D40:D41" name="Presupuestos_5_2_1"/>
    <protectedRange sqref="D35:E35" name="Presupuestos_7_1"/>
    <protectedRange sqref="D45" name="Presupuestos_5_3"/>
    <protectedRange sqref="D32:E33" name="Presupuestos_13_1_1"/>
  </protectedRanges>
  <autoFilter ref="A18:S45" xr:uid="{AD97BD65-C214-47E2-BEB0-0A10E70CA587}"/>
  <mergeCells count="8">
    <mergeCell ref="C63:D63"/>
    <mergeCell ref="C64:D64"/>
    <mergeCell ref="D7:E7"/>
    <mergeCell ref="B17:C17"/>
    <mergeCell ref="D17:E17"/>
    <mergeCell ref="J56:J57"/>
    <mergeCell ref="C59:D59"/>
    <mergeCell ref="C62:D62"/>
  </mergeCells>
  <dataValidations count="4">
    <dataValidation type="list" allowBlank="1" showInputMessage="1" showErrorMessage="1" sqref="O31" xr:uid="{8F8B1688-F6D7-4625-A572-BDE0A29CA636}">
      <formula1>"0,1"</formula1>
    </dataValidation>
    <dataValidation type="list" allowBlank="1" showInputMessage="1" showErrorMessage="1" sqref="G32:G33 G19:G20 D67:D68 G51:G52 G37:G43 G45 G22:G24 G29:G30 G35 G26:G27" xr:uid="{583E2D74-283C-45B9-9CB8-220050347D63}">
      <formula1>"Cancelado,Pagar,Sin Pagar"</formula1>
    </dataValidation>
    <dataValidation type="list" allowBlank="1" showInputMessage="1" showErrorMessage="1" sqref="D17 D7" xr:uid="{CDC95FF2-7AA9-450E-BFC0-DF854BE674B2}">
      <formula1>"ENERO,FEBRERO,MARZO,ABRIL,MAYO,JUNIO,JULIO,AGOSTO,SEPTIEMBRE,OCTUBRE,NOVIEMBRE,DICIEMBRE"</formula1>
    </dataValidation>
    <dataValidation type="list" allowBlank="1" showInputMessage="1" showErrorMessage="1" sqref="B13" xr:uid="{9A78D14F-9D5E-4BE8-8607-16C582495515}">
      <formula1>"Sin Pagar,Pagado"</formula1>
    </dataValidation>
  </dataValidations>
  <pageMargins left="0.7" right="0.7" top="0.75" bottom="0.75" header="0.3" footer="0.3"/>
  <ignoredErrors>
    <ignoredError sqref="J20:J23 J44:J45 J25:J26 J28:J43 J24 J27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9DF5-A868-4667-90FC-003F4E5C83F1}">
  <dimension ref="A1:S74"/>
  <sheetViews>
    <sheetView showGridLines="0" topLeftCell="A16" zoomScale="85" zoomScaleNormal="85" workbookViewId="0">
      <selection activeCell="D11" sqref="D11"/>
    </sheetView>
  </sheetViews>
  <sheetFormatPr baseColWidth="10" defaultColWidth="9.109375" defaultRowHeight="14.4" outlineLevelRow="1"/>
  <cols>
    <col min="1" max="1" width="2.109375" style="357" customWidth="1"/>
    <col min="2" max="2" width="18.88671875" style="358" bestFit="1" customWidth="1"/>
    <col min="3" max="3" width="54.33203125" style="357" bestFit="1" customWidth="1"/>
    <col min="4" max="4" width="24.44140625" style="88" customWidth="1"/>
    <col min="5" max="5" width="19.33203125" style="88" bestFit="1" customWidth="1"/>
    <col min="6" max="6" width="23.5546875" style="357" customWidth="1"/>
    <col min="7" max="7" width="16.88671875" style="357" customWidth="1"/>
    <col min="8" max="8" width="7.6640625" style="357" hidden="1" customWidth="1"/>
    <col min="9" max="9" width="12.109375" style="357" hidden="1" customWidth="1"/>
    <col min="10" max="10" width="16.5546875" style="357" customWidth="1"/>
    <col min="11" max="11" width="2.109375" style="357" customWidth="1"/>
    <col min="12" max="12" width="2.33203125" style="357" customWidth="1"/>
    <col min="13" max="14" width="15.5546875" style="357" bestFit="1" customWidth="1"/>
    <col min="15" max="15" width="6.33203125" style="357" bestFit="1" customWidth="1"/>
    <col min="16" max="16" width="19.33203125" style="357" bestFit="1" customWidth="1"/>
    <col min="17" max="17" width="15.33203125" style="357" bestFit="1" customWidth="1"/>
    <col min="18" max="18" width="14" style="357" bestFit="1" customWidth="1"/>
    <col min="19" max="19" width="13" style="357" bestFit="1" customWidth="1"/>
    <col min="20" max="16384" width="9.109375" style="357"/>
  </cols>
  <sheetData>
    <row r="1" spans="2:17" hidden="1">
      <c r="D1" s="88">
        <v>42400</v>
      </c>
    </row>
    <row r="2" spans="2:17">
      <c r="D2" s="89"/>
      <c r="E2" s="89"/>
      <c r="I2" s="90"/>
    </row>
    <row r="3" spans="2:17">
      <c r="E3" s="220"/>
      <c r="I3" s="90"/>
    </row>
    <row r="4" spans="2:17" ht="15.6">
      <c r="B4" s="92"/>
      <c r="C4" s="92"/>
      <c r="D4" s="160" t="s">
        <v>216</v>
      </c>
      <c r="E4" s="161">
        <v>45692</v>
      </c>
      <c r="I4" s="90"/>
    </row>
    <row r="5" spans="2:17">
      <c r="D5" s="89"/>
      <c r="E5" s="89"/>
      <c r="I5" s="90"/>
    </row>
    <row r="6" spans="2:17">
      <c r="C6" s="93" t="s">
        <v>217</v>
      </c>
      <c r="D6" s="26">
        <v>502.98</v>
      </c>
      <c r="E6" s="89"/>
      <c r="I6" s="90"/>
    </row>
    <row r="7" spans="2:17" ht="15.6">
      <c r="C7" s="94"/>
      <c r="D7" s="590" t="s">
        <v>205</v>
      </c>
      <c r="E7" s="590"/>
      <c r="I7" s="90"/>
    </row>
    <row r="8" spans="2:17">
      <c r="D8" s="95" t="s">
        <v>242</v>
      </c>
      <c r="E8" s="95" t="s">
        <v>219</v>
      </c>
    </row>
    <row r="9" spans="2:17" s="96" customFormat="1" ht="15.6">
      <c r="C9" s="97" t="s">
        <v>220</v>
      </c>
      <c r="D9" s="167">
        <f>SUBTOTAL(9,D10:D12)</f>
        <v>14106478.798005583</v>
      </c>
      <c r="E9" s="98">
        <f>SUBTOTAL(9,E10:E12)</f>
        <v>28045.80460059164</v>
      </c>
      <c r="F9" s="99"/>
      <c r="I9" s="90"/>
    </row>
    <row r="10" spans="2:17" s="90" customFormat="1" outlineLevel="1">
      <c r="B10" s="100"/>
      <c r="C10" s="101" t="s">
        <v>243</v>
      </c>
      <c r="D10" s="169">
        <f>'BAC SAN JOSE COLONES  '!$G$328</f>
        <v>6744907.9656699914</v>
      </c>
      <c r="E10" s="218">
        <f>D10/$D$6</f>
        <v>13409.892969243292</v>
      </c>
      <c r="F10" s="103"/>
    </row>
    <row r="11" spans="2:17" s="90" customFormat="1" hidden="1" outlineLevel="1">
      <c r="B11" s="100"/>
      <c r="C11" s="101"/>
      <c r="D11" s="169">
        <v>-367470</v>
      </c>
      <c r="E11" s="218">
        <f>D11/$D$6</f>
        <v>-730.5857091733269</v>
      </c>
      <c r="F11" s="103"/>
    </row>
    <row r="12" spans="2:17" s="90" customFormat="1" outlineLevel="1">
      <c r="B12" s="100"/>
      <c r="C12" s="101" t="s">
        <v>221</v>
      </c>
      <c r="D12" s="169">
        <f>E12*$D$6</f>
        <v>7729040.8323355913</v>
      </c>
      <c r="E12" s="218">
        <f>'BAC SAN JOSE USD'!$G$257</f>
        <v>15366.497340521673</v>
      </c>
      <c r="F12" s="103"/>
    </row>
    <row r="13" spans="2:17" s="90" customFormat="1" ht="15.6">
      <c r="B13" s="100"/>
      <c r="C13" s="104" t="s">
        <v>222</v>
      </c>
      <c r="D13" s="167">
        <f>SUBTOTAL(9,D14:D14)</f>
        <v>18873855.136987951</v>
      </c>
      <c r="E13" s="98">
        <f>SUBTOTAL(9,E14:E14)</f>
        <v>37823.356987951804</v>
      </c>
      <c r="F13" s="105"/>
    </row>
    <row r="14" spans="2:17" s="178" customFormat="1" outlineLevel="1">
      <c r="B14" s="107" t="s">
        <v>533</v>
      </c>
      <c r="C14" s="362" t="s">
        <v>706</v>
      </c>
      <c r="D14" s="363">
        <f>$E$14*CONVERSIONES!$C$297</f>
        <v>18873855.136987951</v>
      </c>
      <c r="E14" s="364">
        <f>CONVERSIONES!$L$289</f>
        <v>37823.356987951804</v>
      </c>
      <c r="F14" s="345"/>
      <c r="G14" s="346"/>
    </row>
    <row r="15" spans="2:17" s="90" customFormat="1" ht="15.6">
      <c r="B15" s="100"/>
      <c r="C15" s="109" t="s">
        <v>223</v>
      </c>
      <c r="D15" s="168">
        <f>SUBTOTAL(9,D9:D14)</f>
        <v>32980333.934993535</v>
      </c>
      <c r="E15" s="207">
        <f>SUBTOTAL(9,E9:E14)</f>
        <v>65869.161588543444</v>
      </c>
      <c r="F15" s="110"/>
      <c r="G15" s="110"/>
      <c r="J15" s="108"/>
      <c r="K15" s="111"/>
      <c r="O15" s="112"/>
      <c r="P15" s="113"/>
      <c r="Q15" s="114"/>
    </row>
    <row r="16" spans="2:17" s="90" customFormat="1" ht="15.6">
      <c r="B16" s="100"/>
      <c r="C16" s="115"/>
      <c r="D16" s="116"/>
      <c r="E16" s="116"/>
      <c r="G16" s="117"/>
      <c r="O16" s="113"/>
      <c r="P16" s="113"/>
    </row>
    <row r="17" spans="1:19" s="90" customFormat="1" ht="15.6">
      <c r="B17" s="100"/>
      <c r="N17" s="118"/>
      <c r="O17" s="119"/>
      <c r="P17" s="120"/>
    </row>
    <row r="18" spans="1:19" s="90" customFormat="1" ht="15.6">
      <c r="B18" s="590" t="s">
        <v>224</v>
      </c>
      <c r="C18" s="590"/>
      <c r="D18" s="590" t="s">
        <v>585</v>
      </c>
      <c r="E18" s="590"/>
      <c r="K18" s="120"/>
      <c r="L18" s="120"/>
      <c r="N18" s="118"/>
      <c r="R18" s="108"/>
      <c r="S18" s="108"/>
    </row>
    <row r="19" spans="1:19" s="90" customFormat="1" ht="16.2" thickBot="1">
      <c r="B19" s="121" t="s">
        <v>225</v>
      </c>
      <c r="C19" s="122" t="s">
        <v>226</v>
      </c>
      <c r="D19" s="95" t="s">
        <v>242</v>
      </c>
      <c r="E19" s="95" t="s">
        <v>219</v>
      </c>
      <c r="F19" s="123" t="s">
        <v>227</v>
      </c>
      <c r="G19" s="118" t="s">
        <v>228</v>
      </c>
      <c r="H19" s="118"/>
      <c r="I19" s="118"/>
      <c r="J19" s="124" t="s">
        <v>229</v>
      </c>
      <c r="N19" s="125"/>
      <c r="R19" s="108"/>
      <c r="S19" s="126"/>
    </row>
    <row r="20" spans="1:19" s="90" customFormat="1" ht="16.2" thickBot="1">
      <c r="B20" s="100"/>
      <c r="C20" s="127" t="s">
        <v>230</v>
      </c>
      <c r="D20" s="172">
        <f>SUBTOTAL(9,D21:D21)</f>
        <v>5281620</v>
      </c>
      <c r="E20" s="128">
        <f>SUBTOTAL(9,E21:E21)</f>
        <v>10500.656089705355</v>
      </c>
      <c r="F20" s="129"/>
      <c r="J20" s="130"/>
    </row>
    <row r="21" spans="1:19" s="90" customFormat="1" ht="15" outlineLevel="1" thickBot="1">
      <c r="A21" s="103"/>
      <c r="B21" s="141" t="s">
        <v>716</v>
      </c>
      <c r="C21" s="234" t="s">
        <v>707</v>
      </c>
      <c r="D21" s="169">
        <v>5281620</v>
      </c>
      <c r="E21" s="142">
        <f>D21/$D$6</f>
        <v>10500.656089705355</v>
      </c>
      <c r="F21" s="134">
        <v>45702</v>
      </c>
      <c r="G21" s="90" t="s">
        <v>235</v>
      </c>
      <c r="H21" s="90">
        <f>IF(OR(G21="Sin pagar",G21="Pagar"),_xlfn.SINGLE(NETWORKDAYS($E$4,F21,'Festivos CR'!$A$3:$A$29)),0)</f>
        <v>0</v>
      </c>
      <c r="I21" s="90">
        <f>NETWORKDAYS($E$4,F21,'Festivos CR'!$A$3:$A$29)</f>
        <v>9</v>
      </c>
      <c r="J21" s="132">
        <f t="shared" ref="J21:J27" si="0">H21</f>
        <v>0</v>
      </c>
      <c r="K21" s="108"/>
      <c r="L21" s="108"/>
      <c r="M21" s="349"/>
      <c r="N21" s="349"/>
    </row>
    <row r="22" spans="1:19" s="90" customFormat="1" ht="16.2" thickBot="1">
      <c r="B22" s="100"/>
      <c r="C22" s="127" t="s">
        <v>232</v>
      </c>
      <c r="D22" s="172">
        <f>SUBTOTAL(9,D23:D24)</f>
        <v>1173809</v>
      </c>
      <c r="E22" s="128">
        <f>SUBTOTAL(9,E23:E24)</f>
        <v>2333.709093800946</v>
      </c>
      <c r="J22" s="130">
        <f t="shared" si="0"/>
        <v>0</v>
      </c>
    </row>
    <row r="23" spans="1:19" s="90" customFormat="1" outlineLevel="1">
      <c r="B23" s="360" t="s">
        <v>715</v>
      </c>
      <c r="C23" s="101" t="s">
        <v>292</v>
      </c>
      <c r="D23" s="169">
        <v>1124960</v>
      </c>
      <c r="E23" s="142">
        <f>D23/$D$6</f>
        <v>2236.589924052646</v>
      </c>
      <c r="F23" s="134">
        <v>45702</v>
      </c>
      <c r="G23" s="90" t="s">
        <v>235</v>
      </c>
      <c r="H23" s="90">
        <f>IF(OR(G23="Sin pagar",G23="Pagar"),_xlfn.SINGLE(NETWORKDAYS($E$4,F23,'Festivos CR'!$A$3:$A$29)),0)</f>
        <v>0</v>
      </c>
      <c r="I23" s="90">
        <f>NETWORKDAYS($E$4,F23,'Festivos CR'!$A$3:$A$29)</f>
        <v>9</v>
      </c>
      <c r="J23" s="132">
        <f t="shared" si="0"/>
        <v>0</v>
      </c>
      <c r="K23" s="135"/>
      <c r="L23" s="111"/>
      <c r="M23" s="349"/>
      <c r="N23" s="349"/>
    </row>
    <row r="24" spans="1:19" s="90" customFormat="1" ht="29.4" outlineLevel="1" thickBot="1">
      <c r="B24" s="360" t="s">
        <v>719</v>
      </c>
      <c r="C24" s="101" t="s">
        <v>703</v>
      </c>
      <c r="D24" s="169">
        <v>48849</v>
      </c>
      <c r="E24" s="137">
        <f>D24/$D$6</f>
        <v>97.119169748300124</v>
      </c>
      <c r="F24" s="134">
        <v>45704</v>
      </c>
      <c r="G24" s="90" t="s">
        <v>235</v>
      </c>
      <c r="H24" s="90">
        <f>IF(OR(G24="Sin pagar",G24="Pagar"),_xlfn.SINGLE(NETWORKDAYS($E$4,F24,'Festivos CR'!$A$3:$A$29)),0)</f>
        <v>0</v>
      </c>
      <c r="I24" s="90">
        <f>NETWORKDAYS($E$4,F24,'Festivos CR'!$A$3:$A$29)</f>
        <v>9</v>
      </c>
      <c r="J24" s="132">
        <f t="shared" si="0"/>
        <v>0</v>
      </c>
      <c r="K24" s="135"/>
      <c r="L24" s="111"/>
      <c r="M24" s="349"/>
    </row>
    <row r="25" spans="1:19" s="90" customFormat="1" ht="16.2" thickBot="1">
      <c r="B25" s="100"/>
      <c r="C25" s="127" t="s">
        <v>233</v>
      </c>
      <c r="D25" s="172">
        <f>SUBTOTAL(9,D26:D27)</f>
        <v>77400.02</v>
      </c>
      <c r="E25" s="128">
        <f>SUBTOTAL(9,E26:E26)</f>
        <v>124.06059883096744</v>
      </c>
      <c r="J25" s="130">
        <f t="shared" si="0"/>
        <v>0</v>
      </c>
      <c r="K25" s="108"/>
      <c r="L25" s="108"/>
      <c r="N25" s="349"/>
    </row>
    <row r="26" spans="1:19" s="90" customFormat="1" outlineLevel="1">
      <c r="B26" s="100">
        <v>25</v>
      </c>
      <c r="C26" s="101" t="s">
        <v>695</v>
      </c>
      <c r="D26" s="169">
        <v>62400</v>
      </c>
      <c r="E26" s="137">
        <f>D26/$D$6</f>
        <v>124.06059883096744</v>
      </c>
      <c r="F26" s="134">
        <v>45714</v>
      </c>
      <c r="G26" s="90" t="s">
        <v>235</v>
      </c>
      <c r="H26" s="90">
        <f>IF(OR(G26="Sin pagar",G26="Pagar"),_xlfn.SINGLE(NETWORKDAYS($E$4,F26,'Festivos CR'!$A$3:$A$29)),0)</f>
        <v>0</v>
      </c>
      <c r="I26" s="90">
        <f>NETWORKDAYS($E$4,F26,'Festivos CR'!$A$3:$A$29)</f>
        <v>17</v>
      </c>
      <c r="J26" s="132">
        <f t="shared" si="0"/>
        <v>0</v>
      </c>
      <c r="N26" s="103"/>
    </row>
    <row r="27" spans="1:19" s="90" customFormat="1" ht="29.4" outlineLevel="1" thickBot="1">
      <c r="B27" s="100">
        <v>26</v>
      </c>
      <c r="C27" s="101" t="s">
        <v>725</v>
      </c>
      <c r="D27" s="169">
        <v>15000.02</v>
      </c>
      <c r="E27" s="137">
        <f>D27/$D$6</f>
        <v>29.822299097379616</v>
      </c>
      <c r="F27" s="134">
        <v>45714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17</v>
      </c>
      <c r="J27" s="132">
        <f t="shared" si="0"/>
        <v>0</v>
      </c>
      <c r="N27" s="103"/>
    </row>
    <row r="28" spans="1:19" s="90" customFormat="1" ht="16.2" thickBot="1">
      <c r="C28" s="127" t="s">
        <v>250</v>
      </c>
      <c r="D28" s="172">
        <f>SUBTOTAL(9,D29:D29)</f>
        <v>0</v>
      </c>
      <c r="E28" s="128">
        <f>SUBTOTAL(9,E29:E29)</f>
        <v>0</v>
      </c>
      <c r="K28" s="103"/>
      <c r="L28" s="103"/>
      <c r="O28" s="103"/>
      <c r="P28" s="103"/>
    </row>
    <row r="29" spans="1:19" s="90" customFormat="1" ht="14.25" customHeight="1" outlineLevel="1" thickBot="1">
      <c r="B29" s="138" t="s">
        <v>590</v>
      </c>
      <c r="C29" s="101" t="s">
        <v>251</v>
      </c>
      <c r="D29" s="169">
        <f>77000*2*0</f>
        <v>0</v>
      </c>
      <c r="E29" s="137">
        <f>D29/$D$6</f>
        <v>0</v>
      </c>
      <c r="F29" s="129">
        <v>45716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CR'!$A$3:$A$29)</f>
        <v>19</v>
      </c>
      <c r="J29" s="132">
        <f>H29</f>
        <v>0</v>
      </c>
      <c r="K29" s="103"/>
      <c r="L29" s="103"/>
      <c r="M29" s="349"/>
      <c r="O29" s="103"/>
      <c r="P29" s="103"/>
    </row>
    <row r="30" spans="1:19" s="90" customFormat="1" ht="16.2" thickBot="1">
      <c r="B30" s="136"/>
      <c r="C30" s="139" t="s">
        <v>234</v>
      </c>
      <c r="D30" s="173">
        <f>SUBTOTAL(9,D31:D32)</f>
        <v>0</v>
      </c>
      <c r="E30" s="140">
        <f>SUBTOTAL(9,E31:E32)</f>
        <v>0</v>
      </c>
      <c r="K30" s="108"/>
    </row>
    <row r="31" spans="1:19" s="90" customFormat="1" outlineLevel="1">
      <c r="B31" s="176">
        <v>5483</v>
      </c>
      <c r="C31" s="174" t="s">
        <v>591</v>
      </c>
      <c r="D31" s="169">
        <f>E31*$D$6</f>
        <v>0</v>
      </c>
      <c r="E31" s="137">
        <f>440*0</f>
        <v>0</v>
      </c>
      <c r="F31" s="129">
        <v>45716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CR'!$A$3:$A$29)</f>
        <v>19</v>
      </c>
      <c r="J31" s="132">
        <f>H31</f>
        <v>0</v>
      </c>
      <c r="M31" s="297"/>
      <c r="N31" s="298"/>
    </row>
    <row r="32" spans="1:19" s="90" customFormat="1" ht="15" outlineLevel="1" thickBot="1">
      <c r="B32" s="176">
        <v>5582</v>
      </c>
      <c r="C32" s="174" t="s">
        <v>592</v>
      </c>
      <c r="D32" s="169">
        <f>E32*$D$6</f>
        <v>0</v>
      </c>
      <c r="E32" s="137">
        <f>440*0</f>
        <v>0</v>
      </c>
      <c r="F32" s="129">
        <v>45716</v>
      </c>
      <c r="G32" s="90" t="s">
        <v>235</v>
      </c>
      <c r="H32" s="90">
        <f>IF(OR(G32="Sin pagar",G32="Pagar"),_xlfn.SINGLE(NETWORKDAYS($E$4,F32,'Festivos CR'!$A$3:$A$29)),0)</f>
        <v>0</v>
      </c>
      <c r="I32" s="90">
        <f>NETWORKDAYS($E$4,F32,'Festivos CR'!$A$3:$A$29)</f>
        <v>19</v>
      </c>
      <c r="J32" s="132">
        <f>H32</f>
        <v>0</v>
      </c>
      <c r="M32" s="297"/>
      <c r="N32" s="298"/>
    </row>
    <row r="33" spans="1:16" s="90" customFormat="1" ht="15.75" customHeight="1" thickBot="1">
      <c r="C33" s="127" t="s">
        <v>236</v>
      </c>
      <c r="D33" s="172">
        <f>SUBTOTAL(9,D34:D34)</f>
        <v>36000</v>
      </c>
      <c r="E33" s="128">
        <f>SUBTOTAL(9,E34:E34)</f>
        <v>71.573422402481214</v>
      </c>
      <c r="M33" s="299"/>
      <c r="N33" s="299"/>
      <c r="O33" s="118"/>
      <c r="P33" s="300"/>
    </row>
    <row r="34" spans="1:16" s="90" customFormat="1" ht="15" outlineLevel="1" thickBot="1">
      <c r="B34" s="100"/>
      <c r="C34" s="174" t="s">
        <v>236</v>
      </c>
      <c r="D34" s="271">
        <v>36000</v>
      </c>
      <c r="E34" s="142">
        <f>D34/D6</f>
        <v>71.573422402481214</v>
      </c>
      <c r="F34" s="129">
        <v>45716</v>
      </c>
      <c r="G34" s="90" t="s">
        <v>235</v>
      </c>
      <c r="H34" s="90">
        <f>IF(OR(G34="Sin pagar",G34="Pagar"),_xlfn.SINGLE(NETWORKDAYS($E$4,F34,'Festivos CR'!$A$3:$A$29)),0)</f>
        <v>0</v>
      </c>
      <c r="I34" s="90">
        <f>NETWORKDAYS($E$4,F34,'Festivos CR'!$A$3:$A$29)</f>
        <v>19</v>
      </c>
      <c r="J34" s="132">
        <f>H34</f>
        <v>0</v>
      </c>
    </row>
    <row r="35" spans="1:16" s="90" customFormat="1" ht="16.2" thickBot="1">
      <c r="C35" s="127" t="s">
        <v>237</v>
      </c>
      <c r="D35" s="172">
        <f>SUBTOTAL(9,D36:D42)</f>
        <v>11643186.27</v>
      </c>
      <c r="E35" s="128">
        <f>SUBTOTAL(9,E36:E42)</f>
        <v>23333.038617234466</v>
      </c>
      <c r="K35" s="108"/>
      <c r="L35" s="143"/>
    </row>
    <row r="36" spans="1:16" s="90" customFormat="1" outlineLevel="1">
      <c r="B36" s="145" t="s">
        <v>391</v>
      </c>
      <c r="C36" s="174" t="s">
        <v>254</v>
      </c>
      <c r="D36" s="170">
        <v>1612916.33</v>
      </c>
      <c r="E36" s="142">
        <f>$D$36/CONVERSIONES!$C$297</f>
        <v>3232.2972545090183</v>
      </c>
      <c r="F36" s="129">
        <v>45716</v>
      </c>
      <c r="G36" s="90" t="s">
        <v>235</v>
      </c>
      <c r="H36" s="90">
        <f>IF(OR(G36="Sin pagar",G36="Pagar"),_xlfn.SINGLE(NETWORKDAYS($E$4,F36,'Festivos CR'!$A$3:$A$29)),0)</f>
        <v>0</v>
      </c>
      <c r="I36" s="90">
        <f>NETWORKDAYS($E$4,F36,'Festivos CR'!$A$3:$A$29)</f>
        <v>19</v>
      </c>
      <c r="J36" s="132">
        <f t="shared" ref="J36:J42" si="1">H36</f>
        <v>0</v>
      </c>
      <c r="K36" s="135"/>
      <c r="L36" s="135"/>
    </row>
    <row r="37" spans="1:16" s="180" customFormat="1" outlineLevel="1">
      <c r="B37" s="265" t="s">
        <v>270</v>
      </c>
      <c r="C37" s="174" t="s">
        <v>258</v>
      </c>
      <c r="D37" s="170">
        <f>E37*CONVERSIONES!$C$297</f>
        <v>1706909.3399999999</v>
      </c>
      <c r="E37" s="142">
        <v>3420.66</v>
      </c>
      <c r="F37" s="129">
        <v>45716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CR'!$A$3:$A$29)</f>
        <v>19</v>
      </c>
      <c r="J37" s="132">
        <f t="shared" si="1"/>
        <v>0</v>
      </c>
      <c r="L37" s="179"/>
    </row>
    <row r="38" spans="1:16" s="90" customFormat="1" outlineLevel="1">
      <c r="B38" s="145" t="s">
        <v>391</v>
      </c>
      <c r="C38" s="174" t="s">
        <v>390</v>
      </c>
      <c r="D38" s="170">
        <v>1325079.3600000001</v>
      </c>
      <c r="E38" s="142">
        <f>D38/CONVERSIONES!$C$297</f>
        <v>2655.4696593186377</v>
      </c>
      <c r="F38" s="129">
        <v>45716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19</v>
      </c>
      <c r="J38" s="132">
        <f>H38</f>
        <v>0</v>
      </c>
      <c r="K38" s="135"/>
      <c r="L38" s="135"/>
    </row>
    <row r="39" spans="1:16" s="180" customFormat="1" outlineLevel="1">
      <c r="B39" s="145" t="s">
        <v>391</v>
      </c>
      <c r="C39" s="174" t="s">
        <v>253</v>
      </c>
      <c r="D39" s="347">
        <v>1410537.3</v>
      </c>
      <c r="E39" s="137">
        <f>$D$39/CONVERSIONES!$C$297</f>
        <v>2826.7280561122247</v>
      </c>
      <c r="F39" s="129">
        <v>45716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CR'!$A$3:$A$29)</f>
        <v>19</v>
      </c>
      <c r="J39" s="132">
        <f t="shared" si="1"/>
        <v>0</v>
      </c>
      <c r="L39" s="179"/>
    </row>
    <row r="40" spans="1:16" s="180" customFormat="1" outlineLevel="1">
      <c r="B40" s="145" t="s">
        <v>391</v>
      </c>
      <c r="C40" s="174" t="s">
        <v>255</v>
      </c>
      <c r="D40" s="347">
        <v>1410537.3</v>
      </c>
      <c r="E40" s="137">
        <f>$D$40/CONVERSIONES!$C$297</f>
        <v>2826.7280561122247</v>
      </c>
      <c r="F40" s="129">
        <v>45716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19</v>
      </c>
      <c r="J40" s="132">
        <f t="shared" si="1"/>
        <v>0</v>
      </c>
      <c r="L40" s="179"/>
    </row>
    <row r="41" spans="1:16" s="180" customFormat="1" outlineLevel="1">
      <c r="B41" s="145" t="s">
        <v>391</v>
      </c>
      <c r="C41" s="174" t="s">
        <v>330</v>
      </c>
      <c r="D41" s="170">
        <v>786551.54</v>
      </c>
      <c r="E41" s="142">
        <f>$D$41/CONVERSIONES!$C$297</f>
        <v>1576.2555911823647</v>
      </c>
      <c r="F41" s="129">
        <v>45716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19</v>
      </c>
      <c r="J41" s="132">
        <f>H41</f>
        <v>0</v>
      </c>
      <c r="L41" s="179"/>
    </row>
    <row r="42" spans="1:16" s="180" customFormat="1" ht="15" outlineLevel="1" thickBot="1">
      <c r="B42" s="265" t="s">
        <v>270</v>
      </c>
      <c r="C42" s="174" t="s">
        <v>257</v>
      </c>
      <c r="D42" s="170">
        <f>E42*CONVERSIONES!$C$297</f>
        <v>3390655.0999999996</v>
      </c>
      <c r="E42" s="142">
        <v>6794.9</v>
      </c>
      <c r="F42" s="129">
        <v>45716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19</v>
      </c>
      <c r="J42" s="132">
        <f t="shared" si="1"/>
        <v>0</v>
      </c>
      <c r="L42" s="179"/>
    </row>
    <row r="43" spans="1:16" s="90" customFormat="1" ht="16.2" thickBot="1">
      <c r="A43" s="180"/>
      <c r="B43" s="145"/>
      <c r="C43" s="127" t="s">
        <v>238</v>
      </c>
      <c r="D43" s="172">
        <f>SUBTOTAL(9,D44:D44)</f>
        <v>11000</v>
      </c>
      <c r="E43" s="128">
        <f>SUBTOTAL(9,E44:E44)</f>
        <v>21.869656845202591</v>
      </c>
      <c r="L43" s="108"/>
    </row>
    <row r="44" spans="1:16" s="90" customFormat="1" ht="29.4" outlineLevel="1" thickBot="1">
      <c r="A44" s="180"/>
      <c r="B44" s="146"/>
      <c r="C44" s="101" t="s">
        <v>720</v>
      </c>
      <c r="D44" s="170">
        <v>11000</v>
      </c>
      <c r="E44" s="142">
        <f>D44/$D$6</f>
        <v>21.869656845202591</v>
      </c>
      <c r="F44" s="129">
        <v>45709</v>
      </c>
      <c r="G44" s="90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CR'!$A$3:$A$29)</f>
        <v>14</v>
      </c>
      <c r="J44" s="132"/>
      <c r="L44" s="108"/>
    </row>
    <row r="45" spans="1:16" s="90" customFormat="1" ht="14.25" customHeight="1">
      <c r="B45" s="100"/>
      <c r="C45" s="147" t="s">
        <v>239</v>
      </c>
      <c r="D45" s="171">
        <f>SUBTOTAL(9,D20:D44)</f>
        <v>18223015.289999999</v>
      </c>
      <c r="E45" s="148">
        <f>SUBTOTAL(9,E20:E44)</f>
        <v>36414.7297779168</v>
      </c>
      <c r="K45" s="357"/>
      <c r="L45" s="357"/>
      <c r="N45" s="357"/>
      <c r="O45" s="357"/>
      <c r="P45" s="357"/>
    </row>
    <row r="46" spans="1:16" ht="15.6">
      <c r="A46" s="90"/>
      <c r="E46" s="149"/>
      <c r="F46" s="239"/>
      <c r="G46" s="150"/>
      <c r="H46" s="150"/>
      <c r="I46" s="150"/>
      <c r="J46" s="150"/>
    </row>
    <row r="47" spans="1:16" ht="15.6">
      <c r="A47" s="90"/>
      <c r="C47" s="151" t="s">
        <v>3</v>
      </c>
      <c r="D47" s="182">
        <f>D15-D45</f>
        <v>14757318.644993536</v>
      </c>
      <c r="E47" s="152">
        <f>E15-E45</f>
        <v>29454.431810626644</v>
      </c>
      <c r="F47" s="243"/>
      <c r="G47" s="153"/>
      <c r="J47" s="153"/>
    </row>
    <row r="48" spans="1:16" s="157" customFormat="1" ht="15.6">
      <c r="A48" s="90"/>
      <c r="B48" s="154"/>
      <c r="C48" s="151" t="s">
        <v>240</v>
      </c>
      <c r="D48" s="155">
        <f>IF($D$15=0,0,D47/$D$15)</f>
        <v>0.44745813290069192</v>
      </c>
      <c r="E48" s="155">
        <f>IF($E$15=0,0,E47/$E$15)</f>
        <v>0.44716573128129239</v>
      </c>
      <c r="F48" s="156"/>
      <c r="G48" s="153"/>
      <c r="J48" s="158"/>
      <c r="K48" s="357"/>
      <c r="L48" s="357"/>
      <c r="N48" s="357"/>
      <c r="O48" s="357"/>
      <c r="P48" s="357"/>
    </row>
    <row r="49" spans="1:13">
      <c r="A49" s="90"/>
      <c r="F49" s="156"/>
      <c r="G49" s="153"/>
    </row>
    <row r="51" spans="1:13" ht="15" thickBot="1"/>
    <row r="52" spans="1:13" ht="15" thickBot="1">
      <c r="C52" s="189" t="s">
        <v>260</v>
      </c>
      <c r="D52" s="190" t="s">
        <v>261</v>
      </c>
      <c r="E52" s="191" t="s">
        <v>265</v>
      </c>
      <c r="F52" s="191" t="s">
        <v>266</v>
      </c>
    </row>
    <row r="53" spans="1:13">
      <c r="C53" s="303">
        <v>45689</v>
      </c>
      <c r="D53" s="304">
        <v>45697</v>
      </c>
      <c r="E53" s="195">
        <f>SUMIFS($D$19:$D$50,$F$19:$F$50,"&gt;="&amp;C53,$F$19:$F$50,"&lt;="&amp;D53,$G$19:$G$50,$D$66)</f>
        <v>0</v>
      </c>
      <c r="F53" s="201">
        <f>SUMIFS($E$19:$E$50,$F$19:$F$50,"&gt;="&amp;C53,$F$19:$F$50,"&lt;="&amp;D53,$G$19:$G$50,$D$66)</f>
        <v>0</v>
      </c>
    </row>
    <row r="54" spans="1:13">
      <c r="C54" s="305">
        <v>45698</v>
      </c>
      <c r="D54" s="306">
        <v>45704</v>
      </c>
      <c r="E54" s="196">
        <f>SUMIFS($D$19:$D$50,$F$19:$F$50,"&gt;="&amp;C54,$F$19:$F$50,"&lt;="&amp;D54,$G$19:$G$50,$D$66)</f>
        <v>0</v>
      </c>
      <c r="F54" s="202">
        <f>SUMIFS($E$19:$E$50,$F$19:$F$50,"&gt;="&amp;C54,$F$19:$F$50,"&lt;="&amp;D54,$G$19:$G$50,$D$66)</f>
        <v>0</v>
      </c>
      <c r="G54" s="357" t="s">
        <v>451</v>
      </c>
    </row>
    <row r="55" spans="1:13">
      <c r="C55" s="183">
        <v>45705</v>
      </c>
      <c r="D55" s="184">
        <v>45711</v>
      </c>
      <c r="E55" s="196">
        <f>SUMIFS($D$19:$D$50,$F$19:$F$50,"&gt;="&amp;C55,$F$19:$F$50,"&lt;="&amp;D55,$G$19:$G$50,$D$66)</f>
        <v>0</v>
      </c>
      <c r="F55" s="202">
        <f>SUMIFS($E$19:$E$50,$F$19:$F$50,"&gt;="&amp;C55,$F$19:$F$50,"&lt;="&amp;D55,$G$19:$G$50,$D$66)</f>
        <v>0</v>
      </c>
      <c r="J55" s="591"/>
    </row>
    <row r="56" spans="1:13">
      <c r="C56" s="183">
        <v>45712</v>
      </c>
      <c r="D56" s="184">
        <v>45716</v>
      </c>
      <c r="E56" s="196">
        <f>SUMIFS($D$19:$D$50,$F$19:$F$50,"&gt;="&amp;C56,$F$19:$F$50,"&lt;="&amp;D56,$G$19:$G$50,$D$66)</f>
        <v>0</v>
      </c>
      <c r="F56" s="202">
        <f>SUMIFS($E$19:$E$50,$F$19:$F$50,"&gt;="&amp;C56,$F$19:$F$50,"&lt;="&amp;D56,$G$19:$G$50,$D$66)</f>
        <v>0</v>
      </c>
      <c r="G56" s="357" t="s">
        <v>724</v>
      </c>
      <c r="J56" s="591"/>
    </row>
    <row r="57" spans="1:13" ht="15.6">
      <c r="C57" s="589" t="s">
        <v>262</v>
      </c>
      <c r="D57" s="589"/>
      <c r="E57" s="186">
        <f>SUM(E53:E56)</f>
        <v>0</v>
      </c>
      <c r="F57" s="200">
        <f>SUM(F53:F56)</f>
        <v>0</v>
      </c>
      <c r="G57" s="94"/>
      <c r="J57" s="153"/>
      <c r="K57" s="153"/>
      <c r="M57" s="206"/>
    </row>
    <row r="60" spans="1:13">
      <c r="C60" s="592" t="s">
        <v>267</v>
      </c>
      <c r="D60" s="592"/>
      <c r="E60" s="204">
        <f>'BAC SAN JOSE COLONES  '!$G$409+('BAC SAN JOSE USD'!$G$270*$D$6)</f>
        <v>48129058.432805568</v>
      </c>
      <c r="F60" s="206">
        <f>('BAC SAN JOSE COLONES  '!$G$409/$D$6)+'BAC SAN JOSE USD'!$G$270</f>
        <v>95687.817473469273</v>
      </c>
    </row>
    <row r="61" spans="1:13">
      <c r="C61" s="592" t="s">
        <v>704</v>
      </c>
      <c r="D61" s="592"/>
      <c r="E61" s="204">
        <f>SUM(E53:E55)</f>
        <v>0</v>
      </c>
      <c r="F61" s="206">
        <f>SUM(F53:F55)</f>
        <v>0</v>
      </c>
      <c r="J61" s="324"/>
    </row>
    <row r="62" spans="1:13">
      <c r="C62" s="588" t="s">
        <v>152</v>
      </c>
      <c r="D62" s="588"/>
      <c r="E62" s="205">
        <f>E60-E61</f>
        <v>48129058.432805568</v>
      </c>
      <c r="F62" s="199">
        <f>F60-F61</f>
        <v>95687.817473469273</v>
      </c>
      <c r="G62" s="206"/>
      <c r="J62" s="206"/>
    </row>
    <row r="65" spans="4:6">
      <c r="D65" s="90" t="s">
        <v>235</v>
      </c>
      <c r="E65" s="170">
        <f>SUMIFS($D$19:$D$50,$F$19:$F$50,"&gt;="&amp;C53,$F$19:$F$50,"&lt;="&amp;$D$56,$G$19:$G$50,$D$65)</f>
        <v>18223015.289999999</v>
      </c>
      <c r="F65" s="206">
        <f>SUMIFS($E$19:$E$50,$F$19:$F$50,"&gt;="&amp;C53,$F$19:$F$50,"&lt;="&amp;$D$56,$G$19:$G$50,$D$65)</f>
        <v>36414.7297779168</v>
      </c>
    </row>
    <row r="66" spans="4:6">
      <c r="D66" s="90" t="s">
        <v>231</v>
      </c>
      <c r="E66" s="170">
        <f>SUMIFS($D$19:$D$50,$F$19:$F$50,"&gt;="&amp;C53,$F$19:$F$50,"&lt;="&amp;$D$56,$G$19:$G$50,$D$66)</f>
        <v>0</v>
      </c>
      <c r="F66" s="206">
        <f>SUMIFS($E$19:$E$50,$F$19:$F$50,"&gt;="&amp;C53,$F$19:$F$50,"&lt;="&amp;D56,$G$19:$G$50,$D$66)</f>
        <v>0</v>
      </c>
    </row>
    <row r="67" spans="4:6">
      <c r="D67" s="185" t="s">
        <v>263</v>
      </c>
      <c r="E67" s="194">
        <f>SUM(E65:E66)</f>
        <v>18223015.289999999</v>
      </c>
      <c r="F67" s="199">
        <f>SUM(F65:F66)</f>
        <v>36414.7297779168</v>
      </c>
    </row>
    <row r="68" spans="4:6">
      <c r="D68" s="185" t="s">
        <v>264</v>
      </c>
      <c r="E68" s="194">
        <f>(D45-E67)*0</f>
        <v>0</v>
      </c>
      <c r="F68" s="199">
        <f>F67-E45</f>
        <v>0</v>
      </c>
    </row>
    <row r="71" spans="4:6">
      <c r="D71" s="88" t="s">
        <v>400</v>
      </c>
      <c r="E71" s="88">
        <f>D47</f>
        <v>14757318.644993536</v>
      </c>
    </row>
    <row r="72" spans="4:6">
      <c r="D72" s="88" t="s">
        <v>401</v>
      </c>
      <c r="E72" s="88">
        <f>'BAC SAN JOSE COLONES  '!$G$341+('BAC SAN JOSE USD'!$G$264*'FLUJO CAJA FEBRERO'!$D$6)</f>
        <v>14757318.620205585</v>
      </c>
    </row>
    <row r="73" spans="4:6">
      <c r="D73" s="88" t="s">
        <v>701</v>
      </c>
      <c r="E73" s="88">
        <f>E71-E72</f>
        <v>2.478795126080513E-2</v>
      </c>
    </row>
    <row r="74" spans="4:6">
      <c r="D74" s="88" t="s">
        <v>702</v>
      </c>
      <c r="E74" s="206">
        <f>E73/D6</f>
        <v>4.9282180724492283E-5</v>
      </c>
    </row>
  </sheetData>
  <protectedRanges>
    <protectedRange sqref="F15:G15 D49:E49 D10:E12" name="Presupuestos"/>
    <protectedRange sqref="D8:E8 D19:E19" name="Presupuestos_1"/>
    <protectedRange sqref="D26:E27" name="Presupuestos_13_1"/>
    <protectedRange sqref="D29:E29" name="Presupuestos_14"/>
    <protectedRange sqref="D37 E36:E40 D41:E42" name="Presupuestos_2_1_1_1"/>
    <protectedRange sqref="D36 E44 K36 D38 K38" name="Presupuestos_6_1_1_1"/>
    <protectedRange sqref="D39:D40" name="Presupuestos_5_2_1"/>
    <protectedRange sqref="D34:E34" name="Presupuestos_7_1"/>
    <protectedRange sqref="D44" name="Presupuestos_5_3"/>
    <protectedRange sqref="D31:E32" name="Presupuestos_13_1_1"/>
  </protectedRanges>
  <autoFilter ref="A19:S44" xr:uid="{221EB955-2A0F-4EBB-B347-E419C3B5CB14}"/>
  <mergeCells count="8">
    <mergeCell ref="C61:D61"/>
    <mergeCell ref="C62:D62"/>
    <mergeCell ref="D7:E7"/>
    <mergeCell ref="B18:C18"/>
    <mergeCell ref="D18:E18"/>
    <mergeCell ref="J55:J56"/>
    <mergeCell ref="C57:D57"/>
    <mergeCell ref="C60:D60"/>
  </mergeCells>
  <dataValidations count="4">
    <dataValidation type="list" allowBlank="1" showInputMessage="1" showErrorMessage="1" sqref="B14" xr:uid="{F3D2D1FA-0275-423F-8730-75C6AA6C88C0}">
      <formula1>"Sin Pagar,Pagado"</formula1>
    </dataValidation>
    <dataValidation type="list" allowBlank="1" showInputMessage="1" showErrorMessage="1" sqref="D18 D7" xr:uid="{360AC69A-AC2C-4FF4-B812-2EB4B63A1D4E}">
      <formula1>"ENERO,FEBRERO,MARZO,ABRIL,MAYO,JUNIO,JULIO,AGOSTO,SEPTIEMBRE,OCTUBRE,NOVIEMBRE,DICIEMBRE"</formula1>
    </dataValidation>
    <dataValidation type="list" allowBlank="1" showInputMessage="1" showErrorMessage="1" sqref="G31:G32 G20:G21 D65:D66 G50:G51 G26:G27 G23:G24 G29 G34 G44 G36:G42" xr:uid="{1BCC6DD4-6089-4DA5-B195-D339EF9B31F3}">
      <formula1>"Cancelado,Pagar,Sin Pagar"</formula1>
    </dataValidation>
    <dataValidation type="list" allowBlank="1" showInputMessage="1" showErrorMessage="1" sqref="O30" xr:uid="{C32F03EC-43D8-43A6-9EF3-B7AE1F8BC1BB}">
      <formula1>"0,1"</formula1>
    </dataValidation>
  </dataValidations>
  <pageMargins left="0.7" right="0.7" top="0.75" bottom="0.75" header="0.3" footer="0.3"/>
  <ignoredErrors>
    <ignoredError sqref="J28:J43 J21:J25 J26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A81D-84C9-42F9-89AF-1C69298D52A6}">
  <dimension ref="A1:S76"/>
  <sheetViews>
    <sheetView showGridLines="0" topLeftCell="A56" zoomScale="85" zoomScaleNormal="85" workbookViewId="0">
      <selection activeCell="D11" sqref="D11"/>
    </sheetView>
  </sheetViews>
  <sheetFormatPr baseColWidth="10" defaultColWidth="9.109375" defaultRowHeight="14.4" outlineLevelRow="1"/>
  <cols>
    <col min="1" max="1" width="2.109375" style="367" customWidth="1"/>
    <col min="2" max="2" width="18.88671875" style="368" bestFit="1" customWidth="1"/>
    <col min="3" max="3" width="54.33203125" style="367" bestFit="1" customWidth="1"/>
    <col min="4" max="4" width="24.44140625" style="88" customWidth="1"/>
    <col min="5" max="5" width="19.33203125" style="88" bestFit="1" customWidth="1"/>
    <col min="6" max="6" width="23.5546875" style="367" customWidth="1"/>
    <col min="7" max="7" width="16.88671875" style="367" customWidth="1"/>
    <col min="8" max="8" width="7.6640625" style="367" hidden="1" customWidth="1"/>
    <col min="9" max="9" width="12.109375" style="367" hidden="1" customWidth="1"/>
    <col min="10" max="10" width="16.5546875" style="367" customWidth="1"/>
    <col min="11" max="11" width="2.109375" style="367" customWidth="1"/>
    <col min="12" max="12" width="2.33203125" style="367" customWidth="1"/>
    <col min="13" max="14" width="15.5546875" style="367" bestFit="1" customWidth="1"/>
    <col min="15" max="15" width="6.33203125" style="367" bestFit="1" customWidth="1"/>
    <col min="16" max="16" width="19.33203125" style="367" bestFit="1" customWidth="1"/>
    <col min="17" max="17" width="15.33203125" style="367" bestFit="1" customWidth="1"/>
    <col min="18" max="18" width="14" style="367" bestFit="1" customWidth="1"/>
    <col min="19" max="19" width="13" style="367" bestFit="1" customWidth="1"/>
    <col min="20" max="16384" width="9.109375" style="367"/>
  </cols>
  <sheetData>
    <row r="1" spans="2:17" hidden="1">
      <c r="D1" s="88">
        <v>42400</v>
      </c>
    </row>
    <row r="2" spans="2:17">
      <c r="D2" s="89"/>
      <c r="E2" s="89"/>
      <c r="I2" s="90"/>
    </row>
    <row r="3" spans="2:17">
      <c r="E3" s="220"/>
      <c r="I3" s="90"/>
    </row>
    <row r="4" spans="2:17" ht="15.6">
      <c r="B4" s="92"/>
      <c r="C4" s="92"/>
      <c r="D4" s="160" t="s">
        <v>216</v>
      </c>
      <c r="E4" s="161">
        <v>45719</v>
      </c>
      <c r="I4" s="90"/>
    </row>
    <row r="5" spans="2:17">
      <c r="D5" s="89"/>
      <c r="E5" s="89"/>
      <c r="I5" s="90"/>
    </row>
    <row r="6" spans="2:17">
      <c r="C6" s="93" t="s">
        <v>217</v>
      </c>
      <c r="D6" s="26">
        <v>513</v>
      </c>
      <c r="E6" s="89"/>
      <c r="I6" s="90"/>
    </row>
    <row r="7" spans="2:17" ht="15.6">
      <c r="C7" s="94"/>
      <c r="D7" s="590" t="s">
        <v>203</v>
      </c>
      <c r="E7" s="590"/>
      <c r="I7" s="90"/>
    </row>
    <row r="8" spans="2:17">
      <c r="D8" s="95" t="s">
        <v>242</v>
      </c>
      <c r="E8" s="95" t="s">
        <v>219</v>
      </c>
    </row>
    <row r="9" spans="2:17" s="96" customFormat="1" ht="15.6">
      <c r="C9" s="97" t="s">
        <v>220</v>
      </c>
      <c r="D9" s="167">
        <f>SUBTOTAL(9,D10:D11)</f>
        <v>15106179.331357609</v>
      </c>
      <c r="E9" s="98">
        <f>SUBTOTAL(9,E10:E11)</f>
        <v>29446.743335979751</v>
      </c>
      <c r="F9" s="99"/>
      <c r="I9" s="90"/>
    </row>
    <row r="10" spans="2:17" s="90" customFormat="1" outlineLevel="1">
      <c r="B10" s="100"/>
      <c r="C10" s="101" t="s">
        <v>243</v>
      </c>
      <c r="D10" s="169">
        <f>'BAC SAN JOSE COLONES  '!$G$341+196137</f>
        <v>7287091.1256699907</v>
      </c>
      <c r="E10" s="218">
        <f>D10/$D$6</f>
        <v>14204.855995458072</v>
      </c>
      <c r="F10" s="103"/>
    </row>
    <row r="11" spans="2:17" s="90" customFormat="1" outlineLevel="1">
      <c r="B11" s="100"/>
      <c r="C11" s="101" t="s">
        <v>221</v>
      </c>
      <c r="D11" s="169">
        <f>E11*$D$6</f>
        <v>7819088.2056876197</v>
      </c>
      <c r="E11" s="218">
        <f>'BAC SAN JOSE USD'!$G$264</f>
        <v>15241.887340521676</v>
      </c>
      <c r="F11" s="103"/>
    </row>
    <row r="12" spans="2:17" s="90" customFormat="1" ht="15.6">
      <c r="B12" s="100"/>
      <c r="C12" s="104" t="s">
        <v>222</v>
      </c>
      <c r="D12" s="167">
        <f>SUBTOTAL(9,D13:D14)</f>
        <v>31545125.82</v>
      </c>
      <c r="E12" s="98">
        <f>SUBTOTAL(9,E13:E14)</f>
        <v>63856.53</v>
      </c>
      <c r="F12" s="105"/>
    </row>
    <row r="13" spans="2:17" s="178" customFormat="1" outlineLevel="1">
      <c r="B13" s="107" t="s">
        <v>533</v>
      </c>
      <c r="C13" s="374" t="s">
        <v>745</v>
      </c>
      <c r="D13" s="375">
        <f>$E$13*494</f>
        <v>22754924.399999999</v>
      </c>
      <c r="E13" s="376">
        <v>46062.6</v>
      </c>
      <c r="F13" s="345"/>
      <c r="G13" s="346"/>
    </row>
    <row r="14" spans="2:17" s="178" customFormat="1" outlineLevel="1">
      <c r="B14" s="107" t="s">
        <v>533</v>
      </c>
      <c r="C14" s="374" t="s">
        <v>746</v>
      </c>
      <c r="D14" s="375">
        <f>$E$14*494</f>
        <v>8790201.4199999999</v>
      </c>
      <c r="E14" s="376">
        <v>17793.93</v>
      </c>
      <c r="F14" s="345"/>
      <c r="G14" s="346"/>
    </row>
    <row r="15" spans="2:17" s="90" customFormat="1" ht="15.6">
      <c r="B15" s="100"/>
      <c r="C15" s="109" t="s">
        <v>223</v>
      </c>
      <c r="D15" s="168">
        <f>SUBTOTAL(9,D9:D14)</f>
        <v>46651305.151357606</v>
      </c>
      <c r="E15" s="207">
        <f>SUBTOTAL(9,E9:E14)</f>
        <v>93303.273335979757</v>
      </c>
      <c r="F15" s="110"/>
      <c r="G15" s="110"/>
      <c r="J15" s="108"/>
      <c r="K15" s="111"/>
      <c r="O15" s="112"/>
      <c r="P15" s="113"/>
      <c r="Q15" s="114"/>
    </row>
    <row r="16" spans="2:17" s="90" customFormat="1" ht="15.6">
      <c r="B16" s="100"/>
      <c r="C16" s="115"/>
      <c r="D16" s="116"/>
      <c r="E16" s="116"/>
      <c r="G16" s="117"/>
      <c r="O16" s="113"/>
      <c r="P16" s="113"/>
    </row>
    <row r="17" spans="1:19" s="90" customFormat="1" ht="15.6">
      <c r="B17" s="100"/>
      <c r="N17" s="118"/>
      <c r="O17" s="119"/>
      <c r="P17" s="120"/>
    </row>
    <row r="18" spans="1:19" s="90" customFormat="1" ht="15.6">
      <c r="B18" s="590" t="s">
        <v>224</v>
      </c>
      <c r="C18" s="590"/>
      <c r="D18" s="590" t="s">
        <v>203</v>
      </c>
      <c r="E18" s="590"/>
      <c r="K18" s="120"/>
      <c r="L18" s="120"/>
      <c r="N18" s="118"/>
      <c r="R18" s="108"/>
      <c r="S18" s="108"/>
    </row>
    <row r="19" spans="1:19" s="90" customFormat="1" ht="16.2" thickBot="1">
      <c r="B19" s="121" t="s">
        <v>225</v>
      </c>
      <c r="C19" s="122" t="s">
        <v>226</v>
      </c>
      <c r="D19" s="95" t="s">
        <v>242</v>
      </c>
      <c r="E19" s="95" t="s">
        <v>219</v>
      </c>
      <c r="F19" s="123" t="s">
        <v>227</v>
      </c>
      <c r="G19" s="118" t="s">
        <v>228</v>
      </c>
      <c r="H19" s="118"/>
      <c r="I19" s="118"/>
      <c r="J19" s="124" t="s">
        <v>229</v>
      </c>
      <c r="N19" s="125"/>
      <c r="R19" s="108"/>
      <c r="S19" s="126"/>
    </row>
    <row r="20" spans="1:19" s="90" customFormat="1" ht="16.2" thickBot="1">
      <c r="B20" s="100"/>
      <c r="C20" s="127" t="s">
        <v>230</v>
      </c>
      <c r="D20" s="172">
        <f>SUBTOTAL(9,D21:D21)</f>
        <v>5350815</v>
      </c>
      <c r="E20" s="128">
        <f>SUBTOTAL(9,E21:E21)</f>
        <v>10430.438596491229</v>
      </c>
      <c r="F20" s="129"/>
      <c r="J20" s="130"/>
    </row>
    <row r="21" spans="1:19" s="90" customFormat="1" ht="15" outlineLevel="1" thickBot="1">
      <c r="A21" s="103"/>
      <c r="B21" s="100" t="s">
        <v>741</v>
      </c>
      <c r="C21" s="234" t="s">
        <v>707</v>
      </c>
      <c r="D21" s="169">
        <v>5350815</v>
      </c>
      <c r="E21" s="142">
        <f>D21/$D$6</f>
        <v>10430.438596491229</v>
      </c>
      <c r="F21" s="134">
        <v>45726</v>
      </c>
      <c r="G21" s="90" t="s">
        <v>235</v>
      </c>
      <c r="H21" s="90">
        <f>IF(OR(G21="Sin pagar",G21="Pagar"),_xlfn.SINGLE(NETWORKDAYS($E$4,F21,'Festivos CR'!$A$3:$A$29)),0)</f>
        <v>0</v>
      </c>
      <c r="I21" s="90">
        <f>NETWORKDAYS($E$4,F21,'Festivos CR'!$A$3:$A$29)</f>
        <v>6</v>
      </c>
      <c r="J21" s="132">
        <f t="shared" ref="J21:J28" si="0">H21</f>
        <v>0</v>
      </c>
      <c r="K21" s="108"/>
      <c r="L21" s="108"/>
      <c r="M21" s="349"/>
      <c r="N21" s="349"/>
    </row>
    <row r="22" spans="1:19" s="90" customFormat="1" ht="16.2" thickBot="1">
      <c r="B22" s="100"/>
      <c r="C22" s="127" t="s">
        <v>232</v>
      </c>
      <c r="D22" s="172">
        <f>SUBTOTAL(9,D23:D25)</f>
        <v>1949921</v>
      </c>
      <c r="E22" s="128">
        <f>SUBTOTAL(9,E23:E25)</f>
        <v>3801.0155945419101</v>
      </c>
      <c r="J22" s="130">
        <f t="shared" si="0"/>
        <v>0</v>
      </c>
    </row>
    <row r="23" spans="1:19" s="90" customFormat="1" outlineLevel="1">
      <c r="B23" s="373" t="s">
        <v>740</v>
      </c>
      <c r="C23" s="101" t="s">
        <v>292</v>
      </c>
      <c r="D23" s="169">
        <v>1157777</v>
      </c>
      <c r="E23" s="142">
        <f>D23/$D$6</f>
        <v>2256.8752436647173</v>
      </c>
      <c r="F23" s="134">
        <v>45726</v>
      </c>
      <c r="G23" s="90" t="s">
        <v>235</v>
      </c>
      <c r="H23" s="90">
        <f>IF(OR(G23="Sin pagar",G23="Pagar"),_xlfn.SINGLE(NETWORKDAYS($E$4,F23,'Festivos CR'!$A$3:$A$29)),0)</f>
        <v>0</v>
      </c>
      <c r="I23" s="90">
        <f>NETWORKDAYS($E$4,F23,'Festivos CR'!$A$3:$A$29)</f>
        <v>6</v>
      </c>
      <c r="J23" s="132">
        <f t="shared" si="0"/>
        <v>0</v>
      </c>
      <c r="K23" s="135"/>
      <c r="L23" s="111"/>
      <c r="M23" s="349"/>
      <c r="N23" s="349"/>
    </row>
    <row r="24" spans="1:19" s="90" customFormat="1" ht="28.8" outlineLevel="1">
      <c r="B24" s="373" t="s">
        <v>740</v>
      </c>
      <c r="C24" s="101" t="s">
        <v>739</v>
      </c>
      <c r="D24" s="169">
        <v>82060</v>
      </c>
      <c r="E24" s="137">
        <f>D24/$D$6</f>
        <v>159.96101364522417</v>
      </c>
      <c r="F24" s="134">
        <v>45726</v>
      </c>
      <c r="G24" s="90" t="s">
        <v>235</v>
      </c>
      <c r="H24" s="90">
        <f>IF(OR(G24="Sin pagar",G24="Pagar"),_xlfn.SINGLE(NETWORKDAYS($E$4,F24,'Festivos CR'!$A$3:$A$29)),0)</f>
        <v>0</v>
      </c>
      <c r="I24" s="90">
        <f>NETWORKDAYS($E$4,F24,'Festivos CR'!$A$3:$A$29)</f>
        <v>6</v>
      </c>
      <c r="J24" s="132">
        <f t="shared" si="0"/>
        <v>0</v>
      </c>
      <c r="K24" s="135"/>
      <c r="L24" s="111"/>
      <c r="M24" s="349"/>
    </row>
    <row r="25" spans="1:19" s="90" customFormat="1" ht="29.4" outlineLevel="1" thickBot="1">
      <c r="B25" s="373" t="s">
        <v>762</v>
      </c>
      <c r="C25" s="101" t="s">
        <v>739</v>
      </c>
      <c r="D25" s="169">
        <v>710084</v>
      </c>
      <c r="E25" s="137">
        <f>D25/$D$6</f>
        <v>1384.1793372319687</v>
      </c>
      <c r="F25" s="134">
        <v>45733</v>
      </c>
      <c r="G25" s="90" t="s">
        <v>235</v>
      </c>
      <c r="H25" s="90">
        <f>IF(OR(G25="Sin pagar",G25="Pagar"),_xlfn.SINGLE(NETWORKDAYS($E$4,F25,'Festivos CR'!$A$3:$A$29)),0)</f>
        <v>0</v>
      </c>
      <c r="I25" s="90">
        <f>NETWORKDAYS($E$4,F25,'Festivos CR'!$A$3:$A$29)</f>
        <v>11</v>
      </c>
      <c r="J25" s="132">
        <f>H25</f>
        <v>0</v>
      </c>
      <c r="K25" s="135"/>
      <c r="L25" s="111"/>
      <c r="M25" s="349"/>
    </row>
    <row r="26" spans="1:19" s="90" customFormat="1" ht="16.2" thickBot="1">
      <c r="B26" s="100"/>
      <c r="C26" s="127" t="s">
        <v>233</v>
      </c>
      <c r="D26" s="172">
        <f>SUBTOTAL(9,D28:D28)</f>
        <v>62400</v>
      </c>
      <c r="E26" s="128">
        <f>SUBTOTAL(9,E28:E28)</f>
        <v>121.6374269005848</v>
      </c>
      <c r="J26" s="130">
        <f t="shared" si="0"/>
        <v>0</v>
      </c>
      <c r="K26" s="108"/>
      <c r="L26" s="108"/>
      <c r="N26" s="349"/>
    </row>
    <row r="27" spans="1:19" s="90" customFormat="1" ht="28.8" outlineLevel="1">
      <c r="B27" s="141">
        <v>298</v>
      </c>
      <c r="C27" s="101" t="s">
        <v>761</v>
      </c>
      <c r="D27" s="169">
        <v>28823</v>
      </c>
      <c r="E27" s="137">
        <f>D27/510.14</f>
        <v>56.500176422158624</v>
      </c>
      <c r="F27" s="134">
        <v>45730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10</v>
      </c>
      <c r="J27" s="132">
        <f>H27</f>
        <v>0</v>
      </c>
      <c r="M27" s="369"/>
      <c r="N27" s="103"/>
    </row>
    <row r="28" spans="1:19" s="90" customFormat="1" ht="15" outlineLevel="1" thickBot="1">
      <c r="B28" s="100">
        <v>28</v>
      </c>
      <c r="C28" s="101" t="s">
        <v>695</v>
      </c>
      <c r="D28" s="169">
        <v>62400</v>
      </c>
      <c r="E28" s="137">
        <f>D28/$D$6</f>
        <v>121.6374269005848</v>
      </c>
      <c r="F28" s="134">
        <v>45743</v>
      </c>
      <c r="G28" s="90" t="s">
        <v>235</v>
      </c>
      <c r="H28" s="90">
        <f>IF(OR(G28="Sin pagar",G28="Pagar"),_xlfn.SINGLE(NETWORKDAYS($E$4,F28,'Festivos CR'!$A$3:$A$29)),0)</f>
        <v>0</v>
      </c>
      <c r="I28" s="90">
        <f>NETWORKDAYS($E$4,F28,'Festivos CR'!$A$3:$A$29)</f>
        <v>19</v>
      </c>
      <c r="J28" s="132">
        <f t="shared" si="0"/>
        <v>0</v>
      </c>
      <c r="M28" s="369"/>
      <c r="N28" s="103"/>
    </row>
    <row r="29" spans="1:19" s="90" customFormat="1" ht="16.2" thickBot="1">
      <c r="C29" s="127" t="s">
        <v>250</v>
      </c>
      <c r="D29" s="172">
        <f>SUBTOTAL(9,D30:D30)</f>
        <v>0</v>
      </c>
      <c r="E29" s="128">
        <f>SUBTOTAL(9,E30:E30)</f>
        <v>0</v>
      </c>
      <c r="K29" s="103"/>
      <c r="L29" s="103"/>
      <c r="O29" s="103"/>
      <c r="P29" s="103"/>
    </row>
    <row r="30" spans="1:19" s="90" customFormat="1" ht="14.25" customHeight="1" outlineLevel="1" thickBot="1">
      <c r="B30" s="138" t="s">
        <v>590</v>
      </c>
      <c r="C30" s="101" t="s">
        <v>251</v>
      </c>
      <c r="D30" s="169">
        <f>77000*3*0</f>
        <v>0</v>
      </c>
      <c r="E30" s="137">
        <f>D30/$D$6</f>
        <v>0</v>
      </c>
      <c r="F30" s="129">
        <v>45747</v>
      </c>
      <c r="G30" s="90" t="s">
        <v>235</v>
      </c>
      <c r="H30" s="90">
        <f>IF(OR(G30="Sin pagar",G30="Pagar"),_xlfn.SINGLE(NETWORKDAYS($E$4,F30,'Festivos CR'!$A$3:$A$29)),0)</f>
        <v>0</v>
      </c>
      <c r="I30" s="90">
        <f>NETWORKDAYS($E$4,F30,'Festivos CR'!$A$3:$A$29)</f>
        <v>21</v>
      </c>
      <c r="J30" s="132">
        <f>H30</f>
        <v>0</v>
      </c>
      <c r="K30" s="103"/>
      <c r="L30" s="103"/>
      <c r="M30" s="369"/>
      <c r="O30" s="103"/>
      <c r="P30" s="103"/>
    </row>
    <row r="31" spans="1:19" s="90" customFormat="1" ht="16.2" thickBot="1">
      <c r="B31" s="136"/>
      <c r="C31" s="139" t="s">
        <v>234</v>
      </c>
      <c r="D31" s="173">
        <f>SUBTOTAL(9,D32:D32)</f>
        <v>0</v>
      </c>
      <c r="E31" s="140">
        <f>SUBTOTAL(9,E32:E32)</f>
        <v>0</v>
      </c>
      <c r="K31" s="108"/>
    </row>
    <row r="32" spans="1:19" s="90" customFormat="1" ht="15" outlineLevel="1" thickBot="1">
      <c r="B32" s="176"/>
      <c r="C32" s="174"/>
      <c r="D32" s="169">
        <f>E32*$D$6</f>
        <v>0</v>
      </c>
      <c r="E32" s="137">
        <f>440*0</f>
        <v>0</v>
      </c>
      <c r="F32" s="129">
        <v>45747</v>
      </c>
      <c r="G32" s="90" t="s">
        <v>235</v>
      </c>
      <c r="H32" s="90">
        <f>IF(OR(G32="Sin pagar",G32="Pagar"),_xlfn.SINGLE(NETWORKDAYS($E$4,F32,'Festivos CR'!$A$3:$A$29)),0)</f>
        <v>0</v>
      </c>
      <c r="I32" s="90">
        <f>NETWORKDAYS($E$4,F32,'Festivos CR'!$A$3:$A$29)</f>
        <v>21</v>
      </c>
      <c r="J32" s="132">
        <f>H32</f>
        <v>0</v>
      </c>
      <c r="M32" s="297"/>
      <c r="N32" s="298"/>
    </row>
    <row r="33" spans="1:16" s="90" customFormat="1" ht="15.75" customHeight="1" thickBot="1">
      <c r="C33" s="127" t="s">
        <v>236</v>
      </c>
      <c r="D33" s="172">
        <f>SUBTOTAL(9,D34:D34)</f>
        <v>34211.97</v>
      </c>
      <c r="E33" s="128">
        <f>SUBTOTAL(9,E34:E34)</f>
        <v>66.69</v>
      </c>
      <c r="M33" s="299"/>
      <c r="N33" s="299"/>
      <c r="O33" s="118"/>
      <c r="P33" s="300"/>
    </row>
    <row r="34" spans="1:16" s="90" customFormat="1" ht="15" outlineLevel="1" thickBot="1">
      <c r="B34" s="100"/>
      <c r="C34" s="174" t="s">
        <v>236</v>
      </c>
      <c r="D34" s="271">
        <f>E34*D6</f>
        <v>34211.97</v>
      </c>
      <c r="E34" s="142">
        <f>66.69</f>
        <v>66.69</v>
      </c>
      <c r="F34" s="129">
        <v>45747</v>
      </c>
      <c r="G34" s="90" t="s">
        <v>235</v>
      </c>
      <c r="H34" s="90">
        <f>IF(OR(G34="Sin pagar",G34="Pagar"),_xlfn.SINGLE(NETWORKDAYS($E$4,F34,'Festivos CR'!$A$3:$A$29)),0)</f>
        <v>0</v>
      </c>
      <c r="I34" s="90">
        <f>NETWORKDAYS($E$4,F34,'Festivos CR'!$A$3:$A$29)</f>
        <v>21</v>
      </c>
      <c r="J34" s="132">
        <f>H34</f>
        <v>0</v>
      </c>
    </row>
    <row r="35" spans="1:16" s="90" customFormat="1" ht="16.2" thickBot="1">
      <c r="C35" s="127" t="s">
        <v>237</v>
      </c>
      <c r="D35" s="172">
        <f>SUBTOTAL(9,D36:D44)</f>
        <v>18827477.129999999</v>
      </c>
      <c r="E35" s="128">
        <f>SUBTOTAL(9,E36:E44)</f>
        <v>30009.294208416832</v>
      </c>
      <c r="K35" s="108"/>
      <c r="L35" s="143"/>
    </row>
    <row r="36" spans="1:16" s="90" customFormat="1" outlineLevel="1">
      <c r="B36" s="145" t="s">
        <v>391</v>
      </c>
      <c r="C36" s="174" t="s">
        <v>254</v>
      </c>
      <c r="D36" s="170">
        <v>1612916.33</v>
      </c>
      <c r="E36" s="142">
        <f>$D$36/CONVERSIONES!$C$297</f>
        <v>3232.2972545090183</v>
      </c>
      <c r="F36" s="129">
        <v>45744</v>
      </c>
      <c r="G36" s="90" t="s">
        <v>235</v>
      </c>
      <c r="H36" s="90">
        <f>IF(OR(G36="Sin pagar",G36="Pagar"),_xlfn.SINGLE(NETWORKDAYS($E$4,F36,'Festivos CR'!$A$3:$A$29)),0)</f>
        <v>0</v>
      </c>
      <c r="I36" s="90">
        <f>NETWORKDAYS($E$4,F36,'Festivos CR'!$A$3:$A$29)</f>
        <v>20</v>
      </c>
      <c r="J36" s="132">
        <f t="shared" ref="J36:J42" si="1">H36</f>
        <v>0</v>
      </c>
      <c r="K36" s="135"/>
      <c r="L36" s="135"/>
    </row>
    <row r="37" spans="1:16" s="180" customFormat="1" outlineLevel="1">
      <c r="B37" s="265" t="s">
        <v>270</v>
      </c>
      <c r="C37" s="174" t="s">
        <v>258</v>
      </c>
      <c r="D37" s="170">
        <f>E37*CONVERSIONES!$C$297</f>
        <v>1706909.3399999999</v>
      </c>
      <c r="E37" s="142">
        <v>3420.66</v>
      </c>
      <c r="F37" s="129">
        <v>45744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CR'!$A$3:$A$29)</f>
        <v>20</v>
      </c>
      <c r="J37" s="132">
        <f t="shared" si="1"/>
        <v>0</v>
      </c>
      <c r="L37" s="179"/>
    </row>
    <row r="38" spans="1:16" s="90" customFormat="1" outlineLevel="1">
      <c r="B38" s="145" t="s">
        <v>391</v>
      </c>
      <c r="C38" s="174" t="s">
        <v>390</v>
      </c>
      <c r="D38" s="170">
        <v>1325079.3600000001</v>
      </c>
      <c r="E38" s="142">
        <f>D38/CONVERSIONES!$C$297</f>
        <v>2655.4696593186377</v>
      </c>
      <c r="F38" s="129">
        <v>45744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20</v>
      </c>
      <c r="J38" s="132">
        <f>H38</f>
        <v>0</v>
      </c>
      <c r="K38" s="135"/>
      <c r="L38" s="135"/>
    </row>
    <row r="39" spans="1:16" s="180" customFormat="1" outlineLevel="1">
      <c r="B39" s="145" t="s">
        <v>391</v>
      </c>
      <c r="C39" s="174" t="s">
        <v>253</v>
      </c>
      <c r="D39" s="347">
        <v>1410537.3</v>
      </c>
      <c r="E39" s="137">
        <f>$D$39/CONVERSIONES!$C$297</f>
        <v>2826.7280561122247</v>
      </c>
      <c r="F39" s="129">
        <v>45744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CR'!$A$3:$A$29)</f>
        <v>20</v>
      </c>
      <c r="J39" s="132">
        <f t="shared" si="1"/>
        <v>0</v>
      </c>
      <c r="L39" s="179"/>
    </row>
    <row r="40" spans="1:16" s="180" customFormat="1" outlineLevel="1">
      <c r="B40" s="145" t="s">
        <v>391</v>
      </c>
      <c r="C40" s="174" t="s">
        <v>255</v>
      </c>
      <c r="D40" s="347">
        <v>1410537.3</v>
      </c>
      <c r="E40" s="137">
        <f>$D$40/CONVERSIONES!$C$297</f>
        <v>2826.7280561122247</v>
      </c>
      <c r="F40" s="129">
        <v>45744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20</v>
      </c>
      <c r="J40" s="132">
        <f t="shared" si="1"/>
        <v>0</v>
      </c>
      <c r="L40" s="179"/>
    </row>
    <row r="41" spans="1:16" s="180" customFormat="1" outlineLevel="1">
      <c r="B41" s="145" t="s">
        <v>391</v>
      </c>
      <c r="C41" s="174" t="s">
        <v>330</v>
      </c>
      <c r="D41" s="170">
        <v>786551.54</v>
      </c>
      <c r="E41" s="142">
        <f>$D$41/CONVERSIONES!$C$297</f>
        <v>1576.2555911823647</v>
      </c>
      <c r="F41" s="129">
        <v>45744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20</v>
      </c>
      <c r="J41" s="132">
        <f>H41</f>
        <v>0</v>
      </c>
      <c r="L41" s="179"/>
    </row>
    <row r="42" spans="1:16" s="180" customFormat="1" outlineLevel="1">
      <c r="B42" s="265" t="s">
        <v>270</v>
      </c>
      <c r="C42" s="174" t="s">
        <v>257</v>
      </c>
      <c r="D42" s="170">
        <f>E42*CONVERSIONES!$C$297</f>
        <v>3390655.0999999996</v>
      </c>
      <c r="E42" s="142">
        <v>6794.9</v>
      </c>
      <c r="F42" s="129">
        <v>45744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20</v>
      </c>
      <c r="J42" s="132">
        <f t="shared" si="1"/>
        <v>0</v>
      </c>
      <c r="L42" s="179"/>
    </row>
    <row r="43" spans="1:16" s="180" customFormat="1" outlineLevel="1">
      <c r="B43" s="265" t="s">
        <v>270</v>
      </c>
      <c r="C43" s="174" t="s">
        <v>747</v>
      </c>
      <c r="D43" s="170">
        <f>E43*CONVERSIONES!$C$297</f>
        <v>2544900</v>
      </c>
      <c r="E43" s="142">
        <v>5100</v>
      </c>
      <c r="F43" s="129">
        <v>45744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20</v>
      </c>
      <c r="J43" s="132">
        <f>H43</f>
        <v>0</v>
      </c>
      <c r="L43" s="179"/>
    </row>
    <row r="44" spans="1:16" s="180" customFormat="1" ht="15" outlineLevel="1" thickBot="1">
      <c r="B44" s="145" t="s">
        <v>391</v>
      </c>
      <c r="C44" s="174" t="s">
        <v>759</v>
      </c>
      <c r="D44" s="170">
        <v>4639390.8600000003</v>
      </c>
      <c r="E44" s="142">
        <f>$D$41/CONVERSIONES!$C$297</f>
        <v>1576.2555911823647</v>
      </c>
      <c r="F44" s="129">
        <v>45744</v>
      </c>
      <c r="G44" s="90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CR'!$A$3:$A$29)</f>
        <v>20</v>
      </c>
      <c r="J44" s="132">
        <f>H44</f>
        <v>0</v>
      </c>
      <c r="L44" s="179"/>
    </row>
    <row r="45" spans="1:16" s="90" customFormat="1" ht="16.2" thickBot="1">
      <c r="A45" s="180"/>
      <c r="B45" s="145"/>
      <c r="C45" s="127" t="s">
        <v>238</v>
      </c>
      <c r="D45" s="172">
        <f>SUBTOTAL(9,D46:D46)</f>
        <v>0</v>
      </c>
      <c r="E45" s="128">
        <f>SUBTOTAL(9,E46:E46)</f>
        <v>0</v>
      </c>
      <c r="L45" s="108"/>
    </row>
    <row r="46" spans="1:16" s="90" customFormat="1" ht="15" outlineLevel="1" thickBot="1">
      <c r="A46" s="180"/>
      <c r="B46" s="146"/>
      <c r="C46" s="101"/>
      <c r="D46" s="170">
        <v>0</v>
      </c>
      <c r="E46" s="142">
        <f>D46/$D$6</f>
        <v>0</v>
      </c>
      <c r="F46" s="129">
        <v>45747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CR'!$A$3:$A$29)</f>
        <v>21</v>
      </c>
      <c r="J46" s="132"/>
      <c r="L46" s="108"/>
    </row>
    <row r="47" spans="1:16" s="90" customFormat="1" ht="14.25" customHeight="1">
      <c r="B47" s="100"/>
      <c r="C47" s="147" t="s">
        <v>239</v>
      </c>
      <c r="D47" s="171">
        <f>SUBTOTAL(9,D20:D46)</f>
        <v>26253648.100000001</v>
      </c>
      <c r="E47" s="148">
        <f>SUBTOTAL(9,E20:E46)</f>
        <v>44485.576002772716</v>
      </c>
      <c r="K47" s="367"/>
      <c r="L47" s="367"/>
      <c r="N47" s="367"/>
      <c r="O47" s="367"/>
      <c r="P47" s="367"/>
    </row>
    <row r="48" spans="1:16" ht="15.6">
      <c r="A48" s="90"/>
      <c r="E48" s="149"/>
      <c r="F48" s="239"/>
      <c r="G48" s="150"/>
      <c r="H48" s="150"/>
      <c r="I48" s="150"/>
      <c r="J48" s="150"/>
    </row>
    <row r="49" spans="1:16" ht="15.6">
      <c r="A49" s="90"/>
      <c r="C49" s="151" t="s">
        <v>3</v>
      </c>
      <c r="D49" s="182">
        <f>D15-D47</f>
        <v>20397657.051357605</v>
      </c>
      <c r="E49" s="152">
        <f>E15-E47</f>
        <v>48817.697333207041</v>
      </c>
      <c r="F49" s="243"/>
      <c r="G49" s="153"/>
      <c r="J49" s="153"/>
    </row>
    <row r="50" spans="1:16" s="157" customFormat="1" ht="15.6">
      <c r="A50" s="90"/>
      <c r="B50" s="154"/>
      <c r="C50" s="151" t="s">
        <v>240</v>
      </c>
      <c r="D50" s="155">
        <f>IF($D$15=0,0,D49/$D$15)</f>
        <v>0.43723657859471504</v>
      </c>
      <c r="E50" s="155">
        <f>IF($E$15=0,0,E49/$E$15)</f>
        <v>0.52321526981606858</v>
      </c>
      <c r="F50" s="156"/>
      <c r="G50" s="153"/>
      <c r="J50" s="158"/>
      <c r="K50" s="367"/>
      <c r="L50" s="367"/>
      <c r="N50" s="367"/>
      <c r="O50" s="367"/>
      <c r="P50" s="367"/>
    </row>
    <row r="51" spans="1:16">
      <c r="A51" s="90"/>
      <c r="F51" s="156"/>
      <c r="G51" s="153"/>
    </row>
    <row r="53" spans="1:16" ht="15" thickBot="1"/>
    <row r="54" spans="1:16" ht="15" thickBot="1">
      <c r="C54" s="189" t="s">
        <v>260</v>
      </c>
      <c r="D54" s="190" t="s">
        <v>261</v>
      </c>
      <c r="E54" s="191" t="s">
        <v>265</v>
      </c>
      <c r="F54" s="191" t="s">
        <v>266</v>
      </c>
    </row>
    <row r="55" spans="1:16">
      <c r="C55" s="303">
        <v>45717</v>
      </c>
      <c r="D55" s="304">
        <v>45725</v>
      </c>
      <c r="E55" s="195">
        <f>SUMIFS($D$19:$D$52,$F$19:$F$52,"&gt;="&amp;C55,$F$19:$F$52,"&lt;="&amp;D55,$G$19:$G$52,$D$68)</f>
        <v>0</v>
      </c>
      <c r="F55" s="201">
        <f>SUMIFS($E$19:$E$52,$F$19:$F$52,"&gt;="&amp;C55,$F$19:$F$52,"&lt;="&amp;D55,$G$19:$G$52,$D$68)</f>
        <v>0</v>
      </c>
    </row>
    <row r="56" spans="1:16">
      <c r="C56" s="305">
        <v>45726</v>
      </c>
      <c r="D56" s="306">
        <v>45732</v>
      </c>
      <c r="E56" s="196">
        <f>SUMIFS($D$19:$D$52,$F$19:$F$52,"&gt;="&amp;C56,$F$19:$F$52,"&lt;="&amp;D56,$G$19:$G$52,$D$68)</f>
        <v>0</v>
      </c>
      <c r="F56" s="202">
        <f>SUMIFS($E$19:$E$52,$F$19:$F$52,"&gt;="&amp;C56,$F$19:$F$52,"&lt;="&amp;D56,$G$19:$G$52,$D$68)</f>
        <v>0</v>
      </c>
      <c r="G56" s="367" t="s">
        <v>451</v>
      </c>
    </row>
    <row r="57" spans="1:16">
      <c r="C57" s="183">
        <v>45733</v>
      </c>
      <c r="D57" s="184">
        <v>45739</v>
      </c>
      <c r="E57" s="196">
        <f>SUMIFS($D$19:$D$52,$F$19:$F$52,"&gt;="&amp;C57,$F$19:$F$52,"&lt;="&amp;D57,$G$19:$G$52,$D$68)</f>
        <v>0</v>
      </c>
      <c r="F57" s="202">
        <f>SUMIFS($E$19:$E$52,$F$19:$F$52,"&gt;="&amp;C57,$F$19:$F$52,"&lt;="&amp;D57,$G$19:$G$52,$D$68)</f>
        <v>0</v>
      </c>
      <c r="G57" s="367" t="s">
        <v>736</v>
      </c>
      <c r="J57" s="591"/>
    </row>
    <row r="58" spans="1:16">
      <c r="C58" s="183">
        <v>45740</v>
      </c>
      <c r="D58" s="184">
        <v>45747</v>
      </c>
      <c r="E58" s="196">
        <f>SUMIFS($D$19:$D$52,$F$19:$F$52,"&gt;="&amp;C58,$F$19:$F$52,"&lt;="&amp;D58,$G$19:$G$52,$D$68)</f>
        <v>0</v>
      </c>
      <c r="F58" s="202">
        <f>SUMIFS($E$19:$E$52,$F$19:$F$52,"&gt;="&amp;C58,$F$19:$F$52,"&lt;="&amp;D58,$G$19:$G$52,$D$68)</f>
        <v>0</v>
      </c>
      <c r="G58" s="367" t="s">
        <v>737</v>
      </c>
      <c r="J58" s="591"/>
    </row>
    <row r="59" spans="1:16" ht="15.6">
      <c r="C59" s="589" t="s">
        <v>262</v>
      </c>
      <c r="D59" s="589"/>
      <c r="E59" s="186">
        <f>SUM(E55:E58)</f>
        <v>0</v>
      </c>
      <c r="F59" s="200">
        <f>SUM(F55:F58)</f>
        <v>0</v>
      </c>
      <c r="G59" s="94"/>
      <c r="J59" s="153"/>
      <c r="K59" s="153"/>
      <c r="M59" s="206"/>
    </row>
    <row r="62" spans="1:16">
      <c r="C62" s="592" t="s">
        <v>267</v>
      </c>
      <c r="D62" s="592"/>
      <c r="E62" s="204">
        <f>'BAC SAN JOSE COLONES  '!$G$409+('BAC SAN JOSE USD'!$G$270*$D$6)</f>
        <v>48910936.641357601</v>
      </c>
      <c r="F62" s="206">
        <f>('BAC SAN JOSE COLONES  '!$G$409/$D$6)+'BAC SAN JOSE USD'!$G$270</f>
        <v>95342.956415901746</v>
      </c>
    </row>
    <row r="63" spans="1:16">
      <c r="C63" s="592" t="s">
        <v>738</v>
      </c>
      <c r="D63" s="592"/>
      <c r="E63" s="204">
        <f>SUM(E55:E57)</f>
        <v>0</v>
      </c>
      <c r="F63" s="206">
        <f>SUM(F55:F57)</f>
        <v>0</v>
      </c>
      <c r="J63" s="324"/>
    </row>
    <row r="64" spans="1:16">
      <c r="C64" s="588" t="s">
        <v>152</v>
      </c>
      <c r="D64" s="588"/>
      <c r="E64" s="205">
        <f>E62-E63</f>
        <v>48910936.641357601</v>
      </c>
      <c r="F64" s="199">
        <f>F62-F63</f>
        <v>95342.956415901746</v>
      </c>
      <c r="G64" s="206"/>
      <c r="J64" s="206"/>
    </row>
    <row r="67" spans="4:6">
      <c r="D67" s="90" t="s">
        <v>235</v>
      </c>
      <c r="E67" s="170">
        <f>SUMIFS($D$19:$D$52,$F$19:$F$52,"&gt;="&amp;C55,$F$19:$F$52,"&lt;="&amp;$D$58,$G$19:$G$52,$D$67)</f>
        <v>26253648.100000001</v>
      </c>
      <c r="F67" s="206">
        <f>SUMIFS($E$19:$E$52,$F$19:$F$52,"&gt;="&amp;C55,$F$19:$F$52,"&lt;="&amp;$D$58,$G$19:$G$52,$D$67)</f>
        <v>44485.576002772716</v>
      </c>
    </row>
    <row r="68" spans="4:6">
      <c r="D68" s="90" t="s">
        <v>231</v>
      </c>
      <c r="E68" s="170">
        <f>SUMIFS($D$19:$D$52,$F$19:$F$52,"&gt;="&amp;C55,$F$19:$F$52,"&lt;="&amp;$D$58,$G$19:$G$52,$D$68)</f>
        <v>0</v>
      </c>
      <c r="F68" s="206">
        <f>SUMIFS($E$19:$E$52,$F$19:$F$52,"&gt;="&amp;C55,$F$19:$F$52,"&lt;="&amp;D58,$G$19:$G$52,$D$68)</f>
        <v>0</v>
      </c>
    </row>
    <row r="69" spans="4:6">
      <c r="D69" s="185" t="s">
        <v>263</v>
      </c>
      <c r="E69" s="194">
        <f>SUM(E67:E68)</f>
        <v>26253648.100000001</v>
      </c>
      <c r="F69" s="199">
        <f>SUM(F67:F68)</f>
        <v>44485.576002772716</v>
      </c>
    </row>
    <row r="70" spans="4:6">
      <c r="D70" s="185" t="s">
        <v>264</v>
      </c>
      <c r="E70" s="194">
        <f>(D47-E69)*0</f>
        <v>0</v>
      </c>
      <c r="F70" s="199">
        <f>F69-E47</f>
        <v>0</v>
      </c>
    </row>
    <row r="73" spans="4:6">
      <c r="D73" s="88" t="s">
        <v>400</v>
      </c>
      <c r="E73" s="88">
        <f>$D$49</f>
        <v>20397657.051357605</v>
      </c>
    </row>
    <row r="74" spans="4:6">
      <c r="D74" s="88" t="s">
        <v>401</v>
      </c>
      <c r="E74" s="88">
        <f>'BAC SAN JOSE COLONES  '!$G$358+('BAC SAN JOSE USD'!$G$276*$D$6)</f>
        <v>20397656.921357609</v>
      </c>
    </row>
    <row r="75" spans="4:6">
      <c r="D75" s="88" t="s">
        <v>701</v>
      </c>
      <c r="E75" s="88">
        <f>E73-E74</f>
        <v>0.12999999523162842</v>
      </c>
    </row>
    <row r="76" spans="4:6">
      <c r="D76" s="88" t="s">
        <v>702</v>
      </c>
      <c r="E76" s="206">
        <f>E75/D6</f>
        <v>2.534112967478137E-4</v>
      </c>
    </row>
  </sheetData>
  <protectedRanges>
    <protectedRange sqref="F15:G15 D51:E51 D10:E11" name="Presupuestos"/>
    <protectedRange sqref="D8:E8 D19:E19" name="Presupuestos_1"/>
    <protectedRange sqref="D27:E28" name="Presupuestos_13_1"/>
    <protectedRange sqref="D30:E30" name="Presupuestos_14"/>
    <protectedRange sqref="D37 E36:E40 D41:E44" name="Presupuestos_2_1_1_1"/>
    <protectedRange sqref="D36 E46 K36 D38 K38" name="Presupuestos_6_1_1_1"/>
    <protectedRange sqref="D39:D40" name="Presupuestos_5_2_1"/>
    <protectedRange sqref="D34:E34" name="Presupuestos_7_1"/>
    <protectedRange sqref="D46" name="Presupuestos_5_3"/>
    <protectedRange sqref="D32:E32" name="Presupuestos_13_1_1"/>
  </protectedRanges>
  <autoFilter ref="A19:S46" xr:uid="{A6BA0B00-7CDA-4D20-BA8E-0363F7803104}"/>
  <mergeCells count="8">
    <mergeCell ref="C63:D63"/>
    <mergeCell ref="C64:D64"/>
    <mergeCell ref="D7:E7"/>
    <mergeCell ref="B18:C18"/>
    <mergeCell ref="D18:E18"/>
    <mergeCell ref="J57:J58"/>
    <mergeCell ref="C59:D59"/>
    <mergeCell ref="C62:D62"/>
  </mergeCells>
  <dataValidations count="4">
    <dataValidation type="list" allowBlank="1" showInputMessage="1" showErrorMessage="1" sqref="O31" xr:uid="{84EE50C4-C627-4998-8DC3-AC9880F620C8}">
      <formula1>"0,1"</formula1>
    </dataValidation>
    <dataValidation type="list" allowBlank="1" showInputMessage="1" showErrorMessage="1" sqref="G32 G20:G21 D67:D68 G52:G53 G27:G28 G23:G25 G30 G34 G46 G36:G44" xr:uid="{0728BF98-BB67-4DCE-9FE5-ED7C2A0BC8FA}">
      <formula1>"Cancelado,Pagar,Sin Pagar"</formula1>
    </dataValidation>
    <dataValidation type="list" allowBlank="1" showInputMessage="1" showErrorMessage="1" sqref="D18 D7" xr:uid="{7CE6870A-5245-4C64-ABF8-4B89B91E5FC3}">
      <formula1>"ENERO,FEBRERO,MARZO,ABRIL,MAYO,JUNIO,JULIO,AGOSTO,SEPTIEMBRE,OCTUBRE,NOVIEMBRE,DICIEMBRE"</formula1>
    </dataValidation>
    <dataValidation type="list" allowBlank="1" showInputMessage="1" showErrorMessage="1" sqref="B13:B14" xr:uid="{375D4B14-D11A-42DB-ACE8-ED754F1273C5}">
      <formula1>"Sin Pagar,Pagado"</formula1>
    </dataValidation>
  </dataValidations>
  <pageMargins left="0.7" right="0.7" top="0.75" bottom="0.75" header="0.3" footer="0.3"/>
  <ignoredErrors>
    <ignoredError sqref="J45 J28:J42 J26 J21:J24 J43:J44" unlockedFormula="1"/>
    <ignoredError sqref="E28:E33 D31:D33" formula="1"/>
    <ignoredError sqref="B29:B34 B26 B23:B24" numberStoredAsText="1"/>
  </ignoredErrors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DE1C-EE8B-4E6F-8EF2-F3A1E8AB06FA}">
  <dimension ref="A1:S77"/>
  <sheetViews>
    <sheetView showGridLines="0" topLeftCell="A53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380" customWidth="1"/>
    <col min="2" max="2" width="18.88671875" style="381" bestFit="1" customWidth="1"/>
    <col min="3" max="3" width="54.33203125" style="380" bestFit="1" customWidth="1"/>
    <col min="4" max="4" width="24.44140625" style="88" customWidth="1"/>
    <col min="5" max="5" width="19.33203125" style="88" bestFit="1" customWidth="1"/>
    <col min="6" max="6" width="23.5546875" style="380" customWidth="1"/>
    <col min="7" max="7" width="18.88671875" style="380" customWidth="1"/>
    <col min="8" max="8" width="7.6640625" style="380" hidden="1" customWidth="1"/>
    <col min="9" max="9" width="12.109375" style="380" hidden="1" customWidth="1"/>
    <col min="10" max="10" width="25.33203125" style="380" customWidth="1"/>
    <col min="11" max="11" width="2.109375" style="380" customWidth="1"/>
    <col min="12" max="12" width="2.33203125" style="380" customWidth="1"/>
    <col min="13" max="14" width="15.5546875" style="380" bestFit="1" customWidth="1"/>
    <col min="15" max="15" width="6.33203125" style="380" bestFit="1" customWidth="1"/>
    <col min="16" max="16" width="19.33203125" style="380" bestFit="1" customWidth="1"/>
    <col min="17" max="17" width="15.33203125" style="380" bestFit="1" customWidth="1"/>
    <col min="18" max="18" width="14" style="380" bestFit="1" customWidth="1"/>
    <col min="19" max="19" width="13" style="380" bestFit="1" customWidth="1"/>
    <col min="20" max="16384" width="9.109375" style="380"/>
  </cols>
  <sheetData>
    <row r="1" spans="2:17" hidden="1">
      <c r="D1" s="88">
        <v>42400</v>
      </c>
    </row>
    <row r="2" spans="2:17">
      <c r="D2" s="89"/>
      <c r="E2" s="89"/>
      <c r="I2" s="90"/>
    </row>
    <row r="3" spans="2:17">
      <c r="E3" s="220"/>
      <c r="I3" s="90"/>
    </row>
    <row r="4" spans="2:17" ht="15.6">
      <c r="B4" s="92"/>
      <c r="C4" s="92"/>
      <c r="D4" s="160" t="s">
        <v>216</v>
      </c>
      <c r="E4" s="161">
        <v>45748</v>
      </c>
      <c r="I4" s="90"/>
    </row>
    <row r="5" spans="2:17">
      <c r="D5" s="89"/>
      <c r="E5" s="89"/>
      <c r="I5" s="90"/>
    </row>
    <row r="6" spans="2:17">
      <c r="C6" s="93" t="s">
        <v>217</v>
      </c>
      <c r="D6" s="26">
        <v>499</v>
      </c>
      <c r="E6" s="89"/>
      <c r="I6" s="90"/>
    </row>
    <row r="7" spans="2:17" ht="15.6">
      <c r="C7" s="94"/>
      <c r="D7" s="590" t="s">
        <v>218</v>
      </c>
      <c r="E7" s="590"/>
      <c r="I7" s="90"/>
    </row>
    <row r="8" spans="2:17">
      <c r="D8" s="95" t="s">
        <v>242</v>
      </c>
      <c r="E8" s="95" t="s">
        <v>219</v>
      </c>
    </row>
    <row r="9" spans="2:17" s="96" customFormat="1" ht="15.6">
      <c r="C9" s="97" t="s">
        <v>220</v>
      </c>
      <c r="D9" s="167">
        <f>SUBTOTAL(9,D10:D11)</f>
        <v>20181250.698590308</v>
      </c>
      <c r="E9" s="98">
        <f>SUBTOTAL(9,E10:E11)</f>
        <v>40443.388173527674</v>
      </c>
      <c r="F9" s="99"/>
      <c r="I9" s="90"/>
    </row>
    <row r="10" spans="2:17" s="90" customFormat="1" outlineLevel="1">
      <c r="B10" s="100"/>
      <c r="C10" s="101" t="s">
        <v>243</v>
      </c>
      <c r="D10" s="169">
        <f>'BAC SAN JOSE COLONES  '!G358</f>
        <v>12467914.615669986</v>
      </c>
      <c r="E10" s="218">
        <f>D10/$D$6</f>
        <v>24985.800833005986</v>
      </c>
      <c r="F10" s="103"/>
    </row>
    <row r="11" spans="2:17" s="90" customFormat="1" outlineLevel="1">
      <c r="B11" s="100"/>
      <c r="C11" s="101" t="s">
        <v>221</v>
      </c>
      <c r="D11" s="169">
        <f>E11*$D$6</f>
        <v>7713336.0829203213</v>
      </c>
      <c r="E11" s="218">
        <f>'BAC SAN JOSE USD'!$G$276</f>
        <v>15457.587340521686</v>
      </c>
      <c r="F11" s="103"/>
    </row>
    <row r="12" spans="2:17" s="90" customFormat="1" ht="15.6">
      <c r="B12" s="100"/>
      <c r="C12" s="104" t="s">
        <v>222</v>
      </c>
      <c r="D12" s="167">
        <f>SUBTOTAL(9,D13:D15)</f>
        <v>38919095.586666666</v>
      </c>
      <c r="E12" s="98">
        <f>SUBTOTAL(9,E13:E15)</f>
        <v>77888.901527703478</v>
      </c>
      <c r="F12" s="105"/>
    </row>
    <row r="13" spans="2:17" s="178" customFormat="1" outlineLevel="1">
      <c r="B13" s="328" t="s">
        <v>533</v>
      </c>
      <c r="C13" s="329" t="s">
        <v>811</v>
      </c>
      <c r="D13" s="330">
        <f>E13*'DIFERENCIA CAMBI'!$O$96</f>
        <v>30128452.379999999</v>
      </c>
      <c r="E13" s="331">
        <f>SUM('DIFERENCIA CAMBI'!$G$96:$G$102)</f>
        <v>60377.66008016032</v>
      </c>
      <c r="F13" s="345"/>
      <c r="G13" s="346"/>
    </row>
    <row r="14" spans="2:17" s="178" customFormat="1" outlineLevel="1">
      <c r="B14" s="328" t="s">
        <v>533</v>
      </c>
      <c r="C14" s="329" t="s">
        <v>813</v>
      </c>
      <c r="D14" s="330">
        <f>E14*502</f>
        <v>8790643.206666667</v>
      </c>
      <c r="E14" s="331">
        <f>'DIFERENCIA CAMBI'!N103</f>
        <v>17511.241447543161</v>
      </c>
      <c r="F14" s="345"/>
      <c r="G14" s="346"/>
    </row>
    <row r="15" spans="2:17" s="178" customFormat="1" outlineLevel="1">
      <c r="B15" s="107" t="s">
        <v>231</v>
      </c>
      <c r="C15" s="174" t="s">
        <v>829</v>
      </c>
      <c r="D15" s="271">
        <f>(E15*'DIFERENCIA CAMBI'!$E$96)*0</f>
        <v>0</v>
      </c>
      <c r="E15" s="272">
        <f>400*0</f>
        <v>0</v>
      </c>
      <c r="F15" s="345"/>
      <c r="G15" s="346"/>
    </row>
    <row r="16" spans="2:17" s="90" customFormat="1" ht="15.6">
      <c r="B16" s="100"/>
      <c r="C16" s="109" t="s">
        <v>223</v>
      </c>
      <c r="D16" s="168">
        <f>SUBTOTAL(9,D9:D15)</f>
        <v>59100346.285256967</v>
      </c>
      <c r="E16" s="207">
        <f>SUBTOTAL(9,E9:E15)</f>
        <v>118332.28970123116</v>
      </c>
      <c r="F16" s="110"/>
      <c r="G16" s="110"/>
      <c r="J16" s="108"/>
      <c r="K16" s="111"/>
      <c r="O16" s="112"/>
      <c r="P16" s="113"/>
      <c r="Q16" s="114"/>
    </row>
    <row r="17" spans="1:19" s="90" customFormat="1" ht="15.6">
      <c r="B17" s="100"/>
      <c r="C17" s="115"/>
      <c r="D17" s="116"/>
      <c r="E17" s="116"/>
      <c r="G17" s="117"/>
      <c r="O17" s="113"/>
      <c r="P17" s="113"/>
    </row>
    <row r="18" spans="1:19" s="90" customFormat="1" ht="15.6">
      <c r="B18" s="100"/>
      <c r="N18" s="118"/>
      <c r="O18" s="119"/>
      <c r="P18" s="120"/>
    </row>
    <row r="19" spans="1:19" s="90" customFormat="1" ht="15.6">
      <c r="B19" s="590" t="s">
        <v>224</v>
      </c>
      <c r="C19" s="590"/>
      <c r="D19" s="590" t="s">
        <v>218</v>
      </c>
      <c r="E19" s="590"/>
      <c r="K19" s="120"/>
      <c r="L19" s="120"/>
      <c r="N19" s="118"/>
      <c r="R19" s="108"/>
      <c r="S19" s="108"/>
    </row>
    <row r="20" spans="1:19" s="90" customFormat="1" ht="16.2" thickBot="1">
      <c r="B20" s="121" t="s">
        <v>225</v>
      </c>
      <c r="C20" s="122" t="s">
        <v>226</v>
      </c>
      <c r="D20" s="95" t="s">
        <v>242</v>
      </c>
      <c r="E20" s="95" t="s">
        <v>219</v>
      </c>
      <c r="F20" s="123" t="s">
        <v>227</v>
      </c>
      <c r="G20" s="118" t="s">
        <v>228</v>
      </c>
      <c r="H20" s="118"/>
      <c r="I20" s="118"/>
      <c r="J20" s="124" t="s">
        <v>229</v>
      </c>
      <c r="N20" s="125"/>
      <c r="R20" s="108"/>
      <c r="S20" s="126"/>
    </row>
    <row r="21" spans="1:19" s="90" customFormat="1" ht="16.2" thickBot="1">
      <c r="B21" s="100"/>
      <c r="C21" s="127" t="s">
        <v>230</v>
      </c>
      <c r="D21" s="172">
        <f>SUBTOTAL(9,D22:D22)</f>
        <v>8888377</v>
      </c>
      <c r="E21" s="128">
        <f>SUBTOTAL(9,E22:E22)</f>
        <v>17812.378757515031</v>
      </c>
      <c r="F21" s="129"/>
      <c r="J21" s="130"/>
    </row>
    <row r="22" spans="1:19" s="90" customFormat="1" ht="15" outlineLevel="1" thickBot="1">
      <c r="A22" s="103"/>
      <c r="B22" s="100" t="s">
        <v>741</v>
      </c>
      <c r="C22" s="234" t="s">
        <v>831</v>
      </c>
      <c r="D22" s="169">
        <v>8888377</v>
      </c>
      <c r="E22" s="142">
        <f>D22/$D$6</f>
        <v>17812.378757515031</v>
      </c>
      <c r="F22" s="134">
        <v>45761</v>
      </c>
      <c r="G22" s="90" t="s">
        <v>235</v>
      </c>
      <c r="H22" s="90">
        <f>IF(OR(G22="Sin pagar",G22="Pagar"),_xlfn.SINGLE(NETWORKDAYS($E$4,F22,'Festivos CR'!$A$3:$A$29)),0)</f>
        <v>0</v>
      </c>
      <c r="I22" s="90">
        <f>NETWORKDAYS($E$4,F22,'Festivos CR'!$A$3:$A$29)</f>
        <v>9</v>
      </c>
      <c r="J22" s="132">
        <f t="shared" ref="J22:J27" si="0">H22</f>
        <v>0</v>
      </c>
      <c r="K22" s="108"/>
      <c r="L22" s="108"/>
      <c r="M22" s="349"/>
      <c r="N22" s="349"/>
    </row>
    <row r="23" spans="1:19" s="90" customFormat="1" ht="16.2" thickBot="1">
      <c r="B23" s="100"/>
      <c r="C23" s="127" t="s">
        <v>232</v>
      </c>
      <c r="D23" s="172">
        <f>SUBTOTAL(9,D24:D25)</f>
        <v>2675281.7999999998</v>
      </c>
      <c r="E23" s="128">
        <f>SUBTOTAL(9,E24:E25)</f>
        <v>5361.2861723446886</v>
      </c>
      <c r="J23" s="130">
        <f t="shared" si="0"/>
        <v>0</v>
      </c>
    </row>
    <row r="24" spans="1:19" s="90" customFormat="1" outlineLevel="1">
      <c r="B24" s="373" t="s">
        <v>798</v>
      </c>
      <c r="C24" s="101" t="s">
        <v>292</v>
      </c>
      <c r="D24" s="169">
        <v>2596681.7999999998</v>
      </c>
      <c r="E24" s="142">
        <f>D24/$D$6</f>
        <v>5203.7711422845687</v>
      </c>
      <c r="F24" s="134">
        <v>45761</v>
      </c>
      <c r="G24" s="90" t="s">
        <v>235</v>
      </c>
      <c r="H24" s="90">
        <f>IF(OR(G24="Sin pagar",G24="Pagar"),_xlfn.SINGLE(NETWORKDAYS($E$4,F24,'Festivos CR'!$A$3:$A$29)),0)</f>
        <v>0</v>
      </c>
      <c r="I24" s="90">
        <f>NETWORKDAYS($E$4,F24,'Festivos CR'!$A$3:$A$29)</f>
        <v>9</v>
      </c>
      <c r="J24" s="132">
        <f t="shared" si="0"/>
        <v>0</v>
      </c>
      <c r="K24" s="135"/>
      <c r="L24" s="111"/>
      <c r="M24" s="349"/>
      <c r="N24" s="349"/>
    </row>
    <row r="25" spans="1:19" s="90" customFormat="1" ht="29.4" outlineLevel="1" thickBot="1">
      <c r="B25" s="373" t="s">
        <v>799</v>
      </c>
      <c r="C25" s="101" t="s">
        <v>792</v>
      </c>
      <c r="D25" s="271">
        <v>78600</v>
      </c>
      <c r="E25" s="142">
        <f>D25/$D$6</f>
        <v>157.51503006012024</v>
      </c>
      <c r="F25" s="134">
        <v>45761</v>
      </c>
      <c r="G25" s="90" t="s">
        <v>235</v>
      </c>
      <c r="H25" s="90">
        <f>IF(OR(G25="Sin pagar",G25="Pagar"),_xlfn.SINGLE(NETWORKDAYS($E$4,F25,'Festivos CR'!$A$3:$A$29)),0)</f>
        <v>0</v>
      </c>
      <c r="I25" s="90">
        <f>NETWORKDAYS($E$4,F25,'Festivos CR'!$A$3:$A$29)</f>
        <v>9</v>
      </c>
      <c r="J25" s="132">
        <f>H25</f>
        <v>0</v>
      </c>
      <c r="K25" s="135"/>
      <c r="L25" s="111"/>
      <c r="M25" s="349"/>
    </row>
    <row r="26" spans="1:19" s="90" customFormat="1" ht="16.2" thickBot="1">
      <c r="B26" s="100"/>
      <c r="C26" s="127" t="s">
        <v>233</v>
      </c>
      <c r="D26" s="172">
        <f>SUBTOTAL(9,D27:D27)</f>
        <v>21456</v>
      </c>
      <c r="E26" s="128">
        <f>SUBTOTAL(9,E27:E27)</f>
        <v>42.99799599198397</v>
      </c>
      <c r="J26" s="130">
        <f t="shared" si="0"/>
        <v>0</v>
      </c>
      <c r="K26" s="108"/>
      <c r="L26" s="108"/>
      <c r="N26" s="349"/>
    </row>
    <row r="27" spans="1:19" s="90" customFormat="1" ht="15" outlineLevel="1" thickBot="1">
      <c r="B27" s="100">
        <v>29</v>
      </c>
      <c r="C27" s="101" t="s">
        <v>695</v>
      </c>
      <c r="D27" s="169">
        <v>21456</v>
      </c>
      <c r="E27" s="137">
        <f>D27/$D$6</f>
        <v>42.99799599198397</v>
      </c>
      <c r="F27" s="134">
        <v>45762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10</v>
      </c>
      <c r="J27" s="132">
        <f t="shared" si="0"/>
        <v>0</v>
      </c>
      <c r="M27" s="369"/>
      <c r="N27" s="103"/>
    </row>
    <row r="28" spans="1:19" s="90" customFormat="1" ht="16.2" thickBot="1">
      <c r="C28" s="127" t="s">
        <v>250</v>
      </c>
      <c r="D28" s="172">
        <f>SUBTOTAL(9,D29:D29)</f>
        <v>0</v>
      </c>
      <c r="E28" s="128">
        <f>SUBTOTAL(9,E29:E29)</f>
        <v>0</v>
      </c>
      <c r="K28" s="103"/>
      <c r="L28" s="103"/>
      <c r="O28" s="103"/>
      <c r="P28" s="103"/>
    </row>
    <row r="29" spans="1:19" s="90" customFormat="1" ht="14.25" customHeight="1" outlineLevel="1" thickBot="1">
      <c r="B29" s="138" t="s">
        <v>590</v>
      </c>
      <c r="C29" s="101" t="s">
        <v>251</v>
      </c>
      <c r="D29" s="169">
        <f>77000*4*0</f>
        <v>0</v>
      </c>
      <c r="E29" s="137">
        <f>D29/$D$6</f>
        <v>0</v>
      </c>
      <c r="F29" s="129">
        <v>45777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CR'!$A$3:$A$29)</f>
        <v>19</v>
      </c>
      <c r="J29" s="132">
        <f>H29</f>
        <v>0</v>
      </c>
      <c r="K29" s="103"/>
      <c r="L29" s="103"/>
      <c r="M29" s="369"/>
      <c r="O29" s="103"/>
      <c r="P29" s="103"/>
    </row>
    <row r="30" spans="1:19" s="90" customFormat="1" ht="16.2" thickBot="1">
      <c r="B30" s="136"/>
      <c r="C30" s="139" t="s">
        <v>234</v>
      </c>
      <c r="D30" s="173">
        <f>SUBTOTAL(9,D31:D31)</f>
        <v>0</v>
      </c>
      <c r="E30" s="140">
        <f>SUBTOTAL(9,E31:E31)</f>
        <v>0</v>
      </c>
      <c r="K30" s="108"/>
    </row>
    <row r="31" spans="1:19" s="90" customFormat="1" ht="15" outlineLevel="1" thickBot="1">
      <c r="B31" s="176"/>
      <c r="C31" s="174"/>
      <c r="D31" s="169">
        <f>E31*$D$6</f>
        <v>0</v>
      </c>
      <c r="E31" s="137">
        <f>440*0</f>
        <v>0</v>
      </c>
      <c r="F31" s="129">
        <v>45747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CR'!$A$3:$A$29)</f>
        <v>-2</v>
      </c>
      <c r="J31" s="132">
        <f>H31</f>
        <v>0</v>
      </c>
      <c r="M31" s="297"/>
      <c r="N31" s="298"/>
    </row>
    <row r="32" spans="1:19" s="90" customFormat="1" ht="15.75" customHeight="1" thickBot="1">
      <c r="C32" s="127" t="s">
        <v>236</v>
      </c>
      <c r="D32" s="172">
        <f>SUBTOTAL(9,D33:D33)</f>
        <v>99263.25</v>
      </c>
      <c r="E32" s="128">
        <f>SUBTOTAL(9,E33:E33)</f>
        <v>0.75</v>
      </c>
      <c r="M32" s="299"/>
      <c r="N32" s="299"/>
      <c r="O32" s="118"/>
      <c r="P32" s="300"/>
    </row>
    <row r="33" spans="1:16" s="90" customFormat="1" ht="15" outlineLevel="1" thickBot="1">
      <c r="B33" s="100"/>
      <c r="C33" s="174" t="s">
        <v>236</v>
      </c>
      <c r="D33" s="271">
        <f>374.25+98889</f>
        <v>99263.25</v>
      </c>
      <c r="E33" s="142">
        <v>0.75</v>
      </c>
      <c r="F33" s="129">
        <v>45777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CR'!$A$3:$A$29)</f>
        <v>19</v>
      </c>
      <c r="J33" s="132">
        <f>H33</f>
        <v>0</v>
      </c>
    </row>
    <row r="34" spans="1:16" s="90" customFormat="1" ht="16.2" thickBot="1">
      <c r="C34" s="127" t="s">
        <v>237</v>
      </c>
      <c r="D34" s="172">
        <f>SUBTOTAL(9,D35:D43)</f>
        <v>22389695.77</v>
      </c>
      <c r="E34" s="128">
        <f>SUBTOTAL(9,E35:E43)</f>
        <v>37134.654208416832</v>
      </c>
      <c r="K34" s="108"/>
      <c r="L34" s="143"/>
    </row>
    <row r="35" spans="1:16" s="90" customFormat="1" outlineLevel="1">
      <c r="B35" s="145" t="s">
        <v>391</v>
      </c>
      <c r="C35" s="174" t="s">
        <v>254</v>
      </c>
      <c r="D35" s="170">
        <v>1612916.33</v>
      </c>
      <c r="E35" s="142">
        <f>$D$35/CONVERSIONES!$C$297</f>
        <v>3232.2972545090183</v>
      </c>
      <c r="F35" s="129">
        <v>45775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CR'!$A$3:$A$29)</f>
        <v>17</v>
      </c>
      <c r="J35" s="132">
        <f t="shared" ref="J35:J41" si="1">H35</f>
        <v>0</v>
      </c>
      <c r="K35" s="135"/>
      <c r="L35" s="135"/>
    </row>
    <row r="36" spans="1:16" s="180" customFormat="1" outlineLevel="1">
      <c r="B36" s="265" t="s">
        <v>270</v>
      </c>
      <c r="C36" s="174" t="s">
        <v>258</v>
      </c>
      <c r="D36" s="170">
        <f>E36*CONVERSIONES!$C$297</f>
        <v>1706909.3399999999</v>
      </c>
      <c r="E36" s="142">
        <v>3420.66</v>
      </c>
      <c r="F36" s="129">
        <v>45775</v>
      </c>
      <c r="G36" s="90" t="s">
        <v>235</v>
      </c>
      <c r="H36" s="90">
        <f>IF(OR(G36="Sin pagar",G36="Pagar"),_xlfn.SINGLE(NETWORKDAYS($E$4,F36,'Festivos CR'!$A$3:$A$29)),0)</f>
        <v>0</v>
      </c>
      <c r="I36" s="90">
        <f>NETWORKDAYS($E$4,F36,'Festivos CR'!$A$3:$A$29)</f>
        <v>17</v>
      </c>
      <c r="J36" s="132">
        <f t="shared" si="1"/>
        <v>0</v>
      </c>
      <c r="L36" s="179"/>
    </row>
    <row r="37" spans="1:16" s="90" customFormat="1" outlineLevel="1">
      <c r="B37" s="145" t="s">
        <v>391</v>
      </c>
      <c r="C37" s="174" t="s">
        <v>390</v>
      </c>
      <c r="D37" s="170">
        <v>1325079.3600000001</v>
      </c>
      <c r="E37" s="142">
        <f>D37/CONVERSIONES!$C$297</f>
        <v>2655.4696593186377</v>
      </c>
      <c r="F37" s="129">
        <v>45775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CR'!$A$3:$A$29)</f>
        <v>17</v>
      </c>
      <c r="J37" s="132">
        <f>H37</f>
        <v>0</v>
      </c>
      <c r="K37" s="135"/>
      <c r="L37" s="135"/>
    </row>
    <row r="38" spans="1:16" s="180" customFormat="1" outlineLevel="1">
      <c r="B38" s="145" t="s">
        <v>391</v>
      </c>
      <c r="C38" s="174" t="s">
        <v>253</v>
      </c>
      <c r="D38" s="347">
        <v>1410537.3</v>
      </c>
      <c r="E38" s="137">
        <f>$D$38/CONVERSIONES!$C$297</f>
        <v>2826.7280561122247</v>
      </c>
      <c r="F38" s="129">
        <v>45776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18</v>
      </c>
      <c r="J38" s="132">
        <f t="shared" si="1"/>
        <v>0</v>
      </c>
      <c r="L38" s="179"/>
    </row>
    <row r="39" spans="1:16" s="180" customFormat="1" outlineLevel="1">
      <c r="B39" s="145" t="s">
        <v>391</v>
      </c>
      <c r="C39" s="174" t="s">
        <v>255</v>
      </c>
      <c r="D39" s="347">
        <v>1410537.3</v>
      </c>
      <c r="E39" s="137">
        <f>$D$39/CONVERSIONES!$C$297</f>
        <v>2826.7280561122247</v>
      </c>
      <c r="F39" s="129">
        <v>45776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CR'!$A$3:$A$29)</f>
        <v>18</v>
      </c>
      <c r="J39" s="132">
        <f t="shared" si="1"/>
        <v>0</v>
      </c>
      <c r="L39" s="179"/>
    </row>
    <row r="40" spans="1:16" s="180" customFormat="1" outlineLevel="1">
      <c r="B40" s="145" t="s">
        <v>391</v>
      </c>
      <c r="C40" s="174" t="s">
        <v>330</v>
      </c>
      <c r="D40" s="170">
        <v>786551.54</v>
      </c>
      <c r="E40" s="142">
        <f>$D$40/CONVERSIONES!$C$297</f>
        <v>1576.2555911823647</v>
      </c>
      <c r="F40" s="129">
        <v>45776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18</v>
      </c>
      <c r="J40" s="132">
        <f>H40</f>
        <v>0</v>
      </c>
      <c r="L40" s="179"/>
      <c r="M40" s="387"/>
      <c r="N40" s="387"/>
    </row>
    <row r="41" spans="1:16" s="180" customFormat="1" outlineLevel="1">
      <c r="B41" s="265" t="s">
        <v>270</v>
      </c>
      <c r="C41" s="174" t="s">
        <v>257</v>
      </c>
      <c r="D41" s="170">
        <f>E41*CONVERSIONES!$C$297</f>
        <v>6961748.5999999996</v>
      </c>
      <c r="E41" s="142">
        <v>13951.4</v>
      </c>
      <c r="F41" s="129">
        <v>45777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19</v>
      </c>
      <c r="J41" s="132">
        <f t="shared" si="1"/>
        <v>0</v>
      </c>
      <c r="L41" s="179"/>
    </row>
    <row r="42" spans="1:16" s="180" customFormat="1" outlineLevel="1">
      <c r="B42" s="265" t="s">
        <v>270</v>
      </c>
      <c r="C42" s="174" t="s">
        <v>747</v>
      </c>
      <c r="D42" s="170">
        <f>E42*CONVERSIONES!$C$297</f>
        <v>2529361.1399999997</v>
      </c>
      <c r="E42" s="142">
        <v>5068.8599999999997</v>
      </c>
      <c r="F42" s="129">
        <v>45775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17</v>
      </c>
      <c r="J42" s="132">
        <f>H42</f>
        <v>0</v>
      </c>
      <c r="L42" s="179"/>
    </row>
    <row r="43" spans="1:16" s="180" customFormat="1" ht="15" outlineLevel="1" thickBot="1">
      <c r="B43" s="145" t="s">
        <v>391</v>
      </c>
      <c r="C43" s="174" t="s">
        <v>759</v>
      </c>
      <c r="D43" s="170">
        <v>4646054.8600000003</v>
      </c>
      <c r="E43" s="142">
        <f>$D$40/CONVERSIONES!$C$297</f>
        <v>1576.2555911823647</v>
      </c>
      <c r="F43" s="129">
        <v>45775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17</v>
      </c>
      <c r="J43" s="132">
        <f>H43</f>
        <v>0</v>
      </c>
      <c r="L43" s="179"/>
    </row>
    <row r="44" spans="1:16" s="90" customFormat="1" ht="16.2" thickBot="1">
      <c r="A44" s="180"/>
      <c r="B44" s="145"/>
      <c r="C44" s="127" t="s">
        <v>238</v>
      </c>
      <c r="D44" s="172">
        <f>SUBTOTAL(9,D45:D45)</f>
        <v>0</v>
      </c>
      <c r="E44" s="128">
        <f>SUBTOTAL(9,E45:E45)</f>
        <v>0</v>
      </c>
      <c r="L44" s="108"/>
    </row>
    <row r="45" spans="1:16" s="90" customFormat="1" ht="15" outlineLevel="1" thickBot="1">
      <c r="A45" s="180"/>
      <c r="B45" s="146"/>
      <c r="C45" s="101"/>
      <c r="D45" s="170">
        <v>0</v>
      </c>
      <c r="E45" s="142">
        <f>D45/$D$6</f>
        <v>0</v>
      </c>
      <c r="F45" s="129">
        <v>45747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CR'!$A$3:$A$29)</f>
        <v>-2</v>
      </c>
      <c r="J45" s="132"/>
      <c r="L45" s="108"/>
    </row>
    <row r="46" spans="1:16" s="90" customFormat="1" ht="14.25" customHeight="1">
      <c r="B46" s="100"/>
      <c r="C46" s="147" t="s">
        <v>239</v>
      </c>
      <c r="D46" s="171">
        <f>SUBTOTAL(9,D21:D45)</f>
        <v>34074073.82</v>
      </c>
      <c r="E46" s="148">
        <f>SUBTOTAL(9,E21:E45)</f>
        <v>60352.067134268545</v>
      </c>
      <c r="K46" s="380"/>
      <c r="L46" s="380"/>
      <c r="N46" s="380"/>
      <c r="O46" s="380"/>
      <c r="P46" s="380"/>
    </row>
    <row r="47" spans="1:16" ht="15.6">
      <c r="A47" s="90"/>
      <c r="E47" s="149"/>
      <c r="F47" s="239"/>
      <c r="G47" s="150"/>
      <c r="H47" s="150"/>
      <c r="I47" s="150"/>
      <c r="J47" s="150"/>
    </row>
    <row r="48" spans="1:16" ht="15.6">
      <c r="A48" s="90"/>
      <c r="C48" s="151" t="s">
        <v>3</v>
      </c>
      <c r="D48" s="182">
        <f>D16-D46</f>
        <v>25026272.465256967</v>
      </c>
      <c r="E48" s="152">
        <f>E16-E46</f>
        <v>57980.222566962613</v>
      </c>
      <c r="F48" s="243"/>
      <c r="G48" s="153"/>
      <c r="J48" s="153"/>
    </row>
    <row r="49" spans="1:16" s="157" customFormat="1" ht="15.6">
      <c r="A49" s="90"/>
      <c r="B49" s="154"/>
      <c r="C49" s="151" t="s">
        <v>240</v>
      </c>
      <c r="D49" s="155">
        <f>IF($D$16=0,0,D48/$D$16)</f>
        <v>0.42345390574301867</v>
      </c>
      <c r="E49" s="155">
        <f>IF($E$16=0,0,E48/$E$16)</f>
        <v>0.48997803315859756</v>
      </c>
      <c r="F49" s="156"/>
      <c r="G49" s="153"/>
      <c r="J49" s="158"/>
      <c r="K49" s="380"/>
      <c r="L49" s="380"/>
      <c r="N49" s="380"/>
      <c r="O49" s="380"/>
      <c r="P49" s="380"/>
    </row>
    <row r="50" spans="1:16">
      <c r="A50" s="90"/>
      <c r="F50" s="156"/>
      <c r="G50" s="153"/>
    </row>
    <row r="52" spans="1:16" ht="15" thickBot="1"/>
    <row r="53" spans="1:16" ht="15" thickBot="1">
      <c r="C53" s="189" t="s">
        <v>260</v>
      </c>
      <c r="D53" s="190" t="s">
        <v>261</v>
      </c>
      <c r="E53" s="191" t="s">
        <v>265</v>
      </c>
      <c r="F53" s="191" t="s">
        <v>266</v>
      </c>
    </row>
    <row r="54" spans="1:16">
      <c r="C54" s="303">
        <v>45748</v>
      </c>
      <c r="D54" s="304">
        <v>45753</v>
      </c>
      <c r="E54" s="195">
        <f>SUMIFS($D$20:$D$51,$F$20:$F$51,"&gt;="&amp;C54,$F$20:$F$51,"&lt;="&amp;D54,$G$20:$G$51,$D$68)</f>
        <v>0</v>
      </c>
      <c r="F54" s="201">
        <f>SUMIFS($E$20:$E$51,$F$20:$F$51,"&gt;="&amp;C54,$F$20:$F$51,"&lt;="&amp;D54,$G$20:$G$51,$D$68)</f>
        <v>0</v>
      </c>
    </row>
    <row r="55" spans="1:16">
      <c r="C55" s="305">
        <v>45754</v>
      </c>
      <c r="D55" s="306">
        <v>45760</v>
      </c>
      <c r="E55" s="196">
        <f>SUMIFS($D$20:$D$51,$F$20:$F$51,"&gt;="&amp;C55,$F$20:$F$51,"&lt;="&amp;D55,$G$20:$G$51,$D$68)</f>
        <v>0</v>
      </c>
      <c r="F55" s="202">
        <f>SUMIFS($E$20:$E$51,$F$20:$F$51,"&gt;="&amp;C55,$F$20:$F$51,"&lt;="&amp;D55,$G$20:$G$51,$D$68)</f>
        <v>0</v>
      </c>
      <c r="G55" s="380" t="s">
        <v>451</v>
      </c>
      <c r="J55" s="382" t="s">
        <v>793</v>
      </c>
    </row>
    <row r="56" spans="1:16">
      <c r="C56" s="183">
        <v>45761</v>
      </c>
      <c r="D56" s="184">
        <v>45767</v>
      </c>
      <c r="E56" s="196">
        <f>SUMIFS($D$20:$D$51,$F$20:$F$51,"&gt;="&amp;C56,$F$20:$F$51,"&lt;="&amp;D56,$G$20:$G$51,$D$68)</f>
        <v>0</v>
      </c>
      <c r="F56" s="202">
        <f>SUMIFS($E$20:$E$51,$F$20:$F$51,"&gt;="&amp;C56,$F$20:$F$51,"&lt;="&amp;D56,$G$20:$G$51,$D$68)</f>
        <v>0</v>
      </c>
      <c r="J56" s="591"/>
    </row>
    <row r="57" spans="1:16">
      <c r="C57" s="183">
        <v>45768</v>
      </c>
      <c r="D57" s="184">
        <v>45774</v>
      </c>
      <c r="E57" s="196">
        <f>SUMIFS($D$20:$D$51,$F$20:$F$51,"&gt;="&amp;C57,$F$20:$F$51,"&lt;="&amp;D57,$G$20:$G$51,$D$68)</f>
        <v>0</v>
      </c>
      <c r="F57" s="202">
        <f>SUMIFS($E$20:$E$51,$F$20:$F$51,"&gt;="&amp;C57,$F$20:$F$51,"&lt;="&amp;D57,$G$20:$G$51,$D$68)</f>
        <v>0</v>
      </c>
      <c r="J57" s="591"/>
    </row>
    <row r="58" spans="1:16">
      <c r="C58" s="183">
        <v>45775</v>
      </c>
      <c r="D58" s="184">
        <v>45777</v>
      </c>
      <c r="E58" s="196">
        <f>SUMIFS($D$20:$D$51,$F$20:$F$51,"&gt;="&amp;C58,$F$20:$F$51,"&lt;="&amp;D58,$G$20:$G$51,$D$68)</f>
        <v>0</v>
      </c>
      <c r="F58" s="202">
        <f>SUMIFS($E$20:$E$51,$F$20:$F$51,"&gt;="&amp;C58,$F$20:$F$51,"&lt;="&amp;D58,$G$20:$G$51,$D$68)</f>
        <v>0</v>
      </c>
      <c r="G58" s="380" t="s">
        <v>794</v>
      </c>
    </row>
    <row r="59" spans="1:16" ht="15.6">
      <c r="C59" s="589" t="s">
        <v>262</v>
      </c>
      <c r="D59" s="589"/>
      <c r="E59" s="186">
        <f>SUM(E54:E58)</f>
        <v>0</v>
      </c>
      <c r="F59" s="200">
        <f>SUM(F54:F58)</f>
        <v>0</v>
      </c>
      <c r="G59" s="94"/>
      <c r="J59" s="153"/>
      <c r="K59" s="153"/>
      <c r="M59" s="206"/>
    </row>
    <row r="62" spans="1:16">
      <c r="C62" s="592" t="s">
        <v>267</v>
      </c>
      <c r="D62" s="592"/>
      <c r="E62" s="204">
        <f>'BAC SAN JOSE COLONES  '!G358+('BAC SAN JOSE USD'!G276*'FLUJO CAJA ABRIL 2025'!$D$6)</f>
        <v>20181250.698590308</v>
      </c>
      <c r="F62" s="206">
        <f>('BAC SAN JOSE COLONES  '!G358/$D$6)+'BAC SAN JOSE USD'!$G$276</f>
        <v>40443.388173527674</v>
      </c>
    </row>
    <row r="63" spans="1:16">
      <c r="C63" s="592" t="s">
        <v>795</v>
      </c>
      <c r="D63" s="592"/>
      <c r="E63" s="204">
        <f>SUM(E54:E57)</f>
        <v>0</v>
      </c>
      <c r="F63" s="206">
        <f>SUM(F54:F57)</f>
        <v>0</v>
      </c>
      <c r="J63" s="324"/>
    </row>
    <row r="64" spans="1:16">
      <c r="C64" s="588" t="s">
        <v>152</v>
      </c>
      <c r="D64" s="588"/>
      <c r="E64" s="205">
        <f>E62-E63</f>
        <v>20181250.698590308</v>
      </c>
      <c r="F64" s="199">
        <f>F62-F63</f>
        <v>40443.388173527674</v>
      </c>
      <c r="G64" s="206"/>
      <c r="J64" s="206"/>
    </row>
    <row r="67" spans="4:6">
      <c r="D67" s="90" t="s">
        <v>235</v>
      </c>
      <c r="E67" s="170">
        <f>SUMIFS($D$20:$D$51,$F$20:$F$51,"&gt;="&amp;C54,$F$20:$F$51,"&lt;="&amp;$D$58,$G$20:$G$51,$D$67)</f>
        <v>34074073.82</v>
      </c>
      <c r="F67" s="206">
        <f>SUMIFS($E$20:$E$51,$F$20:$F$51,"&gt;="&amp;C54,$F$20:$F$51,"&lt;="&amp;$D$58,$G$20:$G$51,$D$67)</f>
        <v>60352.067134268545</v>
      </c>
    </row>
    <row r="68" spans="4:6">
      <c r="D68" s="90" t="s">
        <v>231</v>
      </c>
      <c r="E68" s="170">
        <f>SUMIFS($D$20:$D$51,$F$20:$F$51,"&gt;="&amp;C54,$F$20:$F$51,"&lt;="&amp;$D$58,$G$20:$G$51,$D$68)</f>
        <v>0</v>
      </c>
      <c r="F68" s="206">
        <f>SUMIFS($E$20:$E$51,$F$20:$F$51,"&gt;="&amp;C54,$F$20:$F$51,"&lt;="&amp;D58,$G$20:$G$51,$D$68)</f>
        <v>0</v>
      </c>
    </row>
    <row r="69" spans="4:6">
      <c r="D69" s="185" t="s">
        <v>263</v>
      </c>
      <c r="E69" s="194">
        <f>SUM(E67:E68)</f>
        <v>34074073.82</v>
      </c>
      <c r="F69" s="199">
        <f>SUM(F67:F68)</f>
        <v>60352.067134268545</v>
      </c>
    </row>
    <row r="70" spans="4:6">
      <c r="D70" s="185" t="s">
        <v>264</v>
      </c>
      <c r="E70" s="194">
        <f>(D46-E69)*0</f>
        <v>0</v>
      </c>
      <c r="F70" s="199">
        <f>F69-E46</f>
        <v>0</v>
      </c>
    </row>
    <row r="74" spans="4:6">
      <c r="D74" s="88" t="s">
        <v>400</v>
      </c>
      <c r="E74" s="88">
        <f>$D$48</f>
        <v>25026272.465256967</v>
      </c>
    </row>
    <row r="75" spans="4:6">
      <c r="D75" s="88" t="s">
        <v>401</v>
      </c>
      <c r="E75" s="88">
        <f>'BAC SAN JOSE COLONES  '!$G$376+('BAC SAN JOSE USD'!$G$294*$D$6)</f>
        <v>25026272.038590308</v>
      </c>
    </row>
    <row r="76" spans="4:6">
      <c r="D76" s="88" t="s">
        <v>701</v>
      </c>
      <c r="E76" s="88">
        <f>E74-E75</f>
        <v>0.42666665837168694</v>
      </c>
    </row>
    <row r="77" spans="4:6">
      <c r="D77" s="88" t="s">
        <v>702</v>
      </c>
      <c r="E77" s="206">
        <f>E76/D6</f>
        <v>8.5504340355047482E-4</v>
      </c>
    </row>
  </sheetData>
  <protectedRanges>
    <protectedRange sqref="F16:G16 D50:E50 D10:E11" name="Presupuestos"/>
    <protectedRange sqref="D8:E8 D20:E20" name="Presupuestos_1"/>
    <protectedRange sqref="D27:E27" name="Presupuestos_13_1"/>
    <protectedRange sqref="D29:E29" name="Presupuestos_14"/>
    <protectedRange sqref="D36 E35:E39 D40:E43" name="Presupuestos_2_1_1_1"/>
    <protectedRange sqref="D35 E45 K35 D37 K37" name="Presupuestos_6_1_1_1"/>
    <protectedRange sqref="D38:D39" name="Presupuestos_5_2_1"/>
    <protectedRange sqref="D33:E33" name="Presupuestos_7_1"/>
    <protectedRange sqref="D45" name="Presupuestos_5_3"/>
    <protectedRange sqref="D31:E31" name="Presupuestos_13_1_1"/>
  </protectedRanges>
  <autoFilter ref="A20:S45" xr:uid="{C288A424-DDCF-4A61-A7A9-72BD368BB7AB}"/>
  <mergeCells count="8">
    <mergeCell ref="C63:D63"/>
    <mergeCell ref="C64:D64"/>
    <mergeCell ref="D7:E7"/>
    <mergeCell ref="B19:C19"/>
    <mergeCell ref="D19:E19"/>
    <mergeCell ref="J56:J57"/>
    <mergeCell ref="C59:D59"/>
    <mergeCell ref="C62:D62"/>
  </mergeCells>
  <dataValidations count="4">
    <dataValidation type="list" allowBlank="1" showInputMessage="1" showErrorMessage="1" sqref="B13:B15" xr:uid="{5030229D-251B-41AB-B54A-3EB9947BD27B}">
      <formula1>"Sin Pagar,Pagado"</formula1>
    </dataValidation>
    <dataValidation type="list" allowBlank="1" showInputMessage="1" showErrorMessage="1" sqref="D19 D7" xr:uid="{604A086A-B6C6-4A5B-995B-A75E928A7319}">
      <formula1>"ENERO,FEBRERO,MARZO,ABRIL,MAYO,JUNIO,JULIO,AGOSTO,SEPTIEMBRE,OCTUBRE,NOVIEMBRE,DICIEMBRE"</formula1>
    </dataValidation>
    <dataValidation type="list" allowBlank="1" showInputMessage="1" showErrorMessage="1" sqref="G31 G21:G22 D67:D68 G51:G52 G29 G33 G45 G27 G24:G25 G35:G43" xr:uid="{462BEE8E-D238-45BC-8D86-DA0159DA7602}">
      <formula1>"Cancelado,Pagar,Sin Pagar"</formula1>
    </dataValidation>
    <dataValidation type="list" allowBlank="1" showInputMessage="1" showErrorMessage="1" sqref="O30" xr:uid="{BF6F0406-9089-4489-870D-044EA70B2943}">
      <formula1>"0,1"</formula1>
    </dataValidation>
  </dataValidations>
  <pageMargins left="0.7" right="0.7" top="0.75" bottom="0.75" header="0.3" footer="0.3"/>
  <ignoredErrors>
    <ignoredError sqref="B26:E26 B29:C46 C24 E24 B24 E25 B28:E28 C27" numberStoredAsText="1"/>
    <ignoredError sqref="D30:E32 E29 E27 D44:E46 E43 D38:E40 E37 D42 D41 D34:E36" numberStoredAsText="1" formula="1"/>
    <ignoredError sqref="J22:J24 J25:J26 J27:J44" unlockedFormula="1"/>
    <ignoredError sqref="D29" formula="1"/>
  </ignoredErrors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1E02-091F-4258-B9F9-75253AE37BB9}">
  <dimension ref="A1:S78"/>
  <sheetViews>
    <sheetView showGridLines="0" topLeftCell="A35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388" customWidth="1"/>
    <col min="2" max="2" width="18.88671875" style="389" bestFit="1" customWidth="1"/>
    <col min="3" max="3" width="54.33203125" style="388" bestFit="1" customWidth="1"/>
    <col min="4" max="4" width="24.44140625" style="88" customWidth="1"/>
    <col min="5" max="5" width="19.33203125" style="88" bestFit="1" customWidth="1"/>
    <col min="6" max="6" width="23.5546875" style="388" customWidth="1"/>
    <col min="7" max="7" width="18.88671875" style="388" customWidth="1"/>
    <col min="8" max="8" width="7.6640625" style="388" hidden="1" customWidth="1"/>
    <col min="9" max="9" width="12.109375" style="388" hidden="1" customWidth="1"/>
    <col min="10" max="10" width="25.33203125" style="388" customWidth="1"/>
    <col min="11" max="11" width="2.109375" style="388" customWidth="1"/>
    <col min="12" max="12" width="2.33203125" style="388" customWidth="1"/>
    <col min="13" max="13" width="17.109375" style="388" bestFit="1" customWidth="1"/>
    <col min="14" max="14" width="15.5546875" style="388" bestFit="1" customWidth="1"/>
    <col min="15" max="15" width="6.33203125" style="388" bestFit="1" customWidth="1"/>
    <col min="16" max="16" width="19.33203125" style="388" bestFit="1" customWidth="1"/>
    <col min="17" max="17" width="15.33203125" style="388" bestFit="1" customWidth="1"/>
    <col min="18" max="18" width="14" style="388" bestFit="1" customWidth="1"/>
    <col min="19" max="19" width="13" style="388" bestFit="1" customWidth="1"/>
    <col min="20" max="16384" width="9.109375" style="388"/>
  </cols>
  <sheetData>
    <row r="1" spans="2:17" hidden="1">
      <c r="D1" s="88">
        <v>42400</v>
      </c>
    </row>
    <row r="2" spans="2:17">
      <c r="D2" s="89"/>
      <c r="E2" s="89"/>
      <c r="I2" s="90"/>
    </row>
    <row r="3" spans="2:17">
      <c r="E3" s="220"/>
      <c r="I3" s="90"/>
    </row>
    <row r="4" spans="2:17" ht="15.6">
      <c r="B4" s="92"/>
      <c r="C4" s="92"/>
      <c r="D4" s="160" t="s">
        <v>216</v>
      </c>
      <c r="E4" s="161">
        <v>45778</v>
      </c>
      <c r="I4" s="90"/>
    </row>
    <row r="5" spans="2:17">
      <c r="D5" s="89"/>
      <c r="E5" s="89"/>
      <c r="I5" s="90"/>
    </row>
    <row r="6" spans="2:17">
      <c r="C6" s="93" t="s">
        <v>217</v>
      </c>
      <c r="D6" s="26">
        <v>503</v>
      </c>
      <c r="E6" s="89"/>
      <c r="I6" s="90"/>
    </row>
    <row r="7" spans="2:17" ht="15.6">
      <c r="C7" s="94"/>
      <c r="D7" s="590" t="s">
        <v>319</v>
      </c>
      <c r="E7" s="590"/>
      <c r="I7" s="90"/>
    </row>
    <row r="8" spans="2:17">
      <c r="D8" s="95" t="s">
        <v>242</v>
      </c>
      <c r="E8" s="95" t="s">
        <v>219</v>
      </c>
    </row>
    <row r="9" spans="2:17" s="96" customFormat="1" ht="15.6">
      <c r="C9" s="97" t="s">
        <v>220</v>
      </c>
      <c r="D9" s="167">
        <f>SUBTOTAL(9,D10:D11)</f>
        <v>32252773.33795239</v>
      </c>
      <c r="E9" s="98">
        <f>SUBTOTAL(9,E10:E11)</f>
        <v>64120.821745432186</v>
      </c>
      <c r="F9" s="99"/>
      <c r="I9" s="90"/>
    </row>
    <row r="10" spans="2:17" s="90" customFormat="1" outlineLevel="1">
      <c r="B10" s="100"/>
      <c r="C10" s="101" t="s">
        <v>243</v>
      </c>
      <c r="D10" s="169">
        <f>'BAC SAN JOSE COLONES  '!$G$373</f>
        <v>907177.80566998536</v>
      </c>
      <c r="E10" s="218">
        <f>$D$10/$D$6</f>
        <v>1803.5344049105076</v>
      </c>
      <c r="F10" s="103"/>
    </row>
    <row r="11" spans="2:17" s="90" customFormat="1" outlineLevel="1">
      <c r="B11" s="100"/>
      <c r="C11" s="101" t="s">
        <v>221</v>
      </c>
      <c r="D11" s="169">
        <f>E11*$D$6</f>
        <v>31345595.532282405</v>
      </c>
      <c r="E11" s="218">
        <f>'BAC SAN JOSE USD'!$G$290</f>
        <v>62317.287340521681</v>
      </c>
      <c r="F11" s="103"/>
    </row>
    <row r="12" spans="2:17" s="90" customFormat="1" ht="15.6">
      <c r="B12" s="100"/>
      <c r="C12" s="104" t="s">
        <v>222</v>
      </c>
      <c r="D12" s="167">
        <f>SUBTOTAL(9,D13:D14)</f>
        <v>31306547.280000001</v>
      </c>
      <c r="E12" s="98">
        <f>SUBTOTAL(9,E13:E14)</f>
        <v>62363.64</v>
      </c>
      <c r="F12" s="105"/>
    </row>
    <row r="13" spans="2:17" s="178" customFormat="1" outlineLevel="1">
      <c r="B13" s="328" t="s">
        <v>533</v>
      </c>
      <c r="C13" s="329" t="s">
        <v>849</v>
      </c>
      <c r="D13" s="330">
        <f>$E$13*CONVERSIONES!$C$396</f>
        <v>22485287.82</v>
      </c>
      <c r="E13" s="331">
        <f>'BAC SAN JOSE USD'!$E$295</f>
        <v>44791.41</v>
      </c>
      <c r="F13" s="345"/>
      <c r="G13" s="346"/>
    </row>
    <row r="14" spans="2:17" s="178" customFormat="1" outlineLevel="1">
      <c r="B14" s="328" t="s">
        <v>533</v>
      </c>
      <c r="C14" s="329" t="s">
        <v>848</v>
      </c>
      <c r="D14" s="330">
        <f>$E$14*CONVERSIONES!$C$413</f>
        <v>8821259.459999999</v>
      </c>
      <c r="E14" s="331">
        <f>'BAC SAN JOSE USD'!$E$297</f>
        <v>17572.23</v>
      </c>
      <c r="F14" s="345"/>
      <c r="G14" s="346"/>
    </row>
    <row r="15" spans="2:17" s="90" customFormat="1" ht="15.6">
      <c r="B15" s="100"/>
      <c r="C15" s="109" t="s">
        <v>223</v>
      </c>
      <c r="D15" s="168">
        <f>SUBTOTAL(9,D9:D14)</f>
        <v>63559320.617952392</v>
      </c>
      <c r="E15" s="207">
        <f>SUBTOTAL(9,E9:E14)</f>
        <v>126484.46174543219</v>
      </c>
      <c r="F15" s="110"/>
      <c r="G15" s="110"/>
      <c r="J15" s="108"/>
      <c r="K15" s="111"/>
      <c r="O15" s="112"/>
      <c r="P15" s="113"/>
      <c r="Q15" s="114"/>
    </row>
    <row r="16" spans="2:17" s="90" customFormat="1" ht="15.6">
      <c r="B16" s="100"/>
      <c r="C16" s="115"/>
      <c r="D16" s="116"/>
      <c r="E16" s="116"/>
      <c r="G16" s="117"/>
      <c r="O16" s="113"/>
      <c r="P16" s="113"/>
    </row>
    <row r="17" spans="1:19" s="90" customFormat="1" ht="15.6">
      <c r="B17" s="100"/>
      <c r="N17" s="118"/>
      <c r="O17" s="119"/>
      <c r="P17" s="120"/>
    </row>
    <row r="18" spans="1:19" s="90" customFormat="1" ht="15.6">
      <c r="B18" s="590" t="s">
        <v>224</v>
      </c>
      <c r="C18" s="590"/>
      <c r="D18" s="590" t="s">
        <v>319</v>
      </c>
      <c r="E18" s="590"/>
      <c r="K18" s="120"/>
      <c r="L18" s="120"/>
      <c r="N18" s="118"/>
      <c r="R18" s="108"/>
      <c r="S18" s="108"/>
    </row>
    <row r="19" spans="1:19" s="90" customFormat="1" ht="16.2" thickBot="1">
      <c r="B19" s="121" t="s">
        <v>225</v>
      </c>
      <c r="C19" s="122" t="s">
        <v>226</v>
      </c>
      <c r="D19" s="95" t="s">
        <v>242</v>
      </c>
      <c r="E19" s="95" t="s">
        <v>219</v>
      </c>
      <c r="F19" s="123" t="s">
        <v>227</v>
      </c>
      <c r="G19" s="118" t="s">
        <v>228</v>
      </c>
      <c r="H19" s="118"/>
      <c r="I19" s="118"/>
      <c r="J19" s="124" t="s">
        <v>229</v>
      </c>
      <c r="N19" s="125"/>
      <c r="R19" s="108"/>
      <c r="S19" s="126"/>
    </row>
    <row r="20" spans="1:19" s="90" customFormat="1" ht="16.2" thickBot="1">
      <c r="B20" s="100"/>
      <c r="C20" s="127" t="s">
        <v>230</v>
      </c>
      <c r="D20" s="172">
        <f>SUBTOTAL(9,D21:D21)</f>
        <v>10805599</v>
      </c>
      <c r="E20" s="128">
        <f>SUBTOTAL(9,E21:E21)</f>
        <v>21482.304174950299</v>
      </c>
      <c r="F20" s="129"/>
      <c r="J20" s="130"/>
    </row>
    <row r="21" spans="1:19" s="90" customFormat="1" ht="15" outlineLevel="1" thickBot="1">
      <c r="A21" s="103"/>
      <c r="B21" s="100" t="s">
        <v>741</v>
      </c>
      <c r="C21" s="174" t="s">
        <v>830</v>
      </c>
      <c r="D21" s="271">
        <v>10805599</v>
      </c>
      <c r="E21" s="142">
        <f>D21/$D$6</f>
        <v>21482.304174950299</v>
      </c>
      <c r="F21" s="134">
        <v>45790</v>
      </c>
      <c r="G21" s="90" t="s">
        <v>235</v>
      </c>
      <c r="H21" s="90">
        <f>IF(OR(G21="Sin pagar",G21="Pagar"),_xlfn.SINGLE(NETWORKDAYS($E$4,F21,'Festivos CR'!$A$3:$A$29)),0)</f>
        <v>0</v>
      </c>
      <c r="I21" s="90">
        <f>NETWORKDAYS($E$4,F21,'Festivos CR'!$A$3:$A$29)</f>
        <v>8</v>
      </c>
      <c r="J21" s="132">
        <f t="shared" ref="J21:J46" si="0">H21</f>
        <v>0</v>
      </c>
      <c r="K21" s="108"/>
      <c r="L21" s="108"/>
      <c r="M21" s="349"/>
      <c r="N21" s="349"/>
    </row>
    <row r="22" spans="1:19" s="90" customFormat="1" ht="16.2" thickBot="1">
      <c r="B22" s="100"/>
      <c r="C22" s="127" t="s">
        <v>232</v>
      </c>
      <c r="D22" s="172">
        <f>SUBTOTAL(9,D23:D24)</f>
        <v>4019000.41</v>
      </c>
      <c r="E22" s="128">
        <f>SUBTOTAL(9,E23:E24)</f>
        <v>7988.7120477137178</v>
      </c>
      <c r="J22" s="130">
        <f>H22</f>
        <v>0</v>
      </c>
    </row>
    <row r="23" spans="1:19" s="90" customFormat="1" outlineLevel="1">
      <c r="B23" s="373" t="s">
        <v>851</v>
      </c>
      <c r="C23" s="101" t="s">
        <v>292</v>
      </c>
      <c r="D23" s="271">
        <v>3939728.41</v>
      </c>
      <c r="E23" s="142">
        <f>D23/$D$6</f>
        <v>7832.4620477137178</v>
      </c>
      <c r="F23" s="134">
        <v>45790</v>
      </c>
      <c r="G23" s="90" t="s">
        <v>235</v>
      </c>
      <c r="H23" s="90">
        <f>IF(OR(G23="Sin pagar",G23="Pagar"),_xlfn.SINGLE(NETWORKDAYS($E$4,F23,'Festivos CR'!$A$3:$A$29)),0)</f>
        <v>0</v>
      </c>
      <c r="I23" s="90">
        <f>NETWORKDAYS($E$4,F23,'Festivos CR'!$A$3:$A$29)</f>
        <v>8</v>
      </c>
      <c r="J23" s="132">
        <f t="shared" si="0"/>
        <v>0</v>
      </c>
      <c r="K23" s="135"/>
      <c r="L23" s="111"/>
      <c r="M23" s="349"/>
      <c r="N23" s="349"/>
    </row>
    <row r="24" spans="1:19" s="90" customFormat="1" ht="29.4" outlineLevel="1" thickBot="1">
      <c r="B24" s="373" t="s">
        <v>850</v>
      </c>
      <c r="C24" s="101" t="s">
        <v>832</v>
      </c>
      <c r="D24" s="271">
        <v>79272</v>
      </c>
      <c r="E24" s="142">
        <v>156.25</v>
      </c>
      <c r="F24" s="134">
        <v>45790</v>
      </c>
      <c r="G24" s="90" t="s">
        <v>235</v>
      </c>
      <c r="H24" s="90">
        <f>IF(OR(G24="Sin pagar",G24="Pagar"),_xlfn.SINGLE(NETWORKDAYS($E$4,F24,'Festivos CR'!$A$3:$A$29)),0)</f>
        <v>0</v>
      </c>
      <c r="I24" s="90">
        <f>NETWORKDAYS($E$4,F24,'Festivos CR'!$A$3:$A$29)</f>
        <v>8</v>
      </c>
      <c r="J24" s="132">
        <f t="shared" si="0"/>
        <v>0</v>
      </c>
      <c r="K24" s="135"/>
      <c r="L24" s="111"/>
      <c r="M24" s="349"/>
    </row>
    <row r="25" spans="1:19" s="90" customFormat="1" ht="16.2" thickBot="1">
      <c r="B25" s="100"/>
      <c r="C25" s="127" t="s">
        <v>233</v>
      </c>
      <c r="D25" s="172">
        <f>SUBTOTAL(9,D26:D27)</f>
        <v>203650</v>
      </c>
      <c r="E25" s="128">
        <f>SUBTOTAL(9,E26:E27)</f>
        <v>404.87077534791251</v>
      </c>
      <c r="J25" s="130">
        <f>H25</f>
        <v>0</v>
      </c>
      <c r="K25" s="108"/>
      <c r="L25" s="108"/>
      <c r="N25" s="349"/>
    </row>
    <row r="26" spans="1:19" s="90" customFormat="1" outlineLevel="1">
      <c r="B26" s="100">
        <v>30</v>
      </c>
      <c r="C26" s="101" t="s">
        <v>695</v>
      </c>
      <c r="D26" s="169">
        <v>62400</v>
      </c>
      <c r="E26" s="137">
        <f>D26/$D$6</f>
        <v>124.05566600397614</v>
      </c>
      <c r="F26" s="134">
        <v>45786</v>
      </c>
      <c r="G26" s="90" t="s">
        <v>235</v>
      </c>
      <c r="H26" s="90">
        <f>IF(OR(G26="Sin pagar",G26="Pagar"),_xlfn.SINGLE(NETWORKDAYS($E$4,F26,'Festivos CR'!$A$3:$A$29)),0)</f>
        <v>0</v>
      </c>
      <c r="I26" s="90">
        <f>NETWORKDAYS($E$4,F26,'Festivos CR'!$A$3:$A$29)</f>
        <v>6</v>
      </c>
      <c r="J26" s="132">
        <f t="shared" si="0"/>
        <v>0</v>
      </c>
      <c r="M26" s="369"/>
      <c r="N26" s="103"/>
    </row>
    <row r="27" spans="1:19" s="90" customFormat="1" ht="15" outlineLevel="1" thickBot="1">
      <c r="B27" s="100">
        <v>1753</v>
      </c>
      <c r="C27" s="101" t="s">
        <v>838</v>
      </c>
      <c r="D27" s="169">
        <v>141250</v>
      </c>
      <c r="E27" s="137">
        <f>D27/$D$6</f>
        <v>280.8151093439364</v>
      </c>
      <c r="F27" s="134">
        <v>45789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7</v>
      </c>
      <c r="J27" s="132">
        <f>H27</f>
        <v>0</v>
      </c>
      <c r="M27" s="369"/>
      <c r="N27" s="103"/>
    </row>
    <row r="28" spans="1:19" s="90" customFormat="1" ht="16.2" thickBot="1">
      <c r="C28" s="127" t="s">
        <v>250</v>
      </c>
      <c r="D28" s="172">
        <f>SUBTOTAL(9,D29:D29)</f>
        <v>0</v>
      </c>
      <c r="E28" s="128">
        <f>SUBTOTAL(9,E29:E29)</f>
        <v>0</v>
      </c>
      <c r="K28" s="103"/>
      <c r="L28" s="103"/>
      <c r="O28" s="103"/>
      <c r="P28" s="103"/>
    </row>
    <row r="29" spans="1:19" s="90" customFormat="1" ht="14.25" customHeight="1" outlineLevel="1" thickBot="1">
      <c r="B29" s="138" t="s">
        <v>590</v>
      </c>
      <c r="C29" s="101" t="s">
        <v>251</v>
      </c>
      <c r="D29" s="169">
        <f>77000*5*0</f>
        <v>0</v>
      </c>
      <c r="E29" s="137">
        <f>D29/$D$6</f>
        <v>0</v>
      </c>
      <c r="F29" s="129">
        <v>45808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CR'!$A$3:$A$29)</f>
        <v>21</v>
      </c>
      <c r="J29" s="132">
        <f t="shared" si="0"/>
        <v>0</v>
      </c>
      <c r="K29" s="103"/>
      <c r="L29" s="103"/>
      <c r="M29" s="369"/>
      <c r="O29" s="103"/>
      <c r="P29" s="103"/>
    </row>
    <row r="30" spans="1:19" s="90" customFormat="1" ht="16.2" thickBot="1">
      <c r="B30" s="136"/>
      <c r="C30" s="139" t="s">
        <v>234</v>
      </c>
      <c r="D30" s="173">
        <f>SUBTOTAL(9,D31:D31)</f>
        <v>0</v>
      </c>
      <c r="E30" s="140">
        <f>SUBTOTAL(9,E31:E31)</f>
        <v>0</v>
      </c>
      <c r="K30" s="108"/>
    </row>
    <row r="31" spans="1:19" s="90" customFormat="1" ht="15" outlineLevel="1" thickBot="1">
      <c r="B31" s="176"/>
      <c r="C31" s="174"/>
      <c r="D31" s="169">
        <f>E31*$D$6</f>
        <v>0</v>
      </c>
      <c r="E31" s="137">
        <f>440*0</f>
        <v>0</v>
      </c>
      <c r="F31" s="129">
        <v>45808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CR'!$A$3:$A$29)</f>
        <v>21</v>
      </c>
      <c r="J31" s="132">
        <f t="shared" si="0"/>
        <v>0</v>
      </c>
      <c r="M31" s="297"/>
      <c r="N31" s="298"/>
    </row>
    <row r="32" spans="1:19" s="90" customFormat="1" ht="15.75" customHeight="1" thickBot="1">
      <c r="C32" s="127" t="s">
        <v>236</v>
      </c>
      <c r="D32" s="172">
        <f>SUBTOTAL(9,D33:D33)</f>
        <v>226412.83000000002</v>
      </c>
      <c r="E32" s="128">
        <f>SUBTOTAL(9,E33:E33)</f>
        <v>450.12491053677934</v>
      </c>
      <c r="M32" s="299"/>
      <c r="N32" s="299"/>
      <c r="O32" s="118"/>
      <c r="P32" s="300"/>
    </row>
    <row r="33" spans="1:16" s="90" customFormat="1" ht="15" outlineLevel="1" thickBot="1">
      <c r="B33" s="100"/>
      <c r="C33" s="174" t="s">
        <v>236</v>
      </c>
      <c r="D33" s="271">
        <f>E33*D6</f>
        <v>226412.83000000002</v>
      </c>
      <c r="E33" s="142">
        <v>450.12491053677934</v>
      </c>
      <c r="F33" s="129">
        <v>45808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CR'!$A$3:$A$29)</f>
        <v>21</v>
      </c>
      <c r="J33" s="132">
        <f t="shared" si="0"/>
        <v>0</v>
      </c>
    </row>
    <row r="34" spans="1:16" s="90" customFormat="1" ht="16.2" thickBot="1">
      <c r="C34" s="127" t="s">
        <v>237</v>
      </c>
      <c r="D34" s="172">
        <f>SUBTOTAL(9,D35:D43)</f>
        <v>20230669.210000001</v>
      </c>
      <c r="E34" s="128">
        <f>SUBTOTAL(9,E35:E43)</f>
        <v>40314.452355507827</v>
      </c>
      <c r="K34" s="108"/>
      <c r="L34" s="143"/>
    </row>
    <row r="35" spans="1:16" s="90" customFormat="1" outlineLevel="1">
      <c r="B35" s="145" t="s">
        <v>391</v>
      </c>
      <c r="C35" s="174" t="s">
        <v>875</v>
      </c>
      <c r="D35" s="170">
        <v>2870669.49</v>
      </c>
      <c r="E35" s="142">
        <f>D35/CONVERSIONES!$C$396</f>
        <v>5718.465119521913</v>
      </c>
      <c r="F35" s="129">
        <v>45783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CR'!$A$3:$A$29)</f>
        <v>3</v>
      </c>
      <c r="J35" s="132">
        <f t="shared" si="0"/>
        <v>0</v>
      </c>
      <c r="K35" s="135"/>
      <c r="L35" s="135"/>
      <c r="M35" s="170"/>
      <c r="N35" s="349"/>
    </row>
    <row r="36" spans="1:16" s="90" customFormat="1" outlineLevel="1">
      <c r="B36" s="145" t="s">
        <v>391</v>
      </c>
      <c r="C36" s="174" t="s">
        <v>874</v>
      </c>
      <c r="D36" s="170">
        <v>1195250.1200000001</v>
      </c>
      <c r="E36" s="142">
        <f>D36/CONVERSIONES!$C$297</f>
        <v>2395.290821643287</v>
      </c>
      <c r="F36" s="134">
        <v>45789</v>
      </c>
      <c r="G36" s="90" t="s">
        <v>235</v>
      </c>
      <c r="H36" s="90">
        <f>IF(OR(G36="Sin pagar",G36="Pagar"),_xlfn.SINGLE(NETWORKDAYS($E$4,F36,'Festivos CR'!$A$3:$A$29)),0)</f>
        <v>0</v>
      </c>
      <c r="I36" s="90">
        <f>NETWORKDAYS($E$4,F36,'Festivos CR'!$A$3:$A$29)</f>
        <v>7</v>
      </c>
      <c r="J36" s="132">
        <f t="shared" si="0"/>
        <v>0</v>
      </c>
      <c r="K36" s="135"/>
      <c r="L36" s="135"/>
    </row>
    <row r="37" spans="1:16" s="180" customFormat="1" outlineLevel="1">
      <c r="B37" s="265" t="s">
        <v>270</v>
      </c>
      <c r="C37" s="174" t="s">
        <v>258</v>
      </c>
      <c r="D37" s="170">
        <f>E37*CONVERSIONES!$C$396</f>
        <v>1711177.44</v>
      </c>
      <c r="E37" s="142">
        <v>3408.72</v>
      </c>
      <c r="F37" s="129">
        <v>45805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CR'!$A$3:$A$29)</f>
        <v>19</v>
      </c>
      <c r="J37" s="132">
        <f t="shared" si="0"/>
        <v>0</v>
      </c>
      <c r="L37" s="179"/>
    </row>
    <row r="38" spans="1:16" s="180" customFormat="1" outlineLevel="1">
      <c r="B38" s="145" t="s">
        <v>391</v>
      </c>
      <c r="C38" s="174" t="s">
        <v>253</v>
      </c>
      <c r="D38" s="347">
        <v>1405538.3</v>
      </c>
      <c r="E38" s="142">
        <f>D38/CONVERSIONES!$C$396</f>
        <v>2799.8770916334661</v>
      </c>
      <c r="F38" s="129">
        <v>45805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19</v>
      </c>
      <c r="J38" s="132">
        <f t="shared" si="0"/>
        <v>0</v>
      </c>
      <c r="L38" s="179"/>
    </row>
    <row r="39" spans="1:16" s="180" customFormat="1" outlineLevel="1">
      <c r="B39" s="145" t="s">
        <v>391</v>
      </c>
      <c r="C39" s="174" t="s">
        <v>255</v>
      </c>
      <c r="D39" s="347">
        <v>1405538.3</v>
      </c>
      <c r="E39" s="142">
        <f>D39/CONVERSIONES!$C$396</f>
        <v>2799.8770916334661</v>
      </c>
      <c r="F39" s="129">
        <v>45805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CR'!$A$3:$A$29)</f>
        <v>19</v>
      </c>
      <c r="J39" s="132">
        <f t="shared" si="0"/>
        <v>0</v>
      </c>
      <c r="L39" s="179"/>
    </row>
    <row r="40" spans="1:16" s="180" customFormat="1" outlineLevel="1">
      <c r="B40" s="145" t="s">
        <v>391</v>
      </c>
      <c r="C40" s="174" t="s">
        <v>330</v>
      </c>
      <c r="D40" s="170">
        <v>786551.54</v>
      </c>
      <c r="E40" s="142">
        <f>D40/CONVERSIONES!$C$396</f>
        <v>1566.8357370517929</v>
      </c>
      <c r="F40" s="129">
        <v>45805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19</v>
      </c>
      <c r="J40" s="132">
        <f t="shared" si="0"/>
        <v>0</v>
      </c>
      <c r="L40" s="179"/>
      <c r="M40" s="387"/>
      <c r="N40" s="387"/>
    </row>
    <row r="41" spans="1:16" s="180" customFormat="1" outlineLevel="1">
      <c r="B41" s="265" t="s">
        <v>270</v>
      </c>
      <c r="C41" s="174" t="s">
        <v>257</v>
      </c>
      <c r="D41" s="170">
        <f>E41*CONVERSIONES!$C$396</f>
        <v>3338104.2199999997</v>
      </c>
      <c r="E41" s="142">
        <v>6649.61</v>
      </c>
      <c r="F41" s="129">
        <v>45805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19</v>
      </c>
      <c r="J41" s="132">
        <f t="shared" si="0"/>
        <v>0</v>
      </c>
      <c r="L41" s="179"/>
    </row>
    <row r="42" spans="1:16" s="180" customFormat="1" outlineLevel="1">
      <c r="B42" s="265" t="s">
        <v>270</v>
      </c>
      <c r="C42" s="174" t="s">
        <v>747</v>
      </c>
      <c r="D42" s="170">
        <f>E42*CONVERSIONES!$C$396</f>
        <v>2879984.04</v>
      </c>
      <c r="E42" s="142">
        <v>5737.02</v>
      </c>
      <c r="F42" s="129">
        <v>45805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19</v>
      </c>
      <c r="J42" s="132">
        <f t="shared" si="0"/>
        <v>0</v>
      </c>
      <c r="L42" s="179"/>
    </row>
    <row r="43" spans="1:16" s="180" customFormat="1" ht="15" outlineLevel="1" thickBot="1">
      <c r="B43" s="145" t="s">
        <v>391</v>
      </c>
      <c r="C43" s="174" t="s">
        <v>759</v>
      </c>
      <c r="D43" s="170">
        <v>4637855.76</v>
      </c>
      <c r="E43" s="142">
        <f>D43/CONVERSIONES!$C$396</f>
        <v>9238.7564940239045</v>
      </c>
      <c r="F43" s="129">
        <v>45805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19</v>
      </c>
      <c r="J43" s="132">
        <f t="shared" si="0"/>
        <v>0</v>
      </c>
      <c r="L43" s="179"/>
    </row>
    <row r="44" spans="1:16" s="90" customFormat="1" ht="16.2" thickBot="1">
      <c r="A44" s="180"/>
      <c r="B44" s="145"/>
      <c r="C44" s="127" t="s">
        <v>238</v>
      </c>
      <c r="D44" s="172">
        <f>SUBTOTAL(9,D45:D46)</f>
        <v>7272554.2000000002</v>
      </c>
      <c r="E44" s="128">
        <f>SUBTOTAL(9,E45:E46)</f>
        <v>14458.358250497018</v>
      </c>
      <c r="L44" s="108"/>
    </row>
    <row r="45" spans="1:16" s="90" customFormat="1" outlineLevel="1">
      <c r="A45" s="180"/>
      <c r="B45" s="146"/>
      <c r="C45" s="101" t="s">
        <v>876</v>
      </c>
      <c r="D45" s="170">
        <f>$E$45*$D$6</f>
        <v>7017554.2000000002</v>
      </c>
      <c r="E45" s="142">
        <v>13951.4</v>
      </c>
      <c r="F45" s="129">
        <v>45778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CR'!$A$3:$A$29)</f>
        <v>0</v>
      </c>
      <c r="J45" s="132">
        <f>H45</f>
        <v>0</v>
      </c>
      <c r="L45" s="108"/>
      <c r="M45" s="392">
        <f>E45*4210.84</f>
        <v>58747113.175999999</v>
      </c>
    </row>
    <row r="46" spans="1:16" s="90" customFormat="1" ht="15" outlineLevel="1" thickBot="1">
      <c r="A46" s="180"/>
      <c r="B46" s="146"/>
      <c r="C46" s="101" t="s">
        <v>858</v>
      </c>
      <c r="D46" s="170">
        <v>255000</v>
      </c>
      <c r="E46" s="142">
        <f>D46/$D$6</f>
        <v>506.9582504970179</v>
      </c>
      <c r="F46" s="129">
        <v>45791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CR'!$A$3:$A$29)</f>
        <v>9</v>
      </c>
      <c r="J46" s="132">
        <f t="shared" si="0"/>
        <v>0</v>
      </c>
      <c r="L46" s="108"/>
    </row>
    <row r="47" spans="1:16" s="90" customFormat="1" ht="14.25" customHeight="1">
      <c r="B47" s="100"/>
      <c r="C47" s="147" t="s">
        <v>239</v>
      </c>
      <c r="D47" s="171">
        <f>SUBTOTAL(9,D20:D46)</f>
        <v>42757885.650000006</v>
      </c>
      <c r="E47" s="148">
        <f>SUBTOTAL(9,E20:E46)</f>
        <v>85098.822514553554</v>
      </c>
      <c r="K47" s="388"/>
      <c r="L47" s="388"/>
      <c r="N47" s="388"/>
      <c r="O47" s="388"/>
      <c r="P47" s="388"/>
    </row>
    <row r="48" spans="1:16" ht="15.6">
      <c r="A48" s="90"/>
      <c r="E48" s="149"/>
      <c r="F48" s="239"/>
      <c r="G48" s="150"/>
      <c r="H48" s="150"/>
      <c r="I48" s="150"/>
      <c r="J48" s="150"/>
    </row>
    <row r="49" spans="1:16" ht="15.6">
      <c r="A49" s="90"/>
      <c r="C49" s="151" t="s">
        <v>3</v>
      </c>
      <c r="D49" s="182">
        <f>D15-D47</f>
        <v>20801434.967952386</v>
      </c>
      <c r="E49" s="152">
        <f>E15-E47</f>
        <v>41385.639230878631</v>
      </c>
      <c r="F49" s="243"/>
      <c r="G49" s="153"/>
      <c r="J49" s="153"/>
    </row>
    <row r="50" spans="1:16" s="157" customFormat="1" ht="15.6">
      <c r="A50" s="90"/>
      <c r="B50" s="154"/>
      <c r="C50" s="151" t="s">
        <v>240</v>
      </c>
      <c r="D50" s="155">
        <f>IF($D$15=0,0,D49/$D$15)</f>
        <v>0.32727591745335616</v>
      </c>
      <c r="E50" s="155">
        <f>IF($E$15=0,0,E49/$E$15)</f>
        <v>0.32719939397910447</v>
      </c>
      <c r="F50" s="156"/>
      <c r="G50" s="153"/>
      <c r="J50" s="158"/>
      <c r="K50" s="388"/>
      <c r="L50" s="388"/>
      <c r="N50" s="388"/>
      <c r="O50" s="388"/>
      <c r="P50" s="388"/>
    </row>
    <row r="51" spans="1:16">
      <c r="A51" s="90"/>
      <c r="F51" s="156"/>
      <c r="G51" s="153"/>
    </row>
    <row r="53" spans="1:16" ht="15" thickBot="1"/>
    <row r="54" spans="1:16" ht="15" thickBot="1">
      <c r="C54" s="189" t="s">
        <v>260</v>
      </c>
      <c r="D54" s="190" t="s">
        <v>261</v>
      </c>
      <c r="E54" s="191" t="s">
        <v>265</v>
      </c>
      <c r="F54" s="191" t="s">
        <v>266</v>
      </c>
    </row>
    <row r="55" spans="1:16">
      <c r="C55" s="303">
        <v>45778</v>
      </c>
      <c r="D55" s="304">
        <v>45781</v>
      </c>
      <c r="E55" s="195">
        <f>SUMIFS($D$19:$D$52,$F$19:$F$52,"&gt;="&amp;C55,$F$19:$F$52,"&lt;="&amp;D55,$G$19:$G$52,$D$69)</f>
        <v>0</v>
      </c>
      <c r="F55" s="201">
        <f>SUMIFS($E$19:$E$52,$F$19:$F$52,"&gt;="&amp;C55,$F$19:$F$52,"&lt;="&amp;D55,$G$19:$G$52,$D$69)</f>
        <v>0</v>
      </c>
    </row>
    <row r="56" spans="1:16">
      <c r="C56" s="305">
        <v>45782</v>
      </c>
      <c r="D56" s="306">
        <v>45788</v>
      </c>
      <c r="E56" s="196">
        <f>SUMIFS($D$19:$D$52,$F$19:$F$52,"&gt;="&amp;C56,$F$19:$F$52,"&lt;="&amp;D56,$G$19:$G$52,$D$69)</f>
        <v>0</v>
      </c>
      <c r="F56" s="202">
        <f>SUMIFS($E$19:$E$52,$F$19:$F$52,"&gt;="&amp;C56,$F$19:$F$52,"&lt;="&amp;D56,$G$19:$G$52,$D$69)</f>
        <v>0</v>
      </c>
      <c r="G56" s="388" t="s">
        <v>833</v>
      </c>
      <c r="J56" s="382"/>
    </row>
    <row r="57" spans="1:16">
      <c r="C57" s="183">
        <v>45789</v>
      </c>
      <c r="D57" s="184">
        <v>45795</v>
      </c>
      <c r="E57" s="196">
        <f>SUMIFS($D$19:$D$52,$F$19:$F$52,"&gt;="&amp;C57,$F$19:$F$52,"&lt;="&amp;D57,$G$19:$G$52,$D$69)</f>
        <v>0</v>
      </c>
      <c r="F57" s="202">
        <f>SUMIFS($E$19:$E$52,$F$19:$F$52,"&gt;="&amp;C57,$F$19:$F$52,"&lt;="&amp;D57,$G$19:$G$52,$D$69)</f>
        <v>0</v>
      </c>
      <c r="G57" s="388" t="s">
        <v>451</v>
      </c>
      <c r="J57" s="591"/>
    </row>
    <row r="58" spans="1:16">
      <c r="C58" s="183">
        <v>45796</v>
      </c>
      <c r="D58" s="184">
        <v>45802</v>
      </c>
      <c r="E58" s="196">
        <f>SUMIFS($D$19:$D$52,$F$19:$F$52,"&gt;="&amp;C58,$F$19:$F$52,"&lt;="&amp;D58,$G$19:$G$52,$D$69)</f>
        <v>0</v>
      </c>
      <c r="F58" s="202">
        <f>SUMIFS($E$19:$E$52,$F$19:$F$52,"&gt;="&amp;C58,$F$19:$F$52,"&lt;="&amp;D58,$G$19:$G$52,$D$69)</f>
        <v>0</v>
      </c>
      <c r="J58" s="591"/>
    </row>
    <row r="59" spans="1:16">
      <c r="C59" s="183">
        <v>45803</v>
      </c>
      <c r="D59" s="184">
        <v>45808</v>
      </c>
      <c r="E59" s="196">
        <f>SUMIFS($D$19:$D$52,$F$19:$F$52,"&gt;="&amp;C59,$F$19:$F$52,"&lt;="&amp;D59,$G$19:$G$52,$D$69)</f>
        <v>0</v>
      </c>
      <c r="F59" s="202">
        <f>SUMIFS($E$19:$E$52,$F$19:$F$52,"&gt;="&amp;C59,$F$19:$F$52,"&lt;="&amp;D59,$G$19:$G$52,$D$69)</f>
        <v>0</v>
      </c>
      <c r="G59" s="388" t="s">
        <v>794</v>
      </c>
    </row>
    <row r="60" spans="1:16" ht="15.6">
      <c r="C60" s="589" t="s">
        <v>262</v>
      </c>
      <c r="D60" s="589"/>
      <c r="E60" s="186">
        <f>SUM(E55:E59)</f>
        <v>0</v>
      </c>
      <c r="F60" s="200">
        <f>SUM(F55:F59)</f>
        <v>0</v>
      </c>
      <c r="G60" s="94"/>
      <c r="J60" s="153"/>
      <c r="K60" s="153"/>
      <c r="M60" s="206"/>
    </row>
    <row r="63" spans="1:16">
      <c r="C63" s="592" t="s">
        <v>267</v>
      </c>
      <c r="D63" s="592"/>
      <c r="E63" s="204">
        <f>'BAC SAN JOSE COLONES  '!$G$500+('BAC SAN JOSE USD'!$G$350*$D$6)</f>
        <v>30791676.177353606</v>
      </c>
      <c r="F63" s="206">
        <f>'BAC SAN JOSE USD'!$G$350+('BAC SAN JOSE COLONES  '!$G$500/$D$6)</f>
        <v>61216.056018595642</v>
      </c>
    </row>
    <row r="64" spans="1:16">
      <c r="C64" s="592" t="s">
        <v>834</v>
      </c>
      <c r="D64" s="592"/>
      <c r="E64" s="204">
        <f>SUM(E55:E59)</f>
        <v>0</v>
      </c>
      <c r="F64" s="206">
        <f>SUM(F55:F59)</f>
        <v>0</v>
      </c>
      <c r="J64" s="324"/>
    </row>
    <row r="65" spans="3:10">
      <c r="C65" s="588" t="s">
        <v>152</v>
      </c>
      <c r="D65" s="588"/>
      <c r="E65" s="205">
        <f>E63-E64</f>
        <v>30791676.177353606</v>
      </c>
      <c r="F65" s="199">
        <f>F63-F64</f>
        <v>61216.056018595642</v>
      </c>
      <c r="G65" s="206"/>
      <c r="J65" s="206"/>
    </row>
    <row r="68" spans="3:10">
      <c r="D68" s="90" t="s">
        <v>235</v>
      </c>
      <c r="E68" s="170">
        <f>SUMIFS($D$19:$D$52,$F$19:$F$52,"&gt;="&amp;C55,$F$19:$F$52,"&lt;="&amp;$D$59,$G$19:$G$52,$D$68)</f>
        <v>42757885.650000006</v>
      </c>
      <c r="F68" s="206">
        <f>SUMIFS($E$19:$E$52,$F$19:$F$52,"&gt;="&amp;C55,$F$19:$F$52,"&lt;="&amp;$D$59,$G$19:$G$52,$D$68)</f>
        <v>85098.822514553554</v>
      </c>
    </row>
    <row r="69" spans="3:10">
      <c r="D69" s="90" t="s">
        <v>231</v>
      </c>
      <c r="E69" s="170">
        <f>SUMIFS($D$19:$D$52,$F$19:$F$52,"&gt;="&amp;C55,$F$19:$F$52,"&lt;="&amp;$D$59,$G$19:$G$52,$D$69)</f>
        <v>0</v>
      </c>
      <c r="F69" s="206">
        <f>SUMIFS($E$19:$E$52,$F$19:$F$52,"&gt;="&amp;C55,$F$19:$F$52,"&lt;="&amp;D59,$G$19:$G$52,$D$69)</f>
        <v>0</v>
      </c>
    </row>
    <row r="70" spans="3:10">
      <c r="D70" s="185" t="s">
        <v>263</v>
      </c>
      <c r="E70" s="194">
        <f>SUM(E68:E69)</f>
        <v>42757885.650000006</v>
      </c>
      <c r="F70" s="199">
        <f>SUM(F68:F69)</f>
        <v>85098.822514553554</v>
      </c>
    </row>
    <row r="71" spans="3:10">
      <c r="D71" s="185" t="s">
        <v>264</v>
      </c>
      <c r="E71" s="194">
        <f>(D47-E70)*0</f>
        <v>0</v>
      </c>
      <c r="F71" s="199">
        <f>F70-E47</f>
        <v>0</v>
      </c>
    </row>
    <row r="74" spans="3:10">
      <c r="D74" s="88" t="s">
        <v>400</v>
      </c>
      <c r="E74" s="170">
        <f>D49</f>
        <v>20801434.967952386</v>
      </c>
      <c r="F74" s="206"/>
    </row>
    <row r="75" spans="3:10">
      <c r="D75" s="88" t="s">
        <v>401</v>
      </c>
      <c r="E75" s="170">
        <f>('BAC SAN JOSE USD'!$G$304*$D$6)+'BAC SAN JOSE COLONES  '!$G$392</f>
        <v>20801435.687952388</v>
      </c>
      <c r="F75" s="206"/>
    </row>
    <row r="76" spans="3:10">
      <c r="D76" s="88" t="s">
        <v>701</v>
      </c>
      <c r="E76" s="170">
        <f>E75-E74</f>
        <v>0.7200000025331974</v>
      </c>
    </row>
    <row r="77" spans="3:10">
      <c r="D77" s="88" t="s">
        <v>702</v>
      </c>
      <c r="E77" s="395">
        <f>E76/D6</f>
        <v>1.431411535851287E-3</v>
      </c>
      <c r="F77" s="395"/>
    </row>
    <row r="78" spans="3:10">
      <c r="E78" s="206"/>
    </row>
  </sheetData>
  <protectedRanges>
    <protectedRange sqref="F15:G15 D51:E51 D10:E11" name="Presupuestos"/>
    <protectedRange sqref="D8:E8 D19:E19" name="Presupuestos_1"/>
    <protectedRange sqref="D26:E27" name="Presupuestos_13_1"/>
    <protectedRange sqref="D29:E29" name="Presupuestos_14"/>
    <protectedRange sqref="D37 E35:E39 D40:E43" name="Presupuestos_2_1_1_1"/>
    <protectedRange sqref="K35:K36 D35:D36 M35 E45:E46" name="Presupuestos_6_1_1_1"/>
    <protectedRange sqref="D38:D39" name="Presupuestos_5_2_1"/>
    <protectedRange sqref="D33:E33" name="Presupuestos_7_1"/>
    <protectedRange sqref="D45:D46" name="Presupuestos_5_3"/>
    <protectedRange sqref="D31:E31" name="Presupuestos_13_1_1"/>
  </protectedRanges>
  <autoFilter ref="A19:S46" xr:uid="{87F4047B-4C77-4EC9-980F-F9B632E507F1}"/>
  <mergeCells count="8">
    <mergeCell ref="C64:D64"/>
    <mergeCell ref="C65:D65"/>
    <mergeCell ref="D7:E7"/>
    <mergeCell ref="B18:C18"/>
    <mergeCell ref="D18:E18"/>
    <mergeCell ref="J57:J58"/>
    <mergeCell ref="C60:D60"/>
    <mergeCell ref="C63:D63"/>
  </mergeCells>
  <dataValidations count="4">
    <dataValidation type="list" allowBlank="1" showInputMessage="1" showErrorMessage="1" sqref="O30" xr:uid="{10559855-5667-4EAF-9FD9-EB41FF7CBDF9}">
      <formula1>"0,1"</formula1>
    </dataValidation>
    <dataValidation type="list" allowBlank="1" showInputMessage="1" showErrorMessage="1" sqref="G31 G23:G24 D68:D69 G52:G53 G26:G27 G33 G20:G21 G45:G46 G29 G35:G43" xr:uid="{A5482CB4-3861-4BDE-B448-A507B37A0CEB}">
      <formula1>"Cancelado,Pagar,Sin Pagar"</formula1>
    </dataValidation>
    <dataValidation type="list" allowBlank="1" showInputMessage="1" showErrorMessage="1" sqref="D18 D7" xr:uid="{3383DD9E-3BC4-4060-9636-10C8113DA890}">
      <formula1>"ENERO,FEBRERO,MARZO,ABRIL,MAYO,JUNIO,JULIO,AGOSTO,SEPTIEMBRE,OCTUBRE,NOVIEMBRE,DICIEMBRE"</formula1>
    </dataValidation>
    <dataValidation type="list" allowBlank="1" showInputMessage="1" showErrorMessage="1" sqref="B13:B14" xr:uid="{AC6EBF79-617C-401D-AA79-7AEAA30EE626}">
      <formula1>"Sin Pagar,Pagado"</formula1>
    </dataValidation>
  </dataValidations>
  <pageMargins left="0.7" right="0.7" top="0.75" bottom="0.75" header="0.3" footer="0.3"/>
  <ignoredErrors>
    <ignoredError sqref="J21:J46 M45" unlockedFormula="1"/>
    <ignoredError sqref="E28:E32 D29:D33 E26" formula="1"/>
    <ignoredError sqref="B29 B23:B2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A358-BABC-4FF8-A99B-38D1D484A985}">
  <dimension ref="A1:S77"/>
  <sheetViews>
    <sheetView showGridLines="0" topLeftCell="A59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393" customWidth="1"/>
    <col min="2" max="2" width="18.88671875" style="394" bestFit="1" customWidth="1"/>
    <col min="3" max="3" width="54.33203125" style="393" bestFit="1" customWidth="1"/>
    <col min="4" max="4" width="24.44140625" style="88" customWidth="1"/>
    <col min="5" max="5" width="19.33203125" style="88" bestFit="1" customWidth="1"/>
    <col min="6" max="6" width="23.5546875" style="393" customWidth="1"/>
    <col min="7" max="7" width="18.88671875" style="393" customWidth="1"/>
    <col min="8" max="8" width="7.6640625" style="393" hidden="1" customWidth="1"/>
    <col min="9" max="9" width="12.109375" style="393" hidden="1" customWidth="1"/>
    <col min="10" max="10" width="25.33203125" style="393" customWidth="1"/>
    <col min="11" max="11" width="2.109375" style="393" customWidth="1"/>
    <col min="12" max="12" width="2.33203125" style="393" customWidth="1"/>
    <col min="13" max="13" width="17.109375" style="393" bestFit="1" customWidth="1"/>
    <col min="14" max="14" width="15.5546875" style="393" bestFit="1" customWidth="1"/>
    <col min="15" max="15" width="6.33203125" style="393" bestFit="1" customWidth="1"/>
    <col min="16" max="16" width="19.33203125" style="393" bestFit="1" customWidth="1"/>
    <col min="17" max="17" width="15.33203125" style="393" bestFit="1" customWidth="1"/>
    <col min="18" max="18" width="14" style="393" bestFit="1" customWidth="1"/>
    <col min="19" max="19" width="13" style="393" bestFit="1" customWidth="1"/>
    <col min="20" max="16384" width="9.109375" style="393"/>
  </cols>
  <sheetData>
    <row r="1" spans="2:9" hidden="1">
      <c r="D1" s="88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45809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503</v>
      </c>
      <c r="E6" s="89"/>
      <c r="I6" s="90"/>
    </row>
    <row r="7" spans="2:9" ht="15.6">
      <c r="C7" s="94"/>
      <c r="D7" s="590" t="s">
        <v>367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SUBTOTAL(9,D10:D11)</f>
        <v>20660499.597952388</v>
      </c>
      <c r="E9" s="98">
        <f>SUBTOTAL(9,E10:E11)</f>
        <v>41074.551884597196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'!$G$392-140936.09</f>
        <v>18310620.745669983</v>
      </c>
      <c r="E10" s="218">
        <f>$D$10/$D$6</f>
        <v>36402.824544075513</v>
      </c>
      <c r="F10" s="103"/>
    </row>
    <row r="11" spans="2:9" s="90" customFormat="1" outlineLevel="1">
      <c r="B11" s="100"/>
      <c r="C11" s="101" t="s">
        <v>221</v>
      </c>
      <c r="D11" s="169">
        <f>$E$11*$D$6</f>
        <v>2349878.8522824049</v>
      </c>
      <c r="E11" s="218">
        <f>'BAC SAN JOSE USD'!$G$304</f>
        <v>4671.7273405216802</v>
      </c>
      <c r="F11" s="103"/>
    </row>
    <row r="12" spans="2:9" s="90" customFormat="1" ht="15.6">
      <c r="B12" s="100"/>
      <c r="C12" s="104" t="s">
        <v>222</v>
      </c>
      <c r="D12" s="167">
        <f>SUBTOTAL(9,D13:D17)</f>
        <v>27957345.90000001</v>
      </c>
      <c r="E12" s="98">
        <f>SUBTOTAL(9,E13:E17)</f>
        <v>55797.649700598813</v>
      </c>
      <c r="F12" s="105"/>
    </row>
    <row r="13" spans="2:9" s="178" customFormat="1" outlineLevel="1">
      <c r="B13" s="328" t="s">
        <v>533</v>
      </c>
      <c r="C13" s="329" t="s">
        <v>881</v>
      </c>
      <c r="D13" s="330">
        <f>$E$13*$D$6</f>
        <v>684935.1</v>
      </c>
      <c r="E13" s="331">
        <f>'BAC SAN JOSE USD'!$E$306</f>
        <v>1361.7</v>
      </c>
      <c r="F13" s="345"/>
      <c r="G13" s="346"/>
    </row>
    <row r="14" spans="2:9" s="423" customFormat="1" outlineLevel="1">
      <c r="B14" s="328" t="s">
        <v>533</v>
      </c>
      <c r="C14" s="419" t="s">
        <v>899</v>
      </c>
      <c r="D14" s="410">
        <f>E14*CONVERSIONES!$C$438</f>
        <v>18363683.910000004</v>
      </c>
      <c r="E14" s="411">
        <f>'BAC SAN JOSE USD'!E310</f>
        <v>36654.059700598809</v>
      </c>
      <c r="F14" s="421"/>
      <c r="G14" s="422"/>
    </row>
    <row r="15" spans="2:9" s="423" customFormat="1" outlineLevel="1">
      <c r="B15" s="328" t="s">
        <v>533</v>
      </c>
      <c r="C15" s="419" t="s">
        <v>898</v>
      </c>
      <c r="D15" s="410">
        <f>$E$15*CONVERSIONES!$C$473</f>
        <v>8790485.8800000008</v>
      </c>
      <c r="E15" s="411">
        <f>('BAC SAN JOSE USD'!$E$308-'BAC SAN JOSE USD'!$F$309)</f>
        <v>17545.88</v>
      </c>
      <c r="F15" s="421"/>
      <c r="G15" s="422"/>
    </row>
    <row r="16" spans="2:9" s="423" customFormat="1" outlineLevel="1">
      <c r="B16" s="328" t="s">
        <v>533</v>
      </c>
      <c r="C16" s="419" t="s">
        <v>903</v>
      </c>
      <c r="D16" s="410">
        <f>E16*501</f>
        <v>68141.009999999995</v>
      </c>
      <c r="E16" s="411">
        <f>'BAC SAN JOSE USD'!$E$311</f>
        <v>136.01</v>
      </c>
      <c r="F16" s="421"/>
      <c r="G16" s="422"/>
    </row>
    <row r="17" spans="1:19" s="178" customFormat="1" outlineLevel="1">
      <c r="B17" s="328" t="s">
        <v>533</v>
      </c>
      <c r="C17" s="329" t="s">
        <v>908</v>
      </c>
      <c r="D17" s="410">
        <f>E17*501</f>
        <v>50100</v>
      </c>
      <c r="E17" s="411">
        <v>100</v>
      </c>
      <c r="F17" s="345"/>
      <c r="G17" s="346"/>
    </row>
    <row r="18" spans="1:19" s="90" customFormat="1" ht="15.6">
      <c r="B18" s="100"/>
      <c r="C18" s="109" t="s">
        <v>223</v>
      </c>
      <c r="D18" s="168">
        <f>SUBTOTAL(9,D9:D17)</f>
        <v>48617845.497952394</v>
      </c>
      <c r="E18" s="207">
        <f>SUBTOTAL(9,E9:E17)</f>
        <v>96872.201585196002</v>
      </c>
      <c r="F18" s="110"/>
      <c r="G18" s="110"/>
      <c r="J18" s="108"/>
      <c r="K18" s="111"/>
      <c r="O18" s="112"/>
      <c r="P18" s="113"/>
      <c r="Q18" s="114"/>
    </row>
    <row r="19" spans="1:19" s="90" customFormat="1" ht="15.6">
      <c r="B19" s="100"/>
      <c r="C19" s="115"/>
      <c r="D19" s="116"/>
      <c r="E19" s="116"/>
      <c r="G19" s="117"/>
      <c r="O19" s="113"/>
      <c r="P19" s="113"/>
    </row>
    <row r="20" spans="1:19" s="90" customFormat="1" ht="15.6">
      <c r="B20" s="100"/>
      <c r="N20" s="118"/>
      <c r="O20" s="119"/>
      <c r="P20" s="120"/>
    </row>
    <row r="21" spans="1:19" s="90" customFormat="1" ht="15.6">
      <c r="B21" s="590" t="s">
        <v>224</v>
      </c>
      <c r="C21" s="590"/>
      <c r="D21" s="590" t="s">
        <v>367</v>
      </c>
      <c r="E21" s="590"/>
      <c r="K21" s="120"/>
      <c r="L21" s="120"/>
      <c r="N21" s="118"/>
      <c r="R21" s="108"/>
      <c r="S21" s="108"/>
    </row>
    <row r="22" spans="1:19" s="90" customFormat="1" ht="16.2" thickBot="1">
      <c r="B22" s="121" t="s">
        <v>225</v>
      </c>
      <c r="C22" s="122" t="s">
        <v>226</v>
      </c>
      <c r="D22" s="95" t="s">
        <v>242</v>
      </c>
      <c r="E22" s="95" t="s">
        <v>219</v>
      </c>
      <c r="F22" s="123" t="s">
        <v>227</v>
      </c>
      <c r="G22" s="118" t="s">
        <v>228</v>
      </c>
      <c r="H22" s="118"/>
      <c r="I22" s="118"/>
      <c r="J22" s="124" t="s">
        <v>229</v>
      </c>
      <c r="N22" s="125"/>
      <c r="R22" s="108"/>
      <c r="S22" s="126"/>
    </row>
    <row r="23" spans="1:19" s="90" customFormat="1" ht="16.2" thickBot="1">
      <c r="B23" s="100"/>
      <c r="C23" s="127" t="s">
        <v>230</v>
      </c>
      <c r="D23" s="172">
        <f>SUBTOTAL(9,D24:D24)</f>
        <v>7917247</v>
      </c>
      <c r="E23" s="128">
        <f>SUBTOTAL(9,E24:E24)</f>
        <v>15740.053677932405</v>
      </c>
      <c r="F23" s="129"/>
      <c r="J23" s="130"/>
    </row>
    <row r="24" spans="1:19" s="90" customFormat="1" ht="15" outlineLevel="1" thickBot="1">
      <c r="A24" s="103"/>
      <c r="B24" s="100" t="s">
        <v>888</v>
      </c>
      <c r="C24" s="174" t="s">
        <v>368</v>
      </c>
      <c r="D24" s="169">
        <v>7917247</v>
      </c>
      <c r="E24" s="137">
        <f>D24/$D$6</f>
        <v>15740.053677932405</v>
      </c>
      <c r="F24" s="134">
        <v>45820</v>
      </c>
      <c r="G24" s="90" t="s">
        <v>235</v>
      </c>
      <c r="H24" s="90">
        <f>IF(OR(G24="Sin pagar",G24="Pagar"),_xlfn.SINGLE(NETWORKDAYS($E$4,F24,'Festivos CR'!$A$3:$A$29)),0)</f>
        <v>0</v>
      </c>
      <c r="I24" s="90">
        <f>NETWORKDAYS($E$4,F24,'Festivos CR'!$A$3:$A$29)</f>
        <v>9</v>
      </c>
      <c r="J24" s="132">
        <f t="shared" ref="J24:J44" si="0">H24</f>
        <v>0</v>
      </c>
      <c r="K24" s="108"/>
      <c r="L24" s="108"/>
      <c r="M24" s="349"/>
      <c r="N24" s="349"/>
    </row>
    <row r="25" spans="1:19" s="90" customFormat="1" ht="16.2" thickBot="1">
      <c r="B25" s="100"/>
      <c r="C25" s="127" t="s">
        <v>232</v>
      </c>
      <c r="D25" s="172">
        <f>SUBTOTAL(9,D26:D27)</f>
        <v>2626897</v>
      </c>
      <c r="E25" s="128">
        <f>SUBTOTAL(9,E26:E27)</f>
        <v>5157.604870775348</v>
      </c>
      <c r="J25" s="130">
        <f>H25</f>
        <v>0</v>
      </c>
    </row>
    <row r="26" spans="1:19" s="90" customFormat="1" outlineLevel="1">
      <c r="B26" s="373" t="s">
        <v>885</v>
      </c>
      <c r="C26" s="101" t="s">
        <v>292</v>
      </c>
      <c r="D26" s="271">
        <v>2547119</v>
      </c>
      <c r="E26" s="142">
        <f>D26/$D$6</f>
        <v>5063.854870775348</v>
      </c>
      <c r="F26" s="134">
        <v>45820</v>
      </c>
      <c r="G26" s="90" t="s">
        <v>235</v>
      </c>
      <c r="H26" s="90">
        <f>IF(OR(G26="Sin pagar",G26="Pagar"),_xlfn.SINGLE(NETWORKDAYS($E$4,F26,'Festivos CR'!$A$3:$A$29)),0)</f>
        <v>0</v>
      </c>
      <c r="I26" s="90">
        <f>NETWORKDAYS($E$4,F26,'Festivos CR'!$A$3:$A$29)</f>
        <v>9</v>
      </c>
      <c r="J26" s="132">
        <f t="shared" si="0"/>
        <v>0</v>
      </c>
      <c r="K26" s="135"/>
      <c r="L26" s="111"/>
      <c r="M26" s="349"/>
      <c r="N26" s="349"/>
    </row>
    <row r="27" spans="1:19" s="90" customFormat="1" ht="29.4" outlineLevel="1" thickBot="1">
      <c r="B27" s="373" t="s">
        <v>883</v>
      </c>
      <c r="C27" s="101" t="s">
        <v>832</v>
      </c>
      <c r="D27" s="271">
        <v>79778</v>
      </c>
      <c r="E27" s="142">
        <f>468.75*20%</f>
        <v>93.75</v>
      </c>
      <c r="F27" s="134">
        <v>45820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9</v>
      </c>
      <c r="J27" s="132">
        <f t="shared" si="0"/>
        <v>0</v>
      </c>
      <c r="K27" s="135"/>
      <c r="L27" s="111"/>
      <c r="M27" s="349"/>
    </row>
    <row r="28" spans="1:19" s="90" customFormat="1" ht="16.2" thickBot="1">
      <c r="B28" s="100"/>
      <c r="C28" s="127" t="s">
        <v>233</v>
      </c>
      <c r="D28" s="172">
        <f>SUBTOTAL(9,D29:D29)</f>
        <v>62400</v>
      </c>
      <c r="E28" s="128">
        <f>SUBTOTAL(9,E29:E29)</f>
        <v>124.05566600397614</v>
      </c>
      <c r="J28" s="130">
        <f>H28</f>
        <v>0</v>
      </c>
      <c r="K28" s="108"/>
      <c r="L28" s="108"/>
      <c r="N28" s="349"/>
    </row>
    <row r="29" spans="1:19" s="90" customFormat="1" ht="15" outlineLevel="1" thickBot="1">
      <c r="B29" s="100">
        <v>31</v>
      </c>
      <c r="C29" s="101" t="s">
        <v>695</v>
      </c>
      <c r="D29" s="169">
        <v>62400</v>
      </c>
      <c r="E29" s="137">
        <f>D29/$D$6</f>
        <v>124.05566600397614</v>
      </c>
      <c r="F29" s="134">
        <v>45820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CR'!$A$3:$A$29)</f>
        <v>9</v>
      </c>
      <c r="J29" s="132">
        <f t="shared" si="0"/>
        <v>0</v>
      </c>
      <c r="M29" s="369"/>
      <c r="N29" s="103"/>
    </row>
    <row r="30" spans="1:19" s="90" customFormat="1" ht="16.2" thickBot="1">
      <c r="C30" s="127" t="s">
        <v>250</v>
      </c>
      <c r="D30" s="172">
        <f>SUBTOTAL(9,D31:D31)</f>
        <v>0</v>
      </c>
      <c r="E30" s="128">
        <f>SUBTOTAL(9,E31:E31)</f>
        <v>0</v>
      </c>
      <c r="K30" s="103"/>
      <c r="L30" s="103"/>
      <c r="O30" s="103"/>
      <c r="P30" s="103"/>
    </row>
    <row r="31" spans="1:19" s="90" customFormat="1" ht="14.25" customHeight="1" outlineLevel="1" thickBot="1">
      <c r="B31" s="138" t="s">
        <v>590</v>
      </c>
      <c r="C31" s="101" t="s">
        <v>251</v>
      </c>
      <c r="D31" s="169">
        <f>77000*6*0</f>
        <v>0</v>
      </c>
      <c r="E31" s="137">
        <f>D31/$D$6</f>
        <v>0</v>
      </c>
      <c r="F31" s="129">
        <v>45838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CR'!$A$3:$A$29)</f>
        <v>21</v>
      </c>
      <c r="J31" s="132">
        <f t="shared" si="0"/>
        <v>0</v>
      </c>
      <c r="K31" s="103"/>
      <c r="L31" s="103"/>
      <c r="M31" s="369"/>
      <c r="O31" s="103"/>
      <c r="P31" s="103"/>
    </row>
    <row r="32" spans="1:19" s="90" customFormat="1" ht="16.2" thickBot="1">
      <c r="B32" s="136"/>
      <c r="C32" s="139" t="s">
        <v>234</v>
      </c>
      <c r="D32" s="173">
        <f>SUBTOTAL(9,D33:D33)</f>
        <v>0</v>
      </c>
      <c r="E32" s="140">
        <f>SUBTOTAL(9,E33:E33)</f>
        <v>0</v>
      </c>
      <c r="K32" s="108"/>
    </row>
    <row r="33" spans="1:16" s="90" customFormat="1" ht="15" outlineLevel="1" thickBot="1">
      <c r="B33" s="176"/>
      <c r="C33" s="174"/>
      <c r="D33" s="169">
        <f>E33*$D$6</f>
        <v>0</v>
      </c>
      <c r="E33" s="137">
        <f>440*0</f>
        <v>0</v>
      </c>
      <c r="F33" s="129">
        <v>45838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CR'!$A$3:$A$29)</f>
        <v>21</v>
      </c>
      <c r="J33" s="132">
        <f t="shared" si="0"/>
        <v>0</v>
      </c>
      <c r="M33" s="297"/>
      <c r="N33" s="298"/>
    </row>
    <row r="34" spans="1:16" s="90" customFormat="1" ht="15.75" customHeight="1" thickBot="1">
      <c r="C34" s="127" t="s">
        <v>236</v>
      </c>
      <c r="D34" s="172">
        <f>SUBTOTAL(9,D35:D35)</f>
        <v>0</v>
      </c>
      <c r="E34" s="128">
        <f>SUBTOTAL(9,E35:E35)</f>
        <v>0</v>
      </c>
      <c r="M34" s="299"/>
      <c r="N34" s="299"/>
      <c r="O34" s="118"/>
      <c r="P34" s="300"/>
    </row>
    <row r="35" spans="1:16" s="90" customFormat="1" ht="15" outlineLevel="1" thickBot="1">
      <c r="B35" s="100"/>
      <c r="C35" s="174" t="s">
        <v>236</v>
      </c>
      <c r="D35" s="271">
        <v>0</v>
      </c>
      <c r="E35" s="142">
        <v>0</v>
      </c>
      <c r="F35" s="129">
        <v>45838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CR'!$A$3:$A$29)</f>
        <v>21</v>
      </c>
      <c r="J35" s="132">
        <f t="shared" si="0"/>
        <v>0</v>
      </c>
    </row>
    <row r="36" spans="1:16" s="90" customFormat="1" ht="16.2" thickBot="1">
      <c r="C36" s="127" t="s">
        <v>237</v>
      </c>
      <c r="D36" s="172">
        <f>SUBTOTAL(9,D37:D44)</f>
        <v>15852186.190000003</v>
      </c>
      <c r="E36" s="128">
        <f>SUBTOTAL(9,E37:E44)</f>
        <v>31578.060139442227</v>
      </c>
      <c r="K36" s="108"/>
      <c r="L36" s="143"/>
    </row>
    <row r="37" spans="1:16" s="180" customFormat="1" outlineLevel="1">
      <c r="B37" s="265" t="s">
        <v>270</v>
      </c>
      <c r="C37" s="174" t="s">
        <v>257</v>
      </c>
      <c r="D37" s="170">
        <f>E37*CONVERSIONES!$C$396</f>
        <v>3348731.56</v>
      </c>
      <c r="E37" s="257">
        <v>6670.78</v>
      </c>
      <c r="F37" s="129">
        <v>45834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CR'!$A$3:$A$29)</f>
        <v>19</v>
      </c>
      <c r="J37" s="132">
        <f>H37</f>
        <v>0</v>
      </c>
      <c r="L37" s="179"/>
    </row>
    <row r="38" spans="1:16" s="180" customFormat="1" outlineLevel="1">
      <c r="B38" s="265" t="s">
        <v>270</v>
      </c>
      <c r="C38" s="174" t="s">
        <v>747</v>
      </c>
      <c r="D38" s="170">
        <f>E38*CONVERSIONES!$C$396</f>
        <v>2540240.48</v>
      </c>
      <c r="E38" s="257">
        <v>5060.24</v>
      </c>
      <c r="F38" s="129">
        <v>45834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19</v>
      </c>
      <c r="J38" s="132">
        <f>H38</f>
        <v>0</v>
      </c>
      <c r="L38" s="179"/>
    </row>
    <row r="39" spans="1:16" s="180" customFormat="1" outlineLevel="1">
      <c r="B39" s="265" t="s">
        <v>270</v>
      </c>
      <c r="C39" s="174" t="s">
        <v>258</v>
      </c>
      <c r="D39" s="170">
        <f>E39*CONVERSIONES!$C$396</f>
        <v>1716132.1800000002</v>
      </c>
      <c r="E39" s="257">
        <v>3418.59</v>
      </c>
      <c r="F39" s="129">
        <v>45834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CR'!$A$3:$A$29)</f>
        <v>19</v>
      </c>
      <c r="J39" s="132">
        <f t="shared" si="0"/>
        <v>0</v>
      </c>
      <c r="L39" s="179"/>
    </row>
    <row r="40" spans="1:16" s="180" customFormat="1" outlineLevel="1">
      <c r="B40" s="265" t="s">
        <v>270</v>
      </c>
      <c r="C40" s="174" t="s">
        <v>918</v>
      </c>
      <c r="D40" s="170">
        <f>E40*CONVERSIONES!$C$396</f>
        <v>0</v>
      </c>
      <c r="E40" s="257">
        <f>531.22*0</f>
        <v>0</v>
      </c>
      <c r="F40" s="129">
        <v>45835</v>
      </c>
      <c r="G40" s="90" t="s">
        <v>231</v>
      </c>
      <c r="H40" s="90">
        <f>IF(OR(G40="Sin pagar",G40="Pagar"),_xlfn.SINGLE(NETWORKDAYS($E$4,F40,'Festivos CR'!$A$3:$A$29)),0)</f>
        <v>20</v>
      </c>
      <c r="I40" s="90">
        <f>NETWORKDAYS($E$4,F40,'Festivos CR'!$A$3:$A$29)</f>
        <v>20</v>
      </c>
      <c r="J40" s="132">
        <f>H40</f>
        <v>20</v>
      </c>
      <c r="L40" s="179"/>
    </row>
    <row r="41" spans="1:16" s="180" customFormat="1" outlineLevel="1">
      <c r="B41" s="145" t="s">
        <v>391</v>
      </c>
      <c r="C41" s="174" t="s">
        <v>253</v>
      </c>
      <c r="D41" s="413">
        <v>1409287.55</v>
      </c>
      <c r="E41" s="142">
        <f>D41/CONVERSIONES!$C$396</f>
        <v>2807.345717131474</v>
      </c>
      <c r="F41" s="129">
        <v>45834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19</v>
      </c>
      <c r="J41" s="132">
        <f t="shared" si="0"/>
        <v>0</v>
      </c>
      <c r="L41" s="179"/>
    </row>
    <row r="42" spans="1:16" s="180" customFormat="1" outlineLevel="1">
      <c r="B42" s="145" t="s">
        <v>391</v>
      </c>
      <c r="C42" s="174" t="s">
        <v>255</v>
      </c>
      <c r="D42" s="413">
        <v>1409287.55</v>
      </c>
      <c r="E42" s="142">
        <f>D42/CONVERSIONES!$C$396</f>
        <v>2807.345717131474</v>
      </c>
      <c r="F42" s="129">
        <v>45834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19</v>
      </c>
      <c r="J42" s="132">
        <f t="shared" si="0"/>
        <v>0</v>
      </c>
      <c r="L42" s="179"/>
    </row>
    <row r="43" spans="1:16" s="180" customFormat="1" outlineLevel="1">
      <c r="B43" s="145" t="s">
        <v>391</v>
      </c>
      <c r="C43" s="174" t="s">
        <v>330</v>
      </c>
      <c r="D43" s="414">
        <v>786551.54</v>
      </c>
      <c r="E43" s="142">
        <f>D43/CONVERSIONES!$C$396</f>
        <v>1566.8357370517929</v>
      </c>
      <c r="F43" s="129">
        <v>45834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19</v>
      </c>
      <c r="J43" s="132">
        <f t="shared" si="0"/>
        <v>0</v>
      </c>
      <c r="L43" s="179"/>
      <c r="M43" s="387"/>
      <c r="N43" s="387"/>
    </row>
    <row r="44" spans="1:16" s="180" customFormat="1" ht="15" outlineLevel="1" thickBot="1">
      <c r="B44" s="145" t="s">
        <v>391</v>
      </c>
      <c r="C44" s="174" t="s">
        <v>759</v>
      </c>
      <c r="D44" s="414">
        <v>4641955.33</v>
      </c>
      <c r="E44" s="142">
        <f>D44/CONVERSIONES!$C$396</f>
        <v>9246.9229681274901</v>
      </c>
      <c r="F44" s="129">
        <v>45834</v>
      </c>
      <c r="G44" s="90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CR'!$A$3:$A$29)</f>
        <v>19</v>
      </c>
      <c r="J44" s="132">
        <f t="shared" si="0"/>
        <v>0</v>
      </c>
      <c r="L44" s="179"/>
    </row>
    <row r="45" spans="1:16" s="90" customFormat="1" ht="16.2" thickBot="1">
      <c r="A45" s="180"/>
      <c r="B45" s="145"/>
      <c r="C45" s="127" t="s">
        <v>238</v>
      </c>
      <c r="D45" s="172">
        <f>SUBTOTAL(9,D46:D46)</f>
        <v>0</v>
      </c>
      <c r="E45" s="128">
        <f>SUBTOTAL(9,E46:E46)</f>
        <v>0</v>
      </c>
      <c r="L45" s="108"/>
    </row>
    <row r="46" spans="1:16" s="90" customFormat="1" ht="15" outlineLevel="1" thickBot="1">
      <c r="A46" s="180"/>
      <c r="B46" s="146"/>
      <c r="C46" s="101" t="s">
        <v>877</v>
      </c>
      <c r="D46" s="170">
        <v>0</v>
      </c>
      <c r="E46" s="142">
        <f>D46/$D$6</f>
        <v>0</v>
      </c>
      <c r="F46" s="129">
        <v>45838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CR'!$A$3:$A$29)</f>
        <v>21</v>
      </c>
      <c r="J46" s="132">
        <f>H46</f>
        <v>0</v>
      </c>
      <c r="L46" s="108"/>
      <c r="M46" s="392"/>
    </row>
    <row r="47" spans="1:16" s="90" customFormat="1" ht="14.25" customHeight="1">
      <c r="B47" s="100"/>
      <c r="C47" s="147" t="s">
        <v>239</v>
      </c>
      <c r="D47" s="171">
        <f>SUBTOTAL(9,D23:D46)</f>
        <v>26458730.190000005</v>
      </c>
      <c r="E47" s="148">
        <f>SUBTOTAL(9,E23:E46)</f>
        <v>52599.774354153953</v>
      </c>
      <c r="K47" s="393"/>
      <c r="L47" s="393"/>
      <c r="N47" s="393"/>
      <c r="O47" s="393"/>
      <c r="P47" s="393"/>
    </row>
    <row r="48" spans="1:16" ht="15.6">
      <c r="A48" s="90"/>
      <c r="E48" s="149"/>
      <c r="F48" s="239"/>
      <c r="G48" s="150"/>
      <c r="H48" s="150"/>
      <c r="I48" s="150"/>
      <c r="J48" s="150"/>
    </row>
    <row r="49" spans="1:16" ht="15.6">
      <c r="A49" s="90"/>
      <c r="C49" s="151" t="s">
        <v>3</v>
      </c>
      <c r="D49" s="182">
        <f>D18-D47</f>
        <v>22159115.307952389</v>
      </c>
      <c r="E49" s="152">
        <f>E18-E47</f>
        <v>44272.427231042049</v>
      </c>
      <c r="F49" s="243"/>
      <c r="G49" s="153"/>
      <c r="J49" s="153"/>
    </row>
    <row r="50" spans="1:16" s="157" customFormat="1" ht="15.6">
      <c r="A50" s="90"/>
      <c r="B50" s="154"/>
      <c r="C50" s="151" t="s">
        <v>240</v>
      </c>
      <c r="D50" s="155">
        <f>IF($D$18=0,0,D49/$D$18)</f>
        <v>0.45578151563474056</v>
      </c>
      <c r="E50" s="155">
        <f>IF($E$18=0,0,E49/$E$18)</f>
        <v>0.45701890229165348</v>
      </c>
      <c r="F50" s="156"/>
      <c r="G50" s="153"/>
      <c r="J50" s="158"/>
      <c r="K50" s="393"/>
      <c r="L50" s="393"/>
      <c r="N50" s="393"/>
      <c r="O50" s="393"/>
      <c r="P50" s="393"/>
    </row>
    <row r="51" spans="1:16">
      <c r="A51" s="90"/>
      <c r="F51" s="156"/>
      <c r="G51" s="153"/>
    </row>
    <row r="53" spans="1:16" ht="15" thickBot="1"/>
    <row r="54" spans="1:16" ht="15" thickBot="1">
      <c r="C54" s="189" t="s">
        <v>260</v>
      </c>
      <c r="D54" s="190" t="s">
        <v>261</v>
      </c>
      <c r="E54" s="191" t="s">
        <v>265</v>
      </c>
      <c r="F54" s="191" t="s">
        <v>266</v>
      </c>
    </row>
    <row r="55" spans="1:16">
      <c r="C55" s="400">
        <v>45809</v>
      </c>
      <c r="D55" s="396">
        <v>45816</v>
      </c>
      <c r="E55" s="401">
        <f>SUMIFS($D$22:$D$52,$F$22:$F$52,"&gt;="&amp;C55,$F$22:$F$52,"&lt;="&amp;D55,$G$22:$G$52,$D$68)</f>
        <v>0</v>
      </c>
      <c r="F55" s="402">
        <f>SUMIFS($E$22:$E$52,$F$22:$F$52,"&gt;="&amp;C55,$F$22:$F$52,"&lt;="&amp;D55,$G$22:$G$52,$D$68)</f>
        <v>0</v>
      </c>
    </row>
    <row r="56" spans="1:16">
      <c r="C56" s="403">
        <v>45817</v>
      </c>
      <c r="D56" s="398">
        <v>45823</v>
      </c>
      <c r="E56" s="404">
        <f>SUMIFS($D$22:$D$52,$F$22:$F$52,"&gt;="&amp;C56,$F$22:$F$52,"&lt;="&amp;D56,$G$22:$G$52,$D$68)</f>
        <v>0</v>
      </c>
      <c r="F56" s="405">
        <f>SUMIFS($E$22:$E$52,$F$22:$F$52,"&gt;="&amp;C56,$F$22:$F$52,"&lt;="&amp;D56,$G$22:$G$52,$D$68)</f>
        <v>0</v>
      </c>
      <c r="G56" s="393" t="s">
        <v>878</v>
      </c>
      <c r="J56" s="382"/>
    </row>
    <row r="57" spans="1:16">
      <c r="C57" s="403">
        <v>45824</v>
      </c>
      <c r="D57" s="397">
        <v>45830</v>
      </c>
      <c r="E57" s="404">
        <f>SUMIFS($D$22:$D$52,$F$22:$F$52,"&gt;="&amp;C57,$F$22:$F$52,"&lt;="&amp;D57,$G$22:$G$52,$D$68)</f>
        <v>0</v>
      </c>
      <c r="F57" s="405">
        <f>SUMIFS($E$22:$E$52,$F$22:$F$52,"&gt;="&amp;C57,$F$22:$F$52,"&lt;="&amp;D57,$G$22:$G$52,$D$68)</f>
        <v>0</v>
      </c>
    </row>
    <row r="58" spans="1:16" ht="15" thickBot="1">
      <c r="C58" s="406">
        <v>45831</v>
      </c>
      <c r="D58" s="399">
        <v>45838</v>
      </c>
      <c r="E58" s="407">
        <f>SUMIFS($D$22:$D$52,$F$22:$F$52,"&gt;="&amp;C58,$F$22:$F$52,"&lt;="&amp;D58,$G$22:$G$52,$D$68)</f>
        <v>0</v>
      </c>
      <c r="F58" s="408">
        <f>SUMIFS($E$22:$E$52,$F$22:$F$52,"&gt;="&amp;C58,$F$22:$F$52,"&lt;="&amp;D58,$G$22:$G$52,$D$68)</f>
        <v>0</v>
      </c>
      <c r="G58" s="393" t="s">
        <v>879</v>
      </c>
    </row>
    <row r="59" spans="1:16" ht="15.6">
      <c r="C59" s="589" t="s">
        <v>262</v>
      </c>
      <c r="D59" s="589"/>
      <c r="E59" s="186">
        <f>SUM(E55:E58)</f>
        <v>0</v>
      </c>
      <c r="F59" s="200">
        <f>SUM(F55:F58)</f>
        <v>0</v>
      </c>
      <c r="G59" s="94"/>
      <c r="J59" s="153"/>
      <c r="K59" s="153"/>
      <c r="M59" s="206"/>
    </row>
    <row r="62" spans="1:16">
      <c r="C62" s="592" t="s">
        <v>267</v>
      </c>
      <c r="D62" s="592"/>
      <c r="E62" s="204">
        <f>'BAC SAN JOSE COLONES  '!$G$500+('BAC SAN JOSE USD'!$G$350*$D$6)</f>
        <v>30791676.177353606</v>
      </c>
      <c r="F62" s="206">
        <f>'BAC SAN JOSE USD'!$G$350+('BAC SAN JOSE COLONES  '!$G$500/$D$6)</f>
        <v>61216.056018595642</v>
      </c>
    </row>
    <row r="63" spans="1:16">
      <c r="C63" s="592" t="s">
        <v>880</v>
      </c>
      <c r="D63" s="592"/>
      <c r="E63" s="204">
        <f>SUM(E55:E57)</f>
        <v>0</v>
      </c>
      <c r="F63" s="206">
        <f>SUM(F55:F57)</f>
        <v>0</v>
      </c>
      <c r="J63" s="324"/>
    </row>
    <row r="64" spans="1:16">
      <c r="C64" s="588" t="s">
        <v>152</v>
      </c>
      <c r="D64" s="588"/>
      <c r="E64" s="205">
        <f>E62-E63</f>
        <v>30791676.177353606</v>
      </c>
      <c r="F64" s="199">
        <f>F62-F63</f>
        <v>61216.056018595642</v>
      </c>
      <c r="G64" s="206"/>
      <c r="J64" s="206"/>
    </row>
    <row r="67" spans="4:6">
      <c r="D67" s="90" t="s">
        <v>235</v>
      </c>
      <c r="E67" s="170">
        <f>SUMIFS($D$22:$D$52,$F$22:$F$52,"&gt;="&amp;C55,$F$22:$F$52,"&lt;="&amp;D58,$G$22:$G$52,$D$67)</f>
        <v>26458730.190000005</v>
      </c>
      <c r="F67" s="206">
        <f>SUMIFS($E$22:$E$52,$F$22:$F$52,"&gt;="&amp;$C$55,$F$22:$F$52,"&lt;="&amp;$D$58,$G$22:$G$52,$D$67)</f>
        <v>52599.774354153953</v>
      </c>
    </row>
    <row r="68" spans="4:6">
      <c r="D68" s="90" t="s">
        <v>231</v>
      </c>
      <c r="E68" s="170">
        <f>SUMIFS($D$22:$D$52,$F$22:$F$52,"&gt;="&amp;C55,$F$22:$F$52,"&lt;="&amp;D58,$G$22:$G$52,$D$68)</f>
        <v>0</v>
      </c>
      <c r="F68" s="206">
        <f>SUMIFS($E$22:$E$52,$F$22:$F$52,"&gt;="&amp;C55,$F$22:$F$52,"&lt;="&amp;$D$58,$G$22:$G$52,$D$68)</f>
        <v>0</v>
      </c>
    </row>
    <row r="69" spans="4:6">
      <c r="D69" s="185" t="s">
        <v>263</v>
      </c>
      <c r="E69" s="194">
        <f>SUM(E67:E68)</f>
        <v>26458730.190000005</v>
      </c>
      <c r="F69" s="199">
        <f>SUM(F67:F68)</f>
        <v>52599.774354153953</v>
      </c>
    </row>
    <row r="70" spans="4:6">
      <c r="D70" s="185" t="s">
        <v>264</v>
      </c>
      <c r="E70" s="194">
        <f>(D47-E69)*0</f>
        <v>0</v>
      </c>
      <c r="F70" s="199">
        <f>F69-E47</f>
        <v>0</v>
      </c>
    </row>
    <row r="73" spans="4:6">
      <c r="E73" s="170"/>
      <c r="F73" s="206"/>
    </row>
    <row r="74" spans="4:6">
      <c r="D74" s="88" t="s">
        <v>400</v>
      </c>
      <c r="E74" s="170">
        <f>D49</f>
        <v>22159115.307952389</v>
      </c>
      <c r="F74" s="206"/>
    </row>
    <row r="75" spans="4:6">
      <c r="D75" s="88" t="s">
        <v>401</v>
      </c>
      <c r="E75" s="170">
        <f>'BAC SAN JOSE COLONES  '!G405+('BAC SAN JOSE USD'!G320*$D$6)</f>
        <v>22159115.307353597</v>
      </c>
    </row>
    <row r="76" spans="4:6">
      <c r="D76" s="88" t="s">
        <v>701</v>
      </c>
      <c r="E76" s="170">
        <f>E75-E74</f>
        <v>-5.9879198670387268E-4</v>
      </c>
      <c r="F76" s="395"/>
    </row>
    <row r="77" spans="4:6">
      <c r="D77" s="88" t="s">
        <v>702</v>
      </c>
      <c r="E77" s="395">
        <f>E76/D6</f>
        <v>-1.1904413254550152E-6</v>
      </c>
    </row>
  </sheetData>
  <protectedRanges>
    <protectedRange sqref="F18:G18 D51:E51 D10:E11" name="Presupuestos"/>
    <protectedRange sqref="D8:E8 D22:E22" name="Presupuestos_1"/>
    <protectedRange sqref="D29:E29" name="Presupuestos_13_1"/>
    <protectedRange sqref="D31:E31" name="Presupuestos_14"/>
    <protectedRange sqref="E41:E42 D43:E44 D37:E40" name="Presupuestos_2_1_1_1"/>
    <protectedRange sqref="E46" name="Presupuestos_6_1_1_1"/>
    <protectedRange sqref="D41:D42" name="Presupuestos_5_2_1"/>
    <protectedRange sqref="D35:E35" name="Presupuestos_7_1"/>
    <protectedRange sqref="D46" name="Presupuestos_5_3"/>
    <protectedRange sqref="D33:E33" name="Presupuestos_13_1_1"/>
  </protectedRanges>
  <autoFilter ref="A22:S46" xr:uid="{1F17355E-38E9-4A75-B797-7A2C6AD9FB58}"/>
  <mergeCells count="7">
    <mergeCell ref="C63:D63"/>
    <mergeCell ref="C64:D64"/>
    <mergeCell ref="D7:E7"/>
    <mergeCell ref="B21:C21"/>
    <mergeCell ref="D21:E21"/>
    <mergeCell ref="C59:D59"/>
    <mergeCell ref="C62:D62"/>
  </mergeCells>
  <dataValidations count="4">
    <dataValidation type="list" allowBlank="1" showInputMessage="1" showErrorMessage="1" sqref="B13:B17" xr:uid="{D4293663-C7B9-4657-BCE7-9576C2DC06E1}">
      <formula1>"Sin Pagar,Pagado"</formula1>
    </dataValidation>
    <dataValidation type="list" allowBlank="1" showInputMessage="1" showErrorMessage="1" sqref="D21 D7" xr:uid="{BF9174E8-1584-4A6B-BDD9-4A84CDC6D481}">
      <formula1>"ENERO,FEBRERO,MARZO,ABRIL,MAYO,JUNIO,JULIO,AGOSTO,SEPTIEMBRE,OCTUBRE,NOVIEMBRE,DICIEMBRE"</formula1>
    </dataValidation>
    <dataValidation type="list" allowBlank="1" showInputMessage="1" showErrorMessage="1" sqref="G26:G27 D67:D68 G52:G53 G29 G35 G46 G31 G33 G23:G24 G37:G44" xr:uid="{328828F0-27BA-4985-AC46-1A8919BE61A8}">
      <formula1>"Cancelado,Pagar,Sin Pagar"</formula1>
    </dataValidation>
    <dataValidation type="list" allowBlank="1" showInputMessage="1" showErrorMessage="1" sqref="O32" xr:uid="{FC784EC9-059B-4E27-953A-FBDFDB9DCCB8}">
      <formula1>"0,1"</formula1>
    </dataValidation>
  </dataValidations>
  <pageMargins left="0.7" right="0.7" top="0.75" bottom="0.75" header="0.3" footer="0.3"/>
  <pageSetup orientation="portrait" r:id="rId1"/>
  <ignoredErrors>
    <ignoredError sqref="J24:J46" unlockedFormula="1"/>
    <ignoredError sqref="D31:E33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2F80-B0EB-4F33-80E7-5A9D87779054}">
  <dimension ref="A1:S89"/>
  <sheetViews>
    <sheetView showGridLines="0" topLeftCell="A65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417" customWidth="1"/>
    <col min="2" max="2" width="18.88671875" style="418" bestFit="1" customWidth="1"/>
    <col min="3" max="3" width="54.33203125" style="417" bestFit="1" customWidth="1"/>
    <col min="4" max="4" width="24.44140625" style="88" customWidth="1"/>
    <col min="5" max="5" width="19.33203125" style="88" bestFit="1" customWidth="1"/>
    <col min="6" max="6" width="23.5546875" style="417" customWidth="1"/>
    <col min="7" max="7" width="18.88671875" style="417" customWidth="1"/>
    <col min="8" max="8" width="7.6640625" style="417" hidden="1" customWidth="1"/>
    <col min="9" max="9" width="12.109375" style="417" hidden="1" customWidth="1"/>
    <col min="10" max="10" width="25.33203125" style="417" customWidth="1"/>
    <col min="11" max="11" width="2.109375" style="417" customWidth="1"/>
    <col min="12" max="12" width="2.33203125" style="417" customWidth="1"/>
    <col min="13" max="13" width="17.109375" style="417" bestFit="1" customWidth="1"/>
    <col min="14" max="14" width="15.5546875" style="417" bestFit="1" customWidth="1"/>
    <col min="15" max="15" width="6.33203125" style="417" bestFit="1" customWidth="1"/>
    <col min="16" max="16" width="19.33203125" style="417" bestFit="1" customWidth="1"/>
    <col min="17" max="17" width="15.33203125" style="417" bestFit="1" customWidth="1"/>
    <col min="18" max="18" width="14" style="417" bestFit="1" customWidth="1"/>
    <col min="19" max="19" width="13" style="417" bestFit="1" customWidth="1"/>
    <col min="20" max="16384" width="9.109375" style="417"/>
  </cols>
  <sheetData>
    <row r="1" spans="2:9" hidden="1">
      <c r="D1" s="88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45839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499</v>
      </c>
      <c r="E6" s="89"/>
      <c r="I6" s="90"/>
    </row>
    <row r="7" spans="2:9" ht="15.6">
      <c r="C7" s="94"/>
      <c r="D7" s="590" t="s">
        <v>402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SUBTOTAL(9,D10:D12)</f>
        <v>22320916.502522446</v>
      </c>
      <c r="E9" s="98">
        <f>SUBTOTAL(9,E10:E12)</f>
        <v>44731.295596237374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'!$G$405</f>
        <v>19020452.125669982</v>
      </c>
      <c r="E10" s="218">
        <f>$D$10/$D$6</f>
        <v>38117.138528396761</v>
      </c>
      <c r="F10" s="103"/>
    </row>
    <row r="11" spans="2:9" s="90" customFormat="1" outlineLevel="1">
      <c r="B11" s="100"/>
      <c r="C11" s="101" t="s">
        <v>221</v>
      </c>
      <c r="D11" s="169">
        <f>$E$11*$D$6</f>
        <v>3113703.6335191312</v>
      </c>
      <c r="E11" s="218">
        <f>'BAC SAN JOSE USD'!$G$320</f>
        <v>6239.8870411205035</v>
      </c>
      <c r="F11" s="103"/>
    </row>
    <row r="12" spans="2:9" s="90" customFormat="1" hidden="1" outlineLevel="1">
      <c r="B12" s="100"/>
      <c r="C12" s="101"/>
      <c r="D12" s="169">
        <v>186760.74333333224</v>
      </c>
      <c r="E12" s="218">
        <f>D12/D6</f>
        <v>374.27002672010468</v>
      </c>
      <c r="F12" s="103"/>
    </row>
    <row r="13" spans="2:9" s="90" customFormat="1" ht="15.6">
      <c r="B13" s="100"/>
      <c r="C13" s="104" t="s">
        <v>222</v>
      </c>
      <c r="D13" s="167">
        <f>SUBTOTAL(9,D14:D18)</f>
        <v>36150375.736666664</v>
      </c>
      <c r="E13" s="98">
        <f>SUBTOTAL(9,E14:E18)</f>
        <v>72737.174520456058</v>
      </c>
      <c r="F13" s="105"/>
    </row>
    <row r="14" spans="2:9" s="178" customFormat="1" ht="28.8" outlineLevel="1">
      <c r="B14" s="107" t="s">
        <v>231</v>
      </c>
      <c r="C14" s="420" t="s">
        <v>928</v>
      </c>
      <c r="D14" s="169">
        <f>$E$14*$D$6</f>
        <v>0</v>
      </c>
      <c r="E14" s="218">
        <f>CONVERSIONES!$C$494*0</f>
        <v>0</v>
      </c>
      <c r="F14" s="345"/>
      <c r="G14" s="346"/>
    </row>
    <row r="15" spans="2:9" s="178" customFormat="1" ht="28.8" outlineLevel="1">
      <c r="B15" s="107" t="s">
        <v>231</v>
      </c>
      <c r="C15" s="420" t="s">
        <v>929</v>
      </c>
      <c r="D15" s="169">
        <f>E15*D6</f>
        <v>0</v>
      </c>
      <c r="E15" s="218">
        <f>CONVERSIONES!$E$494*0</f>
        <v>0</v>
      </c>
      <c r="F15" s="345"/>
      <c r="G15" s="346"/>
    </row>
    <row r="16" spans="2:9" s="178" customFormat="1" ht="28.8" outlineLevel="1">
      <c r="B16" s="328" t="s">
        <v>533</v>
      </c>
      <c r="C16" s="419" t="s">
        <v>959</v>
      </c>
      <c r="D16" s="330">
        <f>'DIFERENCIA CAMBI'!F121</f>
        <v>9327167.0966666657</v>
      </c>
      <c r="E16" s="331">
        <f>D16/'DIFERENCIA CAMBI'!E121</f>
        <v>18766.935808182425</v>
      </c>
      <c r="F16" s="345"/>
      <c r="G16" s="346"/>
    </row>
    <row r="17" spans="1:19" s="178" customFormat="1" ht="28.8" outlineLevel="1">
      <c r="B17" s="107" t="s">
        <v>231</v>
      </c>
      <c r="C17" s="420" t="s">
        <v>960</v>
      </c>
      <c r="D17" s="271">
        <f>E17*'DIFERENCIA CAMBI'!E122</f>
        <v>0</v>
      </c>
      <c r="E17" s="272">
        <f>'DIFERENCIA CAMBI'!G122*0</f>
        <v>0</v>
      </c>
      <c r="F17" s="345"/>
      <c r="G17" s="346"/>
    </row>
    <row r="18" spans="1:19" s="178" customFormat="1" outlineLevel="1">
      <c r="B18" s="328" t="s">
        <v>533</v>
      </c>
      <c r="C18" s="419" t="s">
        <v>961</v>
      </c>
      <c r="D18" s="330">
        <f>E18*'DIFERENCIA CAMBI'!E129</f>
        <v>26823208.640000001</v>
      </c>
      <c r="E18" s="331">
        <f>('DIFERENCIA CAMBI'!$G$123+'DIFERENCIA CAMBI'!$G$124+'DIFERENCIA CAMBI'!$G$125+'DIFERENCIA CAMBI'!$G$126+'DIFERENCIA CAMBI'!$G$127+'DIFERENCIA CAMBI'!$G$128+'DIFERENCIA CAMBI'!$G$129)</f>
        <v>53970.23871227364</v>
      </c>
      <c r="F18" s="345"/>
      <c r="G18" s="346"/>
    </row>
    <row r="19" spans="1:19" s="90" customFormat="1" ht="15.6">
      <c r="B19" s="100"/>
      <c r="C19" s="109" t="s">
        <v>223</v>
      </c>
      <c r="D19" s="168">
        <f>SUBTOTAL(9,D9:D18)</f>
        <v>58471292.239189111</v>
      </c>
      <c r="E19" s="207">
        <f>SUBTOTAL(9,E9:E18)</f>
        <v>117468.47011669344</v>
      </c>
      <c r="F19" s="110"/>
      <c r="G19" s="110"/>
      <c r="J19" s="108"/>
      <c r="K19" s="111"/>
      <c r="O19" s="112"/>
      <c r="P19" s="113"/>
      <c r="Q19" s="114"/>
    </row>
    <row r="20" spans="1:19" s="90" customFormat="1" ht="15.6">
      <c r="B20" s="100"/>
      <c r="C20" s="115"/>
      <c r="D20" s="116"/>
      <c r="E20" s="116"/>
      <c r="G20" s="117"/>
      <c r="O20" s="113"/>
      <c r="P20" s="113"/>
    </row>
    <row r="21" spans="1:19" s="90" customFormat="1" ht="15.6">
      <c r="B21" s="100"/>
      <c r="N21" s="118"/>
      <c r="O21" s="119"/>
      <c r="P21" s="120"/>
    </row>
    <row r="22" spans="1:19" s="90" customFormat="1" ht="15.6">
      <c r="B22" s="590" t="s">
        <v>224</v>
      </c>
      <c r="C22" s="590"/>
      <c r="D22" s="590" t="s">
        <v>402</v>
      </c>
      <c r="E22" s="590"/>
      <c r="K22" s="120"/>
      <c r="L22" s="120"/>
      <c r="N22" s="118"/>
      <c r="R22" s="108"/>
      <c r="S22" s="108"/>
    </row>
    <row r="23" spans="1:19" s="90" customFormat="1" ht="16.2" thickBot="1">
      <c r="B23" s="121" t="s">
        <v>225</v>
      </c>
      <c r="C23" s="122" t="s">
        <v>226</v>
      </c>
      <c r="D23" s="95" t="s">
        <v>242</v>
      </c>
      <c r="E23" s="95" t="s">
        <v>219</v>
      </c>
      <c r="F23" s="123" t="s">
        <v>227</v>
      </c>
      <c r="G23" s="118" t="s">
        <v>228</v>
      </c>
      <c r="H23" s="118"/>
      <c r="I23" s="118"/>
      <c r="J23" s="124" t="s">
        <v>229</v>
      </c>
      <c r="N23" s="125"/>
      <c r="R23" s="108"/>
      <c r="S23" s="126"/>
    </row>
    <row r="24" spans="1:19" s="90" customFormat="1" ht="16.2" thickBot="1">
      <c r="B24" s="100"/>
      <c r="C24" s="127" t="s">
        <v>230</v>
      </c>
      <c r="D24" s="172">
        <f>SUBTOTAL(9,D25:D25)</f>
        <v>7740863</v>
      </c>
      <c r="E24" s="128">
        <f>SUBTOTAL(9,E25:E25)</f>
        <v>15512.751503006011</v>
      </c>
      <c r="F24" s="129"/>
      <c r="J24" s="130"/>
    </row>
    <row r="25" spans="1:19" s="90" customFormat="1" ht="15" outlineLevel="1" thickBot="1">
      <c r="A25" s="103"/>
      <c r="B25" s="100" t="s">
        <v>932</v>
      </c>
      <c r="C25" s="174" t="s">
        <v>403</v>
      </c>
      <c r="D25" s="169">
        <v>7740863</v>
      </c>
      <c r="E25" s="142">
        <f>D25/$D$6</f>
        <v>15512.751503006011</v>
      </c>
      <c r="F25" s="134">
        <v>45849</v>
      </c>
      <c r="G25" s="90" t="s">
        <v>235</v>
      </c>
      <c r="H25" s="90">
        <f>IF(OR(G25="Sin pagar",G25="Pagar"),_xlfn.SINGLE(NETWORKDAYS($E$4,F25,'Festivos CR'!$A$3:$A$29)),0)</f>
        <v>0</v>
      </c>
      <c r="I25" s="90">
        <f>NETWORKDAYS($E$4,F25,'Festivos CR'!$A$3:$A$29)</f>
        <v>9</v>
      </c>
      <c r="J25" s="132">
        <f t="shared" ref="J25:J31" si="0">H25</f>
        <v>0</v>
      </c>
      <c r="K25" s="108"/>
      <c r="L25" s="108"/>
      <c r="M25" s="349"/>
      <c r="N25" s="349"/>
    </row>
    <row r="26" spans="1:19" s="90" customFormat="1" ht="16.2" thickBot="1">
      <c r="B26" s="100"/>
      <c r="C26" s="127" t="s">
        <v>232</v>
      </c>
      <c r="D26" s="172">
        <f>SUBTOTAL(9,D27:D29)</f>
        <v>2509140</v>
      </c>
      <c r="E26" s="128">
        <f>SUBTOTAL(9,E27:E29)</f>
        <v>5028.3366733466937</v>
      </c>
      <c r="J26" s="130">
        <f t="shared" si="0"/>
        <v>0</v>
      </c>
    </row>
    <row r="27" spans="1:19" s="90" customFormat="1" outlineLevel="1">
      <c r="B27" s="373" t="s">
        <v>934</v>
      </c>
      <c r="C27" s="101" t="s">
        <v>292</v>
      </c>
      <c r="D27" s="271">
        <v>2398432</v>
      </c>
      <c r="E27" s="142">
        <f>D27/$D$6</f>
        <v>4806.4769539078152</v>
      </c>
      <c r="F27" s="134">
        <v>45849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9</v>
      </c>
      <c r="J27" s="132">
        <f t="shared" si="0"/>
        <v>0</v>
      </c>
      <c r="K27" s="135"/>
      <c r="L27" s="111"/>
      <c r="M27" s="349"/>
      <c r="N27" s="349"/>
    </row>
    <row r="28" spans="1:19" s="90" customFormat="1" ht="28.8" outlineLevel="1">
      <c r="B28" s="373" t="s">
        <v>936</v>
      </c>
      <c r="C28" s="101" t="s">
        <v>919</v>
      </c>
      <c r="D28" s="271">
        <v>65708</v>
      </c>
      <c r="E28" s="142">
        <f>D28/$D$6</f>
        <v>131.67935871743487</v>
      </c>
      <c r="F28" s="134">
        <v>45849</v>
      </c>
      <c r="G28" s="90" t="s">
        <v>235</v>
      </c>
      <c r="H28" s="90">
        <f>IF(OR(G28="Sin pagar",G28="Pagar"),_xlfn.SINGLE(NETWORKDAYS($E$4,F28,'Festivos CR'!$A$3:$A$29)),0)</f>
        <v>0</v>
      </c>
      <c r="I28" s="90">
        <f>NETWORKDAYS($E$4,F28,'Festivos CR'!$A$3:$A$29)</f>
        <v>9</v>
      </c>
      <c r="J28" s="132">
        <f t="shared" si="0"/>
        <v>0</v>
      </c>
      <c r="K28" s="135"/>
      <c r="L28" s="111"/>
      <c r="M28" s="349"/>
    </row>
    <row r="29" spans="1:19" s="90" customFormat="1" ht="15" outlineLevel="1" thickBot="1">
      <c r="B29" s="373" t="s">
        <v>935</v>
      </c>
      <c r="C29" s="101" t="s">
        <v>939</v>
      </c>
      <c r="D29" s="271">
        <v>45000</v>
      </c>
      <c r="E29" s="142">
        <f>D29/$D$6</f>
        <v>90.180360721442881</v>
      </c>
      <c r="F29" s="134">
        <v>45849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CR'!$A$3:$A$29)</f>
        <v>9</v>
      </c>
      <c r="J29" s="132">
        <f t="shared" si="0"/>
        <v>0</v>
      </c>
      <c r="K29" s="135"/>
      <c r="L29" s="111"/>
      <c r="M29" s="349"/>
    </row>
    <row r="30" spans="1:19" s="90" customFormat="1" ht="16.2" thickBot="1">
      <c r="B30" s="100"/>
      <c r="C30" s="127" t="s">
        <v>233</v>
      </c>
      <c r="D30" s="172">
        <f>SUBTOTAL(9,D31:D31)</f>
        <v>112774</v>
      </c>
      <c r="E30" s="128">
        <f>SUBTOTAL(9,E31:E31)</f>
        <v>226</v>
      </c>
      <c r="J30" s="130">
        <f t="shared" si="0"/>
        <v>0</v>
      </c>
      <c r="K30" s="108"/>
      <c r="L30" s="108"/>
      <c r="N30" s="349"/>
    </row>
    <row r="31" spans="1:19" s="90" customFormat="1" ht="15" outlineLevel="1" thickBot="1">
      <c r="B31" s="100">
        <v>33</v>
      </c>
      <c r="C31" s="101" t="s">
        <v>964</v>
      </c>
      <c r="D31" s="169">
        <f>E31*D6</f>
        <v>112774</v>
      </c>
      <c r="E31" s="137">
        <v>226</v>
      </c>
      <c r="F31" s="134">
        <v>45855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CR'!$A$3:$A$29)</f>
        <v>13</v>
      </c>
      <c r="J31" s="132">
        <f t="shared" si="0"/>
        <v>0</v>
      </c>
      <c r="M31" s="369"/>
      <c r="N31" s="103"/>
    </row>
    <row r="32" spans="1:19" s="90" customFormat="1" ht="16.2" thickBot="1">
      <c r="C32" s="127" t="s">
        <v>250</v>
      </c>
      <c r="D32" s="172">
        <f>SUBTOTAL(9,D33:D33)</f>
        <v>0</v>
      </c>
      <c r="E32" s="128">
        <f>SUBTOTAL(9,E33:E33)</f>
        <v>0</v>
      </c>
      <c r="K32" s="103"/>
      <c r="L32" s="103"/>
      <c r="O32" s="103"/>
      <c r="P32" s="103"/>
    </row>
    <row r="33" spans="2:16" s="90" customFormat="1" ht="14.25" customHeight="1" outlineLevel="1" thickBot="1">
      <c r="B33" s="138" t="s">
        <v>590</v>
      </c>
      <c r="C33" s="101" t="s">
        <v>251</v>
      </c>
      <c r="D33" s="169">
        <f>77000*7*0</f>
        <v>0</v>
      </c>
      <c r="E33" s="137">
        <f>D33/$D$6</f>
        <v>0</v>
      </c>
      <c r="F33" s="129">
        <v>45869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CR'!$A$3:$A$29)</f>
        <v>22</v>
      </c>
      <c r="J33" s="132">
        <f>H33</f>
        <v>0</v>
      </c>
      <c r="K33" s="103"/>
      <c r="L33" s="103"/>
      <c r="M33" s="369"/>
      <c r="O33" s="103"/>
      <c r="P33" s="103"/>
    </row>
    <row r="34" spans="2:16" s="90" customFormat="1" ht="16.2" thickBot="1">
      <c r="B34" s="136"/>
      <c r="C34" s="139" t="s">
        <v>234</v>
      </c>
      <c r="D34" s="173">
        <f>SUBTOTAL(9,D35:D35)</f>
        <v>0</v>
      </c>
      <c r="E34" s="140">
        <f>SUBTOTAL(9,E35:E35)</f>
        <v>0</v>
      </c>
      <c r="K34" s="108"/>
    </row>
    <row r="35" spans="2:16" s="90" customFormat="1" ht="15" outlineLevel="1" thickBot="1">
      <c r="B35" s="176"/>
      <c r="C35" s="174"/>
      <c r="D35" s="169">
        <f>E35*$D$6</f>
        <v>0</v>
      </c>
      <c r="E35" s="137">
        <f>440*0</f>
        <v>0</v>
      </c>
      <c r="F35" s="129">
        <v>45869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CR'!$A$3:$A$29)</f>
        <v>22</v>
      </c>
      <c r="J35" s="132">
        <f>H35</f>
        <v>0</v>
      </c>
      <c r="M35" s="297"/>
      <c r="N35" s="298"/>
    </row>
    <row r="36" spans="2:16" s="90" customFormat="1" ht="15.75" customHeight="1" thickBot="1">
      <c r="C36" s="127" t="s">
        <v>236</v>
      </c>
      <c r="D36" s="172">
        <f>SUBTOTAL(9,D37:D37)</f>
        <v>0</v>
      </c>
      <c r="E36" s="128">
        <f>SUBTOTAL(9,E37:E37)</f>
        <v>0</v>
      </c>
      <c r="M36" s="299"/>
      <c r="N36" s="299"/>
      <c r="O36" s="118"/>
      <c r="P36" s="300"/>
    </row>
    <row r="37" spans="2:16" s="90" customFormat="1" ht="15" outlineLevel="1" thickBot="1">
      <c r="B37" s="100"/>
      <c r="C37" s="174" t="s">
        <v>236</v>
      </c>
      <c r="D37" s="271">
        <v>0</v>
      </c>
      <c r="E37" s="142">
        <v>0</v>
      </c>
      <c r="F37" s="129">
        <v>45869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CR'!$A$3:$A$29)</f>
        <v>22</v>
      </c>
      <c r="J37" s="132">
        <f>H37</f>
        <v>0</v>
      </c>
    </row>
    <row r="38" spans="2:16" s="90" customFormat="1" ht="16.2" thickBot="1">
      <c r="C38" s="127" t="s">
        <v>237</v>
      </c>
      <c r="D38" s="172">
        <f>SUBTOTAL(9,D39:D52)</f>
        <v>24098834.07</v>
      </c>
      <c r="E38" s="128">
        <f>SUBTOTAL(9,E39:E52)</f>
        <v>48005.645557768919</v>
      </c>
      <c r="K38" s="108"/>
      <c r="L38" s="143"/>
    </row>
    <row r="39" spans="2:16" s="180" customFormat="1" outlineLevel="1">
      <c r="B39" s="265" t="s">
        <v>270</v>
      </c>
      <c r="C39" s="174" t="s">
        <v>918</v>
      </c>
      <c r="D39" s="170">
        <f>E39*CONVERSIONES!$C$396</f>
        <v>266672.44</v>
      </c>
      <c r="E39" s="142">
        <v>531.22</v>
      </c>
      <c r="F39" s="129">
        <v>45855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CR'!$A$3:$A$29)</f>
        <v>13</v>
      </c>
      <c r="J39" s="132">
        <f>H39</f>
        <v>0</v>
      </c>
      <c r="L39" s="179"/>
    </row>
    <row r="40" spans="2:16" s="180" customFormat="1" outlineLevel="1">
      <c r="B40" s="265" t="s">
        <v>270</v>
      </c>
      <c r="C40" s="174" t="s">
        <v>967</v>
      </c>
      <c r="D40" s="170">
        <f>E40*CONVERSIONES!$C$396</f>
        <v>64722.86</v>
      </c>
      <c r="E40" s="142">
        <v>128.93</v>
      </c>
      <c r="F40" s="129">
        <v>45855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13</v>
      </c>
      <c r="J40" s="132">
        <f>H40</f>
        <v>0</v>
      </c>
      <c r="L40" s="179"/>
    </row>
    <row r="41" spans="2:16" s="180" customFormat="1" outlineLevel="1">
      <c r="B41" s="265" t="s">
        <v>270</v>
      </c>
      <c r="C41" s="174" t="s">
        <v>257</v>
      </c>
      <c r="D41" s="170">
        <f>E41*CONVERSIONES!$C$396</f>
        <v>3348947.42</v>
      </c>
      <c r="E41" s="142">
        <v>6671.21</v>
      </c>
      <c r="F41" s="129">
        <v>45866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19</v>
      </c>
      <c r="J41" s="132">
        <f t="shared" ref="J41:J48" si="1">H41</f>
        <v>0</v>
      </c>
      <c r="L41" s="179"/>
    </row>
    <row r="42" spans="2:16" s="180" customFormat="1" outlineLevel="1">
      <c r="B42" s="265" t="s">
        <v>270</v>
      </c>
      <c r="C42" s="174" t="s">
        <v>747</v>
      </c>
      <c r="D42" s="170">
        <f>E42*CONVERSIONES!$C$396</f>
        <v>2540456.34</v>
      </c>
      <c r="E42" s="142">
        <v>5060.67</v>
      </c>
      <c r="F42" s="129">
        <v>45866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19</v>
      </c>
      <c r="J42" s="132">
        <f t="shared" si="1"/>
        <v>0</v>
      </c>
      <c r="L42" s="179"/>
    </row>
    <row r="43" spans="2:16" s="180" customFormat="1" outlineLevel="1">
      <c r="B43" s="265" t="s">
        <v>270</v>
      </c>
      <c r="C43" s="174" t="s">
        <v>258</v>
      </c>
      <c r="D43" s="170">
        <f>E43*CONVERSIONES!$C$396</f>
        <v>1716102.06</v>
      </c>
      <c r="E43" s="142">
        <v>3418.53</v>
      </c>
      <c r="F43" s="129">
        <v>45866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19</v>
      </c>
      <c r="J43" s="132">
        <f t="shared" si="1"/>
        <v>0</v>
      </c>
      <c r="L43" s="179"/>
    </row>
    <row r="44" spans="2:16" s="180" customFormat="1" ht="28.8" outlineLevel="1">
      <c r="B44" s="265" t="s">
        <v>270</v>
      </c>
      <c r="C44" s="174" t="s">
        <v>974</v>
      </c>
      <c r="D44" s="170">
        <f>E44*CONVERSIONES!$C$396</f>
        <v>3098881.1399999997</v>
      </c>
      <c r="E44" s="142">
        <v>6173.07</v>
      </c>
      <c r="F44" s="129">
        <v>45866</v>
      </c>
      <c r="G44" s="90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CR'!$A$3:$A$29)</f>
        <v>19</v>
      </c>
      <c r="J44" s="132">
        <f>H44</f>
        <v>0</v>
      </c>
      <c r="L44" s="179"/>
    </row>
    <row r="45" spans="2:16" s="180" customFormat="1" outlineLevel="1">
      <c r="B45" s="265" t="s">
        <v>270</v>
      </c>
      <c r="C45" s="174" t="s">
        <v>967</v>
      </c>
      <c r="D45" s="170">
        <f>E45*CONVERSIONES!$C$396</f>
        <v>1775348.1</v>
      </c>
      <c r="E45" s="142">
        <v>3536.55</v>
      </c>
      <c r="F45" s="129">
        <v>45866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CR'!$A$3:$A$29)</f>
        <v>19</v>
      </c>
      <c r="J45" s="132">
        <f>H45</f>
        <v>0</v>
      </c>
      <c r="L45" s="179"/>
    </row>
    <row r="46" spans="2:16" s="180" customFormat="1" outlineLevel="1">
      <c r="B46" s="145" t="s">
        <v>391</v>
      </c>
      <c r="C46" s="174" t="s">
        <v>253</v>
      </c>
      <c r="D46" s="170">
        <v>1409287.55</v>
      </c>
      <c r="E46" s="142">
        <f>D46/CONVERSIONES!$C$396</f>
        <v>2807.345717131474</v>
      </c>
      <c r="F46" s="129">
        <v>45866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CR'!$A$3:$A$29)</f>
        <v>19</v>
      </c>
      <c r="J46" s="132">
        <f t="shared" si="1"/>
        <v>0</v>
      </c>
      <c r="L46" s="179"/>
    </row>
    <row r="47" spans="2:16" s="180" customFormat="1" outlineLevel="1">
      <c r="B47" s="145" t="s">
        <v>391</v>
      </c>
      <c r="C47" s="174" t="s">
        <v>255</v>
      </c>
      <c r="D47" s="170">
        <v>1409287.55</v>
      </c>
      <c r="E47" s="142">
        <f>D47/CONVERSIONES!$C$396</f>
        <v>2807.345717131474</v>
      </c>
      <c r="F47" s="129">
        <v>45866</v>
      </c>
      <c r="G47" s="90" t="s">
        <v>235</v>
      </c>
      <c r="H47" s="90">
        <f>IF(OR(G47="Sin pagar",G47="Pagar"),_xlfn.SINGLE(NETWORKDAYS($E$4,F47,'Festivos CR'!$A$3:$A$29)),0)</f>
        <v>0</v>
      </c>
      <c r="I47" s="90">
        <f>NETWORKDAYS($E$4,F47,'Festivos CR'!$A$3:$A$29)</f>
        <v>19</v>
      </c>
      <c r="J47" s="132">
        <f t="shared" si="1"/>
        <v>0</v>
      </c>
      <c r="L47" s="179"/>
    </row>
    <row r="48" spans="2:16" s="180" customFormat="1" outlineLevel="1">
      <c r="B48" s="145" t="s">
        <v>391</v>
      </c>
      <c r="C48" s="174" t="s">
        <v>330</v>
      </c>
      <c r="D48" s="170">
        <v>786551.54</v>
      </c>
      <c r="E48" s="142">
        <f>D48/CONVERSIONES!$C$396</f>
        <v>1566.8357370517929</v>
      </c>
      <c r="F48" s="129">
        <v>45866</v>
      </c>
      <c r="G48" s="90" t="s">
        <v>235</v>
      </c>
      <c r="H48" s="90">
        <f>IF(OR(G48="Sin pagar",G48="Pagar"),_xlfn.SINGLE(NETWORKDAYS($E$4,F48,'Festivos CR'!$A$3:$A$29)),0)</f>
        <v>0</v>
      </c>
      <c r="I48" s="90">
        <f>NETWORKDAYS($E$4,F48,'Festivos CR'!$A$3:$A$29)</f>
        <v>19</v>
      </c>
      <c r="J48" s="132">
        <f t="shared" si="1"/>
        <v>0</v>
      </c>
      <c r="L48" s="179"/>
      <c r="M48" s="387"/>
      <c r="N48" s="387"/>
    </row>
    <row r="49" spans="1:16" s="180" customFormat="1" ht="28.8" outlineLevel="1">
      <c r="B49" s="145" t="s">
        <v>391</v>
      </c>
      <c r="C49" s="174" t="s">
        <v>976</v>
      </c>
      <c r="D49" s="170">
        <v>575515.22</v>
      </c>
      <c r="E49" s="142">
        <f>D49/CONVERSIONES!$C$396</f>
        <v>1146.4446613545815</v>
      </c>
      <c r="F49" s="129">
        <v>45866</v>
      </c>
      <c r="G49" s="90" t="s">
        <v>235</v>
      </c>
      <c r="H49" s="90">
        <f>IF(OR(G49="Sin pagar",G49="Pagar"),_xlfn.SINGLE(NETWORKDAYS($E$4,F49,'Festivos CR'!$A$3:$A$29)),0)</f>
        <v>0</v>
      </c>
      <c r="I49" s="90">
        <f>NETWORKDAYS($E$4,F49,'Festivos CR'!$A$3:$A$29)</f>
        <v>19</v>
      </c>
      <c r="J49" s="132">
        <f>H49</f>
        <v>0</v>
      </c>
      <c r="L49" s="179"/>
    </row>
    <row r="50" spans="1:16" s="180" customFormat="1" outlineLevel="1">
      <c r="B50" s="145" t="s">
        <v>391</v>
      </c>
      <c r="C50" s="174" t="s">
        <v>977</v>
      </c>
      <c r="D50" s="170">
        <v>421042.07</v>
      </c>
      <c r="E50" s="142">
        <f>D50/CONVERSIONES!$C$396</f>
        <v>838.72922310756974</v>
      </c>
      <c r="F50" s="129">
        <v>45867</v>
      </c>
      <c r="G50" s="90" t="s">
        <v>235</v>
      </c>
      <c r="H50" s="90">
        <f>IF(OR(G50="Sin pagar",G50="Pagar"),_xlfn.SINGLE(NETWORKDAYS($E$4,F50,'Festivos CR'!$A$3:$A$29)),0)</f>
        <v>0</v>
      </c>
      <c r="I50" s="90">
        <f>NETWORKDAYS($E$4,F50,'Festivos CR'!$A$3:$A$29)</f>
        <v>20</v>
      </c>
      <c r="J50" s="132">
        <f>H50</f>
        <v>0</v>
      </c>
      <c r="L50" s="179"/>
    </row>
    <row r="51" spans="1:16" s="180" customFormat="1" outlineLevel="1">
      <c r="B51" s="145" t="s">
        <v>391</v>
      </c>
      <c r="C51" s="174" t="s">
        <v>759</v>
      </c>
      <c r="D51" s="170">
        <v>4646054.8600000003</v>
      </c>
      <c r="E51" s="142">
        <f>D51/CONVERSIONES!$C$396</f>
        <v>9255.0893625498011</v>
      </c>
      <c r="F51" s="129">
        <v>45867</v>
      </c>
      <c r="G51" s="90" t="s">
        <v>235</v>
      </c>
      <c r="H51" s="90">
        <f>IF(OR(G51="Sin pagar",G51="Pagar"),_xlfn.SINGLE(NETWORKDAYS($E$4,F51,'Festivos CR'!$A$3:$A$29)),0)</f>
        <v>0</v>
      </c>
      <c r="I51" s="90">
        <f>NETWORKDAYS($E$4,F51,'Festivos CR'!$A$3:$A$29)</f>
        <v>20</v>
      </c>
      <c r="J51" s="132">
        <f>H51</f>
        <v>0</v>
      </c>
      <c r="L51" s="179"/>
    </row>
    <row r="52" spans="1:16" s="180" customFormat="1" ht="29.4" outlineLevel="1" thickBot="1">
      <c r="B52" s="145" t="s">
        <v>391</v>
      </c>
      <c r="C52" s="174" t="s">
        <v>985</v>
      </c>
      <c r="D52" s="170">
        <v>2039964.92</v>
      </c>
      <c r="E52" s="142">
        <f>D52/CONVERSIONES!$C$396</f>
        <v>4063.6751394422308</v>
      </c>
      <c r="F52" s="129">
        <v>45867</v>
      </c>
      <c r="G52" s="90" t="s">
        <v>235</v>
      </c>
      <c r="H52" s="90">
        <f>IF(OR(G52="Sin pagar",G52="Pagar"),_xlfn.SINGLE(NETWORKDAYS($E$4,F52,'Festivos CR'!$A$3:$A$29)),0)</f>
        <v>0</v>
      </c>
      <c r="I52" s="90">
        <f>NETWORKDAYS($E$4,F52,'Festivos CR'!$A$3:$A$29)</f>
        <v>20</v>
      </c>
      <c r="J52" s="132">
        <f>H52</f>
        <v>0</v>
      </c>
      <c r="L52" s="179"/>
    </row>
    <row r="53" spans="1:16" s="90" customFormat="1" ht="16.2" thickBot="1">
      <c r="A53" s="180"/>
      <c r="B53" s="145"/>
      <c r="C53" s="127" t="s">
        <v>238</v>
      </c>
      <c r="D53" s="172">
        <f>SUBTOTAL(9,D54:D56)</f>
        <v>592502.28</v>
      </c>
      <c r="E53" s="128">
        <f>SUBTOTAL(9,E54:E56)</f>
        <v>1187.3793186372745</v>
      </c>
      <c r="L53" s="108"/>
    </row>
    <row r="54" spans="1:16" s="90" customFormat="1" outlineLevel="1">
      <c r="A54" s="180"/>
      <c r="B54" s="146"/>
      <c r="C54" s="101" t="s">
        <v>925</v>
      </c>
      <c r="D54" s="170">
        <f>'BAC SAN JOSE COLONES  '!F407</f>
        <v>512</v>
      </c>
      <c r="E54" s="142">
        <f>D54/$D$6</f>
        <v>1.0260521042084167</v>
      </c>
      <c r="F54" s="129">
        <v>45839</v>
      </c>
      <c r="G54" s="90" t="s">
        <v>235</v>
      </c>
      <c r="H54" s="90">
        <f>IF(OR(G54="Sin pagar",G54="Pagar"),_xlfn.SINGLE(NETWORKDAYS($E$4,F54,'Festivos CR'!$A$3:$A$29)),0)</f>
        <v>0</v>
      </c>
      <c r="I54" s="90">
        <f>NETWORKDAYS($E$4,F54,'Festivos CR'!$A$3:$A$29)</f>
        <v>1</v>
      </c>
      <c r="J54" s="132">
        <f>H54</f>
        <v>0</v>
      </c>
      <c r="L54" s="108"/>
      <c r="M54" s="392"/>
    </row>
    <row r="55" spans="1:16" s="90" customFormat="1" outlineLevel="1">
      <c r="A55" s="180"/>
      <c r="B55" s="146"/>
      <c r="C55" s="101" t="s">
        <v>941</v>
      </c>
      <c r="D55" s="170">
        <f>$E$55*$D$6</f>
        <v>67868.989999999991</v>
      </c>
      <c r="E55" s="142">
        <v>136.01</v>
      </c>
      <c r="F55" s="129">
        <v>45852</v>
      </c>
      <c r="G55" s="90" t="s">
        <v>235</v>
      </c>
      <c r="H55" s="90">
        <f>IF(OR(G55="Sin pagar",G55="Pagar"),_xlfn.SINGLE(NETWORKDAYS($E$4,F55,'Festivos CR'!$A$3:$A$29)),0)</f>
        <v>0</v>
      </c>
      <c r="I55" s="90">
        <f>NETWORKDAYS($E$4,F55,'Festivos CR'!$A$3:$A$29)</f>
        <v>10</v>
      </c>
      <c r="J55" s="132">
        <f>H55</f>
        <v>0</v>
      </c>
      <c r="L55" s="108"/>
      <c r="M55" s="392"/>
    </row>
    <row r="56" spans="1:16" s="90" customFormat="1" ht="15" outlineLevel="1" thickBot="1">
      <c r="A56" s="180"/>
      <c r="B56" s="146"/>
      <c r="C56" s="101" t="s">
        <v>986</v>
      </c>
      <c r="D56" s="170">
        <v>524121.29</v>
      </c>
      <c r="E56" s="142">
        <f>D56/D6</f>
        <v>1050.3432665330661</v>
      </c>
      <c r="F56" s="129">
        <v>45873</v>
      </c>
      <c r="G56" s="90" t="s">
        <v>235</v>
      </c>
      <c r="H56" s="90">
        <f>IF(OR(G56="Sin pagar",G56="Pagar"),_xlfn.SINGLE(NETWORKDAYS($E$4,F56,'Festivos CR'!$A$3:$A$29)),0)</f>
        <v>0</v>
      </c>
      <c r="I56" s="90">
        <f>NETWORKDAYS($E$4,F56,'Festivos CR'!$A$3:$A$29)</f>
        <v>24</v>
      </c>
      <c r="J56" s="132">
        <f>H56</f>
        <v>0</v>
      </c>
      <c r="L56" s="108"/>
      <c r="M56" s="392"/>
    </row>
    <row r="57" spans="1:16" s="90" customFormat="1" ht="14.25" customHeight="1">
      <c r="B57" s="100"/>
      <c r="C57" s="147" t="s">
        <v>239</v>
      </c>
      <c r="D57" s="171">
        <f>SUBTOTAL(9,D24:D56)</f>
        <v>35054113.350000001</v>
      </c>
      <c r="E57" s="148">
        <f>SUBTOTAL(9,E24:E56)</f>
        <v>69960.113052758883</v>
      </c>
      <c r="K57" s="417"/>
      <c r="L57" s="417"/>
      <c r="N57" s="417"/>
      <c r="O57" s="417"/>
      <c r="P57" s="417"/>
    </row>
    <row r="58" spans="1:16" ht="15.6">
      <c r="A58" s="90"/>
      <c r="E58" s="149"/>
      <c r="F58" s="239"/>
      <c r="G58" s="150"/>
      <c r="H58" s="150"/>
      <c r="I58" s="150"/>
      <c r="J58" s="150"/>
    </row>
    <row r="59" spans="1:16" ht="15.6">
      <c r="A59" s="90"/>
      <c r="C59" s="151" t="s">
        <v>3</v>
      </c>
      <c r="D59" s="182">
        <f>D19-D57</f>
        <v>23417178.889189109</v>
      </c>
      <c r="E59" s="152">
        <f>E19-E57</f>
        <v>47508.357063934556</v>
      </c>
      <c r="F59" s="243"/>
      <c r="G59" s="153"/>
      <c r="J59" s="153"/>
    </row>
    <row r="60" spans="1:16" s="157" customFormat="1" ht="15.6">
      <c r="A60" s="90"/>
      <c r="B60" s="154"/>
      <c r="C60" s="151" t="s">
        <v>240</v>
      </c>
      <c r="D60" s="155">
        <f>IF($D$19=0,0,D59/$D$19)</f>
        <v>0.40049018915806095</v>
      </c>
      <c r="E60" s="155">
        <f>IF($E$19=0,0,E59/$E$19)</f>
        <v>0.40443496894732389</v>
      </c>
      <c r="F60" s="156"/>
      <c r="G60" s="153"/>
      <c r="J60" s="158"/>
      <c r="K60" s="417"/>
      <c r="L60" s="417"/>
      <c r="N60" s="417"/>
      <c r="O60" s="417"/>
      <c r="P60" s="417"/>
    </row>
    <row r="61" spans="1:16">
      <c r="A61" s="90"/>
      <c r="F61" s="156"/>
      <c r="G61" s="153"/>
    </row>
    <row r="63" spans="1:16" ht="15" thickBot="1"/>
    <row r="64" spans="1:16" ht="15" thickBot="1">
      <c r="C64" s="189" t="s">
        <v>260</v>
      </c>
      <c r="D64" s="190" t="s">
        <v>261</v>
      </c>
      <c r="E64" s="191" t="s">
        <v>265</v>
      </c>
      <c r="F64" s="191" t="s">
        <v>266</v>
      </c>
    </row>
    <row r="65" spans="2:13">
      <c r="C65" s="400">
        <v>45839</v>
      </c>
      <c r="D65" s="396">
        <v>45844</v>
      </c>
      <c r="E65" s="401">
        <f t="shared" ref="E65:E70" si="2">SUMIFS($D$23:$D$62,$F$23:$F$62,"&gt;="&amp;C65,$F$23:$F$62,"&lt;="&amp;D65,$G$23:$G$62,$D$80)</f>
        <v>0</v>
      </c>
      <c r="F65" s="402">
        <f t="shared" ref="F65:F70" si="3">SUMIFS($E$23:$E$62,$F$23:$F$62,"&gt;="&amp;C65,$F$23:$F$62,"&lt;="&amp;D65,$G$23:$G$62,$D$80)</f>
        <v>0</v>
      </c>
      <c r="G65" s="417" t="s">
        <v>920</v>
      </c>
    </row>
    <row r="66" spans="2:13">
      <c r="C66" s="403">
        <v>45845</v>
      </c>
      <c r="D66" s="398">
        <v>45851</v>
      </c>
      <c r="E66" s="404">
        <f t="shared" si="2"/>
        <v>0</v>
      </c>
      <c r="F66" s="405">
        <f t="shared" si="3"/>
        <v>0</v>
      </c>
      <c r="G66" s="417" t="s">
        <v>922</v>
      </c>
      <c r="J66" s="382"/>
    </row>
    <row r="67" spans="2:13">
      <c r="C67" s="403">
        <v>45852</v>
      </c>
      <c r="D67" s="397">
        <v>45858</v>
      </c>
      <c r="E67" s="404">
        <f t="shared" si="2"/>
        <v>0</v>
      </c>
      <c r="F67" s="405">
        <f t="shared" si="3"/>
        <v>0</v>
      </c>
      <c r="G67" s="417" t="s">
        <v>921</v>
      </c>
    </row>
    <row r="68" spans="2:13">
      <c r="C68" s="403">
        <v>45859</v>
      </c>
      <c r="D68" s="397">
        <v>45865</v>
      </c>
      <c r="E68" s="404">
        <f t="shared" si="2"/>
        <v>0</v>
      </c>
      <c r="F68" s="405">
        <f t="shared" si="3"/>
        <v>0</v>
      </c>
    </row>
    <row r="69" spans="2:13">
      <c r="C69" s="403">
        <v>45866</v>
      </c>
      <c r="D69" s="397">
        <v>45869</v>
      </c>
      <c r="E69" s="404">
        <f t="shared" si="2"/>
        <v>0</v>
      </c>
      <c r="F69" s="405">
        <f t="shared" si="3"/>
        <v>0</v>
      </c>
      <c r="G69" s="417" t="s">
        <v>923</v>
      </c>
    </row>
    <row r="70" spans="2:13" s="433" customFormat="1" ht="15" thickBot="1">
      <c r="B70" s="434"/>
      <c r="C70" s="406">
        <v>45870</v>
      </c>
      <c r="D70" s="399">
        <v>45874</v>
      </c>
      <c r="E70" s="407">
        <f t="shared" si="2"/>
        <v>0</v>
      </c>
      <c r="F70" s="408">
        <f t="shared" si="3"/>
        <v>0</v>
      </c>
    </row>
    <row r="71" spans="2:13" ht="15.6">
      <c r="C71" s="589" t="s">
        <v>262</v>
      </c>
      <c r="D71" s="589"/>
      <c r="E71" s="186">
        <f>SUM(E65:E70)</f>
        <v>0</v>
      </c>
      <c r="F71" s="200">
        <f>SUM(F65:F70)</f>
        <v>0</v>
      </c>
      <c r="G71" s="94"/>
      <c r="J71" s="153"/>
      <c r="K71" s="153"/>
      <c r="M71" s="206"/>
    </row>
    <row r="74" spans="2:13">
      <c r="C74" s="592" t="s">
        <v>267</v>
      </c>
      <c r="D74" s="592"/>
      <c r="E74" s="204">
        <f>'BAC SAN JOSE COLONES  '!$G$500+('BAC SAN JOSE USD'!$G$350*$D$6)</f>
        <v>30611207.549189128</v>
      </c>
      <c r="F74" s="206">
        <f>'BAC SAN JOSE USD'!$G$350+('BAC SAN JOSE COLONES  '!$G$500/$D$6)</f>
        <v>61345.105308996244</v>
      </c>
    </row>
    <row r="75" spans="2:13">
      <c r="C75" s="592" t="s">
        <v>924</v>
      </c>
      <c r="D75" s="592"/>
      <c r="E75" s="204">
        <f>SUM(E65:E68)</f>
        <v>0</v>
      </c>
      <c r="F75" s="204">
        <f>SUM(F65:F68)</f>
        <v>0</v>
      </c>
      <c r="J75" s="324"/>
    </row>
    <row r="76" spans="2:13">
      <c r="C76" s="588" t="s">
        <v>152</v>
      </c>
      <c r="D76" s="588"/>
      <c r="E76" s="205">
        <f>E74-E75</f>
        <v>30611207.549189128</v>
      </c>
      <c r="F76" s="199">
        <f>F74-F75</f>
        <v>61345.105308996244</v>
      </c>
      <c r="G76" s="206"/>
      <c r="J76" s="206"/>
    </row>
    <row r="79" spans="2:13">
      <c r="D79" s="90" t="s">
        <v>235</v>
      </c>
      <c r="E79" s="170">
        <f>SUMIFS($D$23:$D$62,$F$23:$F$62,"&gt;="&amp;C65,$F$23:$F$62,"&lt;="&amp;D70,$G$23:$G$62,$D$79)</f>
        <v>35054113.350000001</v>
      </c>
      <c r="F79" s="206">
        <f>SUMIFS($E$23:$E$62,$F$23:$F$62,"&gt;="&amp;$C$65,$F$23:$F$62,"&lt;="&amp;$D$70,$G$23:$G$62,$D$79)</f>
        <v>69960.113052758883</v>
      </c>
    </row>
    <row r="80" spans="2:13">
      <c r="D80" s="90" t="s">
        <v>231</v>
      </c>
      <c r="E80" s="170">
        <f>SUMIFS($D$23:$D$62,$F$23:$F$62,"&gt;="&amp;C65,$F$23:$F$62,"&lt;="&amp;D70,$G$23:$G$62,$D$80)</f>
        <v>0</v>
      </c>
      <c r="F80" s="206">
        <f>SUMIFS($E$23:$E$62,$F$23:$F$62,"&gt;="&amp;C65,$F$23:$F$62,"&lt;="&amp;$D$70,$G$23:$G$62,$D$80)</f>
        <v>0</v>
      </c>
    </row>
    <row r="81" spans="4:6">
      <c r="D81" s="185" t="s">
        <v>263</v>
      </c>
      <c r="E81" s="194">
        <f>SUM(E79:E80)</f>
        <v>35054113.350000001</v>
      </c>
      <c r="F81" s="199">
        <f>SUM(F79:F80)</f>
        <v>69960.113052758883</v>
      </c>
    </row>
    <row r="82" spans="4:6">
      <c r="D82" s="185" t="s">
        <v>264</v>
      </c>
      <c r="E82" s="194">
        <f>(D57-E81)*0</f>
        <v>0</v>
      </c>
      <c r="F82" s="199">
        <f>F81-E57</f>
        <v>0</v>
      </c>
    </row>
    <row r="85" spans="4:6">
      <c r="E85" s="170"/>
      <c r="F85" s="206"/>
    </row>
    <row r="86" spans="4:6">
      <c r="D86" s="88" t="s">
        <v>400</v>
      </c>
      <c r="E86" s="170">
        <f>D59</f>
        <v>23417178.889189109</v>
      </c>
      <c r="F86" s="206"/>
    </row>
    <row r="87" spans="4:6">
      <c r="D87" s="88" t="s">
        <v>401</v>
      </c>
      <c r="E87" s="170">
        <f>'BAC SAN JOSE COLONES  '!$G$425+('BAC SAN JOSE USD'!$G$340*$D$6)</f>
        <v>23417178.889189109</v>
      </c>
    </row>
    <row r="88" spans="4:6">
      <c r="D88" s="88" t="s">
        <v>701</v>
      </c>
      <c r="E88" s="170">
        <f>E87-E86</f>
        <v>0</v>
      </c>
      <c r="F88" s="395"/>
    </row>
    <row r="89" spans="4:6">
      <c r="D89" s="88" t="s">
        <v>702</v>
      </c>
      <c r="E89" s="395">
        <f>E88/D6</f>
        <v>0</v>
      </c>
    </row>
  </sheetData>
  <protectedRanges>
    <protectedRange sqref="F19:G19 D61:E61 D10:E12" name="Presupuestos"/>
    <protectedRange sqref="D8:E8 D23:E23" name="Presupuestos_1"/>
    <protectedRange sqref="D31:E31" name="Presupuestos_13_1"/>
    <protectedRange sqref="D33:E33" name="Presupuestos_14"/>
    <protectedRange sqref="E46:E47 D39:E45 D48:E52" name="Presupuestos_2_1_1_1"/>
    <protectedRange sqref="E54:E56" name="Presupuestos_6_1_1_1"/>
    <protectedRange sqref="D46:D47" name="Presupuestos_5_2_1"/>
    <protectedRange sqref="D37:E37" name="Presupuestos_7_1"/>
    <protectedRange sqref="D54:D56" name="Presupuestos_5_3"/>
    <protectedRange sqref="D35:E35" name="Presupuestos_13_1_1"/>
  </protectedRanges>
  <autoFilter ref="A23:S54" xr:uid="{FFA1C600-9A9E-4967-BD46-30C76CEB53C3}"/>
  <mergeCells count="7">
    <mergeCell ref="C76:D76"/>
    <mergeCell ref="D7:E7"/>
    <mergeCell ref="B22:C22"/>
    <mergeCell ref="D22:E22"/>
    <mergeCell ref="C71:D71"/>
    <mergeCell ref="C74:D74"/>
    <mergeCell ref="C75:D75"/>
  </mergeCells>
  <dataValidations disablePrompts="1" count="4">
    <dataValidation type="list" allowBlank="1" showInputMessage="1" showErrorMessage="1" sqref="O34" xr:uid="{37F4CAE5-8058-4447-A983-807E66E6781E}">
      <formula1>"0,1"</formula1>
    </dataValidation>
    <dataValidation type="list" allowBlank="1" showInputMessage="1" showErrorMessage="1" sqref="D79:D80 G62:G63 G31 G35 G27:G29 G33 G24:G25 G37 G39:G52 G54:G56" xr:uid="{508A05D3-E024-4689-9A01-EF9DBED49E7A}">
      <formula1>"Cancelado,Pagar,Sin Pagar"</formula1>
    </dataValidation>
    <dataValidation type="list" allowBlank="1" showInputMessage="1" showErrorMessage="1" sqref="D22 D7" xr:uid="{88A22601-51A3-4DC4-87D0-F789AF369E68}">
      <formula1>"ENERO,FEBRERO,MARZO,ABRIL,MAYO,JUNIO,JULIO,AGOSTO,SEPTIEMBRE,OCTUBRE,NOVIEMBRE,DICIEMBRE"</formula1>
    </dataValidation>
    <dataValidation type="list" allowBlank="1" showInputMessage="1" showErrorMessage="1" sqref="B14:B18" xr:uid="{52A222F7-9C0B-452F-9C2E-2208236C7A3B}">
      <formula1>"Sin Pagar,Pagado"</formula1>
    </dataValidation>
  </dataValidations>
  <pageMargins left="0.7" right="0.7" top="0.75" bottom="0.75" header="0.3" footer="0.3"/>
  <ignoredErrors>
    <ignoredError sqref="J57 J25:J51 J53:J55" unlockedFormula="1"/>
    <ignoredError sqref="E32:E37 D33:D37 D54:E55 D31 D41:D43 E46:E48" formula="1"/>
    <ignoredError sqref="B27:B5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FF60-7F64-4FD1-B16E-4F3A3DE71C13}">
  <dimension ref="A1:S104"/>
  <sheetViews>
    <sheetView showGridLines="0" topLeftCell="A80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433" customWidth="1"/>
    <col min="2" max="2" width="18.88671875" style="434" bestFit="1" customWidth="1"/>
    <col min="3" max="3" width="58.5546875" style="433" customWidth="1"/>
    <col min="4" max="4" width="24.44140625" style="88" customWidth="1"/>
    <col min="5" max="5" width="19.33203125" style="88" bestFit="1" customWidth="1"/>
    <col min="6" max="6" width="23.5546875" style="433" customWidth="1"/>
    <col min="7" max="7" width="18.88671875" style="433" customWidth="1"/>
    <col min="8" max="8" width="7.6640625" style="433" hidden="1" customWidth="1"/>
    <col min="9" max="9" width="12.109375" style="433" hidden="1" customWidth="1"/>
    <col min="10" max="10" width="25.33203125" style="433" customWidth="1"/>
    <col min="11" max="11" width="2.109375" style="433" customWidth="1"/>
    <col min="12" max="12" width="2.33203125" style="433" customWidth="1"/>
    <col min="13" max="13" width="17.109375" style="433" bestFit="1" customWidth="1"/>
    <col min="14" max="14" width="15.5546875" style="433" bestFit="1" customWidth="1"/>
    <col min="15" max="15" width="6.33203125" style="433" bestFit="1" customWidth="1"/>
    <col min="16" max="16" width="19.33203125" style="433" bestFit="1" customWidth="1"/>
    <col min="17" max="17" width="15.33203125" style="433" bestFit="1" customWidth="1"/>
    <col min="18" max="18" width="14" style="433" bestFit="1" customWidth="1"/>
    <col min="19" max="19" width="13" style="433" bestFit="1" customWidth="1"/>
    <col min="20" max="16384" width="9.109375" style="433"/>
  </cols>
  <sheetData>
    <row r="1" spans="2:13" hidden="1">
      <c r="D1" s="88">
        <v>42400</v>
      </c>
    </row>
    <row r="2" spans="2:13">
      <c r="D2" s="89"/>
      <c r="E2" s="89"/>
      <c r="I2" s="90"/>
    </row>
    <row r="3" spans="2:13">
      <c r="E3" s="220"/>
      <c r="I3" s="90"/>
    </row>
    <row r="4" spans="2:13" ht="15.6">
      <c r="B4" s="92"/>
      <c r="C4" s="92"/>
      <c r="D4" s="160" t="s">
        <v>216</v>
      </c>
      <c r="E4" s="161">
        <v>45870</v>
      </c>
      <c r="I4" s="90"/>
    </row>
    <row r="5" spans="2:13">
      <c r="D5" s="89"/>
      <c r="E5" s="89"/>
      <c r="I5" s="90"/>
    </row>
    <row r="6" spans="2:13">
      <c r="C6" s="93" t="s">
        <v>217</v>
      </c>
      <c r="D6" s="26">
        <v>499</v>
      </c>
      <c r="E6" s="89"/>
      <c r="I6" s="90"/>
    </row>
    <row r="7" spans="2:13" ht="15.6">
      <c r="C7" s="94"/>
      <c r="D7" s="590" t="s">
        <v>450</v>
      </c>
      <c r="E7" s="590"/>
      <c r="I7" s="90"/>
    </row>
    <row r="8" spans="2:13">
      <c r="D8" s="95" t="s">
        <v>242</v>
      </c>
      <c r="E8" s="95" t="s">
        <v>219</v>
      </c>
    </row>
    <row r="9" spans="2:13" s="96" customFormat="1" ht="15.6">
      <c r="C9" s="97" t="s">
        <v>220</v>
      </c>
      <c r="D9" s="167">
        <f>SUBTOTAL(9,D10:D11)</f>
        <v>23417178.889189109</v>
      </c>
      <c r="E9" s="98">
        <f>SUBTOTAL(9,E10:E11)</f>
        <v>46928.214206791796</v>
      </c>
      <c r="F9" s="99"/>
      <c r="I9" s="90"/>
    </row>
    <row r="10" spans="2:13" s="90" customFormat="1" outlineLevel="1">
      <c r="B10" s="100"/>
      <c r="C10" s="101" t="s">
        <v>243</v>
      </c>
      <c r="D10" s="169">
        <f>'BAC SAN JOSE COLONES  '!$G$425</f>
        <v>20208740.105669983</v>
      </c>
      <c r="E10" s="218">
        <f>$D$10/$D$6</f>
        <v>40498.477165671306</v>
      </c>
      <c r="F10" s="103"/>
    </row>
    <row r="11" spans="2:13" s="90" customFormat="1" outlineLevel="1">
      <c r="B11" s="100"/>
      <c r="C11" s="101" t="s">
        <v>221</v>
      </c>
      <c r="D11" s="169">
        <f>$E$11*$D$6</f>
        <v>3208438.7835191246</v>
      </c>
      <c r="E11" s="218">
        <f>'BAC SAN JOSE USD'!$G$340</f>
        <v>6429.7370411204902</v>
      </c>
      <c r="F11" s="103"/>
    </row>
    <row r="12" spans="2:13" s="90" customFormat="1" ht="15.6">
      <c r="B12" s="100"/>
      <c r="C12" s="104" t="s">
        <v>222</v>
      </c>
      <c r="D12" s="167">
        <f>SUBTOTAL(9,D13:D24)</f>
        <v>53360219.222786672</v>
      </c>
      <c r="E12" s="98">
        <f>SUBTOTAL(9,E13:E24)</f>
        <v>106978.06060344689</v>
      </c>
      <c r="F12" s="105"/>
    </row>
    <row r="13" spans="2:13" s="178" customFormat="1" ht="28.8" outlineLevel="1">
      <c r="B13" s="328" t="s">
        <v>533</v>
      </c>
      <c r="C13" s="419" t="s">
        <v>928</v>
      </c>
      <c r="D13" s="410">
        <f>$E$13*$D$6</f>
        <v>483421.22</v>
      </c>
      <c r="E13" s="411">
        <f>CONVERSIONES!$C$494</f>
        <v>968.78</v>
      </c>
      <c r="F13" s="345"/>
      <c r="G13" s="346"/>
    </row>
    <row r="14" spans="2:13" s="178" customFormat="1" ht="28.8" outlineLevel="1">
      <c r="B14" s="328" t="s">
        <v>533</v>
      </c>
      <c r="C14" s="419" t="s">
        <v>929</v>
      </c>
      <c r="D14" s="410">
        <f>E14*D6</f>
        <v>177788.71000000002</v>
      </c>
      <c r="E14" s="411">
        <f>CONVERSIONES!$E$494</f>
        <v>356.29</v>
      </c>
      <c r="F14" s="345"/>
      <c r="G14" s="346"/>
    </row>
    <row r="15" spans="2:13" s="178" customFormat="1" ht="28.8" outlineLevel="1">
      <c r="B15" s="328" t="s">
        <v>533</v>
      </c>
      <c r="C15" s="419" t="s">
        <v>960</v>
      </c>
      <c r="D15" s="330">
        <f>E15*'DIFERENCIA CAMBI'!E122</f>
        <v>3455807.0808333326</v>
      </c>
      <c r="E15" s="331">
        <f>'DIFERENCIA CAMBI'!G122</f>
        <v>6953.3341666666656</v>
      </c>
      <c r="F15" s="345"/>
      <c r="G15" s="346"/>
      <c r="J15" s="439"/>
      <c r="M15" s="439"/>
    </row>
    <row r="16" spans="2:13" s="178" customFormat="1" outlineLevel="1">
      <c r="B16" s="328" t="s">
        <v>533</v>
      </c>
      <c r="C16" s="419" t="s">
        <v>1032</v>
      </c>
      <c r="D16" s="330">
        <f>E16*497</f>
        <v>1997383.36</v>
      </c>
      <c r="E16" s="459">
        <v>4018.88</v>
      </c>
      <c r="F16" s="441" t="s">
        <v>1069</v>
      </c>
      <c r="G16" s="272"/>
    </row>
    <row r="17" spans="1:19" s="178" customFormat="1" ht="14.25" customHeight="1" outlineLevel="1">
      <c r="B17" s="458" t="s">
        <v>533</v>
      </c>
      <c r="C17" s="329" t="s">
        <v>1067</v>
      </c>
      <c r="D17" s="330">
        <f>E17*$D$6</f>
        <v>32198725.0469</v>
      </c>
      <c r="E17" s="459">
        <f>CONVERSIONES!T547</f>
        <v>64526.503100000002</v>
      </c>
      <c r="F17" s="441" t="s">
        <v>1069</v>
      </c>
      <c r="G17" s="443">
        <f>E16+E17+E23</f>
        <v>68656.79310000001</v>
      </c>
    </row>
    <row r="18" spans="1:19" s="178" customFormat="1" outlineLevel="1">
      <c r="B18" s="458" t="s">
        <v>533</v>
      </c>
      <c r="C18" s="329" t="s">
        <v>1027</v>
      </c>
      <c r="D18" s="330">
        <f>E18*$D$6</f>
        <v>9514648.3750533331</v>
      </c>
      <c r="E18" s="331">
        <f>'DIFERENCIA CAMBI'!G139</f>
        <v>19067.431613333334</v>
      </c>
      <c r="F18" s="345"/>
      <c r="G18" s="272">
        <f>'BAC SAN JOSE USD'!E366</f>
        <v>68656.789999999994</v>
      </c>
    </row>
    <row r="19" spans="1:19" s="178" customFormat="1" outlineLevel="1">
      <c r="B19" s="458" t="s">
        <v>533</v>
      </c>
      <c r="C19" s="329" t="s">
        <v>1028</v>
      </c>
      <c r="D19" s="330">
        <f>E19*$D$6</f>
        <v>2998795.3899999997</v>
      </c>
      <c r="E19" s="331">
        <f>'DIFERENCIA CAMBI'!G140</f>
        <v>6009.61</v>
      </c>
      <c r="F19" s="345"/>
      <c r="G19" s="272">
        <f>+G18-G17</f>
        <v>-3.100000016274862E-3</v>
      </c>
    </row>
    <row r="20" spans="1:19" s="178" customFormat="1" hidden="1" outlineLevel="1">
      <c r="B20" s="458"/>
      <c r="C20" s="329"/>
      <c r="D20" s="450">
        <v>-523335.37</v>
      </c>
      <c r="E20" s="450">
        <f>$D$20/$D$6</f>
        <v>-1048.7682765531063</v>
      </c>
      <c r="F20" s="345"/>
      <c r="G20" s="346"/>
    </row>
    <row r="21" spans="1:19" s="178" customFormat="1" outlineLevel="1">
      <c r="B21" s="458" t="s">
        <v>533</v>
      </c>
      <c r="C21" s="329" t="s">
        <v>1030</v>
      </c>
      <c r="D21" s="330">
        <f>E21*$D$6</f>
        <v>2808037.67</v>
      </c>
      <c r="E21" s="331">
        <f>'DIFERENCIA CAMBI'!G141</f>
        <v>5627.33</v>
      </c>
      <c r="F21" s="345"/>
      <c r="G21" s="346"/>
    </row>
    <row r="22" spans="1:19" s="456" customFormat="1" outlineLevel="1">
      <c r="B22" s="458" t="s">
        <v>533</v>
      </c>
      <c r="C22" s="329" t="s">
        <v>1066</v>
      </c>
      <c r="D22" s="330">
        <f>E22*$D$6</f>
        <v>193242.74</v>
      </c>
      <c r="E22" s="459">
        <f>'DIFERENCIA CAMBI'!G143</f>
        <v>387.26</v>
      </c>
      <c r="F22" s="345"/>
      <c r="G22" s="457"/>
    </row>
    <row r="23" spans="1:19" s="178" customFormat="1" outlineLevel="1">
      <c r="B23" s="458" t="s">
        <v>533</v>
      </c>
      <c r="C23" s="329" t="s">
        <v>1068</v>
      </c>
      <c r="D23" s="330">
        <f>E23*500</f>
        <v>55705</v>
      </c>
      <c r="E23" s="459">
        <v>111.41</v>
      </c>
      <c r="F23" s="441" t="s">
        <v>1069</v>
      </c>
      <c r="G23" s="272"/>
    </row>
    <row r="24" spans="1:19" s="178" customFormat="1" outlineLevel="1">
      <c r="B24" s="135" t="s">
        <v>231</v>
      </c>
      <c r="C24" s="174" t="s">
        <v>1053</v>
      </c>
      <c r="D24" s="271">
        <f>E24*$D$6</f>
        <v>0</v>
      </c>
      <c r="E24" s="272">
        <f>725.78*0</f>
        <v>0</v>
      </c>
      <c r="F24" s="345"/>
      <c r="G24" s="272"/>
    </row>
    <row r="25" spans="1:19" s="90" customFormat="1" ht="15.6">
      <c r="B25" s="100"/>
      <c r="C25" s="109" t="s">
        <v>223</v>
      </c>
      <c r="D25" s="168">
        <f>SUBTOTAL(9,D9:D24)</f>
        <v>76777398.111975759</v>
      </c>
      <c r="E25" s="207">
        <f>SUBTOTAL(9,E9:E24)</f>
        <v>153906.27481023865</v>
      </c>
      <c r="F25" s="110"/>
      <c r="G25" s="110"/>
      <c r="J25" s="108"/>
      <c r="K25" s="111"/>
      <c r="O25" s="112"/>
      <c r="P25" s="113"/>
      <c r="Q25" s="114"/>
    </row>
    <row r="26" spans="1:19" s="90" customFormat="1" ht="15.6">
      <c r="B26" s="100"/>
      <c r="C26" s="115"/>
      <c r="D26" s="116"/>
      <c r="E26" s="116"/>
      <c r="G26" s="117"/>
      <c r="O26" s="113"/>
      <c r="P26" s="113"/>
    </row>
    <row r="27" spans="1:19" s="90" customFormat="1" ht="15.6">
      <c r="B27" s="100"/>
      <c r="D27" s="349"/>
      <c r="N27" s="118"/>
      <c r="O27" s="119"/>
      <c r="P27" s="120"/>
    </row>
    <row r="28" spans="1:19" s="90" customFormat="1" ht="15.6">
      <c r="B28" s="590" t="s">
        <v>224</v>
      </c>
      <c r="C28" s="590"/>
      <c r="D28" s="590" t="s">
        <v>450</v>
      </c>
      <c r="E28" s="590"/>
      <c r="K28" s="120"/>
      <c r="L28" s="120"/>
      <c r="N28" s="118"/>
      <c r="R28" s="108"/>
      <c r="S28" s="108"/>
    </row>
    <row r="29" spans="1:19" s="90" customFormat="1" ht="16.2" thickBot="1">
      <c r="B29" s="121" t="s">
        <v>225</v>
      </c>
      <c r="C29" s="122" t="s">
        <v>226</v>
      </c>
      <c r="D29" s="95" t="s">
        <v>242</v>
      </c>
      <c r="E29" s="95" t="s">
        <v>219</v>
      </c>
      <c r="F29" s="123" t="s">
        <v>227</v>
      </c>
      <c r="G29" s="118" t="s">
        <v>228</v>
      </c>
      <c r="H29" s="118"/>
      <c r="I29" s="118"/>
      <c r="J29" s="124" t="s">
        <v>229</v>
      </c>
      <c r="N29" s="125"/>
      <c r="R29" s="108"/>
      <c r="S29" s="126"/>
    </row>
    <row r="30" spans="1:19" s="90" customFormat="1" ht="16.2" thickBot="1">
      <c r="B30" s="100"/>
      <c r="C30" s="127" t="s">
        <v>230</v>
      </c>
      <c r="D30" s="172">
        <f>SUBTOTAL(9,D31:D31)</f>
        <v>11489421</v>
      </c>
      <c r="E30" s="128">
        <f>SUBTOTAL(9,E31:E31)</f>
        <v>23024.891783567135</v>
      </c>
      <c r="F30" s="129"/>
      <c r="J30" s="130"/>
    </row>
    <row r="31" spans="1:19" s="90" customFormat="1" ht="15" outlineLevel="1" thickBot="1">
      <c r="A31" s="103"/>
      <c r="B31" s="373" t="s">
        <v>997</v>
      </c>
      <c r="C31" s="174" t="s">
        <v>403</v>
      </c>
      <c r="D31" s="169">
        <v>11489421</v>
      </c>
      <c r="E31" s="142">
        <f>D31/$D$6</f>
        <v>23024.891783567135</v>
      </c>
      <c r="F31" s="134">
        <v>45881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CR'!$A$3:$A$29)</f>
        <v>8</v>
      </c>
      <c r="J31" s="132">
        <f t="shared" ref="J31:J36" si="0">H31</f>
        <v>0</v>
      </c>
      <c r="K31" s="108"/>
      <c r="L31" s="108"/>
      <c r="M31" s="349"/>
      <c r="N31" s="349"/>
    </row>
    <row r="32" spans="1:19" s="90" customFormat="1" ht="16.2" thickBot="1">
      <c r="B32" s="100"/>
      <c r="C32" s="127" t="s">
        <v>232</v>
      </c>
      <c r="D32" s="172">
        <f>SUBTOTAL(9,D33:D34)</f>
        <v>3429320</v>
      </c>
      <c r="E32" s="128">
        <f>SUBTOTAL(9,E33:E34)</f>
        <v>7127.3098196392784</v>
      </c>
      <c r="J32" s="130">
        <f t="shared" si="0"/>
        <v>0</v>
      </c>
    </row>
    <row r="33" spans="2:16" s="90" customFormat="1" outlineLevel="1">
      <c r="B33" s="373" t="s">
        <v>999</v>
      </c>
      <c r="C33" s="101" t="s">
        <v>292</v>
      </c>
      <c r="D33" s="271">
        <v>3336269</v>
      </c>
      <c r="E33" s="142">
        <f>D33/$D$6</f>
        <v>6685.9098196392788</v>
      </c>
      <c r="F33" s="134">
        <v>45883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CR'!$A$3:$A$29)</f>
        <v>10</v>
      </c>
      <c r="J33" s="132">
        <f t="shared" si="0"/>
        <v>0</v>
      </c>
      <c r="K33" s="135"/>
      <c r="L33" s="111"/>
      <c r="M33" s="349"/>
      <c r="N33" s="349"/>
    </row>
    <row r="34" spans="2:16" s="90" customFormat="1" ht="29.4" outlineLevel="1" thickBot="1">
      <c r="B34" s="373" t="s">
        <v>1000</v>
      </c>
      <c r="C34" s="101" t="s">
        <v>989</v>
      </c>
      <c r="D34" s="271">
        <v>93051</v>
      </c>
      <c r="E34" s="142">
        <f>551.75*0.8</f>
        <v>441.40000000000003</v>
      </c>
      <c r="F34" s="134">
        <v>45883</v>
      </c>
      <c r="G34" s="90" t="s">
        <v>235</v>
      </c>
      <c r="H34" s="90">
        <f>IF(OR(G34="Sin pagar",G34="Pagar"),_xlfn.SINGLE(NETWORKDAYS($E$4,F34,'Festivos CR'!$A$3:$A$29)),0)</f>
        <v>0</v>
      </c>
      <c r="I34" s="90">
        <f>NETWORKDAYS($E$4,F34,'Festivos CR'!$A$3:$A$29)</f>
        <v>10</v>
      </c>
      <c r="J34" s="132">
        <f t="shared" si="0"/>
        <v>0</v>
      </c>
      <c r="K34" s="135"/>
      <c r="L34" s="111"/>
      <c r="M34" s="349"/>
    </row>
    <row r="35" spans="2:16" s="90" customFormat="1" ht="16.2" thickBot="1">
      <c r="B35" s="100"/>
      <c r="C35" s="127" t="s">
        <v>233</v>
      </c>
      <c r="D35" s="172">
        <f>SUBTOTAL(9,D36:D36)</f>
        <v>112774</v>
      </c>
      <c r="E35" s="128">
        <f>SUBTOTAL(9,E36:E36)</f>
        <v>226</v>
      </c>
      <c r="J35" s="130">
        <f t="shared" si="0"/>
        <v>0</v>
      </c>
      <c r="K35" s="108"/>
      <c r="L35" s="108"/>
      <c r="N35" s="349"/>
    </row>
    <row r="36" spans="2:16" s="90" customFormat="1" ht="15" outlineLevel="1" thickBot="1">
      <c r="B36" s="100">
        <v>34</v>
      </c>
      <c r="C36" s="101" t="s">
        <v>964</v>
      </c>
      <c r="D36" s="169">
        <f>E36*D6</f>
        <v>112774</v>
      </c>
      <c r="E36" s="137">
        <v>226</v>
      </c>
      <c r="F36" s="134">
        <v>45883</v>
      </c>
      <c r="G36" s="90" t="s">
        <v>235</v>
      </c>
      <c r="H36" s="90">
        <f>IF(OR(G36="Sin pagar",G36="Pagar"),_xlfn.SINGLE(NETWORKDAYS($E$4,F36,'Festivos CR'!$A$3:$A$29)),0)</f>
        <v>0</v>
      </c>
      <c r="I36" s="90">
        <f>NETWORKDAYS($E$4,F36,'Festivos CR'!$A$3:$A$29)</f>
        <v>10</v>
      </c>
      <c r="J36" s="132">
        <f t="shared" si="0"/>
        <v>0</v>
      </c>
      <c r="M36" s="369"/>
      <c r="N36" s="103"/>
    </row>
    <row r="37" spans="2:16" s="90" customFormat="1" ht="16.2" thickBot="1">
      <c r="C37" s="127" t="s">
        <v>250</v>
      </c>
      <c r="D37" s="172">
        <f>SUBTOTAL(9,D38:D38)</f>
        <v>0</v>
      </c>
      <c r="E37" s="128">
        <f>SUBTOTAL(9,E38:E38)</f>
        <v>0</v>
      </c>
      <c r="K37" s="103"/>
      <c r="L37" s="103"/>
      <c r="O37" s="103"/>
      <c r="P37" s="103"/>
    </row>
    <row r="38" spans="2:16" s="90" customFormat="1" ht="14.25" customHeight="1" outlineLevel="1" thickBot="1">
      <c r="B38" s="435" t="s">
        <v>590</v>
      </c>
      <c r="C38" s="101" t="s">
        <v>251</v>
      </c>
      <c r="D38" s="169">
        <f>77000*8*0</f>
        <v>0</v>
      </c>
      <c r="E38" s="137">
        <f>D38/$D$6</f>
        <v>0</v>
      </c>
      <c r="F38" s="129">
        <v>45900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20</v>
      </c>
      <c r="J38" s="132">
        <f>H38</f>
        <v>0</v>
      </c>
      <c r="K38" s="103"/>
      <c r="L38" s="103"/>
      <c r="M38" s="369"/>
      <c r="O38" s="103"/>
      <c r="P38" s="103"/>
    </row>
    <row r="39" spans="2:16" s="90" customFormat="1" ht="16.2" thickBot="1">
      <c r="B39" s="136"/>
      <c r="C39" s="139" t="s">
        <v>234</v>
      </c>
      <c r="D39" s="173">
        <f>SUBTOTAL(9,D40:D40)</f>
        <v>0</v>
      </c>
      <c r="E39" s="140">
        <f>SUBTOTAL(9,E40:E40)</f>
        <v>0</v>
      </c>
      <c r="K39" s="108"/>
    </row>
    <row r="40" spans="2:16" s="90" customFormat="1" ht="15" outlineLevel="1" thickBot="1">
      <c r="B40" s="176" t="s">
        <v>990</v>
      </c>
      <c r="C40" s="174" t="s">
        <v>988</v>
      </c>
      <c r="D40" s="169">
        <f>E40*$D$6</f>
        <v>0</v>
      </c>
      <c r="E40" s="137">
        <f>((390.81+468.75+468.75+386.75+551.75)*0.8)*0</f>
        <v>0</v>
      </c>
      <c r="F40" s="134">
        <v>45899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20</v>
      </c>
      <c r="J40" s="132">
        <f>H40</f>
        <v>0</v>
      </c>
      <c r="M40" s="297"/>
      <c r="N40" s="298"/>
    </row>
    <row r="41" spans="2:16" s="90" customFormat="1" ht="15.75" customHeight="1" thickBot="1">
      <c r="C41" s="127" t="s">
        <v>236</v>
      </c>
      <c r="D41" s="172">
        <f>SUBTOTAL(9,D42:D42)</f>
        <v>19960</v>
      </c>
      <c r="E41" s="128">
        <f>SUBTOTAL(9,E42:E42)</f>
        <v>40</v>
      </c>
      <c r="M41" s="299"/>
      <c r="N41" s="299"/>
      <c r="O41" s="118"/>
      <c r="P41" s="300"/>
    </row>
    <row r="42" spans="2:16" s="90" customFormat="1" ht="15" outlineLevel="1" thickBot="1">
      <c r="B42" s="100"/>
      <c r="C42" s="174" t="s">
        <v>236</v>
      </c>
      <c r="D42" s="271">
        <f>E42*D6</f>
        <v>19960</v>
      </c>
      <c r="E42" s="142">
        <v>40</v>
      </c>
      <c r="F42" s="129">
        <v>45900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20</v>
      </c>
      <c r="J42" s="132">
        <f>H42</f>
        <v>0</v>
      </c>
    </row>
    <row r="43" spans="2:16" s="90" customFormat="1" ht="16.2" thickBot="1">
      <c r="C43" s="127" t="s">
        <v>237</v>
      </c>
      <c r="D43" s="172">
        <f>SUBTOTAL(9,D44:D58)</f>
        <v>28024655.889999997</v>
      </c>
      <c r="E43" s="128">
        <f>SUBTOTAL(9,E44:E58)</f>
        <v>55826.007749003984</v>
      </c>
      <c r="K43" s="108"/>
      <c r="L43" s="143"/>
    </row>
    <row r="44" spans="2:16" s="180" customFormat="1" ht="28.8" outlineLevel="1">
      <c r="B44" s="145" t="s">
        <v>391</v>
      </c>
      <c r="C44" s="174" t="s">
        <v>1010</v>
      </c>
      <c r="D44" s="170">
        <v>30064.09</v>
      </c>
      <c r="E44" s="142">
        <f>D44/CONVERSIONES!$C$396</f>
        <v>59.888625498007968</v>
      </c>
      <c r="F44" s="129">
        <v>45890</v>
      </c>
      <c r="G44" s="90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CR'!$A$3:$A$29)</f>
        <v>14</v>
      </c>
      <c r="J44" s="132">
        <f t="shared" ref="J44:J57" si="1">H44</f>
        <v>0</v>
      </c>
      <c r="L44" s="179"/>
    </row>
    <row r="45" spans="2:16" s="180" customFormat="1" outlineLevel="1">
      <c r="B45" s="265" t="s">
        <v>270</v>
      </c>
      <c r="C45" s="174" t="s">
        <v>1037</v>
      </c>
      <c r="D45" s="170">
        <f>E45*CONVERSIONES!$C$396</f>
        <v>1687678.8199999998</v>
      </c>
      <c r="E45" s="137">
        <v>3361.91</v>
      </c>
      <c r="F45" s="129">
        <v>45897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CR'!$A$3:$A$29)</f>
        <v>19</v>
      </c>
      <c r="J45" s="132">
        <f t="shared" si="1"/>
        <v>0</v>
      </c>
      <c r="L45" s="179"/>
    </row>
    <row r="46" spans="2:16" s="180" customFormat="1" outlineLevel="1">
      <c r="B46" s="265" t="s">
        <v>270</v>
      </c>
      <c r="C46" s="174" t="s">
        <v>257</v>
      </c>
      <c r="D46" s="170">
        <f>E46*CONVERSIONES!$C$396</f>
        <v>3348977.54</v>
      </c>
      <c r="E46" s="137">
        <v>6671.27</v>
      </c>
      <c r="F46" s="129">
        <v>45897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CR'!$A$3:$A$29)</f>
        <v>19</v>
      </c>
      <c r="J46" s="132">
        <f t="shared" si="1"/>
        <v>0</v>
      </c>
      <c r="L46" s="179"/>
    </row>
    <row r="47" spans="2:16" s="180" customFormat="1" outlineLevel="1">
      <c r="B47" s="265" t="s">
        <v>270</v>
      </c>
      <c r="C47" s="174" t="s">
        <v>747</v>
      </c>
      <c r="D47" s="170">
        <f>E47*CONVERSIONES!$C$396</f>
        <v>2540486.46</v>
      </c>
      <c r="E47" s="137">
        <v>5060.7299999999996</v>
      </c>
      <c r="F47" s="129">
        <v>45897</v>
      </c>
      <c r="G47" s="90" t="s">
        <v>235</v>
      </c>
      <c r="H47" s="90">
        <f>IF(OR(G47="Sin pagar",G47="Pagar"),_xlfn.SINGLE(NETWORKDAYS($E$4,F47,'Festivos CR'!$A$3:$A$29)),0)</f>
        <v>0</v>
      </c>
      <c r="I47" s="90">
        <f>NETWORKDAYS($E$4,F47,'Festivos CR'!$A$3:$A$29)</f>
        <v>19</v>
      </c>
      <c r="J47" s="132">
        <f t="shared" si="1"/>
        <v>0</v>
      </c>
      <c r="L47" s="179"/>
    </row>
    <row r="48" spans="2:16" s="180" customFormat="1" outlineLevel="1">
      <c r="B48" s="265" t="s">
        <v>270</v>
      </c>
      <c r="C48" s="174" t="s">
        <v>1036</v>
      </c>
      <c r="D48" s="170">
        <f>E48*CONVERSIONES!$C$396</f>
        <v>1659697.34</v>
      </c>
      <c r="E48" s="137">
        <v>3306.17</v>
      </c>
      <c r="F48" s="129">
        <v>45897</v>
      </c>
      <c r="G48" s="90" t="s">
        <v>235</v>
      </c>
      <c r="H48" s="90">
        <f>IF(OR(G48="Sin pagar",G48="Pagar"),_xlfn.SINGLE(NETWORKDAYS($E$4,F48,'Festivos CR'!$A$3:$A$29)),0)</f>
        <v>0</v>
      </c>
      <c r="I48" s="90">
        <f>NETWORKDAYS($E$4,F48,'Festivos CR'!$A$3:$A$29)</f>
        <v>19</v>
      </c>
      <c r="J48" s="132">
        <f t="shared" si="1"/>
        <v>0</v>
      </c>
      <c r="L48" s="179"/>
    </row>
    <row r="49" spans="1:15" s="180" customFormat="1" outlineLevel="1">
      <c r="B49" s="265" t="s">
        <v>270</v>
      </c>
      <c r="C49" s="174" t="s">
        <v>258</v>
      </c>
      <c r="D49" s="170">
        <f>E49*CONVERSIONES!$C$396</f>
        <v>1716147.24</v>
      </c>
      <c r="E49" s="137">
        <v>3418.62</v>
      </c>
      <c r="F49" s="129">
        <v>45897</v>
      </c>
      <c r="G49" s="90" t="s">
        <v>235</v>
      </c>
      <c r="H49" s="90">
        <f>IF(OR(G49="Sin pagar",G49="Pagar"),_xlfn.SINGLE(NETWORKDAYS($E$4,F49,'Festivos CR'!$A$3:$A$29)),0)</f>
        <v>0</v>
      </c>
      <c r="I49" s="90">
        <f>NETWORKDAYS($E$4,F49,'Festivos CR'!$A$3:$A$29)</f>
        <v>19</v>
      </c>
      <c r="J49" s="132">
        <f t="shared" si="1"/>
        <v>0</v>
      </c>
      <c r="L49" s="179"/>
    </row>
    <row r="50" spans="1:15" s="180" customFormat="1" outlineLevel="1">
      <c r="B50" s="265" t="s">
        <v>270</v>
      </c>
      <c r="C50" s="174" t="s">
        <v>1038</v>
      </c>
      <c r="D50" s="170">
        <f>E50*CONVERSIONES!$C$396</f>
        <v>186548.22</v>
      </c>
      <c r="E50" s="137">
        <v>371.61</v>
      </c>
      <c r="F50" s="129">
        <v>45897</v>
      </c>
      <c r="G50" s="90" t="s">
        <v>235</v>
      </c>
      <c r="H50" s="90">
        <f>IF(OR(G50="Sin pagar",G50="Pagar"),_xlfn.SINGLE(NETWORKDAYS($E$4,F50,'Festivos CR'!$A$3:$A$29)),0)</f>
        <v>0</v>
      </c>
      <c r="I50" s="90">
        <f>NETWORKDAYS($E$4,F50,'Festivos CR'!$A$3:$A$29)</f>
        <v>19</v>
      </c>
      <c r="J50" s="132">
        <f t="shared" si="1"/>
        <v>0</v>
      </c>
      <c r="L50" s="179"/>
    </row>
    <row r="51" spans="1:15" s="180" customFormat="1" outlineLevel="1">
      <c r="B51" s="265" t="s">
        <v>270</v>
      </c>
      <c r="C51" s="174" t="s">
        <v>1039</v>
      </c>
      <c r="D51" s="170">
        <f>E51*CONVERSIONES!$C$396</f>
        <v>3798518.54</v>
      </c>
      <c r="E51" s="137">
        <v>7566.77</v>
      </c>
      <c r="F51" s="129">
        <v>45897</v>
      </c>
      <c r="G51" s="90" t="s">
        <v>235</v>
      </c>
      <c r="H51" s="90">
        <f>IF(OR(G51="Sin pagar",G51="Pagar"),_xlfn.SINGLE(NETWORKDAYS($E$4,F51,'Festivos CR'!$A$3:$A$29)),0)</f>
        <v>0</v>
      </c>
      <c r="I51" s="90">
        <f>NETWORKDAYS($E$4,F51,'Festivos CR'!$A$3:$A$29)</f>
        <v>19</v>
      </c>
      <c r="J51" s="132">
        <f t="shared" si="1"/>
        <v>0</v>
      </c>
      <c r="L51" s="179"/>
    </row>
    <row r="52" spans="1:15" s="180" customFormat="1" outlineLevel="1">
      <c r="B52" s="265" t="s">
        <v>270</v>
      </c>
      <c r="C52" s="174" t="s">
        <v>967</v>
      </c>
      <c r="D52" s="170">
        <f>E52*CONVERSIONES!$C$396</f>
        <v>1775368.1800000002</v>
      </c>
      <c r="E52" s="142">
        <v>3536.59</v>
      </c>
      <c r="F52" s="129">
        <v>45897</v>
      </c>
      <c r="G52" s="90" t="s">
        <v>235</v>
      </c>
      <c r="H52" s="90">
        <f>IF(OR(G52="Sin pagar",G52="Pagar"),_xlfn.SINGLE(NETWORKDAYS($E$4,F52,'Festivos CR'!$A$3:$A$29)),0)</f>
        <v>0</v>
      </c>
      <c r="I52" s="90">
        <f>NETWORKDAYS($E$4,F52,'Festivos CR'!$A$3:$A$29)</f>
        <v>19</v>
      </c>
      <c r="J52" s="132">
        <f t="shared" si="1"/>
        <v>0</v>
      </c>
      <c r="L52" s="179"/>
    </row>
    <row r="53" spans="1:15" s="180" customFormat="1" outlineLevel="1">
      <c r="B53" s="145" t="s">
        <v>391</v>
      </c>
      <c r="C53" s="174" t="s">
        <v>253</v>
      </c>
      <c r="D53" s="170">
        <v>1409287.55</v>
      </c>
      <c r="E53" s="142">
        <f>D53/CONVERSIONES!$C$396</f>
        <v>2807.345717131474</v>
      </c>
      <c r="F53" s="129">
        <v>45897</v>
      </c>
      <c r="G53" s="90" t="s">
        <v>235</v>
      </c>
      <c r="H53" s="90">
        <f>IF(OR(G53="Sin pagar",G53="Pagar"),_xlfn.SINGLE(NETWORKDAYS($E$4,F53,'Festivos CR'!$A$3:$A$29)),0)</f>
        <v>0</v>
      </c>
      <c r="I53" s="90">
        <f>NETWORKDAYS($E$4,F53,'Festivos CR'!$A$3:$A$29)</f>
        <v>19</v>
      </c>
      <c r="J53" s="132">
        <f t="shared" si="1"/>
        <v>0</v>
      </c>
      <c r="L53" s="179"/>
    </row>
    <row r="54" spans="1:15" s="180" customFormat="1" outlineLevel="1">
      <c r="B54" s="145" t="s">
        <v>391</v>
      </c>
      <c r="C54" s="174" t="s">
        <v>976</v>
      </c>
      <c r="D54" s="170">
        <v>994122.7</v>
      </c>
      <c r="E54" s="142">
        <f>D54/CONVERSIONES!$C$396</f>
        <v>1980.3241035856572</v>
      </c>
      <c r="F54" s="129">
        <v>45897</v>
      </c>
      <c r="G54" s="90" t="s">
        <v>235</v>
      </c>
      <c r="H54" s="90">
        <f>IF(OR(G54="Sin pagar",G54="Pagar"),_xlfn.SINGLE(NETWORKDAYS($E$4,F54,'Festivos CR'!$A$3:$A$29)),0)</f>
        <v>0</v>
      </c>
      <c r="I54" s="90">
        <f>NETWORKDAYS($E$4,F54,'Festivos CR'!$A$3:$A$29)</f>
        <v>19</v>
      </c>
      <c r="J54" s="132">
        <f t="shared" si="1"/>
        <v>0</v>
      </c>
      <c r="L54" s="179"/>
    </row>
    <row r="55" spans="1:15" s="180" customFormat="1" ht="28.8" outlineLevel="1">
      <c r="B55" s="145" t="s">
        <v>391</v>
      </c>
      <c r="C55" s="174" t="s">
        <v>985</v>
      </c>
      <c r="D55" s="170">
        <v>2039964.81</v>
      </c>
      <c r="E55" s="142">
        <f>D55/CONVERSIONES!$C$396</f>
        <v>4063.6749203187251</v>
      </c>
      <c r="F55" s="129">
        <v>45897</v>
      </c>
      <c r="G55" s="90" t="s">
        <v>235</v>
      </c>
      <c r="H55" s="90">
        <f>IF(OR(G55="Sin pagar",G55="Pagar"),_xlfn.SINGLE(NETWORKDAYS($E$4,F55,'Festivos CR'!$A$3:$A$29)),0)</f>
        <v>0</v>
      </c>
      <c r="I55" s="90">
        <f>NETWORKDAYS($E$4,F55,'Festivos CR'!$A$3:$A$29)</f>
        <v>19</v>
      </c>
      <c r="J55" s="132">
        <f t="shared" si="1"/>
        <v>0</v>
      </c>
      <c r="L55" s="179"/>
    </row>
    <row r="56" spans="1:15" s="180" customFormat="1" outlineLevel="1">
      <c r="B56" s="145" t="s">
        <v>391</v>
      </c>
      <c r="C56" s="174" t="s">
        <v>255</v>
      </c>
      <c r="D56" s="170">
        <v>1409287.55</v>
      </c>
      <c r="E56" s="142">
        <f>D56/CONVERSIONES!$C$396</f>
        <v>2807.345717131474</v>
      </c>
      <c r="F56" s="129">
        <v>45897</v>
      </c>
      <c r="G56" s="90" t="s">
        <v>235</v>
      </c>
      <c r="H56" s="90">
        <f>IF(OR(G56="Sin pagar",G56="Pagar"),_xlfn.SINGLE(NETWORKDAYS($E$4,F56,'Festivos CR'!$A$3:$A$29)),0)</f>
        <v>0</v>
      </c>
      <c r="I56" s="90">
        <f>NETWORKDAYS($E$4,F56,'Festivos CR'!$A$3:$A$29)</f>
        <v>19</v>
      </c>
      <c r="J56" s="132">
        <f t="shared" si="1"/>
        <v>0</v>
      </c>
      <c r="L56" s="179"/>
    </row>
    <row r="57" spans="1:15" s="180" customFormat="1" outlineLevel="1">
      <c r="B57" s="145" t="s">
        <v>391</v>
      </c>
      <c r="C57" s="174" t="s">
        <v>330</v>
      </c>
      <c r="D57" s="170">
        <v>786551.54</v>
      </c>
      <c r="E57" s="142">
        <f>D57/CONVERSIONES!$C$396</f>
        <v>1566.8357370517929</v>
      </c>
      <c r="F57" s="129">
        <v>45897</v>
      </c>
      <c r="G57" s="90" t="s">
        <v>235</v>
      </c>
      <c r="H57" s="90">
        <f>IF(OR(G57="Sin pagar",G57="Pagar"),_xlfn.SINGLE(NETWORKDAYS($E$4,F57,'Festivos CR'!$A$3:$A$29)),0)</f>
        <v>0</v>
      </c>
      <c r="I57" s="90">
        <f>NETWORKDAYS($E$4,F57,'Festivos CR'!$A$3:$A$29)</f>
        <v>19</v>
      </c>
      <c r="J57" s="132">
        <f t="shared" si="1"/>
        <v>0</v>
      </c>
      <c r="L57" s="179"/>
      <c r="M57" s="387"/>
      <c r="N57" s="387"/>
    </row>
    <row r="58" spans="1:15" s="180" customFormat="1" ht="15" outlineLevel="1" thickBot="1">
      <c r="B58" s="145" t="s">
        <v>391</v>
      </c>
      <c r="C58" s="174" t="s">
        <v>759</v>
      </c>
      <c r="D58" s="170">
        <v>4641955.3099999996</v>
      </c>
      <c r="E58" s="142">
        <f>D58/CONVERSIONES!$C$396</f>
        <v>9246.9229282868509</v>
      </c>
      <c r="F58" s="129">
        <v>45897</v>
      </c>
      <c r="G58" s="90" t="s">
        <v>235</v>
      </c>
      <c r="H58" s="90">
        <f>IF(OR(G58="Sin pagar",G58="Pagar"),_xlfn.SINGLE(NETWORKDAYS($E$4,F58,'Festivos CR'!$A$3:$A$29)),0)</f>
        <v>0</v>
      </c>
      <c r="I58" s="90">
        <f>NETWORKDAYS($E$4,F58,'Festivos CR'!$A$3:$A$29)</f>
        <v>19</v>
      </c>
      <c r="J58" s="132">
        <f>H58</f>
        <v>0</v>
      </c>
      <c r="L58" s="179"/>
    </row>
    <row r="59" spans="1:15" s="90" customFormat="1" ht="16.2" thickBot="1">
      <c r="A59" s="180"/>
      <c r="B59" s="145"/>
      <c r="C59" s="127" t="s">
        <v>1051</v>
      </c>
      <c r="D59" s="172">
        <f>SUBTOTAL(9,D60:D60)</f>
        <v>730190</v>
      </c>
      <c r="E59" s="128">
        <f>SUBTOTAL(9,E60:E60)</f>
        <v>1463.306613226453</v>
      </c>
      <c r="L59" s="108"/>
    </row>
    <row r="60" spans="1:15" s="90" customFormat="1" ht="15" outlineLevel="1" thickBot="1">
      <c r="A60" s="180"/>
      <c r="B60" s="146"/>
      <c r="C60" s="101" t="s">
        <v>1052</v>
      </c>
      <c r="D60" s="170">
        <v>730190</v>
      </c>
      <c r="E60" s="142">
        <f>D60/$D$6</f>
        <v>1463.306613226453</v>
      </c>
      <c r="F60" s="129">
        <v>45897</v>
      </c>
      <c r="G60" s="90" t="s">
        <v>235</v>
      </c>
      <c r="H60" s="90">
        <f>IF(OR(G60="Sin pagar",G60="Pagar"),_xlfn.SINGLE(NETWORKDAYS($E$4,F60,'Festivos CR'!$A$3:$A$29)),0)</f>
        <v>0</v>
      </c>
      <c r="I60" s="90">
        <f>NETWORKDAYS($E$4,F60,'Festivos CR'!$A$3:$A$29)</f>
        <v>19</v>
      </c>
      <c r="J60" s="132">
        <f>H60</f>
        <v>0</v>
      </c>
      <c r="L60" s="108"/>
      <c r="M60" s="392">
        <v>554.63</v>
      </c>
      <c r="N60" s="349">
        <f>D60-M60</f>
        <v>729635.37</v>
      </c>
      <c r="O60" s="118" t="s">
        <v>995</v>
      </c>
    </row>
    <row r="61" spans="1:15" s="90" customFormat="1" ht="16.2" thickBot="1">
      <c r="A61" s="180"/>
      <c r="B61" s="145"/>
      <c r="C61" s="127" t="s">
        <v>992</v>
      </c>
      <c r="D61" s="172">
        <f>SUBTOTAL(9,D62:D64)</f>
        <v>566030.47000000009</v>
      </c>
      <c r="E61" s="128">
        <f>SUBTOTAL(9,E62:E64)</f>
        <v>1134.3295991983969</v>
      </c>
      <c r="L61" s="108"/>
    </row>
    <row r="62" spans="1:15" s="90" customFormat="1" outlineLevel="1">
      <c r="A62" s="180"/>
      <c r="B62" s="146"/>
      <c r="C62" s="101" t="s">
        <v>993</v>
      </c>
      <c r="D62" s="170">
        <v>285079.82</v>
      </c>
      <c r="E62" s="142">
        <f>D62/$D$6</f>
        <v>571.30224448897798</v>
      </c>
      <c r="F62" s="129">
        <v>45875</v>
      </c>
      <c r="G62" s="90" t="s">
        <v>235</v>
      </c>
      <c r="H62" s="90">
        <f>IF(OR(G62="Sin pagar",G62="Pagar"),_xlfn.SINGLE(NETWORKDAYS($E$4,F62,'Festivos CR'!$A$3:$A$29)),0)</f>
        <v>0</v>
      </c>
      <c r="I62" s="90">
        <f>NETWORKDAYS($E$4,F62,'Festivos CR'!$A$3:$A$29)</f>
        <v>4</v>
      </c>
      <c r="J62" s="132">
        <f>H62</f>
        <v>0</v>
      </c>
      <c r="L62" s="108"/>
      <c r="M62" s="392">
        <v>554.63</v>
      </c>
      <c r="N62" s="349">
        <f>D62-M62</f>
        <v>284525.19</v>
      </c>
      <c r="O62" s="118" t="s">
        <v>995</v>
      </c>
    </row>
    <row r="63" spans="1:15" s="90" customFormat="1" outlineLevel="1">
      <c r="A63" s="180"/>
      <c r="B63" s="146"/>
      <c r="C63" s="101" t="s">
        <v>994</v>
      </c>
      <c r="D63" s="170">
        <v>237745.1</v>
      </c>
      <c r="E63" s="142">
        <f>D63/$D$6</f>
        <v>476.44308617234469</v>
      </c>
      <c r="F63" s="129">
        <v>45875</v>
      </c>
      <c r="G63" s="90" t="s">
        <v>235</v>
      </c>
      <c r="H63" s="90">
        <f>IF(OR(G63="Sin pagar",G63="Pagar"),_xlfn.SINGLE(NETWORKDAYS($E$4,F63,'Festivos CR'!$A$3:$A$29)),0)</f>
        <v>0</v>
      </c>
      <c r="I63" s="90">
        <f>NETWORKDAYS($E$4,F63,'Festivos CR'!$A$3:$A$29)</f>
        <v>4</v>
      </c>
      <c r="J63" s="132">
        <f>H63</f>
        <v>0</v>
      </c>
      <c r="L63" s="108"/>
      <c r="M63" s="392"/>
    </row>
    <row r="64" spans="1:15" s="90" customFormat="1" ht="15" outlineLevel="1" thickBot="1">
      <c r="A64" s="180"/>
      <c r="B64" s="146"/>
      <c r="C64" s="101" t="s">
        <v>977</v>
      </c>
      <c r="D64" s="170">
        <v>43205.55</v>
      </c>
      <c r="E64" s="142">
        <f>D64/$D$6</f>
        <v>86.584268537074152</v>
      </c>
      <c r="F64" s="129">
        <v>45890</v>
      </c>
      <c r="G64" s="90" t="s">
        <v>235</v>
      </c>
      <c r="H64" s="90">
        <f>IF(OR(G64="Sin pagar",G64="Pagar"),_xlfn.SINGLE(NETWORKDAYS($E$4,F64,'Festivos CR'!$A$3:$A$29)),0)</f>
        <v>0</v>
      </c>
      <c r="I64" s="90">
        <f>NETWORKDAYS($E$4,F64,'Festivos CR'!$A$3:$A$29)</f>
        <v>14</v>
      </c>
      <c r="J64" s="132">
        <f>H64</f>
        <v>0</v>
      </c>
      <c r="L64" s="108"/>
      <c r="M64" s="392"/>
    </row>
    <row r="65" spans="1:16" s="90" customFormat="1" ht="16.2" thickBot="1">
      <c r="A65" s="180"/>
      <c r="B65" s="145"/>
      <c r="C65" s="127" t="s">
        <v>238</v>
      </c>
      <c r="D65" s="172">
        <f>SUBTOTAL(9,D66:D70)</f>
        <v>51412</v>
      </c>
      <c r="E65" s="128">
        <f>SUBTOTAL(9,E66:E70)</f>
        <v>1283.7300601202405</v>
      </c>
      <c r="L65" s="108"/>
    </row>
    <row r="66" spans="1:16" s="90" customFormat="1" outlineLevel="1">
      <c r="A66" s="180"/>
      <c r="B66" s="146"/>
      <c r="C66" s="101" t="s">
        <v>925</v>
      </c>
      <c r="D66" s="170">
        <f>'BAC SAN JOSE COLONES  '!F424*0</f>
        <v>0</v>
      </c>
      <c r="E66" s="142">
        <f>D66/$D$6</f>
        <v>0</v>
      </c>
      <c r="F66" s="129">
        <v>45870</v>
      </c>
      <c r="G66" s="90" t="s">
        <v>235</v>
      </c>
      <c r="H66" s="90">
        <f>IF(OR(G66="Sin pagar",G66="Pagar"),_xlfn.SINGLE(NETWORKDAYS($E$4,F66,'Festivos CR'!$A$3:$A$29)),0)</f>
        <v>0</v>
      </c>
      <c r="I66" s="90">
        <f>NETWORKDAYS($E$4,F66,'Festivos CR'!$A$3:$A$29)</f>
        <v>1</v>
      </c>
      <c r="J66" s="132">
        <f>H66</f>
        <v>0</v>
      </c>
      <c r="L66" s="108"/>
      <c r="M66" s="392"/>
    </row>
    <row r="67" spans="1:16" s="90" customFormat="1" outlineLevel="1">
      <c r="A67" s="180"/>
      <c r="B67" s="146"/>
      <c r="C67" s="101" t="s">
        <v>986</v>
      </c>
      <c r="D67" s="170">
        <f>524121.29*0</f>
        <v>0</v>
      </c>
      <c r="E67" s="142">
        <f>D67/D6</f>
        <v>0</v>
      </c>
      <c r="F67" s="129">
        <v>45873</v>
      </c>
      <c r="G67" s="90" t="s">
        <v>235</v>
      </c>
      <c r="H67" s="90">
        <f>IF(OR(G67="Sin pagar",G67="Pagar"),_xlfn.SINGLE(NETWORKDAYS($E$4,F67,'Festivos CR'!$A$3:$A$29)),0)</f>
        <v>0</v>
      </c>
      <c r="I67" s="90">
        <f>NETWORKDAYS($E$4,F67,'Festivos CR'!$A$3:$A$29)</f>
        <v>2</v>
      </c>
      <c r="J67" s="132">
        <f>H67</f>
        <v>0</v>
      </c>
      <c r="L67" s="108"/>
      <c r="M67" s="392"/>
    </row>
    <row r="68" spans="1:16" s="90" customFormat="1" ht="28.8" outlineLevel="1">
      <c r="A68" s="180"/>
      <c r="B68" s="146">
        <v>34462</v>
      </c>
      <c r="C68" s="101" t="s">
        <v>1060</v>
      </c>
      <c r="D68" s="170">
        <f>$E$68*$D$6</f>
        <v>25449</v>
      </c>
      <c r="E68" s="142">
        <v>51</v>
      </c>
      <c r="F68" s="129">
        <v>45894</v>
      </c>
      <c r="G68" s="90" t="s">
        <v>235</v>
      </c>
      <c r="H68" s="90">
        <f>IF(OR(G68="Sin pagar",G68="Pagar"),_xlfn.SINGLE(NETWORKDAYS($E$4,F68,'Festivos CR'!$A$3:$A$29)),0)</f>
        <v>0</v>
      </c>
      <c r="I68" s="90">
        <f>NETWORKDAYS($E$4,F68,'Festivos CR'!$A$3:$A$29)</f>
        <v>16</v>
      </c>
      <c r="J68" s="132">
        <f>H68</f>
        <v>0</v>
      </c>
      <c r="L68" s="108"/>
      <c r="M68" s="392"/>
    </row>
    <row r="69" spans="1:16" s="90" customFormat="1" outlineLevel="1">
      <c r="A69" s="180"/>
      <c r="B69" s="146">
        <v>36680</v>
      </c>
      <c r="C69" s="101" t="s">
        <v>1061</v>
      </c>
      <c r="D69" s="170">
        <f>$E$68*$D$6</f>
        <v>25449</v>
      </c>
      <c r="E69" s="142">
        <v>1231.7</v>
      </c>
      <c r="F69" s="129">
        <v>45897</v>
      </c>
      <c r="G69" s="90" t="s">
        <v>235</v>
      </c>
      <c r="H69" s="90">
        <f>IF(OR(G69="Sin pagar",G69="Pagar"),_xlfn.SINGLE(NETWORKDAYS($E$4,F69,'Festivos CR'!$A$3:$A$29)),0)</f>
        <v>0</v>
      </c>
      <c r="I69" s="90">
        <f>NETWORKDAYS($E$4,F69,'Festivos CR'!$A$3:$A$29)</f>
        <v>19</v>
      </c>
      <c r="J69" s="132">
        <f>H69</f>
        <v>0</v>
      </c>
      <c r="L69" s="108"/>
      <c r="M69" s="392"/>
    </row>
    <row r="70" spans="1:16" s="90" customFormat="1" ht="15" outlineLevel="1" thickBot="1">
      <c r="A70" s="180"/>
      <c r="B70" s="146"/>
      <c r="C70" s="101" t="s">
        <v>925</v>
      </c>
      <c r="D70" s="170">
        <f>'BAC SAN JOSE COLONES  '!F446</f>
        <v>514</v>
      </c>
      <c r="E70" s="142">
        <f>D70/$D$6</f>
        <v>1.0300601202404809</v>
      </c>
      <c r="F70" s="129">
        <v>45901</v>
      </c>
      <c r="G70" s="90" t="s">
        <v>235</v>
      </c>
      <c r="H70" s="90">
        <f>IF(OR(G70="Sin pagar",G70="Pagar"),_xlfn.SINGLE(NETWORKDAYS($E$4,F70,'Festivos CR'!$A$3:$A$29)),0)</f>
        <v>0</v>
      </c>
      <c r="I70" s="90">
        <f>NETWORKDAYS($E$4,F70,'Festivos CR'!$A$3:$A$29)</f>
        <v>21</v>
      </c>
      <c r="J70" s="132">
        <f>H70</f>
        <v>0</v>
      </c>
      <c r="L70" s="108"/>
      <c r="M70" s="392"/>
    </row>
    <row r="71" spans="1:16" s="90" customFormat="1" ht="14.25" customHeight="1">
      <c r="B71" s="100"/>
      <c r="C71" s="147" t="s">
        <v>239</v>
      </c>
      <c r="D71" s="171">
        <f>SUBTOTAL(9,D30:D70)</f>
        <v>44423763.359999999</v>
      </c>
      <c r="E71" s="148">
        <f>SUBTOTAL(9,E30:E70)</f>
        <v>90125.575624755482</v>
      </c>
      <c r="K71" s="433"/>
      <c r="L71" s="433"/>
      <c r="N71" s="433"/>
      <c r="O71" s="433"/>
      <c r="P71" s="433"/>
    </row>
    <row r="72" spans="1:16" ht="15.6">
      <c r="A72" s="90"/>
      <c r="E72" s="149"/>
      <c r="F72" s="239"/>
      <c r="G72" s="150"/>
      <c r="H72" s="150"/>
      <c r="I72" s="150"/>
      <c r="J72" s="150"/>
    </row>
    <row r="73" spans="1:16" ht="15.6">
      <c r="A73" s="90"/>
      <c r="C73" s="151" t="s">
        <v>3</v>
      </c>
      <c r="D73" s="182">
        <f>D25-D71</f>
        <v>32353634.75197576</v>
      </c>
      <c r="E73" s="152">
        <f>E25-E71</f>
        <v>63780.699185483172</v>
      </c>
      <c r="F73" s="243"/>
      <c r="G73" s="153"/>
      <c r="J73" s="153"/>
    </row>
    <row r="74" spans="1:16" s="157" customFormat="1" ht="15.6">
      <c r="A74" s="90"/>
      <c r="B74" s="154"/>
      <c r="C74" s="151" t="s">
        <v>240</v>
      </c>
      <c r="D74" s="155">
        <f>IF($D$25=0,0,D73/$D$25)</f>
        <v>0.42139530053870411</v>
      </c>
      <c r="E74" s="155">
        <f>IF($E$25=0,0,E73/$E$25)</f>
        <v>0.41441259795367452</v>
      </c>
      <c r="F74" s="156"/>
      <c r="G74" s="153"/>
      <c r="J74" s="158"/>
      <c r="K74" s="433"/>
      <c r="L74" s="433"/>
      <c r="N74" s="433"/>
      <c r="O74" s="433"/>
      <c r="P74" s="433"/>
    </row>
    <row r="75" spans="1:16">
      <c r="A75" s="90"/>
      <c r="F75" s="156"/>
      <c r="G75" s="153"/>
    </row>
    <row r="77" spans="1:16" ht="15" thickBot="1"/>
    <row r="78" spans="1:16" ht="15" thickBot="1">
      <c r="C78" s="189" t="s">
        <v>260</v>
      </c>
      <c r="D78" s="190" t="s">
        <v>261</v>
      </c>
      <c r="E78" s="191" t="s">
        <v>265</v>
      </c>
      <c r="F78" s="191" t="s">
        <v>266</v>
      </c>
    </row>
    <row r="79" spans="1:16">
      <c r="C79" s="400">
        <v>45870</v>
      </c>
      <c r="D79" s="396">
        <v>45872</v>
      </c>
      <c r="E79" s="401">
        <f t="shared" ref="E79:E85" si="2">SUMIFS($D$29:$D$76,$F$29:$F$76,"&gt;="&amp;C79,$F$29:$F$76,"&lt;="&amp;D79,$G$29:$G$76,$D$95)</f>
        <v>0</v>
      </c>
      <c r="F79" s="402">
        <f t="shared" ref="F79:F85" si="3">SUMIFS($E$29:$E$76,$F$29:$F$76,"&gt;="&amp;C79,$F$29:$F$76,"&lt;="&amp;D79,$G$29:$G$76,$D$95)</f>
        <v>0</v>
      </c>
    </row>
    <row r="80" spans="1:16">
      <c r="C80" s="403">
        <v>45873</v>
      </c>
      <c r="D80" s="398">
        <v>45879</v>
      </c>
      <c r="E80" s="404">
        <f t="shared" si="2"/>
        <v>0</v>
      </c>
      <c r="F80" s="405">
        <f t="shared" si="3"/>
        <v>0</v>
      </c>
      <c r="J80" s="382"/>
    </row>
    <row r="81" spans="2:13">
      <c r="C81" s="403">
        <v>45880</v>
      </c>
      <c r="D81" s="397">
        <v>45882</v>
      </c>
      <c r="E81" s="404">
        <f t="shared" si="2"/>
        <v>0</v>
      </c>
      <c r="F81" s="405">
        <f t="shared" si="3"/>
        <v>0</v>
      </c>
    </row>
    <row r="82" spans="2:13">
      <c r="C82" s="403">
        <v>45883</v>
      </c>
      <c r="D82" s="397">
        <v>45886</v>
      </c>
      <c r="E82" s="404">
        <f t="shared" si="2"/>
        <v>0</v>
      </c>
      <c r="F82" s="405">
        <f t="shared" si="3"/>
        <v>0</v>
      </c>
      <c r="G82" s="433" t="s">
        <v>991</v>
      </c>
    </row>
    <row r="83" spans="2:13">
      <c r="C83" s="403">
        <v>45887</v>
      </c>
      <c r="D83" s="397">
        <v>45893</v>
      </c>
      <c r="E83" s="404">
        <f t="shared" si="2"/>
        <v>0</v>
      </c>
      <c r="F83" s="405">
        <f t="shared" si="3"/>
        <v>0</v>
      </c>
    </row>
    <row r="84" spans="2:13">
      <c r="C84" s="403">
        <v>45894</v>
      </c>
      <c r="D84" s="397">
        <v>45900</v>
      </c>
      <c r="E84" s="404">
        <f t="shared" si="2"/>
        <v>0</v>
      </c>
      <c r="F84" s="405">
        <f t="shared" si="3"/>
        <v>0</v>
      </c>
      <c r="G84" s="436" t="s">
        <v>923</v>
      </c>
    </row>
    <row r="85" spans="2:13" s="470" customFormat="1" ht="15" thickBot="1">
      <c r="B85" s="471"/>
      <c r="C85" s="406">
        <v>45901</v>
      </c>
      <c r="D85" s="399">
        <v>45901</v>
      </c>
      <c r="E85" s="407">
        <f t="shared" si="2"/>
        <v>0</v>
      </c>
      <c r="F85" s="408">
        <f t="shared" si="3"/>
        <v>0</v>
      </c>
    </row>
    <row r="86" spans="2:13" ht="15.6">
      <c r="C86" s="589" t="s">
        <v>262</v>
      </c>
      <c r="D86" s="589"/>
      <c r="E86" s="186">
        <f>SUM(E79:E85)</f>
        <v>0</v>
      </c>
      <c r="F86" s="200">
        <f>SUM(F79:F85)</f>
        <v>0</v>
      </c>
      <c r="G86" s="94"/>
      <c r="J86" s="153"/>
      <c r="K86" s="153"/>
      <c r="M86" s="206"/>
    </row>
    <row r="89" spans="2:13">
      <c r="C89" s="592" t="s">
        <v>267</v>
      </c>
      <c r="D89" s="592"/>
      <c r="E89" s="204">
        <f>'BAC SAN JOSE COLONES  '!$G$500+('BAC SAN JOSE USD'!$G$370*1)</f>
        <v>8125131.3327111183</v>
      </c>
      <c r="F89" s="206">
        <f>('BAC SAN JOSE COLONES  '!$G$500/D6)+'BAC SAN JOSE USD'!$G$370</f>
        <v>43613.09530899622</v>
      </c>
    </row>
    <row r="90" spans="2:13">
      <c r="C90" s="592" t="s">
        <v>1035</v>
      </c>
      <c r="D90" s="592"/>
      <c r="E90" s="204">
        <f>SUM(E79:E84)</f>
        <v>0</v>
      </c>
      <c r="F90" s="204">
        <f>SUM(F79:F84)</f>
        <v>0</v>
      </c>
      <c r="J90" s="324"/>
    </row>
    <row r="91" spans="2:13">
      <c r="C91" s="588" t="s">
        <v>152</v>
      </c>
      <c r="D91" s="588"/>
      <c r="E91" s="446">
        <f>E89-E90</f>
        <v>8125131.3327111183</v>
      </c>
      <c r="F91" s="447">
        <f>F89-F90</f>
        <v>43613.09530899622</v>
      </c>
      <c r="G91" s="206"/>
      <c r="J91" s="206"/>
    </row>
    <row r="94" spans="2:13">
      <c r="D94" s="90" t="s">
        <v>235</v>
      </c>
      <c r="E94" s="170">
        <f>SUMIFS($D$29:$D$76,$F$29:$F$76,"&gt;="&amp;C79,$F$29:$F$76,"&lt;="&amp;D85,$G$29:$G$76,$D$94)</f>
        <v>44423763.359999999</v>
      </c>
      <c r="F94" s="206">
        <f>SUMIFS($E$29:$E$76,$F$29:$F$76,"&gt;="&amp;$C$79,$F$29:$F$76,"&lt;="&amp;$D$85,$G$29:$G$76,$D$94)</f>
        <v>90125.575624755482</v>
      </c>
    </row>
    <row r="95" spans="2:13">
      <c r="D95" s="90" t="s">
        <v>231</v>
      </c>
      <c r="E95" s="170">
        <f>SUMIFS($D$29:$D$76,$F$29:$F$76,"&gt;="&amp;C79,$F$29:$F$76,"&lt;="&amp;D84,$G$29:$G$76,$D$95)</f>
        <v>0</v>
      </c>
      <c r="F95" s="206">
        <f>SUMIFS($E$29:$E$76,$F$29:$F$76,"&gt;="&amp;C79,$F$29:$F$76,"&lt;="&amp;$D$84,$G$29:$G$76,$D$95)</f>
        <v>0</v>
      </c>
    </row>
    <row r="96" spans="2:13">
      <c r="D96" s="185" t="s">
        <v>263</v>
      </c>
      <c r="E96" s="194">
        <f>SUM(E94:E95)</f>
        <v>44423763.359999999</v>
      </c>
      <c r="F96" s="199">
        <f>SUM(F94:F95)</f>
        <v>90125.575624755482</v>
      </c>
    </row>
    <row r="97" spans="4:6">
      <c r="D97" s="185" t="s">
        <v>264</v>
      </c>
      <c r="E97" s="194">
        <f>(D71-E96)</f>
        <v>0</v>
      </c>
      <c r="F97" s="199">
        <f>F96-E71</f>
        <v>0</v>
      </c>
    </row>
    <row r="100" spans="4:6">
      <c r="E100" s="170"/>
      <c r="F100" s="206"/>
    </row>
    <row r="101" spans="4:6">
      <c r="D101" s="88" t="s">
        <v>400</v>
      </c>
      <c r="E101" s="170">
        <f>D73</f>
        <v>32353634.75197576</v>
      </c>
      <c r="F101" s="206"/>
    </row>
    <row r="102" spans="4:6">
      <c r="D102" s="88" t="s">
        <v>401</v>
      </c>
      <c r="E102" s="170">
        <f>'BAC SAN JOSE COLONES  '!G446+('BAC SAN JOSE USD'!G370*D6)</f>
        <v>32353634.749189094</v>
      </c>
    </row>
    <row r="103" spans="4:6">
      <c r="D103" s="88" t="s">
        <v>701</v>
      </c>
      <c r="E103" s="170">
        <f>E102-E101</f>
        <v>-2.7866661548614502E-3</v>
      </c>
      <c r="F103" s="395"/>
    </row>
    <row r="104" spans="4:6">
      <c r="D104" s="88" t="s">
        <v>702</v>
      </c>
      <c r="E104" s="395">
        <f>E103/D6</f>
        <v>-5.5845013123475954E-6</v>
      </c>
    </row>
  </sheetData>
  <protectedRanges>
    <protectedRange sqref="F25:G25 D75:E75 D10:E11" name="Presupuestos"/>
    <protectedRange sqref="D8:E8 D29:E29" name="Presupuestos_1"/>
    <protectedRange sqref="D36:E36" name="Presupuestos_13_1"/>
    <protectedRange sqref="D38:E38" name="Presupuestos_14"/>
    <protectedRange sqref="E44 D45:E52 E53 E56 D57:E58 D54:E55" name="Presupuestos_2_1_1_1"/>
    <protectedRange sqref="E62:E64 E60 E66:E70" name="Presupuestos_6_1_1_1"/>
    <protectedRange sqref="D44 D53 D56" name="Presupuestos_5_2_1"/>
    <protectedRange sqref="D42:E42" name="Presupuestos_7_1"/>
    <protectedRange sqref="D62:D64 D60 D66:D70" name="Presupuestos_5_3"/>
    <protectedRange sqref="D40:E40" name="Presupuestos_13_1_1"/>
  </protectedRanges>
  <autoFilter ref="A29:S66" xr:uid="{3FCD6F3C-A6D9-4CFA-A59A-B8A8D20E4A0C}"/>
  <mergeCells count="7">
    <mergeCell ref="C91:D91"/>
    <mergeCell ref="D7:E7"/>
    <mergeCell ref="B28:C28"/>
    <mergeCell ref="D28:E28"/>
    <mergeCell ref="C86:D86"/>
    <mergeCell ref="C89:D89"/>
    <mergeCell ref="C90:D90"/>
  </mergeCells>
  <dataValidations count="4">
    <dataValidation type="list" allowBlank="1" showInputMessage="1" showErrorMessage="1" sqref="D28 D7" xr:uid="{C3F45F7B-E2E2-4DE1-8A67-59E6E96290C3}">
      <formula1>"ENERO,FEBRERO,MARZO,ABRIL,MAYO,JUNIO,JULIO,AGOSTO,SEPTIEMBRE,OCTUBRE,NOVIEMBRE,DICIEMBRE"</formula1>
    </dataValidation>
    <dataValidation type="list" allowBlank="1" showInputMessage="1" showErrorMessage="1" sqref="D94:D95 G76:G77 G33:G34 G36 G38 G30:G31 G42 G44:G58 G40 G62:G64 G60 G66:G70" xr:uid="{FB6FA704-071D-483C-8DB4-332526E0683C}">
      <formula1>"Cancelado,Pagar,Sin Pagar"</formula1>
    </dataValidation>
    <dataValidation type="list" allowBlank="1" showInputMessage="1" showErrorMessage="1" sqref="O39" xr:uid="{D525049C-F708-45BB-A7BC-EF013F3C4B1E}">
      <formula1>"0,1"</formula1>
    </dataValidation>
    <dataValidation type="list" allowBlank="1" showInputMessage="1" showErrorMessage="1" sqref="B13:B24" xr:uid="{4F5D96F8-DA7A-497A-A7C6-801095997B90}">
      <formula1>"Sin Pagar,Pagado"</formula1>
    </dataValidation>
  </dataValidations>
  <pageMargins left="0.7" right="0.7" top="0.75" bottom="0.75" header="0.3" footer="0.3"/>
  <ignoredErrors>
    <ignoredError sqref="J71:J80 J31:J68 G19" unlockedFormula="1"/>
    <ignoredError sqref="D36:E39 E57 D46:D47 E53 E58 E56 D41:E41 D40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C111-5B6F-4FD2-A3DD-704D12974203}">
  <dimension ref="A1:S105"/>
  <sheetViews>
    <sheetView showGridLines="0" topLeftCell="A47" zoomScale="85" zoomScaleNormal="85" workbookViewId="0">
      <selection activeCell="E13" sqref="E13"/>
    </sheetView>
  </sheetViews>
  <sheetFormatPr baseColWidth="10" defaultColWidth="9.109375" defaultRowHeight="14.4" outlineLevelRow="1"/>
  <cols>
    <col min="1" max="1" width="2.109375" style="448" customWidth="1"/>
    <col min="2" max="2" width="18.88671875" style="449" bestFit="1" customWidth="1"/>
    <col min="3" max="3" width="59.88671875" style="448" customWidth="1"/>
    <col min="4" max="4" width="24.44140625" style="88" customWidth="1"/>
    <col min="5" max="5" width="19.33203125" style="88" bestFit="1" customWidth="1"/>
    <col min="6" max="6" width="23.5546875" style="448" customWidth="1"/>
    <col min="7" max="7" width="18.88671875" style="448" customWidth="1"/>
    <col min="8" max="8" width="7.6640625" style="448" hidden="1" customWidth="1"/>
    <col min="9" max="9" width="12.109375" style="448" hidden="1" customWidth="1"/>
    <col min="10" max="10" width="25.33203125" style="448" customWidth="1"/>
    <col min="11" max="11" width="2.109375" style="448" customWidth="1"/>
    <col min="12" max="12" width="2.33203125" style="448" customWidth="1"/>
    <col min="13" max="13" width="17.109375" style="448" bestFit="1" customWidth="1"/>
    <col min="14" max="14" width="15.5546875" style="448" bestFit="1" customWidth="1"/>
    <col min="15" max="15" width="6.33203125" style="448" bestFit="1" customWidth="1"/>
    <col min="16" max="16" width="19.33203125" style="448" bestFit="1" customWidth="1"/>
    <col min="17" max="17" width="15.33203125" style="448" bestFit="1" customWidth="1"/>
    <col min="18" max="18" width="14" style="448" bestFit="1" customWidth="1"/>
    <col min="19" max="19" width="13" style="448" bestFit="1" customWidth="1"/>
    <col min="20" max="16384" width="9.109375" style="448"/>
  </cols>
  <sheetData>
    <row r="1" spans="2:9" hidden="1">
      <c r="D1" s="88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45901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500</v>
      </c>
      <c r="E6" s="89"/>
      <c r="I6" s="90"/>
    </row>
    <row r="7" spans="2:9" ht="15.6">
      <c r="C7" s="94"/>
      <c r="D7" s="590" t="s">
        <v>450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SUBTOTAL(9,D10:D11)</f>
        <v>32565043.406230219</v>
      </c>
      <c r="E9" s="98">
        <f>SUBTOTAL(9,E10:E11)</f>
        <v>65130.086812460431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'!$G$446+184023.51</f>
        <v>18872469.88566998</v>
      </c>
      <c r="E10" s="218">
        <f>$D$10/$D$6</f>
        <v>37744.939771339959</v>
      </c>
      <c r="F10" s="103"/>
    </row>
    <row r="11" spans="2:9" s="90" customFormat="1" outlineLevel="1">
      <c r="B11" s="100"/>
      <c r="C11" s="101" t="s">
        <v>221</v>
      </c>
      <c r="D11" s="169">
        <f>$E$11*$D$6</f>
        <v>13692573.520560239</v>
      </c>
      <c r="E11" s="218">
        <f>'BAC SAN JOSE USD'!$G$370</f>
        <v>27385.147041120475</v>
      </c>
      <c r="F11" s="103"/>
    </row>
    <row r="12" spans="2:9" s="90" customFormat="1" ht="15.6">
      <c r="B12" s="100"/>
      <c r="C12" s="104" t="s">
        <v>222</v>
      </c>
      <c r="D12" s="167">
        <f>SUBTOTAL(9,D13:D17)</f>
        <v>54895180</v>
      </c>
      <c r="E12" s="98">
        <f>SUBTOTAL(9,E13:E17)</f>
        <v>109790.36</v>
      </c>
      <c r="F12" s="105"/>
    </row>
    <row r="13" spans="2:9" s="178" customFormat="1" outlineLevel="1">
      <c r="B13" s="107" t="s">
        <v>231</v>
      </c>
      <c r="C13" s="440" t="s">
        <v>1053</v>
      </c>
      <c r="D13" s="271">
        <f>E13*$D$6</f>
        <v>0</v>
      </c>
      <c r="E13" s="272">
        <f>725.78*0</f>
        <v>0</v>
      </c>
      <c r="F13" s="345"/>
      <c r="G13" s="272"/>
    </row>
    <row r="14" spans="2:9" s="178" customFormat="1" outlineLevel="1">
      <c r="B14" s="328" t="s">
        <v>533</v>
      </c>
      <c r="C14" s="419" t="s">
        <v>1073</v>
      </c>
      <c r="D14" s="330">
        <f>E14*$D$6</f>
        <v>4180500</v>
      </c>
      <c r="E14" s="331">
        <v>8361</v>
      </c>
      <c r="F14" s="463" t="s">
        <v>1120</v>
      </c>
      <c r="G14" s="272">
        <f>E13</f>
        <v>0</v>
      </c>
    </row>
    <row r="15" spans="2:9" s="178" customFormat="1" outlineLevel="1">
      <c r="B15" s="328" t="s">
        <v>533</v>
      </c>
      <c r="C15" s="419" t="s">
        <v>1110</v>
      </c>
      <c r="D15" s="330">
        <f>E15*$D$6</f>
        <v>8803525</v>
      </c>
      <c r="E15" s="331">
        <v>17607.05</v>
      </c>
      <c r="F15" s="463"/>
      <c r="G15" s="272"/>
    </row>
    <row r="16" spans="2:9" s="178" customFormat="1" outlineLevel="1">
      <c r="B16" s="328" t="s">
        <v>533</v>
      </c>
      <c r="C16" s="419" t="s">
        <v>1109</v>
      </c>
      <c r="D16" s="330">
        <f>E16*$D$6</f>
        <v>3641100</v>
      </c>
      <c r="E16" s="331">
        <v>7282.2</v>
      </c>
      <c r="F16" s="465"/>
      <c r="G16" s="464"/>
    </row>
    <row r="17" spans="1:19" s="178" customFormat="1" outlineLevel="1">
      <c r="B17" s="328" t="s">
        <v>533</v>
      </c>
      <c r="C17" s="329" t="s">
        <v>1108</v>
      </c>
      <c r="D17" s="330">
        <f>E17*$D$6</f>
        <v>38270055</v>
      </c>
      <c r="E17" s="331">
        <v>76540.11</v>
      </c>
      <c r="F17" s="442"/>
      <c r="G17" s="443"/>
    </row>
    <row r="18" spans="1:19" s="90" customFormat="1" ht="15.6">
      <c r="B18" s="100"/>
      <c r="C18" s="109" t="s">
        <v>223</v>
      </c>
      <c r="D18" s="168">
        <f>SUBTOTAL(9,D9:D17)</f>
        <v>87460223.406230211</v>
      </c>
      <c r="E18" s="207">
        <f>SUBTOTAL(9,E9:E17)</f>
        <v>174920.44681246043</v>
      </c>
      <c r="F18" s="110"/>
      <c r="G18" s="110"/>
      <c r="J18" s="108"/>
      <c r="K18" s="111"/>
      <c r="O18" s="112"/>
      <c r="P18" s="113"/>
      <c r="Q18" s="114"/>
    </row>
    <row r="19" spans="1:19" s="90" customFormat="1" ht="15.6">
      <c r="B19" s="100"/>
      <c r="C19" s="115"/>
      <c r="D19" s="116"/>
      <c r="E19" s="116"/>
      <c r="G19" s="117"/>
      <c r="O19" s="113"/>
      <c r="P19" s="113"/>
    </row>
    <row r="20" spans="1:19" s="90" customFormat="1" ht="15.6">
      <c r="B20" s="100"/>
      <c r="D20" s="349"/>
      <c r="N20" s="118"/>
      <c r="O20" s="119"/>
      <c r="P20" s="120"/>
    </row>
    <row r="21" spans="1:19" s="90" customFormat="1" ht="15.6">
      <c r="B21" s="590" t="s">
        <v>224</v>
      </c>
      <c r="C21" s="590"/>
      <c r="D21" s="590" t="s">
        <v>450</v>
      </c>
      <c r="E21" s="590"/>
      <c r="K21" s="120"/>
      <c r="L21" s="120"/>
      <c r="N21" s="118"/>
      <c r="R21" s="108"/>
      <c r="S21" s="108"/>
    </row>
    <row r="22" spans="1:19" s="90" customFormat="1" ht="16.2" thickBot="1">
      <c r="B22" s="121" t="s">
        <v>225</v>
      </c>
      <c r="C22" s="122" t="s">
        <v>226</v>
      </c>
      <c r="D22" s="95" t="s">
        <v>242</v>
      </c>
      <c r="E22" s="95" t="s">
        <v>219</v>
      </c>
      <c r="F22" s="123" t="s">
        <v>227</v>
      </c>
      <c r="G22" s="118" t="s">
        <v>228</v>
      </c>
      <c r="H22" s="118"/>
      <c r="I22" s="118"/>
      <c r="J22" s="124" t="s">
        <v>229</v>
      </c>
      <c r="N22" s="125"/>
      <c r="R22" s="108"/>
      <c r="S22" s="126"/>
    </row>
    <row r="23" spans="1:19" s="90" customFormat="1" ht="16.2" thickBot="1">
      <c r="B23" s="100"/>
      <c r="C23" s="127" t="s">
        <v>230</v>
      </c>
      <c r="D23" s="172">
        <f>SUBTOTAL(9,D24:D24)</f>
        <v>13274681</v>
      </c>
      <c r="E23" s="128">
        <f>SUBTOTAL(9,E24:E24)</f>
        <v>26549.362000000001</v>
      </c>
      <c r="F23" s="129"/>
      <c r="J23" s="130"/>
    </row>
    <row r="24" spans="1:19" s="90" customFormat="1" ht="15" outlineLevel="1" thickBot="1">
      <c r="A24" s="103"/>
      <c r="B24" s="373" t="s">
        <v>1102</v>
      </c>
      <c r="C24" s="174" t="s">
        <v>1099</v>
      </c>
      <c r="D24" s="169">
        <v>13274681</v>
      </c>
      <c r="E24" s="142">
        <f>D24/$D$6</f>
        <v>26549.362000000001</v>
      </c>
      <c r="F24" s="134">
        <v>45911</v>
      </c>
      <c r="G24" s="90" t="s">
        <v>235</v>
      </c>
      <c r="H24" s="90">
        <f>IF(OR(G24="Sin pagar",G24="Pagar"),_xlfn.SINGLE(NETWORKDAYS($E$4,F24,'Festivos CR'!$A$3:$A$29)),0)</f>
        <v>0</v>
      </c>
      <c r="I24" s="90">
        <f>NETWORKDAYS($E$4,F24,'Festivos CR'!$A$3:$A$29)</f>
        <v>9</v>
      </c>
      <c r="J24" s="132">
        <f t="shared" ref="J24:J36" si="0">H24</f>
        <v>0</v>
      </c>
      <c r="K24" s="108"/>
      <c r="L24" s="108"/>
      <c r="M24" s="349"/>
      <c r="N24" s="349"/>
    </row>
    <row r="25" spans="1:19" s="90" customFormat="1" ht="16.2" thickBot="1">
      <c r="B25" s="100"/>
      <c r="C25" s="127" t="s">
        <v>232</v>
      </c>
      <c r="D25" s="172">
        <f>SUBTOTAL(9,D26:D33)</f>
        <v>4044776</v>
      </c>
      <c r="E25" s="128">
        <f>SUBTOTAL(9,E26:E33)</f>
        <v>8311.7020000000011</v>
      </c>
      <c r="J25" s="130">
        <f t="shared" si="0"/>
        <v>0</v>
      </c>
    </row>
    <row r="26" spans="1:19" s="90" customFormat="1" outlineLevel="1">
      <c r="B26" s="373" t="s">
        <v>1105</v>
      </c>
      <c r="C26" s="101" t="s">
        <v>292</v>
      </c>
      <c r="D26" s="271">
        <v>3862588</v>
      </c>
      <c r="E26" s="142">
        <f>D26/$D$6</f>
        <v>7725.1760000000004</v>
      </c>
      <c r="F26" s="134">
        <v>45915</v>
      </c>
      <c r="G26" s="90" t="s">
        <v>235</v>
      </c>
      <c r="H26" s="90">
        <f>IF(OR(G26="Sin pagar",G26="Pagar"),_xlfn.SINGLE(NETWORKDAYS($E$4,F26,'Festivos CR'!$A$3:$A$29)),0)</f>
        <v>0</v>
      </c>
      <c r="I26" s="90">
        <f>NETWORKDAYS($E$4,F26,'Festivos CR'!$A$3:$A$29)</f>
        <v>10</v>
      </c>
      <c r="J26" s="132">
        <f t="shared" si="0"/>
        <v>0</v>
      </c>
      <c r="K26" s="135"/>
      <c r="L26" s="111"/>
      <c r="M26" s="349"/>
      <c r="N26" s="349"/>
    </row>
    <row r="27" spans="1:19" s="90" customFormat="1" ht="28.8" outlineLevel="1">
      <c r="B27" s="373" t="s">
        <v>1104</v>
      </c>
      <c r="C27" s="101" t="s">
        <v>989</v>
      </c>
      <c r="D27" s="271">
        <v>114039</v>
      </c>
      <c r="E27" s="142">
        <f>(551.75*0.8)*1.02</f>
        <v>450.22800000000007</v>
      </c>
      <c r="F27" s="134">
        <v>45915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10</v>
      </c>
      <c r="J27" s="132">
        <f t="shared" si="0"/>
        <v>0</v>
      </c>
      <c r="K27" s="135"/>
      <c r="L27" s="111"/>
      <c r="M27" s="349"/>
    </row>
    <row r="28" spans="1:19" s="90" customFormat="1" outlineLevel="1">
      <c r="B28" s="373" t="s">
        <v>1087</v>
      </c>
      <c r="C28" s="101" t="s">
        <v>1081</v>
      </c>
      <c r="D28" s="271">
        <v>7774</v>
      </c>
      <c r="E28" s="142">
        <f t="shared" ref="E28:E33" si="1">D28/$D$6</f>
        <v>15.548</v>
      </c>
      <c r="F28" s="134">
        <v>45911</v>
      </c>
      <c r="G28" s="90" t="s">
        <v>235</v>
      </c>
      <c r="H28" s="90">
        <f>IF(OR(G28="Sin pagar",G28="Pagar"),_xlfn.SINGLE(NETWORKDAYS($E$4,F28,'Festivos CR'!$A$3:$A$29)),0)</f>
        <v>0</v>
      </c>
      <c r="I28" s="90">
        <f>NETWORKDAYS($E$4,F28,'Festivos CR'!$A$3:$A$29)</f>
        <v>9</v>
      </c>
      <c r="J28" s="132">
        <f t="shared" si="0"/>
        <v>0</v>
      </c>
      <c r="K28" s="135"/>
      <c r="L28" s="111"/>
      <c r="M28" s="349"/>
    </row>
    <row r="29" spans="1:19" s="90" customFormat="1" outlineLevel="1">
      <c r="B29" s="373" t="s">
        <v>1088</v>
      </c>
      <c r="C29" s="101" t="s">
        <v>1082</v>
      </c>
      <c r="D29" s="271">
        <v>17303</v>
      </c>
      <c r="E29" s="142">
        <f t="shared" si="1"/>
        <v>34.606000000000002</v>
      </c>
      <c r="F29" s="134">
        <v>45911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CR'!$A$3:$A$29)</f>
        <v>9</v>
      </c>
      <c r="J29" s="132">
        <f t="shared" si="0"/>
        <v>0</v>
      </c>
      <c r="K29" s="135"/>
      <c r="L29" s="111"/>
      <c r="M29" s="349"/>
    </row>
    <row r="30" spans="1:19" s="90" customFormat="1" outlineLevel="1">
      <c r="B30" s="373" t="s">
        <v>1089</v>
      </c>
      <c r="C30" s="101" t="s">
        <v>1083</v>
      </c>
      <c r="D30" s="271">
        <v>16101</v>
      </c>
      <c r="E30" s="142">
        <f t="shared" si="1"/>
        <v>32.201999999999998</v>
      </c>
      <c r="F30" s="134">
        <v>45911</v>
      </c>
      <c r="G30" s="90" t="s">
        <v>235</v>
      </c>
      <c r="H30" s="90">
        <f>IF(OR(G30="Sin pagar",G30="Pagar"),_xlfn.SINGLE(NETWORKDAYS($E$4,F30,'Festivos CR'!$A$3:$A$29)),0)</f>
        <v>0</v>
      </c>
      <c r="I30" s="90">
        <f>NETWORKDAYS($E$4,F30,'Festivos CR'!$A$3:$A$29)</f>
        <v>9</v>
      </c>
      <c r="J30" s="132">
        <f t="shared" si="0"/>
        <v>0</v>
      </c>
      <c r="K30" s="135"/>
      <c r="L30" s="111"/>
      <c r="M30" s="349"/>
    </row>
    <row r="31" spans="1:19" s="90" customFormat="1" outlineLevel="1">
      <c r="B31" s="373" t="s">
        <v>1090</v>
      </c>
      <c r="C31" s="101" t="s">
        <v>1084</v>
      </c>
      <c r="D31" s="271">
        <v>14962</v>
      </c>
      <c r="E31" s="142">
        <f t="shared" si="1"/>
        <v>29.923999999999999</v>
      </c>
      <c r="F31" s="134">
        <v>45911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CR'!$A$3:$A$29)</f>
        <v>9</v>
      </c>
      <c r="J31" s="132">
        <f t="shared" si="0"/>
        <v>0</v>
      </c>
      <c r="K31" s="135"/>
      <c r="L31" s="111"/>
      <c r="M31" s="349"/>
    </row>
    <row r="32" spans="1:19" s="90" customFormat="1" outlineLevel="1">
      <c r="B32" s="373" t="s">
        <v>1091</v>
      </c>
      <c r="C32" s="101" t="s">
        <v>1085</v>
      </c>
      <c r="D32" s="271">
        <v>6820</v>
      </c>
      <c r="E32" s="142">
        <f t="shared" si="1"/>
        <v>13.64</v>
      </c>
      <c r="F32" s="134">
        <v>45911</v>
      </c>
      <c r="G32" s="90" t="s">
        <v>235</v>
      </c>
      <c r="H32" s="90">
        <f>IF(OR(G32="Sin pagar",G32="Pagar"),_xlfn.SINGLE(NETWORKDAYS($E$4,F32,'Festivos CR'!$A$3:$A$29)),0)</f>
        <v>0</v>
      </c>
      <c r="I32" s="90">
        <f>NETWORKDAYS($E$4,F32,'Festivos CR'!$A$3:$A$29)</f>
        <v>9</v>
      </c>
      <c r="J32" s="132">
        <f t="shared" si="0"/>
        <v>0</v>
      </c>
      <c r="K32" s="135"/>
      <c r="L32" s="111"/>
      <c r="M32" s="349"/>
    </row>
    <row r="33" spans="2:16" s="90" customFormat="1" ht="15" outlineLevel="1" thickBot="1">
      <c r="B33" s="373" t="s">
        <v>1092</v>
      </c>
      <c r="C33" s="101" t="s">
        <v>1086</v>
      </c>
      <c r="D33" s="271">
        <v>5189</v>
      </c>
      <c r="E33" s="142">
        <f t="shared" si="1"/>
        <v>10.378</v>
      </c>
      <c r="F33" s="134">
        <v>45911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CR'!$A$3:$A$29)</f>
        <v>9</v>
      </c>
      <c r="J33" s="132">
        <f t="shared" si="0"/>
        <v>0</v>
      </c>
      <c r="K33" s="135"/>
      <c r="L33" s="111"/>
      <c r="M33" s="349"/>
    </row>
    <row r="34" spans="2:16" s="90" customFormat="1" ht="16.2" thickBot="1">
      <c r="B34" s="451"/>
      <c r="C34" s="127" t="s">
        <v>233</v>
      </c>
      <c r="D34" s="172">
        <f>SUBTOTAL(9,D35:D36)</f>
        <v>126560</v>
      </c>
      <c r="E34" s="128">
        <f>SUBTOTAL(9,E35:E36)</f>
        <v>253.12</v>
      </c>
      <c r="J34" s="130">
        <f t="shared" si="0"/>
        <v>0</v>
      </c>
      <c r="K34" s="108"/>
      <c r="L34" s="108"/>
      <c r="N34" s="349"/>
    </row>
    <row r="35" spans="2:16" s="90" customFormat="1" outlineLevel="1">
      <c r="B35" s="100">
        <v>35</v>
      </c>
      <c r="C35" s="101" t="s">
        <v>1101</v>
      </c>
      <c r="D35" s="169">
        <v>13560</v>
      </c>
      <c r="E35" s="137">
        <f>D35/$D$6</f>
        <v>27.12</v>
      </c>
      <c r="F35" s="134">
        <v>45915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CR'!$A$3:$A$29)</f>
        <v>10</v>
      </c>
      <c r="J35" s="132">
        <f t="shared" si="0"/>
        <v>0</v>
      </c>
      <c r="M35" s="369"/>
      <c r="N35" s="103"/>
    </row>
    <row r="36" spans="2:16" s="90" customFormat="1" ht="15" outlineLevel="1" thickBot="1">
      <c r="B36" s="100">
        <v>36</v>
      </c>
      <c r="C36" s="101" t="s">
        <v>1100</v>
      </c>
      <c r="D36" s="169">
        <f>E36*D6</f>
        <v>113000</v>
      </c>
      <c r="E36" s="137">
        <v>226</v>
      </c>
      <c r="F36" s="134">
        <v>45915</v>
      </c>
      <c r="G36" s="90" t="s">
        <v>235</v>
      </c>
      <c r="H36" s="90">
        <f>IF(OR(G36="Sin pagar",G36="Pagar"),_xlfn.SINGLE(NETWORKDAYS($E$4,F36,'Festivos CR'!$A$3:$A$29)),0)</f>
        <v>0</v>
      </c>
      <c r="I36" s="90">
        <f>NETWORKDAYS($E$4,F36,'Festivos CR'!$A$3:$A$29)</f>
        <v>10</v>
      </c>
      <c r="J36" s="132">
        <f t="shared" si="0"/>
        <v>0</v>
      </c>
      <c r="M36" s="369"/>
      <c r="N36" s="103"/>
    </row>
    <row r="37" spans="2:16" s="90" customFormat="1" ht="16.2" thickBot="1">
      <c r="B37" s="451"/>
      <c r="C37" s="127" t="s">
        <v>250</v>
      </c>
      <c r="D37" s="172">
        <f>SUBTOTAL(9,D38:D41)</f>
        <v>1259995.5</v>
      </c>
      <c r="E37" s="128">
        <f>SUBTOTAL(9,E38:E41)</f>
        <v>2519.991</v>
      </c>
      <c r="K37" s="103"/>
      <c r="L37" s="103"/>
      <c r="O37" s="103"/>
      <c r="P37" s="103"/>
    </row>
    <row r="38" spans="2:16" s="90" customFormat="1" ht="14.25" customHeight="1" outlineLevel="1">
      <c r="B38" s="466" t="s">
        <v>590</v>
      </c>
      <c r="C38" s="101" t="s">
        <v>251</v>
      </c>
      <c r="D38" s="169">
        <f>77000*9*0</f>
        <v>0</v>
      </c>
      <c r="E38" s="137">
        <f>D38/$D$6</f>
        <v>0</v>
      </c>
      <c r="F38" s="129">
        <v>45930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21</v>
      </c>
      <c r="J38" s="132">
        <f>H38</f>
        <v>0</v>
      </c>
      <c r="K38" s="103"/>
      <c r="L38" s="103"/>
      <c r="M38" s="369"/>
      <c r="O38" s="103"/>
      <c r="P38" s="103"/>
    </row>
    <row r="39" spans="2:16" s="90" customFormat="1" ht="14.25" customHeight="1" outlineLevel="1">
      <c r="B39" s="138" t="s">
        <v>486</v>
      </c>
      <c r="C39" s="101" t="s">
        <v>1080</v>
      </c>
      <c r="D39" s="169">
        <v>963863</v>
      </c>
      <c r="E39" s="137">
        <f>D39/$D$6</f>
        <v>1927.7260000000001</v>
      </c>
      <c r="F39" s="129">
        <v>45911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CR'!$A$3:$A$29)</f>
        <v>9</v>
      </c>
      <c r="J39" s="132">
        <f>H39</f>
        <v>0</v>
      </c>
      <c r="K39" s="103"/>
      <c r="L39" s="103"/>
      <c r="M39" s="369"/>
      <c r="O39" s="103"/>
      <c r="P39" s="103"/>
    </row>
    <row r="40" spans="2:16" s="90" customFormat="1" ht="14.25" customHeight="1" outlineLevel="1">
      <c r="B40" s="138" t="s">
        <v>1113</v>
      </c>
      <c r="C40" s="101" t="s">
        <v>1114</v>
      </c>
      <c r="D40" s="169">
        <v>87082.5</v>
      </c>
      <c r="E40" s="137">
        <f>D40/$D$6</f>
        <v>174.16499999999999</v>
      </c>
      <c r="F40" s="129">
        <v>45915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10</v>
      </c>
      <c r="J40" s="132">
        <f>H40</f>
        <v>0</v>
      </c>
      <c r="K40" s="103"/>
      <c r="L40" s="103"/>
      <c r="M40" s="369"/>
      <c r="O40" s="103"/>
      <c r="P40" s="103"/>
    </row>
    <row r="41" spans="2:16" s="90" customFormat="1" ht="14.25" customHeight="1" outlineLevel="1" thickBot="1">
      <c r="B41" s="138" t="s">
        <v>1160</v>
      </c>
      <c r="C41" s="101" t="s">
        <v>1161</v>
      </c>
      <c r="D41" s="169">
        <v>209050</v>
      </c>
      <c r="E41" s="137">
        <f>D41/$D$6</f>
        <v>418.1</v>
      </c>
      <c r="F41" s="129">
        <v>45930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21</v>
      </c>
      <c r="J41" s="132">
        <f>H41</f>
        <v>0</v>
      </c>
      <c r="K41" s="103"/>
      <c r="L41" s="103"/>
      <c r="M41" s="369"/>
      <c r="O41" s="103"/>
      <c r="P41" s="103"/>
    </row>
    <row r="42" spans="2:16" s="90" customFormat="1" ht="16.2" thickBot="1">
      <c r="B42" s="451"/>
      <c r="C42" s="139" t="s">
        <v>234</v>
      </c>
      <c r="D42" s="173">
        <f>SUBTOTAL(9,D43:D43)</f>
        <v>0</v>
      </c>
      <c r="E42" s="140">
        <f>SUBTOTAL(9,E43:E43)</f>
        <v>0</v>
      </c>
      <c r="K42" s="108"/>
    </row>
    <row r="43" spans="2:16" s="90" customFormat="1" ht="15" outlineLevel="1" thickBot="1">
      <c r="B43" s="176" t="s">
        <v>990</v>
      </c>
      <c r="C43" s="174" t="s">
        <v>988</v>
      </c>
      <c r="D43" s="169">
        <f>E43*$D$6</f>
        <v>0</v>
      </c>
      <c r="E43" s="137">
        <f>((390.81+468.75+468.75+386.75+551.75)*0.8)*0</f>
        <v>0</v>
      </c>
      <c r="F43" s="134">
        <v>45930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21</v>
      </c>
      <c r="J43" s="132">
        <f>H43</f>
        <v>0</v>
      </c>
      <c r="M43" s="297"/>
      <c r="N43" s="298"/>
    </row>
    <row r="44" spans="2:16" s="90" customFormat="1" ht="15.75" customHeight="1" thickBot="1">
      <c r="B44" s="451"/>
      <c r="C44" s="127" t="s">
        <v>236</v>
      </c>
      <c r="D44" s="172">
        <f>SUBTOTAL(9,D45:D45)</f>
        <v>0</v>
      </c>
      <c r="E44" s="128">
        <f>SUBTOTAL(9,E45:E45)</f>
        <v>0</v>
      </c>
      <c r="M44" s="299"/>
      <c r="N44" s="299"/>
      <c r="O44" s="118"/>
      <c r="P44" s="300"/>
    </row>
    <row r="45" spans="2:16" s="90" customFormat="1" ht="15" outlineLevel="1" thickBot="1">
      <c r="B45" s="451"/>
      <c r="C45" s="174" t="s">
        <v>236</v>
      </c>
      <c r="D45" s="271">
        <v>0</v>
      </c>
      <c r="E45" s="142">
        <f>$D$45/$D$6</f>
        <v>0</v>
      </c>
      <c r="F45" s="134">
        <v>45930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CR'!$A$3:$A$29)</f>
        <v>21</v>
      </c>
      <c r="J45" s="132">
        <f>H45</f>
        <v>0</v>
      </c>
    </row>
    <row r="46" spans="2:16" s="90" customFormat="1" ht="16.2" thickBot="1">
      <c r="B46" s="451"/>
      <c r="C46" s="127" t="s">
        <v>237</v>
      </c>
      <c r="D46" s="172">
        <f>SUBTOTAL(9,D47:D60)</f>
        <v>30435252.759999998</v>
      </c>
      <c r="E46" s="128">
        <f>SUBTOTAL(9,E47:E60)</f>
        <v>60627.993545816731</v>
      </c>
      <c r="K46" s="108"/>
      <c r="L46" s="143"/>
    </row>
    <row r="47" spans="2:16" s="180" customFormat="1" outlineLevel="1">
      <c r="B47" s="265" t="s">
        <v>270</v>
      </c>
      <c r="C47" s="174" t="s">
        <v>1037</v>
      </c>
      <c r="D47" s="170">
        <f>E47*CONVERSIONES!$C$396</f>
        <v>3567081.48</v>
      </c>
      <c r="E47" s="137">
        <v>7105.74</v>
      </c>
      <c r="F47" s="129">
        <v>45926</v>
      </c>
      <c r="G47" s="90" t="s">
        <v>235</v>
      </c>
      <c r="H47" s="90">
        <f>IF(OR(G47="Sin pagar",G47="Pagar"),_xlfn.SINGLE(NETWORKDAYS($E$4,F47,'Festivos CR'!$A$3:$A$29)),0)</f>
        <v>0</v>
      </c>
      <c r="I47" s="90">
        <f>NETWORKDAYS($E$4,F47,'Festivos CR'!$A$3:$A$29)</f>
        <v>19</v>
      </c>
      <c r="J47" s="132">
        <f t="shared" ref="J47:J58" si="2">H47</f>
        <v>0</v>
      </c>
      <c r="L47" s="179"/>
    </row>
    <row r="48" spans="2:16" s="180" customFormat="1" outlineLevel="1">
      <c r="B48" s="265" t="s">
        <v>270</v>
      </c>
      <c r="C48" s="174" t="s">
        <v>257</v>
      </c>
      <c r="D48" s="170">
        <f>E48*CONVERSIONES!$C$396</f>
        <v>3348977.54</v>
      </c>
      <c r="E48" s="137">
        <v>6671.27</v>
      </c>
      <c r="F48" s="129">
        <v>45926</v>
      </c>
      <c r="G48" s="90" t="s">
        <v>235</v>
      </c>
      <c r="H48" s="90">
        <f>IF(OR(G48="Sin pagar",G48="Pagar"),_xlfn.SINGLE(NETWORKDAYS($E$4,F48,'Festivos CR'!$A$3:$A$29)),0)</f>
        <v>0</v>
      </c>
      <c r="I48" s="90">
        <f>NETWORKDAYS($E$4,F48,'Festivos CR'!$A$3:$A$29)</f>
        <v>19</v>
      </c>
      <c r="J48" s="132">
        <f t="shared" si="2"/>
        <v>0</v>
      </c>
      <c r="L48" s="179"/>
    </row>
    <row r="49" spans="1:15" s="180" customFormat="1" outlineLevel="1">
      <c r="B49" s="265" t="s">
        <v>270</v>
      </c>
      <c r="C49" s="174" t="s">
        <v>747</v>
      </c>
      <c r="D49" s="170">
        <f>E49*CONVERSIONES!$C$396</f>
        <v>2540486.46</v>
      </c>
      <c r="E49" s="137">
        <v>5060.7299999999996</v>
      </c>
      <c r="F49" s="129">
        <v>45927</v>
      </c>
      <c r="G49" s="90" t="s">
        <v>235</v>
      </c>
      <c r="H49" s="90">
        <f>IF(OR(G49="Sin pagar",G49="Pagar"),_xlfn.SINGLE(NETWORKDAYS($E$4,F49,'Festivos CR'!$A$3:$A$29)),0)</f>
        <v>0</v>
      </c>
      <c r="I49" s="90">
        <f>NETWORKDAYS($E$4,F49,'Festivos CR'!$A$3:$A$29)</f>
        <v>19</v>
      </c>
      <c r="J49" s="132">
        <f t="shared" si="2"/>
        <v>0</v>
      </c>
      <c r="L49" s="179"/>
    </row>
    <row r="50" spans="1:15" s="180" customFormat="1" outlineLevel="1">
      <c r="B50" s="265" t="s">
        <v>270</v>
      </c>
      <c r="C50" s="174" t="s">
        <v>1036</v>
      </c>
      <c r="D50" s="170">
        <f>E50*CONVERSIONES!$C$396</f>
        <v>2376909.7600000002</v>
      </c>
      <c r="E50" s="137">
        <v>4734.88</v>
      </c>
      <c r="F50" s="129">
        <v>45927</v>
      </c>
      <c r="G50" s="90" t="s">
        <v>235</v>
      </c>
      <c r="H50" s="90">
        <f>IF(OR(G50="Sin pagar",G50="Pagar"),_xlfn.SINGLE(NETWORKDAYS($E$4,F50,'Festivos CR'!$A$3:$A$29)),0)</f>
        <v>0</v>
      </c>
      <c r="I50" s="90">
        <f>NETWORKDAYS($E$4,F50,'Festivos CR'!$A$3:$A$29)</f>
        <v>19</v>
      </c>
      <c r="J50" s="132">
        <f t="shared" si="2"/>
        <v>0</v>
      </c>
      <c r="L50" s="179"/>
    </row>
    <row r="51" spans="1:15" s="180" customFormat="1" outlineLevel="1">
      <c r="B51" s="265" t="s">
        <v>270</v>
      </c>
      <c r="C51" s="174" t="s">
        <v>258</v>
      </c>
      <c r="D51" s="170">
        <f>E51*CONVERSIONES!$C$396</f>
        <v>1716147.24</v>
      </c>
      <c r="E51" s="137">
        <v>3418.62</v>
      </c>
      <c r="F51" s="129">
        <v>45926</v>
      </c>
      <c r="G51" s="90" t="s">
        <v>235</v>
      </c>
      <c r="H51" s="90">
        <f>IF(OR(G51="Sin pagar",G51="Pagar"),_xlfn.SINGLE(NETWORKDAYS($E$4,F51,'Festivos CR'!$A$3:$A$29)),0)</f>
        <v>0</v>
      </c>
      <c r="I51" s="90">
        <f>NETWORKDAYS($E$4,F51,'Festivos CR'!$A$3:$A$29)</f>
        <v>19</v>
      </c>
      <c r="J51" s="132">
        <f t="shared" si="2"/>
        <v>0</v>
      </c>
      <c r="L51" s="179"/>
    </row>
    <row r="52" spans="1:15" s="180" customFormat="1" outlineLevel="1">
      <c r="B52" s="265" t="s">
        <v>270</v>
      </c>
      <c r="C52" s="174" t="s">
        <v>1038</v>
      </c>
      <c r="D52" s="170">
        <f>E52*CONVERSIONES!$C$396</f>
        <v>920462.17999999993</v>
      </c>
      <c r="E52" s="137">
        <v>1833.59</v>
      </c>
      <c r="F52" s="129">
        <v>45926</v>
      </c>
      <c r="G52" s="90" t="s">
        <v>235</v>
      </c>
      <c r="H52" s="90">
        <f>IF(OR(G52="Sin pagar",G52="Pagar"),_xlfn.SINGLE(NETWORKDAYS($E$4,F52,'Festivos CR'!$A$3:$A$29)),0)</f>
        <v>0</v>
      </c>
      <c r="I52" s="90">
        <f>NETWORKDAYS($E$4,F52,'Festivos CR'!$A$3:$A$29)</f>
        <v>19</v>
      </c>
      <c r="J52" s="132">
        <f t="shared" si="2"/>
        <v>0</v>
      </c>
      <c r="L52" s="179"/>
    </row>
    <row r="53" spans="1:15" s="180" customFormat="1" outlineLevel="1">
      <c r="B53" s="265" t="s">
        <v>270</v>
      </c>
      <c r="C53" s="174" t="s">
        <v>1153</v>
      </c>
      <c r="D53" s="170">
        <f>E53*CONVERSIONES!$C$396</f>
        <v>3798518.54</v>
      </c>
      <c r="E53" s="137">
        <v>7566.77</v>
      </c>
      <c r="F53" s="129">
        <v>45927</v>
      </c>
      <c r="G53" s="90" t="s">
        <v>235</v>
      </c>
      <c r="H53" s="90">
        <f>IF(OR(G53="Sin pagar",G53="Pagar"),_xlfn.SINGLE(NETWORKDAYS($E$4,F53,'Festivos CR'!$A$3:$A$29)),0)</f>
        <v>0</v>
      </c>
      <c r="I53" s="90">
        <f>NETWORKDAYS($E$4,F53,'Festivos CR'!$A$3:$A$29)</f>
        <v>19</v>
      </c>
      <c r="J53" s="132">
        <f t="shared" si="2"/>
        <v>0</v>
      </c>
      <c r="L53" s="179"/>
    </row>
    <row r="54" spans="1:15" s="180" customFormat="1" outlineLevel="1">
      <c r="B54" s="145" t="s">
        <v>391</v>
      </c>
      <c r="C54" s="174" t="s">
        <v>253</v>
      </c>
      <c r="D54" s="469">
        <v>1409287.55</v>
      </c>
      <c r="E54" s="142">
        <f>D54/CONVERSIONES!$C$396</f>
        <v>2807.345717131474</v>
      </c>
      <c r="F54" s="129">
        <v>45926</v>
      </c>
      <c r="G54" s="90" t="s">
        <v>235</v>
      </c>
      <c r="H54" s="90">
        <f>IF(OR(G54="Sin pagar",G54="Pagar"),_xlfn.SINGLE(NETWORKDAYS($E$4,F54,'Festivos CR'!$A$3:$A$29)),0)</f>
        <v>0</v>
      </c>
      <c r="I54" s="90">
        <f>NETWORKDAYS($E$4,F54,'Festivos CR'!$A$3:$A$29)</f>
        <v>19</v>
      </c>
      <c r="J54" s="132">
        <f t="shared" si="2"/>
        <v>0</v>
      </c>
      <c r="L54" s="179"/>
    </row>
    <row r="55" spans="1:15" s="180" customFormat="1" outlineLevel="1">
      <c r="B55" s="145" t="s">
        <v>391</v>
      </c>
      <c r="C55" s="174" t="s">
        <v>976</v>
      </c>
      <c r="D55" s="469">
        <v>994122.7</v>
      </c>
      <c r="E55" s="142">
        <f>D55/CONVERSIONES!$C$396</f>
        <v>1980.3241035856572</v>
      </c>
      <c r="F55" s="129">
        <v>45926</v>
      </c>
      <c r="G55" s="90" t="s">
        <v>235</v>
      </c>
      <c r="H55" s="90">
        <f>IF(OR(G55="Sin pagar",G55="Pagar"),_xlfn.SINGLE(NETWORKDAYS($E$4,F55,'Festivos CR'!$A$3:$A$29)),0)</f>
        <v>0</v>
      </c>
      <c r="I55" s="90">
        <f>NETWORKDAYS($E$4,F55,'Festivos CR'!$A$3:$A$29)</f>
        <v>19</v>
      </c>
      <c r="J55" s="132">
        <f t="shared" si="2"/>
        <v>0</v>
      </c>
      <c r="L55" s="179"/>
    </row>
    <row r="56" spans="1:15" s="180" customFormat="1" outlineLevel="1">
      <c r="B56" s="145" t="s">
        <v>391</v>
      </c>
      <c r="C56" s="174" t="s">
        <v>1152</v>
      </c>
      <c r="D56" s="469">
        <v>2039964.81</v>
      </c>
      <c r="E56" s="142">
        <f>D56/CONVERSIONES!$C$396</f>
        <v>4063.6749203187251</v>
      </c>
      <c r="F56" s="129">
        <v>45926</v>
      </c>
      <c r="G56" s="90" t="s">
        <v>235</v>
      </c>
      <c r="H56" s="90">
        <f>IF(OR(G56="Sin pagar",G56="Pagar"),_xlfn.SINGLE(NETWORKDAYS($E$4,F56,'Festivos CR'!$A$3:$A$29)),0)</f>
        <v>0</v>
      </c>
      <c r="I56" s="90">
        <f>NETWORKDAYS($E$4,F56,'Festivos CR'!$A$3:$A$29)</f>
        <v>19</v>
      </c>
      <c r="J56" s="132">
        <f t="shared" si="2"/>
        <v>0</v>
      </c>
      <c r="L56" s="179"/>
    </row>
    <row r="57" spans="1:15" s="180" customFormat="1" outlineLevel="1">
      <c r="B57" s="145" t="s">
        <v>391</v>
      </c>
      <c r="C57" s="174" t="s">
        <v>255</v>
      </c>
      <c r="D57" s="469">
        <v>1409287.55</v>
      </c>
      <c r="E57" s="142">
        <f>D57/CONVERSIONES!$C$396</f>
        <v>2807.345717131474</v>
      </c>
      <c r="F57" s="129">
        <v>45926</v>
      </c>
      <c r="G57" s="90" t="s">
        <v>235</v>
      </c>
      <c r="H57" s="90">
        <f>IF(OR(G57="Sin pagar",G57="Pagar"),_xlfn.SINGLE(NETWORKDAYS($E$4,F57,'Festivos CR'!$A$3:$A$29)),0)</f>
        <v>0</v>
      </c>
      <c r="I57" s="90">
        <f>NETWORKDAYS($E$4,F57,'Festivos CR'!$A$3:$A$29)</f>
        <v>19</v>
      </c>
      <c r="J57" s="132">
        <f t="shared" si="2"/>
        <v>0</v>
      </c>
      <c r="L57" s="179"/>
    </row>
    <row r="58" spans="1:15" s="180" customFormat="1" outlineLevel="1">
      <c r="B58" s="145" t="s">
        <v>391</v>
      </c>
      <c r="C58" s="174" t="s">
        <v>330</v>
      </c>
      <c r="D58" s="469">
        <v>786551.54</v>
      </c>
      <c r="E58" s="142">
        <f>D58/CONVERSIONES!$C$396</f>
        <v>1566.8357370517929</v>
      </c>
      <c r="F58" s="129">
        <v>45926</v>
      </c>
      <c r="G58" s="90" t="s">
        <v>235</v>
      </c>
      <c r="H58" s="90">
        <f>IF(OR(G58="Sin pagar",G58="Pagar"),_xlfn.SINGLE(NETWORKDAYS($E$4,F58,'Festivos CR'!$A$3:$A$29)),0)</f>
        <v>0</v>
      </c>
      <c r="I58" s="90">
        <f>NETWORKDAYS($E$4,F58,'Festivos CR'!$A$3:$A$29)</f>
        <v>19</v>
      </c>
      <c r="J58" s="132">
        <f t="shared" si="2"/>
        <v>0</v>
      </c>
      <c r="L58" s="179"/>
      <c r="M58" s="387"/>
      <c r="N58" s="387"/>
    </row>
    <row r="59" spans="1:15" s="180" customFormat="1" outlineLevel="1">
      <c r="B59" s="145" t="s">
        <v>391</v>
      </c>
      <c r="C59" s="174" t="s">
        <v>759</v>
      </c>
      <c r="D59" s="469">
        <v>4641955.3099999996</v>
      </c>
      <c r="E59" s="142">
        <f>D59/CONVERSIONES!$C$396</f>
        <v>9246.9229282868509</v>
      </c>
      <c r="F59" s="129">
        <v>45927</v>
      </c>
      <c r="G59" s="90" t="s">
        <v>235</v>
      </c>
      <c r="H59" s="90">
        <f>IF(OR(G59="Sin pagar",G59="Pagar"),_xlfn.SINGLE(NETWORKDAYS($E$4,F59,'Festivos CR'!$A$3:$A$29)),0)</f>
        <v>0</v>
      </c>
      <c r="I59" s="90">
        <f>NETWORKDAYS($E$4,F59,'Festivos CR'!$A$3:$A$29)</f>
        <v>19</v>
      </c>
      <c r="J59" s="132">
        <f>H59</f>
        <v>0</v>
      </c>
      <c r="L59" s="179"/>
    </row>
    <row r="60" spans="1:15" s="180" customFormat="1" ht="15" outlineLevel="1" thickBot="1">
      <c r="B60" s="145" t="s">
        <v>391</v>
      </c>
      <c r="C60" s="174" t="s">
        <v>1123</v>
      </c>
      <c r="D60" s="469">
        <v>885500.1</v>
      </c>
      <c r="E60" s="142">
        <f>D60/CONVERSIONES!$C$396</f>
        <v>1763.9444223107569</v>
      </c>
      <c r="F60" s="129">
        <v>45926</v>
      </c>
      <c r="G60" s="90" t="s">
        <v>235</v>
      </c>
      <c r="H60" s="90">
        <f>IF(OR(G60="Sin pagar",G60="Pagar"),_xlfn.SINGLE(NETWORKDAYS($E$4,F60,'Festivos CR'!$A$3:$A$29)),0)</f>
        <v>0</v>
      </c>
      <c r="I60" s="90">
        <f>NETWORKDAYS($E$4,F60,'Festivos CR'!$A$3:$A$29)</f>
        <v>19</v>
      </c>
      <c r="J60" s="132">
        <f>H60</f>
        <v>0</v>
      </c>
      <c r="L60" s="179"/>
    </row>
    <row r="61" spans="1:15" s="90" customFormat="1" ht="16.2" thickBot="1">
      <c r="A61" s="180"/>
      <c r="B61" s="451"/>
      <c r="C61" s="127" t="s">
        <v>1051</v>
      </c>
      <c r="D61" s="172">
        <f>SUBTOTAL(9,D62:D62)</f>
        <v>730190</v>
      </c>
      <c r="E61" s="128">
        <f>SUBTOTAL(9,E62:E62)</f>
        <v>2016.09</v>
      </c>
      <c r="L61" s="108"/>
    </row>
    <row r="62" spans="1:15" s="90" customFormat="1" ht="15" outlineLevel="1" thickBot="1">
      <c r="A62" s="180"/>
      <c r="B62" s="451"/>
      <c r="C62" s="101" t="s">
        <v>1039</v>
      </c>
      <c r="D62" s="170">
        <v>730190</v>
      </c>
      <c r="E62" s="142">
        <v>2016.09</v>
      </c>
      <c r="F62" s="129">
        <v>45927</v>
      </c>
      <c r="G62" s="90" t="s">
        <v>235</v>
      </c>
      <c r="H62" s="90">
        <f>IF(OR(G62="Sin pagar",G62="Pagar"),_xlfn.SINGLE(NETWORKDAYS($E$4,F62,'Festivos CR'!$A$3:$A$29)),0)</f>
        <v>0</v>
      </c>
      <c r="I62" s="90">
        <f>NETWORKDAYS($E$4,F62,'Festivos CR'!$A$3:$A$29)</f>
        <v>19</v>
      </c>
      <c r="J62" s="132">
        <f>H62</f>
        <v>0</v>
      </c>
      <c r="L62" s="108"/>
      <c r="M62" s="392"/>
      <c r="N62" s="349"/>
      <c r="O62" s="118"/>
    </row>
    <row r="63" spans="1:15" s="90" customFormat="1" ht="16.2" thickBot="1">
      <c r="A63" s="180"/>
      <c r="B63" s="451"/>
      <c r="C63" s="127" t="s">
        <v>992</v>
      </c>
      <c r="D63" s="172">
        <f>SUBTOTAL(9,D64:D64)</f>
        <v>1686935</v>
      </c>
      <c r="E63" s="128">
        <f>SUBTOTAL(9,E64:E64)</f>
        <v>3373.87</v>
      </c>
      <c r="L63" s="108"/>
    </row>
    <row r="64" spans="1:15" s="90" customFormat="1" ht="15" outlineLevel="1" thickBot="1">
      <c r="A64" s="180"/>
      <c r="B64" s="146"/>
      <c r="C64" s="101" t="s">
        <v>1116</v>
      </c>
      <c r="D64" s="170">
        <f>$E$64*$D$6</f>
        <v>1686935</v>
      </c>
      <c r="E64" s="142">
        <v>3373.87</v>
      </c>
      <c r="F64" s="129">
        <v>45917</v>
      </c>
      <c r="G64" s="90" t="s">
        <v>235</v>
      </c>
      <c r="H64" s="90">
        <f>IF(OR(G64="Sin pagar",G64="Pagar"),_xlfn.SINGLE(NETWORKDAYS($E$4,F64,'Festivos CR'!$A$3:$A$29)),0)</f>
        <v>0</v>
      </c>
      <c r="I64" s="90">
        <f>NETWORKDAYS($E$4,F64,'Festivos CR'!$A$3:$A$29)</f>
        <v>12</v>
      </c>
      <c r="J64" s="132">
        <f>H64</f>
        <v>0</v>
      </c>
      <c r="L64" s="108"/>
      <c r="M64" s="392"/>
      <c r="N64" s="349"/>
      <c r="O64" s="118"/>
    </row>
    <row r="65" spans="1:16" s="90" customFormat="1" ht="16.2" thickBot="1">
      <c r="A65" s="180"/>
      <c r="B65" s="451"/>
      <c r="C65" s="127" t="s">
        <v>238</v>
      </c>
      <c r="D65" s="172">
        <f>SUBTOTAL(9,D66:D68)</f>
        <v>730701</v>
      </c>
      <c r="E65" s="128">
        <f>SUBTOTAL(9,E66:E68)</f>
        <v>1461.402</v>
      </c>
      <c r="L65" s="108"/>
    </row>
    <row r="66" spans="1:16" s="90" customFormat="1" outlineLevel="1">
      <c r="A66" s="180"/>
      <c r="B66" s="451"/>
      <c r="C66" s="101" t="s">
        <v>925</v>
      </c>
      <c r="D66" s="170">
        <f>'BAC SAN JOSE COLONES  '!F442</f>
        <v>730190</v>
      </c>
      <c r="E66" s="142">
        <f>D66/$D$6</f>
        <v>1460.38</v>
      </c>
      <c r="F66" s="129">
        <v>45901</v>
      </c>
      <c r="G66" s="90" t="s">
        <v>235</v>
      </c>
      <c r="H66" s="90">
        <f>IF(OR(G66="Sin pagar",G66="Pagar"),_xlfn.SINGLE(NETWORKDAYS($E$4,F66,'Festivos CR'!$A$3:$A$29)),0)</f>
        <v>0</v>
      </c>
      <c r="I66" s="90">
        <f>NETWORKDAYS($E$4,F66,'Festivos CR'!$A$3:$A$29)</f>
        <v>1</v>
      </c>
      <c r="J66" s="132">
        <f>H66</f>
        <v>0</v>
      </c>
      <c r="L66" s="108"/>
      <c r="M66" s="392"/>
    </row>
    <row r="67" spans="1:16" s="90" customFormat="1" outlineLevel="1">
      <c r="A67" s="180"/>
      <c r="B67" s="144"/>
      <c r="C67" s="101" t="s">
        <v>1063</v>
      </c>
      <c r="D67" s="170">
        <f>$E$67*$D$6</f>
        <v>0</v>
      </c>
      <c r="E67" s="142">
        <f>(2052.83*40%)*0</f>
        <v>0</v>
      </c>
      <c r="F67" s="129">
        <v>45930</v>
      </c>
      <c r="G67" s="90" t="s">
        <v>235</v>
      </c>
      <c r="H67" s="90">
        <f>IF(OR(G67="Sin pagar",G67="Pagar"),_xlfn.SINGLE(NETWORKDAYS($E$4,F67,'Festivos CR'!$A$3:$A$29)),0)</f>
        <v>0</v>
      </c>
      <c r="I67" s="90">
        <f>NETWORKDAYS($E$4,F67,'Festivos CR'!$A$3:$A$29)</f>
        <v>21</v>
      </c>
      <c r="J67" s="132">
        <f>H67</f>
        <v>0</v>
      </c>
      <c r="L67" s="108"/>
      <c r="M67" s="392"/>
    </row>
    <row r="68" spans="1:16" s="90" customFormat="1" ht="15" outlineLevel="1" thickBot="1">
      <c r="A68" s="180"/>
      <c r="B68" s="451"/>
      <c r="C68" s="101" t="s">
        <v>925</v>
      </c>
      <c r="D68" s="170">
        <v>511</v>
      </c>
      <c r="E68" s="142">
        <f>D68/$D$6</f>
        <v>1.022</v>
      </c>
      <c r="F68" s="129">
        <v>45931</v>
      </c>
      <c r="G68" s="90" t="s">
        <v>235</v>
      </c>
      <c r="H68" s="90">
        <f>IF(OR(G68="Sin pagar",G68="Pagar"),_xlfn.SINGLE(NETWORKDAYS($E$4,F68,'Festivos CR'!$A$3:$A$29)),0)</f>
        <v>0</v>
      </c>
      <c r="I68" s="90">
        <f>NETWORKDAYS($E$4,F68,'Festivos CR'!$A$3:$A$29)</f>
        <v>22</v>
      </c>
      <c r="J68" s="132">
        <f>H68</f>
        <v>0</v>
      </c>
      <c r="L68" s="108"/>
      <c r="M68" s="392"/>
    </row>
    <row r="69" spans="1:16" s="90" customFormat="1" ht="14.25" customHeight="1">
      <c r="B69" s="100"/>
      <c r="C69" s="147" t="s">
        <v>239</v>
      </c>
      <c r="D69" s="171">
        <f>SUBTOTAL(9,D23:D68)</f>
        <v>52289091.260000005</v>
      </c>
      <c r="E69" s="148">
        <f>SUBTOTAL(9,E23:E68)</f>
        <v>105113.53054581673</v>
      </c>
      <c r="K69" s="448"/>
      <c r="L69" s="448"/>
      <c r="N69" s="448"/>
      <c r="O69" s="448"/>
      <c r="P69" s="448"/>
    </row>
    <row r="70" spans="1:16" ht="15.6">
      <c r="A70" s="90"/>
      <c r="E70" s="149"/>
      <c r="F70" s="239"/>
      <c r="G70" s="150"/>
      <c r="H70" s="150"/>
      <c r="I70" s="150"/>
      <c r="J70" s="150"/>
    </row>
    <row r="71" spans="1:16" ht="15.6">
      <c r="A71" s="90"/>
      <c r="C71" s="151" t="s">
        <v>3</v>
      </c>
      <c r="D71" s="182">
        <f>D18-D69</f>
        <v>35171132.146230206</v>
      </c>
      <c r="E71" s="152">
        <f>E18-E69</f>
        <v>69806.916266643704</v>
      </c>
      <c r="F71" s="243"/>
      <c r="G71" s="153"/>
      <c r="J71" s="153"/>
    </row>
    <row r="72" spans="1:16" s="157" customFormat="1" ht="15.6">
      <c r="A72" s="90"/>
      <c r="B72" s="154"/>
      <c r="C72" s="151" t="s">
        <v>240</v>
      </c>
      <c r="D72" s="155">
        <f>IF($D$18=0,0,D71/$D$18)</f>
        <v>0.40213860400137963</v>
      </c>
      <c r="E72" s="155">
        <f>IF($E$18=0,0,E71/$E$18)</f>
        <v>0.39907808114329046</v>
      </c>
      <c r="F72" s="156"/>
      <c r="G72" s="153"/>
      <c r="J72" s="158"/>
      <c r="K72" s="448"/>
      <c r="L72" s="448"/>
      <c r="N72" s="448"/>
      <c r="O72" s="448"/>
      <c r="P72" s="448"/>
    </row>
    <row r="73" spans="1:16">
      <c r="A73" s="90"/>
      <c r="F73" s="156"/>
      <c r="G73" s="153"/>
    </row>
    <row r="76" spans="1:16" ht="15" thickBot="1">
      <c r="C76" s="189" t="s">
        <v>260</v>
      </c>
      <c r="D76" s="190" t="s">
        <v>261</v>
      </c>
      <c r="E76" s="191" t="s">
        <v>265</v>
      </c>
      <c r="F76" s="191" t="s">
        <v>266</v>
      </c>
    </row>
    <row r="77" spans="1:16">
      <c r="C77" s="400">
        <v>45901</v>
      </c>
      <c r="D77" s="396">
        <v>45907</v>
      </c>
      <c r="E77" s="401">
        <f t="shared" ref="E77:E84" si="3">SUMIFS($D$22:$D$74,$F$22:$F$74,"&gt;="&amp;C77,$F$22:$F$74,"&lt;="&amp;D77,$G$22:$G$74,$D$96)</f>
        <v>0</v>
      </c>
      <c r="F77" s="402">
        <f t="shared" ref="F77:F84" si="4">SUMIFS($E$22:$E$74,$F$22:$F$74,"&gt;="&amp;C77,$F$22:$F$74,"&lt;="&amp;D77,$G$22:$G$74,$D$96)</f>
        <v>0</v>
      </c>
    </row>
    <row r="78" spans="1:16">
      <c r="C78" s="403">
        <v>45908</v>
      </c>
      <c r="D78" s="398">
        <v>45911</v>
      </c>
      <c r="E78" s="404">
        <f t="shared" si="3"/>
        <v>0</v>
      </c>
      <c r="F78" s="405">
        <f t="shared" si="4"/>
        <v>0</v>
      </c>
      <c r="J78" s="382"/>
    </row>
    <row r="79" spans="1:16">
      <c r="C79" s="403">
        <v>45880</v>
      </c>
      <c r="D79" s="397">
        <v>45882</v>
      </c>
      <c r="E79" s="404">
        <f t="shared" si="3"/>
        <v>0</v>
      </c>
      <c r="F79" s="405">
        <f t="shared" si="4"/>
        <v>0</v>
      </c>
    </row>
    <row r="80" spans="1:16">
      <c r="C80" s="403">
        <v>45912</v>
      </c>
      <c r="D80" s="397">
        <v>45912</v>
      </c>
      <c r="E80" s="404">
        <f t="shared" si="3"/>
        <v>0</v>
      </c>
      <c r="F80" s="405">
        <f t="shared" si="4"/>
        <v>0</v>
      </c>
      <c r="G80" s="448" t="s">
        <v>991</v>
      </c>
    </row>
    <row r="81" spans="2:13">
      <c r="C81" s="403">
        <v>45913</v>
      </c>
      <c r="D81" s="397">
        <v>45915</v>
      </c>
      <c r="E81" s="404">
        <f t="shared" si="3"/>
        <v>0</v>
      </c>
      <c r="F81" s="405">
        <f t="shared" si="4"/>
        <v>0</v>
      </c>
    </row>
    <row r="82" spans="2:13">
      <c r="C82" s="403">
        <v>45916</v>
      </c>
      <c r="D82" s="397">
        <v>45921</v>
      </c>
      <c r="E82" s="404">
        <f t="shared" si="3"/>
        <v>0</v>
      </c>
      <c r="F82" s="405">
        <f t="shared" si="4"/>
        <v>0</v>
      </c>
      <c r="G82" s="448" t="s">
        <v>877</v>
      </c>
    </row>
    <row r="83" spans="2:13">
      <c r="C83" s="403">
        <v>45922</v>
      </c>
      <c r="D83" s="397">
        <v>45928</v>
      </c>
      <c r="E83" s="404">
        <f t="shared" si="3"/>
        <v>0</v>
      </c>
      <c r="F83" s="405">
        <f t="shared" si="4"/>
        <v>0</v>
      </c>
      <c r="G83" s="448" t="s">
        <v>923</v>
      </c>
    </row>
    <row r="84" spans="2:13">
      <c r="C84" s="403">
        <v>45929</v>
      </c>
      <c r="D84" s="397">
        <v>45930</v>
      </c>
      <c r="E84" s="404">
        <f t="shared" si="3"/>
        <v>0</v>
      </c>
      <c r="F84" s="405">
        <f t="shared" si="4"/>
        <v>0</v>
      </c>
      <c r="G84" s="448" t="s">
        <v>1064</v>
      </c>
    </row>
    <row r="85" spans="2:13" s="470" customFormat="1" ht="15" thickBot="1">
      <c r="B85" s="471"/>
      <c r="C85" s="406">
        <v>45931</v>
      </c>
      <c r="D85" s="399">
        <v>45931</v>
      </c>
      <c r="E85" s="407">
        <f>SUMIFS($D$22:$D$74,$F$22:$F$74,"&gt;="&amp;C85,$F$22:$F$74,"&lt;="&amp;D85,$G$22:$G$74,$D$96)</f>
        <v>0</v>
      </c>
      <c r="F85" s="408">
        <f>SUMIFS($E$22:$E$74,$F$22:$F$74,"&gt;="&amp;C85,$F$22:$F$74,"&lt;="&amp;D85,$G$22:$G$74,$D$96)</f>
        <v>0</v>
      </c>
    </row>
    <row r="86" spans="2:13" ht="15.6">
      <c r="C86" s="589" t="s">
        <v>262</v>
      </c>
      <c r="D86" s="589"/>
      <c r="E86" s="186">
        <f>SUM(E77:E85)</f>
        <v>0</v>
      </c>
      <c r="F86" s="200">
        <f>SUM(F77:F85)</f>
        <v>0</v>
      </c>
      <c r="G86" s="94"/>
      <c r="J86" s="153"/>
      <c r="K86" s="153"/>
      <c r="M86" s="206"/>
    </row>
    <row r="89" spans="2:13">
      <c r="C89" s="591"/>
      <c r="D89" s="593"/>
    </row>
    <row r="90" spans="2:13">
      <c r="C90" s="592" t="s">
        <v>1065</v>
      </c>
      <c r="D90" s="592"/>
      <c r="E90" s="204">
        <f>'BAC SAN JOSE COLONES  '!$G$500+('BAC SAN JOSE USD'!$G$400*$D$6)</f>
        <v>19787204.706230231</v>
      </c>
      <c r="F90" s="452">
        <f>('BAC SAN JOSE COLONES  '!$G$500/$D$6)+'BAC SAN JOSE USD'!$G$400</f>
        <v>39574.40941246046</v>
      </c>
    </row>
    <row r="91" spans="2:13">
      <c r="C91" s="592" t="s">
        <v>1124</v>
      </c>
      <c r="D91" s="592"/>
      <c r="E91" s="204">
        <f>SUM(E77:E84)</f>
        <v>0</v>
      </c>
      <c r="F91" s="452">
        <f>SUM(F77:F84)</f>
        <v>0</v>
      </c>
      <c r="J91" s="324"/>
    </row>
    <row r="92" spans="2:13">
      <c r="C92" s="588" t="s">
        <v>152</v>
      </c>
      <c r="D92" s="588"/>
      <c r="E92" s="446">
        <f>E90-E91</f>
        <v>19787204.706230231</v>
      </c>
      <c r="F92" s="447">
        <f>F90-F91</f>
        <v>39574.40941246046</v>
      </c>
      <c r="G92" s="467"/>
      <c r="J92" s="206"/>
    </row>
    <row r="95" spans="2:13">
      <c r="D95" s="90" t="s">
        <v>235</v>
      </c>
      <c r="E95" s="170">
        <f>SUMIFS($D$22:$D$74,$F$22:$F$74,"&gt;="&amp;C77,$F$22:$F$74,"&lt;="&amp;D85,$G$22:$G$74,$D$95)</f>
        <v>52289091.260000005</v>
      </c>
      <c r="F95" s="206">
        <f>SUMIFS($E$22:$E$74,$F$22:$F$74,"&gt;="&amp;C77,$F$22:$F$74,"&lt;="&amp;$D$85,$G$22:$G$74,$D$95)</f>
        <v>105113.53054581673</v>
      </c>
    </row>
    <row r="96" spans="2:13">
      <c r="D96" s="90" t="s">
        <v>231</v>
      </c>
      <c r="E96" s="170">
        <f>SUMIFS($D$22:$D$74,$F$22:$F$74,"&gt;="&amp;C77,$F$22:$F$74,"&lt;="&amp;D85,$G$22:$G$74,$D$96)</f>
        <v>0</v>
      </c>
      <c r="F96" s="206">
        <f>SUMIFS($E$22:$E$74,$F$22:$F$74,"&gt;="&amp;C77,$F$22:$F$74,"&lt;="&amp;$D$85,$G$22:$G$74,$D$96)</f>
        <v>0</v>
      </c>
    </row>
    <row r="97" spans="4:6">
      <c r="D97" s="185" t="s">
        <v>263</v>
      </c>
      <c r="E97" s="194">
        <f>SUM(E95:E96)</f>
        <v>52289091.260000005</v>
      </c>
      <c r="F97" s="199">
        <f>SUM(F95:F96)</f>
        <v>105113.53054581673</v>
      </c>
    </row>
    <row r="98" spans="4:6">
      <c r="D98" s="185" t="s">
        <v>264</v>
      </c>
      <c r="E98" s="194">
        <f>(D69-E97)</f>
        <v>0</v>
      </c>
      <c r="F98" s="199">
        <f>F97-E69</f>
        <v>0</v>
      </c>
    </row>
    <row r="102" spans="4:6">
      <c r="D102" s="472" t="s">
        <v>400</v>
      </c>
      <c r="E102" s="170">
        <f>D71</f>
        <v>35171132.146230206</v>
      </c>
    </row>
    <row r="103" spans="4:6">
      <c r="D103" s="472" t="s">
        <v>401</v>
      </c>
      <c r="E103" s="170">
        <f>'BAC SAN JOSE COLONES  '!$G$474+('BAC SAN JOSE USD'!G396*D6)</f>
        <v>35171132.146230221</v>
      </c>
    </row>
    <row r="104" spans="4:6">
      <c r="D104" s="472" t="s">
        <v>701</v>
      </c>
      <c r="E104" s="170">
        <f>E103-E102</f>
        <v>0</v>
      </c>
    </row>
    <row r="105" spans="4:6">
      <c r="D105" s="472" t="s">
        <v>702</v>
      </c>
      <c r="E105" s="395">
        <f>E104/D6</f>
        <v>0</v>
      </c>
    </row>
  </sheetData>
  <protectedRanges>
    <protectedRange sqref="F18:G18 D73:E73 D10:E11" name="Presupuestos"/>
    <protectedRange sqref="D8:E8 D22:E22" name="Presupuestos_1"/>
    <protectedRange sqref="D35:E36" name="Presupuestos_13_1"/>
    <protectedRange sqref="D38:E41" name="Presupuestos_14"/>
    <protectedRange sqref="D55:E56 E54 E57 D47:E53 D58:E60" name="Presupuestos_2_1_1_1"/>
    <protectedRange sqref="E62 E64 E66:E68" name="Presupuestos_6_1_1_1"/>
    <protectedRange sqref="D57 D54" name="Presupuestos_5_2_1"/>
    <protectedRange sqref="D45:E45" name="Presupuestos_7_1"/>
    <protectedRange sqref="D62 D64 D66:D68" name="Presupuestos_5_3"/>
    <protectedRange sqref="D43:E43" name="Presupuestos_13_1_1"/>
  </protectedRanges>
  <autoFilter ref="A22:S67" xr:uid="{D80958CF-1344-4A7A-8615-380F2A62CB89}"/>
  <mergeCells count="8">
    <mergeCell ref="C92:D92"/>
    <mergeCell ref="C90:D90"/>
    <mergeCell ref="D7:E7"/>
    <mergeCell ref="B21:C21"/>
    <mergeCell ref="D21:E21"/>
    <mergeCell ref="C86:D86"/>
    <mergeCell ref="C89:D89"/>
    <mergeCell ref="C91:D91"/>
  </mergeCells>
  <dataValidations count="4">
    <dataValidation type="list" allowBlank="1" showInputMessage="1" showErrorMessage="1" sqref="O42" xr:uid="{D3C8F1CA-A47F-4018-B00E-645878B32BB1}">
      <formula1>"0,1"</formula1>
    </dataValidation>
    <dataValidation type="list" allowBlank="1" showInputMessage="1" showErrorMessage="1" sqref="G26:G33 G74:G75 G62 G35:G36 D95:D96 G23:G24 G38:G41 G43 G64 G45 G47:G60 G66:G68" xr:uid="{A12B4B3A-A91A-4FC4-88E5-F487B3F871EA}">
      <formula1>"Cancelado,Pagar,Sin Pagar"</formula1>
    </dataValidation>
    <dataValidation type="list" allowBlank="1" showInputMessage="1" showErrorMessage="1" sqref="D21 D7" xr:uid="{CF5949D2-215B-433D-B650-AC149A67C0E9}">
      <formula1>"ENERO,FEBRERO,MARZO,ABRIL,MAYO,JUNIO,JULIO,AGOSTO,SEPTIEMBRE,OCTUBRE,NOVIEMBRE,DICIEMBRE"</formula1>
    </dataValidation>
    <dataValidation type="list" allowBlank="1" showInputMessage="1" showErrorMessage="1" sqref="B13:B17" xr:uid="{770F4829-B6BD-450A-8988-3A86C7FBF31E}">
      <formula1>"Sin Pagar,Pagado"</formula1>
    </dataValidation>
  </dataValidations>
  <pageMargins left="0.7" right="0.7" top="0.75" bottom="0.75" header="0.3" footer="0.3"/>
  <ignoredErrors>
    <ignoredError sqref="J24:J34 J36:J39 J42:J67 J69:J70" unlockedFormula="1"/>
    <ignoredError sqref="D42:E42 D36:E36 D38:E38 D43" formula="1"/>
    <ignoredError sqref="B26:B33 B24 B38:B3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9BD8-D47F-4C3E-B651-36FFFD4B796E}">
  <dimension ref="A1:S95"/>
  <sheetViews>
    <sheetView showGridLines="0" topLeftCell="A75" zoomScaleNormal="100" workbookViewId="0">
      <selection activeCell="E13" sqref="E13"/>
    </sheetView>
  </sheetViews>
  <sheetFormatPr baseColWidth="10" defaultColWidth="9.109375" defaultRowHeight="14.4" outlineLevelRow="1"/>
  <cols>
    <col min="1" max="1" width="2.109375" style="470" customWidth="1"/>
    <col min="2" max="2" width="18.88671875" style="471" bestFit="1" customWidth="1"/>
    <col min="3" max="3" width="59.88671875" style="470" customWidth="1"/>
    <col min="4" max="4" width="24.44140625" style="472" customWidth="1"/>
    <col min="5" max="5" width="19.33203125" style="472" bestFit="1" customWidth="1"/>
    <col min="6" max="6" width="23.5546875" style="470" customWidth="1"/>
    <col min="7" max="7" width="18.88671875" style="470" customWidth="1"/>
    <col min="8" max="8" width="7.6640625" style="470" hidden="1" customWidth="1"/>
    <col min="9" max="9" width="12.109375" style="470" hidden="1" customWidth="1"/>
    <col min="10" max="10" width="25.33203125" style="470" customWidth="1"/>
    <col min="11" max="11" width="2.109375" style="470" customWidth="1"/>
    <col min="12" max="12" width="2.33203125" style="470" customWidth="1"/>
    <col min="13" max="13" width="17.109375" style="470" bestFit="1" customWidth="1"/>
    <col min="14" max="14" width="15.5546875" style="470" bestFit="1" customWidth="1"/>
    <col min="15" max="15" width="6.33203125" style="470" bestFit="1" customWidth="1"/>
    <col min="16" max="16" width="19.33203125" style="470" bestFit="1" customWidth="1"/>
    <col min="17" max="17" width="15.33203125" style="470" bestFit="1" customWidth="1"/>
    <col min="18" max="18" width="14" style="470" bestFit="1" customWidth="1"/>
    <col min="19" max="19" width="13" style="470" bestFit="1" customWidth="1"/>
    <col min="20" max="16384" width="9.109375" style="470"/>
  </cols>
  <sheetData>
    <row r="1" spans="2:9" hidden="1">
      <c r="D1" s="472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45931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498</v>
      </c>
      <c r="E6" s="89"/>
      <c r="I6" s="90"/>
    </row>
    <row r="7" spans="2:9" ht="15.6">
      <c r="C7" s="94"/>
      <c r="D7" s="590" t="s">
        <v>552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SUBTOTAL(9,D10:D11)</f>
        <v>35123818.812147975</v>
      </c>
      <c r="E9" s="98">
        <f>SUBTOTAL(9,E10:E11)</f>
        <v>70529.756650899551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'!$G$474</f>
        <v>23342798.625669986</v>
      </c>
      <c r="E10" s="218">
        <f>$D$10/$D$6</f>
        <v>46873.08960977909</v>
      </c>
      <c r="F10" s="103"/>
    </row>
    <row r="11" spans="2:9" s="90" customFormat="1" outlineLevel="1">
      <c r="B11" s="100"/>
      <c r="C11" s="101" t="s">
        <v>221</v>
      </c>
      <c r="D11" s="169">
        <f>$E$11*$D$6</f>
        <v>11781020.186477989</v>
      </c>
      <c r="E11" s="218">
        <f>'BAC SAN JOSE USD'!$G$396</f>
        <v>23656.667041120461</v>
      </c>
      <c r="F11" s="103"/>
    </row>
    <row r="12" spans="2:9" s="90" customFormat="1" ht="15.6">
      <c r="B12" s="100"/>
      <c r="C12" s="104" t="s">
        <v>222</v>
      </c>
      <c r="D12" s="167">
        <f>SUBTOTAL(9,D13:D18)</f>
        <v>56189969.850000009</v>
      </c>
      <c r="E12" s="98">
        <f>SUBTOTAL(9,E13:E18)</f>
        <v>112605.15000000001</v>
      </c>
      <c r="F12" s="105"/>
    </row>
    <row r="13" spans="2:9" s="178" customFormat="1" outlineLevel="1">
      <c r="B13" s="107" t="s">
        <v>231</v>
      </c>
      <c r="C13" s="440" t="s">
        <v>1053</v>
      </c>
      <c r="D13" s="271">
        <f>E13*$D$6</f>
        <v>0</v>
      </c>
      <c r="E13" s="272">
        <f>725.78*0</f>
        <v>0</v>
      </c>
      <c r="F13" s="345"/>
      <c r="G13" s="272"/>
    </row>
    <row r="14" spans="2:9" s="178" customFormat="1" outlineLevel="1">
      <c r="B14" s="328" t="s">
        <v>533</v>
      </c>
      <c r="C14" s="329" t="s">
        <v>1220</v>
      </c>
      <c r="D14" s="410">
        <f>E14*499</f>
        <v>37829379.620000005</v>
      </c>
      <c r="E14" s="411">
        <v>75810.38</v>
      </c>
      <c r="F14" s="442"/>
      <c r="G14" s="443"/>
    </row>
    <row r="15" spans="2:9" s="178" customFormat="1" outlineLevel="1">
      <c r="B15" s="328" t="s">
        <v>533</v>
      </c>
      <c r="C15" s="329" t="s">
        <v>1221</v>
      </c>
      <c r="D15" s="410">
        <f>E15*499</f>
        <v>1211826.4900000002</v>
      </c>
      <c r="E15" s="331">
        <v>2428.5100000000002</v>
      </c>
      <c r="F15" s="474" t="s">
        <v>1120</v>
      </c>
      <c r="G15" s="272">
        <f>E13</f>
        <v>0</v>
      </c>
    </row>
    <row r="16" spans="2:9" s="178" customFormat="1" outlineLevel="1">
      <c r="B16" s="328" t="s">
        <v>231</v>
      </c>
      <c r="C16" s="329" t="s">
        <v>1222</v>
      </c>
      <c r="D16" s="410">
        <f>E16*499</f>
        <v>2605154.25</v>
      </c>
      <c r="E16" s="411">
        <v>5220.75</v>
      </c>
      <c r="F16" s="474"/>
      <c r="G16" s="272"/>
    </row>
    <row r="17" spans="1:19" s="178" customFormat="1" outlineLevel="1">
      <c r="B17" s="328" t="s">
        <v>533</v>
      </c>
      <c r="C17" s="329" t="s">
        <v>1171</v>
      </c>
      <c r="D17" s="410">
        <f>E17*499</f>
        <v>5740241.5099999998</v>
      </c>
      <c r="E17" s="331">
        <v>11503.49</v>
      </c>
      <c r="F17" s="441" t="s">
        <v>198</v>
      </c>
      <c r="G17" s="464">
        <f>SUM(G15:G16)</f>
        <v>0</v>
      </c>
    </row>
    <row r="18" spans="1:19" s="178" customFormat="1" outlineLevel="1">
      <c r="B18" s="328" t="s">
        <v>533</v>
      </c>
      <c r="C18" s="329" t="s">
        <v>1170</v>
      </c>
      <c r="D18" s="410">
        <f>E18*499</f>
        <v>8803367.9800000004</v>
      </c>
      <c r="E18" s="331">
        <v>17642.02</v>
      </c>
      <c r="F18" s="463"/>
      <c r="G18" s="272"/>
    </row>
    <row r="19" spans="1:19" s="90" customFormat="1" ht="15.6">
      <c r="B19" s="100"/>
      <c r="C19" s="109" t="s">
        <v>223</v>
      </c>
      <c r="D19" s="168">
        <f>SUBTOTAL(9,D9:D18)</f>
        <v>91313788.662147984</v>
      </c>
      <c r="E19" s="207">
        <f>SUBTOTAL(9,E9:E18)</f>
        <v>183134.90665089953</v>
      </c>
      <c r="F19" s="110"/>
      <c r="G19" s="475">
        <f>G17/E19</f>
        <v>0</v>
      </c>
      <c r="J19" s="108"/>
      <c r="K19" s="111"/>
      <c r="O19" s="112"/>
      <c r="P19" s="113"/>
      <c r="Q19" s="114"/>
    </row>
    <row r="20" spans="1:19" s="90" customFormat="1" ht="15.6">
      <c r="B20" s="100"/>
      <c r="C20" s="115"/>
      <c r="D20" s="116"/>
      <c r="E20" s="116"/>
      <c r="G20" s="117"/>
      <c r="O20" s="113"/>
      <c r="P20" s="113"/>
    </row>
    <row r="21" spans="1:19" s="90" customFormat="1" ht="15.6">
      <c r="B21" s="100"/>
      <c r="D21" s="349"/>
      <c r="N21" s="118"/>
      <c r="O21" s="119"/>
      <c r="P21" s="120"/>
    </row>
    <row r="22" spans="1:19" s="90" customFormat="1" ht="15.6">
      <c r="B22" s="590" t="s">
        <v>224</v>
      </c>
      <c r="C22" s="590"/>
      <c r="D22" s="590" t="s">
        <v>552</v>
      </c>
      <c r="E22" s="590"/>
      <c r="K22" s="120"/>
      <c r="L22" s="120"/>
      <c r="N22" s="118"/>
      <c r="R22" s="108"/>
      <c r="S22" s="108"/>
    </row>
    <row r="23" spans="1:19" s="90" customFormat="1" ht="16.2" thickBot="1">
      <c r="B23" s="121" t="s">
        <v>225</v>
      </c>
      <c r="C23" s="122" t="s">
        <v>226</v>
      </c>
      <c r="D23" s="95" t="s">
        <v>242</v>
      </c>
      <c r="E23" s="95" t="s">
        <v>219</v>
      </c>
      <c r="F23" s="123" t="s">
        <v>227</v>
      </c>
      <c r="G23" s="118" t="s">
        <v>228</v>
      </c>
      <c r="H23" s="118"/>
      <c r="I23" s="118"/>
      <c r="J23" s="124" t="s">
        <v>229</v>
      </c>
      <c r="N23" s="125"/>
      <c r="R23" s="108"/>
      <c r="S23" s="126"/>
    </row>
    <row r="24" spans="1:19" s="90" customFormat="1" ht="16.2" thickBot="1">
      <c r="B24" s="100"/>
      <c r="C24" s="127" t="s">
        <v>230</v>
      </c>
      <c r="D24" s="172">
        <f>SUBTOTAL(9,D25:D25)</f>
        <v>14898339</v>
      </c>
      <c r="E24" s="128">
        <f>SUBTOTAL(9,E25:E25)</f>
        <v>29916.343373493975</v>
      </c>
      <c r="F24" s="129"/>
      <c r="J24" s="130"/>
    </row>
    <row r="25" spans="1:19" s="90" customFormat="1" ht="15" outlineLevel="1" thickBot="1">
      <c r="A25" s="103"/>
      <c r="B25" s="373" t="s">
        <v>1167</v>
      </c>
      <c r="C25" s="174" t="s">
        <v>1168</v>
      </c>
      <c r="D25" s="271">
        <v>14898339</v>
      </c>
      <c r="E25" s="142">
        <f>D25/$D$6</f>
        <v>29916.343373493975</v>
      </c>
      <c r="F25" s="134">
        <v>45946</v>
      </c>
      <c r="G25" s="90" t="s">
        <v>235</v>
      </c>
      <c r="H25" s="90">
        <f>IF(OR(G25="Sin pagar",G25="Pagar"),_xlfn.SINGLE(NETWORKDAYS($E$4,F25,'Festivos CR'!$A$3:$A$29)),0)</f>
        <v>0</v>
      </c>
      <c r="I25" s="90">
        <f>NETWORKDAYS($E$4,F25,'Festivos CR'!$A$3:$A$29)</f>
        <v>12</v>
      </c>
      <c r="J25" s="132">
        <f t="shared" ref="J25:J30" si="0">H25</f>
        <v>0</v>
      </c>
      <c r="K25" s="108"/>
      <c r="L25" s="108"/>
      <c r="M25" s="349"/>
      <c r="N25" s="349"/>
    </row>
    <row r="26" spans="1:19" s="90" customFormat="1" ht="16.2" thickBot="1">
      <c r="B26" s="100"/>
      <c r="C26" s="127" t="s">
        <v>232</v>
      </c>
      <c r="D26" s="172">
        <f>SUBTOTAL(9,D27:D28)</f>
        <v>4477506</v>
      </c>
      <c r="E26" s="128">
        <f>SUBTOTAL(9,E27:E28)</f>
        <v>8990.9759036144569</v>
      </c>
      <c r="J26" s="130">
        <f t="shared" si="0"/>
        <v>0</v>
      </c>
    </row>
    <row r="27" spans="1:19" s="90" customFormat="1" outlineLevel="1">
      <c r="B27" t="s">
        <v>1179</v>
      </c>
      <c r="C27" s="101" t="s">
        <v>292</v>
      </c>
      <c r="D27" s="169">
        <v>4425278</v>
      </c>
      <c r="E27" s="137">
        <f>D27/$D$6</f>
        <v>8886.1004016064253</v>
      </c>
      <c r="F27" s="134">
        <v>45950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14</v>
      </c>
      <c r="J27" s="132">
        <f t="shared" si="0"/>
        <v>0</v>
      </c>
      <c r="K27" s="135"/>
      <c r="L27" s="111"/>
      <c r="M27" s="349"/>
      <c r="N27" s="349"/>
    </row>
    <row r="28" spans="1:19" s="90" customFormat="1" ht="29.4" outlineLevel="1" thickBot="1">
      <c r="B28" s="360" t="s">
        <v>1178</v>
      </c>
      <c r="C28" s="101" t="s">
        <v>1163</v>
      </c>
      <c r="D28" s="169">
        <v>52228</v>
      </c>
      <c r="E28" s="137">
        <f>D28/D6</f>
        <v>104.87550200803213</v>
      </c>
      <c r="F28" s="134">
        <v>45950</v>
      </c>
      <c r="G28" s="90" t="s">
        <v>235</v>
      </c>
      <c r="H28" s="90">
        <f>IF(OR(G28="Sin pagar",G28="Pagar"),_xlfn.SINGLE(NETWORKDAYS($E$4,F28,'Festivos CR'!$A$3:$A$29)),0)</f>
        <v>0</v>
      </c>
      <c r="I28" s="90">
        <f>NETWORKDAYS($E$4,F28,'Festivos CR'!$A$3:$A$29)</f>
        <v>14</v>
      </c>
      <c r="J28" s="132">
        <f t="shared" si="0"/>
        <v>0</v>
      </c>
      <c r="K28" s="135"/>
      <c r="L28" s="111"/>
      <c r="M28" s="349"/>
    </row>
    <row r="29" spans="1:19" s="90" customFormat="1" ht="16.2" thickBot="1">
      <c r="B29" s="451"/>
      <c r="C29" s="127" t="s">
        <v>233</v>
      </c>
      <c r="D29" s="172">
        <f>SUBTOTAL(9,D30:D31)</f>
        <v>126108</v>
      </c>
      <c r="E29" s="128">
        <f>SUBTOTAL(9,E30:E31)</f>
        <v>253.22891566265059</v>
      </c>
      <c r="J29" s="130">
        <f t="shared" si="0"/>
        <v>0</v>
      </c>
      <c r="K29" s="108"/>
      <c r="L29" s="108"/>
      <c r="N29" s="349"/>
    </row>
    <row r="30" spans="1:19" s="90" customFormat="1" outlineLevel="1">
      <c r="B30" s="100">
        <v>37</v>
      </c>
      <c r="C30" s="101" t="s">
        <v>1172</v>
      </c>
      <c r="D30" s="169">
        <v>13560</v>
      </c>
      <c r="E30" s="137">
        <f>D30/D6</f>
        <v>27.228915662650603</v>
      </c>
      <c r="F30" s="134">
        <v>45947</v>
      </c>
      <c r="G30" s="90" t="s">
        <v>235</v>
      </c>
      <c r="H30" s="90">
        <f>IF(OR(G30="Sin pagar",G30="Pagar"),_xlfn.SINGLE(NETWORKDAYS($E$4,F30,'Festivos CR'!$A$3:$A$29)),0)</f>
        <v>0</v>
      </c>
      <c r="I30" s="90">
        <f>NETWORKDAYS($E$4,F30,'Festivos CR'!$A$3:$A$29)</f>
        <v>13</v>
      </c>
      <c r="J30" s="132">
        <f t="shared" si="0"/>
        <v>0</v>
      </c>
      <c r="M30" s="369"/>
      <c r="N30" s="103"/>
    </row>
    <row r="31" spans="1:19" s="90" customFormat="1" ht="15" outlineLevel="1" thickBot="1">
      <c r="B31" s="100">
        <v>38</v>
      </c>
      <c r="C31" s="101" t="s">
        <v>1164</v>
      </c>
      <c r="D31" s="169">
        <f>E31*$D$6</f>
        <v>112548</v>
      </c>
      <c r="E31" s="137">
        <v>226</v>
      </c>
      <c r="F31" s="134">
        <v>45947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CR'!$A$3:$A$29)</f>
        <v>13</v>
      </c>
      <c r="J31" s="132">
        <f>H31</f>
        <v>0</v>
      </c>
      <c r="M31" s="369"/>
      <c r="N31" s="103"/>
    </row>
    <row r="32" spans="1:19" s="90" customFormat="1" ht="16.2" thickBot="1">
      <c r="B32" s="451"/>
      <c r="C32" s="127" t="s">
        <v>250</v>
      </c>
      <c r="D32" s="172">
        <f>SUBTOTAL(9,D33:D34)</f>
        <v>509</v>
      </c>
      <c r="E32" s="128">
        <f>SUBTOTAL(9,E33:E34)</f>
        <v>1.0220883534136547</v>
      </c>
      <c r="K32" s="103"/>
      <c r="L32" s="103"/>
      <c r="O32" s="103"/>
      <c r="P32" s="103"/>
    </row>
    <row r="33" spans="1:16" s="90" customFormat="1" ht="14.25" customHeight="1" outlineLevel="1">
      <c r="B33" s="466" t="s">
        <v>590</v>
      </c>
      <c r="C33" s="101" t="s">
        <v>251</v>
      </c>
      <c r="D33" s="169">
        <f>77000*10*0</f>
        <v>0</v>
      </c>
      <c r="E33" s="137">
        <f>D33/$D$6</f>
        <v>0</v>
      </c>
      <c r="F33" s="129">
        <v>45961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CR'!$A$3:$A$29)</f>
        <v>23</v>
      </c>
      <c r="J33" s="132">
        <f>H33</f>
        <v>0</v>
      </c>
      <c r="K33" s="103"/>
      <c r="L33" s="103"/>
      <c r="M33" s="369"/>
      <c r="O33" s="103"/>
      <c r="P33" s="103"/>
    </row>
    <row r="34" spans="1:16" s="90" customFormat="1" ht="15" outlineLevel="1" thickBot="1">
      <c r="A34" s="180"/>
      <c r="B34" s="451"/>
      <c r="C34" s="101" t="s">
        <v>925</v>
      </c>
      <c r="D34" s="170">
        <v>509</v>
      </c>
      <c r="E34" s="142">
        <f>D34/$D$6</f>
        <v>1.0220883534136547</v>
      </c>
      <c r="F34" s="129">
        <v>45961</v>
      </c>
      <c r="G34" s="90" t="s">
        <v>235</v>
      </c>
      <c r="H34" s="90">
        <f>IF(OR(G34="Sin pagar",G34="Pagar"),_xlfn.SINGLE(NETWORKDAYS($E$4,F34,'Festivos CR'!$A$3:$A$29)),0)</f>
        <v>0</v>
      </c>
      <c r="I34" s="90">
        <f>NETWORKDAYS($E$4,F34,'Festivos CR'!$A$3:$A$29)</f>
        <v>23</v>
      </c>
      <c r="J34" s="132">
        <f>H34</f>
        <v>0</v>
      </c>
      <c r="L34" s="108"/>
      <c r="M34" s="392"/>
    </row>
    <row r="35" spans="1:16" s="90" customFormat="1" ht="16.2" thickBot="1">
      <c r="B35" s="451"/>
      <c r="C35" s="139" t="s">
        <v>234</v>
      </c>
      <c r="D35" s="173">
        <f>SUBTOTAL(9,D36:D36)</f>
        <v>0</v>
      </c>
      <c r="E35" s="140">
        <f>SUBTOTAL(9,E36:E36)</f>
        <v>0</v>
      </c>
      <c r="K35" s="108"/>
    </row>
    <row r="36" spans="1:16" s="90" customFormat="1" ht="15" outlineLevel="1" thickBot="1">
      <c r="B36" s="176" t="s">
        <v>990</v>
      </c>
      <c r="C36" s="174" t="s">
        <v>988</v>
      </c>
      <c r="D36" s="169">
        <f>E36*$D$6</f>
        <v>0</v>
      </c>
      <c r="E36" s="137">
        <f>((390.81+468.75+468.75+386.75+551.75)*0.8)*0</f>
        <v>0</v>
      </c>
      <c r="F36" s="134">
        <v>45968</v>
      </c>
      <c r="G36" s="90" t="s">
        <v>231</v>
      </c>
      <c r="H36" s="90">
        <f>IF(OR(G36="Sin pagar",G36="Pagar"),_xlfn.SINGLE(NETWORKDAYS($E$4,F36,'Festivos CR'!$A$3:$A$29)),0)</f>
        <v>28</v>
      </c>
      <c r="I36" s="90">
        <f>NETWORKDAYS($E$4,F36,'Festivos CR'!$A$3:$A$29)</f>
        <v>28</v>
      </c>
      <c r="J36" s="132">
        <f>H36</f>
        <v>28</v>
      </c>
      <c r="M36" s="297"/>
      <c r="N36" s="298"/>
    </row>
    <row r="37" spans="1:16" s="90" customFormat="1" ht="15.75" customHeight="1" thickBot="1">
      <c r="B37" s="451"/>
      <c r="C37" s="127" t="s">
        <v>236</v>
      </c>
      <c r="D37" s="172">
        <f>SUBTOTAL(9,D38:D38)</f>
        <v>236589.84</v>
      </c>
      <c r="E37" s="128">
        <f>SUBTOTAL(9,E38:E38)</f>
        <v>475.08</v>
      </c>
      <c r="M37" s="299"/>
      <c r="N37" s="299"/>
      <c r="O37" s="118"/>
      <c r="P37" s="300"/>
    </row>
    <row r="38" spans="1:16" s="90" customFormat="1" ht="15" outlineLevel="1" thickBot="1">
      <c r="B38" s="451"/>
      <c r="C38" s="174" t="s">
        <v>236</v>
      </c>
      <c r="D38" s="271">
        <f>E38*D6</f>
        <v>236589.84</v>
      </c>
      <c r="E38" s="142">
        <v>475.08</v>
      </c>
      <c r="F38" s="134">
        <v>45961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23</v>
      </c>
      <c r="J38" s="132">
        <f>H38</f>
        <v>0</v>
      </c>
    </row>
    <row r="39" spans="1:16" s="90" customFormat="1" ht="16.2" thickBot="1">
      <c r="B39" s="451"/>
      <c r="C39" s="127" t="s">
        <v>237</v>
      </c>
      <c r="D39" s="172">
        <f>SUBTOTAL(9,D40:D53)</f>
        <v>31084214.739999998</v>
      </c>
      <c r="E39" s="128">
        <f>SUBTOTAL(9,E40:E53)</f>
        <v>61920.746494023901</v>
      </c>
      <c r="K39" s="108"/>
      <c r="L39" s="143"/>
    </row>
    <row r="40" spans="1:16" s="180" customFormat="1" outlineLevel="1">
      <c r="B40" s="265" t="s">
        <v>270</v>
      </c>
      <c r="C40" s="174" t="s">
        <v>1037</v>
      </c>
      <c r="D40" s="347">
        <f>E40*CONVERSIONES!$C$396</f>
        <v>3569069.4</v>
      </c>
      <c r="E40" s="137">
        <v>7109.7</v>
      </c>
      <c r="F40" s="129">
        <v>45957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19</v>
      </c>
      <c r="J40" s="132">
        <f t="shared" ref="J40:J47" si="1">H40</f>
        <v>0</v>
      </c>
      <c r="L40" s="179"/>
    </row>
    <row r="41" spans="1:16" s="180" customFormat="1" outlineLevel="1">
      <c r="B41" s="265" t="s">
        <v>270</v>
      </c>
      <c r="C41" s="174" t="s">
        <v>257</v>
      </c>
      <c r="D41" s="347">
        <f>E41*CONVERSIONES!$C$396</f>
        <v>3350855.02</v>
      </c>
      <c r="E41" s="137">
        <v>6675.01</v>
      </c>
      <c r="F41" s="129">
        <v>45957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19</v>
      </c>
      <c r="J41" s="132">
        <f t="shared" si="1"/>
        <v>0</v>
      </c>
      <c r="L41" s="179"/>
    </row>
    <row r="42" spans="1:16" s="180" customFormat="1" outlineLevel="1">
      <c r="B42" s="265" t="s">
        <v>270</v>
      </c>
      <c r="C42" s="174" t="s">
        <v>747</v>
      </c>
      <c r="D42" s="347">
        <f>E42*CONVERSIONES!$C$396</f>
        <v>2542363.94</v>
      </c>
      <c r="E42" s="137">
        <v>5064.47</v>
      </c>
      <c r="F42" s="129">
        <v>45957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19</v>
      </c>
      <c r="J42" s="132">
        <f t="shared" si="1"/>
        <v>0</v>
      </c>
      <c r="L42" s="179"/>
    </row>
    <row r="43" spans="1:16" s="180" customFormat="1" outlineLevel="1">
      <c r="B43" s="265" t="s">
        <v>270</v>
      </c>
      <c r="C43" s="174" t="s">
        <v>1036</v>
      </c>
      <c r="D43" s="347">
        <f>E43*CONVERSIONES!$C$396</f>
        <v>2378787.2399999998</v>
      </c>
      <c r="E43" s="137">
        <v>4738.62</v>
      </c>
      <c r="F43" s="129">
        <v>45957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19</v>
      </c>
      <c r="J43" s="132">
        <f t="shared" si="1"/>
        <v>0</v>
      </c>
      <c r="L43" s="179"/>
    </row>
    <row r="44" spans="1:16" s="180" customFormat="1" outlineLevel="1">
      <c r="B44" s="265" t="s">
        <v>270</v>
      </c>
      <c r="C44" s="174" t="s">
        <v>258</v>
      </c>
      <c r="D44" s="347">
        <f>E44*CONVERSIONES!$C$396</f>
        <v>1717362.08</v>
      </c>
      <c r="E44" s="137">
        <v>3421.04</v>
      </c>
      <c r="F44" s="129">
        <v>45957</v>
      </c>
      <c r="G44" s="90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CR'!$A$3:$A$29)</f>
        <v>19</v>
      </c>
      <c r="J44" s="132">
        <f t="shared" si="1"/>
        <v>0</v>
      </c>
      <c r="L44" s="179"/>
    </row>
    <row r="45" spans="1:16" s="180" customFormat="1" outlineLevel="1">
      <c r="B45" s="265" t="s">
        <v>270</v>
      </c>
      <c r="C45" s="174" t="s">
        <v>1038</v>
      </c>
      <c r="D45" s="347">
        <f>E45*CONVERSIONES!$C$396</f>
        <v>921084.65999999992</v>
      </c>
      <c r="E45" s="137">
        <v>1834.83</v>
      </c>
      <c r="F45" s="129">
        <v>45957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CR'!$A$3:$A$29)</f>
        <v>19</v>
      </c>
      <c r="J45" s="132">
        <f t="shared" si="1"/>
        <v>0</v>
      </c>
      <c r="L45" s="179"/>
    </row>
    <row r="46" spans="1:16" s="180" customFormat="1" outlineLevel="1">
      <c r="B46" s="265" t="s">
        <v>270</v>
      </c>
      <c r="C46" s="174" t="s">
        <v>1153</v>
      </c>
      <c r="D46" s="347">
        <f>E46*CONVERSIONES!$C$396</f>
        <v>3802097.8</v>
      </c>
      <c r="E46" s="137">
        <v>7573.9</v>
      </c>
      <c r="F46" s="129">
        <v>45958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CR'!$A$3:$A$29)</f>
        <v>20</v>
      </c>
      <c r="J46" s="132">
        <f t="shared" si="1"/>
        <v>0</v>
      </c>
      <c r="L46" s="179"/>
    </row>
    <row r="47" spans="1:16" s="180" customFormat="1" outlineLevel="1">
      <c r="B47" s="145" t="s">
        <v>391</v>
      </c>
      <c r="C47" s="174" t="s">
        <v>253</v>
      </c>
      <c r="D47" s="347">
        <v>1409287.55</v>
      </c>
      <c r="E47" s="137">
        <f>D47/CONVERSIONES!$C$396</f>
        <v>2807.345717131474</v>
      </c>
      <c r="F47" s="129">
        <v>45957</v>
      </c>
      <c r="G47" s="90" t="s">
        <v>235</v>
      </c>
      <c r="H47" s="90">
        <f>IF(OR(G47="Sin pagar",G47="Pagar"),_xlfn.SINGLE(NETWORKDAYS($E$4,F47,'Festivos CR'!$A$3:$A$29)),0)</f>
        <v>0</v>
      </c>
      <c r="I47" s="90">
        <f>NETWORKDAYS($E$4,F47,'Festivos CR'!$A$3:$A$29)</f>
        <v>19</v>
      </c>
      <c r="J47" s="132">
        <f t="shared" si="1"/>
        <v>0</v>
      </c>
      <c r="L47" s="179"/>
    </row>
    <row r="48" spans="1:16" s="180" customFormat="1" outlineLevel="1">
      <c r="B48" s="145" t="s">
        <v>391</v>
      </c>
      <c r="C48" s="174" t="s">
        <v>1188</v>
      </c>
      <c r="D48" s="347">
        <v>1630047.65</v>
      </c>
      <c r="E48" s="137">
        <f>D48/CONVERSIONES!$C$396</f>
        <v>3247.1068725099599</v>
      </c>
      <c r="F48" s="129">
        <v>45959</v>
      </c>
      <c r="G48" s="90" t="s">
        <v>235</v>
      </c>
      <c r="H48" s="90">
        <f>IF(OR(G48="Sin pagar",G48="Pagar"),_xlfn.SINGLE(NETWORKDAYS($E$4,F48,'Festivos CR'!$A$3:$A$29)),0)</f>
        <v>0</v>
      </c>
      <c r="I48" s="90">
        <f>NETWORKDAYS($E$4,F48,'Festivos CR'!$A$3:$A$29)</f>
        <v>21</v>
      </c>
      <c r="J48" s="132">
        <f t="shared" ref="J48:J53" si="2">H48</f>
        <v>0</v>
      </c>
      <c r="L48" s="179"/>
    </row>
    <row r="49" spans="1:16" s="180" customFormat="1" outlineLevel="1">
      <c r="B49" s="145" t="s">
        <v>391</v>
      </c>
      <c r="C49" s="174" t="s">
        <v>1152</v>
      </c>
      <c r="D49" s="347">
        <v>2039964.9</v>
      </c>
      <c r="E49" s="137">
        <f>D49/CONVERSIONES!$C$396</f>
        <v>4063.6750996015935</v>
      </c>
      <c r="F49" s="129">
        <v>45958</v>
      </c>
      <c r="G49" s="90" t="s">
        <v>235</v>
      </c>
      <c r="H49" s="90">
        <f>IF(OR(G49="Sin pagar",G49="Pagar"),_xlfn.SINGLE(NETWORKDAYS($E$4,F49,'Festivos CR'!$A$3:$A$29)),0)</f>
        <v>0</v>
      </c>
      <c r="I49" s="90">
        <f>NETWORKDAYS($E$4,F49,'Festivos CR'!$A$3:$A$29)</f>
        <v>20</v>
      </c>
      <c r="J49" s="132">
        <f t="shared" si="2"/>
        <v>0</v>
      </c>
      <c r="L49" s="179"/>
      <c r="M49" s="479">
        <f>SUM(E40:E45)</f>
        <v>28843.67</v>
      </c>
      <c r="N49" s="180" t="s">
        <v>1210</v>
      </c>
    </row>
    <row r="50" spans="1:16" s="180" customFormat="1" outlineLevel="1">
      <c r="B50" s="145" t="s">
        <v>391</v>
      </c>
      <c r="C50" s="174" t="s">
        <v>255</v>
      </c>
      <c r="D50" s="347">
        <v>1409287.55</v>
      </c>
      <c r="E50" s="137">
        <f>D50/CONVERSIONES!$C$396</f>
        <v>2807.345717131474</v>
      </c>
      <c r="F50" s="129">
        <v>45958</v>
      </c>
      <c r="G50" s="90" t="s">
        <v>235</v>
      </c>
      <c r="H50" s="90">
        <f>IF(OR(G50="Sin pagar",G50="Pagar"),_xlfn.SINGLE(NETWORKDAYS($E$4,F50,'Festivos CR'!$A$3:$A$29)),0)</f>
        <v>0</v>
      </c>
      <c r="I50" s="90">
        <f>NETWORKDAYS($E$4,F50,'Festivos CR'!$A$3:$A$29)</f>
        <v>20</v>
      </c>
      <c r="J50" s="132">
        <f t="shared" si="2"/>
        <v>0</v>
      </c>
      <c r="L50" s="179"/>
      <c r="M50" s="479">
        <f>E46+E48+E49+E50+E51+E52+E53+E56</f>
        <v>33418.531981711705</v>
      </c>
      <c r="N50" s="180" t="s">
        <v>1209</v>
      </c>
    </row>
    <row r="51" spans="1:16" s="180" customFormat="1" outlineLevel="1">
      <c r="B51" s="145" t="s">
        <v>391</v>
      </c>
      <c r="C51" s="174" t="s">
        <v>330</v>
      </c>
      <c r="D51" s="347">
        <v>786551.54</v>
      </c>
      <c r="E51" s="137">
        <f>D51/CONVERSIONES!$C$396</f>
        <v>1566.8357370517929</v>
      </c>
      <c r="F51" s="129">
        <v>45958</v>
      </c>
      <c r="G51" s="90" t="s">
        <v>235</v>
      </c>
      <c r="H51" s="90">
        <f>IF(OR(G51="Sin pagar",G51="Pagar"),_xlfn.SINGLE(NETWORKDAYS($E$4,F51,'Festivos CR'!$A$3:$A$29)),0)</f>
        <v>0</v>
      </c>
      <c r="I51" s="90">
        <f>NETWORKDAYS($E$4,F51,'Festivos CR'!$A$3:$A$29)</f>
        <v>20</v>
      </c>
      <c r="J51" s="132">
        <f t="shared" si="2"/>
        <v>0</v>
      </c>
      <c r="L51" s="179"/>
      <c r="M51" s="387"/>
      <c r="N51" s="387"/>
    </row>
    <row r="52" spans="1:16" s="180" customFormat="1" outlineLevel="1">
      <c r="B52" s="145" t="s">
        <v>391</v>
      </c>
      <c r="C52" s="174" t="s">
        <v>759</v>
      </c>
      <c r="D52" s="347">
        <v>4641955.3099999996</v>
      </c>
      <c r="E52" s="137">
        <f>D52/CONVERSIONES!$C$396</f>
        <v>9246.9229282868509</v>
      </c>
      <c r="F52" s="129">
        <v>45958</v>
      </c>
      <c r="G52" s="90" t="s">
        <v>235</v>
      </c>
      <c r="H52" s="90">
        <f>IF(OR(G52="Sin pagar",G52="Pagar"),_xlfn.SINGLE(NETWORKDAYS($E$4,F52,'Festivos CR'!$A$3:$A$29)),0)</f>
        <v>0</v>
      </c>
      <c r="I52" s="90">
        <f>NETWORKDAYS($E$4,F52,'Festivos CR'!$A$3:$A$29)</f>
        <v>20</v>
      </c>
      <c r="J52" s="132">
        <f t="shared" si="2"/>
        <v>0</v>
      </c>
      <c r="L52" s="179"/>
    </row>
    <row r="53" spans="1:16" s="180" customFormat="1" ht="15" outlineLevel="1" thickBot="1">
      <c r="B53" s="145" t="s">
        <v>391</v>
      </c>
      <c r="C53" s="174" t="s">
        <v>1123</v>
      </c>
      <c r="D53" s="347">
        <v>885500.1</v>
      </c>
      <c r="E53" s="137">
        <f>D53/CONVERSIONES!$C$396</f>
        <v>1763.9444223107569</v>
      </c>
      <c r="F53" s="129">
        <v>45958</v>
      </c>
      <c r="G53" s="90" t="s">
        <v>235</v>
      </c>
      <c r="H53" s="90">
        <f>IF(OR(G53="Sin pagar",G53="Pagar"),_xlfn.SINGLE(NETWORKDAYS($E$4,F53,'Festivos CR'!$A$3:$A$29)),0)</f>
        <v>0</v>
      </c>
      <c r="I53" s="90">
        <f>NETWORKDAYS($E$4,F53,'Festivos CR'!$A$3:$A$29)</f>
        <v>20</v>
      </c>
      <c r="J53" s="132">
        <f t="shared" si="2"/>
        <v>0</v>
      </c>
      <c r="L53" s="179"/>
    </row>
    <row r="54" spans="1:16" s="90" customFormat="1" ht="16.2" thickBot="1">
      <c r="A54" s="180"/>
      <c r="B54" s="451"/>
      <c r="C54" s="127" t="s">
        <v>1051</v>
      </c>
      <c r="D54" s="172">
        <f>SUBTOTAL(9,D55:D56)</f>
        <v>2215503</v>
      </c>
      <c r="E54" s="128">
        <f>SUBTOTAL(9,E55:E56)</f>
        <v>4448.8012048192777</v>
      </c>
      <c r="L54" s="108"/>
    </row>
    <row r="55" spans="1:16" s="90" customFormat="1" outlineLevel="1">
      <c r="A55" s="180"/>
      <c r="B55" s="265" t="s">
        <v>270</v>
      </c>
      <c r="C55" s="101" t="s">
        <v>1190</v>
      </c>
      <c r="D55" s="347">
        <f>$E$55*$D$6</f>
        <v>647400</v>
      </c>
      <c r="E55" s="137">
        <v>1300</v>
      </c>
      <c r="F55" s="129">
        <v>45957</v>
      </c>
      <c r="G55" s="90" t="s">
        <v>235</v>
      </c>
      <c r="H55" s="90">
        <f>IF(OR(G55="Sin pagar",G55="Pagar"),_xlfn.SINGLE(NETWORKDAYS($E$4,F55,'Festivos CR'!$A$3:$A$29)),0)</f>
        <v>0</v>
      </c>
      <c r="I55" s="90">
        <f>NETWORKDAYS($E$4,F55,'Festivos CR'!$A$3:$A$29)</f>
        <v>19</v>
      </c>
      <c r="J55" s="132">
        <f>H55</f>
        <v>0</v>
      </c>
      <c r="L55" s="108"/>
      <c r="M55" s="392"/>
      <c r="N55" s="349"/>
      <c r="O55" s="118"/>
    </row>
    <row r="56" spans="1:16" s="90" customFormat="1" ht="15" outlineLevel="1" thickBot="1">
      <c r="A56" s="180"/>
      <c r="B56" s="145" t="s">
        <v>391</v>
      </c>
      <c r="C56" s="101" t="s">
        <v>1189</v>
      </c>
      <c r="D56" s="170">
        <v>1568103</v>
      </c>
      <c r="E56" s="142">
        <f>D56/D6</f>
        <v>3148.8012048192772</v>
      </c>
      <c r="F56" s="129">
        <v>45959</v>
      </c>
      <c r="G56" s="90" t="s">
        <v>235</v>
      </c>
      <c r="H56" s="90">
        <f>IF(OR(G56="Sin pagar",G56="Pagar"),_xlfn.SINGLE(NETWORKDAYS($E$4,F56,'Festivos CR'!$A$3:$A$29)),0)</f>
        <v>0</v>
      </c>
      <c r="I56" s="90">
        <f>NETWORKDAYS($E$4,F56,'Festivos CR'!$A$3:$A$29)</f>
        <v>21</v>
      </c>
      <c r="J56" s="132">
        <f>H56</f>
        <v>0</v>
      </c>
      <c r="L56" s="108"/>
      <c r="M56" s="392"/>
      <c r="N56" s="349"/>
      <c r="O56" s="118"/>
    </row>
    <row r="57" spans="1:16" s="90" customFormat="1" ht="16.2" thickBot="1">
      <c r="A57" s="180"/>
      <c r="B57" s="451"/>
      <c r="C57" s="127" t="s">
        <v>992</v>
      </c>
      <c r="D57" s="172">
        <f>SUBTOTAL(9,D58:D58)</f>
        <v>741515.13</v>
      </c>
      <c r="E57" s="128">
        <f>SUBTOTAL(9,E58:E58)</f>
        <v>1488.9862048192772</v>
      </c>
      <c r="L57" s="108"/>
    </row>
    <row r="58" spans="1:16" s="90" customFormat="1" ht="15" outlineLevel="1" thickBot="1">
      <c r="A58" s="180"/>
      <c r="B58" s="146"/>
      <c r="C58" s="101" t="s">
        <v>1218</v>
      </c>
      <c r="D58" s="170">
        <v>741515.13</v>
      </c>
      <c r="E58" s="142">
        <f>D58/D6</f>
        <v>1488.9862048192772</v>
      </c>
      <c r="F58" s="129">
        <v>45959</v>
      </c>
      <c r="G58" s="90" t="s">
        <v>235</v>
      </c>
      <c r="H58" s="90">
        <f>IF(OR(G58="Sin pagar",G58="Pagar"),_xlfn.SINGLE(NETWORKDAYS($E$4,F58,'Festivos CR'!$A$3:$A$29)),0)</f>
        <v>0</v>
      </c>
      <c r="I58" s="90">
        <f>NETWORKDAYS($E$4,F58,'Festivos CR'!$A$3:$A$29)</f>
        <v>21</v>
      </c>
      <c r="J58" s="132">
        <f>H58</f>
        <v>0</v>
      </c>
      <c r="L58" s="108"/>
      <c r="M58" s="392"/>
      <c r="N58" s="349"/>
      <c r="O58" s="118"/>
    </row>
    <row r="59" spans="1:16" s="90" customFormat="1" ht="16.2" thickBot="1">
      <c r="A59" s="180"/>
      <c r="B59" s="451"/>
      <c r="C59" s="127" t="s">
        <v>238</v>
      </c>
      <c r="D59" s="172">
        <f>SUBTOTAL(9,D60:D61)</f>
        <v>402433.8</v>
      </c>
      <c r="E59" s="128">
        <f>SUBTOTAL(9,E60:E61)</f>
        <v>808.1</v>
      </c>
      <c r="L59" s="108"/>
    </row>
    <row r="60" spans="1:16" s="90" customFormat="1" ht="43.2" outlineLevel="1">
      <c r="A60" s="180"/>
      <c r="B60" s="473">
        <v>37858</v>
      </c>
      <c r="C60" s="101" t="s">
        <v>1175</v>
      </c>
      <c r="D60" s="170">
        <f>$E$60*$D$6</f>
        <v>25398</v>
      </c>
      <c r="E60" s="142">
        <v>51</v>
      </c>
      <c r="F60" s="129">
        <v>45947</v>
      </c>
      <c r="G60" s="90" t="s">
        <v>235</v>
      </c>
      <c r="H60" s="90">
        <f>IF(OR(G60="Sin pagar",G60="Pagar"),_xlfn.SINGLE(NETWORKDAYS($E$4,F60,'Festivos CR'!$A$3:$A$29)),0)</f>
        <v>0</v>
      </c>
      <c r="I60" s="90">
        <f>NETWORKDAYS($E$4,F60,'Festivos CR'!$A$3:$A$29)</f>
        <v>13</v>
      </c>
      <c r="J60" s="132">
        <f>H60</f>
        <v>0</v>
      </c>
      <c r="L60" s="108"/>
      <c r="M60" s="392"/>
    </row>
    <row r="61" spans="1:16" s="90" customFormat="1" ht="15" outlineLevel="1" thickBot="1">
      <c r="A61" s="180"/>
      <c r="B61" s="473">
        <v>37857</v>
      </c>
      <c r="C61" s="101" t="s">
        <v>1063</v>
      </c>
      <c r="D61" s="170">
        <f>$E$61*$D$6</f>
        <v>377035.8</v>
      </c>
      <c r="E61" s="142">
        <v>757.1</v>
      </c>
      <c r="F61" s="129">
        <v>45947</v>
      </c>
      <c r="G61" s="90" t="s">
        <v>235</v>
      </c>
      <c r="H61" s="90">
        <f>IF(OR(G61="Sin pagar",G61="Pagar"),_xlfn.SINGLE(NETWORKDAYS($E$4,F61,'Festivos CR'!$A$3:$A$29)),0)</f>
        <v>0</v>
      </c>
      <c r="I61" s="90">
        <f>NETWORKDAYS($E$4,F61,'Festivos CR'!$A$3:$A$29)</f>
        <v>13</v>
      </c>
      <c r="J61" s="132">
        <f>H61</f>
        <v>0</v>
      </c>
      <c r="L61" s="108"/>
      <c r="M61" s="392"/>
    </row>
    <row r="62" spans="1:16" s="90" customFormat="1" ht="14.25" customHeight="1">
      <c r="B62" s="100"/>
      <c r="C62" s="147" t="s">
        <v>239</v>
      </c>
      <c r="D62" s="171">
        <f>SUBTOTAL(9,D24:D61)</f>
        <v>54182718.509999983</v>
      </c>
      <c r="E62" s="148">
        <f>SUBTOTAL(9,E24:E61)</f>
        <v>108303.28418478696</v>
      </c>
      <c r="K62" s="470"/>
      <c r="L62" s="470"/>
      <c r="N62" s="470"/>
      <c r="O62" s="470"/>
      <c r="P62" s="470"/>
    </row>
    <row r="63" spans="1:16" ht="15.6">
      <c r="A63" s="90"/>
      <c r="E63" s="149"/>
      <c r="F63" s="239"/>
      <c r="G63" s="150"/>
      <c r="H63" s="150"/>
      <c r="I63" s="150"/>
      <c r="J63" s="150"/>
    </row>
    <row r="64" spans="1:16" ht="15.6">
      <c r="A64" s="90"/>
      <c r="C64" s="151" t="s">
        <v>3</v>
      </c>
      <c r="D64" s="182">
        <f>D19-D62</f>
        <v>37131070.152148001</v>
      </c>
      <c r="E64" s="152">
        <f>E19-E62</f>
        <v>74831.622466112574</v>
      </c>
      <c r="F64" s="243"/>
      <c r="G64" s="153"/>
      <c r="J64" s="153"/>
    </row>
    <row r="65" spans="1:16" s="157" customFormat="1" ht="15.6">
      <c r="A65" s="90"/>
      <c r="B65" s="154"/>
      <c r="C65" s="151" t="s">
        <v>240</v>
      </c>
      <c r="D65" s="155">
        <f>IF($D$19=0,0,D64/$D$19)</f>
        <v>0.40663157991975668</v>
      </c>
      <c r="E65" s="155">
        <f>IF($E$19=0,0,E64/$E$19)</f>
        <v>0.40861474109226031</v>
      </c>
      <c r="F65" s="156"/>
      <c r="G65" s="153"/>
      <c r="J65" s="158"/>
      <c r="K65" s="470"/>
      <c r="L65" s="470"/>
      <c r="N65" s="470"/>
      <c r="O65" s="470"/>
      <c r="P65" s="470"/>
    </row>
    <row r="66" spans="1:16">
      <c r="A66" s="90"/>
      <c r="F66" s="156"/>
      <c r="G66" s="153"/>
    </row>
    <row r="69" spans="1:16" ht="15" thickBot="1">
      <c r="C69" s="189" t="s">
        <v>260</v>
      </c>
      <c r="D69" s="190" t="s">
        <v>261</v>
      </c>
      <c r="E69" s="191" t="s">
        <v>265</v>
      </c>
      <c r="F69" s="191" t="s">
        <v>266</v>
      </c>
    </row>
    <row r="70" spans="1:16">
      <c r="C70" s="400">
        <v>45931</v>
      </c>
      <c r="D70" s="396">
        <v>45935</v>
      </c>
      <c r="E70" s="401">
        <f t="shared" ref="E70:E75" si="3">SUMIFS($D$23:$D$67,$F$23:$F$67,"&gt;="&amp;C70,$F$23:$F$67,"&lt;="&amp;D70,$G$23:$G$67,$D$86)</f>
        <v>0</v>
      </c>
      <c r="F70" s="402">
        <f t="shared" ref="F70:F75" si="4">SUMIFS($E$23:$E$67,$F$23:$F$67,"&gt;="&amp;C70,$F$23:$F$67,"&lt;="&amp;D70,$G$23:$G$67,$D$86)</f>
        <v>0</v>
      </c>
    </row>
    <row r="71" spans="1:16">
      <c r="C71" s="403">
        <v>45936</v>
      </c>
      <c r="D71" s="398">
        <v>45942</v>
      </c>
      <c r="E71" s="404">
        <f t="shared" si="3"/>
        <v>0</v>
      </c>
      <c r="F71" s="405">
        <f t="shared" si="4"/>
        <v>0</v>
      </c>
      <c r="J71" s="382"/>
    </row>
    <row r="72" spans="1:16">
      <c r="C72" s="403">
        <v>45943</v>
      </c>
      <c r="D72" s="397">
        <v>45943</v>
      </c>
      <c r="E72" s="404">
        <f t="shared" si="3"/>
        <v>0</v>
      </c>
      <c r="F72" s="405">
        <f t="shared" si="4"/>
        <v>0</v>
      </c>
      <c r="G72" s="470" t="s">
        <v>1180</v>
      </c>
    </row>
    <row r="73" spans="1:16">
      <c r="C73" s="403">
        <v>45944</v>
      </c>
      <c r="D73" s="397">
        <v>45949</v>
      </c>
      <c r="E73" s="404">
        <f t="shared" si="3"/>
        <v>0</v>
      </c>
      <c r="F73" s="405">
        <f t="shared" si="4"/>
        <v>0</v>
      </c>
      <c r="G73" s="470" t="s">
        <v>1166</v>
      </c>
    </row>
    <row r="74" spans="1:16">
      <c r="C74" s="403">
        <v>45950</v>
      </c>
      <c r="D74" s="397">
        <v>45956</v>
      </c>
      <c r="E74" s="404">
        <f t="shared" si="3"/>
        <v>0</v>
      </c>
      <c r="F74" s="405">
        <f t="shared" si="4"/>
        <v>0</v>
      </c>
      <c r="G74" s="470" t="s">
        <v>1165</v>
      </c>
    </row>
    <row r="75" spans="1:16">
      <c r="C75" s="403">
        <v>45957</v>
      </c>
      <c r="D75" s="397">
        <v>45961</v>
      </c>
      <c r="E75" s="404">
        <f t="shared" si="3"/>
        <v>0</v>
      </c>
      <c r="F75" s="405">
        <f t="shared" si="4"/>
        <v>0</v>
      </c>
      <c r="G75" s="470" t="s">
        <v>556</v>
      </c>
    </row>
    <row r="76" spans="1:16" ht="15.6">
      <c r="C76" s="589" t="s">
        <v>262</v>
      </c>
      <c r="D76" s="589"/>
      <c r="E76" s="186">
        <f>SUM(E70:E75)</f>
        <v>0</v>
      </c>
      <c r="F76" s="200">
        <f>SUM(F70:F75)</f>
        <v>0</v>
      </c>
      <c r="G76" s="94"/>
      <c r="J76" s="153"/>
      <c r="K76" s="153"/>
      <c r="M76" s="206"/>
    </row>
    <row r="79" spans="1:16">
      <c r="C79" s="591"/>
      <c r="D79" s="593"/>
    </row>
    <row r="80" spans="1:16">
      <c r="C80" s="592" t="s">
        <v>1065</v>
      </c>
      <c r="D80" s="592"/>
      <c r="E80" s="204">
        <f>'BAC SAN JOSE COLONES  '!$G$547+('BAC SAN JOSE USD'!$G$549*$D$6)</f>
        <v>123527656.42214802</v>
      </c>
      <c r="F80" s="452">
        <f>('BAC SAN JOSE COLONES  '!$G$500/$D$6)+'BAC SAN JOSE USD'!$G$549</f>
        <v>171809.56155049798</v>
      </c>
    </row>
    <row r="81" spans="3:10">
      <c r="C81" s="592" t="s">
        <v>1184</v>
      </c>
      <c r="D81" s="592"/>
      <c r="E81" s="204">
        <f>SUM(E70:E75)</f>
        <v>0</v>
      </c>
      <c r="F81" s="204">
        <f>SUM(F70:F75)</f>
        <v>0</v>
      </c>
      <c r="J81" s="324"/>
    </row>
    <row r="82" spans="3:10">
      <c r="C82" s="588" t="s">
        <v>152</v>
      </c>
      <c r="D82" s="588"/>
      <c r="E82" s="446">
        <f>E80-E81</f>
        <v>123527656.42214802</v>
      </c>
      <c r="F82" s="447">
        <f>F80-F81</f>
        <v>171809.56155049798</v>
      </c>
      <c r="G82" s="467"/>
      <c r="J82" s="206"/>
    </row>
    <row r="85" spans="3:10">
      <c r="D85" s="90" t="s">
        <v>235</v>
      </c>
      <c r="E85" s="170">
        <f>SUMIFS($D$23:$D$67,$F$23:$F$67,"&gt;="&amp;C70,$F$23:$F$67,"&lt;="&amp;$D$75,$G$23:$G$67,$D$85)</f>
        <v>54182718.509999983</v>
      </c>
      <c r="F85" s="206">
        <f>SUMIFS($E$23:$E$67,$F$23:$F$67,"&gt;="&amp;C70,$F$23:$F$67,"&lt;="&amp;$D$75,$G$23:$G$67,$D$85)</f>
        <v>108303.28418478696</v>
      </c>
    </row>
    <row r="86" spans="3:10">
      <c r="D86" s="90" t="s">
        <v>231</v>
      </c>
      <c r="E86" s="170">
        <f>SUMIFS($D$23:$D$67,$F$23:$F$67,"&gt;="&amp;C70,$F$23:$F$67,"&lt;="&amp;$D$75,$G$23:$G$67,$D$86)</f>
        <v>0</v>
      </c>
      <c r="F86" s="206">
        <f>SUMIFS($E$23:$E$67,$F$23:$F$67,"&gt;="&amp;C70,$F$23:$F$67,"&lt;="&amp;$D$75,$G$23:$G$67,$D$86)</f>
        <v>0</v>
      </c>
    </row>
    <row r="87" spans="3:10">
      <c r="D87" s="185" t="s">
        <v>263</v>
      </c>
      <c r="E87" s="194">
        <f>SUM(E85:E86)</f>
        <v>54182718.509999983</v>
      </c>
      <c r="F87" s="199">
        <f>SUM(F85:F86)</f>
        <v>108303.28418478696</v>
      </c>
    </row>
    <row r="88" spans="3:10">
      <c r="D88" s="185" t="s">
        <v>264</v>
      </c>
      <c r="E88" s="194">
        <f>(D62-E87)</f>
        <v>0</v>
      </c>
      <c r="F88" s="199">
        <f>F87-E62</f>
        <v>0</v>
      </c>
    </row>
    <row r="91" spans="3:10">
      <c r="D91" s="482" t="s">
        <v>400</v>
      </c>
      <c r="E91" s="170">
        <f>D64</f>
        <v>37131070.152148001</v>
      </c>
    </row>
    <row r="92" spans="3:10">
      <c r="D92" s="482" t="s">
        <v>401</v>
      </c>
      <c r="E92" s="170">
        <v>37131072.552147999</v>
      </c>
    </row>
    <row r="93" spans="3:10">
      <c r="D93" s="482" t="s">
        <v>701</v>
      </c>
      <c r="E93" s="170">
        <f>E92-E91</f>
        <v>2.3999999985098839</v>
      </c>
    </row>
    <row r="94" spans="3:10">
      <c r="D94" s="482" t="s">
        <v>702</v>
      </c>
      <c r="E94" s="395">
        <f>E93/D6</f>
        <v>4.8192771054415343E-3</v>
      </c>
    </row>
    <row r="95" spans="3:10">
      <c r="E95" s="395"/>
    </row>
  </sheetData>
  <protectedRanges>
    <protectedRange sqref="F19:G19 D66:E66 D10:E11" name="Presupuestos"/>
    <protectedRange sqref="D8:E8 D23:E23" name="Presupuestos_1"/>
    <protectedRange sqref="D30:E31" name="Presupuestos_13_1"/>
    <protectedRange sqref="D33:E33" name="Presupuestos_14"/>
    <protectedRange sqref="D49:E49 D40:E46 E47:E48 D51:E53 E50" name="Presupuestos_2_1_1_1"/>
    <protectedRange sqref="E58 E34 E60:E61 E55:E56" name="Presupuestos_6_1_1_1"/>
    <protectedRange sqref="D47:D48 D50" name="Presupuestos_5_2_1"/>
    <protectedRange sqref="D38:E38" name="Presupuestos_7_1"/>
    <protectedRange sqref="D58 D34 D60:D61 D55:D56" name="Presupuestos_5_3"/>
    <protectedRange sqref="D36:E36" name="Presupuestos_13_1_1"/>
  </protectedRanges>
  <autoFilter ref="A23:S61" xr:uid="{4CC82A70-2241-44C3-BAA4-2C9CABC27881}"/>
  <mergeCells count="8">
    <mergeCell ref="C81:D81"/>
    <mergeCell ref="C82:D82"/>
    <mergeCell ref="D7:E7"/>
    <mergeCell ref="B22:C22"/>
    <mergeCell ref="D22:E22"/>
    <mergeCell ref="C76:D76"/>
    <mergeCell ref="C79:D79"/>
    <mergeCell ref="C80:D80"/>
  </mergeCells>
  <dataValidations count="4">
    <dataValidation type="list" allowBlank="1" showInputMessage="1" showErrorMessage="1" sqref="D22 D7" xr:uid="{775C6762-CE98-472E-A7C1-72BB127AD5EA}">
      <formula1>"ENERO,FEBRERO,MARZO,ABRIL,MAYO,JUNIO,JULIO,AGOSTO,SEPTIEMBRE,OCTUBRE,NOVIEMBRE,DICIEMBRE"</formula1>
    </dataValidation>
    <dataValidation type="list" allowBlank="1" showInputMessage="1" showErrorMessage="1" sqref="G67:G68 G27:G28 D85:D86 G24:G25 G36 G40:G53 G38 G30:G31 G60:G61 G33:G34 G55:G56 G58" xr:uid="{AE9ECBA2-0BE9-4D3E-BE08-9A2AC86D4FFF}">
      <formula1>"Cancelado,Pagar,Sin Pagar"</formula1>
    </dataValidation>
    <dataValidation type="list" allowBlank="1" showInputMessage="1" showErrorMessage="1" sqref="O35" xr:uid="{C65F1D80-B649-41AF-96B1-914C46C66C34}">
      <formula1>"0,1"</formula1>
    </dataValidation>
    <dataValidation type="list" allowBlank="1" showInputMessage="1" showErrorMessage="1" sqref="B13:B18" xr:uid="{530B1511-3D6A-42CA-B9CF-82195D4358A4}">
      <formula1>"Sin Pagar,Pagado"</formula1>
    </dataValidation>
  </dataValidations>
  <pageMargins left="0.7" right="0.7" top="0.75" bottom="0.75" header="0.3" footer="0.3"/>
  <ignoredErrors>
    <ignoredError sqref="J25:J47 J57:J61 J54 J48:J53 J56" unlockedFormula="1"/>
    <ignoredError sqref="D36" formula="1"/>
    <ignoredError sqref="M49:N50" formulaRange="1"/>
  </ignoredErrors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762C-51AD-4DC7-B214-EE56F1981B34}">
  <dimension ref="A1:S99"/>
  <sheetViews>
    <sheetView showGridLines="0" topLeftCell="A85" zoomScaleNormal="100" workbookViewId="0">
      <selection activeCell="D104" sqref="D104"/>
    </sheetView>
  </sheetViews>
  <sheetFormatPr baseColWidth="10" defaultColWidth="9.109375" defaultRowHeight="14.4" outlineLevelRow="1"/>
  <cols>
    <col min="1" max="1" width="2.109375" style="480" customWidth="1"/>
    <col min="2" max="2" width="18.88671875" style="481" bestFit="1" customWidth="1"/>
    <col min="3" max="3" width="59.88671875" style="480" customWidth="1"/>
    <col min="4" max="4" width="24.44140625" style="482" customWidth="1"/>
    <col min="5" max="5" width="19.33203125" style="482" bestFit="1" customWidth="1"/>
    <col min="6" max="6" width="23.5546875" style="480" customWidth="1"/>
    <col min="7" max="7" width="18.88671875" style="480" customWidth="1"/>
    <col min="8" max="8" width="7.6640625" style="480" hidden="1" customWidth="1"/>
    <col min="9" max="9" width="12.109375" style="480" hidden="1" customWidth="1"/>
    <col min="10" max="10" width="25.33203125" style="480" customWidth="1"/>
    <col min="11" max="11" width="2.109375" style="480" customWidth="1"/>
    <col min="12" max="12" width="2.33203125" style="480" customWidth="1"/>
    <col min="13" max="13" width="17.109375" style="480" bestFit="1" customWidth="1"/>
    <col min="14" max="14" width="15.5546875" style="480" bestFit="1" customWidth="1"/>
    <col min="15" max="15" width="6.33203125" style="480" bestFit="1" customWidth="1"/>
    <col min="16" max="16" width="19.33203125" style="480" bestFit="1" customWidth="1"/>
    <col min="17" max="17" width="15.33203125" style="480" bestFit="1" customWidth="1"/>
    <col min="18" max="18" width="14" style="480" bestFit="1" customWidth="1"/>
    <col min="19" max="19" width="13" style="480" bestFit="1" customWidth="1"/>
    <col min="20" max="16384" width="9.109375" style="480"/>
  </cols>
  <sheetData>
    <row r="1" spans="2:9" hidden="1">
      <c r="D1" s="482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45962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490</v>
      </c>
      <c r="E6" s="89"/>
      <c r="I6" s="90"/>
    </row>
    <row r="7" spans="2:9" ht="15.6">
      <c r="C7" s="94"/>
      <c r="D7" s="590" t="s">
        <v>554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SUBTOTAL(9,D10:D12)</f>
        <v>44562986.140312463</v>
      </c>
      <c r="E9" s="98">
        <f>SUBTOTAL(9,E10:E12)</f>
        <v>90944.86967410706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'!$G$474+2639251.76449344</f>
        <v>25982050.390163425</v>
      </c>
      <c r="E10" s="218">
        <f>$D$10/$D$6</f>
        <v>53024.592632986583</v>
      </c>
      <c r="F10" s="103"/>
    </row>
    <row r="11" spans="2:9" s="90" customFormat="1" outlineLevel="1">
      <c r="B11" s="100"/>
      <c r="C11" s="101" t="s">
        <v>221</v>
      </c>
      <c r="D11" s="169">
        <f>$E$11*$D$6</f>
        <v>12727885.750149034</v>
      </c>
      <c r="E11" s="218">
        <f>'BAC SAN JOSE USD'!$G$421</f>
        <v>25975.277041120476</v>
      </c>
      <c r="F11" s="103"/>
    </row>
    <row r="12" spans="2:9" s="90" customFormat="1" outlineLevel="1">
      <c r="B12" s="100"/>
      <c r="C12" s="101" t="s">
        <v>1281</v>
      </c>
      <c r="D12" s="169">
        <f>$E$12*$D$6</f>
        <v>5853050</v>
      </c>
      <c r="E12" s="218">
        <v>11945</v>
      </c>
      <c r="F12" s="103"/>
    </row>
    <row r="13" spans="2:9" s="90" customFormat="1" ht="15.6">
      <c r="B13" s="100"/>
      <c r="C13" s="104" t="s">
        <v>222</v>
      </c>
      <c r="D13" s="167">
        <f>SUBTOTAL(9,D14:D20)</f>
        <v>71332847.599999994</v>
      </c>
      <c r="E13" s="98">
        <f>SUBTOTAL(9,E14:E20)</f>
        <v>145577.24</v>
      </c>
      <c r="F13" s="105"/>
    </row>
    <row r="14" spans="2:9" s="178" customFormat="1" outlineLevel="1">
      <c r="B14" s="107" t="s">
        <v>231</v>
      </c>
      <c r="C14" s="440" t="s">
        <v>1053</v>
      </c>
      <c r="D14" s="271">
        <f>E14*$D$6</f>
        <v>0</v>
      </c>
      <c r="E14" s="272">
        <f>725.78*0</f>
        <v>0</v>
      </c>
    </row>
    <row r="15" spans="2:9" s="178" customFormat="1" outlineLevel="1">
      <c r="B15" s="328" t="s">
        <v>533</v>
      </c>
      <c r="C15" s="329" t="s">
        <v>1242</v>
      </c>
      <c r="D15" s="410">
        <f t="shared" ref="D15:D20" si="0">E15*490</f>
        <v>4096890</v>
      </c>
      <c r="E15" s="331">
        <v>8361</v>
      </c>
      <c r="F15" s="474"/>
      <c r="G15" s="272"/>
    </row>
    <row r="16" spans="2:9" s="178" customFormat="1" outlineLevel="1">
      <c r="B16" s="328" t="s">
        <v>533</v>
      </c>
      <c r="C16" s="329" t="s">
        <v>1243</v>
      </c>
      <c r="D16" s="410">
        <f t="shared" si="0"/>
        <v>9876562.5</v>
      </c>
      <c r="E16" s="331">
        <v>20156.25</v>
      </c>
      <c r="F16" s="441"/>
      <c r="G16" s="464"/>
    </row>
    <row r="17" spans="1:19" s="178" customFormat="1" outlineLevel="1">
      <c r="B17" s="328" t="s">
        <v>533</v>
      </c>
      <c r="C17" s="329" t="s">
        <v>1244</v>
      </c>
      <c r="D17" s="410">
        <f t="shared" si="0"/>
        <v>1986019</v>
      </c>
      <c r="E17" s="331">
        <v>4053.1</v>
      </c>
    </row>
    <row r="18" spans="1:19" s="178" customFormat="1" outlineLevel="1">
      <c r="B18" s="328" t="s">
        <v>533</v>
      </c>
      <c r="C18" s="329" t="s">
        <v>1245</v>
      </c>
      <c r="D18" s="410">
        <f t="shared" si="0"/>
        <v>53391424.100000001</v>
      </c>
      <c r="E18" s="331">
        <f>108962.09</f>
        <v>108962.09</v>
      </c>
    </row>
    <row r="19" spans="1:19" s="178" customFormat="1" outlineLevel="1">
      <c r="B19" s="328" t="s">
        <v>533</v>
      </c>
      <c r="C19" s="329" t="s">
        <v>1246</v>
      </c>
      <c r="D19" s="410">
        <f t="shared" si="0"/>
        <v>1981952</v>
      </c>
      <c r="E19" s="331">
        <v>4044.8</v>
      </c>
    </row>
    <row r="20" spans="1:19" s="178" customFormat="1" outlineLevel="1">
      <c r="B20" s="107" t="s">
        <v>231</v>
      </c>
      <c r="C20" s="174" t="s">
        <v>1263</v>
      </c>
      <c r="D20" s="169">
        <f t="shared" si="0"/>
        <v>0</v>
      </c>
      <c r="E20" s="272">
        <f>2050*0</f>
        <v>0</v>
      </c>
    </row>
    <row r="21" spans="1:19" s="90" customFormat="1" ht="15.6">
      <c r="B21" s="100"/>
      <c r="C21" s="109" t="s">
        <v>223</v>
      </c>
      <c r="D21" s="168">
        <f>SUBTOTAL(9,D9:D20)</f>
        <v>115895833.74031246</v>
      </c>
      <c r="E21" s="207">
        <f>SUBTOTAL(9,E9:E20)</f>
        <v>236522.10967410705</v>
      </c>
      <c r="F21" s="110"/>
      <c r="G21" s="475">
        <f>G16/E21</f>
        <v>0</v>
      </c>
      <c r="J21" s="108"/>
      <c r="K21" s="111"/>
      <c r="O21" s="112"/>
      <c r="P21" s="113"/>
      <c r="Q21" s="114"/>
    </row>
    <row r="22" spans="1:19" s="90" customFormat="1" ht="15.6">
      <c r="B22" s="100"/>
      <c r="C22" s="115"/>
      <c r="D22" s="116"/>
      <c r="E22" s="116"/>
      <c r="G22" s="117"/>
      <c r="O22" s="113"/>
      <c r="P22" s="113"/>
    </row>
    <row r="23" spans="1:19" s="90" customFormat="1" ht="15.6">
      <c r="B23" s="100"/>
      <c r="D23" s="349"/>
      <c r="N23" s="118"/>
      <c r="O23" s="119"/>
      <c r="P23" s="120"/>
    </row>
    <row r="24" spans="1:19" s="90" customFormat="1" ht="15.6">
      <c r="B24" s="590" t="s">
        <v>224</v>
      </c>
      <c r="C24" s="590"/>
      <c r="D24" s="590" t="s">
        <v>554</v>
      </c>
      <c r="E24" s="590"/>
      <c r="K24" s="120"/>
      <c r="L24" s="120"/>
      <c r="N24" s="118"/>
      <c r="R24" s="108"/>
      <c r="S24" s="108"/>
    </row>
    <row r="25" spans="1:19" s="90" customFormat="1" ht="16.2" thickBot="1">
      <c r="B25" s="121" t="s">
        <v>225</v>
      </c>
      <c r="C25" s="122" t="s">
        <v>226</v>
      </c>
      <c r="D25" s="95" t="s">
        <v>242</v>
      </c>
      <c r="E25" s="95" t="s">
        <v>219</v>
      </c>
      <c r="F25" s="123" t="s">
        <v>227</v>
      </c>
      <c r="G25" s="118" t="s">
        <v>228</v>
      </c>
      <c r="H25" s="118"/>
      <c r="I25" s="118"/>
      <c r="J25" s="124" t="s">
        <v>229</v>
      </c>
      <c r="N25" s="125"/>
      <c r="R25" s="108"/>
      <c r="S25" s="126"/>
    </row>
    <row r="26" spans="1:19" s="90" customFormat="1" ht="16.2" thickBot="1">
      <c r="B26" s="100"/>
      <c r="C26" s="127" t="s">
        <v>230</v>
      </c>
      <c r="D26" s="172">
        <f>SUBTOTAL(9,D27:D27)</f>
        <v>14908695</v>
      </c>
      <c r="E26" s="128">
        <f>SUBTOTAL(9,E27:E27)</f>
        <v>30425.908163265307</v>
      </c>
      <c r="F26" s="129"/>
      <c r="J26" s="130"/>
    </row>
    <row r="27" spans="1:19" s="90" customFormat="1" ht="15" outlineLevel="1" thickBot="1">
      <c r="A27" s="103"/>
      <c r="B27" s="373" t="s">
        <v>1234</v>
      </c>
      <c r="C27" s="174" t="s">
        <v>586</v>
      </c>
      <c r="D27" s="271">
        <f>14908695</f>
        <v>14908695</v>
      </c>
      <c r="E27" s="142">
        <f>D27/$D$6</f>
        <v>30425.908163265307</v>
      </c>
      <c r="F27" s="134">
        <v>45975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CR'!$A$3:$A$29)</f>
        <v>10</v>
      </c>
      <c r="J27" s="132">
        <f t="shared" ref="J27:J32" si="1">H27</f>
        <v>0</v>
      </c>
      <c r="K27" s="108"/>
      <c r="L27" s="108"/>
      <c r="M27" s="349"/>
      <c r="N27" s="349"/>
    </row>
    <row r="28" spans="1:19" s="90" customFormat="1" ht="16.2" thickBot="1">
      <c r="B28" s="100"/>
      <c r="C28" s="127" t="s">
        <v>232</v>
      </c>
      <c r="D28" s="172">
        <f>SUBTOTAL(9,D29:D30)</f>
        <v>4637552</v>
      </c>
      <c r="E28" s="128">
        <f>SUBTOTAL(9,E29:E30)</f>
        <v>9305.037755102041</v>
      </c>
      <c r="J28" s="130">
        <f t="shared" si="1"/>
        <v>0</v>
      </c>
    </row>
    <row r="29" spans="1:19" s="90" customFormat="1" outlineLevel="1">
      <c r="B29" s="486" t="s">
        <v>1236</v>
      </c>
      <c r="C29" s="101" t="s">
        <v>292</v>
      </c>
      <c r="D29" s="169">
        <v>4498831</v>
      </c>
      <c r="E29" s="137">
        <f>D29/$D$6</f>
        <v>9181.287755102041</v>
      </c>
      <c r="F29" s="134">
        <v>45978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CR'!$A$3:$A$29)</f>
        <v>11</v>
      </c>
      <c r="J29" s="132">
        <f t="shared" si="1"/>
        <v>0</v>
      </c>
      <c r="K29" s="135"/>
      <c r="L29" s="111"/>
      <c r="M29" s="349"/>
      <c r="N29" s="349"/>
    </row>
    <row r="30" spans="1:19" s="90" customFormat="1" ht="29.4" outlineLevel="1" thickBot="1">
      <c r="B30" s="373" t="s">
        <v>1237</v>
      </c>
      <c r="C30" s="101" t="s">
        <v>1224</v>
      </c>
      <c r="D30" s="169">
        <v>138721</v>
      </c>
      <c r="E30" s="137">
        <v>123.75</v>
      </c>
      <c r="F30" s="134">
        <v>45978</v>
      </c>
      <c r="G30" s="90" t="s">
        <v>235</v>
      </c>
      <c r="H30" s="90">
        <f>IF(OR(G30="Sin pagar",G30="Pagar"),_xlfn.SINGLE(NETWORKDAYS($E$4,F30,'Festivos CR'!$A$3:$A$29)),0)</f>
        <v>0</v>
      </c>
      <c r="I30" s="90">
        <f>NETWORKDAYS($E$4,F30,'Festivos CR'!$A$3:$A$29)</f>
        <v>11</v>
      </c>
      <c r="J30" s="132">
        <f t="shared" si="1"/>
        <v>0</v>
      </c>
      <c r="K30" s="135"/>
      <c r="L30" s="111"/>
      <c r="M30" s="349"/>
    </row>
    <row r="31" spans="1:19" s="90" customFormat="1" ht="16.2" thickBot="1">
      <c r="B31" s="451"/>
      <c r="C31" s="127" t="s">
        <v>233</v>
      </c>
      <c r="D31" s="172">
        <f>SUBTOTAL(9,D32:D32)</f>
        <v>110740</v>
      </c>
      <c r="E31" s="128">
        <f>SUBTOTAL(9,E32:E32)</f>
        <v>226</v>
      </c>
      <c r="J31" s="130">
        <f t="shared" si="1"/>
        <v>0</v>
      </c>
      <c r="K31" s="108"/>
      <c r="L31" s="108"/>
      <c r="N31" s="349"/>
    </row>
    <row r="32" spans="1:19" s="90" customFormat="1" ht="15" outlineLevel="1" thickBot="1">
      <c r="B32" s="100">
        <v>39</v>
      </c>
      <c r="C32" s="101" t="s">
        <v>1240</v>
      </c>
      <c r="D32" s="169">
        <f>E32*$D$6</f>
        <v>110740</v>
      </c>
      <c r="E32" s="137">
        <v>226</v>
      </c>
      <c r="F32" s="134">
        <v>45979</v>
      </c>
      <c r="G32" s="90" t="s">
        <v>235</v>
      </c>
      <c r="H32" s="90">
        <f>IF(OR(G32="Sin pagar",G32="Pagar"),_xlfn.SINGLE(NETWORKDAYS($E$4,F32,'Festivos CR'!$A$3:$A$29)),0)</f>
        <v>0</v>
      </c>
      <c r="I32" s="90">
        <f>NETWORKDAYS($E$4,F32,'Festivos CR'!$A$3:$A$29)</f>
        <v>12</v>
      </c>
      <c r="J32" s="132">
        <f t="shared" si="1"/>
        <v>0</v>
      </c>
      <c r="M32" s="369"/>
      <c r="N32" s="103"/>
    </row>
    <row r="33" spans="1:16" s="90" customFormat="1" ht="16.2" thickBot="1">
      <c r="B33" s="451"/>
      <c r="C33" s="127" t="s">
        <v>250</v>
      </c>
      <c r="D33" s="172">
        <f>SUBTOTAL(9,D34:D35)</f>
        <v>500</v>
      </c>
      <c r="E33" s="128">
        <f>SUBTOTAL(9,E34:E35)</f>
        <v>1.0204081632653061</v>
      </c>
      <c r="K33" s="103"/>
      <c r="L33" s="103"/>
      <c r="O33" s="103"/>
      <c r="P33" s="103"/>
    </row>
    <row r="34" spans="1:16" s="90" customFormat="1" ht="14.25" customHeight="1" outlineLevel="1">
      <c r="B34" s="466" t="s">
        <v>590</v>
      </c>
      <c r="C34" s="101" t="s">
        <v>251</v>
      </c>
      <c r="D34" s="169">
        <f>77000*11*0</f>
        <v>0</v>
      </c>
      <c r="E34" s="137">
        <f>D34/$D$6</f>
        <v>0</v>
      </c>
      <c r="F34" s="129">
        <v>45991</v>
      </c>
      <c r="G34" s="90" t="s">
        <v>235</v>
      </c>
      <c r="H34" s="90">
        <f>IF(OR(G34="Sin pagar",G34="Pagar"),_xlfn.SINGLE(NETWORKDAYS($E$4,F34,'Festivos CR'!$A$3:$A$29)),0)</f>
        <v>0</v>
      </c>
      <c r="I34" s="90">
        <f>NETWORKDAYS($E$4,F34,'Festivos CR'!$A$3:$A$29)</f>
        <v>20</v>
      </c>
      <c r="J34" s="132">
        <f>H34</f>
        <v>0</v>
      </c>
      <c r="K34" s="103"/>
      <c r="L34" s="103"/>
      <c r="M34" s="369"/>
      <c r="O34" s="103"/>
      <c r="P34" s="103"/>
    </row>
    <row r="35" spans="1:16" s="90" customFormat="1" ht="15" outlineLevel="1" thickBot="1">
      <c r="A35" s="180"/>
      <c r="B35" s="451"/>
      <c r="C35" s="101" t="s">
        <v>925</v>
      </c>
      <c r="D35" s="170">
        <v>500</v>
      </c>
      <c r="E35" s="142">
        <f>D35/$D$6</f>
        <v>1.0204081632653061</v>
      </c>
      <c r="F35" s="129">
        <v>45992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CR'!$A$3:$A$29)</f>
        <v>20</v>
      </c>
      <c r="J35" s="132">
        <f>H35</f>
        <v>0</v>
      </c>
      <c r="L35" s="108"/>
      <c r="M35" s="392"/>
    </row>
    <row r="36" spans="1:16" s="90" customFormat="1" ht="16.2" thickBot="1">
      <c r="B36" s="451"/>
      <c r="C36" s="139" t="s">
        <v>234</v>
      </c>
      <c r="D36" s="173">
        <f>SUBTOTAL(9,D37:D38)</f>
        <v>4491209.4000000004</v>
      </c>
      <c r="E36" s="140">
        <f>SUBTOTAL(9,E37:E38)</f>
        <v>8982.0600000000013</v>
      </c>
      <c r="K36" s="108"/>
    </row>
    <row r="37" spans="1:16" s="90" customFormat="1" outlineLevel="1">
      <c r="B37" s="176" t="s">
        <v>990</v>
      </c>
      <c r="C37" s="174" t="s">
        <v>1225</v>
      </c>
      <c r="D37" s="169">
        <f>E37*$D$6</f>
        <v>2196209.4000000004</v>
      </c>
      <c r="E37" s="137">
        <v>4482.0600000000004</v>
      </c>
      <c r="F37" s="134">
        <v>45972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CR'!$A$3:$A$29)</f>
        <v>7</v>
      </c>
      <c r="J37" s="132">
        <f>H37</f>
        <v>0</v>
      </c>
      <c r="M37" s="297"/>
      <c r="N37" s="298"/>
    </row>
    <row r="38" spans="1:16" s="90" customFormat="1" ht="15" outlineLevel="1" thickBot="1">
      <c r="B38" s="176"/>
      <c r="C38" s="174" t="s">
        <v>1226</v>
      </c>
      <c r="D38" s="169">
        <v>2295000</v>
      </c>
      <c r="E38" s="137">
        <f>D38/510</f>
        <v>4500</v>
      </c>
      <c r="F38" s="134">
        <v>45972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7</v>
      </c>
      <c r="J38" s="132">
        <f>H38</f>
        <v>0</v>
      </c>
      <c r="M38" s="297"/>
      <c r="N38" s="298"/>
    </row>
    <row r="39" spans="1:16" s="90" customFormat="1" ht="15.75" customHeight="1" thickBot="1">
      <c r="B39" s="451"/>
      <c r="C39" s="127" t="s">
        <v>236</v>
      </c>
      <c r="D39" s="172">
        <f>SUBTOTAL(9,D40:D41)</f>
        <v>95192.700000000012</v>
      </c>
      <c r="E39" s="128">
        <f>SUBTOTAL(9,E40:E41)</f>
        <v>194.27081632653062</v>
      </c>
      <c r="M39" s="299"/>
      <c r="N39" s="299"/>
      <c r="O39" s="118"/>
      <c r="P39" s="300"/>
    </row>
    <row r="40" spans="1:16" s="90" customFormat="1" outlineLevel="1">
      <c r="B40" s="451"/>
      <c r="C40" s="174" t="s">
        <v>1230</v>
      </c>
      <c r="D40" s="271">
        <f>E40*D6</f>
        <v>14700</v>
      </c>
      <c r="E40" s="142">
        <v>30</v>
      </c>
      <c r="F40" s="134">
        <v>45972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7</v>
      </c>
      <c r="J40" s="132">
        <f>H40</f>
        <v>0</v>
      </c>
    </row>
    <row r="41" spans="1:16" s="90" customFormat="1" ht="15" outlineLevel="1" thickBot="1">
      <c r="B41" s="451"/>
      <c r="C41" s="174" t="s">
        <v>236</v>
      </c>
      <c r="D41" s="271">
        <f>E41*D6</f>
        <v>80492.700000000012</v>
      </c>
      <c r="E41" s="142">
        <f>('BAC SAN JOSE USD'!$F$424+'BAC SAN JOSE USD'!$F$427+'BAC SAN JOSE USD'!$F$429+'BAC SAN JOSE USD'!$F$433+'BAC SAN JOSE USD'!$F$435+'BAC SAN JOSE USD'!$F$445+'BAC SAN JOSE USD'!$F$447+'BAC SAN JOSE USD'!$F$449+'BAC SAN JOSE USD'!$F$455)+(('BAC SAN JOSE COLONES  '!$F$506+'BAC SAN JOSE COLONES  '!$F$508)/$D$6)</f>
        <v>164.27081632653062</v>
      </c>
      <c r="F41" s="134">
        <v>45991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20</v>
      </c>
      <c r="J41" s="132">
        <f>H41</f>
        <v>0</v>
      </c>
    </row>
    <row r="42" spans="1:16" s="90" customFormat="1" ht="16.2" thickBot="1">
      <c r="B42" s="451"/>
      <c r="C42" s="127" t="s">
        <v>237</v>
      </c>
      <c r="D42" s="172">
        <f>SUBTOTAL(9,D43:D55)</f>
        <v>30179534.679999996</v>
      </c>
      <c r="E42" s="128">
        <f>SUBTOTAL(9,E43:E55)</f>
        <v>60118.594980079666</v>
      </c>
      <c r="K42" s="108"/>
      <c r="L42" s="143"/>
    </row>
    <row r="43" spans="1:16" s="180" customFormat="1" outlineLevel="1">
      <c r="B43" s="265" t="s">
        <v>270</v>
      </c>
      <c r="C43" s="174" t="s">
        <v>1037</v>
      </c>
      <c r="D43" s="347">
        <f>E43*CONVERSIONES!$C$396</f>
        <v>3567658.78</v>
      </c>
      <c r="E43" s="487">
        <v>7106.8899999999994</v>
      </c>
      <c r="F43" s="129">
        <v>45989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20</v>
      </c>
      <c r="J43" s="132">
        <f>H43</f>
        <v>0</v>
      </c>
      <c r="M43" s="487">
        <v>9810.64</v>
      </c>
      <c r="O43" s="179"/>
      <c r="P43" s="479">
        <f t="shared" ref="P43:P49" si="2">M43-E43</f>
        <v>2703.75</v>
      </c>
    </row>
    <row r="44" spans="1:16" s="180" customFormat="1" outlineLevel="1">
      <c r="B44" s="265" t="s">
        <v>270</v>
      </c>
      <c r="C44" s="174" t="s">
        <v>257</v>
      </c>
      <c r="D44" s="347">
        <f>E44*CONVERSIONES!$C$396</f>
        <v>3349444.399999999</v>
      </c>
      <c r="E44" s="487">
        <v>6672.199999999998</v>
      </c>
      <c r="F44" s="129">
        <v>45989</v>
      </c>
      <c r="G44" s="90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CR'!$A$3:$A$29)</f>
        <v>20</v>
      </c>
      <c r="J44" s="132">
        <f>H44</f>
        <v>0</v>
      </c>
      <c r="M44" s="487">
        <v>16417.87</v>
      </c>
      <c r="O44" s="179"/>
      <c r="P44" s="479">
        <f t="shared" si="2"/>
        <v>9745.6700000000019</v>
      </c>
    </row>
    <row r="45" spans="1:16" s="180" customFormat="1" outlineLevel="1">
      <c r="B45" s="265" t="s">
        <v>270</v>
      </c>
      <c r="C45" s="174" t="s">
        <v>747</v>
      </c>
      <c r="D45" s="347">
        <f>E45*CONVERSIONES!$C$396</f>
        <v>2540953.3199999998</v>
      </c>
      <c r="E45" s="487">
        <v>5061.66</v>
      </c>
      <c r="F45" s="129">
        <v>45989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CR'!$A$3:$A$29)</f>
        <v>20</v>
      </c>
      <c r="J45" s="132">
        <f>H45</f>
        <v>0</v>
      </c>
      <c r="M45" s="487">
        <v>10019.99</v>
      </c>
      <c r="O45" s="179"/>
      <c r="P45" s="479">
        <f t="shared" si="2"/>
        <v>4958.33</v>
      </c>
    </row>
    <row r="46" spans="1:16" s="180" customFormat="1" outlineLevel="1">
      <c r="B46" s="265" t="s">
        <v>270</v>
      </c>
      <c r="C46" s="174" t="s">
        <v>1036</v>
      </c>
      <c r="D46" s="347">
        <f>E46*CONVERSIONES!$C$396</f>
        <v>2377376.6199999996</v>
      </c>
      <c r="E46" s="487">
        <v>4735.8099999999995</v>
      </c>
      <c r="F46" s="129">
        <v>45988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CR'!$A$3:$A$29)</f>
        <v>19</v>
      </c>
      <c r="M46" s="487">
        <v>6578.31</v>
      </c>
      <c r="O46" s="179"/>
      <c r="P46" s="479">
        <f t="shared" si="2"/>
        <v>1842.5000000000009</v>
      </c>
    </row>
    <row r="47" spans="1:16" s="180" customFormat="1" outlineLevel="1">
      <c r="B47" s="265" t="s">
        <v>270</v>
      </c>
      <c r="C47" s="174" t="s">
        <v>258</v>
      </c>
      <c r="D47" s="347">
        <f>E47*CONVERSIONES!$C$396</f>
        <v>1716543.8199999994</v>
      </c>
      <c r="E47" s="487">
        <v>3419.4099999999989</v>
      </c>
      <c r="F47" s="129">
        <v>45989</v>
      </c>
      <c r="G47" s="90" t="s">
        <v>235</v>
      </c>
      <c r="H47" s="90">
        <f>IF(OR(G47="Sin pagar",G47="Pagar"),_xlfn.SINGLE(NETWORKDAYS($E$4,F47,'Festivos CR'!$A$3:$A$29)),0)</f>
        <v>0</v>
      </c>
      <c r="I47" s="90">
        <f>NETWORKDAYS($E$4,F47,'Festivos CR'!$A$3:$A$29)</f>
        <v>20</v>
      </c>
      <c r="J47" s="132">
        <f>H47</f>
        <v>0</v>
      </c>
      <c r="M47" s="487">
        <v>7586.22</v>
      </c>
      <c r="O47" s="179"/>
      <c r="P47" s="479">
        <f t="shared" si="2"/>
        <v>4166.8100000000013</v>
      </c>
    </row>
    <row r="48" spans="1:16" s="180" customFormat="1" outlineLevel="1">
      <c r="B48" s="265" t="s">
        <v>270</v>
      </c>
      <c r="C48" s="174" t="s">
        <v>1038</v>
      </c>
      <c r="D48" s="347">
        <f>E48*CONVERSIONES!$C$396</f>
        <v>1181773.26</v>
      </c>
      <c r="E48" s="487">
        <v>2354.13</v>
      </c>
      <c r="F48" s="129">
        <v>45988</v>
      </c>
      <c r="G48" s="90" t="s">
        <v>235</v>
      </c>
      <c r="H48" s="90">
        <f>IF(OR(G48="Sin pagar",G48="Pagar"),_xlfn.SINGLE(NETWORKDAYS($E$4,F48,'Festivos CR'!$A$3:$A$29)),0)</f>
        <v>0</v>
      </c>
      <c r="I48" s="90">
        <f>NETWORKDAYS($E$4,F48,'Festivos CR'!$A$3:$A$29)</f>
        <v>19</v>
      </c>
      <c r="M48" s="487">
        <v>2963.67</v>
      </c>
      <c r="O48" s="179"/>
      <c r="P48" s="479">
        <f t="shared" si="2"/>
        <v>609.54</v>
      </c>
    </row>
    <row r="49" spans="1:19" s="180" customFormat="1" outlineLevel="1">
      <c r="B49" s="265" t="s">
        <v>270</v>
      </c>
      <c r="C49" s="174" t="s">
        <v>1153</v>
      </c>
      <c r="D49" s="347">
        <f>E49*CONVERSIONES!$C$396</f>
        <v>4112037.6199999987</v>
      </c>
      <c r="E49" s="487">
        <v>8191.3099999999977</v>
      </c>
      <c r="F49" s="129">
        <v>45989</v>
      </c>
      <c r="G49" s="90" t="s">
        <v>235</v>
      </c>
      <c r="H49" s="90">
        <f>IF(OR(G49="Sin pagar",G49="Pagar"),_xlfn.SINGLE(NETWORKDAYS($E$4,F49,'Festivos CR'!$A$3:$A$29)),0)</f>
        <v>0</v>
      </c>
      <c r="I49" s="90">
        <f>NETWORKDAYS($E$4,F49,'Festivos CR'!$A$3:$A$29)</f>
        <v>20</v>
      </c>
      <c r="J49" s="132">
        <f>H49</f>
        <v>0</v>
      </c>
      <c r="M49" s="487">
        <v>12338.69</v>
      </c>
      <c r="O49" s="179"/>
      <c r="P49" s="479">
        <f t="shared" si="2"/>
        <v>4147.3800000000028</v>
      </c>
    </row>
    <row r="50" spans="1:19" s="180" customFormat="1" outlineLevel="1">
      <c r="B50" s="145" t="s">
        <v>391</v>
      </c>
      <c r="C50" s="174" t="s">
        <v>253</v>
      </c>
      <c r="D50" s="488">
        <v>1409287.55</v>
      </c>
      <c r="E50" s="137">
        <f>D50/CONVERSIONES!$C$396</f>
        <v>2807.345717131474</v>
      </c>
      <c r="F50" s="129">
        <v>45988</v>
      </c>
      <c r="G50" s="90" t="s">
        <v>235</v>
      </c>
      <c r="H50" s="90">
        <f>IF(OR(G50="Sin pagar",G50="Pagar"),_xlfn.SINGLE(NETWORKDAYS($E$4,F50,'Festivos CR'!$A$3:$A$29)),0)</f>
        <v>0</v>
      </c>
      <c r="I50" s="90">
        <f>NETWORKDAYS($E$4,F50,'Festivos CR'!$A$3:$A$29)</f>
        <v>19</v>
      </c>
      <c r="J50" s="132">
        <f>H50</f>
        <v>0</v>
      </c>
      <c r="M50" s="488">
        <v>3090287.55</v>
      </c>
      <c r="O50" s="179"/>
      <c r="P50" s="387">
        <f t="shared" ref="P50:P55" si="3">M50-D50</f>
        <v>1680999.9999999998</v>
      </c>
      <c r="Q50" s="479">
        <f t="shared" ref="Q50:Q55" si="4">P50/498</f>
        <v>3375.5020080321278</v>
      </c>
    </row>
    <row r="51" spans="1:19" s="180" customFormat="1" outlineLevel="1">
      <c r="B51" s="145" t="s">
        <v>391</v>
      </c>
      <c r="C51" s="174" t="s">
        <v>1152</v>
      </c>
      <c r="D51" s="488">
        <v>2039964.8099999998</v>
      </c>
      <c r="E51" s="137">
        <f>D51/CONVERSIONES!$C$396</f>
        <v>4063.6749203187246</v>
      </c>
      <c r="F51" s="129">
        <v>45988</v>
      </c>
      <c r="G51" s="90" t="s">
        <v>235</v>
      </c>
      <c r="H51" s="90">
        <f>IF(OR(G51="Sin pagar",G51="Pagar"),_xlfn.SINGLE(NETWORKDAYS($E$4,F51,'Festivos CR'!$A$3:$A$29)),0)</f>
        <v>0</v>
      </c>
      <c r="I51" s="90">
        <f>NETWORKDAYS($E$4,F51,'Festivos CR'!$A$3:$A$29)</f>
        <v>19</v>
      </c>
      <c r="J51" s="132">
        <f>H51</f>
        <v>0</v>
      </c>
      <c r="M51" s="488">
        <v>3098618.12</v>
      </c>
      <c r="O51" s="179"/>
      <c r="P51" s="387">
        <f t="shared" si="3"/>
        <v>1058653.3100000003</v>
      </c>
      <c r="Q51" s="479">
        <f t="shared" si="4"/>
        <v>2125.8098594377516</v>
      </c>
    </row>
    <row r="52" spans="1:19" s="180" customFormat="1" outlineLevel="1">
      <c r="B52" s="145" t="s">
        <v>391</v>
      </c>
      <c r="C52" s="174" t="s">
        <v>255</v>
      </c>
      <c r="D52" s="488">
        <v>1409287.55</v>
      </c>
      <c r="E52" s="137">
        <f>D52/CONVERSIONES!$C$396</f>
        <v>2807.345717131474</v>
      </c>
      <c r="F52" s="129">
        <v>45988</v>
      </c>
      <c r="G52" s="90" t="s">
        <v>235</v>
      </c>
      <c r="H52" s="90">
        <f>IF(OR(G52="Sin pagar",G52="Pagar"),_xlfn.SINGLE(NETWORKDAYS($E$4,F52,'Festivos CR'!$A$3:$A$29)),0)</f>
        <v>0</v>
      </c>
      <c r="I52" s="90">
        <f>NETWORKDAYS($E$4,F52,'Festivos CR'!$A$3:$A$29)</f>
        <v>19</v>
      </c>
      <c r="J52" s="132">
        <f>H52</f>
        <v>0</v>
      </c>
      <c r="M52" s="488">
        <v>3090287.55</v>
      </c>
      <c r="O52" s="179"/>
      <c r="P52" s="387">
        <f t="shared" si="3"/>
        <v>1680999.9999999998</v>
      </c>
      <c r="Q52" s="479">
        <f t="shared" si="4"/>
        <v>3375.5020080321278</v>
      </c>
    </row>
    <row r="53" spans="1:19" s="180" customFormat="1" outlineLevel="1">
      <c r="B53" s="145" t="s">
        <v>391</v>
      </c>
      <c r="C53" s="174" t="s">
        <v>330</v>
      </c>
      <c r="D53" s="488">
        <v>786551.54</v>
      </c>
      <c r="E53" s="137">
        <f>D53/CONVERSIONES!$C$396</f>
        <v>1566.8357370517929</v>
      </c>
      <c r="F53" s="129">
        <v>45988</v>
      </c>
      <c r="G53" s="90" t="s">
        <v>235</v>
      </c>
      <c r="H53" s="90">
        <f>IF(OR(G53="Sin pagar",G53="Pagar"),_xlfn.SINGLE(NETWORKDAYS($E$4,F53,'Festivos CR'!$A$3:$A$29)),0)</f>
        <v>0</v>
      </c>
      <c r="I53" s="90">
        <f>NETWORKDAYS($E$4,F53,'Festivos CR'!$A$3:$A$29)</f>
        <v>19</v>
      </c>
      <c r="J53" s="132">
        <f>H53</f>
        <v>0</v>
      </c>
      <c r="M53" s="488">
        <v>1667052.54</v>
      </c>
      <c r="O53" s="179"/>
      <c r="P53" s="387">
        <f t="shared" si="3"/>
        <v>880501</v>
      </c>
      <c r="Q53" s="479">
        <f t="shared" si="4"/>
        <v>1768.0742971887551</v>
      </c>
    </row>
    <row r="54" spans="1:19" s="180" customFormat="1" outlineLevel="1">
      <c r="B54" s="145" t="s">
        <v>391</v>
      </c>
      <c r="C54" s="174" t="s">
        <v>759</v>
      </c>
      <c r="D54" s="488">
        <v>4803155.3099999996</v>
      </c>
      <c r="E54" s="137">
        <f>D54/CONVERSIONES!$C$396</f>
        <v>9568.0384661354565</v>
      </c>
      <c r="F54" s="129">
        <v>45988</v>
      </c>
      <c r="G54" s="90" t="s">
        <v>235</v>
      </c>
      <c r="H54" s="90">
        <f>IF(OR(G54="Sin pagar",G54="Pagar"),_xlfn.SINGLE(NETWORKDAYS($E$4,F54,'Festivos CR'!$A$3:$A$29)),0)</f>
        <v>0</v>
      </c>
      <c r="I54" s="90">
        <f>NETWORKDAYS($E$4,F54,'Festivos CR'!$A$3:$A$29)</f>
        <v>19</v>
      </c>
      <c r="M54" s="488">
        <v>9634687.2200000007</v>
      </c>
      <c r="O54" s="179"/>
      <c r="P54" s="387">
        <f t="shared" si="3"/>
        <v>4831531.9100000011</v>
      </c>
      <c r="Q54" s="479">
        <f t="shared" si="4"/>
        <v>9701.8713052208859</v>
      </c>
    </row>
    <row r="55" spans="1:19" s="180" customFormat="1" ht="15" outlineLevel="1" thickBot="1">
      <c r="B55" s="145" t="s">
        <v>391</v>
      </c>
      <c r="C55" s="174" t="s">
        <v>1123</v>
      </c>
      <c r="D55" s="488">
        <v>885500.1</v>
      </c>
      <c r="E55" s="137">
        <f>D55/CONVERSIONES!$C$396</f>
        <v>1763.9444223107569</v>
      </c>
      <c r="F55" s="129">
        <v>45988</v>
      </c>
      <c r="G55" s="90" t="s">
        <v>235</v>
      </c>
      <c r="H55" s="90">
        <f>IF(OR(G55="Sin pagar",G55="Pagar"),_xlfn.SINGLE(NETWORKDAYS($E$4,F55,'Festivos CR'!$A$3:$A$29)),0)</f>
        <v>0</v>
      </c>
      <c r="I55" s="90">
        <f>NETWORKDAYS($E$4,F55,'Festivos CR'!$A$3:$A$29)</f>
        <v>19</v>
      </c>
      <c r="M55" s="488">
        <v>1135500.1000000001</v>
      </c>
      <c r="O55" s="179"/>
      <c r="P55" s="387">
        <f t="shared" si="3"/>
        <v>250000.00000000012</v>
      </c>
      <c r="Q55" s="479">
        <f t="shared" si="4"/>
        <v>502.00803212851429</v>
      </c>
      <c r="S55" s="489">
        <f>SUM(Q50:Q55,P43:P49)</f>
        <v>49022.747510040172</v>
      </c>
    </row>
    <row r="56" spans="1:19" s="90" customFormat="1" ht="16.2" thickBot="1">
      <c r="A56" s="180"/>
      <c r="B56" s="451"/>
      <c r="C56" s="127" t="s">
        <v>1051</v>
      </c>
      <c r="D56" s="172">
        <f>SUBTOTAL(9,D57:D58)</f>
        <v>936478.01</v>
      </c>
      <c r="E56" s="128">
        <f>SUBTOTAL(9,E57:E58)</f>
        <v>1911.179612244898</v>
      </c>
      <c r="L56" s="108"/>
    </row>
    <row r="57" spans="1:19" s="90" customFormat="1" outlineLevel="1">
      <c r="A57" s="180"/>
      <c r="B57" s="265" t="s">
        <v>270</v>
      </c>
      <c r="C57" s="101" t="s">
        <v>1264</v>
      </c>
      <c r="D57" s="347">
        <f>$E$57*$D$6</f>
        <v>82663</v>
      </c>
      <c r="E57" s="487">
        <v>168.7</v>
      </c>
      <c r="F57" s="129">
        <v>45989</v>
      </c>
      <c r="G57" s="90" t="s">
        <v>235</v>
      </c>
      <c r="H57" s="90">
        <f>IF(OR(G57="Sin pagar",G57="Pagar"),_xlfn.SINGLE(NETWORKDAYS($E$4,F57,'Festivos CR'!$A$3:$A$29)),0)</f>
        <v>0</v>
      </c>
      <c r="I57" s="90">
        <f>NETWORKDAYS($E$4,F57,'Festivos CR'!$A$3:$A$29)</f>
        <v>20</v>
      </c>
      <c r="J57" s="132">
        <f>H57</f>
        <v>0</v>
      </c>
      <c r="L57" s="108"/>
      <c r="M57" s="392"/>
      <c r="N57" s="349"/>
      <c r="O57" s="118"/>
    </row>
    <row r="58" spans="1:19" s="90" customFormat="1" ht="15" outlineLevel="1" thickBot="1">
      <c r="A58" s="180"/>
      <c r="B58" s="145" t="s">
        <v>391</v>
      </c>
      <c r="C58" s="101" t="s">
        <v>1265</v>
      </c>
      <c r="D58" s="488">
        <v>853815.01</v>
      </c>
      <c r="E58" s="142">
        <f>D58/D6</f>
        <v>1742.4796122448979</v>
      </c>
      <c r="F58" s="129">
        <v>45988</v>
      </c>
      <c r="G58" s="90" t="s">
        <v>235</v>
      </c>
      <c r="H58" s="90">
        <f>IF(OR(G58="Sin pagar",G58="Pagar"),_xlfn.SINGLE(NETWORKDAYS($E$4,F58,'Festivos CR'!$A$3:$A$29)),0)</f>
        <v>0</v>
      </c>
      <c r="I58" s="90">
        <f>NETWORKDAYS($E$4,F58,'Festivos CR'!$A$3:$A$29)</f>
        <v>19</v>
      </c>
      <c r="J58" s="132">
        <f>H58</f>
        <v>0</v>
      </c>
      <c r="L58" s="108"/>
      <c r="M58" s="392"/>
      <c r="N58" s="349"/>
      <c r="O58" s="118"/>
    </row>
    <row r="59" spans="1:19" s="90" customFormat="1" ht="16.2" thickBot="1">
      <c r="A59" s="180"/>
      <c r="B59" s="451"/>
      <c r="C59" s="127" t="s">
        <v>992</v>
      </c>
      <c r="D59" s="172">
        <f>SUBTOTAL(9,D60:D60)</f>
        <v>1110268.1000000001</v>
      </c>
      <c r="E59" s="128">
        <f>SUBTOTAL(9,E60:E60)</f>
        <v>2265.8532653061225</v>
      </c>
      <c r="L59" s="108"/>
    </row>
    <row r="60" spans="1:19" s="90" customFormat="1" ht="15" outlineLevel="1" thickBot="1">
      <c r="A60" s="180"/>
      <c r="B60" s="146"/>
      <c r="C60" s="101" t="s">
        <v>1261</v>
      </c>
      <c r="D60" s="170">
        <v>1110268.1000000001</v>
      </c>
      <c r="E60" s="142">
        <f>D60/D6</f>
        <v>2265.8532653061225</v>
      </c>
      <c r="F60" s="129">
        <v>45981</v>
      </c>
      <c r="G60" s="90" t="s">
        <v>235</v>
      </c>
      <c r="H60" s="90">
        <f>IF(OR(G60="Sin pagar",G60="Pagar"),_xlfn.SINGLE(NETWORKDAYS($E$4,F60,'Festivos CR'!$A$3:$A$29)),0)</f>
        <v>0</v>
      </c>
      <c r="I60" s="90">
        <f>NETWORKDAYS($E$4,F60,'Festivos CR'!$A$3:$A$29)</f>
        <v>14</v>
      </c>
      <c r="J60" s="132">
        <f>H60</f>
        <v>0</v>
      </c>
      <c r="L60" s="108"/>
      <c r="M60" s="392"/>
      <c r="N60" s="349"/>
      <c r="O60" s="118"/>
    </row>
    <row r="61" spans="1:19" s="90" customFormat="1" ht="16.2" thickBot="1">
      <c r="A61" s="180"/>
      <c r="B61" s="451"/>
      <c r="C61" s="127" t="s">
        <v>238</v>
      </c>
      <c r="D61" s="172">
        <f>SUBTOTAL(9,D62:D64)</f>
        <v>436997</v>
      </c>
      <c r="E61" s="128">
        <f>SUBTOTAL(9,E62:E64)</f>
        <v>891.83061224489791</v>
      </c>
      <c r="L61" s="108"/>
    </row>
    <row r="62" spans="1:19" s="90" customFormat="1" outlineLevel="1">
      <c r="A62" s="180"/>
      <c r="B62" s="473"/>
      <c r="C62" s="101" t="s">
        <v>1259</v>
      </c>
      <c r="D62" s="170">
        <f>E62*D6</f>
        <v>46060</v>
      </c>
      <c r="E62" s="142">
        <v>94</v>
      </c>
      <c r="F62" s="129">
        <v>45981</v>
      </c>
      <c r="G62" s="90" t="s">
        <v>235</v>
      </c>
      <c r="H62" s="90">
        <f>IF(OR(G62="Sin pagar",G62="Pagar"),_xlfn.SINGLE(NETWORKDAYS($E$4,F62,'Festivos CR'!$A$3:$A$29)),0)</f>
        <v>0</v>
      </c>
      <c r="I62" s="90">
        <f>NETWORKDAYS($E$4,F62,'Festivos CR'!$A$3:$A$29)</f>
        <v>14</v>
      </c>
      <c r="J62" s="132">
        <f>H62</f>
        <v>0</v>
      </c>
      <c r="L62" s="108"/>
      <c r="M62" s="392"/>
    </row>
    <row r="63" spans="1:19" s="90" customFormat="1" ht="28.8" outlineLevel="1">
      <c r="A63" s="180"/>
      <c r="B63" s="473"/>
      <c r="C63" s="101" t="s">
        <v>1278</v>
      </c>
      <c r="D63" s="170">
        <v>390937</v>
      </c>
      <c r="E63" s="142">
        <f>D63/D6</f>
        <v>797.83061224489791</v>
      </c>
      <c r="F63" s="129">
        <v>45988</v>
      </c>
      <c r="G63" s="90" t="s">
        <v>235</v>
      </c>
      <c r="H63" s="90">
        <f>IF(OR(G63="Sin pagar",G63="Pagar"),_xlfn.SINGLE(NETWORKDAYS($E$4,F63,'Festivos CR'!$A$3:$A$29)),0)</f>
        <v>0</v>
      </c>
      <c r="I63" s="90">
        <f>NETWORKDAYS($E$4,F63,'Festivos CR'!$A$3:$A$29)</f>
        <v>19</v>
      </c>
      <c r="J63" s="132">
        <f>H63</f>
        <v>0</v>
      </c>
      <c r="L63" s="108"/>
      <c r="M63" s="392"/>
    </row>
    <row r="64" spans="1:19" s="90" customFormat="1" ht="15" outlineLevel="1" thickBot="1">
      <c r="A64" s="180"/>
      <c r="B64" s="473" t="s">
        <v>1113</v>
      </c>
      <c r="C64" s="101" t="s">
        <v>1227</v>
      </c>
      <c r="D64" s="170">
        <f>$E$64*$D$6</f>
        <v>0</v>
      </c>
      <c r="E64" s="142">
        <f>1135.65*0</f>
        <v>0</v>
      </c>
      <c r="F64" s="129">
        <v>45996</v>
      </c>
      <c r="G64" s="90" t="s">
        <v>231</v>
      </c>
      <c r="H64" s="90">
        <f>IF(OR(G64="Sin pagar",G64="Pagar"),_xlfn.SINGLE(NETWORKDAYS($E$4,F64,'Festivos CR'!$A$3:$A$29)),0)</f>
        <v>24</v>
      </c>
      <c r="I64" s="90">
        <f>NETWORKDAYS($E$4,F64,'Festivos CR'!$A$3:$A$29)</f>
        <v>24</v>
      </c>
      <c r="J64" s="132">
        <f>H64</f>
        <v>24</v>
      </c>
      <c r="L64" s="108"/>
      <c r="M64" s="392"/>
    </row>
    <row r="65" spans="1:16" s="90" customFormat="1" ht="14.25" customHeight="1">
      <c r="B65" s="100"/>
      <c r="C65" s="147" t="s">
        <v>239</v>
      </c>
      <c r="D65" s="171">
        <f>SUBTOTAL(9,D26:D64)</f>
        <v>56907166.889999986</v>
      </c>
      <c r="E65" s="148">
        <f>SUBTOTAL(9,E26:E64)</f>
        <v>114321.75561273276</v>
      </c>
      <c r="K65" s="480"/>
      <c r="L65" s="480"/>
      <c r="N65" s="480"/>
      <c r="O65" s="480"/>
      <c r="P65" s="480"/>
    </row>
    <row r="66" spans="1:16" ht="15.6">
      <c r="A66" s="90"/>
      <c r="E66" s="149"/>
      <c r="F66" s="239"/>
      <c r="G66" s="150"/>
      <c r="H66" s="150"/>
      <c r="I66" s="150"/>
      <c r="J66" s="150"/>
    </row>
    <row r="67" spans="1:16" ht="15.6">
      <c r="A67" s="90"/>
      <c r="C67" s="151" t="s">
        <v>3</v>
      </c>
      <c r="D67" s="182">
        <f>D21-D65</f>
        <v>58988666.850312471</v>
      </c>
      <c r="E67" s="152">
        <f>E21-E65</f>
        <v>122200.3540613743</v>
      </c>
      <c r="F67" s="243"/>
      <c r="G67" s="153"/>
      <c r="J67" s="153"/>
    </row>
    <row r="68" spans="1:16" s="157" customFormat="1" ht="15.6">
      <c r="A68" s="90"/>
      <c r="B68" s="154"/>
      <c r="C68" s="151" t="s">
        <v>240</v>
      </c>
      <c r="D68" s="155">
        <f>IF($D$21=0,0,D67/$D$21)</f>
        <v>0.50898004653461704</v>
      </c>
      <c r="E68" s="155">
        <f>IF($E$21=0,0,E67/$E$21)</f>
        <v>0.51665509930445208</v>
      </c>
      <c r="F68" s="156"/>
      <c r="G68" s="153"/>
      <c r="J68" s="158"/>
      <c r="K68" s="480"/>
      <c r="L68" s="480"/>
      <c r="N68" s="480"/>
      <c r="O68" s="480"/>
      <c r="P68" s="480"/>
    </row>
    <row r="69" spans="1:16">
      <c r="A69" s="90"/>
      <c r="F69" s="156"/>
      <c r="G69" s="153"/>
    </row>
    <row r="72" spans="1:16" ht="15" thickBot="1">
      <c r="C72" s="189" t="s">
        <v>260</v>
      </c>
      <c r="D72" s="190" t="s">
        <v>261</v>
      </c>
      <c r="E72" s="191" t="s">
        <v>265</v>
      </c>
      <c r="F72" s="191" t="s">
        <v>266</v>
      </c>
    </row>
    <row r="73" spans="1:16">
      <c r="C73" s="400">
        <v>45962</v>
      </c>
      <c r="D73" s="396">
        <v>45970</v>
      </c>
      <c r="E73" s="401">
        <f t="shared" ref="E73:E80" si="5">SUMIFS($D$25:$D$70,$F$25:$F$70,"&gt;="&amp;C73,$F$25:$F$70,"&lt;="&amp;D73,$G$25:$G$70,$D$91)</f>
        <v>0</v>
      </c>
      <c r="F73" s="402">
        <f t="shared" ref="F73:F80" si="6">SUMIFS($E$25:$E$70,$F$25:$F$70,"&gt;="&amp;C73,$F$25:$F$70,"&lt;="&amp;D73,$G$25:$G$70,$D$91)</f>
        <v>0</v>
      </c>
      <c r="G73" s="480" t="s">
        <v>1228</v>
      </c>
    </row>
    <row r="74" spans="1:16">
      <c r="C74" s="403">
        <v>45971</v>
      </c>
      <c r="D74" s="398">
        <v>45974</v>
      </c>
      <c r="E74" s="404">
        <f t="shared" si="5"/>
        <v>0</v>
      </c>
      <c r="F74" s="405">
        <f t="shared" si="6"/>
        <v>0</v>
      </c>
      <c r="J74" s="382"/>
    </row>
    <row r="75" spans="1:16">
      <c r="C75" s="403">
        <v>45975</v>
      </c>
      <c r="D75" s="397">
        <v>45977</v>
      </c>
      <c r="E75" s="404">
        <f t="shared" si="5"/>
        <v>0</v>
      </c>
      <c r="F75" s="405">
        <f t="shared" si="6"/>
        <v>0</v>
      </c>
      <c r="G75" s="480" t="s">
        <v>1229</v>
      </c>
    </row>
    <row r="76" spans="1:16">
      <c r="C76" s="403">
        <v>45978</v>
      </c>
      <c r="D76" s="397">
        <v>45980</v>
      </c>
      <c r="E76" s="404">
        <f t="shared" si="5"/>
        <v>0</v>
      </c>
      <c r="F76" s="405">
        <f t="shared" si="6"/>
        <v>0</v>
      </c>
    </row>
    <row r="77" spans="1:16">
      <c r="C77" s="403">
        <v>45981</v>
      </c>
      <c r="D77" s="397">
        <v>45981</v>
      </c>
      <c r="E77" s="404">
        <f t="shared" si="5"/>
        <v>0</v>
      </c>
      <c r="F77" s="405">
        <f t="shared" si="6"/>
        <v>0</v>
      </c>
      <c r="G77" s="480" t="s">
        <v>1165</v>
      </c>
    </row>
    <row r="78" spans="1:16">
      <c r="C78" s="403">
        <v>45982</v>
      </c>
      <c r="D78" s="397">
        <v>45984</v>
      </c>
      <c r="E78" s="404">
        <f t="shared" si="5"/>
        <v>0</v>
      </c>
      <c r="F78" s="405">
        <f t="shared" si="6"/>
        <v>0</v>
      </c>
    </row>
    <row r="79" spans="1:16">
      <c r="C79" s="403">
        <v>45985</v>
      </c>
      <c r="D79" s="397">
        <v>45991</v>
      </c>
      <c r="E79" s="404">
        <f t="shared" si="5"/>
        <v>0</v>
      </c>
      <c r="F79" s="405">
        <f t="shared" si="6"/>
        <v>0</v>
      </c>
    </row>
    <row r="80" spans="1:16" s="490" customFormat="1">
      <c r="B80" s="491"/>
      <c r="C80" s="403">
        <v>45992</v>
      </c>
      <c r="D80" s="397">
        <v>45994</v>
      </c>
      <c r="E80" s="404">
        <f t="shared" si="5"/>
        <v>0</v>
      </c>
      <c r="F80" s="405">
        <f t="shared" si="6"/>
        <v>0</v>
      </c>
    </row>
    <row r="81" spans="3:13" ht="15.6">
      <c r="C81" s="589" t="s">
        <v>262</v>
      </c>
      <c r="D81" s="589"/>
      <c r="E81" s="186">
        <f>SUM(E73:E80)</f>
        <v>0</v>
      </c>
      <c r="F81" s="200">
        <f>SUM(F73:F80)</f>
        <v>0</v>
      </c>
      <c r="G81" s="94"/>
      <c r="J81" s="153"/>
      <c r="K81" s="153"/>
      <c r="M81" s="206"/>
    </row>
    <row r="84" spans="3:13">
      <c r="C84" s="591"/>
      <c r="D84" s="593"/>
    </row>
    <row r="85" spans="3:13">
      <c r="C85" s="592" t="s">
        <v>1065</v>
      </c>
      <c r="D85" s="592"/>
      <c r="E85" s="204">
        <f>'BAC SAN JOSE COLONES  '!$G$547+('BAC SAN JOSE USD'!$G$549*502)</f>
        <v>124149852.53031248</v>
      </c>
      <c r="F85" s="452">
        <f>('BAC SAN JOSE COLONES  '!$G$500/502)+'BAC SAN JOSE USD'!$G$549</f>
        <v>171679.99553847109</v>
      </c>
    </row>
    <row r="86" spans="3:13">
      <c r="C86" s="594" t="s">
        <v>1288</v>
      </c>
      <c r="D86" s="592"/>
      <c r="E86" s="204">
        <f>SUM(E73:E80)</f>
        <v>0</v>
      </c>
      <c r="F86" s="452">
        <f>SUM(F73:F80)</f>
        <v>0</v>
      </c>
      <c r="J86" s="324"/>
    </row>
    <row r="87" spans="3:13">
      <c r="C87" s="588" t="s">
        <v>152</v>
      </c>
      <c r="D87" s="588"/>
      <c r="E87" s="446">
        <f>E85-E86</f>
        <v>124149852.53031248</v>
      </c>
      <c r="F87" s="447">
        <f>F85-F86</f>
        <v>171679.99553847109</v>
      </c>
      <c r="G87" s="467"/>
      <c r="J87" s="206"/>
    </row>
    <row r="90" spans="3:13">
      <c r="D90" s="90" t="s">
        <v>235</v>
      </c>
      <c r="E90" s="170">
        <f>SUMIFS($D$25:$D$70,$F$25:$F$70,"&gt;="&amp;$C$73,$F$25:$F$70,"&lt;="&amp;$D$80,$G$25:$G$70,$D$90)</f>
        <v>56907166.889999986</v>
      </c>
      <c r="F90" s="206">
        <f>SUMIFS($E$25:$E$69,$F$25:$F$69,"&gt;="&amp;C73,$F$25:$F$69,"&lt;="&amp;$D$80,$G$25:$G$69,$D$90)</f>
        <v>114321.75561273276</v>
      </c>
    </row>
    <row r="91" spans="3:13">
      <c r="D91" s="90" t="s">
        <v>231</v>
      </c>
      <c r="E91" s="170">
        <f>SUMIFS($D$25:$D$70,$F$25:$F$70,"&gt;="&amp;$C$73,$F$25:$F$70,"&lt;="&amp;$D$79,$G$25:$G$70,$D$91)</f>
        <v>0</v>
      </c>
      <c r="F91" s="206">
        <f>SUMIFS($E$25:$E$69,$F$25:$F$69,"&gt;="&amp;C73,$F$25:$F$69,"&lt;="&amp;$D$79,$G$25:$G$69,$D$91)</f>
        <v>0</v>
      </c>
    </row>
    <row r="92" spans="3:13">
      <c r="D92" s="185" t="s">
        <v>263</v>
      </c>
      <c r="E92" s="194">
        <f>SUM(E90:E91)</f>
        <v>56907166.889999986</v>
      </c>
      <c r="F92" s="199">
        <f>SUM(F90:F91)</f>
        <v>114321.75561273276</v>
      </c>
      <c r="G92" s="206"/>
    </row>
    <row r="93" spans="3:13">
      <c r="D93" s="185" t="s">
        <v>264</v>
      </c>
      <c r="E93" s="194">
        <f>(D65-E92)</f>
        <v>0</v>
      </c>
      <c r="F93" s="199">
        <f>F92-E65</f>
        <v>0</v>
      </c>
    </row>
    <row r="96" spans="3:13">
      <c r="D96" s="492"/>
      <c r="E96" s="170"/>
    </row>
    <row r="97" spans="4:5">
      <c r="D97" s="492"/>
      <c r="E97" s="204"/>
    </row>
    <row r="98" spans="4:5">
      <c r="D98" s="492"/>
      <c r="E98" s="170"/>
    </row>
    <row r="99" spans="4:5">
      <c r="D99" s="492"/>
      <c r="E99" s="395"/>
    </row>
  </sheetData>
  <protectedRanges>
    <protectedRange sqref="F21:G21 D69:E69 D10:E12" name="Presupuestos"/>
    <protectedRange sqref="D8:E8 D25:E25" name="Presupuestos_1"/>
    <protectedRange sqref="D32:E32" name="Presupuestos_13_1"/>
    <protectedRange sqref="D34:E34" name="Presupuestos_14"/>
    <protectedRange sqref="D51:E51 D43:E49 E52 D53:E55 E50 M43:M49 M51 M53:M55" name="Presupuestos_2_1_1_1"/>
    <protectedRange sqref="E60 E35 E57:E58 E62:E64" name="Presupuestos_6_1_1_1"/>
    <protectedRange sqref="D52 D50 M52 M50" name="Presupuestos_5_2_1"/>
    <protectedRange sqref="D40:E41" name="Presupuestos_7_1"/>
    <protectedRange sqref="D60 D35 D57:D58 D62:D64" name="Presupuestos_5_3"/>
    <protectedRange sqref="D37:E38" name="Presupuestos_13_1_1"/>
  </protectedRanges>
  <autoFilter ref="A25:S63" xr:uid="{A6D35CF7-CDCE-4D09-9F49-4E9FAE385F83}"/>
  <mergeCells count="8">
    <mergeCell ref="C86:D86"/>
    <mergeCell ref="C87:D87"/>
    <mergeCell ref="D7:E7"/>
    <mergeCell ref="B24:C24"/>
    <mergeCell ref="D24:E24"/>
    <mergeCell ref="C81:D81"/>
    <mergeCell ref="C84:D84"/>
    <mergeCell ref="C85:D85"/>
  </mergeCells>
  <dataValidations disablePrompts="1" count="4">
    <dataValidation type="list" allowBlank="1" showInputMessage="1" showErrorMessage="1" sqref="O36" xr:uid="{8BCA3552-425B-4722-9042-ED108C042DDB}">
      <formula1>"0,1"</formula1>
    </dataValidation>
    <dataValidation type="list" allowBlank="1" showInputMessage="1" showErrorMessage="1" sqref="G70:G71 G60 D90:D91 G26:G27 G37:G38 G32 G40:G41 G57:G58 G34:G35 G29:G30 G43:G55 G62:G64" xr:uid="{66274689-D625-4471-B3E5-9413369685C0}">
      <formula1>"Cancelado,Pagar,Sin Pagar"</formula1>
    </dataValidation>
    <dataValidation type="list" allowBlank="1" showInputMessage="1" showErrorMessage="1" sqref="D24 D7" xr:uid="{4278369A-374D-4A4A-969E-AA264CADE620}">
      <formula1>"ENERO,FEBRERO,MARZO,ABRIL,MAYO,JUNIO,JULIO,AGOSTO,SEPTIEMBRE,OCTUBRE,NOVIEMBRE,DICIEMBRE"</formula1>
    </dataValidation>
    <dataValidation type="list" allowBlank="1" showInputMessage="1" showErrorMessage="1" sqref="B14:B20" xr:uid="{F10CEC70-4395-4FB7-96E7-5D4A24BC66F5}">
      <formula1>"Sin Pagar,Pagado"</formula1>
    </dataValidation>
  </dataValidations>
  <pageMargins left="0.7" right="0.7" top="0.75" bottom="0.75" header="0.3" footer="0.3"/>
  <ignoredErrors>
    <ignoredError sqref="J65:J66 J63 J36 J33 J31 J62 J43:J55 J60:J61 J56:J59 J39 J42 J28 J27 J29:J30 J40:J41 J32 J34:J35 J37:J38 P43:P55 S55 Q50:Q55" unlockedFormula="1"/>
  </ignoredErrors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A878-B61E-40E3-87F8-2F2B724901AD}">
  <dimension ref="A1:S124"/>
  <sheetViews>
    <sheetView showGridLines="0" topLeftCell="A104" zoomScale="85" zoomScaleNormal="85" workbookViewId="0">
      <selection activeCell="E114" sqref="E114"/>
    </sheetView>
  </sheetViews>
  <sheetFormatPr baseColWidth="10" defaultColWidth="9.109375" defaultRowHeight="14.4" outlineLevelRow="1"/>
  <cols>
    <col min="1" max="1" width="2.109375" style="490" customWidth="1"/>
    <col min="2" max="2" width="18.88671875" style="491" bestFit="1" customWidth="1"/>
    <col min="3" max="3" width="59.88671875" style="490" customWidth="1"/>
    <col min="4" max="4" width="24.44140625" style="492" customWidth="1"/>
    <col min="5" max="5" width="19.33203125" style="492" bestFit="1" customWidth="1"/>
    <col min="6" max="6" width="23.5546875" style="490" customWidth="1"/>
    <col min="7" max="7" width="18.88671875" style="490" customWidth="1"/>
    <col min="8" max="8" width="7.6640625" style="490" hidden="1" customWidth="1"/>
    <col min="9" max="9" width="12.109375" style="490" hidden="1" customWidth="1"/>
    <col min="10" max="10" width="25.33203125" style="490" customWidth="1"/>
    <col min="11" max="11" width="2.109375" style="490" customWidth="1"/>
    <col min="12" max="12" width="2.33203125" style="490" customWidth="1"/>
    <col min="13" max="13" width="17.109375" style="490" bestFit="1" customWidth="1"/>
    <col min="14" max="14" width="15.5546875" style="490" bestFit="1" customWidth="1"/>
    <col min="15" max="15" width="6.33203125" style="490" bestFit="1" customWidth="1"/>
    <col min="16" max="16" width="19.33203125" style="490" bestFit="1" customWidth="1"/>
    <col min="17" max="17" width="15.33203125" style="490" bestFit="1" customWidth="1"/>
    <col min="18" max="18" width="14" style="490" bestFit="1" customWidth="1"/>
    <col min="19" max="19" width="13" style="490" bestFit="1" customWidth="1"/>
    <col min="20" max="16384" width="9.109375" style="490"/>
  </cols>
  <sheetData>
    <row r="1" spans="2:9" hidden="1">
      <c r="D1" s="492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45992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483</v>
      </c>
      <c r="E6" s="89"/>
      <c r="I6" s="90"/>
    </row>
    <row r="7" spans="2:9" ht="15.6">
      <c r="C7" s="94"/>
      <c r="D7" s="590" t="s">
        <v>585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SUBTOTAL(9,D10:D11)</f>
        <v>56800523.16653119</v>
      </c>
      <c r="E9" s="98">
        <f>SUBTOTAL(9,E10:E11)</f>
        <v>117599.42684582027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'!$G$512</f>
        <v>1175607.4156699984</v>
      </c>
      <c r="E10" s="218">
        <f>$D$10/$D$6</f>
        <v>2433.9698046997896</v>
      </c>
      <c r="F10" s="103"/>
    </row>
    <row r="11" spans="2:9" s="90" customFormat="1" outlineLevel="1">
      <c r="B11" s="100"/>
      <c r="C11" s="101" t="s">
        <v>221</v>
      </c>
      <c r="D11" s="169">
        <f>$E$11*$D$6</f>
        <v>55624915.75086119</v>
      </c>
      <c r="E11" s="218">
        <f>'BAC SAN JOSE USD'!$G$460</f>
        <v>115165.45704112048</v>
      </c>
      <c r="F11" s="103"/>
    </row>
    <row r="12" spans="2:9" s="90" customFormat="1" ht="15.6">
      <c r="B12" s="100"/>
      <c r="C12" s="104" t="s">
        <v>222</v>
      </c>
      <c r="D12" s="167">
        <f>SUBTOTAL(9,D13:D19)</f>
        <v>59472275.100000001</v>
      </c>
      <c r="E12" s="98">
        <f>SUBTOTAL(9,E13:E19)</f>
        <v>121371.98999999999</v>
      </c>
      <c r="F12" s="105"/>
    </row>
    <row r="13" spans="2:9" s="178" customFormat="1" outlineLevel="1">
      <c r="B13" s="107" t="s">
        <v>231</v>
      </c>
      <c r="C13" s="440" t="s">
        <v>1053</v>
      </c>
      <c r="D13" s="271">
        <f>E13*$D$6</f>
        <v>0</v>
      </c>
      <c r="E13" s="272">
        <f>725.78*0</f>
        <v>0</v>
      </c>
    </row>
    <row r="14" spans="2:9" s="178" customFormat="1" outlineLevel="1">
      <c r="B14" s="328" t="s">
        <v>533</v>
      </c>
      <c r="C14" s="329" t="s">
        <v>1328</v>
      </c>
      <c r="D14" s="410">
        <f t="shared" ref="D14:D19" si="0">E14*490</f>
        <v>42872241.299999997</v>
      </c>
      <c r="E14" s="331">
        <v>87494.37</v>
      </c>
      <c r="F14" s="272"/>
      <c r="G14" s="439"/>
    </row>
    <row r="15" spans="2:9" s="178" customFormat="1" outlineLevel="1">
      <c r="B15" s="328" t="s">
        <v>533</v>
      </c>
      <c r="C15" s="329" t="s">
        <v>1337</v>
      </c>
      <c r="D15" s="410">
        <f t="shared" si="0"/>
        <v>4195649.5</v>
      </c>
      <c r="E15" s="331">
        <v>8562.5499999999993</v>
      </c>
      <c r="F15" s="474"/>
      <c r="G15" s="272"/>
    </row>
    <row r="16" spans="2:9" s="178" customFormat="1" outlineLevel="1">
      <c r="B16" s="328" t="s">
        <v>533</v>
      </c>
      <c r="C16" s="329" t="s">
        <v>1330</v>
      </c>
      <c r="D16" s="410">
        <f t="shared" si="0"/>
        <v>1712025.7</v>
      </c>
      <c r="E16" s="331">
        <v>3493.93</v>
      </c>
      <c r="F16" s="439"/>
    </row>
    <row r="17" spans="1:19" s="178" customFormat="1" ht="14.25" customHeight="1" outlineLevel="1">
      <c r="B17" s="328" t="s">
        <v>533</v>
      </c>
      <c r="C17" s="329" t="s">
        <v>1329</v>
      </c>
      <c r="D17" s="410">
        <f t="shared" si="0"/>
        <v>9736858.5999999996</v>
      </c>
      <c r="E17" s="331">
        <v>19871.14</v>
      </c>
      <c r="F17" s="441"/>
      <c r="G17" s="464"/>
    </row>
    <row r="18" spans="1:19" s="178" customFormat="1" outlineLevel="1">
      <c r="B18" s="328" t="s">
        <v>533</v>
      </c>
      <c r="C18" s="329" t="s">
        <v>1263</v>
      </c>
      <c r="D18" s="410">
        <f t="shared" si="0"/>
        <v>955500</v>
      </c>
      <c r="E18" s="331">
        <v>1950</v>
      </c>
    </row>
    <row r="19" spans="1:19" s="178" customFormat="1" ht="14.25" customHeight="1" outlineLevel="1">
      <c r="B19" s="107" t="s">
        <v>231</v>
      </c>
      <c r="C19" s="174" t="s">
        <v>1369</v>
      </c>
      <c r="D19" s="169">
        <f t="shared" si="0"/>
        <v>0</v>
      </c>
      <c r="E19" s="272">
        <f>13482.73*0</f>
        <v>0</v>
      </c>
      <c r="F19" s="441"/>
      <c r="G19" s="464"/>
    </row>
    <row r="20" spans="1:19" s="90" customFormat="1" ht="15.6">
      <c r="B20" s="100"/>
      <c r="C20" s="109" t="s">
        <v>223</v>
      </c>
      <c r="D20" s="168">
        <f>SUBTOTAL(9,D9:D19)</f>
        <v>116272798.26653118</v>
      </c>
      <c r="E20" s="207">
        <f>SUBTOTAL(9,E9:E19)</f>
        <v>238971.41684582026</v>
      </c>
      <c r="F20" s="110"/>
      <c r="G20" s="475">
        <f>G17/E20</f>
        <v>0</v>
      </c>
      <c r="J20" s="108"/>
      <c r="K20" s="111"/>
      <c r="O20" s="112"/>
      <c r="P20" s="113"/>
      <c r="Q20" s="114"/>
    </row>
    <row r="21" spans="1:19" s="90" customFormat="1" ht="15.6">
      <c r="B21" s="100"/>
      <c r="C21" s="115"/>
      <c r="D21" s="116"/>
      <c r="E21" s="116"/>
      <c r="G21" s="117"/>
      <c r="O21" s="113"/>
      <c r="P21" s="113"/>
    </row>
    <row r="22" spans="1:19" s="90" customFormat="1" ht="15.6">
      <c r="B22" s="100"/>
      <c r="D22" s="349"/>
      <c r="N22" s="118"/>
      <c r="O22" s="119"/>
      <c r="P22" s="120"/>
    </row>
    <row r="23" spans="1:19" s="90" customFormat="1" ht="15.6">
      <c r="B23" s="590" t="s">
        <v>224</v>
      </c>
      <c r="C23" s="590"/>
      <c r="D23" s="590" t="s">
        <v>554</v>
      </c>
      <c r="E23" s="590"/>
      <c r="K23" s="120"/>
      <c r="L23" s="120"/>
      <c r="N23" s="118"/>
      <c r="R23" s="108"/>
      <c r="S23" s="108"/>
    </row>
    <row r="24" spans="1:19" s="90" customFormat="1" ht="16.2" thickBot="1">
      <c r="B24" s="121" t="s">
        <v>225</v>
      </c>
      <c r="C24" s="122" t="s">
        <v>226</v>
      </c>
      <c r="D24" s="95" t="s">
        <v>242</v>
      </c>
      <c r="E24" s="95" t="s">
        <v>219</v>
      </c>
      <c r="F24" s="123" t="s">
        <v>227</v>
      </c>
      <c r="G24" s="118" t="s">
        <v>228</v>
      </c>
      <c r="H24" s="118"/>
      <c r="I24" s="118"/>
      <c r="J24" s="124" t="s">
        <v>229</v>
      </c>
      <c r="N24" s="125"/>
      <c r="R24" s="108"/>
      <c r="S24" s="126"/>
    </row>
    <row r="25" spans="1:19" s="90" customFormat="1" ht="16.2" thickBot="1">
      <c r="B25" s="100"/>
      <c r="C25" s="127" t="s">
        <v>230</v>
      </c>
      <c r="D25" s="172">
        <f>SUBTOTAL(9,D26:D26)</f>
        <v>14579743</v>
      </c>
      <c r="E25" s="128">
        <f>SUBTOTAL(9,E26:E26)</f>
        <v>30185.803312629399</v>
      </c>
      <c r="F25" s="129"/>
      <c r="J25" s="130"/>
    </row>
    <row r="26" spans="1:19" s="90" customFormat="1" ht="15" outlineLevel="1" thickBot="1">
      <c r="A26" s="103"/>
      <c r="B26" s="373" t="s">
        <v>1234</v>
      </c>
      <c r="C26" s="174" t="s">
        <v>586</v>
      </c>
      <c r="D26" s="271">
        <v>14579743</v>
      </c>
      <c r="E26" s="142">
        <f>D26/$D$6</f>
        <v>30185.803312629399</v>
      </c>
      <c r="F26" s="134">
        <v>46006</v>
      </c>
      <c r="G26" s="90" t="s">
        <v>235</v>
      </c>
      <c r="H26" s="90">
        <f>IF(OR(G26="Sin pagar",G26="Pagar"),_xlfn.SINGLE(NETWORKDAYS($E$4,F26,'Festivos CR'!$A$3:$A$29)),0)</f>
        <v>0</v>
      </c>
      <c r="I26" s="90">
        <f>NETWORKDAYS($E$4,F26,'Festivos CR'!$A$3:$A$29)</f>
        <v>10</v>
      </c>
      <c r="J26" s="132">
        <f t="shared" ref="J26:J31" si="1">H26</f>
        <v>0</v>
      </c>
      <c r="K26" s="108"/>
      <c r="L26" s="108"/>
      <c r="M26" s="349"/>
      <c r="N26" s="349"/>
    </row>
    <row r="27" spans="1:19" s="90" customFormat="1" ht="16.2" thickBot="1">
      <c r="B27" s="100"/>
      <c r="C27" s="127" t="s">
        <v>232</v>
      </c>
      <c r="D27" s="172">
        <f>SUBTOTAL(9,D28:D29)</f>
        <v>4666796.2</v>
      </c>
      <c r="E27" s="128">
        <f>SUBTOTAL(9,E28:E29)</f>
        <v>9517.9947204968939</v>
      </c>
      <c r="J27" s="130">
        <f t="shared" si="1"/>
        <v>0</v>
      </c>
    </row>
    <row r="28" spans="1:19" s="90" customFormat="1" outlineLevel="1">
      <c r="B28" s="502" t="s">
        <v>1320</v>
      </c>
      <c r="C28" s="101" t="s">
        <v>292</v>
      </c>
      <c r="D28" s="169">
        <v>4537420.2</v>
      </c>
      <c r="E28" s="137">
        <f>D28/$D$6</f>
        <v>9394.2447204968939</v>
      </c>
      <c r="F28" s="134">
        <v>46005</v>
      </c>
      <c r="G28" s="90" t="s">
        <v>235</v>
      </c>
      <c r="H28" s="90">
        <f>IF(OR(G28="Sin pagar",G28="Pagar"),_xlfn.SINGLE(NETWORKDAYS($E$4,F28,'Festivos CR'!$A$3:$A$29)),0)</f>
        <v>0</v>
      </c>
      <c r="I28" s="90">
        <f>NETWORKDAYS($E$4,F28,'Festivos CR'!$A$3:$A$29)</f>
        <v>9</v>
      </c>
      <c r="J28" s="132">
        <f t="shared" si="1"/>
        <v>0</v>
      </c>
      <c r="K28" s="135"/>
      <c r="L28" s="111"/>
      <c r="M28" s="349"/>
      <c r="N28" s="349"/>
    </row>
    <row r="29" spans="1:19" s="90" customFormat="1" ht="29.4" outlineLevel="1" thickBot="1">
      <c r="B29" s="373" t="s">
        <v>1321</v>
      </c>
      <c r="C29" s="101" t="s">
        <v>1289</v>
      </c>
      <c r="D29" s="169">
        <v>129376</v>
      </c>
      <c r="E29" s="137">
        <v>123.75</v>
      </c>
      <c r="F29" s="134">
        <v>46005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CR'!$A$3:$A$29)</f>
        <v>9</v>
      </c>
      <c r="J29" s="132">
        <f t="shared" si="1"/>
        <v>0</v>
      </c>
      <c r="K29" s="135"/>
      <c r="L29" s="111"/>
      <c r="M29" s="349"/>
    </row>
    <row r="30" spans="1:19" s="90" customFormat="1" ht="16.2" thickBot="1">
      <c r="B30" s="451"/>
      <c r="C30" s="127" t="s">
        <v>233</v>
      </c>
      <c r="D30" s="172">
        <f>SUBTOTAL(9,D31:D32)</f>
        <v>171597.28</v>
      </c>
      <c r="E30" s="128">
        <f>SUBTOTAL(9,E31:E32)</f>
        <v>355.27387163561076</v>
      </c>
      <c r="J30" s="130">
        <f t="shared" si="1"/>
        <v>0</v>
      </c>
      <c r="K30" s="108"/>
      <c r="L30" s="108"/>
      <c r="N30" s="349"/>
    </row>
    <row r="31" spans="1:19" s="90" customFormat="1" outlineLevel="1">
      <c r="B31" s="100">
        <v>40</v>
      </c>
      <c r="C31" s="101" t="s">
        <v>1308</v>
      </c>
      <c r="D31" s="169">
        <f>E31*$D$6</f>
        <v>109158</v>
      </c>
      <c r="E31" s="137">
        <v>226</v>
      </c>
      <c r="F31" s="134">
        <v>46001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CR'!$A$3:$A$29)</f>
        <v>7</v>
      </c>
      <c r="J31" s="132">
        <f t="shared" si="1"/>
        <v>0</v>
      </c>
      <c r="M31" s="369"/>
      <c r="N31" s="103"/>
    </row>
    <row r="32" spans="1:19" s="90" customFormat="1" ht="15" outlineLevel="1" thickBot="1">
      <c r="B32" s="100">
        <v>41</v>
      </c>
      <c r="C32" s="101" t="s">
        <v>1307</v>
      </c>
      <c r="D32" s="169">
        <v>62439.28</v>
      </c>
      <c r="E32" s="137">
        <f>$D$32/$D$6</f>
        <v>129.27387163561076</v>
      </c>
      <c r="F32" s="134">
        <v>46001</v>
      </c>
      <c r="G32" s="90" t="s">
        <v>235</v>
      </c>
      <c r="H32" s="90">
        <f>IF(OR(G32="Sin pagar",G32="Pagar"),_xlfn.SINGLE(NETWORKDAYS($E$4,F32,'Festivos CR'!$A$3:$A$29)),0)</f>
        <v>0</v>
      </c>
      <c r="I32" s="90">
        <f>NETWORKDAYS($E$4,F32,'Festivos CR'!$A$3:$A$29)</f>
        <v>7</v>
      </c>
      <c r="J32" s="132">
        <f>H32</f>
        <v>0</v>
      </c>
      <c r="M32" s="369"/>
      <c r="N32" s="103"/>
    </row>
    <row r="33" spans="1:19" s="90" customFormat="1" ht="16.2" thickBot="1">
      <c r="B33" s="451"/>
      <c r="C33" s="127" t="s">
        <v>250</v>
      </c>
      <c r="D33" s="172">
        <f>SUBTOTAL(9,D34:D36)</f>
        <v>1007</v>
      </c>
      <c r="E33" s="128">
        <f>SUBTOTAL(9,E34:E36)</f>
        <v>2.0848861283643894</v>
      </c>
      <c r="K33" s="103"/>
      <c r="L33" s="103"/>
      <c r="O33" s="103"/>
      <c r="P33" s="103"/>
    </row>
    <row r="34" spans="1:19" s="90" customFormat="1" outlineLevel="1">
      <c r="A34" s="180"/>
      <c r="B34" s="451"/>
      <c r="C34" s="101" t="s">
        <v>925</v>
      </c>
      <c r="D34" s="170">
        <v>500</v>
      </c>
      <c r="E34" s="142">
        <f>D34/$D$6</f>
        <v>1.0351966873706004</v>
      </c>
      <c r="F34" s="129">
        <v>46022</v>
      </c>
      <c r="G34" s="90" t="s">
        <v>235</v>
      </c>
      <c r="H34" s="90">
        <f>IF(OR(G34="Sin pagar",G34="Pagar"),_xlfn.SINGLE(NETWORKDAYS($E$4,F34,'Festivos CR'!$A$3:$A$29)),0)</f>
        <v>0</v>
      </c>
      <c r="I34" s="90">
        <f>NETWORKDAYS($E$4,F34,'Festivos CR'!$A$3:$A$29)</f>
        <v>20</v>
      </c>
      <c r="J34" s="132">
        <f>H34</f>
        <v>0</v>
      </c>
      <c r="L34" s="108"/>
      <c r="M34" s="392"/>
    </row>
    <row r="35" spans="1:19" s="90" customFormat="1" ht="14.25" customHeight="1" outlineLevel="1">
      <c r="B35" s="466"/>
      <c r="C35" s="101" t="s">
        <v>251</v>
      </c>
      <c r="D35" s="169">
        <f>77000*12*0</f>
        <v>0</v>
      </c>
      <c r="E35" s="137">
        <f>D35/$D$6</f>
        <v>0</v>
      </c>
      <c r="F35" s="129">
        <v>46022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CR'!$A$3:$A$29)</f>
        <v>20</v>
      </c>
      <c r="J35" s="132">
        <f>H35</f>
        <v>0</v>
      </c>
      <c r="K35" s="103"/>
      <c r="L35" s="103"/>
      <c r="M35" s="369"/>
      <c r="O35" s="103"/>
      <c r="P35" s="103"/>
    </row>
    <row r="36" spans="1:19" s="90" customFormat="1" ht="15" outlineLevel="1" thickBot="1">
      <c r="A36" s="180"/>
      <c r="B36" s="451"/>
      <c r="C36" s="101" t="s">
        <v>925</v>
      </c>
      <c r="D36" s="170">
        <v>507</v>
      </c>
      <c r="E36" s="142">
        <f>D36/$D$6</f>
        <v>1.0496894409937889</v>
      </c>
      <c r="F36" s="129">
        <v>46023</v>
      </c>
      <c r="G36" s="90" t="s">
        <v>235</v>
      </c>
      <c r="H36" s="90">
        <f>IF(OR(G36="Sin pagar",G36="Pagar"),_xlfn.SINGLE(NETWORKDAYS($E$4,F36,'Festivos CR'!$A$3:$A$29)),0)</f>
        <v>0</v>
      </c>
      <c r="I36" s="90">
        <f>NETWORKDAYS($E$4,F36,'Festivos CR'!$A$3:$A$29)</f>
        <v>21</v>
      </c>
      <c r="J36" s="132">
        <f>H36</f>
        <v>0</v>
      </c>
      <c r="L36" s="108"/>
      <c r="M36" s="392"/>
    </row>
    <row r="37" spans="1:19" s="90" customFormat="1" ht="16.2" thickBot="1">
      <c r="B37" s="451"/>
      <c r="C37" s="139" t="s">
        <v>234</v>
      </c>
      <c r="D37" s="173">
        <f>SUBTOTAL(9,D38:D38)</f>
        <v>0</v>
      </c>
      <c r="E37" s="140">
        <f>SUBTOTAL(9,E38:E38)</f>
        <v>0</v>
      </c>
      <c r="K37" s="108"/>
    </row>
    <row r="38" spans="1:19" s="90" customFormat="1" ht="15" outlineLevel="1" thickBot="1">
      <c r="B38" s="176">
        <v>6481</v>
      </c>
      <c r="C38" s="174" t="s">
        <v>1225</v>
      </c>
      <c r="D38" s="169">
        <f>E38*$D$6</f>
        <v>0</v>
      </c>
      <c r="E38" s="137">
        <v>0</v>
      </c>
      <c r="F38" s="134">
        <v>46022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CR'!$A$3:$A$29)</f>
        <v>20</v>
      </c>
      <c r="J38" s="132">
        <f>H38</f>
        <v>0</v>
      </c>
      <c r="M38" s="297"/>
      <c r="N38" s="298"/>
    </row>
    <row r="39" spans="1:19" s="90" customFormat="1" ht="15.75" customHeight="1" thickBot="1">
      <c r="B39" s="451"/>
      <c r="C39" s="127" t="s">
        <v>236</v>
      </c>
      <c r="D39" s="172">
        <f>SUBTOTAL(9,D40:D43)</f>
        <v>122827.09000000001</v>
      </c>
      <c r="E39" s="128">
        <f>SUBTOTAL(9,E40:E43)</f>
        <v>254.30039337474122</v>
      </c>
      <c r="M39" s="299"/>
      <c r="N39" s="299"/>
      <c r="O39" s="118"/>
      <c r="P39" s="300"/>
    </row>
    <row r="40" spans="1:19" s="90" customFormat="1" outlineLevel="1">
      <c r="B40" s="451"/>
      <c r="C40" s="174" t="s">
        <v>1296</v>
      </c>
      <c r="D40" s="271">
        <f>E40*$D$6</f>
        <v>14490</v>
      </c>
      <c r="E40" s="142">
        <v>30</v>
      </c>
      <c r="F40" s="134">
        <v>46000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CR'!$A$3:$A$29)</f>
        <v>6</v>
      </c>
      <c r="J40" s="132">
        <f>H40</f>
        <v>0</v>
      </c>
    </row>
    <row r="41" spans="1:19" s="90" customFormat="1" outlineLevel="1">
      <c r="B41" s="451"/>
      <c r="C41" s="174" t="s">
        <v>1296</v>
      </c>
      <c r="D41" s="271">
        <f>E41*$D$6</f>
        <v>14490</v>
      </c>
      <c r="E41" s="142">
        <v>30</v>
      </c>
      <c r="F41" s="134">
        <v>46006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CR'!$A$3:$A$29)</f>
        <v>10</v>
      </c>
      <c r="J41" s="132">
        <f>H41</f>
        <v>0</v>
      </c>
    </row>
    <row r="42" spans="1:19" s="90" customFormat="1" outlineLevel="1">
      <c r="B42" s="451"/>
      <c r="C42" s="174" t="s">
        <v>1296</v>
      </c>
      <c r="D42" s="271">
        <f>E42*$D$6</f>
        <v>14490</v>
      </c>
      <c r="E42" s="142">
        <v>30</v>
      </c>
      <c r="F42" s="134">
        <v>46018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CR'!$A$3:$A$29)</f>
        <v>18</v>
      </c>
      <c r="J42" s="132">
        <f>H42</f>
        <v>0</v>
      </c>
    </row>
    <row r="43" spans="1:19" s="90" customFormat="1" ht="15" outlineLevel="1" thickBot="1">
      <c r="B43" s="451"/>
      <c r="C43" s="174" t="s">
        <v>236</v>
      </c>
      <c r="D43" s="271">
        <f>E43*D6</f>
        <v>79357.090000000011</v>
      </c>
      <c r="E43" s="142">
        <f>('BAC SAN JOSE USD'!$F$424+'BAC SAN JOSE USD'!$F$427+'BAC SAN JOSE USD'!$F$429+'BAC SAN JOSE USD'!$F$433+'BAC SAN JOSE USD'!$F$435+'BAC SAN JOSE USD'!$F$445+'BAC SAN JOSE USD'!$F$447+'BAC SAN JOSE USD'!$F$449+'BAC SAN JOSE USD'!$F$455)+(('BAC SAN JOSE COLONES  '!$F$506+'BAC SAN JOSE COLONES  '!$F$508)/$D$6)</f>
        <v>164.30039337474122</v>
      </c>
      <c r="F43" s="134">
        <v>46022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CR'!$A$3:$A$29)</f>
        <v>20</v>
      </c>
      <c r="J43" s="132">
        <f>H43</f>
        <v>0</v>
      </c>
    </row>
    <row r="44" spans="1:19" s="90" customFormat="1" ht="16.2" thickBot="1">
      <c r="B44" s="451"/>
      <c r="C44" s="127" t="s">
        <v>1299</v>
      </c>
      <c r="D44" s="172">
        <f>SUBTOTAL(9,D45:D57)</f>
        <v>24526024.18</v>
      </c>
      <c r="E44" s="128">
        <f>SUBTOTAL(9,E45:E57)</f>
        <v>48856.621872509961</v>
      </c>
      <c r="J44" s="349"/>
      <c r="K44" s="108"/>
      <c r="L44" s="143"/>
    </row>
    <row r="45" spans="1:19" s="180" customFormat="1" outlineLevel="1">
      <c r="B45" s="265" t="s">
        <v>270</v>
      </c>
      <c r="C45" s="174" t="s">
        <v>1037</v>
      </c>
      <c r="D45" s="347">
        <f>E45*CONVERSIONES!$C$396</f>
        <v>1357282.5</v>
      </c>
      <c r="E45" s="487">
        <v>2703.75</v>
      </c>
      <c r="F45" s="129">
        <v>46001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CR'!$A$3:$A$29)</f>
        <v>7</v>
      </c>
      <c r="J45" s="132">
        <f t="shared" ref="J45:J57" si="2">H45</f>
        <v>0</v>
      </c>
      <c r="M45" s="137"/>
      <c r="N45" s="178"/>
      <c r="O45" s="346"/>
      <c r="P45" s="493"/>
      <c r="Q45" s="178"/>
      <c r="R45" s="178"/>
      <c r="S45" s="178"/>
    </row>
    <row r="46" spans="1:19" s="180" customFormat="1" outlineLevel="1">
      <c r="B46" s="265" t="s">
        <v>270</v>
      </c>
      <c r="C46" s="174" t="s">
        <v>257</v>
      </c>
      <c r="D46" s="347">
        <f>E46*CONVERSIONES!$C$396</f>
        <v>4892326.34</v>
      </c>
      <c r="E46" s="487">
        <v>9745.67</v>
      </c>
      <c r="F46" s="129">
        <v>46001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CR'!$A$3:$A$29)</f>
        <v>7</v>
      </c>
      <c r="J46" s="132">
        <f t="shared" si="2"/>
        <v>0</v>
      </c>
      <c r="M46" s="137"/>
      <c r="N46" s="178"/>
      <c r="O46" s="346"/>
      <c r="P46" s="493"/>
      <c r="Q46" s="178"/>
      <c r="R46" s="178"/>
      <c r="S46" s="178"/>
    </row>
    <row r="47" spans="1:19" s="180" customFormat="1" outlineLevel="1">
      <c r="B47" s="265" t="s">
        <v>270</v>
      </c>
      <c r="C47" s="174" t="s">
        <v>747</v>
      </c>
      <c r="D47" s="347">
        <f>E47*CONVERSIONES!$C$396</f>
        <v>2489081.66</v>
      </c>
      <c r="E47" s="487">
        <v>4958.33</v>
      </c>
      <c r="F47" s="129">
        <v>46001</v>
      </c>
      <c r="G47" s="90" t="s">
        <v>235</v>
      </c>
      <c r="H47" s="90">
        <f>IF(OR(G47="Sin pagar",G47="Pagar"),_xlfn.SINGLE(NETWORKDAYS($E$4,F47,'Festivos CR'!$A$3:$A$29)),0)</f>
        <v>0</v>
      </c>
      <c r="I47" s="90">
        <f>NETWORKDAYS($E$4,F47,'Festivos CR'!$A$3:$A$29)</f>
        <v>7</v>
      </c>
      <c r="J47" s="132">
        <f t="shared" si="2"/>
        <v>0</v>
      </c>
      <c r="M47" s="137"/>
      <c r="N47" s="178"/>
      <c r="O47" s="346"/>
      <c r="P47" s="493"/>
      <c r="Q47" s="178"/>
      <c r="R47" s="178"/>
      <c r="S47" s="178"/>
    </row>
    <row r="48" spans="1:19" s="180" customFormat="1" outlineLevel="1">
      <c r="B48" s="265" t="s">
        <v>270</v>
      </c>
      <c r="C48" s="174" t="s">
        <v>1036</v>
      </c>
      <c r="D48" s="347">
        <f>E48*CONVERSIONES!$C$396</f>
        <v>924935</v>
      </c>
      <c r="E48" s="487">
        <v>1842.5</v>
      </c>
      <c r="F48" s="129">
        <v>46001</v>
      </c>
      <c r="G48" s="90" t="s">
        <v>235</v>
      </c>
      <c r="H48" s="90">
        <f>IF(OR(G48="Sin pagar",G48="Pagar"),_xlfn.SINGLE(NETWORKDAYS($E$4,F48,'Festivos CR'!$A$3:$A$29)),0)</f>
        <v>0</v>
      </c>
      <c r="I48" s="90">
        <f>NETWORKDAYS($E$4,F48,'Festivos CR'!$A$3:$A$29)</f>
        <v>7</v>
      </c>
      <c r="J48" s="132">
        <f t="shared" si="2"/>
        <v>0</v>
      </c>
      <c r="M48" s="137"/>
      <c r="N48" s="178"/>
      <c r="O48" s="346"/>
      <c r="P48" s="493"/>
      <c r="Q48" s="178"/>
      <c r="R48" s="178"/>
      <c r="S48" s="178"/>
    </row>
    <row r="49" spans="2:19" s="180" customFormat="1" outlineLevel="1">
      <c r="B49" s="265" t="s">
        <v>270</v>
      </c>
      <c r="C49" s="174" t="s">
        <v>258</v>
      </c>
      <c r="D49" s="347">
        <f>E49*CONVERSIONES!$C$396</f>
        <v>2091738.62</v>
      </c>
      <c r="E49" s="487">
        <v>4166.8100000000004</v>
      </c>
      <c r="F49" s="129">
        <v>46001</v>
      </c>
      <c r="G49" s="90" t="s">
        <v>235</v>
      </c>
      <c r="H49" s="90">
        <f>IF(OR(G49="Sin pagar",G49="Pagar"),_xlfn.SINGLE(NETWORKDAYS($E$4,F49,'Festivos CR'!$A$3:$A$29)),0)</f>
        <v>0</v>
      </c>
      <c r="I49" s="90">
        <f>NETWORKDAYS($E$4,F49,'Festivos CR'!$A$3:$A$29)</f>
        <v>7</v>
      </c>
      <c r="J49" s="132">
        <f t="shared" si="2"/>
        <v>0</v>
      </c>
      <c r="M49" s="137"/>
      <c r="N49" s="178"/>
      <c r="O49" s="346"/>
      <c r="P49" s="493"/>
      <c r="Q49" s="178"/>
      <c r="R49" s="178"/>
      <c r="S49" s="178"/>
    </row>
    <row r="50" spans="2:19" s="180" customFormat="1" outlineLevel="1">
      <c r="B50" s="265" t="s">
        <v>270</v>
      </c>
      <c r="C50" s="174" t="s">
        <v>1038</v>
      </c>
      <c r="D50" s="347">
        <f>E50*CONVERSIONES!$C$396</f>
        <v>305989.07999999996</v>
      </c>
      <c r="E50" s="487">
        <v>609.54</v>
      </c>
      <c r="F50" s="129">
        <v>46001</v>
      </c>
      <c r="G50" s="90" t="s">
        <v>235</v>
      </c>
      <c r="H50" s="90">
        <f>IF(OR(G50="Sin pagar",G50="Pagar"),_xlfn.SINGLE(NETWORKDAYS($E$4,F50,'Festivos CR'!$A$3:$A$29)),0)</f>
        <v>0</v>
      </c>
      <c r="I50" s="90">
        <f>NETWORKDAYS($E$4,F50,'Festivos CR'!$A$3:$A$29)</f>
        <v>7</v>
      </c>
      <c r="J50" s="132">
        <f t="shared" si="2"/>
        <v>0</v>
      </c>
      <c r="M50" s="137"/>
      <c r="N50" s="178"/>
      <c r="O50" s="346"/>
      <c r="P50" s="493"/>
      <c r="Q50" s="178"/>
      <c r="R50" s="178"/>
      <c r="S50" s="178"/>
    </row>
    <row r="51" spans="2:19" s="180" customFormat="1" outlineLevel="1">
      <c r="B51" s="265" t="s">
        <v>270</v>
      </c>
      <c r="C51" s="174" t="s">
        <v>1153</v>
      </c>
      <c r="D51" s="347">
        <f>E51*CONVERSIONES!$C$396</f>
        <v>2081984.76</v>
      </c>
      <c r="E51" s="487">
        <v>4147.38</v>
      </c>
      <c r="F51" s="129">
        <v>46001</v>
      </c>
      <c r="G51" s="90" t="s">
        <v>235</v>
      </c>
      <c r="H51" s="90">
        <f>IF(OR(G51="Sin pagar",G51="Pagar"),_xlfn.SINGLE(NETWORKDAYS($E$4,F51,'Festivos CR'!$A$3:$A$29)),0)</f>
        <v>0</v>
      </c>
      <c r="I51" s="90">
        <f>NETWORKDAYS($E$4,F51,'Festivos CR'!$A$3:$A$29)</f>
        <v>7</v>
      </c>
      <c r="J51" s="132">
        <f t="shared" si="2"/>
        <v>0</v>
      </c>
      <c r="M51" s="137"/>
      <c r="N51" s="178"/>
      <c r="O51" s="346"/>
      <c r="P51" s="493"/>
      <c r="Q51" s="178"/>
      <c r="R51" s="178"/>
      <c r="S51" s="178"/>
    </row>
    <row r="52" spans="2:19" s="180" customFormat="1" outlineLevel="1">
      <c r="B52" s="145" t="s">
        <v>391</v>
      </c>
      <c r="C52" s="174" t="s">
        <v>253</v>
      </c>
      <c r="D52" s="488">
        <v>1681000</v>
      </c>
      <c r="E52" s="137">
        <f>D52/CONVERSIONES!$C$396</f>
        <v>3348.6055776892431</v>
      </c>
      <c r="F52" s="129">
        <v>46001</v>
      </c>
      <c r="G52" s="90" t="s">
        <v>235</v>
      </c>
      <c r="H52" s="90">
        <f>IF(OR(G52="Sin pagar",G52="Pagar"),_xlfn.SINGLE(NETWORKDAYS($E$4,F52,'Festivos CR'!$A$3:$A$29)),0)</f>
        <v>0</v>
      </c>
      <c r="I52" s="90">
        <f>NETWORKDAYS($E$4,F52,'Festivos CR'!$A$3:$A$29)</f>
        <v>7</v>
      </c>
      <c r="J52" s="132">
        <f t="shared" si="2"/>
        <v>0</v>
      </c>
      <c r="M52" s="347"/>
      <c r="N52" s="178"/>
      <c r="O52" s="346"/>
      <c r="P52" s="494"/>
      <c r="Q52" s="493"/>
      <c r="R52" s="178"/>
      <c r="S52" s="178"/>
    </row>
    <row r="53" spans="2:19" s="180" customFormat="1" outlineLevel="1">
      <c r="B53" s="145" t="s">
        <v>391</v>
      </c>
      <c r="C53" s="174" t="s">
        <v>1152</v>
      </c>
      <c r="D53" s="488">
        <v>1058653.31</v>
      </c>
      <c r="E53" s="137">
        <f>D53/CONVERSIONES!$C$396</f>
        <v>2108.8711354581674</v>
      </c>
      <c r="F53" s="129">
        <v>46001</v>
      </c>
      <c r="G53" s="90" t="s">
        <v>235</v>
      </c>
      <c r="H53" s="90">
        <f>IF(OR(G53="Sin pagar",G53="Pagar"),_xlfn.SINGLE(NETWORKDAYS($E$4,F53,'Festivos CR'!$A$3:$A$29)),0)</f>
        <v>0</v>
      </c>
      <c r="I53" s="90">
        <f>NETWORKDAYS($E$4,F53,'Festivos CR'!$A$3:$A$29)</f>
        <v>7</v>
      </c>
      <c r="J53" s="132">
        <f t="shared" si="2"/>
        <v>0</v>
      </c>
      <c r="M53" s="347"/>
      <c r="N53" s="178"/>
      <c r="O53" s="346"/>
      <c r="P53" s="494"/>
      <c r="Q53" s="493"/>
      <c r="R53" s="178"/>
      <c r="S53" s="178"/>
    </row>
    <row r="54" spans="2:19" s="180" customFormat="1" outlineLevel="1">
      <c r="B54" s="145" t="s">
        <v>391</v>
      </c>
      <c r="C54" s="174" t="s">
        <v>255</v>
      </c>
      <c r="D54" s="488">
        <v>1681000</v>
      </c>
      <c r="E54" s="137">
        <f>D54/CONVERSIONES!$C$396</f>
        <v>3348.6055776892431</v>
      </c>
      <c r="F54" s="129">
        <v>46001</v>
      </c>
      <c r="G54" s="90" t="s">
        <v>235</v>
      </c>
      <c r="H54" s="90">
        <f>IF(OR(G54="Sin pagar",G54="Pagar"),_xlfn.SINGLE(NETWORKDAYS($E$4,F54,'Festivos CR'!$A$3:$A$29)),0)</f>
        <v>0</v>
      </c>
      <c r="I54" s="90">
        <f>NETWORKDAYS($E$4,F54,'Festivos CR'!$A$3:$A$29)</f>
        <v>7</v>
      </c>
      <c r="J54" s="132">
        <f t="shared" si="2"/>
        <v>0</v>
      </c>
      <c r="M54" s="347"/>
      <c r="N54" s="178"/>
      <c r="O54" s="346"/>
      <c r="P54" s="494"/>
      <c r="Q54" s="493"/>
      <c r="R54" s="178"/>
      <c r="S54" s="178"/>
    </row>
    <row r="55" spans="2:19" s="180" customFormat="1" outlineLevel="1">
      <c r="B55" s="145" t="s">
        <v>391</v>
      </c>
      <c r="C55" s="174" t="s">
        <v>330</v>
      </c>
      <c r="D55" s="488">
        <v>880501</v>
      </c>
      <c r="E55" s="137">
        <f>D55/CONVERSIONES!$C$396</f>
        <v>1753.9860557768925</v>
      </c>
      <c r="F55" s="129">
        <v>46001</v>
      </c>
      <c r="G55" s="90" t="s">
        <v>235</v>
      </c>
      <c r="H55" s="90">
        <f>IF(OR(G55="Sin pagar",G55="Pagar"),_xlfn.SINGLE(NETWORKDAYS($E$4,F55,'Festivos CR'!$A$3:$A$29)),0)</f>
        <v>0</v>
      </c>
      <c r="I55" s="90">
        <f>NETWORKDAYS($E$4,F55,'Festivos CR'!$A$3:$A$29)</f>
        <v>7</v>
      </c>
      <c r="J55" s="132">
        <f t="shared" si="2"/>
        <v>0</v>
      </c>
      <c r="M55" s="347"/>
      <c r="N55" s="178"/>
      <c r="O55" s="346"/>
      <c r="P55" s="494"/>
      <c r="Q55" s="493"/>
      <c r="R55" s="178"/>
      <c r="S55" s="178"/>
    </row>
    <row r="56" spans="2:19" s="180" customFormat="1" outlineLevel="1">
      <c r="B56" s="145" t="s">
        <v>391</v>
      </c>
      <c r="C56" s="174" t="s">
        <v>759</v>
      </c>
      <c r="D56" s="488">
        <v>4831531.91</v>
      </c>
      <c r="E56" s="137">
        <f>D56/CONVERSIONES!$C$396</f>
        <v>9624.5655577689249</v>
      </c>
      <c r="F56" s="129">
        <v>46001</v>
      </c>
      <c r="G56" s="90" t="s">
        <v>235</v>
      </c>
      <c r="H56" s="90">
        <f>IF(OR(G56="Sin pagar",G56="Pagar"),_xlfn.SINGLE(NETWORKDAYS($E$4,F56,'Festivos CR'!$A$3:$A$29)),0)</f>
        <v>0</v>
      </c>
      <c r="I56" s="90">
        <f>NETWORKDAYS($E$4,F56,'Festivos CR'!$A$3:$A$29)</f>
        <v>7</v>
      </c>
      <c r="J56" s="132">
        <f t="shared" si="2"/>
        <v>0</v>
      </c>
      <c r="M56" s="347"/>
      <c r="N56" s="178"/>
      <c r="O56" s="346"/>
      <c r="P56" s="494"/>
      <c r="Q56" s="493"/>
      <c r="R56" s="178"/>
      <c r="S56" s="178"/>
    </row>
    <row r="57" spans="2:19" s="180" customFormat="1" ht="15" outlineLevel="1" thickBot="1">
      <c r="B57" s="145" t="s">
        <v>391</v>
      </c>
      <c r="C57" s="174" t="s">
        <v>1123</v>
      </c>
      <c r="D57" s="488">
        <v>250000</v>
      </c>
      <c r="E57" s="137">
        <f>D57/CONVERSIONES!$C$396</f>
        <v>498.00796812749002</v>
      </c>
      <c r="F57" s="129">
        <v>46001</v>
      </c>
      <c r="G57" s="90" t="s">
        <v>235</v>
      </c>
      <c r="H57" s="90">
        <f>IF(OR(G57="Sin pagar",G57="Pagar"),_xlfn.SINGLE(NETWORKDAYS($E$4,F57,'Festivos CR'!$A$3:$A$29)),0)</f>
        <v>0</v>
      </c>
      <c r="I57" s="90">
        <f>NETWORKDAYS($E$4,F57,'Festivos CR'!$A$3:$A$29)</f>
        <v>7</v>
      </c>
      <c r="J57" s="132">
        <f t="shared" si="2"/>
        <v>0</v>
      </c>
      <c r="M57" s="347"/>
      <c r="N57" s="178"/>
      <c r="O57" s="346"/>
      <c r="P57" s="494"/>
      <c r="Q57" s="493"/>
      <c r="R57" s="178"/>
      <c r="S57" s="495"/>
    </row>
    <row r="58" spans="2:19" s="90" customFormat="1" ht="16.2" thickBot="1">
      <c r="B58" s="451"/>
      <c r="C58" s="127" t="s">
        <v>237</v>
      </c>
      <c r="D58" s="172">
        <f>SUBTOTAL(9,D59:D71)</f>
        <v>32270003.719999995</v>
      </c>
      <c r="E58" s="128">
        <f>SUBTOTAL(9,E59:E71)</f>
        <v>64282.875936254975</v>
      </c>
      <c r="K58" s="108"/>
      <c r="L58" s="143"/>
    </row>
    <row r="59" spans="2:19" s="180" customFormat="1" outlineLevel="1">
      <c r="B59" s="265" t="s">
        <v>270</v>
      </c>
      <c r="C59" s="174" t="s">
        <v>1037</v>
      </c>
      <c r="D59" s="347">
        <f>E59*CONVERSIONES!$C$396</f>
        <v>4778959.68</v>
      </c>
      <c r="E59" s="487">
        <v>9519.84</v>
      </c>
      <c r="F59" s="129">
        <v>46017</v>
      </c>
      <c r="G59" s="90" t="s">
        <v>235</v>
      </c>
      <c r="H59" s="90">
        <f>IF(OR(G59="Sin pagar",G59="Pagar"),_xlfn.SINGLE(NETWORKDAYS($E$4,F59,'Festivos CR'!$A$3:$A$29)),0)</f>
        <v>0</v>
      </c>
      <c r="I59" s="90">
        <f>NETWORKDAYS($E$4,F59,'Festivos CR'!$A$3:$A$29)</f>
        <v>18</v>
      </c>
      <c r="J59" s="132">
        <f t="shared" ref="J59:J71" si="3">H59</f>
        <v>0</v>
      </c>
      <c r="M59" s="137"/>
      <c r="N59" s="493"/>
      <c r="O59" s="346"/>
      <c r="P59" s="493"/>
      <c r="Q59" s="178"/>
      <c r="R59" s="178"/>
      <c r="S59" s="178"/>
    </row>
    <row r="60" spans="2:19" s="180" customFormat="1" outlineLevel="1">
      <c r="B60" s="265" t="s">
        <v>270</v>
      </c>
      <c r="C60" s="174" t="s">
        <v>257</v>
      </c>
      <c r="D60" s="347">
        <f>E60*CONVERSIONES!$C$396</f>
        <v>3349444.4</v>
      </c>
      <c r="E60" s="487">
        <v>6672.2</v>
      </c>
      <c r="F60" s="129">
        <v>46017</v>
      </c>
      <c r="G60" s="90" t="s">
        <v>235</v>
      </c>
      <c r="H60" s="90">
        <f>IF(OR(G60="Sin pagar",G60="Pagar"),_xlfn.SINGLE(NETWORKDAYS($E$4,F60,'Festivos CR'!$A$3:$A$29)),0)</f>
        <v>0</v>
      </c>
      <c r="I60" s="90">
        <f>NETWORKDAYS($E$4,F60,'Festivos CR'!$A$3:$A$29)</f>
        <v>18</v>
      </c>
      <c r="J60" s="132">
        <f t="shared" si="3"/>
        <v>0</v>
      </c>
      <c r="M60" s="137"/>
      <c r="N60" s="493"/>
      <c r="O60" s="346"/>
      <c r="P60" s="493"/>
      <c r="Q60" s="178"/>
      <c r="R60" s="178"/>
      <c r="S60" s="178"/>
    </row>
    <row r="61" spans="2:19" s="180" customFormat="1" outlineLevel="1">
      <c r="B61" s="265" t="s">
        <v>270</v>
      </c>
      <c r="C61" s="174" t="s">
        <v>747</v>
      </c>
      <c r="D61" s="347">
        <f>E61*CONVERSIONES!$C$396</f>
        <v>3907025.84</v>
      </c>
      <c r="E61" s="487">
        <v>7782.92</v>
      </c>
      <c r="F61" s="129">
        <v>46017</v>
      </c>
      <c r="G61" s="90" t="s">
        <v>235</v>
      </c>
      <c r="H61" s="90">
        <f>IF(OR(G61="Sin pagar",G61="Pagar"),_xlfn.SINGLE(NETWORKDAYS($E$4,F61,'Festivos CR'!$A$3:$A$29)),0)</f>
        <v>0</v>
      </c>
      <c r="I61" s="90">
        <f>NETWORKDAYS($E$4,F61,'Festivos CR'!$A$3:$A$29)</f>
        <v>18</v>
      </c>
      <c r="J61" s="132">
        <f t="shared" si="3"/>
        <v>0</v>
      </c>
      <c r="M61" s="137"/>
      <c r="N61" s="493"/>
      <c r="O61" s="346"/>
      <c r="P61" s="493"/>
      <c r="Q61" s="178"/>
      <c r="R61" s="178"/>
      <c r="S61" s="178"/>
    </row>
    <row r="62" spans="2:19" s="180" customFormat="1" outlineLevel="1">
      <c r="B62" s="265" t="s">
        <v>270</v>
      </c>
      <c r="C62" s="174" t="s">
        <v>1036</v>
      </c>
      <c r="D62" s="347">
        <f>E62*CONVERSIONES!$C$396</f>
        <v>2377376.62</v>
      </c>
      <c r="E62" s="487">
        <v>4735.8100000000004</v>
      </c>
      <c r="F62" s="129">
        <v>46017</v>
      </c>
      <c r="G62" s="90" t="s">
        <v>235</v>
      </c>
      <c r="H62" s="90">
        <f>IF(OR(G62="Sin pagar",G62="Pagar"),_xlfn.SINGLE(NETWORKDAYS($E$4,F62,'Festivos CR'!$A$3:$A$29)),0)</f>
        <v>0</v>
      </c>
      <c r="I62" s="90">
        <f>NETWORKDAYS($E$4,F62,'Festivos CR'!$A$3:$A$29)</f>
        <v>18</v>
      </c>
      <c r="J62" s="132">
        <f t="shared" si="3"/>
        <v>0</v>
      </c>
      <c r="M62" s="506"/>
      <c r="N62" s="493"/>
      <c r="O62" s="346"/>
      <c r="P62" s="493"/>
      <c r="Q62" s="178"/>
      <c r="R62" s="178"/>
      <c r="S62" s="178"/>
    </row>
    <row r="63" spans="2:19" s="180" customFormat="1" outlineLevel="1">
      <c r="B63" s="265" t="s">
        <v>270</v>
      </c>
      <c r="C63" s="174" t="s">
        <v>258</v>
      </c>
      <c r="D63" s="347">
        <f>E63*CONVERSIONES!$C$396</f>
        <v>1716543.8199999998</v>
      </c>
      <c r="E63" s="487">
        <v>3419.41</v>
      </c>
      <c r="F63" s="129">
        <v>46017</v>
      </c>
      <c r="G63" s="90" t="s">
        <v>235</v>
      </c>
      <c r="H63" s="90">
        <f>IF(OR(G63="Sin pagar",G63="Pagar"),_xlfn.SINGLE(NETWORKDAYS($E$4,F63,'Festivos CR'!$A$3:$A$29)),0)</f>
        <v>0</v>
      </c>
      <c r="I63" s="90">
        <f>NETWORKDAYS($E$4,F63,'Festivos CR'!$A$3:$A$29)</f>
        <v>18</v>
      </c>
      <c r="J63" s="132">
        <f t="shared" si="3"/>
        <v>0</v>
      </c>
      <c r="M63" s="137"/>
      <c r="N63" s="493"/>
      <c r="O63" s="346"/>
      <c r="P63" s="493"/>
      <c r="Q63" s="178"/>
      <c r="R63" s="178"/>
      <c r="S63" s="178"/>
    </row>
    <row r="64" spans="2:19" s="180" customFormat="1" outlineLevel="1">
      <c r="B64" s="265" t="s">
        <v>270</v>
      </c>
      <c r="C64" s="174" t="s">
        <v>1038</v>
      </c>
      <c r="D64" s="347">
        <f>E64*CONVERSIONES!$C$396</f>
        <v>1068527.08</v>
      </c>
      <c r="E64" s="487">
        <v>2128.54</v>
      </c>
      <c r="F64" s="129">
        <v>46017</v>
      </c>
      <c r="G64" s="90" t="s">
        <v>235</v>
      </c>
      <c r="H64" s="90">
        <f>IF(OR(G64="Sin pagar",G64="Pagar"),_xlfn.SINGLE(NETWORKDAYS($E$4,F64,'Festivos CR'!$A$3:$A$29)),0)</f>
        <v>0</v>
      </c>
      <c r="I64" s="90">
        <f>NETWORKDAYS($E$4,F64,'Festivos CR'!$A$3:$A$29)</f>
        <v>18</v>
      </c>
      <c r="J64" s="132">
        <f t="shared" si="3"/>
        <v>0</v>
      </c>
      <c r="M64" s="137"/>
      <c r="N64" s="493"/>
      <c r="O64" s="346"/>
      <c r="P64" s="493"/>
      <c r="Q64" s="178"/>
      <c r="R64" s="178"/>
      <c r="S64" s="178"/>
    </row>
    <row r="65" spans="1:19" s="180" customFormat="1" outlineLevel="1">
      <c r="B65" s="265" t="s">
        <v>270</v>
      </c>
      <c r="C65" s="174" t="s">
        <v>1153</v>
      </c>
      <c r="D65" s="347">
        <f>E65*CONVERSIONES!$C$396</f>
        <v>3799487.4</v>
      </c>
      <c r="E65" s="487">
        <v>7568.7</v>
      </c>
      <c r="F65" s="129">
        <v>46018</v>
      </c>
      <c r="G65" s="90" t="s">
        <v>235</v>
      </c>
      <c r="H65" s="90">
        <f>IF(OR(G65="Sin pagar",G65="Pagar"),_xlfn.SINGLE(NETWORKDAYS($E$4,F65,'Festivos CR'!$A$3:$A$29)),0)</f>
        <v>0</v>
      </c>
      <c r="I65" s="90">
        <f>NETWORKDAYS($E$4,F65,'Festivos CR'!$A$3:$A$29)</f>
        <v>18</v>
      </c>
      <c r="J65" s="132">
        <f t="shared" si="3"/>
        <v>0</v>
      </c>
      <c r="M65" s="137"/>
      <c r="N65" s="493"/>
      <c r="O65" s="346"/>
      <c r="P65" s="493"/>
      <c r="Q65" s="178"/>
      <c r="R65" s="178"/>
      <c r="S65" s="178"/>
    </row>
    <row r="66" spans="1:19" s="180" customFormat="1" outlineLevel="1">
      <c r="B66" s="145" t="s">
        <v>391</v>
      </c>
      <c r="C66" s="174" t="s">
        <v>253</v>
      </c>
      <c r="D66" s="488">
        <v>1409287.55</v>
      </c>
      <c r="E66" s="137">
        <f>D66/CONVERSIONES!$C$396</f>
        <v>2807.345717131474</v>
      </c>
      <c r="F66" s="129">
        <v>46018</v>
      </c>
      <c r="G66" s="90" t="s">
        <v>235</v>
      </c>
      <c r="H66" s="90">
        <f>IF(OR(G66="Sin pagar",G66="Pagar"),_xlfn.SINGLE(NETWORKDAYS($E$4,F66,'Festivos CR'!$A$3:$A$29)),0)</f>
        <v>0</v>
      </c>
      <c r="I66" s="90">
        <f>NETWORKDAYS($E$4,F66,'Festivos CR'!$A$3:$A$29)</f>
        <v>18</v>
      </c>
      <c r="J66" s="132">
        <f t="shared" si="3"/>
        <v>0</v>
      </c>
      <c r="M66" s="347"/>
      <c r="N66" s="178"/>
      <c r="O66" s="346"/>
      <c r="P66" s="494"/>
      <c r="Q66" s="493"/>
      <c r="R66" s="178"/>
      <c r="S66" s="178"/>
    </row>
    <row r="67" spans="1:19" s="180" customFormat="1" outlineLevel="1">
      <c r="B67" s="145" t="s">
        <v>391</v>
      </c>
      <c r="C67" s="174" t="s">
        <v>1152</v>
      </c>
      <c r="D67" s="488">
        <v>2039964.81</v>
      </c>
      <c r="E67" s="137">
        <f>D67/CONVERSIONES!$C$396</f>
        <v>4063.6749203187251</v>
      </c>
      <c r="F67" s="129">
        <v>46018</v>
      </c>
      <c r="G67" s="90" t="s">
        <v>235</v>
      </c>
      <c r="H67" s="90">
        <f>IF(OR(G67="Sin pagar",G67="Pagar"),_xlfn.SINGLE(NETWORKDAYS($E$4,F67,'Festivos CR'!$A$3:$A$29)),0)</f>
        <v>0</v>
      </c>
      <c r="I67" s="90">
        <f>NETWORKDAYS($E$4,F67,'Festivos CR'!$A$3:$A$29)</f>
        <v>18</v>
      </c>
      <c r="J67" s="132">
        <f t="shared" si="3"/>
        <v>0</v>
      </c>
      <c r="M67" s="347"/>
      <c r="N67" s="178"/>
      <c r="O67" s="346"/>
      <c r="P67" s="494"/>
      <c r="Q67" s="493"/>
      <c r="R67" s="178"/>
      <c r="S67" s="178"/>
    </row>
    <row r="68" spans="1:19" s="180" customFormat="1" outlineLevel="1">
      <c r="B68" s="145" t="s">
        <v>391</v>
      </c>
      <c r="C68" s="174" t="s">
        <v>255</v>
      </c>
      <c r="D68" s="488">
        <v>1409287.55</v>
      </c>
      <c r="E68" s="137">
        <f>D68/CONVERSIONES!$C$396</f>
        <v>2807.345717131474</v>
      </c>
      <c r="F68" s="129">
        <v>46018</v>
      </c>
      <c r="G68" s="90" t="s">
        <v>235</v>
      </c>
      <c r="H68" s="90">
        <f>IF(OR(G68="Sin pagar",G68="Pagar"),_xlfn.SINGLE(NETWORKDAYS($E$4,F68,'Festivos CR'!$A$3:$A$29)),0)</f>
        <v>0</v>
      </c>
      <c r="I68" s="90">
        <f>NETWORKDAYS($E$4,F68,'Festivos CR'!$A$3:$A$29)</f>
        <v>18</v>
      </c>
      <c r="J68" s="132">
        <f t="shared" si="3"/>
        <v>0</v>
      </c>
      <c r="M68" s="347"/>
      <c r="N68" s="178"/>
      <c r="O68" s="346"/>
      <c r="P68" s="494"/>
      <c r="Q68" s="493"/>
      <c r="R68" s="178"/>
      <c r="S68" s="178"/>
    </row>
    <row r="69" spans="1:19" s="180" customFormat="1" outlineLevel="1">
      <c r="B69" s="145" t="s">
        <v>391</v>
      </c>
      <c r="C69" s="174" t="s">
        <v>330</v>
      </c>
      <c r="D69" s="488">
        <v>786551.54</v>
      </c>
      <c r="E69" s="137">
        <f>D69/CONVERSIONES!$C$396</f>
        <v>1566.8357370517929</v>
      </c>
      <c r="F69" s="129">
        <v>46018</v>
      </c>
      <c r="G69" s="90" t="s">
        <v>235</v>
      </c>
      <c r="H69" s="90">
        <f>IF(OR(G69="Sin pagar",G69="Pagar"),_xlfn.SINGLE(NETWORKDAYS($E$4,F69,'Festivos CR'!$A$3:$A$29)),0)</f>
        <v>0</v>
      </c>
      <c r="I69" s="90">
        <f>NETWORKDAYS($E$4,F69,'Festivos CR'!$A$3:$A$29)</f>
        <v>18</v>
      </c>
      <c r="J69" s="132">
        <f t="shared" si="3"/>
        <v>0</v>
      </c>
      <c r="M69" s="506"/>
      <c r="N69" s="178"/>
      <c r="O69" s="346"/>
      <c r="P69" s="494"/>
      <c r="Q69" s="493"/>
      <c r="R69" s="178"/>
      <c r="S69" s="178"/>
    </row>
    <row r="70" spans="1:19" s="180" customFormat="1" outlineLevel="1">
      <c r="B70" s="145" t="s">
        <v>391</v>
      </c>
      <c r="C70" s="174" t="s">
        <v>759</v>
      </c>
      <c r="D70" s="488">
        <v>4735945.3099999996</v>
      </c>
      <c r="E70" s="137">
        <f>D70/CONVERSIONES!$C$396</f>
        <v>9434.1540039840638</v>
      </c>
      <c r="F70" s="129">
        <v>46018</v>
      </c>
      <c r="G70" s="90" t="s">
        <v>235</v>
      </c>
      <c r="H70" s="90">
        <f>IF(OR(G70="Sin pagar",G70="Pagar"),_xlfn.SINGLE(NETWORKDAYS($E$4,F70,'Festivos CR'!$A$3:$A$29)),0)</f>
        <v>0</v>
      </c>
      <c r="I70" s="90">
        <f>NETWORKDAYS($E$4,F70,'Festivos CR'!$A$3:$A$29)</f>
        <v>18</v>
      </c>
      <c r="J70" s="132">
        <f t="shared" si="3"/>
        <v>0</v>
      </c>
      <c r="M70" s="347"/>
      <c r="N70" s="178"/>
      <c r="O70" s="346"/>
      <c r="P70" s="494"/>
      <c r="Q70" s="493"/>
      <c r="R70" s="178"/>
      <c r="S70" s="178"/>
    </row>
    <row r="71" spans="1:19" s="180" customFormat="1" ht="15" outlineLevel="1" thickBot="1">
      <c r="B71" s="145" t="s">
        <v>391</v>
      </c>
      <c r="C71" s="174" t="s">
        <v>1123</v>
      </c>
      <c r="D71" s="488">
        <v>891602.12</v>
      </c>
      <c r="E71" s="137">
        <f>D71/CONVERSIONES!$C$396</f>
        <v>1776.0998406374501</v>
      </c>
      <c r="F71" s="129">
        <v>46018</v>
      </c>
      <c r="G71" s="90" t="s">
        <v>235</v>
      </c>
      <c r="H71" s="90">
        <f>IF(OR(G71="Sin pagar",G71="Pagar"),_xlfn.SINGLE(NETWORKDAYS($E$4,F71,'Festivos CR'!$A$3:$A$29)),0)</f>
        <v>0</v>
      </c>
      <c r="I71" s="90">
        <f>NETWORKDAYS($E$4,F71,'Festivos CR'!$A$3:$A$29)</f>
        <v>18</v>
      </c>
      <c r="J71" s="132">
        <f t="shared" si="3"/>
        <v>0</v>
      </c>
      <c r="M71" s="507"/>
      <c r="N71" s="178"/>
      <c r="O71" s="346"/>
      <c r="P71" s="494"/>
      <c r="Q71" s="493"/>
      <c r="R71" s="178"/>
      <c r="S71" s="495"/>
    </row>
    <row r="72" spans="1:19" s="90" customFormat="1" ht="16.2" thickBot="1">
      <c r="A72" s="180"/>
      <c r="B72" s="451"/>
      <c r="C72" s="127" t="s">
        <v>1051</v>
      </c>
      <c r="D72" s="172">
        <f>SUBTOTAL(9,D73:D75)</f>
        <v>7126360.0200000005</v>
      </c>
      <c r="E72" s="128">
        <f>SUBTOTAL(9,E73:E75)</f>
        <v>14754.368571428573</v>
      </c>
      <c r="L72" s="108"/>
    </row>
    <row r="73" spans="1:19" s="90" customFormat="1" outlineLevel="1">
      <c r="A73" s="180"/>
      <c r="B73" s="265" t="s">
        <v>270</v>
      </c>
      <c r="C73" s="101" t="s">
        <v>1334</v>
      </c>
      <c r="D73" s="347">
        <f>$E$73*$D$6</f>
        <v>97348.650000000009</v>
      </c>
      <c r="E73" s="487">
        <v>201.55</v>
      </c>
      <c r="F73" s="129">
        <v>46014</v>
      </c>
      <c r="G73" s="90" t="s">
        <v>235</v>
      </c>
      <c r="H73" s="90">
        <f>IF(OR(G73="Sin pagar",G73="Pagar"),_xlfn.SINGLE(NETWORKDAYS($E$4,F73,'Festivos CR'!$A$3:$A$29)),0)</f>
        <v>0</v>
      </c>
      <c r="I73" s="90">
        <f>NETWORKDAYS($E$4,F73,'Festivos CR'!$A$3:$A$29)</f>
        <v>16</v>
      </c>
      <c r="J73" s="132">
        <f>H73</f>
        <v>0</v>
      </c>
      <c r="L73" s="108"/>
      <c r="M73" s="392"/>
      <c r="N73" s="349"/>
      <c r="O73" s="118"/>
    </row>
    <row r="74" spans="1:19" s="90" customFormat="1" outlineLevel="1">
      <c r="A74" s="180"/>
      <c r="B74" s="145" t="s">
        <v>391</v>
      </c>
      <c r="C74" s="101" t="s">
        <v>1265</v>
      </c>
      <c r="D74" s="488">
        <v>578535.51</v>
      </c>
      <c r="E74" s="142">
        <f>D74/D6</f>
        <v>1197.7960869565218</v>
      </c>
      <c r="F74" s="129">
        <v>46014</v>
      </c>
      <c r="G74" s="90" t="s">
        <v>235</v>
      </c>
      <c r="H74" s="90">
        <f>IF(OR(G74="Sin pagar",G74="Pagar"),_xlfn.SINGLE(NETWORKDAYS($E$4,F74,'Festivos CR'!$A$3:$A$29)),0)</f>
        <v>0</v>
      </c>
      <c r="I74" s="90">
        <f>NETWORKDAYS($E$4,F74,'Festivos CR'!$A$3:$A$29)</f>
        <v>16</v>
      </c>
      <c r="J74" s="132">
        <f>H74</f>
        <v>0</v>
      </c>
      <c r="L74" s="108"/>
      <c r="M74" s="392"/>
      <c r="N74" s="349"/>
      <c r="O74" s="118"/>
    </row>
    <row r="75" spans="1:19" s="90" customFormat="1" ht="15" outlineLevel="1" thickBot="1">
      <c r="A75" s="180"/>
      <c r="B75" s="145" t="s">
        <v>391</v>
      </c>
      <c r="C75" s="101" t="s">
        <v>1265</v>
      </c>
      <c r="D75" s="488">
        <v>6450475.8600000003</v>
      </c>
      <c r="E75" s="142">
        <f>D75/D6</f>
        <v>13355.022484472051</v>
      </c>
      <c r="F75" s="129">
        <v>46022</v>
      </c>
      <c r="G75" s="90" t="s">
        <v>235</v>
      </c>
      <c r="H75" s="90">
        <f>IF(OR(G75="Sin pagar",G75="Pagar"),_xlfn.SINGLE(NETWORKDAYS($E$4,F75,'Festivos CR'!$A$3:$A$29)),0)</f>
        <v>0</v>
      </c>
      <c r="I75" s="90">
        <f>NETWORKDAYS($E$4,F75,'Festivos CR'!$A$3:$A$29)</f>
        <v>20</v>
      </c>
      <c r="J75" s="132">
        <f>H75</f>
        <v>0</v>
      </c>
      <c r="L75" s="108"/>
      <c r="M75" s="392"/>
      <c r="N75" s="349"/>
      <c r="O75" s="118"/>
    </row>
    <row r="76" spans="1:19" s="90" customFormat="1" ht="16.2" thickBot="1">
      <c r="A76" s="180"/>
      <c r="B76" s="451"/>
      <c r="C76" s="127" t="s">
        <v>992</v>
      </c>
      <c r="D76" s="172">
        <f>SUBTOTAL(9,D77:D77)</f>
        <v>0</v>
      </c>
      <c r="E76" s="128">
        <f>SUBTOTAL(9,E77:E77)</f>
        <v>0</v>
      </c>
      <c r="L76" s="108"/>
    </row>
    <row r="77" spans="1:19" s="90" customFormat="1" ht="15" outlineLevel="1" thickBot="1">
      <c r="A77" s="180"/>
      <c r="B77" s="146"/>
      <c r="C77" s="101" t="s">
        <v>1261</v>
      </c>
      <c r="D77" s="170">
        <v>0</v>
      </c>
      <c r="E77" s="142">
        <f>D77/D6</f>
        <v>0</v>
      </c>
      <c r="F77" s="129">
        <v>46021</v>
      </c>
      <c r="G77" s="90" t="s">
        <v>235</v>
      </c>
      <c r="H77" s="90">
        <f>IF(OR(G77="Sin pagar",G77="Pagar"),_xlfn.SINGLE(NETWORKDAYS($E$4,F77,'Festivos CR'!$A$3:$A$29)),0)</f>
        <v>0</v>
      </c>
      <c r="I77" s="90">
        <f>NETWORKDAYS($E$4,F77,'Festivos CR'!$A$3:$A$29)</f>
        <v>20</v>
      </c>
      <c r="J77" s="132">
        <f>H77</f>
        <v>0</v>
      </c>
      <c r="L77" s="108"/>
      <c r="M77" s="392"/>
      <c r="N77" s="349"/>
      <c r="O77" s="118"/>
    </row>
    <row r="78" spans="1:19" s="90" customFormat="1" ht="16.2" thickBot="1">
      <c r="A78" s="180"/>
      <c r="B78" s="451"/>
      <c r="C78" s="127" t="s">
        <v>238</v>
      </c>
      <c r="D78" s="172">
        <f>SUBTOTAL(9,D79:D83)</f>
        <v>6771204.75</v>
      </c>
      <c r="E78" s="128">
        <f>SUBTOTAL(9,E79:E83)</f>
        <v>14019.05745341615</v>
      </c>
      <c r="L78" s="108"/>
    </row>
    <row r="79" spans="1:19" s="90" customFormat="1" outlineLevel="1">
      <c r="A79" s="180"/>
      <c r="B79" s="473" t="s">
        <v>1113</v>
      </c>
      <c r="C79" s="101" t="s">
        <v>1290</v>
      </c>
      <c r="D79" s="170">
        <f>$E$79*$D$6</f>
        <v>5796000</v>
      </c>
      <c r="E79" s="142">
        <v>12000</v>
      </c>
      <c r="F79" s="129">
        <v>46000</v>
      </c>
      <c r="G79" s="90" t="s">
        <v>235</v>
      </c>
      <c r="H79" s="90">
        <f>IF(OR(G79="Sin pagar",G79="Pagar"),_xlfn.SINGLE(NETWORKDAYS($E$4,F79,'Festivos CR'!$A$3:$A$29)),0)</f>
        <v>0</v>
      </c>
      <c r="I79" s="90">
        <f>NETWORKDAYS($E$4,F79,'Festivos CR'!$A$3:$A$29)</f>
        <v>6</v>
      </c>
      <c r="J79" s="132">
        <f>H79</f>
        <v>0</v>
      </c>
      <c r="L79" s="108"/>
      <c r="M79" s="392"/>
    </row>
    <row r="80" spans="1:19" s="90" customFormat="1" outlineLevel="1">
      <c r="A80" s="180"/>
      <c r="B80" s="473" t="s">
        <v>1113</v>
      </c>
      <c r="C80" s="101" t="s">
        <v>1298</v>
      </c>
      <c r="D80" s="170">
        <v>134181</v>
      </c>
      <c r="E80" s="142">
        <f>D80/D6</f>
        <v>277.80745341614909</v>
      </c>
      <c r="F80" s="129">
        <v>46001</v>
      </c>
      <c r="G80" s="90" t="s">
        <v>235</v>
      </c>
      <c r="H80" s="90">
        <f>IF(OR(G80="Sin pagar",G80="Pagar"),_xlfn.SINGLE(NETWORKDAYS($E$4,F80,'Festivos CR'!$A$3:$A$29)),0)</f>
        <v>0</v>
      </c>
      <c r="I80" s="90">
        <f>NETWORKDAYS($E$4,F80,'Festivos CR'!$A$3:$A$29)</f>
        <v>7</v>
      </c>
      <c r="J80" s="132">
        <f>H80</f>
        <v>0</v>
      </c>
      <c r="L80" s="108"/>
      <c r="M80" s="392"/>
    </row>
    <row r="81" spans="1:16" s="90" customFormat="1" outlineLevel="1">
      <c r="A81" s="180"/>
      <c r="B81" s="473">
        <v>2108</v>
      </c>
      <c r="C81" s="101" t="s">
        <v>1318</v>
      </c>
      <c r="D81" s="170">
        <f>E81*D6</f>
        <v>122802.75</v>
      </c>
      <c r="E81" s="142">
        <v>254.25</v>
      </c>
      <c r="F81" s="129">
        <v>46002</v>
      </c>
      <c r="G81" s="90" t="s">
        <v>235</v>
      </c>
      <c r="H81" s="90">
        <f>IF(OR(G81="Sin pagar",G81="Pagar"),_xlfn.SINGLE(NETWORKDAYS($E$4,F81,'Festivos CR'!$A$3:$A$29)),0)</f>
        <v>0</v>
      </c>
      <c r="I81" s="90">
        <f>NETWORKDAYS($E$4,F81,'Festivos CR'!$A$3:$A$29)</f>
        <v>8</v>
      </c>
      <c r="J81" s="132">
        <f>H81</f>
        <v>0</v>
      </c>
      <c r="L81" s="108"/>
      <c r="M81" s="392"/>
    </row>
    <row r="82" spans="1:16" s="90" customFormat="1" outlineLevel="1">
      <c r="A82" s="180"/>
      <c r="B82" s="473">
        <v>702202</v>
      </c>
      <c r="C82" s="101" t="s">
        <v>1324</v>
      </c>
      <c r="D82" s="170">
        <f>E82*D6</f>
        <v>32844</v>
      </c>
      <c r="E82" s="142">
        <v>68</v>
      </c>
      <c r="F82" s="129">
        <v>46002</v>
      </c>
      <c r="G82" s="90" t="s">
        <v>235</v>
      </c>
      <c r="H82" s="90">
        <f>IF(OR(G82="Sin pagar",G82="Pagar"),_xlfn.SINGLE(NETWORKDAYS($E$4,F82,'Festivos CR'!$A$3:$A$29)),0)</f>
        <v>0</v>
      </c>
      <c r="I82" s="90">
        <f>NETWORKDAYS($E$4,F82,'Festivos CR'!$A$3:$A$29)</f>
        <v>8</v>
      </c>
      <c r="J82" s="132">
        <f>H82</f>
        <v>0</v>
      </c>
      <c r="L82" s="108"/>
      <c r="M82" s="392"/>
    </row>
    <row r="83" spans="1:16" s="90" customFormat="1" ht="15" outlineLevel="1" thickBot="1">
      <c r="A83" s="180"/>
      <c r="B83" s="522" t="s">
        <v>1366</v>
      </c>
      <c r="C83" s="101" t="s">
        <v>1332</v>
      </c>
      <c r="D83" s="170">
        <f>E83*D6</f>
        <v>685377</v>
      </c>
      <c r="E83" s="142">
        <v>1419</v>
      </c>
      <c r="F83" s="129">
        <v>46018</v>
      </c>
      <c r="G83" s="90" t="s">
        <v>235</v>
      </c>
      <c r="H83" s="90">
        <f>IF(OR(G83="Sin pagar",G83="Pagar"),_xlfn.SINGLE(NETWORKDAYS($E$4,F83,'Festivos CR'!$A$3:$A$29)),0)</f>
        <v>0</v>
      </c>
      <c r="I83" s="90">
        <f>NETWORKDAYS($E$4,F83,'Festivos CR'!$A$3:$A$29)</f>
        <v>18</v>
      </c>
      <c r="J83" s="132">
        <f>H83</f>
        <v>0</v>
      </c>
      <c r="L83" s="108"/>
      <c r="M83" s="392"/>
    </row>
    <row r="84" spans="1:16" s="90" customFormat="1" ht="14.25" customHeight="1">
      <c r="B84" s="100"/>
      <c r="C84" s="147" t="s">
        <v>239</v>
      </c>
      <c r="D84" s="171">
        <f>SUBTOTAL(9,D25:D83)</f>
        <v>90235563.24000001</v>
      </c>
      <c r="E84" s="148">
        <f>SUBTOTAL(9,E25:E83)</f>
        <v>182228.38101787466</v>
      </c>
      <c r="K84" s="490"/>
      <c r="L84" s="490"/>
      <c r="N84" s="490"/>
      <c r="O84" s="490"/>
      <c r="P84" s="490"/>
    </row>
    <row r="85" spans="1:16" ht="15.6">
      <c r="A85" s="90"/>
      <c r="E85" s="149"/>
      <c r="F85" s="239"/>
      <c r="G85" s="150"/>
      <c r="H85" s="150"/>
      <c r="I85" s="150"/>
      <c r="J85" s="150"/>
    </row>
    <row r="86" spans="1:16" ht="15.6">
      <c r="A86" s="90"/>
      <c r="C86" s="151" t="s">
        <v>3</v>
      </c>
      <c r="D86" s="182">
        <f>D20-D84</f>
        <v>26037235.026531175</v>
      </c>
      <c r="E86" s="152">
        <f>E20-E84</f>
        <v>56743.035827945598</v>
      </c>
      <c r="F86" s="243"/>
      <c r="G86" s="153"/>
      <c r="J86" s="153"/>
    </row>
    <row r="87" spans="1:16" s="157" customFormat="1" ht="15.6">
      <c r="A87" s="90"/>
      <c r="B87" s="154"/>
      <c r="C87" s="151" t="s">
        <v>240</v>
      </c>
      <c r="D87" s="155">
        <f>IF($D$20=0,0,D86/$D$20)</f>
        <v>0.22393229899607503</v>
      </c>
      <c r="E87" s="155">
        <f>IF($E$20=0,0,E86/$E$20)</f>
        <v>0.23744695736793955</v>
      </c>
      <c r="F87" s="156"/>
      <c r="G87" s="153"/>
      <c r="J87" s="158"/>
      <c r="K87" s="490"/>
      <c r="L87" s="490"/>
      <c r="N87" s="490"/>
      <c r="O87" s="490"/>
      <c r="P87" s="490"/>
    </row>
    <row r="88" spans="1:16">
      <c r="A88" s="90"/>
      <c r="F88" s="156"/>
      <c r="G88" s="153"/>
    </row>
    <row r="91" spans="1:16" ht="15" thickBot="1">
      <c r="C91" s="189" t="s">
        <v>260</v>
      </c>
      <c r="D91" s="190" t="s">
        <v>261</v>
      </c>
      <c r="E91" s="191" t="s">
        <v>265</v>
      </c>
      <c r="F91" s="191" t="s">
        <v>266</v>
      </c>
    </row>
    <row r="92" spans="1:16">
      <c r="C92" s="498">
        <v>45992</v>
      </c>
      <c r="D92" s="499">
        <v>45998</v>
      </c>
      <c r="E92" s="500">
        <f t="shared" ref="E92:E104" si="4">SUMIFS($D$24:$D$89,$F$24:$F$89,"&gt;="&amp;C92,$F$24:$F$89,"&lt;="&amp;D92,$G$24:$G$89,$D$115)</f>
        <v>0</v>
      </c>
      <c r="F92" s="501">
        <f t="shared" ref="F92:F104" si="5">SUMIFS($E$24:$E$89,$F$24:$F$89,"&gt;="&amp;C92,$F$24:$F$89,"&lt;="&amp;D92,$G$24:$G$89,$D$115)</f>
        <v>0</v>
      </c>
    </row>
    <row r="93" spans="1:16">
      <c r="C93" s="403">
        <v>45999</v>
      </c>
      <c r="D93" s="398">
        <v>45999</v>
      </c>
      <c r="E93" s="404">
        <f t="shared" si="4"/>
        <v>0</v>
      </c>
      <c r="F93" s="405">
        <f t="shared" si="5"/>
        <v>0</v>
      </c>
    </row>
    <row r="94" spans="1:16">
      <c r="C94" s="403">
        <v>46000</v>
      </c>
      <c r="D94" s="398">
        <v>46001</v>
      </c>
      <c r="E94" s="404">
        <f t="shared" si="4"/>
        <v>0</v>
      </c>
      <c r="F94" s="405">
        <f t="shared" si="5"/>
        <v>0</v>
      </c>
      <c r="G94" s="497" t="s">
        <v>1291</v>
      </c>
    </row>
    <row r="95" spans="1:16">
      <c r="C95" s="403">
        <v>46002</v>
      </c>
      <c r="D95" s="397">
        <v>46002</v>
      </c>
      <c r="E95" s="404">
        <f t="shared" si="4"/>
        <v>0</v>
      </c>
      <c r="F95" s="405">
        <f t="shared" si="5"/>
        <v>0</v>
      </c>
    </row>
    <row r="96" spans="1:16">
      <c r="C96" s="403">
        <v>46003</v>
      </c>
      <c r="D96" s="397">
        <v>46003</v>
      </c>
      <c r="E96" s="404">
        <f t="shared" si="4"/>
        <v>0</v>
      </c>
      <c r="F96" s="405">
        <f t="shared" si="5"/>
        <v>0</v>
      </c>
      <c r="G96" s="496" t="s">
        <v>1293</v>
      </c>
    </row>
    <row r="97" spans="2:13">
      <c r="C97" s="403">
        <v>46004</v>
      </c>
      <c r="D97" s="398">
        <v>46005</v>
      </c>
      <c r="E97" s="404">
        <f t="shared" si="4"/>
        <v>0</v>
      </c>
      <c r="F97" s="405">
        <f t="shared" si="5"/>
        <v>0</v>
      </c>
    </row>
    <row r="98" spans="2:13">
      <c r="C98" s="403">
        <v>46006</v>
      </c>
      <c r="D98" s="397">
        <v>46006</v>
      </c>
      <c r="E98" s="404">
        <f t="shared" si="4"/>
        <v>0</v>
      </c>
      <c r="F98" s="405">
        <f t="shared" si="5"/>
        <v>0</v>
      </c>
      <c r="G98" s="497" t="s">
        <v>1292</v>
      </c>
    </row>
    <row r="99" spans="2:13">
      <c r="C99" s="403">
        <v>46007</v>
      </c>
      <c r="D99" s="398">
        <v>46012</v>
      </c>
      <c r="E99" s="404">
        <f t="shared" si="4"/>
        <v>0</v>
      </c>
      <c r="F99" s="405">
        <f t="shared" si="5"/>
        <v>0</v>
      </c>
      <c r="G99" s="496" t="s">
        <v>1166</v>
      </c>
    </row>
    <row r="100" spans="2:13">
      <c r="C100" s="403">
        <v>46013</v>
      </c>
      <c r="D100" s="398">
        <v>46016</v>
      </c>
      <c r="E100" s="404">
        <f t="shared" si="4"/>
        <v>0</v>
      </c>
      <c r="F100" s="405">
        <f t="shared" si="5"/>
        <v>0</v>
      </c>
      <c r="J100" s="382"/>
    </row>
    <row r="101" spans="2:13">
      <c r="C101" s="403">
        <v>46017</v>
      </c>
      <c r="D101" s="397">
        <v>46017</v>
      </c>
      <c r="E101" s="404">
        <f t="shared" si="4"/>
        <v>0</v>
      </c>
      <c r="F101" s="405">
        <f t="shared" si="5"/>
        <v>0</v>
      </c>
      <c r="G101" s="497" t="s">
        <v>1294</v>
      </c>
    </row>
    <row r="102" spans="2:13">
      <c r="C102" s="403">
        <v>46018</v>
      </c>
      <c r="D102" s="397">
        <v>46019</v>
      </c>
      <c r="E102" s="404">
        <f t="shared" si="4"/>
        <v>0</v>
      </c>
      <c r="F102" s="405">
        <f t="shared" si="5"/>
        <v>0</v>
      </c>
    </row>
    <row r="103" spans="2:13">
      <c r="C103" s="403">
        <v>46020</v>
      </c>
      <c r="D103" s="397">
        <v>46022</v>
      </c>
      <c r="E103" s="404">
        <f t="shared" si="4"/>
        <v>0</v>
      </c>
      <c r="F103" s="405">
        <f t="shared" si="5"/>
        <v>0</v>
      </c>
      <c r="G103" s="496" t="s">
        <v>596</v>
      </c>
    </row>
    <row r="104" spans="2:13" s="523" customFormat="1" ht="15" thickBot="1">
      <c r="B104" s="524"/>
      <c r="C104" s="406">
        <v>46023</v>
      </c>
      <c r="D104" s="399">
        <v>46024</v>
      </c>
      <c r="E104" s="407">
        <f t="shared" si="4"/>
        <v>0</v>
      </c>
      <c r="F104" s="408">
        <f t="shared" si="5"/>
        <v>0</v>
      </c>
      <c r="G104" s="496"/>
    </row>
    <row r="105" spans="2:13" ht="15.6">
      <c r="C105" s="589" t="s">
        <v>262</v>
      </c>
      <c r="D105" s="589"/>
      <c r="E105" s="186">
        <f>SUM(E92:E104)</f>
        <v>0</v>
      </c>
      <c r="F105" s="200">
        <f>SUM(F92:F104)</f>
        <v>0</v>
      </c>
      <c r="G105" s="94"/>
      <c r="J105" s="153"/>
      <c r="K105" s="153"/>
      <c r="M105" s="206"/>
    </row>
    <row r="108" spans="2:13">
      <c r="C108" s="591"/>
      <c r="D108" s="593"/>
    </row>
    <row r="109" spans="2:13">
      <c r="C109" s="592" t="s">
        <v>1065</v>
      </c>
      <c r="D109" s="592"/>
      <c r="E109" s="204">
        <f>'BAC SAN JOSE COLONES  '!$G$547+('BAC SAN JOSE USD'!$G$550*$D$6)</f>
        <v>65649421.016531199</v>
      </c>
      <c r="F109" s="452">
        <f>('BAC SAN JOSE COLONES  '!G547/$D$6)+'BAC SAN JOSE USD'!G549</f>
        <v>250920.12632822193</v>
      </c>
      <c r="J109" s="324"/>
      <c r="M109" s="206"/>
    </row>
    <row r="110" spans="2:13">
      <c r="C110" s="594" t="s">
        <v>1333</v>
      </c>
      <c r="D110" s="592"/>
      <c r="E110" s="204">
        <f>SUM(E92:E103)</f>
        <v>0</v>
      </c>
      <c r="F110" s="452">
        <f>SUM(F92:F103)</f>
        <v>0</v>
      </c>
      <c r="J110" s="324"/>
    </row>
    <row r="111" spans="2:13">
      <c r="C111" s="588" t="s">
        <v>152</v>
      </c>
      <c r="D111" s="588"/>
      <c r="E111" s="446">
        <f>E109-E110</f>
        <v>65649421.016531199</v>
      </c>
      <c r="F111" s="447">
        <f>F109-F110</f>
        <v>250920.12632822193</v>
      </c>
      <c r="G111" s="467"/>
      <c r="J111" s="206"/>
    </row>
    <row r="114" spans="4:7">
      <c r="D114" s="90" t="s">
        <v>235</v>
      </c>
      <c r="E114" s="170">
        <f>SUMIFS($D$24:$D$89,$F$24:$F$89,"&gt;="&amp;$C$92,$F$24:$F$89,"&lt;="&amp;D104,$G$24:$G$89,$D$114)</f>
        <v>90235563.24000001</v>
      </c>
      <c r="F114" s="206">
        <f>SUMIFS($E$24:$E$88,$F$24:$F$88,"&gt;="&amp;C92,$F$24:$F$88,"&lt;="&amp;D104,$G$24:$G$88,$D$114)</f>
        <v>182228.38101787466</v>
      </c>
    </row>
    <row r="115" spans="4:7">
      <c r="D115" s="90" t="s">
        <v>231</v>
      </c>
      <c r="E115" s="170">
        <f>SUMIFS($D$24:$D$89,$F$24:$F$89,"&gt;="&amp;$C$92,$F$24:$F$89,"&lt;="&amp;D103,$G$24:$G$89,$D$115)</f>
        <v>0</v>
      </c>
      <c r="F115" s="206">
        <f>SUMIFS($E$24:$E$88,$F$24:$F$88,"&gt;="&amp;C92,$F$24:$F$88,"&lt;="&amp;D103,$G$24:$G$88,$D$115)</f>
        <v>0</v>
      </c>
    </row>
    <row r="116" spans="4:7">
      <c r="D116" s="185" t="s">
        <v>263</v>
      </c>
      <c r="E116" s="194">
        <f>SUM(E114:E115)</f>
        <v>90235563.24000001</v>
      </c>
      <c r="F116" s="199">
        <f>SUM(F114:F115)</f>
        <v>182228.38101787466</v>
      </c>
      <c r="G116" s="206"/>
    </row>
    <row r="117" spans="4:7">
      <c r="D117" s="185" t="s">
        <v>264</v>
      </c>
      <c r="E117" s="194">
        <f>(D84-E116)</f>
        <v>0</v>
      </c>
      <c r="F117" s="199">
        <f>F116-E84</f>
        <v>0</v>
      </c>
    </row>
    <row r="121" spans="4:7">
      <c r="D121" s="529" t="s">
        <v>400</v>
      </c>
      <c r="E121" s="530">
        <f>D86</f>
        <v>26037235.026531175</v>
      </c>
    </row>
    <row r="122" spans="4:7">
      <c r="D122" s="529" t="s">
        <v>401</v>
      </c>
      <c r="E122" s="531">
        <f>'BAC SAN JOSE COLONES  '!G547+('BAC SAN JOSE USD'!$G$504*$D$6)</f>
        <v>51579234.956531197</v>
      </c>
    </row>
    <row r="123" spans="4:7">
      <c r="D123" s="529" t="s">
        <v>701</v>
      </c>
      <c r="E123" s="530">
        <f>E122-E121</f>
        <v>25541999.930000022</v>
      </c>
    </row>
    <row r="124" spans="4:7">
      <c r="D124" s="529" t="s">
        <v>702</v>
      </c>
      <c r="E124" s="529">
        <f>E123/D6</f>
        <v>52881.98743271226</v>
      </c>
    </row>
  </sheetData>
  <protectedRanges>
    <protectedRange sqref="F20:G20 D88:E88 D10:E11" name="Presupuestos"/>
    <protectedRange sqref="D8:E8 D24:E24" name="Presupuestos_1"/>
    <protectedRange sqref="D31:E32" name="Presupuestos_13_1"/>
    <protectedRange sqref="D35:E35" name="Presupuestos_14"/>
    <protectedRange sqref="D67:E67 E68 D69:E71 E66 M67 M69:M71 D59:E65 M59:M65 D53:E53 E54 D55:E57 E52 M53 M55:M57 D45:E51 M45:M51" name="Presupuestos_2_1_1_1"/>
    <protectedRange sqref="E77 E34 E73:E75 E79:E83 E36" name="Presupuestos_6_1_1_1"/>
    <protectedRange sqref="D68 D66 M68 M66 D54 D52 M54 M52" name="Presupuestos_5_2_1"/>
    <protectedRange sqref="D40:E43" name="Presupuestos_7_1"/>
    <protectedRange sqref="D77 D34 D73:D75 D79:D83 D36" name="Presupuestos_5_3"/>
    <protectedRange sqref="D38:E38" name="Presupuestos_13_1_1"/>
  </protectedRanges>
  <autoFilter ref="A24:S83" xr:uid="{5B328F86-6EF5-435A-8D69-33F4B170F3B9}"/>
  <mergeCells count="8">
    <mergeCell ref="C110:D110"/>
    <mergeCell ref="C111:D111"/>
    <mergeCell ref="D7:E7"/>
    <mergeCell ref="B23:C23"/>
    <mergeCell ref="D23:E23"/>
    <mergeCell ref="C105:D105"/>
    <mergeCell ref="C108:D108"/>
    <mergeCell ref="C109:D109"/>
  </mergeCells>
  <dataValidations disablePrompts="1" count="4">
    <dataValidation type="list" allowBlank="1" showInputMessage="1" showErrorMessage="1" sqref="D23 D7" xr:uid="{51CEFC8F-2ACB-488C-B85E-4D382F26F9B8}">
      <formula1>"ENERO,FEBRERO,MARZO,ABRIL,MAYO,JUNIO,JULIO,AGOSTO,SEPTIEMBRE,OCTUBRE,NOVIEMBRE,DICIEMBRE"</formula1>
    </dataValidation>
    <dataValidation type="list" allowBlank="1" showInputMessage="1" showErrorMessage="1" sqref="G89:G90 G77 D114:D115 G25:G26 G38 G31:G32 G28:G29 G45:G57 G73:G75 G40:G43 G59:G71 G79:G83 G34:G36" xr:uid="{6A80011E-932C-45C6-9D9F-16E510BE26EB}">
      <formula1>"Cancelado,Pagar,Sin Pagar"</formula1>
    </dataValidation>
    <dataValidation type="list" allowBlank="1" showInputMessage="1" showErrorMessage="1" sqref="O37" xr:uid="{7139E1FC-3955-4FB7-9761-21A57953B8F1}">
      <formula1>"0,1"</formula1>
    </dataValidation>
    <dataValidation type="list" allowBlank="1" showInputMessage="1" showErrorMessage="1" sqref="B13:B19" xr:uid="{36E072C3-2131-44ED-BD47-D4943592F695}">
      <formula1>"Sin Pagar,Pagado"</formula1>
    </dataValidation>
  </dataValidations>
  <pageMargins left="0.7" right="0.7" top="0.75" bottom="0.75" header="0.3" footer="0.3"/>
  <pageSetup orientation="portrait" r:id="rId1"/>
  <ignoredErrors>
    <ignoredError sqref="J37:J43 J76:J84 J26:J35 J45:J74" unlockedFormula="1"/>
  </ignoredError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8BC8-8B9F-4696-A99B-0B908BB8AA57}">
  <dimension ref="A1:S102"/>
  <sheetViews>
    <sheetView showGridLines="0" topLeftCell="A82" zoomScaleNormal="100" workbookViewId="0">
      <selection activeCell="E20" sqref="E20:E21"/>
    </sheetView>
  </sheetViews>
  <sheetFormatPr baseColWidth="10" defaultColWidth="9.109375" defaultRowHeight="14.4" outlineLevelRow="1"/>
  <cols>
    <col min="1" max="1" width="2.109375" style="526" customWidth="1"/>
    <col min="2" max="2" width="18.88671875" style="527" bestFit="1" customWidth="1"/>
    <col min="3" max="3" width="59.88671875" style="526" customWidth="1"/>
    <col min="4" max="4" width="24.44140625" style="528" customWidth="1"/>
    <col min="5" max="5" width="19.33203125" style="528" bestFit="1" customWidth="1"/>
    <col min="6" max="6" width="23.5546875" style="526" customWidth="1"/>
    <col min="7" max="7" width="18.88671875" style="526" customWidth="1"/>
    <col min="8" max="8" width="7.6640625" style="526" hidden="1" customWidth="1"/>
    <col min="9" max="9" width="12.109375" style="526" hidden="1" customWidth="1"/>
    <col min="10" max="10" width="25.33203125" style="526" customWidth="1"/>
    <col min="11" max="11" width="2.109375" style="526" customWidth="1"/>
    <col min="12" max="12" width="2.33203125" style="526" customWidth="1"/>
    <col min="13" max="13" width="17.109375" style="526" bestFit="1" customWidth="1"/>
    <col min="14" max="14" width="15.5546875" style="526" bestFit="1" customWidth="1"/>
    <col min="15" max="15" width="6.33203125" style="526" bestFit="1" customWidth="1"/>
    <col min="16" max="16" width="19.33203125" style="526" bestFit="1" customWidth="1"/>
    <col min="17" max="17" width="15.33203125" style="526" bestFit="1" customWidth="1"/>
    <col min="18" max="18" width="14" style="526" bestFit="1" customWidth="1"/>
    <col min="19" max="19" width="13" style="526" bestFit="1" customWidth="1"/>
    <col min="20" max="16384" width="9.109375" style="526"/>
  </cols>
  <sheetData>
    <row r="1" spans="2:9" hidden="1">
      <c r="D1" s="528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46023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491</v>
      </c>
      <c r="E6" s="89"/>
      <c r="I6" s="90"/>
    </row>
    <row r="7" spans="2:9" ht="15.6">
      <c r="C7" s="94"/>
      <c r="D7" s="590" t="s">
        <v>206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SUBTOTAL(9,D10:D11)</f>
        <v>27042490.632860169</v>
      </c>
      <c r="E9" s="98">
        <f>SUBTOTAL(9,E10:E11)</f>
        <v>55076.355667739655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'!$G$539-894422.599999994</f>
        <v>21436150.975670014</v>
      </c>
      <c r="E10" s="218">
        <f>$D$10/$D$6</f>
        <v>43658.148626619171</v>
      </c>
      <c r="F10" s="103"/>
    </row>
    <row r="11" spans="2:9" s="90" customFormat="1" outlineLevel="1">
      <c r="B11" s="100"/>
      <c r="C11" s="101" t="s">
        <v>221</v>
      </c>
      <c r="D11" s="169">
        <f>$E$11*$D$6</f>
        <v>5606339.6571901571</v>
      </c>
      <c r="E11" s="218">
        <f>'BAC SAN JOSE USD'!$G$504</f>
        <v>11418.207041120482</v>
      </c>
      <c r="F11" s="103"/>
    </row>
    <row r="12" spans="2:9" s="90" customFormat="1" ht="15.6">
      <c r="B12" s="100"/>
      <c r="C12" s="104" t="s">
        <v>222</v>
      </c>
      <c r="D12" s="167">
        <f>SUBTOTAL(9,D13:D20)</f>
        <v>74494357.560000002</v>
      </c>
      <c r="E12" s="98">
        <f>SUBTOTAL(9,E13:E20)</f>
        <v>150602.50999999998</v>
      </c>
      <c r="F12" s="105"/>
    </row>
    <row r="13" spans="2:9" s="178" customFormat="1" outlineLevel="1">
      <c r="B13" s="328" t="s">
        <v>533</v>
      </c>
      <c r="C13" s="540" t="s">
        <v>1053</v>
      </c>
      <c r="D13" s="330">
        <f>E13*$D$6</f>
        <v>356357.98</v>
      </c>
      <c r="E13" s="331">
        <f>725.78</f>
        <v>725.78</v>
      </c>
    </row>
    <row r="14" spans="2:9" s="178" customFormat="1" ht="13.5" customHeight="1" outlineLevel="1">
      <c r="B14" s="328" t="s">
        <v>533</v>
      </c>
      <c r="C14" s="329" t="s">
        <v>1369</v>
      </c>
      <c r="D14" s="410">
        <f>E14*490</f>
        <v>6606537.7000000002</v>
      </c>
      <c r="E14" s="331">
        <f>13482.73</f>
        <v>13482.73</v>
      </c>
      <c r="F14" s="441"/>
      <c r="G14" s="464"/>
    </row>
    <row r="15" spans="2:9" s="178" customFormat="1" outlineLevel="1">
      <c r="B15" s="328" t="s">
        <v>533</v>
      </c>
      <c r="C15" s="329" t="s">
        <v>1389</v>
      </c>
      <c r="D15" s="330">
        <f>$E$15*$D$6</f>
        <v>39749106.310000002</v>
      </c>
      <c r="E15" s="331">
        <v>80955.41</v>
      </c>
      <c r="F15" s="272">
        <f>E13+E19</f>
        <v>5058.0599999999995</v>
      </c>
      <c r="G15" s="439"/>
    </row>
    <row r="16" spans="2:9" s="178" customFormat="1" outlineLevel="1">
      <c r="B16" s="328" t="s">
        <v>533</v>
      </c>
      <c r="C16" s="329" t="s">
        <v>1390</v>
      </c>
      <c r="D16" s="330">
        <f>$E$16*$D$6</f>
        <v>4109989.15</v>
      </c>
      <c r="E16" s="331">
        <v>8370.65</v>
      </c>
      <c r="F16" s="474"/>
      <c r="G16" s="272"/>
    </row>
    <row r="17" spans="1:19" s="178" customFormat="1" ht="14.25" customHeight="1" outlineLevel="1">
      <c r="B17" s="328" t="s">
        <v>533</v>
      </c>
      <c r="C17" s="329" t="s">
        <v>1392</v>
      </c>
      <c r="D17" s="330">
        <f>$E$17*$D$6</f>
        <v>9218672.2999999989</v>
      </c>
      <c r="E17" s="331">
        <v>18775.3</v>
      </c>
      <c r="F17" s="441"/>
      <c r="G17" s="464"/>
    </row>
    <row r="18" spans="1:19" s="178" customFormat="1" ht="14.25" customHeight="1" outlineLevel="1">
      <c r="B18" s="328" t="s">
        <v>533</v>
      </c>
      <c r="C18" s="329" t="s">
        <v>1411</v>
      </c>
      <c r="D18" s="330">
        <f>$E$18*$D$6</f>
        <v>11320397.799999999</v>
      </c>
      <c r="E18" s="331">
        <v>23055.8</v>
      </c>
      <c r="F18" s="441"/>
      <c r="G18" s="464"/>
    </row>
    <row r="19" spans="1:19" s="178" customFormat="1" outlineLevel="1">
      <c r="B19" s="328" t="s">
        <v>533</v>
      </c>
      <c r="C19" s="329" t="s">
        <v>1391</v>
      </c>
      <c r="D19" s="330">
        <f>$E$19*$D$6</f>
        <v>2127149.48</v>
      </c>
      <c r="E19" s="331">
        <v>4332.28</v>
      </c>
      <c r="F19" s="439"/>
    </row>
    <row r="20" spans="1:19" s="178" customFormat="1" outlineLevel="1">
      <c r="B20" s="328" t="s">
        <v>533</v>
      </c>
      <c r="C20" s="329" t="s">
        <v>1410</v>
      </c>
      <c r="D20" s="330">
        <v>1006146.84</v>
      </c>
      <c r="E20" s="331">
        <v>904.56</v>
      </c>
      <c r="F20" s="271"/>
    </row>
    <row r="21" spans="1:19" s="178" customFormat="1" outlineLevel="1">
      <c r="B21" s="328" t="s">
        <v>533</v>
      </c>
      <c r="C21" s="329" t="s">
        <v>1448</v>
      </c>
      <c r="D21" s="330">
        <f>E21*D6</f>
        <v>589200</v>
      </c>
      <c r="E21" s="331">
        <v>1200</v>
      </c>
      <c r="F21" s="271">
        <f>E20+E21</f>
        <v>2104.56</v>
      </c>
    </row>
    <row r="22" spans="1:19" s="90" customFormat="1" ht="15.6">
      <c r="B22" s="100"/>
      <c r="C22" s="109" t="s">
        <v>223</v>
      </c>
      <c r="D22" s="168">
        <f>SUBTOTAL(9,D9:D21)</f>
        <v>102126048.19286017</v>
      </c>
      <c r="E22" s="207">
        <f>SUBTOTAL(9,E9:E21)</f>
        <v>206878.86566773962</v>
      </c>
      <c r="F22" s="110"/>
      <c r="G22" s="475">
        <f>G17/E22</f>
        <v>0</v>
      </c>
      <c r="J22" s="108"/>
      <c r="K22" s="111"/>
      <c r="O22" s="112"/>
      <c r="P22" s="113"/>
      <c r="Q22" s="114"/>
    </row>
    <row r="23" spans="1:19" s="90" customFormat="1" ht="15.6">
      <c r="B23" s="100"/>
      <c r="C23" s="115"/>
      <c r="D23" s="116"/>
      <c r="E23" s="116"/>
      <c r="G23" s="117"/>
      <c r="O23" s="113"/>
      <c r="P23" s="113"/>
    </row>
    <row r="24" spans="1:19" s="90" customFormat="1" ht="15.6">
      <c r="B24" s="100"/>
      <c r="D24" s="349"/>
      <c r="N24" s="118"/>
      <c r="O24" s="119"/>
      <c r="P24" s="120"/>
    </row>
    <row r="25" spans="1:19" s="90" customFormat="1" ht="15.6">
      <c r="B25" s="590" t="s">
        <v>224</v>
      </c>
      <c r="C25" s="590"/>
      <c r="D25" s="590" t="s">
        <v>206</v>
      </c>
      <c r="E25" s="590"/>
      <c r="K25" s="120"/>
      <c r="L25" s="120"/>
      <c r="N25" s="118"/>
      <c r="R25" s="108"/>
      <c r="S25" s="108"/>
    </row>
    <row r="26" spans="1:19" s="90" customFormat="1" ht="16.2" thickBot="1">
      <c r="B26" s="121" t="s">
        <v>225</v>
      </c>
      <c r="C26" s="122" t="s">
        <v>226</v>
      </c>
      <c r="D26" s="95" t="s">
        <v>242</v>
      </c>
      <c r="E26" s="95" t="s">
        <v>219</v>
      </c>
      <c r="F26" s="123" t="s">
        <v>227</v>
      </c>
      <c r="G26" s="118" t="s">
        <v>228</v>
      </c>
      <c r="H26" s="118"/>
      <c r="I26" s="118"/>
      <c r="J26" s="124" t="s">
        <v>229</v>
      </c>
      <c r="N26" s="125"/>
      <c r="R26" s="108"/>
      <c r="S26" s="126"/>
    </row>
    <row r="27" spans="1:19" s="90" customFormat="1" ht="16.2" thickBot="1">
      <c r="B27" s="100"/>
      <c r="C27" s="127" t="s">
        <v>230</v>
      </c>
      <c r="D27" s="172">
        <f>SUBTOTAL(9,D28:D28)</f>
        <v>15504467</v>
      </c>
      <c r="E27" s="128">
        <f>SUBTOTAL(9,E28:E28)</f>
        <v>31577.325865580449</v>
      </c>
      <c r="F27" s="129"/>
      <c r="J27" s="130"/>
    </row>
    <row r="28" spans="1:19" s="90" customFormat="1" ht="15" outlineLevel="1" thickBot="1">
      <c r="A28" s="103"/>
      <c r="B28" s="373" t="s">
        <v>1374</v>
      </c>
      <c r="C28" s="174" t="s">
        <v>656</v>
      </c>
      <c r="D28" s="271">
        <v>15504467</v>
      </c>
      <c r="E28" s="142">
        <f>D28/$D$6</f>
        <v>31577.325865580449</v>
      </c>
      <c r="F28" s="134">
        <v>46036</v>
      </c>
      <c r="G28" s="90" t="s">
        <v>235</v>
      </c>
      <c r="H28" s="90">
        <f>IF(OR(G28="Sin pagar",G28="Pagar"),_xlfn.SINGLE(NETWORKDAYS($E$4,F28,'Festivos CR'!$A$3:$A$29)),0)</f>
        <v>0</v>
      </c>
      <c r="I28" s="90">
        <f>NETWORKDAYS($E$4,F28,'Festivos CR'!$A$3:$A$43)</f>
        <v>9</v>
      </c>
      <c r="J28" s="132">
        <f t="shared" ref="J28:J35" si="0">H28</f>
        <v>0</v>
      </c>
      <c r="K28" s="108"/>
      <c r="L28" s="108"/>
      <c r="M28" s="349"/>
      <c r="N28" s="349"/>
    </row>
    <row r="29" spans="1:19" s="90" customFormat="1" ht="16.2" thickBot="1">
      <c r="B29" s="100"/>
      <c r="C29" s="127" t="s">
        <v>232</v>
      </c>
      <c r="D29" s="172">
        <f>SUBTOTAL(9,D30:D33)</f>
        <v>6027695</v>
      </c>
      <c r="E29" s="128">
        <f>SUBTOTAL(9,E30:E33)</f>
        <v>12276.364562118126</v>
      </c>
      <c r="J29" s="130">
        <f t="shared" si="0"/>
        <v>0</v>
      </c>
    </row>
    <row r="30" spans="1:19" s="90" customFormat="1" outlineLevel="1">
      <c r="B30" s="502" t="s">
        <v>1376</v>
      </c>
      <c r="C30" s="101" t="s">
        <v>292</v>
      </c>
      <c r="D30" s="169">
        <v>5268830</v>
      </c>
      <c r="E30" s="137">
        <f>D30/$D$6</f>
        <v>10730.81466395112</v>
      </c>
      <c r="F30" s="134">
        <v>46034</v>
      </c>
      <c r="G30" s="90" t="s">
        <v>235</v>
      </c>
      <c r="H30" s="90">
        <f>IF(OR(G30="Sin pagar",G30="Pagar"),_xlfn.SINGLE(NETWORKDAYS($E$4,F30,'Festivos CR'!$A$3:$A$29)),0)</f>
        <v>0</v>
      </c>
      <c r="I30" s="90">
        <f>NETWORKDAYS($E$4,F30,'Festivos CR'!$A$3:$A$43)</f>
        <v>7</v>
      </c>
      <c r="J30" s="132">
        <f t="shared" si="0"/>
        <v>0</v>
      </c>
      <c r="K30" s="135"/>
      <c r="L30" s="111"/>
      <c r="M30" s="349"/>
      <c r="N30" s="349"/>
    </row>
    <row r="31" spans="1:19" s="90" customFormat="1" ht="28.8" outlineLevel="1">
      <c r="B31" s="373" t="s">
        <v>1321</v>
      </c>
      <c r="C31" s="101" t="s">
        <v>1370</v>
      </c>
      <c r="D31" s="169">
        <v>122765</v>
      </c>
      <c r="E31" s="137">
        <f>D31/$D$6</f>
        <v>250.03054989816701</v>
      </c>
      <c r="F31" s="134">
        <v>46034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CR'!$A$3:$A$43)</f>
        <v>7</v>
      </c>
      <c r="J31" s="132">
        <f t="shared" si="0"/>
        <v>0</v>
      </c>
      <c r="K31" s="135"/>
      <c r="L31" s="111"/>
      <c r="M31" s="349"/>
    </row>
    <row r="32" spans="1:19" s="90" customFormat="1" outlineLevel="1">
      <c r="B32" s="373" t="s">
        <v>1385</v>
      </c>
      <c r="C32" s="101" t="s">
        <v>1384</v>
      </c>
      <c r="D32" s="169">
        <v>231100</v>
      </c>
      <c r="E32" s="137">
        <f>D32/$D$6</f>
        <v>470.67209775967416</v>
      </c>
      <c r="F32" s="134">
        <v>46041</v>
      </c>
      <c r="G32" s="90" t="s">
        <v>235</v>
      </c>
      <c r="H32" s="90">
        <f>IF(OR(G32="Sin pagar",G32="Pagar"),_xlfn.SINGLE(NETWORKDAYS($E$4,F32,'Festivos CR'!$A$3:$A$29)),0)</f>
        <v>0</v>
      </c>
      <c r="I32" s="90">
        <f>NETWORKDAYS($E$4,F32,'Festivos CR'!$A$3:$A$43)</f>
        <v>12</v>
      </c>
      <c r="J32" s="132">
        <f>H32</f>
        <v>0</v>
      </c>
      <c r="K32" s="135"/>
      <c r="L32" s="111"/>
      <c r="M32" s="349"/>
    </row>
    <row r="33" spans="1:19" s="90" customFormat="1" ht="15" outlineLevel="1" thickBot="1">
      <c r="B33" s="373" t="s">
        <v>1385</v>
      </c>
      <c r="C33" s="101" t="s">
        <v>1405</v>
      </c>
      <c r="D33" s="169">
        <v>405000</v>
      </c>
      <c r="E33" s="137">
        <f>D33/$D$6</f>
        <v>824.84725050916495</v>
      </c>
      <c r="F33" s="134">
        <v>46054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CR'!$A$3:$A$43)</f>
        <v>21</v>
      </c>
      <c r="J33" s="132">
        <f>H33</f>
        <v>0</v>
      </c>
      <c r="K33" s="135"/>
      <c r="L33" s="111"/>
      <c r="M33" s="349"/>
    </row>
    <row r="34" spans="1:19" s="90" customFormat="1" ht="16.2" thickBot="1">
      <c r="B34" s="451"/>
      <c r="C34" s="127" t="s">
        <v>233</v>
      </c>
      <c r="D34" s="172">
        <f>SUBTOTAL(9,D35:D35)</f>
        <v>110966</v>
      </c>
      <c r="E34" s="128">
        <f>SUBTOTAL(9,E35:E35)</f>
        <v>226</v>
      </c>
      <c r="J34" s="130">
        <f t="shared" si="0"/>
        <v>0</v>
      </c>
      <c r="K34" s="108"/>
      <c r="L34" s="108"/>
      <c r="N34" s="349"/>
    </row>
    <row r="35" spans="1:19" s="90" customFormat="1" ht="15" outlineLevel="1" thickBot="1">
      <c r="B35" s="100">
        <v>42</v>
      </c>
      <c r="C35" s="101" t="s">
        <v>1371</v>
      </c>
      <c r="D35" s="169">
        <f>E35*$D$6</f>
        <v>110966</v>
      </c>
      <c r="E35" s="142">
        <v>226</v>
      </c>
      <c r="F35" s="134">
        <v>46038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CR'!$A$3:$A$43)</f>
        <v>11</v>
      </c>
      <c r="J35" s="132">
        <f t="shared" si="0"/>
        <v>0</v>
      </c>
      <c r="M35" s="369"/>
      <c r="N35" s="103"/>
    </row>
    <row r="36" spans="1:19" s="90" customFormat="1" ht="16.2" thickBot="1">
      <c r="B36" s="451"/>
      <c r="C36" s="127" t="s">
        <v>250</v>
      </c>
      <c r="D36" s="172">
        <f>SUBTOTAL(9,D37:D38)</f>
        <v>16236.6</v>
      </c>
      <c r="E36" s="128">
        <f>SUBTOTAL(9,E37:E38)</f>
        <v>33.06843177189409</v>
      </c>
      <c r="K36" s="103"/>
      <c r="L36" s="103"/>
      <c r="O36" s="103"/>
      <c r="P36" s="103"/>
    </row>
    <row r="37" spans="1:19" s="90" customFormat="1" outlineLevel="1">
      <c r="A37" s="180"/>
      <c r="B37" s="451"/>
      <c r="C37" s="101" t="s">
        <v>1382</v>
      </c>
      <c r="D37" s="170">
        <v>15729.6</v>
      </c>
      <c r="E37" s="142">
        <f>D37/$D$6</f>
        <v>32.035845213849285</v>
      </c>
      <c r="F37" s="129">
        <v>46038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CR'!$A$3:$A$43)</f>
        <v>11</v>
      </c>
      <c r="J37" s="132">
        <f>H37</f>
        <v>0</v>
      </c>
      <c r="L37" s="108"/>
      <c r="M37" s="392"/>
    </row>
    <row r="38" spans="1:19" s="90" customFormat="1" ht="15" outlineLevel="1" thickBot="1">
      <c r="A38" s="180"/>
      <c r="B38" s="451"/>
      <c r="C38" s="101" t="s">
        <v>925</v>
      </c>
      <c r="D38" s="170">
        <v>507</v>
      </c>
      <c r="E38" s="142">
        <f>D38/$D$6</f>
        <v>1.0325865580448066</v>
      </c>
      <c r="F38" s="129">
        <v>46054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CR'!$A$3:$A$43)</f>
        <v>21</v>
      </c>
      <c r="J38" s="132">
        <f>H38</f>
        <v>0</v>
      </c>
      <c r="L38" s="108"/>
      <c r="M38" s="392"/>
    </row>
    <row r="39" spans="1:19" s="90" customFormat="1" ht="16.2" thickBot="1">
      <c r="B39" s="451"/>
      <c r="C39" s="139" t="s">
        <v>234</v>
      </c>
      <c r="D39" s="173">
        <f>SUBTOTAL(9,D40:D40)</f>
        <v>0</v>
      </c>
      <c r="E39" s="140">
        <f>SUBTOTAL(9,E40:E40)</f>
        <v>0</v>
      </c>
      <c r="K39" s="108"/>
    </row>
    <row r="40" spans="1:19" s="90" customFormat="1" ht="15" outlineLevel="1" thickBot="1">
      <c r="B40" s="176">
        <v>6481</v>
      </c>
      <c r="C40" s="174" t="s">
        <v>1225</v>
      </c>
      <c r="D40" s="169">
        <f>E40*$D$6</f>
        <v>0</v>
      </c>
      <c r="E40" s="137">
        <v>0</v>
      </c>
      <c r="F40" s="134">
        <v>46053</v>
      </c>
      <c r="G40" s="90" t="s">
        <v>235</v>
      </c>
      <c r="H40" s="90">
        <f>IF(OR(G40="Sin pagar",G40="Pagar"),_xlfn.SINGLE(NETWORKDAYS($E$4,F40,'Festivos CR'!$A$3:$A$29)),0)</f>
        <v>0</v>
      </c>
      <c r="I40" s="90">
        <f>NETWORKDAYS($E$4,F40,'Festivos CR'!$A$3:$A$43)</f>
        <v>21</v>
      </c>
      <c r="J40" s="132">
        <f>H40</f>
        <v>0</v>
      </c>
      <c r="M40" s="297"/>
      <c r="N40" s="298"/>
    </row>
    <row r="41" spans="1:19" s="90" customFormat="1" ht="15.75" customHeight="1" thickBot="1">
      <c r="B41" s="451"/>
      <c r="C41" s="127" t="s">
        <v>236</v>
      </c>
      <c r="D41" s="172">
        <f>SUBTOTAL(9,D42:D42)</f>
        <v>19640</v>
      </c>
      <c r="E41" s="128">
        <f>SUBTOTAL(9,E42:E42)</f>
        <v>40</v>
      </c>
      <c r="M41" s="299"/>
      <c r="N41" s="299"/>
      <c r="O41" s="118"/>
      <c r="P41" s="300"/>
    </row>
    <row r="42" spans="1:19" s="90" customFormat="1" ht="15" outlineLevel="1" thickBot="1">
      <c r="B42" s="451"/>
      <c r="C42" s="174" t="s">
        <v>236</v>
      </c>
      <c r="D42" s="271">
        <f>E42*$D$6</f>
        <v>19640</v>
      </c>
      <c r="E42" s="142">
        <v>40</v>
      </c>
      <c r="F42" s="134">
        <v>46053</v>
      </c>
      <c r="G42" s="90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CR'!$A$3:$A$43)</f>
        <v>21</v>
      </c>
      <c r="J42" s="132">
        <f>H42</f>
        <v>0</v>
      </c>
    </row>
    <row r="43" spans="1:19" s="90" customFormat="1" ht="16.2" thickBot="1">
      <c r="B43" s="451"/>
      <c r="C43" s="127" t="s">
        <v>237</v>
      </c>
      <c r="D43" s="172">
        <f>SUBTOTAL(9,D44:D61)</f>
        <v>36086621.670000002</v>
      </c>
      <c r="E43" s="128">
        <f>SUBTOTAL(9,E44:E61)</f>
        <v>73496.174480651738</v>
      </c>
      <c r="K43" s="108"/>
      <c r="L43" s="143"/>
    </row>
    <row r="44" spans="1:19" s="180" customFormat="1" outlineLevel="1">
      <c r="B44" s="265" t="s">
        <v>270</v>
      </c>
      <c r="C44" s="174" t="s">
        <v>1037</v>
      </c>
      <c r="D44" s="347">
        <f t="shared" ref="D44:D51" si="1">E44*$D$6</f>
        <v>3480379.85</v>
      </c>
      <c r="E44" s="487">
        <v>7088.35</v>
      </c>
      <c r="F44" s="129">
        <v>46050</v>
      </c>
      <c r="G44" s="90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CR'!$A$3:$A$43)</f>
        <v>19</v>
      </c>
      <c r="J44" s="132">
        <f t="shared" ref="J44:J59" si="2">H44</f>
        <v>0</v>
      </c>
      <c r="M44" s="137"/>
      <c r="N44" s="493"/>
      <c r="O44" s="346"/>
      <c r="P44" s="493"/>
      <c r="Q44" s="178"/>
      <c r="R44" s="178"/>
      <c r="S44" s="178"/>
    </row>
    <row r="45" spans="1:19" s="180" customFormat="1" outlineLevel="1">
      <c r="B45" s="265" t="s">
        <v>270</v>
      </c>
      <c r="C45" s="174" t="s">
        <v>257</v>
      </c>
      <c r="D45" s="347">
        <f t="shared" si="1"/>
        <v>3268041.99</v>
      </c>
      <c r="E45" s="487">
        <v>6655.89</v>
      </c>
      <c r="F45" s="129">
        <v>46050</v>
      </c>
      <c r="G45" s="90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CR'!$A$3:$A$43)</f>
        <v>19</v>
      </c>
      <c r="J45" s="132">
        <f t="shared" si="2"/>
        <v>0</v>
      </c>
      <c r="M45" s="137"/>
      <c r="N45" s="493"/>
      <c r="O45" s="346"/>
      <c r="P45" s="493"/>
      <c r="Q45" s="178"/>
      <c r="R45" s="178"/>
      <c r="S45" s="178"/>
    </row>
    <row r="46" spans="1:19" s="180" customFormat="1" outlineLevel="1">
      <c r="B46" s="265" t="s">
        <v>270</v>
      </c>
      <c r="C46" s="174" t="s">
        <v>1423</v>
      </c>
      <c r="D46" s="347">
        <f t="shared" si="1"/>
        <v>2479093.3699999996</v>
      </c>
      <c r="E46" s="487">
        <v>5049.07</v>
      </c>
      <c r="F46" s="129">
        <v>46051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CR'!$A$3:$A$43)</f>
        <v>20</v>
      </c>
      <c r="J46" s="132">
        <f t="shared" si="2"/>
        <v>0</v>
      </c>
      <c r="M46" s="137"/>
      <c r="N46" s="493"/>
      <c r="O46" s="346"/>
      <c r="P46" s="493"/>
      <c r="Q46" s="178"/>
      <c r="R46" s="178"/>
      <c r="S46" s="178"/>
    </row>
    <row r="47" spans="1:19" s="180" customFormat="1" outlineLevel="1">
      <c r="B47" s="265" t="s">
        <v>270</v>
      </c>
      <c r="C47" s="174" t="s">
        <v>1424</v>
      </c>
      <c r="D47" s="347">
        <f t="shared" si="1"/>
        <v>175129.88</v>
      </c>
      <c r="E47" s="487">
        <v>356.68</v>
      </c>
      <c r="F47" s="129">
        <v>46050</v>
      </c>
      <c r="G47" s="90" t="s">
        <v>235</v>
      </c>
      <c r="H47" s="90">
        <f>IF(OR(G47="Sin pagar",G47="Pagar"),_xlfn.SINGLE(NETWORKDAYS($E$4,F47,'Festivos CR'!$A$3:$A$29)),0)</f>
        <v>0</v>
      </c>
      <c r="I47" s="90">
        <f>NETWORKDAYS($E$4,F47,'Festivos CR'!$A$3:$A$43)</f>
        <v>19</v>
      </c>
      <c r="J47" s="132">
        <f>H47</f>
        <v>0</v>
      </c>
      <c r="M47" s="137"/>
      <c r="N47" s="493"/>
      <c r="O47" s="346"/>
      <c r="P47" s="493"/>
      <c r="Q47" s="178"/>
      <c r="R47" s="178"/>
      <c r="S47" s="178"/>
    </row>
    <row r="48" spans="1:19" s="180" customFormat="1" outlineLevel="1">
      <c r="B48" s="265" t="s">
        <v>270</v>
      </c>
      <c r="C48" s="174" t="s">
        <v>1036</v>
      </c>
      <c r="D48" s="347">
        <f t="shared" si="1"/>
        <v>2319469.27</v>
      </c>
      <c r="E48" s="487">
        <v>4723.97</v>
      </c>
      <c r="F48" s="129">
        <v>46050</v>
      </c>
      <c r="G48" s="90" t="s">
        <v>235</v>
      </c>
      <c r="H48" s="90">
        <f>IF(OR(G48="Sin pagar",G48="Pagar"),_xlfn.SINGLE(NETWORKDAYS($E$4,F48,'Festivos CR'!$A$3:$A$29)),0)</f>
        <v>0</v>
      </c>
      <c r="I48" s="90">
        <f>NETWORKDAYS($E$4,F48,'Festivos CR'!$A$3:$A$43)</f>
        <v>19</v>
      </c>
      <c r="J48" s="132">
        <f t="shared" si="2"/>
        <v>0</v>
      </c>
      <c r="M48" s="506"/>
      <c r="N48" s="493"/>
      <c r="O48" s="346"/>
      <c r="P48" s="493"/>
      <c r="Q48" s="178"/>
      <c r="R48" s="178"/>
      <c r="S48" s="178"/>
    </row>
    <row r="49" spans="1:19" s="180" customFormat="1" outlineLevel="1">
      <c r="B49" s="265" t="s">
        <v>270</v>
      </c>
      <c r="C49" s="174" t="s">
        <v>258</v>
      </c>
      <c r="D49" s="347">
        <f t="shared" si="1"/>
        <v>1675021.95</v>
      </c>
      <c r="E49" s="487">
        <v>3411.45</v>
      </c>
      <c r="F49" s="129">
        <v>46050</v>
      </c>
      <c r="G49" s="90" t="s">
        <v>235</v>
      </c>
      <c r="H49" s="90">
        <f>IF(OR(G49="Sin pagar",G49="Pagar"),_xlfn.SINGLE(NETWORKDAYS($E$4,F49,'Festivos CR'!$A$3:$A$29)),0)</f>
        <v>0</v>
      </c>
      <c r="I49" s="90">
        <f>NETWORKDAYS($E$4,F49,'Festivos CR'!$A$3:$A$43)</f>
        <v>19</v>
      </c>
      <c r="J49" s="132">
        <f t="shared" si="2"/>
        <v>0</v>
      </c>
      <c r="M49" s="137"/>
      <c r="N49" s="493"/>
      <c r="O49" s="346"/>
      <c r="P49" s="493"/>
      <c r="Q49" s="178"/>
      <c r="R49" s="178"/>
      <c r="S49" s="178"/>
    </row>
    <row r="50" spans="1:19" s="180" customFormat="1" outlineLevel="1">
      <c r="B50" s="265" t="s">
        <v>270</v>
      </c>
      <c r="C50" s="174" t="s">
        <v>1038</v>
      </c>
      <c r="D50" s="347">
        <f t="shared" si="1"/>
        <v>1248382.2300000002</v>
      </c>
      <c r="E50" s="487">
        <v>2542.5300000000002</v>
      </c>
      <c r="F50" s="129">
        <v>46050</v>
      </c>
      <c r="G50" s="90" t="s">
        <v>235</v>
      </c>
      <c r="H50" s="90">
        <f>IF(OR(G50="Sin pagar",G50="Pagar"),_xlfn.SINGLE(NETWORKDAYS($E$4,F50,'Festivos CR'!$A$3:$A$29)),0)</f>
        <v>0</v>
      </c>
      <c r="I50" s="90">
        <f>NETWORKDAYS($E$4,F50,'Festivos CR'!$A$3:$A$43)</f>
        <v>19</v>
      </c>
      <c r="J50" s="132">
        <f t="shared" si="2"/>
        <v>0</v>
      </c>
      <c r="M50" s="137"/>
      <c r="N50" s="493"/>
      <c r="O50" s="346"/>
      <c r="P50" s="493"/>
      <c r="Q50" s="178"/>
      <c r="R50" s="178"/>
      <c r="S50" s="178"/>
    </row>
    <row r="51" spans="1:19" s="180" customFormat="1" outlineLevel="1">
      <c r="B51" s="265" t="s">
        <v>270</v>
      </c>
      <c r="C51" s="174" t="s">
        <v>1153</v>
      </c>
      <c r="D51" s="347">
        <f t="shared" si="1"/>
        <v>3706288.9499999997</v>
      </c>
      <c r="E51" s="487">
        <v>7548.45</v>
      </c>
      <c r="F51" s="129">
        <v>46050</v>
      </c>
      <c r="G51" s="90" t="s">
        <v>235</v>
      </c>
      <c r="H51" s="90">
        <f>IF(OR(G51="Sin pagar",G51="Pagar"),_xlfn.SINGLE(NETWORKDAYS($E$4,F51,'Festivos CR'!$A$3:$A$29)),0)</f>
        <v>0</v>
      </c>
      <c r="I51" s="90">
        <f>NETWORKDAYS($E$4,F51,'Festivos CR'!$A$3:$A$43)</f>
        <v>19</v>
      </c>
      <c r="J51" s="132">
        <f t="shared" si="2"/>
        <v>0</v>
      </c>
      <c r="M51" s="137"/>
      <c r="N51" s="493"/>
      <c r="O51" s="346"/>
      <c r="P51" s="493"/>
      <c r="Q51" s="178"/>
      <c r="R51" s="178"/>
      <c r="S51" s="178"/>
    </row>
    <row r="52" spans="1:19" s="180" customFormat="1" outlineLevel="1">
      <c r="B52" s="145" t="s">
        <v>391</v>
      </c>
      <c r="C52" s="174" t="s">
        <v>253</v>
      </c>
      <c r="D52" s="488">
        <v>1405947.8</v>
      </c>
      <c r="E52" s="137">
        <f>D52/$D$6</f>
        <v>2863.4374745417517</v>
      </c>
      <c r="F52" s="129">
        <v>46051</v>
      </c>
      <c r="G52" s="90" t="s">
        <v>235</v>
      </c>
      <c r="H52" s="90">
        <f>IF(OR(G52="Sin pagar",G52="Pagar"),_xlfn.SINGLE(NETWORKDAYS($E$4,F52,'Festivos CR'!$A$3:$A$29)),0)</f>
        <v>0</v>
      </c>
      <c r="I52" s="90">
        <f>NETWORKDAYS($E$4,F52,'Festivos CR'!$A$3:$A$43)</f>
        <v>20</v>
      </c>
      <c r="J52" s="132">
        <f t="shared" si="2"/>
        <v>0</v>
      </c>
      <c r="M52" s="347"/>
      <c r="N52" s="178"/>
      <c r="O52" s="346"/>
      <c r="P52" s="494"/>
      <c r="Q52" s="493"/>
      <c r="R52" s="178"/>
      <c r="S52" s="178"/>
    </row>
    <row r="53" spans="1:19" s="180" customFormat="1" outlineLevel="1">
      <c r="B53" s="145" t="s">
        <v>391</v>
      </c>
      <c r="C53" s="174" t="s">
        <v>1152</v>
      </c>
      <c r="D53" s="488">
        <v>2034799.39</v>
      </c>
      <c r="E53" s="137">
        <f t="shared" ref="E53:E61" si="3">D53/$D$6</f>
        <v>4144.1942769857433</v>
      </c>
      <c r="F53" s="129">
        <v>46051</v>
      </c>
      <c r="G53" s="90" t="s">
        <v>235</v>
      </c>
      <c r="H53" s="90">
        <f>IF(OR(G53="Sin pagar",G53="Pagar"),_xlfn.SINGLE(NETWORKDAYS($E$4,F53,'Festivos CR'!$A$3:$A$29)),0)</f>
        <v>0</v>
      </c>
      <c r="I53" s="90">
        <f>NETWORKDAYS($E$4,F53,'Festivos CR'!$A$3:$A$43)</f>
        <v>20</v>
      </c>
      <c r="J53" s="132">
        <f t="shared" si="2"/>
        <v>0</v>
      </c>
      <c r="M53" s="347"/>
      <c r="N53" s="178"/>
      <c r="O53" s="346"/>
      <c r="P53" s="494"/>
      <c r="Q53" s="493"/>
      <c r="R53" s="178"/>
      <c r="S53" s="178"/>
    </row>
    <row r="54" spans="1:19" s="180" customFormat="1" outlineLevel="1">
      <c r="B54" s="145" t="s">
        <v>391</v>
      </c>
      <c r="C54" s="174" t="s">
        <v>1428</v>
      </c>
      <c r="D54" s="488">
        <v>1405947.8</v>
      </c>
      <c r="E54" s="137">
        <f t="shared" si="3"/>
        <v>2863.4374745417517</v>
      </c>
      <c r="F54" s="129">
        <v>46052</v>
      </c>
      <c r="G54" s="90" t="s">
        <v>235</v>
      </c>
      <c r="H54" s="90">
        <f>IF(OR(G54="Sin pagar",G54="Pagar"),_xlfn.SINGLE(NETWORKDAYS($E$4,F54,'Festivos CR'!$A$3:$A$29)),0)</f>
        <v>0</v>
      </c>
      <c r="I54" s="90">
        <f>NETWORKDAYS($E$4,F54,'Festivos CR'!$A$3:$A$43)</f>
        <v>21</v>
      </c>
      <c r="J54" s="132">
        <f>H54</f>
        <v>0</v>
      </c>
      <c r="M54" s="347"/>
      <c r="N54" s="178"/>
      <c r="O54" s="346"/>
      <c r="P54" s="494"/>
      <c r="Q54" s="493"/>
      <c r="R54" s="178"/>
      <c r="S54" s="178"/>
    </row>
    <row r="55" spans="1:19" s="180" customFormat="1" outlineLevel="1">
      <c r="B55" s="145" t="s">
        <v>391</v>
      </c>
      <c r="C55" s="174" t="s">
        <v>255</v>
      </c>
      <c r="D55" s="488">
        <v>1405947.8</v>
      </c>
      <c r="E55" s="137">
        <f t="shared" si="3"/>
        <v>2863.4374745417517</v>
      </c>
      <c r="F55" s="129">
        <v>46051</v>
      </c>
      <c r="G55" s="90" t="s">
        <v>235</v>
      </c>
      <c r="H55" s="90">
        <f>IF(OR(G55="Sin pagar",G55="Pagar"),_xlfn.SINGLE(NETWORKDAYS($E$4,F55,'Festivos CR'!$A$3:$A$29)),0)</f>
        <v>0</v>
      </c>
      <c r="I55" s="90">
        <f>NETWORKDAYS($E$4,F55,'Festivos CR'!$A$3:$A$43)</f>
        <v>20</v>
      </c>
      <c r="J55" s="132">
        <f t="shared" si="2"/>
        <v>0</v>
      </c>
      <c r="M55" s="347"/>
      <c r="N55" s="178"/>
      <c r="O55" s="346"/>
      <c r="P55" s="494"/>
      <c r="Q55" s="493"/>
      <c r="R55" s="178"/>
      <c r="S55" s="178"/>
    </row>
    <row r="56" spans="1:19" s="180" customFormat="1" outlineLevel="1">
      <c r="B56" s="145" t="s">
        <v>391</v>
      </c>
      <c r="C56" s="174" t="s">
        <v>330</v>
      </c>
      <c r="D56" s="488">
        <v>785142.74</v>
      </c>
      <c r="E56" s="137">
        <f t="shared" si="3"/>
        <v>1599.0687169042769</v>
      </c>
      <c r="F56" s="129">
        <v>46051</v>
      </c>
      <c r="G56" s="90" t="s">
        <v>235</v>
      </c>
      <c r="H56" s="90">
        <f>IF(OR(G56="Sin pagar",G56="Pagar"),_xlfn.SINGLE(NETWORKDAYS($E$4,F56,'Festivos CR'!$A$3:$A$29)),0)</f>
        <v>0</v>
      </c>
      <c r="I56" s="90">
        <f>NETWORKDAYS($E$4,F56,'Festivos CR'!$A$3:$A$43)</f>
        <v>20</v>
      </c>
      <c r="J56" s="132">
        <f t="shared" si="2"/>
        <v>0</v>
      </c>
      <c r="M56" s="506"/>
      <c r="N56" s="178"/>
      <c r="O56" s="346"/>
      <c r="P56" s="494"/>
      <c r="Q56" s="493"/>
      <c r="R56" s="178"/>
      <c r="S56" s="178"/>
    </row>
    <row r="57" spans="1:19" s="180" customFormat="1" outlineLevel="1">
      <c r="B57" s="145" t="s">
        <v>391</v>
      </c>
      <c r="C57" s="174" t="s">
        <v>759</v>
      </c>
      <c r="D57" s="488">
        <v>4821182.5</v>
      </c>
      <c r="E57" s="137">
        <f t="shared" si="3"/>
        <v>9819.1089613034619</v>
      </c>
      <c r="F57" s="129">
        <v>46051</v>
      </c>
      <c r="G57" s="90" t="s">
        <v>235</v>
      </c>
      <c r="H57" s="90">
        <f>IF(OR(G57="Sin pagar",G57="Pagar"),_xlfn.SINGLE(NETWORKDAYS($E$4,F57,'Festivos CR'!$A$3:$A$29)),0)</f>
        <v>0</v>
      </c>
      <c r="I57" s="90">
        <f>NETWORKDAYS($E$4,F57,'Festivos CR'!$A$3:$A$43)</f>
        <v>20</v>
      </c>
      <c r="J57" s="132">
        <f t="shared" si="2"/>
        <v>0</v>
      </c>
      <c r="M57" s="347"/>
      <c r="N57" s="178"/>
      <c r="O57" s="346"/>
      <c r="P57" s="494"/>
      <c r="Q57" s="493"/>
      <c r="R57" s="178"/>
      <c r="S57" s="178"/>
    </row>
    <row r="58" spans="1:19" s="180" customFormat="1" outlineLevel="1">
      <c r="B58" s="145" t="s">
        <v>391</v>
      </c>
      <c r="C58" s="174" t="s">
        <v>1429</v>
      </c>
      <c r="D58" s="488">
        <v>1409507.96</v>
      </c>
      <c r="E58" s="137">
        <f t="shared" si="3"/>
        <v>2870.6883095723015</v>
      </c>
      <c r="F58" s="129">
        <v>46052</v>
      </c>
      <c r="G58" s="90" t="s">
        <v>235</v>
      </c>
      <c r="H58" s="90">
        <f>IF(OR(G58="Sin pagar",G58="Pagar"),_xlfn.SINGLE(NETWORKDAYS($E$4,F58,'Festivos CR'!$A$3:$A$29)),0)</f>
        <v>0</v>
      </c>
      <c r="I58" s="90">
        <f>NETWORKDAYS($E$4,F58,'Festivos CR'!$A$3:$A$43)</f>
        <v>21</v>
      </c>
      <c r="J58" s="132">
        <f t="shared" si="2"/>
        <v>0</v>
      </c>
      <c r="M58" s="347"/>
      <c r="N58" s="178"/>
      <c r="O58" s="346"/>
      <c r="P58" s="494"/>
      <c r="Q58" s="493"/>
      <c r="R58" s="178"/>
      <c r="S58" s="178"/>
    </row>
    <row r="59" spans="1:19" s="180" customFormat="1" outlineLevel="1">
      <c r="B59" s="145" t="s">
        <v>391</v>
      </c>
      <c r="C59" s="174" t="s">
        <v>1123</v>
      </c>
      <c r="D59" s="488">
        <v>883500</v>
      </c>
      <c r="E59" s="137">
        <f t="shared" si="3"/>
        <v>1799.3890020366598</v>
      </c>
      <c r="F59" s="129">
        <v>46051</v>
      </c>
      <c r="G59" s="90" t="s">
        <v>235</v>
      </c>
      <c r="H59" s="90">
        <f>IF(OR(G59="Sin pagar",G59="Pagar"),_xlfn.SINGLE(NETWORKDAYS($E$4,F59,'Festivos CR'!$A$3:$A$29)),0)</f>
        <v>0</v>
      </c>
      <c r="I59" s="90">
        <f>NETWORKDAYS($E$4,F59,'Festivos CR'!$A$3:$A$43)</f>
        <v>20</v>
      </c>
      <c r="J59" s="132">
        <f t="shared" si="2"/>
        <v>0</v>
      </c>
      <c r="M59" s="507"/>
      <c r="N59" s="178"/>
      <c r="O59" s="346"/>
      <c r="P59" s="494"/>
      <c r="Q59" s="493"/>
      <c r="R59" s="178"/>
      <c r="S59" s="495"/>
    </row>
    <row r="60" spans="1:19" s="180" customFormat="1" outlineLevel="1">
      <c r="B60" s="145" t="s">
        <v>391</v>
      </c>
      <c r="C60" s="174" t="s">
        <v>1430</v>
      </c>
      <c r="D60" s="488">
        <v>2259070.75</v>
      </c>
      <c r="E60" s="137">
        <f t="shared" si="3"/>
        <v>4600.9587576374743</v>
      </c>
      <c r="F60" s="129">
        <v>46052</v>
      </c>
      <c r="G60" s="90" t="s">
        <v>235</v>
      </c>
      <c r="H60" s="90">
        <f>IF(OR(G60="Sin pagar",G60="Pagar"),_xlfn.SINGLE(NETWORKDAYS($E$4,F60,'Festivos CR'!$A$3:$A$29)),0)</f>
        <v>0</v>
      </c>
      <c r="I60" s="90">
        <f>NETWORKDAYS($E$4,F60,'Festivos CR'!$A$3:$A$43)</f>
        <v>21</v>
      </c>
      <c r="J60" s="132">
        <f>H60</f>
        <v>0</v>
      </c>
      <c r="M60" s="347"/>
      <c r="N60" s="178"/>
      <c r="O60" s="346"/>
      <c r="P60" s="494"/>
      <c r="Q60" s="493"/>
      <c r="R60" s="178"/>
      <c r="S60" s="178"/>
    </row>
    <row r="61" spans="1:19" s="180" customFormat="1" ht="15" outlineLevel="1" thickBot="1">
      <c r="B61" s="145" t="s">
        <v>391</v>
      </c>
      <c r="C61" s="174" t="s">
        <v>1431</v>
      </c>
      <c r="D61" s="488">
        <v>1323767.44</v>
      </c>
      <c r="E61" s="137">
        <f t="shared" si="3"/>
        <v>2696.0640325865579</v>
      </c>
      <c r="F61" s="129">
        <v>46052</v>
      </c>
      <c r="G61" s="90" t="s">
        <v>235</v>
      </c>
      <c r="H61" s="90">
        <f>IF(OR(G61="Sin pagar",G61="Pagar"),_xlfn.SINGLE(NETWORKDAYS($E$4,F61,'Festivos CR'!$A$3:$A$29)),0)</f>
        <v>0</v>
      </c>
      <c r="I61" s="90">
        <f>NETWORKDAYS($E$4,F61,'Festivos CR'!$A$3:$A$43)</f>
        <v>21</v>
      </c>
      <c r="J61" s="132">
        <f>H61</f>
        <v>0</v>
      </c>
      <c r="M61" s="347"/>
      <c r="N61" s="178"/>
      <c r="O61" s="346"/>
      <c r="P61" s="494"/>
      <c r="Q61" s="493"/>
      <c r="R61" s="178"/>
      <c r="S61" s="178"/>
    </row>
    <row r="62" spans="1:19" s="90" customFormat="1" ht="16.2" thickBot="1">
      <c r="A62" s="180"/>
      <c r="B62" s="451"/>
      <c r="C62" s="127" t="s">
        <v>1051</v>
      </c>
      <c r="D62" s="172">
        <f>SUBTOTAL(9,D63:D63)</f>
        <v>43149.079999999994</v>
      </c>
      <c r="E62" s="128">
        <f>SUBTOTAL(9,E63:E63)</f>
        <v>87.88</v>
      </c>
      <c r="L62" s="108"/>
    </row>
    <row r="63" spans="1:19" s="90" customFormat="1" ht="15" outlineLevel="1" thickBot="1">
      <c r="A63" s="180"/>
      <c r="B63" s="265" t="s">
        <v>270</v>
      </c>
      <c r="C63" s="101" t="s">
        <v>1436</v>
      </c>
      <c r="D63" s="347">
        <f>$E$63*$D$6</f>
        <v>43149.079999999994</v>
      </c>
      <c r="E63" s="487">
        <v>87.88</v>
      </c>
      <c r="F63" s="129">
        <v>46051</v>
      </c>
      <c r="G63" s="90" t="s">
        <v>235</v>
      </c>
      <c r="H63" s="90">
        <f>IF(OR(G63="Sin pagar",G63="Pagar"),_xlfn.SINGLE(NETWORKDAYS($E$4,F63,'Festivos CR'!$A$3:$A$29)),0)</f>
        <v>0</v>
      </c>
      <c r="I63" s="90">
        <f>NETWORKDAYS($E$4,F63,'Festivos CR'!$A$3:$A$43)</f>
        <v>20</v>
      </c>
      <c r="J63" s="132">
        <f>H63</f>
        <v>0</v>
      </c>
      <c r="L63" s="108"/>
      <c r="M63" s="392"/>
      <c r="N63" s="349"/>
      <c r="O63" s="118"/>
    </row>
    <row r="64" spans="1:19" s="90" customFormat="1" ht="16.2" thickBot="1">
      <c r="A64" s="180"/>
      <c r="B64" s="451"/>
      <c r="C64" s="127" t="s">
        <v>992</v>
      </c>
      <c r="D64" s="172">
        <f>SUBTOTAL(9,D65:D65)</f>
        <v>0</v>
      </c>
      <c r="E64" s="128">
        <f>SUBTOTAL(9,E65:E65)</f>
        <v>0</v>
      </c>
      <c r="L64" s="108"/>
    </row>
    <row r="65" spans="1:16" s="90" customFormat="1" ht="15" outlineLevel="1" thickBot="1">
      <c r="A65" s="180"/>
      <c r="B65" s="146"/>
      <c r="C65" s="101" t="s">
        <v>1372</v>
      </c>
      <c r="D65" s="170">
        <v>0</v>
      </c>
      <c r="E65" s="142">
        <f>D65/D6</f>
        <v>0</v>
      </c>
      <c r="F65" s="129">
        <v>46053</v>
      </c>
      <c r="G65" s="90" t="s">
        <v>235</v>
      </c>
      <c r="H65" s="90">
        <f>IF(OR(G65="Sin pagar",G65="Pagar"),_xlfn.SINGLE(NETWORKDAYS($E$4,F65,'Festivos CR'!$A$3:$A$29)),0)</f>
        <v>0</v>
      </c>
      <c r="I65" s="90">
        <f>NETWORKDAYS($E$4,F65,'Festivos CR'!$A$3:$A$43)</f>
        <v>21</v>
      </c>
      <c r="J65" s="132">
        <f>H65</f>
        <v>0</v>
      </c>
      <c r="L65" s="108"/>
      <c r="M65" s="392"/>
      <c r="N65" s="349"/>
      <c r="O65" s="118"/>
    </row>
    <row r="66" spans="1:16" s="90" customFormat="1" ht="16.2" thickBot="1">
      <c r="A66" s="180"/>
      <c r="B66" s="451"/>
      <c r="C66" s="127" t="s">
        <v>238</v>
      </c>
      <c r="D66" s="172">
        <f>SUBTOTAL(9,D67:D67)</f>
        <v>0</v>
      </c>
      <c r="E66" s="128">
        <f>SUBTOTAL(9,E67:E67)</f>
        <v>0</v>
      </c>
      <c r="L66" s="108"/>
    </row>
    <row r="67" spans="1:16" s="90" customFormat="1" ht="15" outlineLevel="1" thickBot="1">
      <c r="A67" s="180"/>
      <c r="B67" s="522"/>
      <c r="C67" s="101" t="s">
        <v>877</v>
      </c>
      <c r="D67" s="170">
        <f>E67*D6</f>
        <v>0</v>
      </c>
      <c r="E67" s="142">
        <f>1500*0</f>
        <v>0</v>
      </c>
      <c r="F67" s="129">
        <v>46052</v>
      </c>
      <c r="G67" s="90" t="s">
        <v>235</v>
      </c>
      <c r="H67" s="90">
        <f>IF(OR(G67="Sin pagar",G67="Pagar"),_xlfn.SINGLE(NETWORKDAYS($E$4,F67,'Festivos CR'!$A$3:$A$29)),0)</f>
        <v>0</v>
      </c>
      <c r="I67" s="90">
        <f>NETWORKDAYS($E$4,F67,'Festivos CR'!$A$3:$A$43)</f>
        <v>21</v>
      </c>
      <c r="J67" s="132">
        <f>H67</f>
        <v>0</v>
      </c>
      <c r="L67" s="108"/>
      <c r="M67" s="392"/>
    </row>
    <row r="68" spans="1:16" s="90" customFormat="1" ht="14.25" customHeight="1">
      <c r="B68" s="100"/>
      <c r="C68" s="147" t="s">
        <v>239</v>
      </c>
      <c r="D68" s="171">
        <f>SUBTOTAL(9,D27:D67)</f>
        <v>57808775.349999994</v>
      </c>
      <c r="E68" s="148">
        <f>SUBTOTAL(9,E27:E67)</f>
        <v>117736.81334012217</v>
      </c>
      <c r="K68" s="526"/>
      <c r="L68" s="526"/>
      <c r="N68" s="526"/>
      <c r="O68" s="526"/>
      <c r="P68" s="526"/>
    </row>
    <row r="69" spans="1:16" ht="15.6">
      <c r="A69" s="90"/>
      <c r="E69" s="149"/>
      <c r="F69" s="239"/>
      <c r="G69" s="150"/>
      <c r="H69" s="150"/>
      <c r="I69" s="150"/>
      <c r="J69" s="150"/>
    </row>
    <row r="70" spans="1:16" ht="15.6">
      <c r="A70" s="90"/>
      <c r="C70" s="151" t="s">
        <v>3</v>
      </c>
      <c r="D70" s="182">
        <f>D22-D68</f>
        <v>44317272.842860177</v>
      </c>
      <c r="E70" s="152">
        <f>E22-E68</f>
        <v>89142.05232761745</v>
      </c>
      <c r="F70" s="243"/>
      <c r="G70" s="153"/>
      <c r="J70" s="153"/>
    </row>
    <row r="71" spans="1:16" s="157" customFormat="1" ht="15.6">
      <c r="A71" s="90"/>
      <c r="B71" s="154"/>
      <c r="C71" s="151" t="s">
        <v>240</v>
      </c>
      <c r="D71" s="155">
        <f>IF($D$22=0,0,D70/$D$22)</f>
        <v>0.43394681011419456</v>
      </c>
      <c r="E71" s="155">
        <f>IF($E$22=0,0,E70/$E$22)</f>
        <v>0.43089008652428107</v>
      </c>
      <c r="F71" s="156"/>
      <c r="G71" s="153"/>
      <c r="J71" s="158"/>
      <c r="K71" s="526"/>
      <c r="L71" s="526"/>
      <c r="N71" s="526"/>
      <c r="O71" s="526"/>
      <c r="P71" s="526"/>
    </row>
    <row r="72" spans="1:16">
      <c r="A72" s="90"/>
      <c r="F72" s="156"/>
      <c r="G72" s="153"/>
    </row>
    <row r="75" spans="1:16" ht="15" thickBot="1">
      <c r="C75" s="189" t="s">
        <v>260</v>
      </c>
      <c r="D75" s="190" t="s">
        <v>261</v>
      </c>
      <c r="E75" s="191" t="s">
        <v>265</v>
      </c>
      <c r="F75" s="191" t="s">
        <v>266</v>
      </c>
    </row>
    <row r="76" spans="1:16">
      <c r="C76" s="498">
        <v>46027</v>
      </c>
      <c r="D76" s="499">
        <v>46033</v>
      </c>
      <c r="E76" s="500">
        <f t="shared" ref="E76:E82" si="4">SUMIFS($D$26:$D$73,$F$26:$F$73,"&gt;="&amp;C76,$F$26:$F$73,"&lt;="&amp;D76,$G$26:$G$73,$D$94)</f>
        <v>0</v>
      </c>
      <c r="F76" s="501">
        <f t="shared" ref="F76:F82" si="5">SUMIFS($E$26:$E$73,$F$26:$F$73,"&gt;="&amp;C76,$F$26:$F$73,"&lt;="&amp;D76,$G$26:$G$73,$D$94)</f>
        <v>0</v>
      </c>
    </row>
    <row r="77" spans="1:16">
      <c r="C77" s="403">
        <v>46034</v>
      </c>
      <c r="D77" s="398">
        <v>46035</v>
      </c>
      <c r="E77" s="404">
        <f t="shared" si="4"/>
        <v>0</v>
      </c>
      <c r="F77" s="405">
        <f t="shared" si="5"/>
        <v>0</v>
      </c>
    </row>
    <row r="78" spans="1:16">
      <c r="C78" s="403">
        <v>46036</v>
      </c>
      <c r="D78" s="397">
        <v>46036</v>
      </c>
      <c r="E78" s="404">
        <f t="shared" si="4"/>
        <v>0</v>
      </c>
      <c r="F78" s="405">
        <f t="shared" si="5"/>
        <v>0</v>
      </c>
      <c r="G78" s="497" t="s">
        <v>1292</v>
      </c>
    </row>
    <row r="79" spans="1:16">
      <c r="C79" s="403">
        <v>46037</v>
      </c>
      <c r="D79" s="397">
        <v>46040</v>
      </c>
      <c r="E79" s="404">
        <f t="shared" si="4"/>
        <v>0</v>
      </c>
      <c r="F79" s="405">
        <f t="shared" si="5"/>
        <v>0</v>
      </c>
      <c r="G79" s="496" t="s">
        <v>1166</v>
      </c>
    </row>
    <row r="80" spans="1:16">
      <c r="C80" s="403">
        <v>46041</v>
      </c>
      <c r="D80" s="397">
        <v>46047</v>
      </c>
      <c r="E80" s="404">
        <f t="shared" si="4"/>
        <v>0</v>
      </c>
      <c r="F80" s="405">
        <f t="shared" si="5"/>
        <v>0</v>
      </c>
      <c r="G80" s="496"/>
    </row>
    <row r="81" spans="2:13">
      <c r="C81" s="403">
        <v>46048</v>
      </c>
      <c r="D81" s="398">
        <v>46053</v>
      </c>
      <c r="E81" s="404">
        <f t="shared" si="4"/>
        <v>0</v>
      </c>
      <c r="F81" s="405">
        <f t="shared" si="5"/>
        <v>0</v>
      </c>
      <c r="G81" s="497" t="s">
        <v>1294</v>
      </c>
    </row>
    <row r="82" spans="2:13" s="544" customFormat="1" ht="15" thickBot="1">
      <c r="B82" s="545"/>
      <c r="C82" s="406">
        <v>46054</v>
      </c>
      <c r="D82" s="547">
        <v>46059</v>
      </c>
      <c r="E82" s="407">
        <f t="shared" si="4"/>
        <v>0</v>
      </c>
      <c r="F82" s="408">
        <f t="shared" si="5"/>
        <v>0</v>
      </c>
      <c r="G82" s="497"/>
    </row>
    <row r="83" spans="2:13" ht="15.6">
      <c r="C83" s="589" t="s">
        <v>262</v>
      </c>
      <c r="D83" s="589"/>
      <c r="E83" s="186">
        <f>SUM(E76:E82)</f>
        <v>0</v>
      </c>
      <c r="F83" s="200">
        <f>SUM(F76:F82)</f>
        <v>0</v>
      </c>
      <c r="G83" s="94"/>
      <c r="J83" s="153"/>
      <c r="K83" s="153"/>
      <c r="M83" s="206"/>
    </row>
    <row r="86" spans="2:13">
      <c r="C86" s="591"/>
      <c r="D86" s="593"/>
    </row>
    <row r="87" spans="2:13">
      <c r="C87" s="592" t="s">
        <v>1065</v>
      </c>
      <c r="D87" s="592"/>
      <c r="E87" s="204">
        <f>'BAC SAN JOSE COLONES  '!$G$547+('BAC SAN JOSE USD'!$G$549*502)</f>
        <v>124149852.53031248</v>
      </c>
      <c r="F87" s="452">
        <f>('BAC SAN JOSE COLONES  '!G547/$D$6)+'BAC SAN JOSE USD'!G549</f>
        <v>249366.21839686387</v>
      </c>
      <c r="J87" s="324"/>
      <c r="M87" s="206"/>
    </row>
    <row r="88" spans="2:13" s="538" customFormat="1">
      <c r="B88" s="539"/>
      <c r="C88" s="594" t="s">
        <v>1407</v>
      </c>
      <c r="D88" s="592"/>
      <c r="E88" s="204">
        <f>D15+D19</f>
        <v>41876255.789999999</v>
      </c>
      <c r="F88" s="452">
        <f>E88/D6</f>
        <v>85287.69</v>
      </c>
      <c r="J88" s="324"/>
    </row>
    <row r="89" spans="2:13">
      <c r="C89" s="594" t="s">
        <v>1406</v>
      </c>
      <c r="D89" s="592"/>
      <c r="E89" s="204">
        <f>SUM(E76:E81)</f>
        <v>0</v>
      </c>
      <c r="F89" s="452">
        <f>SUM(F76:F81)</f>
        <v>0</v>
      </c>
      <c r="J89" s="324"/>
    </row>
    <row r="90" spans="2:13">
      <c r="C90" s="588" t="s">
        <v>152</v>
      </c>
      <c r="D90" s="588"/>
      <c r="E90" s="446">
        <f>(E87+E88)-E89</f>
        <v>166026108.32031247</v>
      </c>
      <c r="F90" s="447">
        <f>(F87+F88)-F89</f>
        <v>334653.90839686384</v>
      </c>
      <c r="G90" s="467"/>
      <c r="J90" s="206"/>
    </row>
    <row r="93" spans="2:13">
      <c r="D93" s="90" t="s">
        <v>235</v>
      </c>
      <c r="E93" s="170">
        <f>SUMIFS($D$26:$D$73,$F$26:$F$73,"&gt;="&amp;$C$76,$F$26:$F$73,"&lt;="&amp;$D$82,$G$26:$G$73,$D$93)</f>
        <v>57808775.349999994</v>
      </c>
      <c r="F93" s="206">
        <f>SUMIFS($E$26:$E$72,$F$26:$F$72,"&gt;="&amp;C76,$F$26:$F$72,"&lt;="&amp;$D$82,$G$26:$G$72,$D$93)</f>
        <v>117736.81334012217</v>
      </c>
    </row>
    <row r="94" spans="2:13">
      <c r="D94" s="90" t="s">
        <v>231</v>
      </c>
      <c r="E94" s="170">
        <f>SUMIFS($D$26:$D$73,$F$26:$F$73,"&gt;="&amp;$C$76,$F$26:$F$73,"&lt;="&amp;$D$82,$G$26:$G$73,$D$94)</f>
        <v>0</v>
      </c>
      <c r="F94" s="206">
        <f>SUMIFS($E$26:$E$72,$F$26:$F$72,"&gt;="&amp;C77,$F$26:$F$72,"&lt;="&amp;$D$82,$G$26:$G$72,$D$94)</f>
        <v>0</v>
      </c>
    </row>
    <row r="95" spans="2:13">
      <c r="D95" s="185" t="s">
        <v>263</v>
      </c>
      <c r="E95" s="194">
        <f>SUM($E$93:$E$94)</f>
        <v>57808775.349999994</v>
      </c>
      <c r="F95" s="199">
        <f>SUM($F$93:$F$94)</f>
        <v>117736.81334012217</v>
      </c>
      <c r="G95" s="206"/>
    </row>
    <row r="96" spans="2:13">
      <c r="D96" s="185" t="s">
        <v>264</v>
      </c>
      <c r="E96" s="194">
        <f>(D68-E95)</f>
        <v>0</v>
      </c>
      <c r="F96" s="199">
        <f>F95-E68</f>
        <v>0</v>
      </c>
    </row>
    <row r="98" spans="2:6">
      <c r="E98" s="546" t="s">
        <v>400</v>
      </c>
      <c r="F98" s="170">
        <f>$D$70</f>
        <v>44317272.842860177</v>
      </c>
    </row>
    <row r="99" spans="2:6" s="544" customFormat="1">
      <c r="B99" s="545"/>
      <c r="D99" s="546"/>
      <c r="E99" s="546" t="s">
        <v>401</v>
      </c>
      <c r="F99" s="170">
        <f>'BAC SAN JOSE COLONES  '!$G$566+('BAC SAN JOSE USD'!$G$533*'FLUJO CAJA ENERO 2026'!$D$6)</f>
        <v>44317272.842860177</v>
      </c>
    </row>
    <row r="100" spans="2:6" s="544" customFormat="1">
      <c r="B100" s="545"/>
      <c r="D100" s="546"/>
      <c r="E100" s="546" t="s">
        <v>701</v>
      </c>
      <c r="F100" s="170">
        <f>F99-F98</f>
        <v>0</v>
      </c>
    </row>
    <row r="101" spans="2:6" s="544" customFormat="1">
      <c r="B101" s="545"/>
      <c r="D101" s="546"/>
      <c r="E101" s="546" t="s">
        <v>702</v>
      </c>
      <c r="F101" s="395">
        <f>F100/D6</f>
        <v>0</v>
      </c>
    </row>
    <row r="102" spans="2:6" s="544" customFormat="1">
      <c r="B102" s="545"/>
      <c r="D102" s="546"/>
      <c r="E102" s="546"/>
    </row>
  </sheetData>
  <protectedRanges>
    <protectedRange sqref="F22:G22 D72:E72 D10:E11" name="Presupuestos"/>
    <protectedRange sqref="D8:E8 D26:E26" name="Presupuestos_1"/>
    <protectedRange sqref="D35:E35" name="Presupuestos_13_1"/>
    <protectedRange sqref="M44:M51 D53:D54 M53:M54 D56:D61 M56:M61 D44:E51 E52:E61" name="Presupuestos_2_1_1_1"/>
    <protectedRange sqref="E65 E67 E37:E38 E63" name="Presupuestos_6_1_1_1"/>
    <protectedRange sqref="D55 D52 M55 M52" name="Presupuestos_5_2_1"/>
    <protectedRange sqref="D42:E42" name="Presupuestos_7_1"/>
    <protectedRange sqref="D65 D67 D37:D38 D63" name="Presupuestos_5_3"/>
    <protectedRange sqref="D40:E40" name="Presupuestos_13_1_1"/>
  </protectedRanges>
  <autoFilter ref="A26:S67" xr:uid="{F69C6B2D-383E-4B76-8586-2A4189632243}"/>
  <mergeCells count="9">
    <mergeCell ref="C89:D89"/>
    <mergeCell ref="C90:D90"/>
    <mergeCell ref="D7:E7"/>
    <mergeCell ref="B25:C25"/>
    <mergeCell ref="D25:E25"/>
    <mergeCell ref="C83:D83"/>
    <mergeCell ref="C86:D86"/>
    <mergeCell ref="C87:D87"/>
    <mergeCell ref="C88:D88"/>
  </mergeCells>
  <dataValidations count="4">
    <dataValidation type="list" allowBlank="1" showInputMessage="1" showErrorMessage="1" sqref="O39" xr:uid="{B8A32B98-C4B6-4EBB-9DBC-99C5E6D2EF88}">
      <formula1>"0,1"</formula1>
    </dataValidation>
    <dataValidation type="list" allowBlank="1" showInputMessage="1" showErrorMessage="1" sqref="G73:G74 G65 D93:D94 G27:G28 G40 G37:G38 G30:G33 G42 G35 G67 G63 G44:G61" xr:uid="{EFC6DF21-7151-445A-98B2-B9A87B45B345}">
      <formula1>"Cancelado,Pagar,Sin Pagar"</formula1>
    </dataValidation>
    <dataValidation type="list" allowBlank="1" showInputMessage="1" showErrorMessage="1" sqref="D25 D7" xr:uid="{5E7365AF-20AC-444B-AC63-5EC9E14A3E46}">
      <formula1>"ENERO,FEBRERO,MARZO,ABRIL,MAYO,JUNIO,JULIO,AGOSTO,SEPTIEMBRE,OCTUBRE,NOVIEMBRE,DICIEMBRE"</formula1>
    </dataValidation>
    <dataValidation type="list" allowBlank="1" showInputMessage="1" showErrorMessage="1" sqref="B13:B21" xr:uid="{20ADFD4D-86B4-40A2-8969-E5792ED07224}">
      <formula1>"Sin Pagar,Pagado"</formula1>
    </dataValidation>
  </dataValidations>
  <pageMargins left="0.7" right="0.7" top="0.75" bottom="0.75" header="0.3" footer="0.3"/>
  <pageSetup orientation="portrait" r:id="rId1"/>
  <ignoredErrors>
    <ignoredError sqref="J62:J63 J34:J36 J28:J31 J38:J46 J59 J55:J57 J48:J53 J47 J54 J58 J60:J61 J64:J67" unlockedFormula="1"/>
    <ignoredError sqref="D14" formula="1"/>
  </ignoredError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525E-B48A-4B20-8293-F390F016AEFA}">
  <dimension ref="A1:S106"/>
  <sheetViews>
    <sheetView showGridLines="0" topLeftCell="A86" zoomScaleNormal="100" workbookViewId="0">
      <selection activeCell="D96" sqref="D96"/>
    </sheetView>
  </sheetViews>
  <sheetFormatPr baseColWidth="10" defaultColWidth="9.109375" defaultRowHeight="14.4" outlineLevelRow="1"/>
  <cols>
    <col min="1" max="1" width="2.109375" style="544" customWidth="1"/>
    <col min="2" max="2" width="18.88671875" style="545" bestFit="1" customWidth="1"/>
    <col min="3" max="3" width="59.88671875" style="544" customWidth="1"/>
    <col min="4" max="4" width="24.44140625" style="546" customWidth="1"/>
    <col min="5" max="5" width="19.33203125" style="546" bestFit="1" customWidth="1"/>
    <col min="6" max="6" width="23.5546875" style="544" customWidth="1"/>
    <col min="7" max="7" width="18.88671875" style="544" customWidth="1"/>
    <col min="8" max="8" width="7.6640625" style="544" hidden="1" customWidth="1"/>
    <col min="9" max="9" width="12.109375" style="544" hidden="1" customWidth="1"/>
    <col min="10" max="10" width="25.33203125" style="544" customWidth="1"/>
    <col min="11" max="11" width="2.109375" style="544" customWidth="1"/>
    <col min="12" max="12" width="2.33203125" style="544" customWidth="1"/>
    <col min="13" max="13" width="17.109375" style="544" bestFit="1" customWidth="1"/>
    <col min="14" max="14" width="15.5546875" style="544" bestFit="1" customWidth="1"/>
    <col min="15" max="15" width="6.33203125" style="544" bestFit="1" customWidth="1"/>
    <col min="16" max="16" width="19.33203125" style="544" bestFit="1" customWidth="1"/>
    <col min="17" max="17" width="15.33203125" style="544" bestFit="1" customWidth="1"/>
    <col min="18" max="18" width="14" style="544" bestFit="1" customWidth="1"/>
    <col min="19" max="19" width="13" style="544" bestFit="1" customWidth="1"/>
    <col min="20" max="16384" width="9.109375" style="544"/>
  </cols>
  <sheetData>
    <row r="1" spans="2:9" hidden="1">
      <c r="D1" s="546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46054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488</v>
      </c>
      <c r="E6" s="89"/>
      <c r="I6" s="90"/>
    </row>
    <row r="7" spans="2:9" ht="15.6">
      <c r="C7" s="94"/>
      <c r="D7" s="590" t="s">
        <v>205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SUBTOTAL(9,D10:D11)</f>
        <v>42064088.821736813</v>
      </c>
      <c r="E9" s="98">
        <f>SUBTOTAL(9,E10:E11)</f>
        <v>86196.903323231178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'!$G$566-2170813.21</f>
        <v>28665103.545670018</v>
      </c>
      <c r="E10" s="218">
        <f>$D$10/$D$6</f>
        <v>58739.96628211069</v>
      </c>
      <c r="F10" s="103"/>
    </row>
    <row r="11" spans="2:9" s="90" customFormat="1" outlineLevel="1">
      <c r="B11" s="100"/>
      <c r="C11" s="101" t="s">
        <v>221</v>
      </c>
      <c r="D11" s="169">
        <f>$E$11*$D$6</f>
        <v>13398985.276066799</v>
      </c>
      <c r="E11" s="218">
        <f>'BAC SAN JOSE USD'!$G$533</f>
        <v>27456.937041120487</v>
      </c>
      <c r="F11" s="103"/>
    </row>
    <row r="12" spans="2:9" s="90" customFormat="1" ht="15.6">
      <c r="B12" s="100"/>
      <c r="C12" s="104" t="s">
        <v>222</v>
      </c>
      <c r="D12" s="167">
        <f>SUBTOTAL(9,D13:D18)</f>
        <v>65893271.50999999</v>
      </c>
      <c r="E12" s="98">
        <f>SUBTOTAL(9,E13:E18)</f>
        <v>134809.48000000001</v>
      </c>
      <c r="F12" s="105"/>
    </row>
    <row r="13" spans="2:9" s="178" customFormat="1" ht="14.25" customHeight="1" outlineLevel="1">
      <c r="B13" s="328" t="s">
        <v>533</v>
      </c>
      <c r="C13" s="329" t="s">
        <v>1454</v>
      </c>
      <c r="D13" s="330">
        <f>$E$13*$D$6</f>
        <v>9166787.2000000011</v>
      </c>
      <c r="E13" s="331">
        <f>CONVERSIONES!$D$812</f>
        <v>18784.400000000001</v>
      </c>
      <c r="F13" s="441"/>
      <c r="G13" s="464"/>
    </row>
    <row r="14" spans="2:9" s="178" customFormat="1" outlineLevel="1">
      <c r="B14" s="458" t="s">
        <v>533</v>
      </c>
      <c r="C14" s="329" t="s">
        <v>1453</v>
      </c>
      <c r="D14" s="330">
        <f>$E$14*$D$6</f>
        <v>4772547.2799999993</v>
      </c>
      <c r="E14" s="331">
        <v>9779.81</v>
      </c>
      <c r="F14" s="474"/>
      <c r="G14" s="272"/>
    </row>
    <row r="15" spans="2:9" s="178" customFormat="1" outlineLevel="1">
      <c r="B15" s="328" t="s">
        <v>533</v>
      </c>
      <c r="C15" s="553" t="s">
        <v>1465</v>
      </c>
      <c r="D15" s="410">
        <f>E15*489</f>
        <v>37616026.710000001</v>
      </c>
      <c r="E15" s="411">
        <v>76924.39</v>
      </c>
      <c r="F15" s="272"/>
      <c r="G15" s="439"/>
    </row>
    <row r="16" spans="2:9" s="178" customFormat="1" outlineLevel="1">
      <c r="B16" s="328" t="s">
        <v>533</v>
      </c>
      <c r="C16" s="329" t="s">
        <v>1466</v>
      </c>
      <c r="D16" s="410">
        <f>E16*489</f>
        <v>1547308.47</v>
      </c>
      <c r="E16" s="331">
        <v>3164.23</v>
      </c>
      <c r="F16" s="439"/>
    </row>
    <row r="17" spans="1:19" s="178" customFormat="1" outlineLevel="1">
      <c r="B17" s="328" t="s">
        <v>533</v>
      </c>
      <c r="C17" s="329" t="s">
        <v>1467</v>
      </c>
      <c r="D17" s="410">
        <f>E17*489</f>
        <v>867339.3</v>
      </c>
      <c r="E17" s="411">
        <v>1773.7</v>
      </c>
      <c r="F17" s="271"/>
    </row>
    <row r="18" spans="1:19" s="178" customFormat="1" ht="14.25" customHeight="1" outlineLevel="1">
      <c r="B18" s="328" t="s">
        <v>533</v>
      </c>
      <c r="C18" s="329" t="s">
        <v>1468</v>
      </c>
      <c r="D18" s="410">
        <f>E18*489</f>
        <v>11923262.550000001</v>
      </c>
      <c r="E18" s="411">
        <v>24382.95</v>
      </c>
      <c r="F18" s="441"/>
      <c r="G18" s="464"/>
    </row>
    <row r="19" spans="1:19" s="90" customFormat="1" ht="15.6">
      <c r="B19" s="100"/>
      <c r="C19" s="109" t="s">
        <v>223</v>
      </c>
      <c r="D19" s="168">
        <f>SUBTOTAL(9,D9:D18)</f>
        <v>107957360.3317368</v>
      </c>
      <c r="E19" s="207">
        <f>SUBTOTAL(9,E9:E18)</f>
        <v>221006.38332323122</v>
      </c>
      <c r="F19" s="110"/>
      <c r="G19" s="475">
        <f>G13/E19</f>
        <v>0</v>
      </c>
      <c r="J19" s="108"/>
      <c r="K19" s="111"/>
      <c r="O19" s="112"/>
      <c r="P19" s="113"/>
      <c r="Q19" s="114"/>
    </row>
    <row r="20" spans="1:19" s="90" customFormat="1" ht="15.6">
      <c r="B20" s="100"/>
      <c r="C20" s="115"/>
      <c r="D20" s="116"/>
      <c r="E20" s="116"/>
      <c r="G20" s="117"/>
      <c r="O20" s="113"/>
      <c r="P20" s="113"/>
    </row>
    <row r="21" spans="1:19" s="90" customFormat="1" ht="15.6">
      <c r="B21" s="100"/>
      <c r="D21" s="349"/>
      <c r="N21" s="118"/>
      <c r="O21" s="119"/>
      <c r="P21" s="120"/>
    </row>
    <row r="22" spans="1:19" s="90" customFormat="1" ht="15.6">
      <c r="B22" s="590" t="s">
        <v>224</v>
      </c>
      <c r="C22" s="590"/>
      <c r="D22" s="590" t="s">
        <v>205</v>
      </c>
      <c r="E22" s="590"/>
      <c r="K22" s="120"/>
      <c r="L22" s="120"/>
      <c r="N22" s="118"/>
      <c r="R22" s="108"/>
      <c r="S22" s="108"/>
    </row>
    <row r="23" spans="1:19" s="90" customFormat="1" ht="16.2" thickBot="1">
      <c r="B23" s="121" t="s">
        <v>225</v>
      </c>
      <c r="C23" s="122" t="s">
        <v>226</v>
      </c>
      <c r="D23" s="95" t="s">
        <v>242</v>
      </c>
      <c r="E23" s="95" t="s">
        <v>219</v>
      </c>
      <c r="F23" s="123" t="s">
        <v>227</v>
      </c>
      <c r="G23" s="118" t="s">
        <v>228</v>
      </c>
      <c r="H23" s="118"/>
      <c r="I23" s="118"/>
      <c r="J23" s="124" t="s">
        <v>229</v>
      </c>
      <c r="N23" s="125"/>
      <c r="R23" s="108"/>
      <c r="S23" s="126"/>
    </row>
    <row r="24" spans="1:19" s="90" customFormat="1" ht="16.2" thickBot="1">
      <c r="B24" s="100"/>
      <c r="C24" s="127" t="s">
        <v>230</v>
      </c>
      <c r="D24" s="172">
        <f>SUBTOTAL(9,D25:D25)</f>
        <v>17154765</v>
      </c>
      <c r="E24" s="128">
        <f>SUBTOTAL(9,E25:E25)</f>
        <v>35153.206967213118</v>
      </c>
      <c r="F24" s="129"/>
      <c r="J24" s="130"/>
    </row>
    <row r="25" spans="1:19" s="90" customFormat="1" ht="15" outlineLevel="1" thickBot="1">
      <c r="A25" s="103"/>
      <c r="B25" s="360" t="s">
        <v>1474</v>
      </c>
      <c r="C25" s="174" t="s">
        <v>707</v>
      </c>
      <c r="D25" s="271">
        <v>17154765</v>
      </c>
      <c r="E25" s="142">
        <f>D25/$D$6</f>
        <v>35153.206967213118</v>
      </c>
      <c r="F25" s="134">
        <v>46066</v>
      </c>
      <c r="G25" s="90" t="s">
        <v>235</v>
      </c>
      <c r="H25" s="90">
        <f>IF(OR(G25="Sin pagar",G25="Pagar"),_xlfn.SINGLE(NETWORKDAYS($E$4,F25,'Festivos CR'!$A$3:$A$29)),0)</f>
        <v>0</v>
      </c>
      <c r="I25" s="90">
        <f>NETWORKDAYS($E$4,F25,'Festivos CR'!$A$3:$A$43)</f>
        <v>10</v>
      </c>
      <c r="J25" s="132">
        <f t="shared" ref="J25:J31" si="0">H25</f>
        <v>0</v>
      </c>
      <c r="K25" s="108"/>
      <c r="L25" s="108"/>
      <c r="M25" s="349"/>
      <c r="N25" s="349"/>
    </row>
    <row r="26" spans="1:19" s="90" customFormat="1" ht="16.2" thickBot="1">
      <c r="B26" s="100"/>
      <c r="C26" s="127" t="s">
        <v>232</v>
      </c>
      <c r="D26" s="172">
        <f>SUBTOTAL(9,D27:D29)</f>
        <v>5066524</v>
      </c>
      <c r="E26" s="128">
        <f>SUBTOTAL(9,E27:E29)</f>
        <v>10382.221311475409</v>
      </c>
      <c r="J26" s="130">
        <f t="shared" si="0"/>
        <v>0</v>
      </c>
    </row>
    <row r="27" spans="1:19" s="90" customFormat="1" outlineLevel="1">
      <c r="B27" s="373" t="s">
        <v>1469</v>
      </c>
      <c r="C27" s="101" t="s">
        <v>1405</v>
      </c>
      <c r="D27" s="169">
        <f>405000*0</f>
        <v>0</v>
      </c>
      <c r="E27" s="137">
        <f>D27/$D$6</f>
        <v>0</v>
      </c>
      <c r="F27" s="134">
        <v>46054</v>
      </c>
      <c r="G27" s="90" t="s">
        <v>235</v>
      </c>
      <c r="H27" s="90">
        <f>IF(OR(G27="Sin pagar",G27="Pagar"),_xlfn.SINGLE(NETWORKDAYS($E$4,F27,'Festivos CR'!$A$3:$A$29)),0)</f>
        <v>0</v>
      </c>
      <c r="I27" s="90">
        <f>NETWORKDAYS($E$4,F27,'Festivos CR'!$A$3:$A$43)</f>
        <v>0</v>
      </c>
      <c r="J27" s="132">
        <f>H27</f>
        <v>0</v>
      </c>
      <c r="K27" s="135"/>
      <c r="L27" s="111"/>
      <c r="M27" s="349"/>
    </row>
    <row r="28" spans="1:19" s="90" customFormat="1" outlineLevel="1">
      <c r="B28" s="552" t="s">
        <v>1470</v>
      </c>
      <c r="C28" s="101" t="s">
        <v>292</v>
      </c>
      <c r="D28" s="169">
        <v>4907628</v>
      </c>
      <c r="E28" s="137">
        <f>D28/$D$6</f>
        <v>10056.61475409836</v>
      </c>
      <c r="F28" s="134">
        <v>46066</v>
      </c>
      <c r="G28" s="90" t="s">
        <v>235</v>
      </c>
      <c r="H28" s="90">
        <f>IF(OR(G28="Sin pagar",G28="Pagar"),_xlfn.SINGLE(NETWORKDAYS($E$4,F28,'Festivos CR'!$A$3:$A$29)),0)</f>
        <v>0</v>
      </c>
      <c r="I28" s="90">
        <f>NETWORKDAYS($E$4,F28,'Festivos CR'!$A$3:$A$43)</f>
        <v>10</v>
      </c>
      <c r="J28" s="132">
        <f t="shared" si="0"/>
        <v>0</v>
      </c>
      <c r="K28" s="135"/>
      <c r="L28" s="111"/>
      <c r="M28" s="349"/>
      <c r="N28" s="349"/>
    </row>
    <row r="29" spans="1:19" s="90" customFormat="1" ht="29.4" outlineLevel="1" thickBot="1">
      <c r="B29" s="552" t="s">
        <v>1471</v>
      </c>
      <c r="C29" s="101" t="s">
        <v>1444</v>
      </c>
      <c r="D29" s="169">
        <v>158896</v>
      </c>
      <c r="E29" s="137">
        <f>D29/$D$6</f>
        <v>325.60655737704917</v>
      </c>
      <c r="F29" s="134">
        <v>46066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CR'!$A$3:$A$43)</f>
        <v>10</v>
      </c>
      <c r="J29" s="132">
        <f t="shared" si="0"/>
        <v>0</v>
      </c>
      <c r="K29" s="135"/>
      <c r="L29" s="111"/>
      <c r="M29" s="349"/>
    </row>
    <row r="30" spans="1:19" s="90" customFormat="1" ht="16.2" thickBot="1">
      <c r="B30" s="451"/>
      <c r="C30" s="127" t="s">
        <v>233</v>
      </c>
      <c r="D30" s="172">
        <f>SUBTOTAL(9,D31:D32)</f>
        <v>143058</v>
      </c>
      <c r="E30" s="128">
        <f>SUBTOTAL(9,E31:E32)</f>
        <v>293.15163934426232</v>
      </c>
      <c r="J30" s="130">
        <f t="shared" si="0"/>
        <v>0</v>
      </c>
      <c r="K30" s="108"/>
      <c r="L30" s="108"/>
      <c r="N30" s="349"/>
    </row>
    <row r="31" spans="1:19" s="90" customFormat="1" outlineLevel="1">
      <c r="B31" s="100">
        <v>45</v>
      </c>
      <c r="C31" s="101" t="s">
        <v>1472</v>
      </c>
      <c r="D31" s="169">
        <v>32770</v>
      </c>
      <c r="E31" s="142">
        <f>D31/D6</f>
        <v>67.151639344262293</v>
      </c>
      <c r="F31" s="134">
        <v>46070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CR'!$A$3:$A$43)</f>
        <v>12</v>
      </c>
      <c r="J31" s="132">
        <f t="shared" si="0"/>
        <v>0</v>
      </c>
      <c r="M31" s="369"/>
      <c r="N31" s="103"/>
    </row>
    <row r="32" spans="1:19" s="90" customFormat="1" ht="15" outlineLevel="1" thickBot="1">
      <c r="B32" s="100">
        <v>46</v>
      </c>
      <c r="C32" s="101" t="s">
        <v>1371</v>
      </c>
      <c r="D32" s="169">
        <f>E32*$D$6</f>
        <v>110288</v>
      </c>
      <c r="E32" s="142">
        <v>226</v>
      </c>
      <c r="F32" s="134">
        <v>46070</v>
      </c>
      <c r="G32" s="90" t="s">
        <v>235</v>
      </c>
      <c r="H32" s="90">
        <f>IF(OR(G32="Sin pagar",G32="Pagar"),_xlfn.SINGLE(NETWORKDAYS($E$4,F32,'Festivos CR'!$A$3:$A$29)),0)</f>
        <v>0</v>
      </c>
      <c r="I32" s="90">
        <f>NETWORKDAYS($E$4,F32,'Festivos CR'!$A$3:$A$43)</f>
        <v>12</v>
      </c>
      <c r="J32" s="132">
        <f>H32</f>
        <v>0</v>
      </c>
      <c r="M32" s="369"/>
      <c r="N32" s="103"/>
    </row>
    <row r="33" spans="1:19" s="90" customFormat="1" ht="16.2" thickBot="1">
      <c r="B33" s="451"/>
      <c r="C33" s="127" t="s">
        <v>250</v>
      </c>
      <c r="D33" s="172">
        <f>SUBTOTAL(9,D34:D34)</f>
        <v>477</v>
      </c>
      <c r="E33" s="128">
        <f>SUBTOTAL(9,E34:E34)</f>
        <v>0.97745901639344257</v>
      </c>
      <c r="K33" s="103"/>
      <c r="L33" s="103"/>
      <c r="O33" s="103"/>
      <c r="P33" s="103"/>
    </row>
    <row r="34" spans="1:19" s="90" customFormat="1" ht="15" outlineLevel="1" thickBot="1">
      <c r="A34" s="180"/>
      <c r="B34" s="451"/>
      <c r="C34" s="101" t="s">
        <v>925</v>
      </c>
      <c r="D34" s="170">
        <v>477</v>
      </c>
      <c r="E34" s="142">
        <f>D34/$D$6</f>
        <v>0.97745901639344257</v>
      </c>
      <c r="F34" s="129">
        <v>46082</v>
      </c>
      <c r="G34" s="90" t="s">
        <v>235</v>
      </c>
      <c r="H34" s="90">
        <f>IF(OR(G34="Sin pagar",G34="Pagar"),_xlfn.SINGLE(NETWORKDAYS($E$4,F34,'Festivos CR'!$A$3:$A$29)),0)</f>
        <v>0</v>
      </c>
      <c r="I34" s="90">
        <f>NETWORKDAYS($E$4,F34,'Festivos CR'!$A$3:$A$43)</f>
        <v>20</v>
      </c>
      <c r="J34" s="132">
        <f>H34</f>
        <v>0</v>
      </c>
      <c r="L34" s="108"/>
      <c r="M34" s="392"/>
    </row>
    <row r="35" spans="1:19" s="90" customFormat="1" ht="16.2" thickBot="1">
      <c r="B35" s="451"/>
      <c r="C35" s="139" t="s">
        <v>234</v>
      </c>
      <c r="D35" s="173">
        <f>SUBTOTAL(9,D36:D39)</f>
        <v>2188680</v>
      </c>
      <c r="E35" s="140">
        <f>SUBTOTAL(9,E36:E39)</f>
        <v>4485</v>
      </c>
      <c r="K35" s="108"/>
    </row>
    <row r="36" spans="1:19" s="90" customFormat="1" outlineLevel="1">
      <c r="B36" s="176">
        <v>6481</v>
      </c>
      <c r="C36" s="174" t="s">
        <v>1225</v>
      </c>
      <c r="D36" s="169">
        <f>E36*$D$6</f>
        <v>380640</v>
      </c>
      <c r="E36" s="137">
        <v>780</v>
      </c>
      <c r="F36" s="134">
        <v>46063</v>
      </c>
      <c r="G36" s="90" t="s">
        <v>235</v>
      </c>
      <c r="H36" s="90">
        <f>IF(OR(G36="Sin pagar",G36="Pagar"),_xlfn.SINGLE(NETWORKDAYS($E$4,F36,'Festivos CR'!$A$3:$A$29)),0)</f>
        <v>0</v>
      </c>
      <c r="I36" s="90">
        <f>NETWORKDAYS($E$4,F36,'Festivos CR'!$A$3:$A$43)</f>
        <v>7</v>
      </c>
      <c r="J36" s="132">
        <f>H36</f>
        <v>0</v>
      </c>
      <c r="M36" s="297"/>
      <c r="N36" s="298"/>
    </row>
    <row r="37" spans="1:19" s="90" customFormat="1" outlineLevel="1">
      <c r="B37" s="176">
        <v>6595</v>
      </c>
      <c r="C37" s="174" t="s">
        <v>1225</v>
      </c>
      <c r="D37" s="169">
        <f>E37*$D$6</f>
        <v>358680</v>
      </c>
      <c r="E37" s="325">
        <f>980-245</f>
        <v>735</v>
      </c>
      <c r="F37" s="134">
        <v>46063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CR'!$A$3:$A$43)</f>
        <v>7</v>
      </c>
      <c r="J37" s="132">
        <v>980</v>
      </c>
      <c r="M37" s="297"/>
      <c r="N37" s="298"/>
    </row>
    <row r="38" spans="1:19" s="90" customFormat="1" outlineLevel="1">
      <c r="B38" s="176">
        <v>6642</v>
      </c>
      <c r="C38" s="174" t="s">
        <v>1225</v>
      </c>
      <c r="D38" s="169">
        <f>E38*$D$6</f>
        <v>468480</v>
      </c>
      <c r="E38" s="137">
        <v>960</v>
      </c>
      <c r="F38" s="134">
        <v>46063</v>
      </c>
      <c r="G38" s="90" t="s">
        <v>235</v>
      </c>
      <c r="H38" s="90">
        <f>IF(OR(G38="Sin pagar",G38="Pagar"),_xlfn.SINGLE(NETWORKDAYS($E$4,F38,'Festivos CR'!$A$3:$A$29)),0)</f>
        <v>0</v>
      </c>
      <c r="I38" s="90">
        <f>NETWORKDAYS($E$4,F38,'Festivos CR'!$A$3:$A$43)</f>
        <v>7</v>
      </c>
      <c r="J38" s="132">
        <f>H38</f>
        <v>0</v>
      </c>
      <c r="M38" s="297"/>
      <c r="N38" s="298"/>
    </row>
    <row r="39" spans="1:19" s="90" customFormat="1" ht="15" outlineLevel="1" thickBot="1">
      <c r="B39" s="176">
        <v>6667</v>
      </c>
      <c r="C39" s="174" t="s">
        <v>1225</v>
      </c>
      <c r="D39" s="169">
        <f>E39*$D$6</f>
        <v>980880</v>
      </c>
      <c r="E39" s="137">
        <v>2010</v>
      </c>
      <c r="F39" s="134">
        <v>46063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CR'!$A$3:$A$43)</f>
        <v>7</v>
      </c>
      <c r="J39" s="132">
        <f>H39</f>
        <v>0</v>
      </c>
      <c r="M39" s="297"/>
      <c r="N39" s="298"/>
    </row>
    <row r="40" spans="1:19" s="90" customFormat="1" ht="15.75" customHeight="1" thickBot="1">
      <c r="B40" s="451"/>
      <c r="C40" s="127" t="s">
        <v>236</v>
      </c>
      <c r="D40" s="172">
        <f>SUBTOTAL(9,D41:D41)</f>
        <v>571286.72000000009</v>
      </c>
      <c r="E40" s="128">
        <f>SUBTOTAL(9,E41:E41)</f>
        <v>1170.6695081967214</v>
      </c>
      <c r="M40" s="299"/>
      <c r="N40" s="299"/>
      <c r="O40" s="118"/>
      <c r="P40" s="300"/>
    </row>
    <row r="41" spans="1:19" s="90" customFormat="1" ht="15" outlineLevel="1" thickBot="1">
      <c r="B41" s="451"/>
      <c r="C41" s="174" t="s">
        <v>236</v>
      </c>
      <c r="D41" s="271">
        <f>E41*$D$6</f>
        <v>571286.72000000009</v>
      </c>
      <c r="E41" s="142">
        <f>('BAC SAN JOSE USD'!$F$536+'BAC SAN JOSE USD'!$F$538+'BAC SAN JOSE USD'!$F$540+'BAC SAN JOSE USD'!$F$542+'BAC SAN JOSE USD'!$F$544+'BAC SAN JOSE USD'!$F$546+'BAC SAN JOSE USD'!$F$548+'BAC SAN JOSE USD'!$F$549+'BAC SAN JOSE USD'!$F$552+'BAC SAN JOSE USD'!$F$560)+(('BAC SAN JOSE COLONES  '!F574+'BAC SAN JOSE COLONES  '!F576+'BAC SAN JOSE COLONES  '!F586/$D$6))</f>
        <v>1170.6695081967214</v>
      </c>
      <c r="F41" s="134">
        <v>46081</v>
      </c>
      <c r="G41" s="90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CR'!$A$3:$A$43)</f>
        <v>20</v>
      </c>
      <c r="J41" s="132">
        <f>H41</f>
        <v>0</v>
      </c>
    </row>
    <row r="42" spans="1:19" s="90" customFormat="1" ht="16.2" thickBot="1">
      <c r="B42" s="451"/>
      <c r="C42" s="127" t="s">
        <v>237</v>
      </c>
      <c r="D42" s="172">
        <f>SUBTOTAL(9,D43:D64)</f>
        <v>38161667.269999996</v>
      </c>
      <c r="E42" s="128">
        <f>SUBTOTAL(9,E43:E64)</f>
        <v>78200.137848360653</v>
      </c>
      <c r="K42" s="108"/>
      <c r="L42" s="143"/>
      <c r="N42" s="556">
        <f>E42/25000</f>
        <v>3.1280055139344261</v>
      </c>
    </row>
    <row r="43" spans="1:19" s="180" customFormat="1" outlineLevel="1">
      <c r="B43" s="265" t="s">
        <v>270</v>
      </c>
      <c r="C43" s="174" t="s">
        <v>1037</v>
      </c>
      <c r="D43" s="347">
        <f t="shared" ref="D43:D50" si="1">E43*$D$6</f>
        <v>3596115.92</v>
      </c>
      <c r="E43" s="487">
        <v>7369.09</v>
      </c>
      <c r="F43" s="129">
        <v>46080</v>
      </c>
      <c r="G43" s="90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CR'!$A$3:$A$43)</f>
        <v>20</v>
      </c>
      <c r="J43" s="132">
        <f t="shared" ref="J43:J60" si="2">H43</f>
        <v>0</v>
      </c>
      <c r="M43" s="137"/>
      <c r="N43" s="493"/>
      <c r="O43" s="346"/>
      <c r="P43" s="493"/>
      <c r="Q43" s="178"/>
      <c r="R43" s="178"/>
      <c r="S43" s="178"/>
    </row>
    <row r="44" spans="1:19" s="180" customFormat="1" outlineLevel="1">
      <c r="B44" s="265" t="s">
        <v>270</v>
      </c>
      <c r="C44" s="174" t="s">
        <v>257</v>
      </c>
      <c r="D44" s="347">
        <f t="shared" si="1"/>
        <v>3248074.3200000003</v>
      </c>
      <c r="E44" s="487">
        <v>6655.89</v>
      </c>
      <c r="F44" s="129">
        <v>46080</v>
      </c>
      <c r="G44" s="90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CR'!$A$3:$A$43)</f>
        <v>20</v>
      </c>
      <c r="J44" s="132">
        <f t="shared" si="2"/>
        <v>0</v>
      </c>
      <c r="M44" s="137"/>
      <c r="N44" s="493"/>
      <c r="O44" s="346"/>
      <c r="P44" s="493"/>
      <c r="Q44" s="178"/>
      <c r="R44" s="178"/>
      <c r="S44" s="178"/>
    </row>
    <row r="45" spans="1:19" s="180" customFormat="1" outlineLevel="1">
      <c r="B45" s="265" t="s">
        <v>270</v>
      </c>
      <c r="C45" s="174" t="s">
        <v>1423</v>
      </c>
      <c r="D45" s="347">
        <f t="shared" si="1"/>
        <v>2463946.1599999997</v>
      </c>
      <c r="E45" s="487">
        <v>5049.07</v>
      </c>
      <c r="F45" s="177">
        <v>46081</v>
      </c>
      <c r="G45" s="178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CR'!$A$3:$A$43)</f>
        <v>20</v>
      </c>
      <c r="J45" s="132">
        <f t="shared" si="2"/>
        <v>0</v>
      </c>
      <c r="M45" s="137"/>
      <c r="N45" s="493"/>
      <c r="O45" s="346"/>
      <c r="P45" s="493"/>
      <c r="Q45" s="178"/>
      <c r="R45" s="178"/>
      <c r="S45" s="178"/>
    </row>
    <row r="46" spans="1:19" s="180" customFormat="1" outlineLevel="1">
      <c r="B46" s="265" t="s">
        <v>270</v>
      </c>
      <c r="C46" s="174" t="s">
        <v>1424</v>
      </c>
      <c r="D46" s="347">
        <f t="shared" si="1"/>
        <v>522179.51999999996</v>
      </c>
      <c r="E46" s="487">
        <v>1070.04</v>
      </c>
      <c r="F46" s="129">
        <v>46079</v>
      </c>
      <c r="G46" s="90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CR'!$A$3:$A$43)</f>
        <v>19</v>
      </c>
      <c r="J46" s="132">
        <f>H46</f>
        <v>0</v>
      </c>
      <c r="M46" s="137"/>
      <c r="N46" s="493"/>
      <c r="O46" s="346"/>
      <c r="P46" s="493"/>
      <c r="Q46" s="178"/>
      <c r="R46" s="178"/>
      <c r="S46" s="178"/>
    </row>
    <row r="47" spans="1:19" s="180" customFormat="1" outlineLevel="1">
      <c r="B47" s="265" t="s">
        <v>270</v>
      </c>
      <c r="C47" s="174" t="s">
        <v>1036</v>
      </c>
      <c r="D47" s="347">
        <f t="shared" si="1"/>
        <v>2692803.52</v>
      </c>
      <c r="E47" s="487">
        <v>5518.04</v>
      </c>
      <c r="F47" s="129">
        <v>46079</v>
      </c>
      <c r="G47" s="90" t="s">
        <v>235</v>
      </c>
      <c r="H47" s="90">
        <f>IF(OR(G47="Sin pagar",G47="Pagar"),_xlfn.SINGLE(NETWORKDAYS($E$4,F47,'Festivos CR'!$A$3:$A$29)),0)</f>
        <v>0</v>
      </c>
      <c r="I47" s="90">
        <f>NETWORKDAYS($E$4,F47,'Festivos CR'!$A$3:$A$43)</f>
        <v>19</v>
      </c>
      <c r="J47" s="132">
        <f t="shared" si="2"/>
        <v>0</v>
      </c>
      <c r="M47" s="506"/>
      <c r="N47" s="493"/>
      <c r="O47" s="346"/>
      <c r="P47" s="493"/>
      <c r="Q47" s="178"/>
      <c r="R47" s="178"/>
      <c r="S47" s="178"/>
    </row>
    <row r="48" spans="1:19" s="180" customFormat="1" outlineLevel="1">
      <c r="B48" s="265" t="s">
        <v>270</v>
      </c>
      <c r="C48" s="174" t="s">
        <v>258</v>
      </c>
      <c r="D48" s="347">
        <f t="shared" si="1"/>
        <v>1664787.5999999999</v>
      </c>
      <c r="E48" s="487">
        <v>3411.45</v>
      </c>
      <c r="F48" s="129">
        <v>46080</v>
      </c>
      <c r="G48" s="90" t="s">
        <v>235</v>
      </c>
      <c r="H48" s="90">
        <f>IF(OR(G48="Sin pagar",G48="Pagar"),_xlfn.SINGLE(NETWORKDAYS($E$4,F48,'Festivos CR'!$A$3:$A$29)),0)</f>
        <v>0</v>
      </c>
      <c r="I48" s="90">
        <f>NETWORKDAYS($E$4,F48,'Festivos CR'!$A$3:$A$43)</f>
        <v>20</v>
      </c>
      <c r="J48" s="132">
        <f t="shared" si="2"/>
        <v>0</v>
      </c>
      <c r="M48" s="137"/>
      <c r="N48" s="493"/>
      <c r="O48" s="346"/>
      <c r="P48" s="493"/>
      <c r="Q48" s="178"/>
      <c r="R48" s="178"/>
      <c r="S48" s="178"/>
    </row>
    <row r="49" spans="2:19" s="180" customFormat="1" outlineLevel="1">
      <c r="B49" s="265" t="s">
        <v>270</v>
      </c>
      <c r="C49" s="174" t="s">
        <v>1038</v>
      </c>
      <c r="D49" s="347">
        <f t="shared" si="1"/>
        <v>944909.52</v>
      </c>
      <c r="E49" s="487">
        <v>1936.29</v>
      </c>
      <c r="F49" s="129">
        <v>46079</v>
      </c>
      <c r="G49" s="90" t="s">
        <v>235</v>
      </c>
      <c r="H49" s="90">
        <f>IF(OR(G49="Sin pagar",G49="Pagar"),_xlfn.SINGLE(NETWORKDAYS($E$4,F49,'Festivos CR'!$A$3:$A$29)),0)</f>
        <v>0</v>
      </c>
      <c r="I49" s="90">
        <f>NETWORKDAYS($E$4,F49,'Festivos CR'!$A$3:$A$43)</f>
        <v>19</v>
      </c>
      <c r="J49" s="132">
        <f t="shared" si="2"/>
        <v>0</v>
      </c>
      <c r="M49" s="137"/>
      <c r="N49" s="493"/>
      <c r="O49" s="346"/>
      <c r="P49" s="493"/>
      <c r="Q49" s="178"/>
      <c r="R49" s="178"/>
      <c r="S49" s="178"/>
    </row>
    <row r="50" spans="2:19" s="180" customFormat="1" outlineLevel="1">
      <c r="B50" s="265" t="s">
        <v>270</v>
      </c>
      <c r="C50" s="174" t="s">
        <v>1153</v>
      </c>
      <c r="D50" s="347">
        <f t="shared" si="1"/>
        <v>3844361.52</v>
      </c>
      <c r="E50" s="487">
        <v>7877.79</v>
      </c>
      <c r="F50" s="129">
        <v>46080</v>
      </c>
      <c r="G50" s="90" t="s">
        <v>235</v>
      </c>
      <c r="H50" s="90">
        <f>IF(OR(G50="Sin pagar",G50="Pagar"),_xlfn.SINGLE(NETWORKDAYS($E$4,F50,'Festivos CR'!$A$3:$A$29)),0)</f>
        <v>0</v>
      </c>
      <c r="I50" s="90">
        <f>NETWORKDAYS($E$4,F50,'Festivos CR'!$A$3:$A$43)</f>
        <v>20</v>
      </c>
      <c r="J50" s="132">
        <f t="shared" si="2"/>
        <v>0</v>
      </c>
      <c r="M50" s="137"/>
      <c r="N50" s="493"/>
      <c r="O50" s="346"/>
      <c r="P50" s="493"/>
      <c r="Q50" s="178"/>
      <c r="R50" s="178"/>
      <c r="S50" s="178"/>
    </row>
    <row r="51" spans="2:19" s="180" customFormat="1" outlineLevel="1">
      <c r="B51" s="145" t="s">
        <v>391</v>
      </c>
      <c r="C51" s="174" t="s">
        <v>253</v>
      </c>
      <c r="D51" s="488">
        <v>1405947.8</v>
      </c>
      <c r="E51" s="137">
        <f>D51/$D$6</f>
        <v>2881.0405737704918</v>
      </c>
      <c r="F51" s="177">
        <v>46081</v>
      </c>
      <c r="G51" s="178" t="s">
        <v>235</v>
      </c>
      <c r="H51" s="90">
        <f>IF(OR(G51="Sin pagar",G51="Pagar"),_xlfn.SINGLE(NETWORKDAYS($E$4,F51,'Festivos CR'!$A$3:$A$29)),0)</f>
        <v>0</v>
      </c>
      <c r="I51" s="90">
        <f>NETWORKDAYS($E$4,F51,'Festivos CR'!$A$3:$A$43)</f>
        <v>20</v>
      </c>
      <c r="J51" s="132">
        <f t="shared" si="2"/>
        <v>0</v>
      </c>
      <c r="M51" s="347"/>
      <c r="N51" s="178"/>
      <c r="O51" s="346"/>
      <c r="P51" s="494"/>
      <c r="Q51" s="493"/>
      <c r="R51" s="178"/>
      <c r="S51" s="178"/>
    </row>
    <row r="52" spans="2:19" s="180" customFormat="1" outlineLevel="1">
      <c r="B52" s="145" t="s">
        <v>391</v>
      </c>
      <c r="C52" s="174" t="s">
        <v>1485</v>
      </c>
      <c r="D52" s="488">
        <v>646971.22</v>
      </c>
      <c r="E52" s="137">
        <f>D52/$D$6</f>
        <v>1325.7606967213114</v>
      </c>
      <c r="F52" s="177">
        <v>46080</v>
      </c>
      <c r="G52" s="178" t="s">
        <v>235</v>
      </c>
      <c r="H52" s="90">
        <f>IF(OR(G52="Sin pagar",G52="Pagar"),_xlfn.SINGLE(NETWORKDAYS($E$4,F52,'Festivos CR'!$A$3:$A$29)),0)</f>
        <v>0</v>
      </c>
      <c r="I52" s="90">
        <f>NETWORKDAYS($E$4,F52,'Festivos CR'!$A$3:$A$43)</f>
        <v>20</v>
      </c>
      <c r="J52" s="132">
        <f>H52</f>
        <v>0</v>
      </c>
      <c r="M52" s="347"/>
      <c r="N52" s="178"/>
      <c r="O52" s="346"/>
      <c r="P52" s="494"/>
      <c r="Q52" s="493"/>
      <c r="R52" s="178"/>
      <c r="S52" s="178"/>
    </row>
    <row r="53" spans="2:19" s="180" customFormat="1" outlineLevel="1">
      <c r="B53" s="145" t="s">
        <v>391</v>
      </c>
      <c r="C53" s="174" t="s">
        <v>1152</v>
      </c>
      <c r="D53" s="488">
        <v>2034799.48</v>
      </c>
      <c r="E53" s="137">
        <f t="shared" ref="E53:E63" si="3">D53/$D$6</f>
        <v>4169.6710655737706</v>
      </c>
      <c r="F53" s="177">
        <v>46081</v>
      </c>
      <c r="G53" s="178" t="s">
        <v>235</v>
      </c>
      <c r="H53" s="90">
        <f>IF(OR(G53="Sin pagar",G53="Pagar"),_xlfn.SINGLE(NETWORKDAYS($E$4,F53,'Festivos CR'!$A$3:$A$29)),0)</f>
        <v>0</v>
      </c>
      <c r="I53" s="90">
        <f>NETWORKDAYS($E$4,F53,'Festivos CR'!$A$3:$A$43)</f>
        <v>20</v>
      </c>
      <c r="J53" s="132">
        <f t="shared" si="2"/>
        <v>0</v>
      </c>
      <c r="M53" s="347"/>
      <c r="N53" s="178"/>
      <c r="O53" s="346"/>
      <c r="P53" s="494"/>
      <c r="Q53" s="493"/>
      <c r="R53" s="178"/>
      <c r="S53" s="178"/>
    </row>
    <row r="54" spans="2:19" s="180" customFormat="1" outlineLevel="1">
      <c r="B54" s="145" t="s">
        <v>391</v>
      </c>
      <c r="C54" s="174" t="s">
        <v>1428</v>
      </c>
      <c r="D54" s="488">
        <v>1132568.82</v>
      </c>
      <c r="E54" s="137">
        <f t="shared" si="3"/>
        <v>2320.8377459016397</v>
      </c>
      <c r="F54" s="177">
        <v>46079</v>
      </c>
      <c r="G54" s="178" t="s">
        <v>235</v>
      </c>
      <c r="H54" s="90">
        <f>IF(OR(G54="Sin pagar",G54="Pagar"),_xlfn.SINGLE(NETWORKDAYS($E$4,F54,'Festivos CR'!$A$3:$A$29)),0)</f>
        <v>0</v>
      </c>
      <c r="I54" s="90">
        <f>NETWORKDAYS($E$4,F54,'Festivos CR'!$A$3:$A$43)</f>
        <v>19</v>
      </c>
      <c r="J54" s="132">
        <f>H54</f>
        <v>0</v>
      </c>
      <c r="M54" s="347"/>
      <c r="N54" s="178"/>
      <c r="O54" s="346"/>
      <c r="P54" s="494"/>
      <c r="Q54" s="493"/>
      <c r="R54" s="178"/>
      <c r="S54" s="178"/>
    </row>
    <row r="55" spans="2:19" s="180" customFormat="1" outlineLevel="1">
      <c r="B55" s="145" t="s">
        <v>391</v>
      </c>
      <c r="C55" s="174" t="s">
        <v>1483</v>
      </c>
      <c r="D55" s="488">
        <v>391634.64</v>
      </c>
      <c r="E55" s="137">
        <f>D55/$D$6</f>
        <v>802.53</v>
      </c>
      <c r="F55" s="177">
        <v>46080</v>
      </c>
      <c r="G55" s="178" t="s">
        <v>235</v>
      </c>
      <c r="H55" s="90">
        <f>IF(OR(G55="Sin pagar",G55="Pagar"),_xlfn.SINGLE(NETWORKDAYS($E$4,F55,'Festivos CR'!$A$3:$A$29)),0)</f>
        <v>0</v>
      </c>
      <c r="I55" s="90">
        <f>NETWORKDAYS($E$4,F55,'Festivos CR'!$A$3:$A$43)</f>
        <v>20</v>
      </c>
      <c r="J55" s="132">
        <f>H55</f>
        <v>0</v>
      </c>
      <c r="M55" s="347"/>
      <c r="N55" s="178"/>
      <c r="O55" s="346"/>
      <c r="P55" s="494"/>
      <c r="Q55" s="493"/>
      <c r="R55" s="178"/>
      <c r="S55" s="178"/>
    </row>
    <row r="56" spans="2:19" s="180" customFormat="1" outlineLevel="1">
      <c r="B56" s="145" t="s">
        <v>391</v>
      </c>
      <c r="C56" s="174" t="s">
        <v>255</v>
      </c>
      <c r="D56" s="488">
        <v>1405947.8</v>
      </c>
      <c r="E56" s="137">
        <f t="shared" si="3"/>
        <v>2881.0405737704918</v>
      </c>
      <c r="F56" s="177">
        <v>46081</v>
      </c>
      <c r="G56" s="178" t="s">
        <v>235</v>
      </c>
      <c r="H56" s="90">
        <f>IF(OR(G56="Sin pagar",G56="Pagar"),_xlfn.SINGLE(NETWORKDAYS($E$4,F56,'Festivos CR'!$A$3:$A$29)),0)</f>
        <v>0</v>
      </c>
      <c r="I56" s="90">
        <f>NETWORKDAYS($E$4,F56,'Festivos CR'!$A$3:$A$43)</f>
        <v>20</v>
      </c>
      <c r="J56" s="132">
        <f t="shared" si="2"/>
        <v>0</v>
      </c>
      <c r="M56" s="347"/>
      <c r="N56" s="178"/>
      <c r="O56" s="346"/>
      <c r="P56" s="494"/>
      <c r="Q56" s="493"/>
      <c r="R56" s="178"/>
      <c r="S56" s="178"/>
    </row>
    <row r="57" spans="2:19" s="180" customFormat="1" outlineLevel="1">
      <c r="B57" s="145" t="s">
        <v>391</v>
      </c>
      <c r="C57" s="174" t="s">
        <v>330</v>
      </c>
      <c r="D57" s="488">
        <v>785142.74</v>
      </c>
      <c r="E57" s="137">
        <f t="shared" si="3"/>
        <v>1608.8990573770491</v>
      </c>
      <c r="F57" s="129">
        <v>46080</v>
      </c>
      <c r="G57" s="90" t="s">
        <v>235</v>
      </c>
      <c r="H57" s="90">
        <f>IF(OR(G57="Sin pagar",G57="Pagar"),_xlfn.SINGLE(NETWORKDAYS($E$4,F57,'Festivos CR'!$A$3:$A$29)),0)</f>
        <v>0</v>
      </c>
      <c r="I57" s="90">
        <f>NETWORKDAYS($E$4,F57,'Festivos CR'!$A$3:$A$43)</f>
        <v>20</v>
      </c>
      <c r="J57" s="132">
        <f t="shared" si="2"/>
        <v>0</v>
      </c>
      <c r="M57" s="506"/>
      <c r="N57" s="178"/>
      <c r="O57" s="346"/>
      <c r="P57" s="494"/>
      <c r="Q57" s="493"/>
      <c r="R57" s="178"/>
      <c r="S57" s="178"/>
    </row>
    <row r="58" spans="2:19" s="180" customFormat="1" outlineLevel="1">
      <c r="B58" s="145" t="s">
        <v>391</v>
      </c>
      <c r="C58" s="174" t="s">
        <v>759</v>
      </c>
      <c r="D58" s="488">
        <v>4805732.09</v>
      </c>
      <c r="E58" s="137">
        <f t="shared" si="3"/>
        <v>9847.8116598360648</v>
      </c>
      <c r="F58" s="129">
        <v>46079</v>
      </c>
      <c r="G58" s="90" t="s">
        <v>235</v>
      </c>
      <c r="H58" s="90">
        <f>IF(OR(G58="Sin pagar",G58="Pagar"),_xlfn.SINGLE(NETWORKDAYS($E$4,F58,'Festivos CR'!$A$3:$A$29)),0)</f>
        <v>0</v>
      </c>
      <c r="I58" s="90">
        <f>NETWORKDAYS($E$4,F58,'Festivos CR'!$A$3:$A$43)</f>
        <v>19</v>
      </c>
      <c r="J58" s="132">
        <f t="shared" si="2"/>
        <v>0</v>
      </c>
      <c r="M58" s="347"/>
      <c r="N58" s="178"/>
      <c r="O58" s="346"/>
      <c r="P58" s="494"/>
      <c r="Q58" s="493"/>
      <c r="R58" s="178"/>
      <c r="S58" s="178"/>
    </row>
    <row r="59" spans="2:19" s="180" customFormat="1" outlineLevel="1">
      <c r="B59" s="145" t="s">
        <v>391</v>
      </c>
      <c r="C59" s="174" t="s">
        <v>1429</v>
      </c>
      <c r="D59" s="488">
        <v>1382510.08</v>
      </c>
      <c r="E59" s="137">
        <f t="shared" si="3"/>
        <v>2833.0124590163937</v>
      </c>
      <c r="F59" s="129">
        <v>46079</v>
      </c>
      <c r="G59" s="90" t="s">
        <v>235</v>
      </c>
      <c r="H59" s="90">
        <f>IF(OR(G59="Sin pagar",G59="Pagar"),_xlfn.SINGLE(NETWORKDAYS($E$4,F59,'Festivos CR'!$A$3:$A$29)),0)</f>
        <v>0</v>
      </c>
      <c r="I59" s="90">
        <f>NETWORKDAYS($E$4,F59,'Festivos CR'!$A$3:$A$43)</f>
        <v>19</v>
      </c>
      <c r="J59" s="132">
        <f t="shared" si="2"/>
        <v>0</v>
      </c>
      <c r="M59" s="347"/>
      <c r="N59" s="178"/>
      <c r="O59" s="346"/>
      <c r="P59" s="494"/>
      <c r="Q59" s="493"/>
      <c r="R59" s="178"/>
      <c r="S59" s="178"/>
    </row>
    <row r="60" spans="2:19" s="180" customFormat="1" outlineLevel="1">
      <c r="B60" s="145" t="s">
        <v>391</v>
      </c>
      <c r="C60" s="174" t="s">
        <v>1123</v>
      </c>
      <c r="D60" s="488">
        <v>889589.73</v>
      </c>
      <c r="E60" s="137">
        <f t="shared" si="3"/>
        <v>1822.9297745901638</v>
      </c>
      <c r="F60" s="129">
        <v>46080</v>
      </c>
      <c r="G60" s="90" t="s">
        <v>235</v>
      </c>
      <c r="H60" s="90">
        <f>IF(OR(G60="Sin pagar",G60="Pagar"),_xlfn.SINGLE(NETWORKDAYS($E$4,F60,'Festivos CR'!$A$3:$A$29)),0)</f>
        <v>0</v>
      </c>
      <c r="I60" s="90">
        <f>NETWORKDAYS($E$4,F60,'Festivos CR'!$A$3:$A$43)</f>
        <v>20</v>
      </c>
      <c r="J60" s="132">
        <f t="shared" si="2"/>
        <v>0</v>
      </c>
      <c r="M60" s="507"/>
      <c r="N60" s="178"/>
      <c r="O60" s="346"/>
      <c r="P60" s="494"/>
      <c r="Q60" s="493"/>
      <c r="R60" s="178"/>
      <c r="S60" s="495"/>
    </row>
    <row r="61" spans="2:19" s="180" customFormat="1" outlineLevel="1">
      <c r="B61" s="145" t="s">
        <v>391</v>
      </c>
      <c r="C61" s="174" t="s">
        <v>1430</v>
      </c>
      <c r="D61" s="488">
        <v>2239288.13</v>
      </c>
      <c r="E61" s="137">
        <f t="shared" si="3"/>
        <v>4588.7051844262296</v>
      </c>
      <c r="F61" s="129">
        <v>46079</v>
      </c>
      <c r="G61" s="90" t="s">
        <v>235</v>
      </c>
      <c r="H61" s="90">
        <f>IF(OR(G61="Sin pagar",G61="Pagar"),_xlfn.SINGLE(NETWORKDAYS($E$4,F61,'Festivos CR'!$A$3:$A$29)),0)</f>
        <v>0</v>
      </c>
      <c r="I61" s="90">
        <f>NETWORKDAYS($E$4,F61,'Festivos CR'!$A$3:$A$43)</f>
        <v>19</v>
      </c>
      <c r="J61" s="132">
        <f>H61</f>
        <v>0</v>
      </c>
      <c r="M61" s="347"/>
      <c r="N61" s="178"/>
      <c r="O61" s="346"/>
      <c r="P61" s="494"/>
      <c r="Q61" s="493"/>
      <c r="R61" s="178"/>
      <c r="S61" s="178"/>
    </row>
    <row r="62" spans="2:19" s="180" customFormat="1" outlineLevel="1">
      <c r="B62" s="145" t="s">
        <v>391</v>
      </c>
      <c r="C62" s="174" t="s">
        <v>1484</v>
      </c>
      <c r="D62" s="488">
        <v>535020</v>
      </c>
      <c r="E62" s="137">
        <f>D62/$D$6</f>
        <v>1096.3524590163934</v>
      </c>
      <c r="F62" s="129">
        <v>46079</v>
      </c>
      <c r="G62" s="90" t="s">
        <v>235</v>
      </c>
      <c r="H62" s="90">
        <f>IF(OR(G62="Sin pagar",G62="Pagar"),_xlfn.SINGLE(NETWORKDAYS($E$4,F62,'Festivos CR'!$A$3:$A$29)),0)</f>
        <v>0</v>
      </c>
      <c r="I62" s="90">
        <f>NETWORKDAYS($E$4,F62,'Festivos CR'!$A$3:$A$43)</f>
        <v>19</v>
      </c>
      <c r="J62" s="132">
        <f>H62</f>
        <v>0</v>
      </c>
      <c r="M62" s="347"/>
      <c r="N62" s="178"/>
      <c r="O62" s="346"/>
      <c r="P62" s="494"/>
      <c r="Q62" s="493"/>
      <c r="R62" s="178"/>
      <c r="S62" s="178"/>
    </row>
    <row r="63" spans="2:19" s="180" customFormat="1" outlineLevel="1">
      <c r="B63" s="145" t="s">
        <v>391</v>
      </c>
      <c r="C63" s="174" t="s">
        <v>1431</v>
      </c>
      <c r="D63" s="488">
        <v>1306411.6599999999</v>
      </c>
      <c r="E63" s="137">
        <f t="shared" si="3"/>
        <v>2677.0730737704916</v>
      </c>
      <c r="F63" s="129">
        <v>46079</v>
      </c>
      <c r="G63" s="90" t="s">
        <v>235</v>
      </c>
      <c r="H63" s="90">
        <f>IF(OR(G63="Sin pagar",G63="Pagar"),_xlfn.SINGLE(NETWORKDAYS($E$4,F63,'Festivos CR'!$A$3:$A$29)),0)</f>
        <v>0</v>
      </c>
      <c r="I63" s="90">
        <f>NETWORKDAYS($E$4,F63,'Festivos CR'!$A$3:$A$43)</f>
        <v>19</v>
      </c>
      <c r="J63" s="132">
        <f>H63</f>
        <v>0</v>
      </c>
      <c r="M63" s="347"/>
      <c r="N63" s="178"/>
      <c r="O63" s="346"/>
      <c r="P63" s="494"/>
      <c r="Q63" s="493"/>
      <c r="R63" s="178"/>
      <c r="S63" s="178"/>
    </row>
    <row r="64" spans="2:19" s="180" customFormat="1" ht="18.75" customHeight="1" outlineLevel="1" thickBot="1">
      <c r="B64" s="145" t="s">
        <v>391</v>
      </c>
      <c r="C64" s="174" t="s">
        <v>1509</v>
      </c>
      <c r="D64" s="488">
        <v>222925</v>
      </c>
      <c r="E64" s="137">
        <f>D64/$D$6</f>
        <v>456.81352459016392</v>
      </c>
      <c r="F64" s="129">
        <v>46084</v>
      </c>
      <c r="G64" s="90" t="s">
        <v>235</v>
      </c>
      <c r="H64" s="90">
        <f>IF(OR(G64="Sin pagar",G64="Pagar"),_xlfn.SINGLE(NETWORKDAYS($E$4,F64,'Festivos CR'!$A$3:$A$29)),0)</f>
        <v>0</v>
      </c>
      <c r="I64" s="90">
        <f>NETWORKDAYS($E$4,F64,'Festivos CR'!$A$3:$A$43)</f>
        <v>22</v>
      </c>
      <c r="J64" s="132">
        <f>H64</f>
        <v>0</v>
      </c>
      <c r="M64" s="347"/>
      <c r="N64" s="178"/>
      <c r="O64" s="346"/>
      <c r="P64" s="494"/>
      <c r="Q64" s="493"/>
      <c r="R64" s="178"/>
      <c r="S64" s="178"/>
    </row>
    <row r="65" spans="1:16" s="90" customFormat="1" ht="16.2" thickBot="1">
      <c r="A65" s="180"/>
      <c r="B65" s="451"/>
      <c r="C65" s="127" t="s">
        <v>1051</v>
      </c>
      <c r="D65" s="172">
        <f>SUBTOTAL(9,D66:D66)</f>
        <v>24400</v>
      </c>
      <c r="E65" s="128">
        <f>SUBTOTAL(9,E66:E66)</f>
        <v>50</v>
      </c>
      <c r="L65" s="108"/>
    </row>
    <row r="66" spans="1:16" s="90" customFormat="1" ht="15" outlineLevel="1" thickBot="1">
      <c r="A66" s="180"/>
      <c r="B66" s="265" t="s">
        <v>270</v>
      </c>
      <c r="C66" s="101" t="s">
        <v>1512</v>
      </c>
      <c r="D66" s="347">
        <f>$E$66*$D$6</f>
        <v>24400</v>
      </c>
      <c r="E66" s="137">
        <v>50</v>
      </c>
      <c r="F66" s="129">
        <v>46085</v>
      </c>
      <c r="G66" s="90" t="s">
        <v>235</v>
      </c>
      <c r="H66" s="90">
        <f>IF(OR(G66="Sin pagar",G66="Pagar"),_xlfn.SINGLE(NETWORKDAYS($E$4,F66,'Festivos CR'!$A$3:$A$29)),0)</f>
        <v>0</v>
      </c>
      <c r="I66" s="90">
        <f>NETWORKDAYS($E$4,F66,'Festivos CR'!$A$3:$A$43)</f>
        <v>23</v>
      </c>
      <c r="J66" s="132">
        <f>H66</f>
        <v>0</v>
      </c>
      <c r="L66" s="108"/>
      <c r="M66" s="392"/>
      <c r="N66" s="349"/>
      <c r="O66" s="118"/>
    </row>
    <row r="67" spans="1:16" s="90" customFormat="1" ht="16.2" thickBot="1">
      <c r="A67" s="180"/>
      <c r="B67" s="451"/>
      <c r="C67" s="127" t="s">
        <v>992</v>
      </c>
      <c r="D67" s="172">
        <f>SUBTOTAL(9,D68:D68)</f>
        <v>0</v>
      </c>
      <c r="E67" s="128">
        <f>SUBTOTAL(9,E68:E68)</f>
        <v>0</v>
      </c>
      <c r="L67" s="108"/>
    </row>
    <row r="68" spans="1:16" s="90" customFormat="1" ht="15" outlineLevel="1" thickBot="1">
      <c r="A68" s="180"/>
      <c r="B68" s="146"/>
      <c r="C68" s="101" t="s">
        <v>1372</v>
      </c>
      <c r="D68" s="170">
        <v>0</v>
      </c>
      <c r="E68" s="142">
        <f>D68/D6</f>
        <v>0</v>
      </c>
      <c r="F68" s="129">
        <v>46080</v>
      </c>
      <c r="G68" s="90" t="s">
        <v>235</v>
      </c>
      <c r="H68" s="90">
        <f>IF(OR(G68="Sin pagar",G68="Pagar"),_xlfn.SINGLE(NETWORKDAYS($E$4,F68,'Festivos CR'!$A$3:$A$29)),0)</f>
        <v>0</v>
      </c>
      <c r="I68" s="90">
        <f>NETWORKDAYS($E$4,F68,'Festivos CR'!$A$3:$A$43)</f>
        <v>20</v>
      </c>
      <c r="J68" s="132">
        <f>H68</f>
        <v>0</v>
      </c>
      <c r="L68" s="108"/>
      <c r="M68" s="392"/>
      <c r="N68" s="349"/>
      <c r="O68" s="118"/>
    </row>
    <row r="69" spans="1:16" s="90" customFormat="1" ht="16.2" thickBot="1">
      <c r="A69" s="180"/>
      <c r="B69" s="451"/>
      <c r="C69" s="127" t="s">
        <v>238</v>
      </c>
      <c r="D69" s="172">
        <f>SUBTOTAL(9,D70:D70)</f>
        <v>7320</v>
      </c>
      <c r="E69" s="128">
        <f>SUBTOTAL(9,E70:E70)</f>
        <v>15</v>
      </c>
      <c r="L69" s="108"/>
    </row>
    <row r="70" spans="1:16" s="90" customFormat="1" ht="15" outlineLevel="1" thickBot="1">
      <c r="A70" s="180"/>
      <c r="B70" s="522"/>
      <c r="C70" s="101" t="s">
        <v>1482</v>
      </c>
      <c r="D70" s="170">
        <f>E70*D6</f>
        <v>7320</v>
      </c>
      <c r="E70" s="142">
        <v>15</v>
      </c>
      <c r="F70" s="129">
        <v>46078</v>
      </c>
      <c r="G70" s="90" t="s">
        <v>235</v>
      </c>
      <c r="H70" s="90">
        <f>IF(OR(G70="Sin pagar",G70="Pagar"),_xlfn.SINGLE(NETWORKDAYS($E$4,F70,'Festivos CR'!$A$3:$A$29)),0)</f>
        <v>0</v>
      </c>
      <c r="I70" s="90">
        <f>NETWORKDAYS($E$4,F70,'Festivos CR'!$A$3:$A$43)</f>
        <v>18</v>
      </c>
      <c r="J70" s="132">
        <f>H70</f>
        <v>0</v>
      </c>
      <c r="L70" s="108"/>
      <c r="M70" s="392"/>
    </row>
    <row r="71" spans="1:16" s="90" customFormat="1" ht="14.25" customHeight="1">
      <c r="B71" s="100"/>
      <c r="C71" s="147" t="s">
        <v>239</v>
      </c>
      <c r="D71" s="171">
        <f>SUBTOTAL(9,D24:D70)</f>
        <v>63318177.989999995</v>
      </c>
      <c r="E71" s="148">
        <f>SUBTOTAL(9,E24:E70)</f>
        <v>129750.36473360648</v>
      </c>
      <c r="K71" s="544"/>
      <c r="L71" s="544"/>
      <c r="N71" s="544"/>
      <c r="O71" s="544"/>
      <c r="P71" s="544"/>
    </row>
    <row r="72" spans="1:16" ht="15.6">
      <c r="A72" s="90"/>
      <c r="E72" s="149"/>
      <c r="F72" s="239"/>
      <c r="G72" s="150"/>
      <c r="H72" s="150"/>
      <c r="I72" s="150"/>
      <c r="J72" s="150"/>
    </row>
    <row r="73" spans="1:16" ht="15.6">
      <c r="A73" s="90"/>
      <c r="C73" s="151" t="s">
        <v>3</v>
      </c>
      <c r="D73" s="182">
        <f>D19-D71</f>
        <v>44639182.341736808</v>
      </c>
      <c r="E73" s="152">
        <f>E19-E71</f>
        <v>91256.018589624742</v>
      </c>
      <c r="F73" s="243"/>
      <c r="G73" s="153"/>
      <c r="J73" s="153"/>
    </row>
    <row r="74" spans="1:16" s="157" customFormat="1" ht="15.6">
      <c r="A74" s="90"/>
      <c r="B74" s="154"/>
      <c r="C74" s="151" t="s">
        <v>240</v>
      </c>
      <c r="D74" s="155">
        <f>IF($D$19=0,0,D73/$D$19)</f>
        <v>0.41348901274139427</v>
      </c>
      <c r="E74" s="155">
        <f>IF($E$19=0,0,E73/$E$19)</f>
        <v>0.41291123458709761</v>
      </c>
      <c r="F74" s="156"/>
      <c r="G74" s="153"/>
      <c r="J74" s="158"/>
      <c r="K74" s="544"/>
      <c r="L74" s="544"/>
      <c r="N74" s="544"/>
      <c r="O74" s="544"/>
      <c r="P74" s="544"/>
    </row>
    <row r="75" spans="1:16">
      <c r="A75" s="90"/>
      <c r="F75" s="156"/>
      <c r="G75" s="153"/>
    </row>
    <row r="78" spans="1:16" ht="15" thickBot="1">
      <c r="C78" s="189" t="s">
        <v>260</v>
      </c>
      <c r="D78" s="190" t="s">
        <v>261</v>
      </c>
      <c r="E78" s="191" t="s">
        <v>265</v>
      </c>
      <c r="F78" s="191" t="s">
        <v>266</v>
      </c>
    </row>
    <row r="79" spans="1:16">
      <c r="C79" s="498">
        <v>46054</v>
      </c>
      <c r="D79" s="499">
        <v>46061</v>
      </c>
      <c r="E79" s="500">
        <f t="shared" ref="E79:E86" si="4">SUMIFS($D$23:$D$76,$F$23:$F$76,"&gt;="&amp;C79,$F$23:$F$76,"&lt;="&amp;D79,$G$23:$G$76,$D$97)</f>
        <v>0</v>
      </c>
      <c r="F79" s="501">
        <f t="shared" ref="F79:F86" si="5">SUMIFS($E$23:$E$76,$F$23:$F$76,"&gt;="&amp;C79,$F$23:$F$76,"&lt;="&amp;D79,$G$23:$G$76,$D$97)</f>
        <v>0</v>
      </c>
    </row>
    <row r="80" spans="1:16">
      <c r="C80" s="403">
        <v>46062</v>
      </c>
      <c r="D80" s="398">
        <v>46031</v>
      </c>
      <c r="E80" s="404">
        <f t="shared" si="4"/>
        <v>0</v>
      </c>
      <c r="F80" s="405">
        <f t="shared" si="5"/>
        <v>0</v>
      </c>
    </row>
    <row r="81" spans="2:13">
      <c r="C81" s="403">
        <v>46063</v>
      </c>
      <c r="D81" s="397">
        <v>46063</v>
      </c>
      <c r="E81" s="404">
        <f t="shared" si="4"/>
        <v>0</v>
      </c>
      <c r="F81" s="405">
        <f t="shared" si="5"/>
        <v>0</v>
      </c>
      <c r="G81" s="548" t="s">
        <v>1445</v>
      </c>
    </row>
    <row r="82" spans="2:13">
      <c r="C82" s="403">
        <v>46064</v>
      </c>
      <c r="D82" s="397">
        <v>46066</v>
      </c>
      <c r="E82" s="404">
        <f t="shared" si="4"/>
        <v>0</v>
      </c>
      <c r="F82" s="405">
        <f t="shared" si="5"/>
        <v>0</v>
      </c>
      <c r="G82" s="497" t="s">
        <v>1446</v>
      </c>
    </row>
    <row r="83" spans="2:13">
      <c r="C83" s="403">
        <v>46067</v>
      </c>
      <c r="D83" s="397">
        <v>46068</v>
      </c>
      <c r="E83" s="404">
        <f t="shared" si="4"/>
        <v>0</v>
      </c>
      <c r="F83" s="405">
        <f t="shared" si="5"/>
        <v>0</v>
      </c>
      <c r="G83" s="496"/>
    </row>
    <row r="84" spans="2:13">
      <c r="C84" s="403">
        <v>46069</v>
      </c>
      <c r="D84" s="398">
        <v>46075</v>
      </c>
      <c r="E84" s="404">
        <f t="shared" si="4"/>
        <v>0</v>
      </c>
      <c r="F84" s="405">
        <f t="shared" si="5"/>
        <v>0</v>
      </c>
      <c r="G84" s="497"/>
    </row>
    <row r="85" spans="2:13">
      <c r="C85" s="403">
        <v>46076</v>
      </c>
      <c r="D85" s="398">
        <v>46081</v>
      </c>
      <c r="E85" s="404">
        <f t="shared" si="4"/>
        <v>0</v>
      </c>
      <c r="F85" s="405">
        <f t="shared" si="5"/>
        <v>0</v>
      </c>
      <c r="G85" s="497" t="s">
        <v>1294</v>
      </c>
    </row>
    <row r="86" spans="2:13" s="558" customFormat="1" ht="15" thickBot="1">
      <c r="B86" s="559"/>
      <c r="C86" s="406">
        <v>46082</v>
      </c>
      <c r="D86" s="547">
        <v>46089</v>
      </c>
      <c r="E86" s="407">
        <f t="shared" si="4"/>
        <v>0</v>
      </c>
      <c r="F86" s="408">
        <f t="shared" si="5"/>
        <v>0</v>
      </c>
      <c r="G86" s="497"/>
    </row>
    <row r="87" spans="2:13" ht="15.6">
      <c r="C87" s="589" t="s">
        <v>262</v>
      </c>
      <c r="D87" s="589"/>
      <c r="E87" s="186">
        <f>SUM(E79:E86)</f>
        <v>0</v>
      </c>
      <c r="F87" s="200">
        <f>SUM(F79:F86)</f>
        <v>0</v>
      </c>
      <c r="G87" s="94"/>
      <c r="J87" s="153"/>
      <c r="K87" s="153"/>
      <c r="M87" s="206"/>
    </row>
    <row r="88" spans="2:13">
      <c r="G88" s="497"/>
    </row>
    <row r="89" spans="2:13">
      <c r="G89" s="496"/>
    </row>
    <row r="90" spans="2:13">
      <c r="C90" s="591"/>
      <c r="D90" s="593"/>
    </row>
    <row r="91" spans="2:13">
      <c r="C91" s="592" t="s">
        <v>1065</v>
      </c>
      <c r="D91" s="592"/>
      <c r="E91" s="204">
        <f>'BAC SAN JOSE COLONES  '!$G$594+('BAC SAN JOSE USD'!$G$565*502)</f>
        <v>44676202.26031252</v>
      </c>
      <c r="F91" s="452">
        <f>('BAC SAN JOSE COLONES  '!G594/$D$6)+'BAC SAN JOSE USD'!G565</f>
        <v>91453.04508552629</v>
      </c>
      <c r="J91" s="324"/>
      <c r="M91" s="206"/>
    </row>
    <row r="92" spans="2:13">
      <c r="C92" s="594" t="s">
        <v>1447</v>
      </c>
      <c r="D92" s="592"/>
      <c r="E92" s="204">
        <f>SUM(E79:E84)</f>
        <v>0</v>
      </c>
      <c r="F92" s="452">
        <f>SUM(F79:F84)</f>
        <v>0</v>
      </c>
      <c r="J92" s="324"/>
    </row>
    <row r="93" spans="2:13">
      <c r="C93" s="588" t="s">
        <v>152</v>
      </c>
      <c r="D93" s="588"/>
      <c r="E93" s="446">
        <f>E91-E92</f>
        <v>44676202.26031252</v>
      </c>
      <c r="F93" s="447">
        <f>F91-F92</f>
        <v>91453.04508552629</v>
      </c>
      <c r="G93" s="467"/>
      <c r="J93" s="206"/>
    </row>
    <row r="96" spans="2:13">
      <c r="D96" s="90" t="s">
        <v>235</v>
      </c>
      <c r="E96" s="170">
        <f>SUMIFS($D$23:$D$76,$F$23:$F$76,"&gt;="&amp;$C$79,$F$23:$F$76,"&lt;="&amp;$D$86,$G$23:$G$76,$D$96)</f>
        <v>63318177.989999995</v>
      </c>
      <c r="F96" s="206">
        <f>SUMIFS($E$23:$E$75,$F$23:$F$75,"&gt;="&amp;C79,$F$23:$F$75,"&lt;="&amp;$D$86,$G$23:$G$75,$D$96)</f>
        <v>129750.36473360648</v>
      </c>
    </row>
    <row r="97" spans="4:7">
      <c r="D97" s="90" t="s">
        <v>231</v>
      </c>
      <c r="E97" s="170">
        <f>SUMIFS($D$23:$D$76,$F$23:$F$76,"&gt;="&amp;$C$79,$F$23:$F$76,"&lt;="&amp;$D$86,$G$23:$G$76,$D$97)</f>
        <v>0</v>
      </c>
      <c r="F97" s="206">
        <f>SUMIFS($E$23:$E$75,$F$23:$F$75,"&gt;="&amp;C79,$F$23:$F$75,"&lt;="&amp;$D$86,$G$23:$G$75,$D$97)</f>
        <v>0</v>
      </c>
    </row>
    <row r="98" spans="4:7">
      <c r="D98" s="185" t="s">
        <v>263</v>
      </c>
      <c r="E98" s="194">
        <f>SUM($E$96:$E$97)</f>
        <v>63318177.989999995</v>
      </c>
      <c r="F98" s="199">
        <f>SUM($F$96:$F$97)</f>
        <v>129750.36473360648</v>
      </c>
      <c r="G98" s="206"/>
    </row>
    <row r="99" spans="4:7">
      <c r="D99" s="185" t="s">
        <v>264</v>
      </c>
      <c r="E99" s="194">
        <f>(D71-E98)</f>
        <v>0</v>
      </c>
      <c r="F99" s="199">
        <f>F98-E71</f>
        <v>0</v>
      </c>
    </row>
    <row r="101" spans="4:7">
      <c r="F101" s="170"/>
    </row>
    <row r="102" spans="4:7">
      <c r="F102" s="170"/>
    </row>
    <row r="103" spans="4:7">
      <c r="D103" s="560" t="s">
        <v>400</v>
      </c>
      <c r="E103" s="170">
        <f>$D$73</f>
        <v>44639182.341736808</v>
      </c>
      <c r="F103" s="170"/>
    </row>
    <row r="104" spans="4:7">
      <c r="D104" s="560" t="s">
        <v>401</v>
      </c>
      <c r="E104" s="170">
        <f>'BAC SAN JOSE COLONES  '!$G$594+('BAC SAN JOSE USD'!$G$565*'FLUJO CAJA ENERO 2026'!$D$6)</f>
        <v>44639182.342860192</v>
      </c>
      <c r="F104" s="395"/>
    </row>
    <row r="105" spans="4:7">
      <c r="D105" s="560" t="s">
        <v>701</v>
      </c>
      <c r="E105" s="170">
        <f>E104-E103</f>
        <v>1.123383641242981E-3</v>
      </c>
    </row>
    <row r="106" spans="4:7">
      <c r="D106" s="560" t="s">
        <v>702</v>
      </c>
      <c r="E106" s="395">
        <f>E105/D6</f>
        <v>2.302015658284797E-6</v>
      </c>
    </row>
  </sheetData>
  <protectedRanges>
    <protectedRange sqref="F19:G19 D75:E75 D10:E11" name="Presupuestos"/>
    <protectedRange sqref="D8:E8 D23:E23" name="Presupuestos_1"/>
    <protectedRange sqref="D31:E32" name="Presupuestos_13_1"/>
    <protectedRange sqref="M43:M50 D57:D61 D43:E50 E51 D52:E55 E56:E61 M52:M55 D62:E64 M57:M64" name="Presupuestos_2_1_1_1"/>
    <protectedRange sqref="E68 E70 E34 E66" name="Presupuestos_6_1_1_1"/>
    <protectedRange sqref="D56 D51 M56 M51" name="Presupuestos_5_2_1"/>
    <protectedRange sqref="D41:E41" name="Presupuestos_7_1"/>
    <protectedRange sqref="D68 D70 D34 D66" name="Presupuestos_5_3"/>
    <protectedRange sqref="D36:E39" name="Presupuestos_13_1_1"/>
  </protectedRanges>
  <autoFilter ref="A23:S70" xr:uid="{35496244-1656-4FA0-90E1-3C73251987A8}"/>
  <mergeCells count="8">
    <mergeCell ref="C92:D92"/>
    <mergeCell ref="C93:D93"/>
    <mergeCell ref="D7:E7"/>
    <mergeCell ref="B22:C22"/>
    <mergeCell ref="D22:E22"/>
    <mergeCell ref="C87:D87"/>
    <mergeCell ref="C90:D90"/>
    <mergeCell ref="C91:D91"/>
  </mergeCells>
  <dataValidations count="4">
    <dataValidation type="list" allowBlank="1" showInputMessage="1" showErrorMessage="1" sqref="D22 D7" xr:uid="{897870CC-F20B-471A-A143-10035EC94426}">
      <formula1>"ENERO,FEBRERO,MARZO,ABRIL,MAYO,JUNIO,JULIO,AGOSTO,SEPTIEMBRE,OCTUBRE,NOVIEMBRE,DICIEMBRE"</formula1>
    </dataValidation>
    <dataValidation type="list" allowBlank="1" showInputMessage="1" showErrorMessage="1" sqref="G76:G77 G66 D96:D97 G24:G25 G68 G41 G36:G39 G70 G31:G32 G34 G27:G29 G43:G64" xr:uid="{38331E0E-EEAB-4FE7-9557-E2F546A2E955}">
      <formula1>"Cancelado,Pagar,Sin Pagar"</formula1>
    </dataValidation>
    <dataValidation type="list" allowBlank="1" showInputMessage="1" showErrorMessage="1" sqref="O35" xr:uid="{5E8130AC-EAF9-4A1F-B082-E007881EA99E}">
      <formula1>"0,1"</formula1>
    </dataValidation>
    <dataValidation type="list" allowBlank="1" showInputMessage="1" showErrorMessage="1" sqref="B13:B18" xr:uid="{E24EAA19-B5A6-40FB-A777-F5A4AD13ACE4}">
      <formula1>"Sin Pagar,Pagado"</formula1>
    </dataValidation>
  </dataValidations>
  <pageMargins left="0.7" right="0.7" top="0.75" bottom="0.75" header="0.3" footer="0.3"/>
  <pageSetup orientation="portrait" r:id="rId1"/>
  <ignoredErrors>
    <ignoredError sqref="J65:J70 J25:J36 J53:J54 J56:J61 J63 J38:J51" unlockedFormula="1"/>
  </ignoredError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4D64-CCE1-4F80-AE88-77411F1F206D}">
  <dimension ref="A1:S125"/>
  <sheetViews>
    <sheetView showGridLines="0" topLeftCell="A94" zoomScaleNormal="100" workbookViewId="0">
      <selection activeCell="B13" sqref="B13"/>
    </sheetView>
  </sheetViews>
  <sheetFormatPr baseColWidth="10" defaultColWidth="9.109375" defaultRowHeight="14.4" outlineLevelRow="1"/>
  <cols>
    <col min="1" max="1" width="2.109375" style="583" customWidth="1"/>
    <col min="2" max="2" width="18.88671875" style="584" bestFit="1" customWidth="1"/>
    <col min="3" max="3" width="59.88671875" style="583" customWidth="1"/>
    <col min="4" max="4" width="24.44140625" style="585" customWidth="1"/>
    <col min="5" max="5" width="19.33203125" style="585" bestFit="1" customWidth="1"/>
    <col min="6" max="6" width="23.5546875" style="583" customWidth="1"/>
    <col min="7" max="7" width="18.88671875" style="583" customWidth="1"/>
    <col min="8" max="8" width="7.6640625" style="583" hidden="1" customWidth="1"/>
    <col min="9" max="9" width="12.109375" style="583" hidden="1" customWidth="1"/>
    <col min="10" max="10" width="25.33203125" style="583" customWidth="1"/>
    <col min="11" max="11" width="2.109375" style="583" customWidth="1"/>
    <col min="12" max="12" width="2.33203125" style="583" customWidth="1"/>
    <col min="13" max="13" width="17.109375" style="583" bestFit="1" customWidth="1"/>
    <col min="14" max="14" width="15.5546875" style="583" bestFit="1" customWidth="1"/>
    <col min="15" max="15" width="6.33203125" style="583" bestFit="1" customWidth="1"/>
    <col min="16" max="16" width="19.33203125" style="583" bestFit="1" customWidth="1"/>
    <col min="17" max="17" width="15.33203125" style="583" bestFit="1" customWidth="1"/>
    <col min="18" max="18" width="14" style="583" bestFit="1" customWidth="1"/>
    <col min="19" max="19" width="13" style="583" bestFit="1" customWidth="1"/>
    <col min="20" max="16384" width="9.109375" style="583"/>
  </cols>
  <sheetData>
    <row r="1" spans="2:9" hidden="1">
      <c r="D1" s="585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46082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460</v>
      </c>
      <c r="E6" s="89"/>
      <c r="I6" s="90"/>
    </row>
    <row r="7" spans="2:9" ht="15.6">
      <c r="C7" s="94"/>
      <c r="D7" s="590" t="s">
        <v>203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SUBTOTAL(9,D10:D11)</f>
        <v>44534853.484585457</v>
      </c>
      <c r="E9" s="98">
        <f>SUBTOTAL(9,E10:E11)</f>
        <v>96814.898879533604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'!$G$594</f>
        <v>42986747.845670037</v>
      </c>
      <c r="E10" s="218">
        <f>$D$10/$D$6</f>
        <v>93449.451838413122</v>
      </c>
      <c r="F10" s="103"/>
    </row>
    <row r="11" spans="2:9" s="90" customFormat="1" outlineLevel="1">
      <c r="B11" s="100"/>
      <c r="C11" s="101" t="s">
        <v>221</v>
      </c>
      <c r="D11" s="169">
        <f>$E$11*$D$6</f>
        <v>1548105.6389154196</v>
      </c>
      <c r="E11" s="218">
        <f>'BAC SAN JOSE USD'!$G$565</f>
        <v>3365.4470411204775</v>
      </c>
      <c r="F11" s="103"/>
    </row>
    <row r="12" spans="2:9" s="90" customFormat="1" ht="15.6">
      <c r="B12" s="100"/>
      <c r="C12" s="104" t="s">
        <v>222</v>
      </c>
      <c r="D12" s="167">
        <f>SUBTOTAL(9,D13:D19)</f>
        <v>70194776.399999991</v>
      </c>
      <c r="E12" s="98">
        <f>SUBTOTAL(9,E13:E19)</f>
        <v>152597.34</v>
      </c>
      <c r="F12" s="105"/>
    </row>
    <row r="13" spans="2:9" s="178" customFormat="1" outlineLevel="1">
      <c r="B13" s="328" t="s">
        <v>533</v>
      </c>
      <c r="C13" s="586" t="s">
        <v>1601</v>
      </c>
      <c r="D13" s="410">
        <f t="shared" ref="D13:D18" si="0">E13*460</f>
        <v>40658107.399999999</v>
      </c>
      <c r="E13" s="331">
        <v>88387.19</v>
      </c>
      <c r="F13" s="272"/>
      <c r="G13" s="439"/>
    </row>
    <row r="14" spans="2:9" s="178" customFormat="1" ht="14.25" customHeight="1" outlineLevel="1">
      <c r="B14" s="328" t="s">
        <v>533</v>
      </c>
      <c r="C14" s="329" t="s">
        <v>1522</v>
      </c>
      <c r="D14" s="410">
        <f t="shared" si="0"/>
        <v>12559393.799999999</v>
      </c>
      <c r="E14" s="331">
        <v>27303.03</v>
      </c>
      <c r="F14" s="441"/>
      <c r="G14" s="464"/>
    </row>
    <row r="15" spans="2:9" s="178" customFormat="1" outlineLevel="1">
      <c r="B15" s="328" t="s">
        <v>533</v>
      </c>
      <c r="C15" s="586" t="s">
        <v>1523</v>
      </c>
      <c r="D15" s="410">
        <f t="shared" si="0"/>
        <v>393819.8</v>
      </c>
      <c r="E15" s="331">
        <v>856.13</v>
      </c>
      <c r="F15" s="272"/>
      <c r="G15" s="439"/>
    </row>
    <row r="16" spans="2:9" s="178" customFormat="1" outlineLevel="1">
      <c r="B16" s="328" t="s">
        <v>533</v>
      </c>
      <c r="C16" s="329" t="s">
        <v>1599</v>
      </c>
      <c r="D16" s="410">
        <f t="shared" si="0"/>
        <v>816021.6</v>
      </c>
      <c r="E16" s="331">
        <f>1773.96</f>
        <v>1773.96</v>
      </c>
      <c r="F16" s="271"/>
    </row>
    <row r="17" spans="1:19" s="178" customFormat="1" outlineLevel="1">
      <c r="B17" s="328" t="s">
        <v>533</v>
      </c>
      <c r="C17" s="329" t="s">
        <v>1600</v>
      </c>
      <c r="D17" s="410">
        <f t="shared" si="0"/>
        <v>3850499</v>
      </c>
      <c r="E17" s="331">
        <v>8370.65</v>
      </c>
      <c r="F17" s="474"/>
      <c r="G17" s="272"/>
    </row>
    <row r="18" spans="1:19" s="178" customFormat="1" outlineLevel="1">
      <c r="B18" s="328" t="s">
        <v>533</v>
      </c>
      <c r="C18" s="329" t="s">
        <v>1546</v>
      </c>
      <c r="D18" s="410">
        <f t="shared" si="0"/>
        <v>1376407.4000000001</v>
      </c>
      <c r="E18" s="331">
        <v>2992.19</v>
      </c>
      <c r="F18" s="439"/>
    </row>
    <row r="19" spans="1:19" s="178" customFormat="1" ht="14.25" customHeight="1" outlineLevel="1">
      <c r="B19" s="328" t="s">
        <v>533</v>
      </c>
      <c r="C19" s="329" t="s">
        <v>1547</v>
      </c>
      <c r="D19" s="330">
        <f>$E$19*$D$6</f>
        <v>10540527.399999999</v>
      </c>
      <c r="E19" s="331">
        <v>22914.19</v>
      </c>
      <c r="F19" s="441"/>
      <c r="G19" s="464"/>
    </row>
    <row r="20" spans="1:19" s="90" customFormat="1" ht="15.6">
      <c r="B20" s="100"/>
      <c r="C20" s="109" t="s">
        <v>223</v>
      </c>
      <c r="D20" s="168">
        <f>SUBTOTAL(9,D9:D19)</f>
        <v>114729629.88458544</v>
      </c>
      <c r="E20" s="207">
        <f>SUBTOTAL(9,E9:E19)</f>
        <v>249412.2388795336</v>
      </c>
      <c r="F20" s="110"/>
      <c r="G20" s="475"/>
      <c r="J20" s="108"/>
      <c r="K20" s="111"/>
      <c r="O20" s="112"/>
      <c r="P20" s="113"/>
      <c r="Q20" s="114"/>
    </row>
    <row r="21" spans="1:19" s="90" customFormat="1" ht="15.6">
      <c r="B21" s="100"/>
      <c r="C21" s="115"/>
      <c r="D21" s="116"/>
      <c r="E21" s="116"/>
      <c r="G21" s="117"/>
      <c r="O21" s="113"/>
      <c r="P21" s="113"/>
    </row>
    <row r="22" spans="1:19" s="90" customFormat="1" ht="15.6">
      <c r="B22" s="100"/>
      <c r="D22" s="349"/>
      <c r="N22" s="118"/>
      <c r="O22" s="119"/>
      <c r="P22" s="120"/>
    </row>
    <row r="23" spans="1:19" s="90" customFormat="1" ht="15.6">
      <c r="B23" s="590" t="s">
        <v>224</v>
      </c>
      <c r="C23" s="590"/>
      <c r="D23" s="590" t="s">
        <v>203</v>
      </c>
      <c r="E23" s="590"/>
      <c r="K23" s="120"/>
      <c r="L23" s="120"/>
      <c r="N23" s="118"/>
      <c r="R23" s="108"/>
      <c r="S23" s="108"/>
    </row>
    <row r="24" spans="1:19" s="90" customFormat="1" ht="16.2" thickBot="1">
      <c r="B24" s="121" t="s">
        <v>225</v>
      </c>
      <c r="C24" s="122" t="s">
        <v>226</v>
      </c>
      <c r="D24" s="95" t="s">
        <v>242</v>
      </c>
      <c r="E24" s="95" t="s">
        <v>219</v>
      </c>
      <c r="F24" s="123" t="s">
        <v>227</v>
      </c>
      <c r="G24" s="118" t="s">
        <v>228</v>
      </c>
      <c r="H24" s="118"/>
      <c r="I24" s="118"/>
      <c r="J24" s="124" t="s">
        <v>229</v>
      </c>
      <c r="N24" s="125"/>
      <c r="R24" s="108"/>
      <c r="S24" s="126"/>
    </row>
    <row r="25" spans="1:19" s="90" customFormat="1" ht="16.2" thickBot="1">
      <c r="B25" s="100"/>
      <c r="C25" s="127" t="s">
        <v>230</v>
      </c>
      <c r="D25" s="172">
        <f>SUBTOTAL(9,D26:D26)</f>
        <v>17867590</v>
      </c>
      <c r="E25" s="128">
        <f>SUBTOTAL(9,E26:E26)</f>
        <v>38842.586956521736</v>
      </c>
      <c r="F25" s="129"/>
      <c r="J25" s="130"/>
    </row>
    <row r="26" spans="1:19" s="90" customFormat="1" ht="15" outlineLevel="1" thickBot="1">
      <c r="A26" s="103"/>
      <c r="B26" s="360" t="s">
        <v>1539</v>
      </c>
      <c r="C26" s="174" t="s">
        <v>1540</v>
      </c>
      <c r="D26" s="169">
        <v>17867590</v>
      </c>
      <c r="E26" s="137">
        <f>D26/$D$6</f>
        <v>38842.586956521736</v>
      </c>
      <c r="F26" s="134">
        <v>46097</v>
      </c>
      <c r="G26" s="90" t="s">
        <v>235</v>
      </c>
      <c r="H26" s="90">
        <f>IF(OR(G26="Sin pagar",G26="Pagar"),_xlfn.SINGLE(NETWORKDAYS($E$4,F26,'Festivos CR'!$A$3:$A$29)),0)</f>
        <v>0</v>
      </c>
      <c r="I26" s="90">
        <f>NETWORKDAYS($E$4,F26,'Festivos CR'!$A$3:$A$43)</f>
        <v>11</v>
      </c>
      <c r="J26" s="132">
        <f t="shared" ref="J26:J32" si="1">H26</f>
        <v>0</v>
      </c>
      <c r="K26" s="108"/>
      <c r="L26" s="108"/>
      <c r="M26" s="349"/>
      <c r="N26" s="349"/>
    </row>
    <row r="27" spans="1:19" s="90" customFormat="1" ht="16.2" thickBot="1">
      <c r="B27" s="100"/>
      <c r="C27" s="127" t="s">
        <v>232</v>
      </c>
      <c r="D27" s="172">
        <f>SUBTOTAL(9,D28:D31)</f>
        <v>6385205</v>
      </c>
      <c r="E27" s="128">
        <f>SUBTOTAL(9,E28:E31)</f>
        <v>13880.880434782608</v>
      </c>
      <c r="J27" s="130">
        <f t="shared" si="1"/>
        <v>0</v>
      </c>
    </row>
    <row r="28" spans="1:19" s="90" customFormat="1" outlineLevel="1">
      <c r="B28" s="552" t="s">
        <v>1532</v>
      </c>
      <c r="C28" s="101" t="s">
        <v>1531</v>
      </c>
      <c r="D28" s="169">
        <v>1052897</v>
      </c>
      <c r="E28" s="137">
        <f>D28/$D$6</f>
        <v>2288.9065217391303</v>
      </c>
      <c r="F28" s="134">
        <v>46095</v>
      </c>
      <c r="G28" s="90" t="s">
        <v>235</v>
      </c>
      <c r="H28" s="90">
        <f>IF(OR(G28="Sin pagar",G28="Pagar"),_xlfn.SINGLE(NETWORKDAYS($E$4,F28,'Festivos CR'!$A$3:$A$29)),0)</f>
        <v>0</v>
      </c>
      <c r="I28" s="90">
        <f>NETWORKDAYS($E$4,F28,'Festivos CR'!$A$3:$A$43)</f>
        <v>10</v>
      </c>
      <c r="J28" s="132">
        <f>H28</f>
        <v>0</v>
      </c>
      <c r="K28" s="135"/>
      <c r="L28" s="111"/>
      <c r="M28" s="349"/>
      <c r="N28" s="349"/>
    </row>
    <row r="29" spans="1:19" s="90" customFormat="1" outlineLevel="1">
      <c r="B29" s="552" t="s">
        <v>1535</v>
      </c>
      <c r="C29" s="101" t="s">
        <v>1534</v>
      </c>
      <c r="D29" s="169">
        <v>2000</v>
      </c>
      <c r="E29" s="137">
        <f>D29/$D$6</f>
        <v>4.3478260869565215</v>
      </c>
      <c r="F29" s="134">
        <v>46095</v>
      </c>
      <c r="G29" s="90" t="s">
        <v>235</v>
      </c>
      <c r="H29" s="90">
        <f>IF(OR(G29="Sin pagar",G29="Pagar"),_xlfn.SINGLE(NETWORKDAYS($E$4,F29,'Festivos CR'!$A$3:$A$29)),0)</f>
        <v>0</v>
      </c>
      <c r="I29" s="90">
        <f>NETWORKDAYS($E$4,F29,'Festivos CR'!$A$3:$A$43)</f>
        <v>10</v>
      </c>
      <c r="J29" s="132">
        <f>H29</f>
        <v>0</v>
      </c>
      <c r="K29" s="135"/>
      <c r="L29" s="111"/>
      <c r="M29" s="349"/>
      <c r="N29" s="349"/>
    </row>
    <row r="30" spans="1:19" s="90" customFormat="1" outlineLevel="1">
      <c r="B30" s="552" t="s">
        <v>1470</v>
      </c>
      <c r="C30" s="101" t="s">
        <v>292</v>
      </c>
      <c r="D30" s="169">
        <v>5000105</v>
      </c>
      <c r="E30" s="137">
        <f>D30/$D$6</f>
        <v>10869.79347826087</v>
      </c>
      <c r="F30" s="134">
        <v>46096</v>
      </c>
      <c r="G30" s="90" t="s">
        <v>235</v>
      </c>
      <c r="H30" s="90">
        <f>IF(OR(G30="Sin pagar",G30="Pagar"),_xlfn.SINGLE(NETWORKDAYS($E$4,F30,'Festivos CR'!$A$3:$A$29)),0)</f>
        <v>0</v>
      </c>
      <c r="I30" s="90">
        <f>NETWORKDAYS($E$4,F30,'Festivos CR'!$A$3:$A$43)</f>
        <v>10</v>
      </c>
      <c r="J30" s="132">
        <f t="shared" si="1"/>
        <v>0</v>
      </c>
      <c r="K30" s="135"/>
      <c r="L30" s="111"/>
      <c r="M30" s="349"/>
      <c r="N30" s="349"/>
    </row>
    <row r="31" spans="1:19" s="90" customFormat="1" ht="29.4" outlineLevel="1" thickBot="1">
      <c r="B31" s="552" t="s">
        <v>1530</v>
      </c>
      <c r="C31" s="101" t="s">
        <v>1513</v>
      </c>
      <c r="D31" s="169">
        <v>330203</v>
      </c>
      <c r="E31" s="137">
        <f>D31/$D$6</f>
        <v>717.8326086956522</v>
      </c>
      <c r="F31" s="134">
        <v>46096</v>
      </c>
      <c r="G31" s="90" t="s">
        <v>235</v>
      </c>
      <c r="H31" s="90">
        <f>IF(OR(G31="Sin pagar",G31="Pagar"),_xlfn.SINGLE(NETWORKDAYS($E$4,F31,'Festivos CR'!$A$3:$A$29)),0)</f>
        <v>0</v>
      </c>
      <c r="I31" s="90">
        <f>NETWORKDAYS($E$4,F31,'Festivos CR'!$A$3:$A$43)</f>
        <v>10</v>
      </c>
      <c r="J31" s="132">
        <f t="shared" si="1"/>
        <v>0</v>
      </c>
      <c r="K31" s="135"/>
      <c r="L31" s="111"/>
      <c r="M31" s="349"/>
    </row>
    <row r="32" spans="1:19" s="90" customFormat="1" ht="16.2" thickBot="1">
      <c r="B32" s="451"/>
      <c r="C32" s="127" t="s">
        <v>233</v>
      </c>
      <c r="D32" s="172">
        <f>SUBTOTAL(9,D33:D33)</f>
        <v>103960</v>
      </c>
      <c r="E32" s="128">
        <f>SUBTOTAL(9,E33:E33)</f>
        <v>226</v>
      </c>
      <c r="J32" s="130">
        <f t="shared" si="1"/>
        <v>0</v>
      </c>
      <c r="K32" s="108"/>
      <c r="L32" s="108"/>
      <c r="N32" s="349"/>
    </row>
    <row r="33" spans="1:19" s="90" customFormat="1" ht="15" outlineLevel="1" thickBot="1">
      <c r="B33" s="141">
        <v>47</v>
      </c>
      <c r="C33" s="101" t="s">
        <v>1542</v>
      </c>
      <c r="D33" s="169">
        <f>E33*$D$6</f>
        <v>103960</v>
      </c>
      <c r="E33" s="142">
        <v>226</v>
      </c>
      <c r="F33" s="134">
        <v>46097</v>
      </c>
      <c r="G33" s="90" t="s">
        <v>235</v>
      </c>
      <c r="H33" s="90">
        <f>IF(OR(G33="Sin pagar",G33="Pagar"),_xlfn.SINGLE(NETWORKDAYS($E$4,F33,'Festivos CR'!$A$3:$A$29)),0)</f>
        <v>0</v>
      </c>
      <c r="I33" s="90">
        <f>NETWORKDAYS($E$4,F33,'Festivos CR'!$A$3:$A$43)</f>
        <v>11</v>
      </c>
      <c r="J33" s="132">
        <f>H33</f>
        <v>0</v>
      </c>
      <c r="M33" s="369" t="s">
        <v>1514</v>
      </c>
      <c r="N33" s="103"/>
    </row>
    <row r="34" spans="1:19" s="90" customFormat="1" ht="16.2" thickBot="1">
      <c r="B34" s="451"/>
      <c r="C34" s="127" t="s">
        <v>250</v>
      </c>
      <c r="D34" s="172">
        <f>SUBTOTAL(9,D35:D35)</f>
        <v>472</v>
      </c>
      <c r="E34" s="128">
        <f>SUBTOTAL(9,E35:E35)</f>
        <v>1.0260869565217392</v>
      </c>
      <c r="K34" s="103"/>
      <c r="L34" s="103"/>
      <c r="O34" s="103"/>
      <c r="P34" s="103"/>
    </row>
    <row r="35" spans="1:19" s="90" customFormat="1" ht="15" outlineLevel="1" thickBot="1">
      <c r="A35" s="180"/>
      <c r="B35" s="451"/>
      <c r="C35" s="101" t="s">
        <v>925</v>
      </c>
      <c r="D35" s="170">
        <f>472</f>
        <v>472</v>
      </c>
      <c r="E35" s="142">
        <f>D35/$D$6</f>
        <v>1.0260869565217392</v>
      </c>
      <c r="F35" s="129">
        <v>46113</v>
      </c>
      <c r="G35" s="90" t="s">
        <v>235</v>
      </c>
      <c r="H35" s="90">
        <f>IF(OR(G35="Sin pagar",G35="Pagar"),_xlfn.SINGLE(NETWORKDAYS($E$4,F35,'Festivos CR'!$A$3:$A$29)),0)</f>
        <v>0</v>
      </c>
      <c r="I35" s="90">
        <f>NETWORKDAYS($E$4,F35,'Festivos CR'!$A$3:$A$43)</f>
        <v>23</v>
      </c>
      <c r="J35" s="132">
        <f>H35</f>
        <v>0</v>
      </c>
      <c r="L35" s="108"/>
      <c r="M35" s="392"/>
    </row>
    <row r="36" spans="1:19" s="90" customFormat="1" ht="16.2" thickBot="1">
      <c r="B36" s="451"/>
      <c r="C36" s="139" t="s">
        <v>234</v>
      </c>
      <c r="D36" s="173">
        <f>SUBTOTAL(9,D37:D37)</f>
        <v>0</v>
      </c>
      <c r="E36" s="140">
        <f>SUBTOTAL(9,E37:E37)</f>
        <v>0</v>
      </c>
      <c r="K36" s="108"/>
    </row>
    <row r="37" spans="1:19" s="90" customFormat="1" ht="15" outlineLevel="1" thickBot="1">
      <c r="B37" s="176" t="s">
        <v>1113</v>
      </c>
      <c r="C37" s="174" t="s">
        <v>1225</v>
      </c>
      <c r="D37" s="169">
        <v>0</v>
      </c>
      <c r="E37" s="137">
        <v>0</v>
      </c>
      <c r="F37" s="134">
        <v>46112</v>
      </c>
      <c r="G37" s="90" t="s">
        <v>235</v>
      </c>
      <c r="H37" s="90">
        <f>IF(OR(G37="Sin pagar",G37="Pagar"),_xlfn.SINGLE(NETWORKDAYS($E$4,F37,'Festivos CR'!$A$3:$A$29)),0)</f>
        <v>0</v>
      </c>
      <c r="I37" s="90">
        <f>NETWORKDAYS($E$4,F37,'Festivos CR'!$A$3:$A$43)</f>
        <v>22</v>
      </c>
      <c r="J37" s="132">
        <f>H37</f>
        <v>0</v>
      </c>
      <c r="M37" s="297"/>
      <c r="N37" s="298"/>
    </row>
    <row r="38" spans="1:19" s="90" customFormat="1" ht="15.75" customHeight="1" thickBot="1">
      <c r="B38" s="451"/>
      <c r="C38" s="127" t="s">
        <v>236</v>
      </c>
      <c r="D38" s="172">
        <f>SUBTOTAL(9,D39:D39)</f>
        <v>297668.2</v>
      </c>
      <c r="E38" s="128">
        <f>SUBTOTAL(9,E39:E39)</f>
        <v>647.1047826086957</v>
      </c>
      <c r="M38" s="299"/>
      <c r="N38" s="299"/>
      <c r="O38" s="118"/>
      <c r="P38" s="300"/>
    </row>
    <row r="39" spans="1:19" s="90" customFormat="1" ht="15" outlineLevel="1" thickBot="1">
      <c r="B39" s="451"/>
      <c r="C39" s="174" t="s">
        <v>236</v>
      </c>
      <c r="D39" s="271">
        <f>E39*$D$6</f>
        <v>297668.2</v>
      </c>
      <c r="E39" s="142">
        <f>422.35+('BAC SAN JOSE USD'!F567+'BAC SAN JOSE USD'!F569+'BAC SAN JOSE USD'!F571+'BAC SAN JOSE USD'!F573+'BAC SAN JOSE USD'!F575+'BAC SAN JOSE USD'!F577+'BAC SAN JOSE USD'!F588+'BAC SAN JOSE USD'!F591+'BAC SAN JOSE USD'!F593)+(('BAC SAN JOSE COLONES  '!F609+'BAC SAN JOSE COLONES  '!F611+'BAC SAN JOSE COLONES  '!F613+'BAC SAN JOSE COLONES  '!F615+'BAC SAN JOSE COLONES  '!F620+'BAC SAN JOSE COLONES  '!F625)/$D$6)</f>
        <v>647.1047826086957</v>
      </c>
      <c r="F39" s="134">
        <v>46112</v>
      </c>
      <c r="G39" s="90" t="s">
        <v>235</v>
      </c>
      <c r="H39" s="90">
        <f>IF(OR(G39="Sin pagar",G39="Pagar"),_xlfn.SINGLE(NETWORKDAYS($E$4,F39,'Festivos CR'!$A$3:$A$29)),0)</f>
        <v>0</v>
      </c>
      <c r="I39" s="90">
        <f>NETWORKDAYS($E$4,F39,'Festivos CR'!$A$3:$A$43)</f>
        <v>22</v>
      </c>
      <c r="J39" s="132">
        <f>H39</f>
        <v>0</v>
      </c>
    </row>
    <row r="40" spans="1:19" s="90" customFormat="1" ht="16.2" thickBot="1">
      <c r="B40" s="451"/>
      <c r="C40" s="127" t="s">
        <v>237</v>
      </c>
      <c r="D40" s="172">
        <f>SUBTOTAL(9,D41:D62)</f>
        <v>39192909.080000006</v>
      </c>
      <c r="E40" s="128">
        <f>SUBTOTAL(9,E41:E62)</f>
        <v>85201.976260869575</v>
      </c>
      <c r="K40" s="108"/>
      <c r="L40" s="143"/>
      <c r="N40" s="556">
        <f>E40/25000</f>
        <v>3.4080790504347829</v>
      </c>
    </row>
    <row r="41" spans="1:19" s="180" customFormat="1" outlineLevel="1">
      <c r="B41" s="265" t="s">
        <v>270</v>
      </c>
      <c r="C41" s="174" t="s">
        <v>1037</v>
      </c>
      <c r="D41" s="347">
        <f t="shared" ref="D41:D48" si="2">E41*$D$6</f>
        <v>3423536.2</v>
      </c>
      <c r="E41" s="487">
        <v>7442.47</v>
      </c>
      <c r="F41" s="177">
        <v>46108</v>
      </c>
      <c r="G41" s="178" t="s">
        <v>235</v>
      </c>
      <c r="H41" s="90">
        <f>IF(OR(G41="Sin pagar",G41="Pagar"),_xlfn.SINGLE(NETWORKDAYS($E$4,F41,'Festivos CR'!$A$3:$A$29)),0)</f>
        <v>0</v>
      </c>
      <c r="I41" s="90">
        <f>NETWORKDAYS($E$4,F41,'Festivos CR'!$A$3:$A$43)</f>
        <v>20</v>
      </c>
      <c r="J41" s="132">
        <f t="shared" ref="J41:J59" si="3">H41</f>
        <v>0</v>
      </c>
      <c r="M41" s="137"/>
      <c r="N41" s="493"/>
      <c r="O41" s="346"/>
      <c r="P41" s="493"/>
      <c r="Q41" s="178"/>
      <c r="R41" s="178"/>
      <c r="S41" s="178"/>
    </row>
    <row r="42" spans="1:19" s="180" customFormat="1" outlineLevel="1">
      <c r="B42" s="265" t="s">
        <v>270</v>
      </c>
      <c r="C42" s="174" t="s">
        <v>257</v>
      </c>
      <c r="D42" s="347">
        <f t="shared" si="2"/>
        <v>3084672.6</v>
      </c>
      <c r="E42" s="487">
        <v>6705.81</v>
      </c>
      <c r="F42" s="177">
        <v>46108</v>
      </c>
      <c r="G42" s="178" t="s">
        <v>235</v>
      </c>
      <c r="H42" s="90">
        <f>IF(OR(G42="Sin pagar",G42="Pagar"),_xlfn.SINGLE(NETWORKDAYS($E$4,F42,'Festivos CR'!$A$3:$A$29)),0)</f>
        <v>0</v>
      </c>
      <c r="I42" s="90">
        <f>NETWORKDAYS($E$4,F42,'Festivos CR'!$A$3:$A$43)</f>
        <v>20</v>
      </c>
      <c r="J42" s="132">
        <f t="shared" si="3"/>
        <v>0</v>
      </c>
      <c r="M42" s="137"/>
      <c r="N42" s="493"/>
      <c r="O42" s="346"/>
      <c r="P42" s="493"/>
      <c r="Q42" s="178"/>
      <c r="R42" s="178"/>
      <c r="S42" s="178"/>
    </row>
    <row r="43" spans="1:19" s="180" customFormat="1" outlineLevel="1">
      <c r="B43" s="265" t="s">
        <v>270</v>
      </c>
      <c r="C43" s="174" t="s">
        <v>1423</v>
      </c>
      <c r="D43" s="347">
        <f t="shared" si="2"/>
        <v>2345530.7999999998</v>
      </c>
      <c r="E43" s="487">
        <v>5098.9799999999996</v>
      </c>
      <c r="F43" s="177">
        <v>46108</v>
      </c>
      <c r="G43" s="178" t="s">
        <v>235</v>
      </c>
      <c r="H43" s="90">
        <f>IF(OR(G43="Sin pagar",G43="Pagar"),_xlfn.SINGLE(NETWORKDAYS($E$4,F43,'Festivos CR'!$A$3:$A$29)),0)</f>
        <v>0</v>
      </c>
      <c r="I43" s="90">
        <f>NETWORKDAYS($E$4,F43,'Festivos CR'!$A$3:$A$43)</f>
        <v>20</v>
      </c>
      <c r="J43" s="132">
        <f t="shared" si="3"/>
        <v>0</v>
      </c>
      <c r="M43" s="137"/>
      <c r="N43" s="493"/>
      <c r="O43" s="346"/>
      <c r="P43" s="493"/>
      <c r="Q43" s="178"/>
      <c r="R43" s="178"/>
      <c r="S43" s="178"/>
    </row>
    <row r="44" spans="1:19" s="180" customFormat="1" outlineLevel="1">
      <c r="B44" s="265" t="s">
        <v>270</v>
      </c>
      <c r="C44" s="174" t="s">
        <v>1424</v>
      </c>
      <c r="D44" s="347">
        <f t="shared" si="2"/>
        <v>492218.39999999997</v>
      </c>
      <c r="E44" s="487">
        <v>1070.04</v>
      </c>
      <c r="F44" s="177">
        <v>46108</v>
      </c>
      <c r="G44" s="178" t="s">
        <v>235</v>
      </c>
      <c r="H44" s="90">
        <f>IF(OR(G44="Sin pagar",G44="Pagar"),_xlfn.SINGLE(NETWORKDAYS($E$4,F44,'Festivos CR'!$A$3:$A$29)),0)</f>
        <v>0</v>
      </c>
      <c r="I44" s="90">
        <f>NETWORKDAYS($E$4,F44,'Festivos CR'!$A$3:$A$43)</f>
        <v>20</v>
      </c>
      <c r="J44" s="132">
        <f>H44</f>
        <v>0</v>
      </c>
      <c r="M44" s="137"/>
      <c r="N44" s="493"/>
      <c r="O44" s="346"/>
      <c r="P44" s="493"/>
      <c r="Q44" s="178"/>
      <c r="R44" s="178"/>
      <c r="S44" s="178"/>
    </row>
    <row r="45" spans="1:19" s="180" customFormat="1" outlineLevel="1">
      <c r="B45" s="265" t="s">
        <v>270</v>
      </c>
      <c r="C45" s="174" t="s">
        <v>1036</v>
      </c>
      <c r="D45" s="347">
        <f t="shared" si="2"/>
        <v>2195989.4000000004</v>
      </c>
      <c r="E45" s="487">
        <v>4773.8900000000003</v>
      </c>
      <c r="F45" s="177">
        <v>46108</v>
      </c>
      <c r="G45" s="178" t="s">
        <v>235</v>
      </c>
      <c r="H45" s="90">
        <f>IF(OR(G45="Sin pagar",G45="Pagar"),_xlfn.SINGLE(NETWORKDAYS($E$4,F45,'Festivos CR'!$A$3:$A$29)),0)</f>
        <v>0</v>
      </c>
      <c r="I45" s="90">
        <f>NETWORKDAYS($E$4,F45,'Festivos CR'!$A$3:$A$43)</f>
        <v>20</v>
      </c>
      <c r="J45" s="132">
        <f t="shared" si="3"/>
        <v>0</v>
      </c>
      <c r="M45" s="506"/>
      <c r="N45" s="493"/>
      <c r="O45" s="346"/>
      <c r="P45" s="493"/>
      <c r="Q45" s="178"/>
      <c r="R45" s="178"/>
      <c r="S45" s="178"/>
    </row>
    <row r="46" spans="1:19" s="180" customFormat="1" outlineLevel="1">
      <c r="B46" s="265" t="s">
        <v>270</v>
      </c>
      <c r="C46" s="174" t="s">
        <v>258</v>
      </c>
      <c r="D46" s="347">
        <f t="shared" si="2"/>
        <v>1593518.2</v>
      </c>
      <c r="E46" s="487">
        <v>3464.17</v>
      </c>
      <c r="F46" s="177">
        <v>46108</v>
      </c>
      <c r="G46" s="178" t="s">
        <v>235</v>
      </c>
      <c r="H46" s="90">
        <f>IF(OR(G46="Sin pagar",G46="Pagar"),_xlfn.SINGLE(NETWORKDAYS($E$4,F46,'Festivos CR'!$A$3:$A$29)),0)</f>
        <v>0</v>
      </c>
      <c r="I46" s="90">
        <f>NETWORKDAYS($E$4,F46,'Festivos CR'!$A$3:$A$43)</f>
        <v>20</v>
      </c>
      <c r="J46" s="132">
        <f t="shared" si="3"/>
        <v>0</v>
      </c>
      <c r="M46" s="137"/>
      <c r="N46" s="493"/>
      <c r="O46" s="346"/>
      <c r="P46" s="493"/>
      <c r="Q46" s="178"/>
      <c r="R46" s="178"/>
      <c r="S46" s="178"/>
    </row>
    <row r="47" spans="1:19" s="180" customFormat="1" outlineLevel="1">
      <c r="B47" s="265" t="s">
        <v>270</v>
      </c>
      <c r="C47" s="174" t="s">
        <v>1038</v>
      </c>
      <c r="D47" s="347">
        <f t="shared" si="2"/>
        <v>849302.6</v>
      </c>
      <c r="E47" s="487">
        <v>1846.31</v>
      </c>
      <c r="F47" s="177">
        <v>46108</v>
      </c>
      <c r="G47" s="178" t="s">
        <v>235</v>
      </c>
      <c r="H47" s="90">
        <f>IF(OR(G47="Sin pagar",G47="Pagar"),_xlfn.SINGLE(NETWORKDAYS($E$4,F47,'Festivos CR'!$A$3:$A$29)),0)</f>
        <v>0</v>
      </c>
      <c r="I47" s="90">
        <f>NETWORKDAYS($E$4,F47,'Festivos CR'!$A$3:$A$43)</f>
        <v>20</v>
      </c>
      <c r="J47" s="132">
        <f t="shared" si="3"/>
        <v>0</v>
      </c>
      <c r="M47" s="137"/>
      <c r="N47" s="493"/>
      <c r="O47" s="346"/>
      <c r="P47" s="493"/>
      <c r="Q47" s="178"/>
      <c r="R47" s="178"/>
      <c r="S47" s="178"/>
    </row>
    <row r="48" spans="1:19" s="180" customFormat="1" outlineLevel="1">
      <c r="B48" s="265" t="s">
        <v>270</v>
      </c>
      <c r="C48" s="174" t="s">
        <v>1153</v>
      </c>
      <c r="D48" s="347">
        <f t="shared" si="2"/>
        <v>3512302.4</v>
      </c>
      <c r="E48" s="487">
        <v>7635.44</v>
      </c>
      <c r="F48" s="177">
        <v>46110</v>
      </c>
      <c r="G48" s="178" t="s">
        <v>235</v>
      </c>
      <c r="H48" s="90">
        <f>IF(OR(G48="Sin pagar",G48="Pagar"),_xlfn.SINGLE(NETWORKDAYS($E$4,F48,'Festivos CR'!$A$3:$A$29)),0)</f>
        <v>0</v>
      </c>
      <c r="I48" s="90">
        <f>NETWORKDAYS($E$4,F48,'Festivos CR'!$A$3:$A$43)</f>
        <v>20</v>
      </c>
      <c r="J48" s="132">
        <f t="shared" si="3"/>
        <v>0</v>
      </c>
      <c r="M48" s="137"/>
      <c r="N48" s="493"/>
      <c r="O48" s="346"/>
      <c r="P48" s="493"/>
      <c r="Q48" s="178"/>
      <c r="R48" s="178"/>
      <c r="S48" s="178"/>
    </row>
    <row r="49" spans="1:19" s="180" customFormat="1" outlineLevel="1">
      <c r="B49" s="145" t="s">
        <v>391</v>
      </c>
      <c r="C49" s="174" t="s">
        <v>253</v>
      </c>
      <c r="D49" s="488">
        <v>1405947.8</v>
      </c>
      <c r="E49" s="137">
        <f>D49/$D$6</f>
        <v>3056.4082608695653</v>
      </c>
      <c r="F49" s="177">
        <v>46109</v>
      </c>
      <c r="G49" s="178" t="s">
        <v>235</v>
      </c>
      <c r="H49" s="90">
        <f>IF(OR(G49="Sin pagar",G49="Pagar"),_xlfn.SINGLE(NETWORKDAYS($E$4,F49,'Festivos CR'!$A$3:$A$29)),0)</f>
        <v>0</v>
      </c>
      <c r="I49" s="90">
        <f>NETWORKDAYS($E$4,F49,'Festivos CR'!$A$3:$A$43)</f>
        <v>20</v>
      </c>
      <c r="J49" s="132">
        <f t="shared" si="3"/>
        <v>0</v>
      </c>
      <c r="M49" s="347"/>
      <c r="N49" s="178"/>
      <c r="O49" s="346"/>
      <c r="P49" s="494"/>
      <c r="Q49" s="493"/>
      <c r="R49" s="178"/>
      <c r="S49" s="178"/>
    </row>
    <row r="50" spans="1:19" s="180" customFormat="1" outlineLevel="1">
      <c r="B50" s="145" t="s">
        <v>391</v>
      </c>
      <c r="C50" s="174" t="s">
        <v>1485</v>
      </c>
      <c r="D50" s="488">
        <v>875095.31</v>
      </c>
      <c r="E50" s="137">
        <f>D50/$D$6</f>
        <v>1902.3811086956523</v>
      </c>
      <c r="F50" s="177">
        <v>46110</v>
      </c>
      <c r="G50" s="178" t="s">
        <v>235</v>
      </c>
      <c r="H50" s="90">
        <f>IF(OR(G50="Sin pagar",G50="Pagar"),_xlfn.SINGLE(NETWORKDAYS($E$4,F50,'Festivos CR'!$A$3:$A$29)),0)</f>
        <v>0</v>
      </c>
      <c r="I50" s="90">
        <f>NETWORKDAYS($E$4,F50,'Festivos CR'!$A$3:$A$43)</f>
        <v>20</v>
      </c>
      <c r="J50" s="132">
        <f>H50</f>
        <v>0</v>
      </c>
      <c r="M50" s="347"/>
      <c r="N50" s="178"/>
      <c r="O50" s="346"/>
      <c r="P50" s="494"/>
      <c r="Q50" s="493"/>
      <c r="R50" s="178"/>
      <c r="S50" s="178"/>
    </row>
    <row r="51" spans="1:19" s="180" customFormat="1" outlineLevel="1">
      <c r="B51" s="145" t="s">
        <v>391</v>
      </c>
      <c r="C51" s="174" t="s">
        <v>1152</v>
      </c>
      <c r="D51" s="488">
        <v>2034799.48</v>
      </c>
      <c r="E51" s="137">
        <f t="shared" ref="E51:E62" si="4">D51/$D$6</f>
        <v>4423.4771304347823</v>
      </c>
      <c r="F51" s="177">
        <v>46108</v>
      </c>
      <c r="G51" s="178" t="s">
        <v>235</v>
      </c>
      <c r="H51" s="90">
        <f>IF(OR(G51="Sin pagar",G51="Pagar"),_xlfn.SINGLE(NETWORKDAYS($E$4,F51,'Festivos CR'!$A$3:$A$29)),0)</f>
        <v>0</v>
      </c>
      <c r="I51" s="90">
        <f>NETWORKDAYS($E$4,F51,'Festivos CR'!$A$3:$A$43)</f>
        <v>20</v>
      </c>
      <c r="J51" s="132">
        <f t="shared" si="3"/>
        <v>0</v>
      </c>
      <c r="M51" s="347"/>
      <c r="N51" s="178"/>
      <c r="O51" s="346"/>
      <c r="P51" s="494"/>
      <c r="Q51" s="493"/>
      <c r="R51" s="178"/>
      <c r="S51" s="178"/>
    </row>
    <row r="52" spans="1:19" s="180" customFormat="1" outlineLevel="1">
      <c r="B52" s="145" t="s">
        <v>391</v>
      </c>
      <c r="C52" s="174" t="s">
        <v>1428</v>
      </c>
      <c r="D52" s="488">
        <v>1134627.24</v>
      </c>
      <c r="E52" s="137">
        <f t="shared" si="4"/>
        <v>2466.5809565217392</v>
      </c>
      <c r="F52" s="177">
        <v>46109</v>
      </c>
      <c r="G52" s="178" t="s">
        <v>235</v>
      </c>
      <c r="H52" s="90">
        <f>IF(OR(G52="Sin pagar",G52="Pagar"),_xlfn.SINGLE(NETWORKDAYS($E$4,F52,'Festivos CR'!$A$3:$A$29)),0)</f>
        <v>0</v>
      </c>
      <c r="I52" s="90">
        <f>NETWORKDAYS($E$4,F52,'Festivos CR'!$A$3:$A$43)</f>
        <v>20</v>
      </c>
      <c r="J52" s="132">
        <f>H52</f>
        <v>0</v>
      </c>
      <c r="M52" s="347"/>
      <c r="N52" s="178"/>
      <c r="O52" s="346"/>
      <c r="P52" s="494"/>
      <c r="Q52" s="493"/>
      <c r="R52" s="178"/>
      <c r="S52" s="178"/>
    </row>
    <row r="53" spans="1:19" s="180" customFormat="1" ht="18.75" customHeight="1" outlineLevel="1">
      <c r="B53" s="145" t="s">
        <v>391</v>
      </c>
      <c r="C53" s="174" t="s">
        <v>1509</v>
      </c>
      <c r="D53" s="488">
        <v>1081425</v>
      </c>
      <c r="E53" s="137">
        <f>D53/$D$6</f>
        <v>2350.9239130434785</v>
      </c>
      <c r="F53" s="177">
        <v>46110</v>
      </c>
      <c r="G53" s="178" t="s">
        <v>235</v>
      </c>
      <c r="H53" s="90">
        <f>IF(OR(G53="Sin pagar",G53="Pagar"),_xlfn.SINGLE(NETWORKDAYS($E$4,F53,'Festivos CR'!$A$3:$A$29)),0)</f>
        <v>0</v>
      </c>
      <c r="I53" s="90">
        <f>NETWORKDAYS($E$4,F53,'Festivos CR'!$A$3:$A$43)</f>
        <v>20</v>
      </c>
      <c r="J53" s="132">
        <f>H53</f>
        <v>0</v>
      </c>
      <c r="M53" s="347"/>
      <c r="N53" s="178"/>
      <c r="O53" s="346"/>
      <c r="P53" s="494"/>
      <c r="Q53" s="493"/>
      <c r="R53" s="178"/>
      <c r="S53" s="178"/>
    </row>
    <row r="54" spans="1:19" s="180" customFormat="1" outlineLevel="1">
      <c r="B54" s="145" t="s">
        <v>391</v>
      </c>
      <c r="C54" s="174" t="s">
        <v>1483</v>
      </c>
      <c r="D54" s="488">
        <v>783269.28</v>
      </c>
      <c r="E54" s="137">
        <f>D54/$D$6</f>
        <v>1702.7593043478262</v>
      </c>
      <c r="F54" s="177">
        <v>46109</v>
      </c>
      <c r="G54" s="178" t="s">
        <v>235</v>
      </c>
      <c r="H54" s="90">
        <f>IF(OR(G54="Sin pagar",G54="Pagar"),_xlfn.SINGLE(NETWORKDAYS($E$4,F54,'Festivos CR'!$A$3:$A$29)),0)</f>
        <v>0</v>
      </c>
      <c r="I54" s="90">
        <f>NETWORKDAYS($E$4,F54,'Festivos CR'!$A$3:$A$43)</f>
        <v>20</v>
      </c>
      <c r="J54" s="132">
        <f>H54</f>
        <v>0</v>
      </c>
      <c r="M54" s="347"/>
      <c r="N54" s="178"/>
      <c r="O54" s="346"/>
      <c r="P54" s="494"/>
      <c r="Q54" s="493"/>
      <c r="R54" s="178"/>
      <c r="S54" s="178"/>
    </row>
    <row r="55" spans="1:19" s="180" customFormat="1" outlineLevel="1">
      <c r="B55" s="145" t="s">
        <v>391</v>
      </c>
      <c r="C55" s="174" t="s">
        <v>255</v>
      </c>
      <c r="D55" s="488">
        <v>1405947.8</v>
      </c>
      <c r="E55" s="137">
        <f t="shared" si="4"/>
        <v>3056.4082608695653</v>
      </c>
      <c r="F55" s="177">
        <v>46109</v>
      </c>
      <c r="G55" s="178" t="s">
        <v>235</v>
      </c>
      <c r="H55" s="90">
        <f>IF(OR(G55="Sin pagar",G55="Pagar"),_xlfn.SINGLE(NETWORKDAYS($E$4,F55,'Festivos CR'!$A$3:$A$29)),0)</f>
        <v>0</v>
      </c>
      <c r="I55" s="90">
        <f>NETWORKDAYS($E$4,F55,'Festivos CR'!$A$3:$A$43)</f>
        <v>20</v>
      </c>
      <c r="J55" s="132">
        <f t="shared" si="3"/>
        <v>0</v>
      </c>
      <c r="M55" s="347"/>
      <c r="N55" s="178"/>
      <c r="O55" s="346"/>
      <c r="P55" s="494"/>
      <c r="Q55" s="493"/>
      <c r="R55" s="178"/>
      <c r="S55" s="178"/>
    </row>
    <row r="56" spans="1:19" s="180" customFormat="1" outlineLevel="1">
      <c r="B56" s="145" t="s">
        <v>391</v>
      </c>
      <c r="C56" s="174" t="s">
        <v>330</v>
      </c>
      <c r="D56" s="488">
        <v>785142.74</v>
      </c>
      <c r="E56" s="137">
        <f t="shared" si="4"/>
        <v>1706.8320434782609</v>
      </c>
      <c r="F56" s="177">
        <v>46110</v>
      </c>
      <c r="G56" s="178" t="s">
        <v>235</v>
      </c>
      <c r="H56" s="90">
        <f>IF(OR(G56="Sin pagar",G56="Pagar"),_xlfn.SINGLE(NETWORKDAYS($E$4,F56,'Festivos CR'!$A$3:$A$29)),0)</f>
        <v>0</v>
      </c>
      <c r="I56" s="90">
        <f>NETWORKDAYS($E$4,F56,'Festivos CR'!$A$3:$A$43)</f>
        <v>20</v>
      </c>
      <c r="J56" s="132">
        <f t="shared" si="3"/>
        <v>0</v>
      </c>
      <c r="M56" s="506"/>
      <c r="N56" s="178"/>
      <c r="O56" s="346"/>
      <c r="P56" s="494"/>
      <c r="Q56" s="493"/>
      <c r="R56" s="178"/>
      <c r="S56" s="178"/>
    </row>
    <row r="57" spans="1:19" s="180" customFormat="1" outlineLevel="1">
      <c r="B57" s="145" t="s">
        <v>391</v>
      </c>
      <c r="C57" s="174" t="s">
        <v>759</v>
      </c>
      <c r="D57" s="488">
        <v>5338092.3899999997</v>
      </c>
      <c r="E57" s="137">
        <f t="shared" si="4"/>
        <v>11604.548673913043</v>
      </c>
      <c r="F57" s="177">
        <v>46109</v>
      </c>
      <c r="G57" s="178" t="s">
        <v>235</v>
      </c>
      <c r="H57" s="90">
        <f>IF(OR(G57="Sin pagar",G57="Pagar"),_xlfn.SINGLE(NETWORKDAYS($E$4,F57,'Festivos CR'!$A$3:$A$29)),0)</f>
        <v>0</v>
      </c>
      <c r="I57" s="90">
        <f>NETWORKDAYS($E$4,F57,'Festivos CR'!$A$3:$A$43)</f>
        <v>20</v>
      </c>
      <c r="J57" s="132">
        <f t="shared" si="3"/>
        <v>0</v>
      </c>
      <c r="M57" s="347"/>
      <c r="N57" s="178"/>
      <c r="O57" s="346"/>
      <c r="P57" s="494"/>
      <c r="Q57" s="493"/>
      <c r="R57" s="178"/>
      <c r="S57" s="178"/>
    </row>
    <row r="58" spans="1:19" s="180" customFormat="1" outlineLevel="1">
      <c r="B58" s="145" t="s">
        <v>391</v>
      </c>
      <c r="C58" s="174" t="s">
        <v>1429</v>
      </c>
      <c r="D58" s="488">
        <v>1382510.08</v>
      </c>
      <c r="E58" s="137">
        <f t="shared" si="4"/>
        <v>3005.4566956521739</v>
      </c>
      <c r="F58" s="177">
        <v>46109</v>
      </c>
      <c r="G58" s="178" t="s">
        <v>235</v>
      </c>
      <c r="H58" s="90">
        <f>IF(OR(G58="Sin pagar",G58="Pagar"),_xlfn.SINGLE(NETWORKDAYS($E$4,F58,'Festivos CR'!$A$3:$A$29)),0)</f>
        <v>0</v>
      </c>
      <c r="I58" s="90">
        <f>NETWORKDAYS($E$4,F58,'Festivos CR'!$A$3:$A$43)</f>
        <v>20</v>
      </c>
      <c r="J58" s="132">
        <f t="shared" si="3"/>
        <v>0</v>
      </c>
      <c r="M58" s="347"/>
      <c r="N58" s="178"/>
      <c r="O58" s="346"/>
      <c r="P58" s="494"/>
      <c r="Q58" s="493"/>
      <c r="R58" s="178"/>
      <c r="S58" s="178"/>
    </row>
    <row r="59" spans="1:19" s="180" customFormat="1" outlineLevel="1">
      <c r="B59" s="145" t="s">
        <v>391</v>
      </c>
      <c r="C59" s="174" t="s">
        <v>1123</v>
      </c>
      <c r="D59" s="488">
        <v>883500</v>
      </c>
      <c r="E59" s="137">
        <f t="shared" si="4"/>
        <v>1920.6521739130435</v>
      </c>
      <c r="F59" s="177">
        <v>46110</v>
      </c>
      <c r="G59" s="178" t="s">
        <v>235</v>
      </c>
      <c r="H59" s="90">
        <f>IF(OR(G59="Sin pagar",G59="Pagar"),_xlfn.SINGLE(NETWORKDAYS($E$4,F59,'Festivos CR'!$A$3:$A$29)),0)</f>
        <v>0</v>
      </c>
      <c r="I59" s="90">
        <f>NETWORKDAYS($E$4,F59,'Festivos CR'!$A$3:$A$43)</f>
        <v>20</v>
      </c>
      <c r="J59" s="132">
        <f t="shared" si="3"/>
        <v>0</v>
      </c>
      <c r="M59" s="507"/>
      <c r="N59" s="178"/>
      <c r="O59" s="346"/>
      <c r="P59" s="494"/>
      <c r="Q59" s="493"/>
      <c r="R59" s="178"/>
      <c r="S59" s="495"/>
    </row>
    <row r="60" spans="1:19" s="180" customFormat="1" outlineLevel="1">
      <c r="B60" s="145" t="s">
        <v>391</v>
      </c>
      <c r="C60" s="174" t="s">
        <v>1430</v>
      </c>
      <c r="D60" s="488">
        <v>2251877.06</v>
      </c>
      <c r="E60" s="137">
        <f t="shared" si="4"/>
        <v>4895.3849130434783</v>
      </c>
      <c r="F60" s="177">
        <v>46109</v>
      </c>
      <c r="G60" s="178" t="s">
        <v>235</v>
      </c>
      <c r="H60" s="90">
        <f>IF(OR(G60="Sin pagar",G60="Pagar"),_xlfn.SINGLE(NETWORKDAYS($E$4,F60,'Festivos CR'!$A$3:$A$29)),0)</f>
        <v>0</v>
      </c>
      <c r="I60" s="90">
        <f>NETWORKDAYS($E$4,F60,'Festivos CR'!$A$3:$A$43)</f>
        <v>20</v>
      </c>
      <c r="J60" s="132">
        <f>H60</f>
        <v>0</v>
      </c>
      <c r="M60" s="347"/>
      <c r="N60" s="178"/>
      <c r="O60" s="346"/>
      <c r="P60" s="494"/>
      <c r="Q60" s="493"/>
      <c r="R60" s="178"/>
      <c r="S60" s="178"/>
    </row>
    <row r="61" spans="1:19" s="180" customFormat="1" outlineLevel="1">
      <c r="B61" s="145" t="s">
        <v>391</v>
      </c>
      <c r="C61" s="174" t="s">
        <v>1484</v>
      </c>
      <c r="D61" s="488">
        <v>1054190.52</v>
      </c>
      <c r="E61" s="137">
        <f>D61/$D$6</f>
        <v>2291.7185217391307</v>
      </c>
      <c r="F61" s="177">
        <v>46109</v>
      </c>
      <c r="G61" s="178" t="s">
        <v>235</v>
      </c>
      <c r="H61" s="90">
        <f>IF(OR(G61="Sin pagar",G61="Pagar"),_xlfn.SINGLE(NETWORKDAYS($E$4,F61,'Festivos CR'!$A$3:$A$29)),0)</f>
        <v>0</v>
      </c>
      <c r="I61" s="90">
        <f>NETWORKDAYS($E$4,F61,'Festivos CR'!$A$3:$A$43)</f>
        <v>20</v>
      </c>
      <c r="J61" s="132">
        <f>H61</f>
        <v>0</v>
      </c>
      <c r="M61" s="347"/>
      <c r="N61" s="178"/>
      <c r="O61" s="346"/>
      <c r="P61" s="494"/>
      <c r="Q61" s="493"/>
      <c r="R61" s="178"/>
      <c r="S61" s="178"/>
    </row>
    <row r="62" spans="1:19" s="180" customFormat="1" ht="15" outlineLevel="1" thickBot="1">
      <c r="B62" s="145" t="s">
        <v>391</v>
      </c>
      <c r="C62" s="174" t="s">
        <v>1431</v>
      </c>
      <c r="D62" s="488">
        <v>1279413.78</v>
      </c>
      <c r="E62" s="137">
        <f t="shared" si="4"/>
        <v>2781.3343043478262</v>
      </c>
      <c r="F62" s="177">
        <v>46110</v>
      </c>
      <c r="G62" s="178" t="s">
        <v>235</v>
      </c>
      <c r="H62" s="90">
        <f>IF(OR(G62="Sin pagar",G62="Pagar"),_xlfn.SINGLE(NETWORKDAYS($E$4,F62,'Festivos CR'!$A$3:$A$29)),0)</f>
        <v>0</v>
      </c>
      <c r="I62" s="90">
        <f>NETWORKDAYS($E$4,F62,'Festivos CR'!$A$3:$A$43)</f>
        <v>20</v>
      </c>
      <c r="J62" s="132">
        <f>H62</f>
        <v>0</v>
      </c>
      <c r="M62" s="347"/>
      <c r="N62" s="178"/>
      <c r="O62" s="346"/>
      <c r="P62" s="494"/>
      <c r="Q62" s="493"/>
      <c r="R62" s="178"/>
      <c r="S62" s="178"/>
    </row>
    <row r="63" spans="1:19" s="90" customFormat="1" ht="16.2" thickBot="1">
      <c r="A63" s="180"/>
      <c r="B63" s="451"/>
      <c r="C63" s="127" t="s">
        <v>1051</v>
      </c>
      <c r="D63" s="172">
        <f>SUBTOTAL(9,D64:D66)</f>
        <v>120836</v>
      </c>
      <c r="E63" s="128">
        <f>SUBTOTAL(9,E64:E66)</f>
        <v>262.68695652173915</v>
      </c>
      <c r="L63" s="108"/>
    </row>
    <row r="64" spans="1:19" s="90" customFormat="1" outlineLevel="1">
      <c r="A64" s="180"/>
      <c r="B64" s="265" t="s">
        <v>391</v>
      </c>
      <c r="C64" s="101" t="s">
        <v>1512</v>
      </c>
      <c r="D64" s="347">
        <v>89000</v>
      </c>
      <c r="E64" s="137">
        <f>D64/$D$6</f>
        <v>193.47826086956522</v>
      </c>
      <c r="F64" s="129">
        <v>46112</v>
      </c>
      <c r="G64" s="178" t="s">
        <v>235</v>
      </c>
      <c r="H64" s="90">
        <f>IF(OR(G64="Sin pagar",G64="Pagar"),_xlfn.SINGLE(NETWORKDAYS($E$4,F64,'Festivos CR'!$A$3:$A$29)),0)</f>
        <v>0</v>
      </c>
      <c r="I64" s="90">
        <f>NETWORKDAYS($E$4,F64,'Festivos CR'!$A$3:$A$43)</f>
        <v>22</v>
      </c>
      <c r="J64" s="132">
        <f>H64</f>
        <v>0</v>
      </c>
      <c r="L64" s="108"/>
      <c r="M64" s="392"/>
      <c r="N64" s="349"/>
      <c r="O64" s="118"/>
    </row>
    <row r="65" spans="1:16" s="90" customFormat="1" outlineLevel="1">
      <c r="A65" s="180"/>
      <c r="B65" s="265" t="s">
        <v>391</v>
      </c>
      <c r="C65" s="101" t="s">
        <v>1582</v>
      </c>
      <c r="D65" s="347">
        <v>20565</v>
      </c>
      <c r="E65" s="137">
        <f>D65/$D$6</f>
        <v>44.706521739130437</v>
      </c>
      <c r="F65" s="129">
        <v>46112</v>
      </c>
      <c r="G65" s="178" t="s">
        <v>235</v>
      </c>
      <c r="H65" s="90">
        <f>IF(OR(G65="Sin pagar",G65="Pagar"),_xlfn.SINGLE(NETWORKDAYS($E$4,F65,'Festivos CR'!$A$3:$A$29)),0)</f>
        <v>0</v>
      </c>
      <c r="I65" s="90">
        <f>NETWORKDAYS($E$4,F65,'Festivos CR'!$A$3:$A$43)</f>
        <v>22</v>
      </c>
      <c r="J65" s="132">
        <f>H65</f>
        <v>0</v>
      </c>
      <c r="L65" s="108"/>
      <c r="M65" s="392"/>
      <c r="N65" s="349"/>
      <c r="O65" s="118"/>
    </row>
    <row r="66" spans="1:16" s="90" customFormat="1" ht="15" outlineLevel="1" thickBot="1">
      <c r="A66" s="180"/>
      <c r="B66" s="265" t="s">
        <v>391</v>
      </c>
      <c r="C66" s="101" t="s">
        <v>1583</v>
      </c>
      <c r="D66" s="347">
        <v>11271</v>
      </c>
      <c r="E66" s="137">
        <f>D66/$D$6</f>
        <v>24.502173913043478</v>
      </c>
      <c r="F66" s="129">
        <v>46112</v>
      </c>
      <c r="G66" s="178" t="s">
        <v>235</v>
      </c>
      <c r="H66" s="90">
        <f>IF(OR(G66="Sin pagar",G66="Pagar"),_xlfn.SINGLE(NETWORKDAYS($E$4,F66,'Festivos CR'!$A$3:$A$29)),0)</f>
        <v>0</v>
      </c>
      <c r="I66" s="90">
        <f>NETWORKDAYS($E$4,F66,'Festivos CR'!$A$3:$A$43)</f>
        <v>22</v>
      </c>
      <c r="J66" s="132">
        <f>H66</f>
        <v>0</v>
      </c>
      <c r="L66" s="108"/>
      <c r="M66" s="392"/>
      <c r="N66" s="349"/>
      <c r="O66" s="118"/>
    </row>
    <row r="67" spans="1:16" s="90" customFormat="1" ht="16.2" thickBot="1">
      <c r="A67" s="180"/>
      <c r="B67" s="451"/>
      <c r="C67" s="127" t="s">
        <v>992</v>
      </c>
      <c r="D67" s="172">
        <f>SUBTOTAL(9,D68:D68)</f>
        <v>0</v>
      </c>
      <c r="E67" s="128">
        <f>SUBTOTAL(9,E68:E68)</f>
        <v>0</v>
      </c>
      <c r="L67" s="108"/>
    </row>
    <row r="68" spans="1:16" s="90" customFormat="1" ht="15" outlineLevel="1" thickBot="1">
      <c r="A68" s="180"/>
      <c r="B68" s="146"/>
      <c r="C68" s="101" t="s">
        <v>1372</v>
      </c>
      <c r="D68" s="170">
        <v>0</v>
      </c>
      <c r="E68" s="142">
        <f>D68/D6</f>
        <v>0</v>
      </c>
      <c r="F68" s="129">
        <v>46112</v>
      </c>
      <c r="G68" s="178" t="s">
        <v>235</v>
      </c>
      <c r="H68" s="90">
        <f>IF(OR(G68="Sin pagar",G68="Pagar"),_xlfn.SINGLE(NETWORKDAYS($E$4,F68,'Festivos CR'!$A$3:$A$29)),0)</f>
        <v>0</v>
      </c>
      <c r="I68" s="90">
        <f>NETWORKDAYS($E$4,F68,'Festivos CR'!$A$3:$A$43)</f>
        <v>22</v>
      </c>
      <c r="J68" s="132">
        <f>H68</f>
        <v>0</v>
      </c>
      <c r="L68" s="108"/>
      <c r="M68" s="392"/>
      <c r="N68" s="349"/>
      <c r="O68" s="118"/>
    </row>
    <row r="69" spans="1:16" s="90" customFormat="1" ht="16.2" thickBot="1">
      <c r="A69" s="180"/>
      <c r="B69" s="451"/>
      <c r="C69" s="127" t="s">
        <v>238</v>
      </c>
      <c r="D69" s="172">
        <f>SUBTOTAL(9,D70:D70)</f>
        <v>872160</v>
      </c>
      <c r="E69" s="128">
        <f>SUBTOTAL(9,E70:E70)</f>
        <v>1896</v>
      </c>
      <c r="L69" s="108"/>
    </row>
    <row r="70" spans="1:16" s="90" customFormat="1" ht="15" outlineLevel="1" thickBot="1">
      <c r="A70" s="180"/>
      <c r="B70" s="522" t="s">
        <v>1591</v>
      </c>
      <c r="C70" s="101" t="s">
        <v>1590</v>
      </c>
      <c r="D70" s="170">
        <f>E70*D6</f>
        <v>872160</v>
      </c>
      <c r="E70" s="142">
        <v>1896</v>
      </c>
      <c r="F70" s="129">
        <v>46112</v>
      </c>
      <c r="G70" s="90" t="s">
        <v>235</v>
      </c>
      <c r="H70" s="90">
        <f>IF(OR(G70="Sin pagar",G70="Pagar"),_xlfn.SINGLE(NETWORKDAYS($E$4,F70,'Festivos CR'!$A$3:$A$29)),0)</f>
        <v>0</v>
      </c>
      <c r="I70" s="90">
        <f>NETWORKDAYS($E$4,F70,'Festivos CR'!$A$3:$A$43)</f>
        <v>22</v>
      </c>
      <c r="J70" s="132">
        <f>H70</f>
        <v>0</v>
      </c>
      <c r="L70" s="108"/>
      <c r="M70" s="392"/>
    </row>
    <row r="71" spans="1:16" s="90" customFormat="1" ht="14.25" customHeight="1">
      <c r="B71" s="100"/>
      <c r="C71" s="147" t="s">
        <v>239</v>
      </c>
      <c r="D71" s="171">
        <f>SUBTOTAL(9,D25:D70)</f>
        <v>64840800.280000009</v>
      </c>
      <c r="E71" s="148">
        <f>SUBTOTAL(9,E25:E70)</f>
        <v>140958.26147826086</v>
      </c>
      <c r="K71" s="583"/>
      <c r="L71" s="583"/>
      <c r="N71" s="583"/>
      <c r="O71" s="583"/>
      <c r="P71" s="583"/>
    </row>
    <row r="72" spans="1:16" ht="15.6">
      <c r="A72" s="90"/>
      <c r="E72" s="149"/>
      <c r="F72" s="239"/>
      <c r="G72" s="150"/>
      <c r="H72" s="150"/>
      <c r="I72" s="150"/>
      <c r="J72" s="150"/>
    </row>
    <row r="73" spans="1:16" ht="15.6">
      <c r="A73" s="90"/>
      <c r="C73" s="151" t="s">
        <v>3</v>
      </c>
      <c r="D73" s="182">
        <f>D20-D71</f>
        <v>49888829.604585432</v>
      </c>
      <c r="E73" s="152">
        <f>E20-E71</f>
        <v>108453.97740127274</v>
      </c>
      <c r="F73" s="243"/>
      <c r="G73" s="153"/>
      <c r="J73" s="153"/>
    </row>
    <row r="74" spans="1:16" s="157" customFormat="1" ht="15.6">
      <c r="A74" s="90"/>
      <c r="B74" s="154"/>
      <c r="C74" s="151" t="s">
        <v>240</v>
      </c>
      <c r="D74" s="155">
        <f>IF($D$20=0,0,D73/$D$20)</f>
        <v>0.43483823363478202</v>
      </c>
      <c r="E74" s="155">
        <f>IF($E$20=0,0,E73/$E$20)</f>
        <v>0.43483823363478219</v>
      </c>
      <c r="F74" s="156"/>
      <c r="G74" s="153"/>
      <c r="J74" s="158"/>
      <c r="K74" s="583"/>
      <c r="L74" s="583"/>
      <c r="N74" s="583"/>
      <c r="O74" s="583"/>
      <c r="P74" s="583"/>
    </row>
    <row r="75" spans="1:16">
      <c r="A75" s="90"/>
      <c r="F75" s="156"/>
      <c r="G75" s="153"/>
    </row>
    <row r="78" spans="1:16" ht="15" thickBot="1">
      <c r="C78" s="189" t="s">
        <v>260</v>
      </c>
      <c r="D78" s="190" t="s">
        <v>261</v>
      </c>
      <c r="E78" s="191" t="s">
        <v>265</v>
      </c>
      <c r="F78" s="191" t="s">
        <v>266</v>
      </c>
    </row>
    <row r="79" spans="1:16">
      <c r="C79" s="498">
        <v>46082</v>
      </c>
      <c r="D79" s="499">
        <v>46089</v>
      </c>
      <c r="E79" s="500">
        <f t="shared" ref="E79:E84" si="5">SUMIFS($D$24:$D$76,$F$24:$F$76,"&gt;="&amp;C79,$F$24:$F$76,"&lt;="&amp;D79,$G$24:$G$76,$D$95)</f>
        <v>0</v>
      </c>
      <c r="F79" s="501">
        <f t="shared" ref="F79:F84" si="6">SUMIFS($E$24:$E$76,$F$24:$F$76,"&gt;="&amp;C79,$F$24:$F$76,"&lt;="&amp;D79,$G$24:$G$76,$D$95)</f>
        <v>0</v>
      </c>
    </row>
    <row r="80" spans="1:16">
      <c r="C80" s="403">
        <v>46090</v>
      </c>
      <c r="D80" s="398">
        <v>46096</v>
      </c>
      <c r="E80" s="404">
        <f t="shared" si="5"/>
        <v>0</v>
      </c>
      <c r="F80" s="405">
        <f t="shared" si="6"/>
        <v>0</v>
      </c>
      <c r="G80" s="497" t="s">
        <v>1446</v>
      </c>
    </row>
    <row r="81" spans="3:13">
      <c r="C81" s="403">
        <v>46097</v>
      </c>
      <c r="D81" s="397">
        <v>46103</v>
      </c>
      <c r="E81" s="404">
        <f t="shared" si="5"/>
        <v>0</v>
      </c>
      <c r="F81" s="405">
        <f t="shared" si="6"/>
        <v>0</v>
      </c>
      <c r="G81" s="562"/>
    </row>
    <row r="82" spans="3:13">
      <c r="C82" s="403">
        <v>46104</v>
      </c>
      <c r="D82" s="397">
        <v>46110</v>
      </c>
      <c r="E82" s="404">
        <f t="shared" si="5"/>
        <v>0</v>
      </c>
      <c r="F82" s="405">
        <f t="shared" si="6"/>
        <v>0</v>
      </c>
      <c r="G82" s="497" t="s">
        <v>1294</v>
      </c>
    </row>
    <row r="83" spans="3:13">
      <c r="C83" s="403">
        <v>46111</v>
      </c>
      <c r="D83" s="397">
        <v>46112</v>
      </c>
      <c r="E83" s="404">
        <f t="shared" si="5"/>
        <v>0</v>
      </c>
      <c r="F83" s="405">
        <f t="shared" si="6"/>
        <v>0</v>
      </c>
      <c r="G83" s="562" t="s">
        <v>1515</v>
      </c>
    </row>
    <row r="84" spans="3:13" ht="15" thickBot="1">
      <c r="C84" s="406">
        <v>46113</v>
      </c>
      <c r="D84" s="399">
        <v>46124</v>
      </c>
      <c r="E84" s="407">
        <f t="shared" si="5"/>
        <v>0</v>
      </c>
      <c r="F84" s="408">
        <f t="shared" si="6"/>
        <v>0</v>
      </c>
      <c r="G84" s="562"/>
    </row>
    <row r="85" spans="3:13" ht="15.6">
      <c r="C85" s="589" t="s">
        <v>262</v>
      </c>
      <c r="D85" s="589"/>
      <c r="E85" s="186">
        <f>SUM(E79:E84)</f>
        <v>0</v>
      </c>
      <c r="F85" s="200">
        <f>SUM(F79:F84)</f>
        <v>0</v>
      </c>
      <c r="G85" s="94"/>
      <c r="J85" s="153"/>
      <c r="K85" s="153"/>
      <c r="M85" s="206"/>
    </row>
    <row r="86" spans="3:13">
      <c r="G86" s="497"/>
    </row>
    <row r="87" spans="3:13">
      <c r="G87" s="562"/>
    </row>
    <row r="88" spans="3:13">
      <c r="C88" s="591"/>
      <c r="D88" s="593"/>
    </row>
    <row r="89" spans="3:13">
      <c r="C89" s="592" t="s">
        <v>1065</v>
      </c>
      <c r="D89" s="592"/>
      <c r="E89" s="204">
        <f>'BAC SAN JOSE COLONES  '!$G$650+('BAC SAN JOSE USD'!$G$600*$D$6)</f>
        <v>49888830.26458545</v>
      </c>
      <c r="F89" s="452">
        <f>('BAC SAN JOSE COLONES  '!G650/$D$6)+'BAC SAN JOSE USD'!$G$600</f>
        <v>108453.97883605532</v>
      </c>
      <c r="J89" s="324"/>
      <c r="M89" s="206"/>
    </row>
    <row r="90" spans="3:13">
      <c r="C90" s="594" t="s">
        <v>1516</v>
      </c>
      <c r="D90" s="592"/>
      <c r="E90" s="204">
        <f>SUM(E79:E81)</f>
        <v>0</v>
      </c>
      <c r="F90" s="452">
        <f>SUM(F79:F81)</f>
        <v>0</v>
      </c>
      <c r="J90" s="324"/>
    </row>
    <row r="91" spans="3:13">
      <c r="C91" s="588" t="s">
        <v>152</v>
      </c>
      <c r="D91" s="588"/>
      <c r="E91" s="446">
        <f>E89-E90</f>
        <v>49888830.26458545</v>
      </c>
      <c r="F91" s="447">
        <f>F89-F90</f>
        <v>108453.97883605532</v>
      </c>
      <c r="G91" s="467"/>
      <c r="J91" s="206"/>
    </row>
    <row r="94" spans="3:13">
      <c r="D94" s="90" t="s">
        <v>235</v>
      </c>
      <c r="E94" s="170">
        <f>SUMIFS($D$24:$D$76,$F$24:$F$76,"&gt;="&amp;$C$79,$F$24:$F$76,"&lt;="&amp;$D$84,$G$24:$G$76,$D$94)</f>
        <v>64840800.280000009</v>
      </c>
      <c r="F94" s="206">
        <f>SUMIFS($E$24:$E$75,$F$24:$F$75,"&gt;="&amp;C79,$F$24:$F$75,"&lt;="&amp;$D$84,$G$24:$G$75,$D$94)</f>
        <v>140958.26147826086</v>
      </c>
    </row>
    <row r="95" spans="3:13">
      <c r="D95" s="90" t="s">
        <v>231</v>
      </c>
      <c r="E95" s="170">
        <f>SUMIFS($D$24:$D$76,$F$24:$F$76,"&gt;="&amp;$C$79,$F$24:$F$76,"&lt;="&amp;$D$84,$G$24:$G$76,$D$95)</f>
        <v>0</v>
      </c>
      <c r="F95" s="206">
        <f>SUMIFS($E$24:$E$75,$F$24:$F$75,"&gt;="&amp;C80,$F$24:$F$75,"&lt;="&amp;$D$84,$G$24:$G$75,$D$95)</f>
        <v>0</v>
      </c>
    </row>
    <row r="96" spans="3:13">
      <c r="D96" s="185" t="s">
        <v>263</v>
      </c>
      <c r="E96" s="194">
        <f>SUM($E$94:$E$95)</f>
        <v>64840800.280000009</v>
      </c>
      <c r="F96" s="199">
        <f>SUM($F$94:$F$95)</f>
        <v>140958.26147826086</v>
      </c>
      <c r="G96" s="206"/>
    </row>
    <row r="97" spans="4:7">
      <c r="D97" s="185" t="s">
        <v>264</v>
      </c>
      <c r="E97" s="194">
        <f>(D71-E96)</f>
        <v>0</v>
      </c>
      <c r="F97" s="199">
        <f>F96-E71</f>
        <v>0</v>
      </c>
    </row>
    <row r="99" spans="4:7">
      <c r="F99" s="170"/>
    </row>
    <row r="100" spans="4:7">
      <c r="E100" s="585" t="s">
        <v>400</v>
      </c>
      <c r="F100" s="170">
        <f>$D$73</f>
        <v>49888829.604585432</v>
      </c>
    </row>
    <row r="101" spans="4:7">
      <c r="E101" s="585" t="s">
        <v>401</v>
      </c>
      <c r="F101" s="170">
        <f>'BAC SAN JOSE COLONES  '!$G$629+('BAC SAN JOSE USD'!$G$595*D6)</f>
        <v>49888830.26458545</v>
      </c>
    </row>
    <row r="102" spans="4:7">
      <c r="E102" s="585" t="s">
        <v>701</v>
      </c>
      <c r="F102" s="170">
        <f>F101-F100</f>
        <v>0.6600000187754631</v>
      </c>
      <c r="G102" s="579"/>
    </row>
    <row r="103" spans="4:7">
      <c r="E103" s="585" t="s">
        <v>702</v>
      </c>
      <c r="F103" s="206">
        <f>F102/D6</f>
        <v>1.4347826495118763E-3</v>
      </c>
    </row>
    <row r="104" spans="4:7">
      <c r="E104" s="395"/>
    </row>
    <row r="111" spans="4:7">
      <c r="D111" s="395"/>
      <c r="E111" s="561"/>
      <c r="F111" s="153"/>
    </row>
    <row r="112" spans="4:7">
      <c r="D112" s="395"/>
      <c r="E112" s="561"/>
      <c r="F112" s="153"/>
    </row>
    <row r="113" spans="4:6">
      <c r="D113" s="395"/>
      <c r="E113" s="561"/>
      <c r="F113" s="153"/>
    </row>
    <row r="114" spans="4:6">
      <c r="D114" s="395"/>
      <c r="E114" s="561"/>
      <c r="F114" s="153"/>
    </row>
    <row r="115" spans="4:6">
      <c r="D115" s="395"/>
      <c r="E115" s="561"/>
      <c r="F115" s="153"/>
    </row>
    <row r="116" spans="4:6">
      <c r="D116" s="395"/>
      <c r="E116" s="561"/>
      <c r="F116" s="153"/>
    </row>
    <row r="117" spans="4:6">
      <c r="D117" s="395"/>
      <c r="E117" s="561"/>
      <c r="F117" s="153"/>
    </row>
    <row r="118" spans="4:6">
      <c r="D118" s="395"/>
      <c r="E118" s="561"/>
      <c r="F118" s="153"/>
    </row>
    <row r="119" spans="4:6">
      <c r="D119" s="395"/>
      <c r="E119" s="561"/>
      <c r="F119" s="153"/>
    </row>
    <row r="120" spans="4:6">
      <c r="D120" s="395"/>
      <c r="E120" s="561"/>
      <c r="F120" s="153"/>
    </row>
    <row r="121" spans="4:6">
      <c r="D121" s="395"/>
      <c r="E121" s="561"/>
      <c r="F121" s="153"/>
    </row>
    <row r="122" spans="4:6">
      <c r="D122" s="395"/>
      <c r="E122" s="561"/>
      <c r="F122" s="153"/>
    </row>
    <row r="123" spans="4:6">
      <c r="D123" s="395"/>
      <c r="E123" s="561"/>
      <c r="F123" s="153"/>
    </row>
    <row r="124" spans="4:6">
      <c r="D124" s="395"/>
      <c r="E124" s="561"/>
      <c r="F124" s="153"/>
    </row>
    <row r="125" spans="4:6">
      <c r="D125" s="395"/>
      <c r="E125" s="561"/>
    </row>
  </sheetData>
  <protectedRanges>
    <protectedRange sqref="F20:G20 D75:E75 D10:E11" name="Presupuestos"/>
    <protectedRange sqref="D8:E8 D24:E24" name="Presupuestos_1"/>
    <protectedRange sqref="D33:E33" name="Presupuestos_13_1"/>
    <protectedRange sqref="M41:M48 D56:D60 D41:E48 E49 E55:E60 D50:E54 M50:M54 M56:M62 D61:E62" name="Presupuestos_2_1_1_1"/>
    <protectedRange sqref="E68 E70 E35 E64:E66" name="Presupuestos_6_1_1_1"/>
    <protectedRange sqref="D55 D49 M55 M49" name="Presupuestos_5_2_1"/>
    <protectedRange sqref="D39:E39" name="Presupuestos_7_1"/>
    <protectedRange sqref="D68 D70 D35 D64:D66" name="Presupuestos_5_3"/>
    <protectedRange sqref="D37:E37" name="Presupuestos_13_1_1"/>
  </protectedRanges>
  <autoFilter ref="A24:S70" xr:uid="{A2183132-2ADA-4FBF-9DD1-ACC1883ACD71}"/>
  <mergeCells count="8">
    <mergeCell ref="C90:D90"/>
    <mergeCell ref="C91:D91"/>
    <mergeCell ref="D7:E7"/>
    <mergeCell ref="B23:C23"/>
    <mergeCell ref="D23:E23"/>
    <mergeCell ref="C85:D85"/>
    <mergeCell ref="C88:D88"/>
    <mergeCell ref="C89:D89"/>
  </mergeCells>
  <dataValidations count="4">
    <dataValidation type="list" allowBlank="1" showInputMessage="1" showErrorMessage="1" sqref="O36" xr:uid="{B88E0FE1-9B20-4C29-9887-B1ADC2BD7BA1}">
      <formula1>"0,1"</formula1>
    </dataValidation>
    <dataValidation type="list" allowBlank="1" showInputMessage="1" showErrorMessage="1" sqref="G76:G77 G68 D94:D95 G25:G26 G41:G62 G39 G37 G70 G33 G35 G28:G31 G64:G66" xr:uid="{67411E58-B20B-46CF-856B-A52D4E116F68}">
      <formula1>"Cancelado,Pagar,Sin Pagar"</formula1>
    </dataValidation>
    <dataValidation type="list" allowBlank="1" showInputMessage="1" showErrorMessage="1" sqref="D23 D7" xr:uid="{594CFE1E-45CB-4E97-874D-905F0E702656}">
      <formula1>"ENERO,FEBRERO,MARZO,ABRIL,MAYO,JUNIO,JULIO,AGOSTO,SEPTIEMBRE,OCTUBRE,NOVIEMBRE,DICIEMBRE"</formula1>
    </dataValidation>
    <dataValidation type="list" allowBlank="1" showInputMessage="1" showErrorMessage="1" sqref="B13:B19" xr:uid="{432CF37E-6B28-4C7A-9361-B47D9C79782F}">
      <formula1>"Sin Pagar,Pagado"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8833-24BF-4581-828C-1581BF75EE19}">
  <dimension ref="A1:S124"/>
  <sheetViews>
    <sheetView showGridLines="0" topLeftCell="A77" zoomScaleNormal="100" workbookViewId="0">
      <selection activeCell="D70" sqref="D70"/>
    </sheetView>
  </sheetViews>
  <sheetFormatPr baseColWidth="10" defaultColWidth="9.109375" defaultRowHeight="14.4" outlineLevelRow="1"/>
  <cols>
    <col min="1" max="1" width="2.109375" style="576" customWidth="1"/>
    <col min="2" max="2" width="18.88671875" style="577" bestFit="1" customWidth="1"/>
    <col min="3" max="3" width="59.88671875" style="576" customWidth="1"/>
    <col min="4" max="4" width="24.44140625" style="578" customWidth="1"/>
    <col min="5" max="5" width="19.33203125" style="578" bestFit="1" customWidth="1"/>
    <col min="6" max="6" width="23.5546875" style="576" customWidth="1"/>
    <col min="7" max="7" width="18.88671875" style="576" customWidth="1"/>
    <col min="8" max="8" width="7.6640625" style="576" hidden="1" customWidth="1"/>
    <col min="9" max="9" width="12.109375" style="576" hidden="1" customWidth="1"/>
    <col min="10" max="10" width="25.33203125" style="576" customWidth="1"/>
    <col min="11" max="11" width="2.109375" style="576" customWidth="1"/>
    <col min="12" max="12" width="2.33203125" style="576" customWidth="1"/>
    <col min="13" max="13" width="17.109375" style="576" bestFit="1" customWidth="1"/>
    <col min="14" max="14" width="15.5546875" style="576" bestFit="1" customWidth="1"/>
    <col min="15" max="15" width="6.33203125" style="576" bestFit="1" customWidth="1"/>
    <col min="16" max="16" width="19.33203125" style="576" bestFit="1" customWidth="1"/>
    <col min="17" max="17" width="15.33203125" style="576" bestFit="1" customWidth="1"/>
    <col min="18" max="18" width="14" style="576" bestFit="1" customWidth="1"/>
    <col min="19" max="19" width="13" style="576" bestFit="1" customWidth="1"/>
    <col min="20" max="16384" width="9.109375" style="576"/>
  </cols>
  <sheetData>
    <row r="1" spans="2:9" hidden="1">
      <c r="D1" s="578">
        <v>42400</v>
      </c>
    </row>
    <row r="2" spans="2:9">
      <c r="D2" s="89"/>
      <c r="E2" s="89"/>
      <c r="I2" s="90"/>
    </row>
    <row r="3" spans="2:9">
      <c r="E3" s="220"/>
      <c r="I3" s="90"/>
    </row>
    <row r="4" spans="2:9" ht="15.6">
      <c r="B4" s="92"/>
      <c r="C4" s="92"/>
      <c r="D4" s="160" t="s">
        <v>216</v>
      </c>
      <c r="E4" s="161">
        <v>46113</v>
      </c>
      <c r="I4" s="90"/>
    </row>
    <row r="5" spans="2:9">
      <c r="D5" s="89"/>
      <c r="E5" s="89"/>
      <c r="I5" s="90"/>
    </row>
    <row r="6" spans="2:9">
      <c r="C6" s="93" t="s">
        <v>217</v>
      </c>
      <c r="D6" s="26">
        <v>460</v>
      </c>
      <c r="E6" s="89"/>
      <c r="I6" s="90"/>
    </row>
    <row r="7" spans="2:9" ht="15.6">
      <c r="C7" s="94"/>
      <c r="D7" s="590" t="s">
        <v>218</v>
      </c>
      <c r="E7" s="590"/>
      <c r="I7" s="90"/>
    </row>
    <row r="8" spans="2:9">
      <c r="D8" s="95" t="s">
        <v>242</v>
      </c>
      <c r="E8" s="95" t="s">
        <v>219</v>
      </c>
    </row>
    <row r="9" spans="2:9" s="96" customFormat="1" ht="15.6">
      <c r="C9" s="97" t="s">
        <v>220</v>
      </c>
      <c r="D9" s="167">
        <f>SUBTOTAL(9,D10:D11)</f>
        <v>49888830.26458545</v>
      </c>
      <c r="E9" s="98">
        <f>SUBTOTAL(9,E10:E11)</f>
        <v>108453.97883605532</v>
      </c>
      <c r="F9" s="99"/>
      <c r="I9" s="90"/>
    </row>
    <row r="10" spans="2:9" s="90" customFormat="1" outlineLevel="1">
      <c r="B10" s="100"/>
      <c r="C10" s="101" t="s">
        <v>243</v>
      </c>
      <c r="D10" s="169">
        <f>'BAC SAN JOSE COLONES  '!$G$629</f>
        <v>36606225.825670041</v>
      </c>
      <c r="E10" s="218">
        <f>$D$10/$D$6</f>
        <v>79578.751794934869</v>
      </c>
      <c r="F10" s="103"/>
    </row>
    <row r="11" spans="2:9" s="90" customFormat="1" outlineLevel="1">
      <c r="B11" s="100"/>
      <c r="C11" s="101" t="s">
        <v>221</v>
      </c>
      <c r="D11" s="169">
        <f>$E$11*$D$6</f>
        <v>13282604.438915411</v>
      </c>
      <c r="E11" s="218">
        <f>'BAC SAN JOSE USD'!$G$595</f>
        <v>28875.227041120459</v>
      </c>
      <c r="F11" s="103"/>
    </row>
    <row r="12" spans="2:9" s="90" customFormat="1" ht="15.6">
      <c r="B12" s="100"/>
      <c r="C12" s="104" t="s">
        <v>222</v>
      </c>
      <c r="D12" s="167">
        <f>SUBTOTAL(9,D13:D19)</f>
        <v>70194776.399999991</v>
      </c>
      <c r="E12" s="98">
        <f>SUBTOTAL(9,E13:E19)</f>
        <v>152597.34</v>
      </c>
      <c r="F12" s="105"/>
    </row>
    <row r="13" spans="2:9" s="178" customFormat="1" outlineLevel="1">
      <c r="B13" s="107" t="s">
        <v>231</v>
      </c>
      <c r="C13" s="440" t="s">
        <v>1595</v>
      </c>
      <c r="D13" s="169">
        <f t="shared" ref="D13:D18" si="0">E13*460</f>
        <v>40658107.399999999</v>
      </c>
      <c r="E13" s="580">
        <v>88387.19</v>
      </c>
      <c r="F13" s="272"/>
      <c r="G13" s="439"/>
    </row>
    <row r="14" spans="2:9" s="178" customFormat="1" ht="14.25" customHeight="1" outlineLevel="1">
      <c r="B14" s="107" t="s">
        <v>231</v>
      </c>
      <c r="C14" s="174" t="s">
        <v>1596</v>
      </c>
      <c r="D14" s="169">
        <f t="shared" si="0"/>
        <v>12559393.799999999</v>
      </c>
      <c r="E14" s="580">
        <v>27303.03</v>
      </c>
      <c r="F14" s="441"/>
      <c r="G14" s="464"/>
    </row>
    <row r="15" spans="2:9" s="178" customFormat="1" outlineLevel="1">
      <c r="B15" s="107" t="s">
        <v>231</v>
      </c>
      <c r="C15" s="440" t="s">
        <v>1595</v>
      </c>
      <c r="D15" s="169">
        <f t="shared" si="0"/>
        <v>393819.8</v>
      </c>
      <c r="E15" s="580">
        <v>856.13</v>
      </c>
      <c r="F15" s="272"/>
      <c r="G15" s="439"/>
    </row>
    <row r="16" spans="2:9" s="178" customFormat="1" outlineLevel="1">
      <c r="B16" s="107" t="s">
        <v>231</v>
      </c>
      <c r="C16" s="174" t="s">
        <v>1597</v>
      </c>
      <c r="D16" s="169">
        <f t="shared" si="0"/>
        <v>816021.6</v>
      </c>
      <c r="E16" s="580">
        <f>1773.96</f>
        <v>1773.96</v>
      </c>
      <c r="F16" s="271"/>
    </row>
    <row r="17" spans="1:19" s="178" customFormat="1" outlineLevel="1">
      <c r="B17" s="107" t="s">
        <v>231</v>
      </c>
      <c r="C17" s="174" t="s">
        <v>1598</v>
      </c>
      <c r="D17" s="169">
        <f t="shared" si="0"/>
        <v>3850499</v>
      </c>
      <c r="E17" s="580">
        <v>8370.65</v>
      </c>
      <c r="F17" s="474"/>
      <c r="G17" s="272"/>
    </row>
    <row r="18" spans="1:19" s="178" customFormat="1" outlineLevel="1">
      <c r="B18" s="107" t="s">
        <v>231</v>
      </c>
      <c r="C18" s="174" t="s">
        <v>1602</v>
      </c>
      <c r="D18" s="169">
        <f t="shared" si="0"/>
        <v>1376407.4000000001</v>
      </c>
      <c r="E18" s="580">
        <v>2992.19</v>
      </c>
      <c r="F18" s="439"/>
    </row>
    <row r="19" spans="1:19" s="178" customFormat="1" ht="14.25" customHeight="1" outlineLevel="1">
      <c r="B19" s="107" t="s">
        <v>231</v>
      </c>
      <c r="C19" s="174" t="s">
        <v>1603</v>
      </c>
      <c r="D19" s="271">
        <f>$E$19*$D$6</f>
        <v>10540527.399999999</v>
      </c>
      <c r="E19" s="580">
        <v>22914.19</v>
      </c>
      <c r="F19" s="441"/>
      <c r="G19" s="464"/>
    </row>
    <row r="20" spans="1:19" s="90" customFormat="1" ht="15.6">
      <c r="B20" s="100"/>
      <c r="C20" s="109" t="s">
        <v>223</v>
      </c>
      <c r="D20" s="168">
        <f>SUBTOTAL(9,D9:D19)</f>
        <v>120083606.66458544</v>
      </c>
      <c r="E20" s="207">
        <f>SUBTOTAL(9,E9:E19)</f>
        <v>261051.31883605532</v>
      </c>
      <c r="F20" s="110"/>
      <c r="G20" s="475"/>
      <c r="J20" s="108"/>
      <c r="K20" s="111"/>
      <c r="O20" s="112"/>
      <c r="P20" s="113"/>
      <c r="Q20" s="114"/>
    </row>
    <row r="21" spans="1:19" s="90" customFormat="1" ht="15.6">
      <c r="B21" s="100"/>
      <c r="C21" s="115"/>
      <c r="D21" s="116"/>
      <c r="E21" s="116"/>
      <c r="G21" s="117"/>
      <c r="O21" s="113"/>
      <c r="P21" s="113"/>
    </row>
    <row r="22" spans="1:19" s="90" customFormat="1" ht="15.6">
      <c r="B22" s="100"/>
      <c r="D22" s="349"/>
      <c r="N22" s="118"/>
      <c r="O22" s="119"/>
      <c r="P22" s="120"/>
    </row>
    <row r="23" spans="1:19" s="90" customFormat="1" ht="15.6">
      <c r="B23" s="590" t="s">
        <v>224</v>
      </c>
      <c r="C23" s="590"/>
      <c r="D23" s="590" t="s">
        <v>218</v>
      </c>
      <c r="E23" s="590"/>
      <c r="K23" s="120"/>
      <c r="L23" s="120"/>
      <c r="N23" s="118"/>
      <c r="R23" s="108"/>
      <c r="S23" s="108"/>
    </row>
    <row r="24" spans="1:19" s="90" customFormat="1" ht="16.2" thickBot="1">
      <c r="B24" s="121" t="s">
        <v>225</v>
      </c>
      <c r="C24" s="122" t="s">
        <v>226</v>
      </c>
      <c r="D24" s="95" t="s">
        <v>242</v>
      </c>
      <c r="E24" s="95" t="s">
        <v>219</v>
      </c>
      <c r="F24" s="123" t="s">
        <v>227</v>
      </c>
      <c r="G24" s="118" t="s">
        <v>228</v>
      </c>
      <c r="H24" s="118"/>
      <c r="I24" s="118"/>
      <c r="J24" s="124" t="s">
        <v>229</v>
      </c>
      <c r="N24" s="125"/>
      <c r="R24" s="108"/>
      <c r="S24" s="126"/>
    </row>
    <row r="25" spans="1:19" s="90" customFormat="1" ht="16.2" thickBot="1">
      <c r="B25" s="100"/>
      <c r="C25" s="127" t="s">
        <v>230</v>
      </c>
      <c r="D25" s="172">
        <f>SUBTOTAL(9,D26:D26)</f>
        <v>18582192</v>
      </c>
      <c r="E25" s="128">
        <f>SUBTOTAL(9,E26:E26)</f>
        <v>40396.069565217389</v>
      </c>
      <c r="F25" s="129"/>
      <c r="J25" s="130"/>
    </row>
    <row r="26" spans="1:19" s="90" customFormat="1" ht="15" outlineLevel="1" thickBot="1">
      <c r="A26" s="103"/>
      <c r="B26" s="451" t="s">
        <v>1539</v>
      </c>
      <c r="C26" s="174" t="s">
        <v>831</v>
      </c>
      <c r="D26" s="169">
        <v>18582192</v>
      </c>
      <c r="E26" s="137">
        <f>D26/$D$6</f>
        <v>40396.069565217389</v>
      </c>
      <c r="F26" s="134">
        <v>46128</v>
      </c>
      <c r="G26" s="90" t="s">
        <v>231</v>
      </c>
      <c r="H26" s="90">
        <f>IF(OR(G26="Sin pagar",G26="Pagar"),_xlfn.SINGLE(NETWORKDAYS($E$4,F26,'Festivos CR'!$A$3:$A$29)),0)</f>
        <v>12</v>
      </c>
      <c r="I26" s="90">
        <f>NETWORKDAYS($E$4,F26,'Festivos CR'!$A$3:$A$43)</f>
        <v>10</v>
      </c>
      <c r="J26" s="132">
        <f t="shared" ref="J26:J31" si="1">H26</f>
        <v>12</v>
      </c>
      <c r="K26" s="108"/>
      <c r="L26" s="108"/>
      <c r="M26" s="349"/>
      <c r="N26" s="349"/>
    </row>
    <row r="27" spans="1:19" s="90" customFormat="1" ht="16.2" thickBot="1">
      <c r="B27" s="100"/>
      <c r="C27" s="127" t="s">
        <v>232</v>
      </c>
      <c r="D27" s="172">
        <f>SUBTOTAL(9,D28:D29)</f>
        <v>5222668.92</v>
      </c>
      <c r="E27" s="128">
        <f>SUBTOTAL(9,E28:E29)</f>
        <v>11353.62808695652</v>
      </c>
      <c r="J27" s="130">
        <f t="shared" si="1"/>
        <v>0</v>
      </c>
    </row>
    <row r="28" spans="1:19" s="90" customFormat="1" outlineLevel="1">
      <c r="B28" s="581" t="s">
        <v>1470</v>
      </c>
      <c r="C28" s="101" t="s">
        <v>292</v>
      </c>
      <c r="D28" s="169">
        <f>2350096.52+(5526.89*$D$6)</f>
        <v>4892465.92</v>
      </c>
      <c r="E28" s="137">
        <f>D28/$D$6</f>
        <v>10635.795478260869</v>
      </c>
      <c r="F28" s="134">
        <v>46128</v>
      </c>
      <c r="G28" s="90" t="s">
        <v>231</v>
      </c>
      <c r="H28" s="90">
        <f>IF(OR(G28="Sin pagar",G28="Pagar"),_xlfn.SINGLE(NETWORKDAYS($E$4,F28,'Festivos CR'!$A$3:$A$29)),0)</f>
        <v>12</v>
      </c>
      <c r="I28" s="90">
        <f>NETWORKDAYS($E$4,F28,'Festivos CR'!$A$3:$A$43)</f>
        <v>10</v>
      </c>
      <c r="J28" s="132">
        <f t="shared" si="1"/>
        <v>12</v>
      </c>
      <c r="K28" s="135"/>
      <c r="L28" s="111"/>
      <c r="M28" s="349"/>
      <c r="N28" s="349"/>
    </row>
    <row r="29" spans="1:19" s="90" customFormat="1" ht="29.4" outlineLevel="1" thickBot="1">
      <c r="B29" s="581" t="s">
        <v>1530</v>
      </c>
      <c r="C29" s="101" t="s">
        <v>1513</v>
      </c>
      <c r="D29" s="582">
        <v>330203</v>
      </c>
      <c r="E29" s="137">
        <f>D29/$D$6</f>
        <v>717.8326086956522</v>
      </c>
      <c r="F29" s="134">
        <v>46128</v>
      </c>
      <c r="G29" s="90" t="s">
        <v>231</v>
      </c>
      <c r="H29" s="90">
        <f>IF(OR(G29="Sin pagar",G29="Pagar"),_xlfn.SINGLE(NETWORKDAYS($E$4,F29,'Festivos CR'!$A$3:$A$29)),0)</f>
        <v>12</v>
      </c>
      <c r="I29" s="90">
        <f>NETWORKDAYS($E$4,F29,'Festivos CR'!$A$3:$A$43)</f>
        <v>10</v>
      </c>
      <c r="J29" s="132">
        <f t="shared" si="1"/>
        <v>12</v>
      </c>
      <c r="K29" s="135"/>
      <c r="L29" s="111"/>
      <c r="M29" s="349"/>
    </row>
    <row r="30" spans="1:19" s="90" customFormat="1" ht="16.2" thickBot="1">
      <c r="B30" s="451"/>
      <c r="C30" s="127" t="s">
        <v>233</v>
      </c>
      <c r="D30" s="172">
        <f>SUBTOTAL(9,D31:D31)</f>
        <v>103960</v>
      </c>
      <c r="E30" s="128">
        <f>SUBTOTAL(9,E31:E31)</f>
        <v>226</v>
      </c>
      <c r="J30" s="130">
        <f t="shared" si="1"/>
        <v>0</v>
      </c>
      <c r="K30" s="108"/>
      <c r="L30" s="108"/>
      <c r="N30" s="349"/>
    </row>
    <row r="31" spans="1:19" s="90" customFormat="1" ht="15" outlineLevel="1" thickBot="1">
      <c r="B31" s="136">
        <v>47</v>
      </c>
      <c r="C31" s="101" t="s">
        <v>1542</v>
      </c>
      <c r="D31" s="169">
        <f>E31*$D$6</f>
        <v>103960</v>
      </c>
      <c r="E31" s="142">
        <v>226</v>
      </c>
      <c r="F31" s="134">
        <v>46129</v>
      </c>
      <c r="G31" s="90" t="s">
        <v>231</v>
      </c>
      <c r="H31" s="90">
        <f>IF(OR(G31="Sin pagar",G31="Pagar"),_xlfn.SINGLE(NETWORKDAYS($E$4,F31,'Festivos CR'!$A$3:$A$29)),0)</f>
        <v>13</v>
      </c>
      <c r="I31" s="90">
        <f>NETWORKDAYS($E$4,F31,'Festivos CR'!$A$3:$A$43)</f>
        <v>11</v>
      </c>
      <c r="J31" s="132">
        <f t="shared" si="1"/>
        <v>13</v>
      </c>
      <c r="M31" s="369" t="s">
        <v>1514</v>
      </c>
      <c r="N31" s="103"/>
    </row>
    <row r="32" spans="1:19" s="90" customFormat="1" ht="16.2" thickBot="1">
      <c r="B32" s="451"/>
      <c r="C32" s="127" t="s">
        <v>250</v>
      </c>
      <c r="D32" s="172">
        <f>SUBTOTAL(9,D33:D33)</f>
        <v>0</v>
      </c>
      <c r="E32" s="128">
        <f>SUBTOTAL(9,E33:E33)</f>
        <v>0</v>
      </c>
      <c r="K32" s="103"/>
      <c r="L32" s="103"/>
      <c r="O32" s="103"/>
      <c r="P32" s="103"/>
    </row>
    <row r="33" spans="1:19" s="90" customFormat="1" ht="15" outlineLevel="1" thickBot="1">
      <c r="A33" s="180"/>
      <c r="B33" s="451"/>
      <c r="C33" s="101" t="s">
        <v>925</v>
      </c>
      <c r="D33" s="170">
        <f>472*0</f>
        <v>0</v>
      </c>
      <c r="E33" s="142">
        <f>D33/$D$6</f>
        <v>0</v>
      </c>
      <c r="F33" s="129">
        <v>46143</v>
      </c>
      <c r="G33" s="90" t="s">
        <v>231</v>
      </c>
      <c r="H33" s="90">
        <f>IF(OR(G33="Sin pagar",G33="Pagar"),_xlfn.SINGLE(NETWORKDAYS($E$4,F33,'Festivos CR'!$A$3:$A$29)),0)</f>
        <v>23</v>
      </c>
      <c r="I33" s="90">
        <f>NETWORKDAYS($E$4,F33,'Festivos CR'!$A$3:$A$43)</f>
        <v>20</v>
      </c>
      <c r="J33" s="132">
        <f>H33</f>
        <v>23</v>
      </c>
      <c r="L33" s="108"/>
      <c r="M33" s="392"/>
    </row>
    <row r="34" spans="1:19" s="90" customFormat="1" ht="16.2" thickBot="1">
      <c r="B34" s="451"/>
      <c r="C34" s="139" t="s">
        <v>234</v>
      </c>
      <c r="D34" s="173">
        <f>SUBTOTAL(9,D35:D35)</f>
        <v>905625</v>
      </c>
      <c r="E34" s="140">
        <f>SUBTOTAL(9,E35:E35)</f>
        <v>1968.75</v>
      </c>
      <c r="K34" s="108"/>
    </row>
    <row r="35" spans="1:19" s="90" customFormat="1" ht="15" outlineLevel="1" thickBot="1">
      <c r="B35" s="176">
        <v>6814</v>
      </c>
      <c r="C35" s="174" t="s">
        <v>1225</v>
      </c>
      <c r="D35" s="169">
        <f>E35*$D$6</f>
        <v>905625</v>
      </c>
      <c r="E35" s="137">
        <v>1968.75</v>
      </c>
      <c r="F35" s="134">
        <v>46122</v>
      </c>
      <c r="G35" s="90" t="s">
        <v>231</v>
      </c>
      <c r="H35" s="90">
        <f>IF(OR(G35="Sin pagar",G35="Pagar"),_xlfn.SINGLE(NETWORKDAYS($E$4,F35,'Festivos CR'!$A$3:$A$29)),0)</f>
        <v>8</v>
      </c>
      <c r="I35" s="90">
        <f>NETWORKDAYS($E$4,F35,'Festivos CR'!$A$3:$A$43)</f>
        <v>6</v>
      </c>
      <c r="J35" s="132">
        <f>H35</f>
        <v>8</v>
      </c>
      <c r="M35" s="297"/>
      <c r="N35" s="298"/>
    </row>
    <row r="36" spans="1:19" s="90" customFormat="1" ht="15.75" customHeight="1" thickBot="1">
      <c r="B36" s="451"/>
      <c r="C36" s="127" t="s">
        <v>236</v>
      </c>
      <c r="D36" s="172">
        <f>SUBTOTAL(9,D37:D37)</f>
        <v>297668.2</v>
      </c>
      <c r="E36" s="128">
        <f>SUBTOTAL(9,E37:E37)</f>
        <v>647.1047826086957</v>
      </c>
      <c r="M36" s="299"/>
      <c r="N36" s="299"/>
      <c r="O36" s="118"/>
      <c r="P36" s="300"/>
    </row>
    <row r="37" spans="1:19" s="90" customFormat="1" ht="15" outlineLevel="1" thickBot="1">
      <c r="B37" s="451"/>
      <c r="C37" s="174" t="s">
        <v>236</v>
      </c>
      <c r="D37" s="271">
        <f>E37*$D$6</f>
        <v>297668.2</v>
      </c>
      <c r="E37" s="142">
        <f>422.35+('BAC SAN JOSE USD'!F567+'BAC SAN JOSE USD'!F569+'BAC SAN JOSE USD'!F571+'BAC SAN JOSE USD'!F573+'BAC SAN JOSE USD'!F575+'BAC SAN JOSE USD'!F577+'BAC SAN JOSE USD'!F588+'BAC SAN JOSE USD'!F591+'BAC SAN JOSE USD'!F593)+(('BAC SAN JOSE COLONES  '!F609+'BAC SAN JOSE COLONES  '!F611+'BAC SAN JOSE COLONES  '!F613+'BAC SAN JOSE COLONES  '!F615+'BAC SAN JOSE COLONES  '!F620+'BAC SAN JOSE COLONES  '!F625)/$D$6)</f>
        <v>647.1047826086957</v>
      </c>
      <c r="F37" s="134">
        <v>46142</v>
      </c>
      <c r="G37" s="90" t="s">
        <v>231</v>
      </c>
      <c r="H37" s="90">
        <f>IF(OR(G37="Sin pagar",G37="Pagar"),_xlfn.SINGLE(NETWORKDAYS($E$4,F37,'Festivos CR'!$A$3:$A$29)),0)</f>
        <v>22</v>
      </c>
      <c r="I37" s="90">
        <f>NETWORKDAYS($E$4,F37,'Festivos CR'!$A$3:$A$43)</f>
        <v>20</v>
      </c>
      <c r="J37" s="132">
        <f>H37</f>
        <v>22</v>
      </c>
    </row>
    <row r="38" spans="1:19" s="90" customFormat="1" ht="16.2" thickBot="1">
      <c r="B38" s="451"/>
      <c r="C38" s="127" t="s">
        <v>237</v>
      </c>
      <c r="D38" s="172">
        <f>SUBTOTAL(9,D39:D61)</f>
        <v>41316651.74000001</v>
      </c>
      <c r="E38" s="128">
        <f>SUBTOTAL(9,E39:E61)</f>
        <v>89818.808130434787</v>
      </c>
      <c r="K38" s="108"/>
      <c r="L38" s="143"/>
      <c r="N38" s="556">
        <f>E38/25000</f>
        <v>3.5927523252173916</v>
      </c>
    </row>
    <row r="39" spans="1:19" s="180" customFormat="1" outlineLevel="1">
      <c r="B39" s="265" t="s">
        <v>270</v>
      </c>
      <c r="C39" s="174" t="s">
        <v>1037</v>
      </c>
      <c r="D39" s="347">
        <f t="shared" ref="D39:D46" si="2">E39*$D$6</f>
        <v>3423536.2</v>
      </c>
      <c r="E39" s="487">
        <v>7442.47</v>
      </c>
      <c r="F39" s="177">
        <v>46140</v>
      </c>
      <c r="G39" s="178" t="s">
        <v>231</v>
      </c>
      <c r="H39" s="90">
        <f>IF(OR(G39="Sin pagar",G39="Pagar"),_xlfn.SINGLE(NETWORKDAYS($E$4,F39,'Festivos CR'!$A$3:$A$29)),0)</f>
        <v>20</v>
      </c>
      <c r="I39" s="90">
        <f>NETWORKDAYS($E$4,F39,'Festivos CR'!$A$3:$A$43)</f>
        <v>18</v>
      </c>
      <c r="J39" s="132">
        <f>H39</f>
        <v>20</v>
      </c>
      <c r="M39" s="137"/>
      <c r="N39" s="493"/>
      <c r="O39" s="346"/>
      <c r="P39" s="493"/>
      <c r="Q39" s="178"/>
      <c r="R39" s="178"/>
      <c r="S39" s="178"/>
    </row>
    <row r="40" spans="1:19" s="180" customFormat="1" outlineLevel="1">
      <c r="B40" s="265" t="s">
        <v>270</v>
      </c>
      <c r="C40" s="174" t="s">
        <v>257</v>
      </c>
      <c r="D40" s="347">
        <f t="shared" si="2"/>
        <v>3084672.6</v>
      </c>
      <c r="E40" s="487">
        <v>6705.81</v>
      </c>
      <c r="F40" s="177">
        <v>46140</v>
      </c>
      <c r="G40" s="178" t="s">
        <v>231</v>
      </c>
      <c r="H40" s="90">
        <f>IF(OR(G40="Sin pagar",G40="Pagar"),_xlfn.SINGLE(NETWORKDAYS($E$4,F40,'Festivos CR'!$A$3:$A$29)),0)</f>
        <v>20</v>
      </c>
      <c r="I40" s="90">
        <f>NETWORKDAYS($E$4,F40,'Festivos CR'!$A$3:$A$43)</f>
        <v>18</v>
      </c>
      <c r="J40" s="132">
        <f t="shared" ref="J40:J60" si="3">H40</f>
        <v>20</v>
      </c>
      <c r="M40" s="137"/>
      <c r="N40" s="493"/>
      <c r="O40" s="346"/>
      <c r="P40" s="493"/>
      <c r="Q40" s="178"/>
      <c r="R40" s="178"/>
      <c r="S40" s="178"/>
    </row>
    <row r="41" spans="1:19" s="180" customFormat="1" outlineLevel="1">
      <c r="B41" s="265" t="s">
        <v>270</v>
      </c>
      <c r="C41" s="174" t="s">
        <v>1423</v>
      </c>
      <c r="D41" s="347">
        <f t="shared" si="2"/>
        <v>2345530.7999999998</v>
      </c>
      <c r="E41" s="487">
        <v>5098.9799999999996</v>
      </c>
      <c r="F41" s="177">
        <v>46140</v>
      </c>
      <c r="G41" s="178" t="s">
        <v>231</v>
      </c>
      <c r="H41" s="90">
        <f>IF(OR(G41="Sin pagar",G41="Pagar"),_xlfn.SINGLE(NETWORKDAYS($E$4,F41,'Festivos CR'!$A$3:$A$29)),0)</f>
        <v>20</v>
      </c>
      <c r="I41" s="90">
        <f>NETWORKDAYS($E$4,F41,'Festivos CR'!$A$3:$A$43)</f>
        <v>18</v>
      </c>
      <c r="J41" s="132">
        <f t="shared" si="3"/>
        <v>20</v>
      </c>
      <c r="M41" s="137"/>
      <c r="N41" s="493"/>
      <c r="O41" s="346"/>
      <c r="P41" s="493"/>
      <c r="Q41" s="178"/>
      <c r="R41" s="178"/>
      <c r="S41" s="178"/>
    </row>
    <row r="42" spans="1:19" s="180" customFormat="1" outlineLevel="1">
      <c r="B42" s="265" t="s">
        <v>270</v>
      </c>
      <c r="C42" s="174" t="s">
        <v>1424</v>
      </c>
      <c r="D42" s="347">
        <f t="shared" si="2"/>
        <v>492218.39999999997</v>
      </c>
      <c r="E42" s="487">
        <v>1070.04</v>
      </c>
      <c r="F42" s="177">
        <v>46140</v>
      </c>
      <c r="G42" s="178" t="s">
        <v>231</v>
      </c>
      <c r="H42" s="90">
        <f>IF(OR(G42="Sin pagar",G42="Pagar"),_xlfn.SINGLE(NETWORKDAYS($E$4,F42,'Festivos CR'!$A$3:$A$29)),0)</f>
        <v>20</v>
      </c>
      <c r="I42" s="90">
        <f>NETWORKDAYS($E$4,F42,'Festivos CR'!$A$3:$A$43)</f>
        <v>18</v>
      </c>
      <c r="J42" s="132">
        <f t="shared" si="3"/>
        <v>20</v>
      </c>
      <c r="M42" s="137"/>
      <c r="N42" s="493"/>
      <c r="O42" s="346"/>
      <c r="P42" s="493"/>
      <c r="Q42" s="178"/>
      <c r="R42" s="178"/>
      <c r="S42" s="178"/>
    </row>
    <row r="43" spans="1:19" s="180" customFormat="1" outlineLevel="1">
      <c r="B43" s="265" t="s">
        <v>270</v>
      </c>
      <c r="C43" s="174" t="s">
        <v>1036</v>
      </c>
      <c r="D43" s="347">
        <f t="shared" si="2"/>
        <v>2195989.4000000004</v>
      </c>
      <c r="E43" s="487">
        <v>4773.8900000000003</v>
      </c>
      <c r="F43" s="177">
        <v>46140</v>
      </c>
      <c r="G43" s="178" t="s">
        <v>231</v>
      </c>
      <c r="H43" s="90">
        <f>IF(OR(G43="Sin pagar",G43="Pagar"),_xlfn.SINGLE(NETWORKDAYS($E$4,F43,'Festivos CR'!$A$3:$A$29)),0)</f>
        <v>20</v>
      </c>
      <c r="I43" s="90">
        <f>NETWORKDAYS($E$4,F43,'Festivos CR'!$A$3:$A$43)</f>
        <v>18</v>
      </c>
      <c r="J43" s="132">
        <f t="shared" si="3"/>
        <v>20</v>
      </c>
      <c r="M43" s="506"/>
      <c r="N43" s="493"/>
      <c r="O43" s="346"/>
      <c r="P43" s="493"/>
      <c r="Q43" s="178"/>
      <c r="R43" s="178"/>
      <c r="S43" s="178"/>
    </row>
    <row r="44" spans="1:19" s="180" customFormat="1" outlineLevel="1">
      <c r="B44" s="265" t="s">
        <v>270</v>
      </c>
      <c r="C44" s="174" t="s">
        <v>258</v>
      </c>
      <c r="D44" s="347">
        <f t="shared" si="2"/>
        <v>1593518.2</v>
      </c>
      <c r="E44" s="487">
        <v>3464.17</v>
      </c>
      <c r="F44" s="177">
        <v>46140</v>
      </c>
      <c r="G44" s="178" t="s">
        <v>231</v>
      </c>
      <c r="H44" s="90">
        <f>IF(OR(G44="Sin pagar",G44="Pagar"),_xlfn.SINGLE(NETWORKDAYS($E$4,F44,'Festivos CR'!$A$3:$A$29)),0)</f>
        <v>20</v>
      </c>
      <c r="I44" s="90">
        <f>NETWORKDAYS($E$4,F44,'Festivos CR'!$A$3:$A$43)</f>
        <v>18</v>
      </c>
      <c r="J44" s="132">
        <f t="shared" si="3"/>
        <v>20</v>
      </c>
      <c r="M44" s="137"/>
      <c r="N44" s="493"/>
      <c r="O44" s="346"/>
      <c r="P44" s="493"/>
      <c r="Q44" s="178"/>
      <c r="R44" s="178"/>
      <c r="S44" s="178"/>
    </row>
    <row r="45" spans="1:19" s="180" customFormat="1" outlineLevel="1">
      <c r="B45" s="265" t="s">
        <v>270</v>
      </c>
      <c r="C45" s="174" t="s">
        <v>1038</v>
      </c>
      <c r="D45" s="347">
        <f t="shared" si="2"/>
        <v>849302.6</v>
      </c>
      <c r="E45" s="487">
        <v>1846.31</v>
      </c>
      <c r="F45" s="177">
        <v>46140</v>
      </c>
      <c r="G45" s="178" t="s">
        <v>231</v>
      </c>
      <c r="H45" s="90">
        <f>IF(OR(G45="Sin pagar",G45="Pagar"),_xlfn.SINGLE(NETWORKDAYS($E$4,F45,'Festivos CR'!$A$3:$A$29)),0)</f>
        <v>20</v>
      </c>
      <c r="I45" s="90">
        <f>NETWORKDAYS($E$4,F45,'Festivos CR'!$A$3:$A$43)</f>
        <v>18</v>
      </c>
      <c r="J45" s="132">
        <f t="shared" si="3"/>
        <v>20</v>
      </c>
      <c r="M45" s="137"/>
      <c r="N45" s="493"/>
      <c r="O45" s="346"/>
      <c r="P45" s="493"/>
      <c r="Q45" s="178"/>
      <c r="R45" s="178"/>
      <c r="S45" s="178"/>
    </row>
    <row r="46" spans="1:19" s="180" customFormat="1" outlineLevel="1">
      <c r="B46" s="265" t="s">
        <v>270</v>
      </c>
      <c r="C46" s="174" t="s">
        <v>1153</v>
      </c>
      <c r="D46" s="347">
        <f t="shared" si="2"/>
        <v>3512302.4</v>
      </c>
      <c r="E46" s="487">
        <v>7635.44</v>
      </c>
      <c r="F46" s="177">
        <v>46140</v>
      </c>
      <c r="G46" s="178" t="s">
        <v>231</v>
      </c>
      <c r="H46" s="90">
        <f>IF(OR(G46="Sin pagar",G46="Pagar"),_xlfn.SINGLE(NETWORKDAYS($E$4,F46,'Festivos CR'!$A$3:$A$29)),0)</f>
        <v>20</v>
      </c>
      <c r="I46" s="90">
        <f>NETWORKDAYS($E$4,F46,'Festivos CR'!$A$3:$A$43)</f>
        <v>18</v>
      </c>
      <c r="J46" s="132">
        <f t="shared" si="3"/>
        <v>20</v>
      </c>
      <c r="M46" s="137"/>
      <c r="N46" s="493"/>
      <c r="O46" s="346"/>
      <c r="P46" s="493"/>
      <c r="Q46" s="178"/>
      <c r="R46" s="178"/>
      <c r="S46" s="178"/>
    </row>
    <row r="47" spans="1:19" s="180" customFormat="1" outlineLevel="1">
      <c r="B47" s="145" t="s">
        <v>391</v>
      </c>
      <c r="C47" s="174" t="s">
        <v>253</v>
      </c>
      <c r="D47" s="488">
        <v>1405947.8</v>
      </c>
      <c r="E47" s="137">
        <f>D47/$D$6</f>
        <v>3056.4082608695653</v>
      </c>
      <c r="F47" s="177">
        <v>46140</v>
      </c>
      <c r="G47" s="178" t="s">
        <v>231</v>
      </c>
      <c r="H47" s="90">
        <f>IF(OR(G47="Sin pagar",G47="Pagar"),_xlfn.SINGLE(NETWORKDAYS($E$4,F47,'Festivos CR'!$A$3:$A$29)),0)</f>
        <v>20</v>
      </c>
      <c r="I47" s="90">
        <f>NETWORKDAYS($E$4,F47,'Festivos CR'!$A$3:$A$43)</f>
        <v>18</v>
      </c>
      <c r="J47" s="132">
        <f t="shared" si="3"/>
        <v>20</v>
      </c>
      <c r="M47" s="347"/>
      <c r="N47" s="178"/>
      <c r="O47" s="346"/>
      <c r="P47" s="494"/>
      <c r="Q47" s="493"/>
      <c r="R47" s="178"/>
      <c r="S47" s="178"/>
    </row>
    <row r="48" spans="1:19" s="180" customFormat="1" outlineLevel="1">
      <c r="B48" s="145" t="s">
        <v>391</v>
      </c>
      <c r="C48" s="174" t="s">
        <v>1485</v>
      </c>
      <c r="D48" s="488">
        <v>875095.31</v>
      </c>
      <c r="E48" s="137">
        <f>D48/$D$6</f>
        <v>1902.3811086956523</v>
      </c>
      <c r="F48" s="177">
        <v>46140</v>
      </c>
      <c r="G48" s="178" t="s">
        <v>231</v>
      </c>
      <c r="H48" s="90">
        <f>IF(OR(G48="Sin pagar",G48="Pagar"),_xlfn.SINGLE(NETWORKDAYS($E$4,F48,'Festivos CR'!$A$3:$A$29)),0)</f>
        <v>20</v>
      </c>
      <c r="I48" s="90">
        <f>NETWORKDAYS($E$4,F48,'Festivos CR'!$A$3:$A$43)</f>
        <v>18</v>
      </c>
      <c r="J48" s="132">
        <f t="shared" si="3"/>
        <v>20</v>
      </c>
      <c r="M48" s="347"/>
      <c r="N48" s="178"/>
      <c r="O48" s="346"/>
      <c r="P48" s="494"/>
      <c r="Q48" s="493"/>
      <c r="R48" s="178"/>
      <c r="S48" s="178"/>
    </row>
    <row r="49" spans="1:19" s="180" customFormat="1" outlineLevel="1">
      <c r="B49" s="145" t="s">
        <v>391</v>
      </c>
      <c r="C49" s="174" t="s">
        <v>1152</v>
      </c>
      <c r="D49" s="488">
        <v>2034799.48</v>
      </c>
      <c r="E49" s="137">
        <f t="shared" ref="E49:E60" si="4">D49/$D$6</f>
        <v>4423.4771304347823</v>
      </c>
      <c r="F49" s="177">
        <v>46140</v>
      </c>
      <c r="G49" s="178" t="s">
        <v>231</v>
      </c>
      <c r="H49" s="90">
        <f>IF(OR(G49="Sin pagar",G49="Pagar"),_xlfn.SINGLE(NETWORKDAYS($E$4,F49,'Festivos CR'!$A$3:$A$29)),0)</f>
        <v>20</v>
      </c>
      <c r="I49" s="90">
        <f>NETWORKDAYS($E$4,F49,'Festivos CR'!$A$3:$A$43)</f>
        <v>18</v>
      </c>
      <c r="J49" s="132">
        <f t="shared" si="3"/>
        <v>20</v>
      </c>
      <c r="M49" s="347"/>
      <c r="N49" s="178"/>
      <c r="O49" s="346"/>
      <c r="P49" s="494"/>
      <c r="Q49" s="493"/>
      <c r="R49" s="178"/>
      <c r="S49" s="178"/>
    </row>
    <row r="50" spans="1:19" s="180" customFormat="1" outlineLevel="1">
      <c r="B50" s="145" t="s">
        <v>391</v>
      </c>
      <c r="C50" s="174" t="s">
        <v>1428</v>
      </c>
      <c r="D50" s="488">
        <v>1134627.24</v>
      </c>
      <c r="E50" s="137">
        <f t="shared" si="4"/>
        <v>2466.5809565217392</v>
      </c>
      <c r="F50" s="177">
        <v>46140</v>
      </c>
      <c r="G50" s="178" t="s">
        <v>231</v>
      </c>
      <c r="H50" s="90">
        <f>IF(OR(G50="Sin pagar",G50="Pagar"),_xlfn.SINGLE(NETWORKDAYS($E$4,F50,'Festivos CR'!$A$3:$A$29)),0)</f>
        <v>20</v>
      </c>
      <c r="I50" s="90">
        <f>NETWORKDAYS($E$4,F50,'Festivos CR'!$A$3:$A$43)</f>
        <v>18</v>
      </c>
      <c r="J50" s="132">
        <f t="shared" si="3"/>
        <v>20</v>
      </c>
      <c r="M50" s="347"/>
      <c r="N50" s="178"/>
      <c r="O50" s="346"/>
      <c r="P50" s="494"/>
      <c r="Q50" s="493"/>
      <c r="R50" s="178"/>
      <c r="S50" s="178"/>
    </row>
    <row r="51" spans="1:19" s="180" customFormat="1" ht="18.75" customHeight="1" outlineLevel="1">
      <c r="B51" s="145" t="s">
        <v>391</v>
      </c>
      <c r="C51" s="174" t="s">
        <v>1509</v>
      </c>
      <c r="D51" s="488">
        <v>1081425</v>
      </c>
      <c r="E51" s="137">
        <f>D51/$D$6</f>
        <v>2350.9239130434785</v>
      </c>
      <c r="F51" s="177">
        <v>46140</v>
      </c>
      <c r="G51" s="178" t="s">
        <v>231</v>
      </c>
      <c r="H51" s="90">
        <f>IF(OR(G51="Sin pagar",G51="Pagar"),_xlfn.SINGLE(NETWORKDAYS($E$4,F51,'Festivos CR'!$A$3:$A$29)),0)</f>
        <v>20</v>
      </c>
      <c r="I51" s="90">
        <f>NETWORKDAYS($E$4,F51,'Festivos CR'!$A$3:$A$43)</f>
        <v>18</v>
      </c>
      <c r="J51" s="132">
        <f t="shared" si="3"/>
        <v>20</v>
      </c>
      <c r="M51" s="347"/>
      <c r="N51" s="178"/>
      <c r="O51" s="346"/>
      <c r="P51" s="494"/>
      <c r="Q51" s="493"/>
      <c r="R51" s="178"/>
      <c r="S51" s="178"/>
    </row>
    <row r="52" spans="1:19" s="180" customFormat="1" outlineLevel="1">
      <c r="B52" s="145" t="s">
        <v>391</v>
      </c>
      <c r="C52" s="174" t="s">
        <v>1483</v>
      </c>
      <c r="D52" s="488">
        <v>783269.28</v>
      </c>
      <c r="E52" s="137">
        <f>D52/$D$6</f>
        <v>1702.7593043478262</v>
      </c>
      <c r="F52" s="177">
        <v>46140</v>
      </c>
      <c r="G52" s="178" t="s">
        <v>231</v>
      </c>
      <c r="H52" s="90">
        <f>IF(OR(G52="Sin pagar",G52="Pagar"),_xlfn.SINGLE(NETWORKDAYS($E$4,F52,'Festivos CR'!$A$3:$A$29)),0)</f>
        <v>20</v>
      </c>
      <c r="I52" s="90">
        <f>NETWORKDAYS($E$4,F52,'Festivos CR'!$A$3:$A$43)</f>
        <v>18</v>
      </c>
      <c r="J52" s="132">
        <f t="shared" si="3"/>
        <v>20</v>
      </c>
      <c r="M52" s="347"/>
      <c r="N52" s="178"/>
      <c r="O52" s="346"/>
      <c r="P52" s="494"/>
      <c r="Q52" s="493"/>
      <c r="R52" s="178"/>
      <c r="S52" s="178"/>
    </row>
    <row r="53" spans="1:19" s="180" customFormat="1" outlineLevel="1">
      <c r="B53" s="145" t="s">
        <v>391</v>
      </c>
      <c r="C53" s="174" t="s">
        <v>255</v>
      </c>
      <c r="D53" s="488">
        <v>1405947.8</v>
      </c>
      <c r="E53" s="137">
        <f t="shared" si="4"/>
        <v>3056.4082608695653</v>
      </c>
      <c r="F53" s="177">
        <v>46140</v>
      </c>
      <c r="G53" s="178" t="s">
        <v>231</v>
      </c>
      <c r="H53" s="90">
        <f>IF(OR(G53="Sin pagar",G53="Pagar"),_xlfn.SINGLE(NETWORKDAYS($E$4,F53,'Festivos CR'!$A$3:$A$29)),0)</f>
        <v>20</v>
      </c>
      <c r="I53" s="90">
        <f>NETWORKDAYS($E$4,F53,'Festivos CR'!$A$3:$A$43)</f>
        <v>18</v>
      </c>
      <c r="J53" s="132">
        <f t="shared" si="3"/>
        <v>20</v>
      </c>
      <c r="M53" s="347"/>
      <c r="N53" s="178"/>
      <c r="O53" s="346"/>
      <c r="P53" s="494"/>
      <c r="Q53" s="493"/>
      <c r="R53" s="178"/>
      <c r="S53" s="178"/>
    </row>
    <row r="54" spans="1:19" s="180" customFormat="1" outlineLevel="1">
      <c r="B54" s="145" t="s">
        <v>391</v>
      </c>
      <c r="C54" s="174" t="s">
        <v>330</v>
      </c>
      <c r="D54" s="488">
        <v>785142.74</v>
      </c>
      <c r="E54" s="137">
        <f t="shared" si="4"/>
        <v>1706.8320434782609</v>
      </c>
      <c r="F54" s="177">
        <v>46140</v>
      </c>
      <c r="G54" s="178" t="s">
        <v>231</v>
      </c>
      <c r="H54" s="90">
        <f>IF(OR(G54="Sin pagar",G54="Pagar"),_xlfn.SINGLE(NETWORKDAYS($E$4,F54,'Festivos CR'!$A$3:$A$29)),0)</f>
        <v>20</v>
      </c>
      <c r="I54" s="90">
        <f>NETWORKDAYS($E$4,F54,'Festivos CR'!$A$3:$A$43)</f>
        <v>18</v>
      </c>
      <c r="J54" s="132">
        <f t="shared" si="3"/>
        <v>20</v>
      </c>
      <c r="M54" s="506"/>
      <c r="N54" s="178"/>
      <c r="O54" s="346"/>
      <c r="P54" s="494"/>
      <c r="Q54" s="493"/>
      <c r="R54" s="178"/>
      <c r="S54" s="178"/>
    </row>
    <row r="55" spans="1:19" s="180" customFormat="1" outlineLevel="1">
      <c r="B55" s="145" t="s">
        <v>391</v>
      </c>
      <c r="C55" s="174" t="s">
        <v>759</v>
      </c>
      <c r="D55" s="488">
        <v>5338092.3899999997</v>
      </c>
      <c r="E55" s="137">
        <f t="shared" si="4"/>
        <v>11604.548673913043</v>
      </c>
      <c r="F55" s="177">
        <v>46140</v>
      </c>
      <c r="G55" s="178" t="s">
        <v>231</v>
      </c>
      <c r="H55" s="90">
        <f>IF(OR(G55="Sin pagar",G55="Pagar"),_xlfn.SINGLE(NETWORKDAYS($E$4,F55,'Festivos CR'!$A$3:$A$29)),0)</f>
        <v>20</v>
      </c>
      <c r="I55" s="90">
        <f>NETWORKDAYS($E$4,F55,'Festivos CR'!$A$3:$A$43)</f>
        <v>18</v>
      </c>
      <c r="J55" s="132">
        <f t="shared" si="3"/>
        <v>20</v>
      </c>
      <c r="M55" s="347"/>
      <c r="N55" s="178"/>
      <c r="O55" s="346"/>
      <c r="P55" s="494"/>
      <c r="Q55" s="493"/>
      <c r="R55" s="178"/>
      <c r="S55" s="178"/>
    </row>
    <row r="56" spans="1:19" s="180" customFormat="1" outlineLevel="1">
      <c r="B56" s="145" t="s">
        <v>391</v>
      </c>
      <c r="C56" s="174" t="s">
        <v>1429</v>
      </c>
      <c r="D56" s="488">
        <v>1382510.08</v>
      </c>
      <c r="E56" s="137">
        <f t="shared" si="4"/>
        <v>3005.4566956521739</v>
      </c>
      <c r="F56" s="177">
        <v>46140</v>
      </c>
      <c r="G56" s="178" t="s">
        <v>231</v>
      </c>
      <c r="H56" s="90">
        <f>IF(OR(G56="Sin pagar",G56="Pagar"),_xlfn.SINGLE(NETWORKDAYS($E$4,F56,'Festivos CR'!$A$3:$A$29)),0)</f>
        <v>20</v>
      </c>
      <c r="I56" s="90">
        <f>NETWORKDAYS($E$4,F56,'Festivos CR'!$A$3:$A$43)</f>
        <v>18</v>
      </c>
      <c r="J56" s="132">
        <f t="shared" si="3"/>
        <v>20</v>
      </c>
      <c r="M56" s="347"/>
      <c r="N56" s="178"/>
      <c r="O56" s="346"/>
      <c r="P56" s="494"/>
      <c r="Q56" s="493"/>
      <c r="R56" s="178"/>
      <c r="S56" s="178"/>
    </row>
    <row r="57" spans="1:19" s="180" customFormat="1" outlineLevel="1">
      <c r="B57" s="145" t="s">
        <v>391</v>
      </c>
      <c r="C57" s="174" t="s">
        <v>1123</v>
      </c>
      <c r="D57" s="488">
        <v>883500</v>
      </c>
      <c r="E57" s="137">
        <f t="shared" si="4"/>
        <v>1920.6521739130435</v>
      </c>
      <c r="F57" s="177">
        <v>46140</v>
      </c>
      <c r="G57" s="178" t="s">
        <v>231</v>
      </c>
      <c r="H57" s="90">
        <f>IF(OR(G57="Sin pagar",G57="Pagar"),_xlfn.SINGLE(NETWORKDAYS($E$4,F57,'Festivos CR'!$A$3:$A$29)),0)</f>
        <v>20</v>
      </c>
      <c r="I57" s="90">
        <f>NETWORKDAYS($E$4,F57,'Festivos CR'!$A$3:$A$43)</f>
        <v>18</v>
      </c>
      <c r="J57" s="132">
        <f t="shared" si="3"/>
        <v>20</v>
      </c>
      <c r="M57" s="507"/>
      <c r="N57" s="178"/>
      <c r="O57" s="346"/>
      <c r="P57" s="494"/>
      <c r="Q57" s="493"/>
      <c r="R57" s="178"/>
      <c r="S57" s="495"/>
    </row>
    <row r="58" spans="1:19" s="180" customFormat="1" outlineLevel="1">
      <c r="B58" s="145" t="s">
        <v>391</v>
      </c>
      <c r="C58" s="174" t="s">
        <v>1430</v>
      </c>
      <c r="D58" s="488">
        <v>2251877.06</v>
      </c>
      <c r="E58" s="137">
        <f t="shared" si="4"/>
        <v>4895.3849130434783</v>
      </c>
      <c r="F58" s="177">
        <v>46140</v>
      </c>
      <c r="G58" s="178" t="s">
        <v>231</v>
      </c>
      <c r="H58" s="90">
        <f>IF(OR(G58="Sin pagar",G58="Pagar"),_xlfn.SINGLE(NETWORKDAYS($E$4,F58,'Festivos CR'!$A$3:$A$29)),0)</f>
        <v>20</v>
      </c>
      <c r="I58" s="90">
        <f>NETWORKDAYS($E$4,F58,'Festivos CR'!$A$3:$A$43)</f>
        <v>18</v>
      </c>
      <c r="J58" s="132">
        <f t="shared" si="3"/>
        <v>20</v>
      </c>
      <c r="M58" s="347"/>
      <c r="N58" s="178"/>
      <c r="O58" s="346"/>
      <c r="P58" s="494"/>
      <c r="Q58" s="493"/>
      <c r="R58" s="178"/>
      <c r="S58" s="178"/>
    </row>
    <row r="59" spans="1:19" s="180" customFormat="1" outlineLevel="1">
      <c r="B59" s="145" t="s">
        <v>391</v>
      </c>
      <c r="C59" s="174" t="s">
        <v>1484</v>
      </c>
      <c r="D59" s="488">
        <v>1054190.52</v>
      </c>
      <c r="E59" s="137">
        <f>D59/$D$6</f>
        <v>2291.7185217391307</v>
      </c>
      <c r="F59" s="177">
        <v>46140</v>
      </c>
      <c r="G59" s="178" t="s">
        <v>231</v>
      </c>
      <c r="H59" s="90">
        <f>IF(OR(G59="Sin pagar",G59="Pagar"),_xlfn.SINGLE(NETWORKDAYS($E$4,F59,'Festivos CR'!$A$3:$A$29)),0)</f>
        <v>20</v>
      </c>
      <c r="I59" s="90">
        <f>NETWORKDAYS($E$4,F59,'Festivos CR'!$A$3:$A$43)</f>
        <v>18</v>
      </c>
      <c r="J59" s="132">
        <f t="shared" si="3"/>
        <v>20</v>
      </c>
      <c r="M59" s="347"/>
      <c r="N59" s="178"/>
      <c r="O59" s="346"/>
      <c r="P59" s="494"/>
      <c r="Q59" s="493"/>
      <c r="R59" s="178"/>
      <c r="S59" s="178"/>
    </row>
    <row r="60" spans="1:19" s="180" customFormat="1" outlineLevel="1">
      <c r="B60" s="145" t="s">
        <v>391</v>
      </c>
      <c r="C60" s="174" t="s">
        <v>1431</v>
      </c>
      <c r="D60" s="488">
        <v>1279413.78</v>
      </c>
      <c r="E60" s="137">
        <f t="shared" si="4"/>
        <v>2781.3343043478262</v>
      </c>
      <c r="F60" s="177">
        <v>46140</v>
      </c>
      <c r="G60" s="178" t="s">
        <v>231</v>
      </c>
      <c r="H60" s="90">
        <f>IF(OR(G60="Sin pagar",G60="Pagar"),_xlfn.SINGLE(NETWORKDAYS($E$4,F60,'Festivos CR'!$A$3:$A$29)),0)</f>
        <v>20</v>
      </c>
      <c r="I60" s="90">
        <f>NETWORKDAYS($E$4,F60,'Festivos CR'!$A$3:$A$43)</f>
        <v>18</v>
      </c>
      <c r="J60" s="132">
        <f t="shared" si="3"/>
        <v>20</v>
      </c>
      <c r="M60" s="347"/>
      <c r="N60" s="178"/>
      <c r="O60" s="346"/>
      <c r="P60" s="494"/>
      <c r="Q60" s="493"/>
      <c r="R60" s="178"/>
      <c r="S60" s="178"/>
    </row>
    <row r="61" spans="1:19" s="180" customFormat="1" ht="15" outlineLevel="1" thickBot="1">
      <c r="B61" s="145" t="s">
        <v>391</v>
      </c>
      <c r="C61" s="174" t="s">
        <v>1606</v>
      </c>
      <c r="D61" s="488">
        <f>1291142.66+(1810*D6)</f>
        <v>2123742.66</v>
      </c>
      <c r="E61" s="137">
        <f>D61/$D$6</f>
        <v>4616.8318695652179</v>
      </c>
      <c r="F61" s="177">
        <v>46131</v>
      </c>
      <c r="G61" s="178" t="s">
        <v>231</v>
      </c>
      <c r="H61" s="90">
        <f>IF(OR(G61="Sin pagar",G61="Pagar"),_xlfn.SINGLE(NETWORKDAYS($E$4,F61,'Festivos CR'!$A$3:$A$29)),0)</f>
        <v>13</v>
      </c>
      <c r="I61" s="90">
        <f>NETWORKDAYS($E$4,F61,'Festivos CR'!$A$3:$A$43)</f>
        <v>11</v>
      </c>
      <c r="J61" s="132">
        <f>H61</f>
        <v>13</v>
      </c>
      <c r="M61" s="347"/>
      <c r="N61" s="178"/>
      <c r="O61" s="346"/>
      <c r="P61" s="494"/>
      <c r="Q61" s="493"/>
      <c r="R61" s="178"/>
      <c r="S61" s="178"/>
    </row>
    <row r="62" spans="1:19" s="90" customFormat="1" ht="16.2" thickBot="1">
      <c r="A62" s="180"/>
      <c r="B62" s="451"/>
      <c r="C62" s="127" t="s">
        <v>1051</v>
      </c>
      <c r="D62" s="172">
        <f>SUBTOTAL(9,D63:D65)</f>
        <v>120836</v>
      </c>
      <c r="E62" s="128">
        <f>SUBTOTAL(9,E63:E65)</f>
        <v>262.68695652173915</v>
      </c>
      <c r="L62" s="108"/>
    </row>
    <row r="63" spans="1:19" s="90" customFormat="1" outlineLevel="1">
      <c r="A63" s="180"/>
      <c r="B63" s="265" t="s">
        <v>391</v>
      </c>
      <c r="C63" s="101" t="s">
        <v>1512</v>
      </c>
      <c r="D63" s="347">
        <v>89000</v>
      </c>
      <c r="E63" s="137">
        <f>D63/$D$6</f>
        <v>193.47826086956522</v>
      </c>
      <c r="F63" s="177">
        <v>46140</v>
      </c>
      <c r="G63" s="178" t="s">
        <v>231</v>
      </c>
      <c r="H63" s="90">
        <f>IF(OR(G63="Sin pagar",G63="Pagar"),_xlfn.SINGLE(NETWORKDAYS($E$4,F63,'Festivos CR'!$A$3:$A$29)),0)</f>
        <v>20</v>
      </c>
      <c r="I63" s="90">
        <f>NETWORKDAYS($E$4,F63,'Festivos CR'!$A$3:$A$43)</f>
        <v>18</v>
      </c>
      <c r="J63" s="132">
        <f>H63</f>
        <v>20</v>
      </c>
      <c r="L63" s="108"/>
      <c r="M63" s="392"/>
      <c r="N63" s="349"/>
      <c r="O63" s="118"/>
    </row>
    <row r="64" spans="1:19" s="90" customFormat="1" outlineLevel="1">
      <c r="A64" s="180"/>
      <c r="B64" s="265" t="s">
        <v>391</v>
      </c>
      <c r="C64" s="101" t="s">
        <v>1582</v>
      </c>
      <c r="D64" s="347">
        <v>20565</v>
      </c>
      <c r="E64" s="137">
        <f>D64/$D$6</f>
        <v>44.706521739130437</v>
      </c>
      <c r="F64" s="177">
        <v>46140</v>
      </c>
      <c r="G64" s="178" t="s">
        <v>231</v>
      </c>
      <c r="H64" s="90">
        <f>IF(OR(G64="Sin pagar",G64="Pagar"),_xlfn.SINGLE(NETWORKDAYS($E$4,F64,'Festivos CR'!$A$3:$A$29)),0)</f>
        <v>20</v>
      </c>
      <c r="I64" s="90">
        <f>NETWORKDAYS($E$4,F64,'Festivos CR'!$A$3:$A$43)</f>
        <v>18</v>
      </c>
      <c r="J64" s="132">
        <f>H64</f>
        <v>20</v>
      </c>
      <c r="L64" s="108"/>
      <c r="M64" s="392"/>
      <c r="N64" s="349"/>
      <c r="O64" s="118"/>
    </row>
    <row r="65" spans="1:16" s="90" customFormat="1" ht="15" outlineLevel="1" thickBot="1">
      <c r="A65" s="180"/>
      <c r="B65" s="265" t="s">
        <v>391</v>
      </c>
      <c r="C65" s="101" t="s">
        <v>1583</v>
      </c>
      <c r="D65" s="347">
        <v>11271</v>
      </c>
      <c r="E65" s="137">
        <f>D65/$D$6</f>
        <v>24.502173913043478</v>
      </c>
      <c r="F65" s="177">
        <v>46140</v>
      </c>
      <c r="G65" s="178" t="s">
        <v>231</v>
      </c>
      <c r="H65" s="90">
        <f>IF(OR(G65="Sin pagar",G65="Pagar"),_xlfn.SINGLE(NETWORKDAYS($E$4,F65,'Festivos CR'!$A$3:$A$29)),0)</f>
        <v>20</v>
      </c>
      <c r="I65" s="90">
        <f>NETWORKDAYS($E$4,F65,'Festivos CR'!$A$3:$A$43)</f>
        <v>18</v>
      </c>
      <c r="J65" s="132">
        <f>H65</f>
        <v>20</v>
      </c>
      <c r="L65" s="108"/>
      <c r="M65" s="392"/>
      <c r="N65" s="349"/>
      <c r="O65" s="118"/>
    </row>
    <row r="66" spans="1:16" s="90" customFormat="1" ht="16.2" thickBot="1">
      <c r="A66" s="180"/>
      <c r="B66" s="451"/>
      <c r="C66" s="127" t="s">
        <v>992</v>
      </c>
      <c r="D66" s="172">
        <f>SUBTOTAL(9,D67:D67)</f>
        <v>0</v>
      </c>
      <c r="E66" s="128">
        <f>SUBTOTAL(9,E67:E67)</f>
        <v>0</v>
      </c>
      <c r="L66" s="108"/>
    </row>
    <row r="67" spans="1:16" s="90" customFormat="1" ht="15" outlineLevel="1" thickBot="1">
      <c r="A67" s="180"/>
      <c r="B67" s="146"/>
      <c r="C67" s="101" t="s">
        <v>1372</v>
      </c>
      <c r="D67" s="170">
        <v>0</v>
      </c>
      <c r="E67" s="142">
        <f>D67/D6</f>
        <v>0</v>
      </c>
      <c r="F67" s="129">
        <v>46142</v>
      </c>
      <c r="G67" s="178" t="s">
        <v>235</v>
      </c>
      <c r="H67" s="90">
        <f>IF(OR(G67="Sin pagar",G67="Pagar"),_xlfn.SINGLE(NETWORKDAYS($E$4,F67,'Festivos CR'!$A$3:$A$29)),0)</f>
        <v>0</v>
      </c>
      <c r="I67" s="90">
        <f>NETWORKDAYS($E$4,F67,'Festivos CR'!$A$3:$A$43)</f>
        <v>20</v>
      </c>
      <c r="J67" s="132">
        <f>H67</f>
        <v>0</v>
      </c>
      <c r="L67" s="108"/>
      <c r="M67" s="392"/>
      <c r="N67" s="349"/>
      <c r="O67" s="118"/>
    </row>
    <row r="68" spans="1:16" s="90" customFormat="1" ht="16.2" thickBot="1">
      <c r="A68" s="180"/>
      <c r="B68" s="451"/>
      <c r="C68" s="127" t="s">
        <v>238</v>
      </c>
      <c r="D68" s="172">
        <f>SUBTOTAL(9,D69:D69)</f>
        <v>552000</v>
      </c>
      <c r="E68" s="128">
        <f>SUBTOTAL(9,E69:E69)</f>
        <v>1200</v>
      </c>
      <c r="L68" s="108"/>
    </row>
    <row r="69" spans="1:16" s="90" customFormat="1" ht="15" outlineLevel="1" thickBot="1">
      <c r="A69" s="180"/>
      <c r="B69" s="522"/>
      <c r="C69" s="101" t="s">
        <v>1607</v>
      </c>
      <c r="D69" s="170">
        <f>E69*$D$6</f>
        <v>552000</v>
      </c>
      <c r="E69" s="142">
        <v>1200</v>
      </c>
      <c r="F69" s="129">
        <v>46131</v>
      </c>
      <c r="G69" s="90" t="s">
        <v>231</v>
      </c>
      <c r="H69" s="90">
        <f>IF(OR(G69="Sin pagar",G69="Pagar"),_xlfn.SINGLE(NETWORKDAYS($E$4,F69,'Festivos CR'!$A$3:$A$29)),0)</f>
        <v>13</v>
      </c>
      <c r="I69" s="90">
        <f>NETWORKDAYS($E$4,F69,'Festivos CR'!$A$3:$A$43)</f>
        <v>11</v>
      </c>
      <c r="J69" s="132">
        <f>H69</f>
        <v>13</v>
      </c>
      <c r="L69" s="108"/>
      <c r="M69" s="392"/>
    </row>
    <row r="70" spans="1:16" s="90" customFormat="1" ht="14.25" customHeight="1">
      <c r="B70" s="100"/>
      <c r="C70" s="147" t="s">
        <v>239</v>
      </c>
      <c r="D70" s="171">
        <f>SUBTOTAL(9,D25:D69)</f>
        <v>67101601.859999999</v>
      </c>
      <c r="E70" s="148">
        <f>SUBTOTAL(9,E25:E69)</f>
        <v>145873.04752173909</v>
      </c>
      <c r="K70" s="576"/>
      <c r="L70" s="576"/>
      <c r="N70" s="576"/>
      <c r="O70" s="576"/>
      <c r="P70" s="576"/>
    </row>
    <row r="71" spans="1:16" ht="15.6">
      <c r="A71" s="90"/>
      <c r="E71" s="149"/>
      <c r="F71" s="239"/>
      <c r="G71" s="150"/>
      <c r="H71" s="150"/>
      <c r="I71" s="150"/>
      <c r="J71" s="150"/>
    </row>
    <row r="72" spans="1:16" ht="15.6">
      <c r="A72" s="90"/>
      <c r="C72" s="151" t="s">
        <v>3</v>
      </c>
      <c r="D72" s="182">
        <f>D20-D70</f>
        <v>52982004.804585442</v>
      </c>
      <c r="E72" s="152">
        <f>E20-E70</f>
        <v>115178.27131431623</v>
      </c>
      <c r="F72" s="243"/>
      <c r="G72" s="153"/>
      <c r="J72" s="153"/>
    </row>
    <row r="73" spans="1:16" s="157" customFormat="1" ht="15.6">
      <c r="A73" s="90"/>
      <c r="B73" s="154"/>
      <c r="C73" s="151" t="s">
        <v>240</v>
      </c>
      <c r="D73" s="155">
        <f>IF($D$20=0,0,D72/$D$20)</f>
        <v>0.44120930638412176</v>
      </c>
      <c r="E73" s="155">
        <f>IF($E$20=0,0,E72/$E$20)</f>
        <v>0.44120930638412192</v>
      </c>
      <c r="F73" s="156"/>
      <c r="G73" s="153"/>
      <c r="J73" s="158"/>
      <c r="K73" s="576"/>
      <c r="L73" s="576"/>
      <c r="N73" s="576"/>
      <c r="O73" s="576"/>
      <c r="P73" s="576"/>
    </row>
    <row r="74" spans="1:16">
      <c r="A74" s="90"/>
      <c r="F74" s="156"/>
      <c r="G74" s="153"/>
    </row>
    <row r="78" spans="1:16">
      <c r="C78" s="498">
        <v>46113</v>
      </c>
      <c r="D78" s="499">
        <v>46124</v>
      </c>
      <c r="E78" s="500">
        <f t="shared" ref="E78:E83" si="5">SUMIFS($D$24:$D$75,$F$24:$F$75,"&gt;="&amp;C78,$F$24:$F$75,"&lt;="&amp;D78,$G$24:$G$75,$D$94)</f>
        <v>905625</v>
      </c>
      <c r="F78" s="501">
        <f t="shared" ref="F78:F83" si="6">SUMIFS($E$24:$E$75,$F$24:$F$75,"&gt;="&amp;C78,$F$24:$F$75,"&lt;="&amp;D78,$G$24:$G$75,$D$94)</f>
        <v>1968.75</v>
      </c>
      <c r="G78" s="576" t="s">
        <v>1225</v>
      </c>
    </row>
    <row r="79" spans="1:16">
      <c r="C79" s="403">
        <v>46125</v>
      </c>
      <c r="D79" s="398">
        <v>46127</v>
      </c>
      <c r="E79" s="404">
        <f t="shared" si="5"/>
        <v>0</v>
      </c>
      <c r="F79" s="405">
        <f t="shared" si="6"/>
        <v>0</v>
      </c>
      <c r="G79" s="497"/>
    </row>
    <row r="80" spans="1:16">
      <c r="C80" s="403">
        <v>46128</v>
      </c>
      <c r="D80" s="397">
        <v>46128</v>
      </c>
      <c r="E80" s="404">
        <f t="shared" si="5"/>
        <v>23804860.920000002</v>
      </c>
      <c r="F80" s="405">
        <f t="shared" si="6"/>
        <v>51749.697652173913</v>
      </c>
      <c r="G80" s="497" t="s">
        <v>1604</v>
      </c>
    </row>
    <row r="81" spans="3:13">
      <c r="C81" s="403">
        <v>46129</v>
      </c>
      <c r="D81" s="397">
        <v>46131</v>
      </c>
      <c r="E81" s="404">
        <f t="shared" si="5"/>
        <v>2779702.66</v>
      </c>
      <c r="F81" s="405">
        <f t="shared" si="6"/>
        <v>6042.8318695652179</v>
      </c>
      <c r="G81" s="497" t="s">
        <v>1166</v>
      </c>
    </row>
    <row r="82" spans="3:13">
      <c r="C82" s="403">
        <v>46132</v>
      </c>
      <c r="D82" s="397">
        <v>46138</v>
      </c>
      <c r="E82" s="404">
        <f t="shared" si="5"/>
        <v>0</v>
      </c>
      <c r="F82" s="405">
        <f t="shared" si="6"/>
        <v>0</v>
      </c>
      <c r="G82" s="497"/>
    </row>
    <row r="83" spans="3:13" ht="15" thickBot="1">
      <c r="C83" s="406">
        <v>46139</v>
      </c>
      <c r="D83" s="399">
        <v>46142</v>
      </c>
      <c r="E83" s="407">
        <f t="shared" si="5"/>
        <v>39611413.280000009</v>
      </c>
      <c r="F83" s="408">
        <f t="shared" si="6"/>
        <v>86111.768000000011</v>
      </c>
      <c r="G83" s="497" t="s">
        <v>1294</v>
      </c>
    </row>
    <row r="84" spans="3:13" ht="15.6">
      <c r="C84" s="589" t="s">
        <v>262</v>
      </c>
      <c r="D84" s="589"/>
      <c r="E84" s="186">
        <f>SUM(E78:E83)</f>
        <v>67101601.860000014</v>
      </c>
      <c r="F84" s="200">
        <f>SUM(F78:F83)</f>
        <v>145873.04752173915</v>
      </c>
      <c r="G84" s="94"/>
      <c r="J84" s="153"/>
      <c r="K84" s="153"/>
      <c r="M84" s="206"/>
    </row>
    <row r="85" spans="3:13">
      <c r="G85" s="497"/>
    </row>
    <row r="86" spans="3:13">
      <c r="G86" s="562"/>
    </row>
    <row r="87" spans="3:13">
      <c r="C87" s="591"/>
      <c r="D87" s="593"/>
    </row>
    <row r="88" spans="3:13">
      <c r="C88" s="592" t="s">
        <v>1065</v>
      </c>
      <c r="D88" s="592"/>
      <c r="E88" s="204">
        <f>'BAC SAN JOSE COLONES  '!$G$650+('BAC SAN JOSE USD'!$G$600*$D$6)</f>
        <v>49888830.26458545</v>
      </c>
      <c r="F88" s="452">
        <f>('BAC SAN JOSE COLONES  '!G650/$D$6)+'BAC SAN JOSE USD'!$G$600</f>
        <v>108453.97883605532</v>
      </c>
      <c r="J88" s="324"/>
      <c r="M88" s="206"/>
    </row>
    <row r="89" spans="3:13">
      <c r="C89" s="594" t="s">
        <v>1605</v>
      </c>
      <c r="D89" s="592"/>
      <c r="E89" s="204">
        <f>SUM(E78:E82)</f>
        <v>27490188.580000002</v>
      </c>
      <c r="F89" s="452">
        <f>SUM(F78:F82)</f>
        <v>59761.279521739132</v>
      </c>
      <c r="J89" s="324"/>
    </row>
    <row r="90" spans="3:13">
      <c r="C90" s="588" t="s">
        <v>152</v>
      </c>
      <c r="D90" s="588"/>
      <c r="E90" s="446">
        <f>E88-E89</f>
        <v>22398641.684585448</v>
      </c>
      <c r="F90" s="447">
        <f>F88-F89</f>
        <v>48692.699314316189</v>
      </c>
      <c r="G90" s="467"/>
      <c r="J90" s="206"/>
    </row>
    <row r="93" spans="3:13">
      <c r="D93" s="90" t="s">
        <v>235</v>
      </c>
      <c r="E93" s="170">
        <f>SUMIFS($D$24:$D$75,$F$24:$F$75,"&gt;="&amp;$C$78,$F$24:$F$75,"&lt;="&amp;$D$83,$G$24:$G$75,$D$93)</f>
        <v>0</v>
      </c>
      <c r="F93" s="206">
        <f>SUMIFS($E$24:$E$74,$F$24:$F$74,"&gt;="&amp;C78,$F$24:$F$74,"&lt;="&amp;$D$83,$G$24:$G$74,$D$93)</f>
        <v>0</v>
      </c>
    </row>
    <row r="94" spans="3:13">
      <c r="D94" s="90" t="s">
        <v>231</v>
      </c>
      <c r="E94" s="170">
        <f>SUMIFS($D$24:$D$75,$F$24:$F$75,"&gt;="&amp;$C$78,$F$24:$F$75,"&lt;="&amp;$D$83,$G$24:$G$75,$D$94)</f>
        <v>67101601.859999999</v>
      </c>
      <c r="F94" s="206">
        <f>SUMIFS($E$24:$E$74,$F$24:$F$74,"&gt;="&amp;C78,$F$24:$F$74,"&lt;="&amp;$D$83,$G$24:$G$74,$D$94)</f>
        <v>145873.04752173909</v>
      </c>
    </row>
    <row r="95" spans="3:13">
      <c r="D95" s="185" t="s">
        <v>263</v>
      </c>
      <c r="E95" s="194">
        <f>SUM($E$93:$E$94)</f>
        <v>67101601.859999999</v>
      </c>
      <c r="F95" s="199">
        <f>SUM($F$93:$F$94)</f>
        <v>145873.04752173909</v>
      </c>
      <c r="G95" s="206"/>
    </row>
    <row r="96" spans="3:13">
      <c r="D96" s="185" t="s">
        <v>264</v>
      </c>
      <c r="E96" s="194">
        <f>(D70-E95)</f>
        <v>0</v>
      </c>
      <c r="F96" s="199">
        <f>F95-E70</f>
        <v>0</v>
      </c>
    </row>
    <row r="99" spans="4:7">
      <c r="F99" s="170"/>
    </row>
    <row r="100" spans="4:7">
      <c r="F100" s="170"/>
    </row>
    <row r="101" spans="4:7">
      <c r="F101" s="170"/>
      <c r="G101" s="579"/>
    </row>
    <row r="102" spans="4:7">
      <c r="F102" s="206"/>
    </row>
    <row r="103" spans="4:7">
      <c r="E103" s="395"/>
    </row>
    <row r="111" spans="4:7">
      <c r="D111" s="395"/>
      <c r="E111" s="561"/>
      <c r="F111" s="153"/>
    </row>
    <row r="112" spans="4:7">
      <c r="D112" s="395"/>
      <c r="E112" s="561"/>
      <c r="F112" s="153"/>
    </row>
    <row r="113" spans="4:6">
      <c r="D113" s="395"/>
      <c r="E113" s="561"/>
      <c r="F113" s="153"/>
    </row>
    <row r="114" spans="4:6">
      <c r="D114" s="395"/>
      <c r="E114" s="561"/>
      <c r="F114" s="153"/>
    </row>
    <row r="115" spans="4:6">
      <c r="D115" s="395"/>
      <c r="E115" s="561"/>
      <c r="F115" s="153"/>
    </row>
    <row r="116" spans="4:6">
      <c r="D116" s="395"/>
      <c r="E116" s="561"/>
      <c r="F116" s="153"/>
    </row>
    <row r="117" spans="4:6">
      <c r="D117" s="395"/>
      <c r="E117" s="561"/>
      <c r="F117" s="153"/>
    </row>
    <row r="118" spans="4:6">
      <c r="D118" s="395"/>
      <c r="E118" s="561"/>
      <c r="F118" s="153"/>
    </row>
    <row r="119" spans="4:6">
      <c r="D119" s="395"/>
      <c r="E119" s="561"/>
      <c r="F119" s="153"/>
    </row>
    <row r="120" spans="4:6">
      <c r="D120" s="395"/>
      <c r="E120" s="561"/>
      <c r="F120" s="153"/>
    </row>
    <row r="121" spans="4:6">
      <c r="D121" s="395"/>
      <c r="E121" s="561"/>
      <c r="F121" s="153"/>
    </row>
    <row r="122" spans="4:6">
      <c r="D122" s="395"/>
      <c r="E122" s="561"/>
      <c r="F122" s="153"/>
    </row>
    <row r="123" spans="4:6">
      <c r="D123" s="395"/>
      <c r="E123" s="561"/>
      <c r="F123" s="153"/>
    </row>
    <row r="124" spans="4:6">
      <c r="D124" s="395"/>
      <c r="E124" s="561"/>
    </row>
  </sheetData>
  <protectedRanges>
    <protectedRange sqref="F20:G20 D74:E74 D10:E11" name="Presupuestos"/>
    <protectedRange sqref="D8:E8 D24:E24" name="Presupuestos_1"/>
    <protectedRange sqref="D31:E31" name="Presupuestos_13_1"/>
    <protectedRange sqref="M39:M46 D54:D58 D39:E46 E47 E53:E58 D48:E52 M48:M52 M54:M61 D59:E61" name="Presupuestos_2_1_1_1"/>
    <protectedRange sqref="E67 E69 E33 E63:E65" name="Presupuestos_6_1_1_1"/>
    <protectedRange sqref="D53 D47 M53 M47" name="Presupuestos_5_2_1"/>
    <protectedRange sqref="D37:E37" name="Presupuestos_7_1"/>
    <protectedRange sqref="D67 D69 D33 D63:D65" name="Presupuestos_5_3"/>
    <protectedRange sqref="D35:E35" name="Presupuestos_13_1_1"/>
  </protectedRanges>
  <autoFilter ref="A24:S69" xr:uid="{7D86588C-CD5E-4C5A-ADAF-575EDA1F0B3F}"/>
  <mergeCells count="8">
    <mergeCell ref="C89:D89"/>
    <mergeCell ref="C90:D90"/>
    <mergeCell ref="D7:E7"/>
    <mergeCell ref="B23:C23"/>
    <mergeCell ref="D23:E23"/>
    <mergeCell ref="C84:D84"/>
    <mergeCell ref="C87:D87"/>
    <mergeCell ref="C88:D88"/>
  </mergeCells>
  <conditionalFormatting sqref="J26">
    <cfRule type="cellIs" dxfId="43" priority="41" operator="lessThan">
      <formula>0</formula>
    </cfRule>
  </conditionalFormatting>
  <conditionalFormatting sqref="J26">
    <cfRule type="cellIs" dxfId="42" priority="43" operator="between">
      <formula>1</formula>
      <formula>5</formula>
    </cfRule>
    <cfRule type="cellIs" dxfId="41" priority="44" operator="between">
      <formula>16</formula>
      <formula>60</formula>
    </cfRule>
  </conditionalFormatting>
  <conditionalFormatting sqref="J26">
    <cfRule type="cellIs" dxfId="40" priority="42" operator="between">
      <formula>6</formula>
      <formula>15</formula>
    </cfRule>
  </conditionalFormatting>
  <conditionalFormatting sqref="J28:J29">
    <cfRule type="cellIs" dxfId="39" priority="37" operator="lessThan">
      <formula>0</formula>
    </cfRule>
  </conditionalFormatting>
  <conditionalFormatting sqref="J28:J29">
    <cfRule type="cellIs" dxfId="38" priority="39" operator="between">
      <formula>1</formula>
      <formula>5</formula>
    </cfRule>
    <cfRule type="cellIs" dxfId="37" priority="40" operator="between">
      <formula>16</formula>
      <formula>60</formula>
    </cfRule>
  </conditionalFormatting>
  <conditionalFormatting sqref="J28:J29">
    <cfRule type="cellIs" dxfId="36" priority="38" operator="between">
      <formula>6</formula>
      <formula>15</formula>
    </cfRule>
  </conditionalFormatting>
  <conditionalFormatting sqref="J31">
    <cfRule type="cellIs" dxfId="35" priority="33" operator="lessThan">
      <formula>0</formula>
    </cfRule>
  </conditionalFormatting>
  <conditionalFormatting sqref="J31">
    <cfRule type="cellIs" dxfId="34" priority="35" operator="between">
      <formula>1</formula>
      <formula>5</formula>
    </cfRule>
    <cfRule type="cellIs" dxfId="33" priority="36" operator="between">
      <formula>16</formula>
      <formula>60</formula>
    </cfRule>
  </conditionalFormatting>
  <conditionalFormatting sqref="J31">
    <cfRule type="cellIs" dxfId="32" priority="34" operator="between">
      <formula>6</formula>
      <formula>15</formula>
    </cfRule>
  </conditionalFormatting>
  <conditionalFormatting sqref="J33">
    <cfRule type="cellIs" dxfId="31" priority="29" operator="lessThan">
      <formula>0</formula>
    </cfRule>
  </conditionalFormatting>
  <conditionalFormatting sqref="J33">
    <cfRule type="cellIs" dxfId="30" priority="31" operator="between">
      <formula>1</formula>
      <formula>5</formula>
    </cfRule>
    <cfRule type="cellIs" dxfId="29" priority="32" operator="between">
      <formula>16</formula>
      <formula>60</formula>
    </cfRule>
  </conditionalFormatting>
  <conditionalFormatting sqref="J33">
    <cfRule type="cellIs" dxfId="28" priority="30" operator="between">
      <formula>6</formula>
      <formula>15</formula>
    </cfRule>
  </conditionalFormatting>
  <conditionalFormatting sqref="J35">
    <cfRule type="cellIs" dxfId="27" priority="25" operator="lessThan">
      <formula>0</formula>
    </cfRule>
  </conditionalFormatting>
  <conditionalFormatting sqref="J35">
    <cfRule type="cellIs" dxfId="26" priority="27" operator="between">
      <formula>1</formula>
      <formula>5</formula>
    </cfRule>
    <cfRule type="cellIs" dxfId="25" priority="28" operator="between">
      <formula>16</formula>
      <formula>60</formula>
    </cfRule>
  </conditionalFormatting>
  <conditionalFormatting sqref="J35">
    <cfRule type="cellIs" dxfId="24" priority="26" operator="between">
      <formula>6</formula>
      <formula>15</formula>
    </cfRule>
  </conditionalFormatting>
  <conditionalFormatting sqref="J37">
    <cfRule type="cellIs" dxfId="23" priority="21" operator="lessThan">
      <formula>0</formula>
    </cfRule>
  </conditionalFormatting>
  <conditionalFormatting sqref="J37">
    <cfRule type="cellIs" dxfId="22" priority="23" operator="between">
      <formula>1</formula>
      <formula>5</formula>
    </cfRule>
    <cfRule type="cellIs" dxfId="21" priority="24" operator="between">
      <formula>16</formula>
      <formula>60</formula>
    </cfRule>
  </conditionalFormatting>
  <conditionalFormatting sqref="J37">
    <cfRule type="cellIs" dxfId="20" priority="22" operator="between">
      <formula>6</formula>
      <formula>15</formula>
    </cfRule>
  </conditionalFormatting>
  <conditionalFormatting sqref="J39:J61">
    <cfRule type="cellIs" dxfId="19" priority="17" operator="lessThan">
      <formula>0</formula>
    </cfRule>
  </conditionalFormatting>
  <conditionalFormatting sqref="J39:J61">
    <cfRule type="cellIs" dxfId="18" priority="19" operator="between">
      <formula>1</formula>
      <formula>5</formula>
    </cfRule>
    <cfRule type="cellIs" dxfId="17" priority="20" operator="between">
      <formula>16</formula>
      <formula>60</formula>
    </cfRule>
  </conditionalFormatting>
  <conditionalFormatting sqref="J39:J61">
    <cfRule type="cellIs" dxfId="16" priority="18" operator="between">
      <formula>6</formula>
      <formula>15</formula>
    </cfRule>
  </conditionalFormatting>
  <conditionalFormatting sqref="J63">
    <cfRule type="cellIs" dxfId="15" priority="13" operator="lessThan">
      <formula>0</formula>
    </cfRule>
  </conditionalFormatting>
  <conditionalFormatting sqref="J63">
    <cfRule type="cellIs" dxfId="14" priority="15" operator="between">
      <formula>1</formula>
      <formula>5</formula>
    </cfRule>
    <cfRule type="cellIs" dxfId="13" priority="16" operator="between">
      <formula>16</formula>
      <formula>60</formula>
    </cfRule>
  </conditionalFormatting>
  <conditionalFormatting sqref="J63">
    <cfRule type="cellIs" dxfId="12" priority="14" operator="between">
      <formula>6</formula>
      <formula>15</formula>
    </cfRule>
  </conditionalFormatting>
  <conditionalFormatting sqref="J64">
    <cfRule type="cellIs" dxfId="11" priority="9" operator="lessThan">
      <formula>0</formula>
    </cfRule>
  </conditionalFormatting>
  <conditionalFormatting sqref="J64">
    <cfRule type="cellIs" dxfId="10" priority="11" operator="between">
      <formula>1</formula>
      <formula>5</formula>
    </cfRule>
    <cfRule type="cellIs" dxfId="9" priority="12" operator="between">
      <formula>16</formula>
      <formula>60</formula>
    </cfRule>
  </conditionalFormatting>
  <conditionalFormatting sqref="J64">
    <cfRule type="cellIs" dxfId="8" priority="10" operator="between">
      <formula>6</formula>
      <formula>15</formula>
    </cfRule>
  </conditionalFormatting>
  <conditionalFormatting sqref="J65">
    <cfRule type="cellIs" dxfId="7" priority="5" operator="lessThan">
      <formula>0</formula>
    </cfRule>
  </conditionalFormatting>
  <conditionalFormatting sqref="J65">
    <cfRule type="cellIs" dxfId="6" priority="7" operator="between">
      <formula>1</formula>
      <formula>5</formula>
    </cfRule>
    <cfRule type="cellIs" dxfId="5" priority="8" operator="between">
      <formula>16</formula>
      <formula>60</formula>
    </cfRule>
  </conditionalFormatting>
  <conditionalFormatting sqref="J65">
    <cfRule type="cellIs" dxfId="4" priority="6" operator="between">
      <formula>6</formula>
      <formula>15</formula>
    </cfRule>
  </conditionalFormatting>
  <conditionalFormatting sqref="J69">
    <cfRule type="cellIs" dxfId="3" priority="1" operator="lessThan">
      <formula>0</formula>
    </cfRule>
  </conditionalFormatting>
  <conditionalFormatting sqref="J69">
    <cfRule type="cellIs" dxfId="2" priority="3" operator="between">
      <formula>1</formula>
      <formula>5</formula>
    </cfRule>
    <cfRule type="cellIs" dxfId="1" priority="4" operator="between">
      <formula>16</formula>
      <formula>60</formula>
    </cfRule>
  </conditionalFormatting>
  <conditionalFormatting sqref="J69">
    <cfRule type="cellIs" dxfId="0" priority="2" operator="between">
      <formula>6</formula>
      <formula>15</formula>
    </cfRule>
  </conditionalFormatting>
  <dataValidations count="4">
    <dataValidation type="list" allowBlank="1" showInputMessage="1" showErrorMessage="1" sqref="B13:B19" xr:uid="{7DF5BDD7-9FBC-4CBC-9369-251CA668B881}">
      <formula1>"Sin Pagar,Pagado"</formula1>
    </dataValidation>
    <dataValidation type="list" allowBlank="1" showInputMessage="1" showErrorMessage="1" sqref="D23 D7" xr:uid="{08BF98F7-1CD3-47D4-B0B3-C24093D9B765}">
      <formula1>"ENERO,FEBRERO,MARZO,ABRIL,MAYO,JUNIO,JULIO,AGOSTO,SEPTIEMBRE,OCTUBRE,NOVIEMBRE,DICIEMBRE"</formula1>
    </dataValidation>
    <dataValidation type="list" allowBlank="1" showInputMessage="1" showErrorMessage="1" sqref="G75:G76 G67 G63:G65 G25:G26 G35 G37 G69 G31 G28:G29 D93:D94 G33 G39:G61" xr:uid="{CD591AF0-9A35-4ACD-814E-5CF5C76C618F}">
      <formula1>"Cancelado,Pagar,Sin Pagar"</formula1>
    </dataValidation>
    <dataValidation type="list" allowBlank="1" showInputMessage="1" showErrorMessage="1" sqref="O34" xr:uid="{AC461D72-1278-4FBB-828D-1BA826E2999B}">
      <formula1>"0,1"</formula1>
    </dataValidation>
  </dataValidations>
  <pageMargins left="0.7" right="0.7" top="0.75" bottom="0.75" header="0.3" footer="0.3"/>
  <pageSetup orientation="portrait" r:id="rId1"/>
  <ignoredErrors>
    <ignoredError sqref="J26:J36 J62 J38 J37 J39:J60 J66:J68 J63:J65" unlocked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F32F-0CF5-474F-A405-1139833D2D5E}">
  <sheetPr>
    <pageSetUpPr fitToPage="1"/>
  </sheetPr>
  <dimension ref="A1:T203"/>
  <sheetViews>
    <sheetView showGridLines="0" zoomScale="85" zoomScaleNormal="85" workbookViewId="0">
      <pane ySplit="3" topLeftCell="A183" activePane="bottomLeft" state="frozen"/>
      <selection pane="bottomLeft" activeCell="A195" sqref="A195"/>
    </sheetView>
  </sheetViews>
  <sheetFormatPr baseColWidth="10" defaultRowHeight="14.4" outlineLevelCol="1"/>
  <cols>
    <col min="1" max="1" width="8" customWidth="1"/>
    <col min="2" max="2" width="15.5546875" bestFit="1" customWidth="1"/>
    <col min="3" max="3" width="9.44140625" bestFit="1" customWidth="1"/>
    <col min="4" max="4" width="27.6640625" customWidth="1"/>
    <col min="5" max="5" width="13" customWidth="1"/>
    <col min="6" max="6" width="30.88671875" customWidth="1" outlineLevel="1"/>
    <col min="7" max="7" width="25.5546875" customWidth="1" outlineLevel="1"/>
    <col min="8" max="8" width="11.5546875" customWidth="1" outlineLevel="1"/>
    <col min="9" max="9" width="15.5546875" customWidth="1" outlineLevel="1"/>
    <col min="10" max="10" width="12.109375" customWidth="1" outlineLevel="1"/>
    <col min="11" max="11" width="17.109375" customWidth="1" outlineLevel="1"/>
    <col min="12" max="12" width="18.5546875" customWidth="1" outlineLevel="1"/>
    <col min="13" max="13" width="12.33203125" customWidth="1" outlineLevel="1"/>
    <col min="14" max="14" width="17.109375" customWidth="1" outlineLevel="1"/>
    <col min="15" max="15" width="16.44140625" bestFit="1" customWidth="1"/>
    <col min="16" max="16" width="21" bestFit="1" customWidth="1"/>
    <col min="17" max="17" width="0.6640625" style="229" customWidth="1"/>
    <col min="18" max="18" width="25" bestFit="1" customWidth="1"/>
    <col min="19" max="19" width="17.5546875" bestFit="1" customWidth="1"/>
  </cols>
  <sheetData>
    <row r="1" spans="1:20">
      <c r="K1">
        <v>1</v>
      </c>
      <c r="M1">
        <v>0</v>
      </c>
    </row>
    <row r="2" spans="1:20" ht="15" thickBot="1"/>
    <row r="3" spans="1:20" s="280" customFormat="1" ht="66.75" customHeight="1" thickBot="1">
      <c r="B3" s="508" t="s">
        <v>269</v>
      </c>
      <c r="C3" s="509" t="s">
        <v>280</v>
      </c>
      <c r="D3" s="509" t="s">
        <v>279</v>
      </c>
      <c r="E3" s="509" t="s">
        <v>275</v>
      </c>
      <c r="F3" s="509" t="s">
        <v>276</v>
      </c>
      <c r="G3" s="509" t="s">
        <v>270</v>
      </c>
      <c r="H3" s="509" t="s">
        <v>271</v>
      </c>
      <c r="I3" s="509" t="s">
        <v>269</v>
      </c>
      <c r="J3" s="509" t="s">
        <v>426</v>
      </c>
      <c r="K3" s="509" t="s">
        <v>427</v>
      </c>
      <c r="L3" s="509" t="s">
        <v>428</v>
      </c>
      <c r="M3" s="509" t="s">
        <v>424</v>
      </c>
      <c r="N3" s="509" t="s">
        <v>425</v>
      </c>
      <c r="O3" s="509" t="s">
        <v>277</v>
      </c>
      <c r="P3" s="510" t="s">
        <v>276</v>
      </c>
      <c r="Q3" s="281"/>
      <c r="R3" s="279" t="s">
        <v>278</v>
      </c>
      <c r="S3" s="279" t="s">
        <v>270</v>
      </c>
    </row>
    <row r="4" spans="1:20" ht="45.75" customHeight="1">
      <c r="A4" s="254"/>
      <c r="B4" s="511">
        <v>45296</v>
      </c>
      <c r="C4" s="512">
        <v>111</v>
      </c>
      <c r="D4" s="513" t="s">
        <v>348</v>
      </c>
      <c r="E4" s="514">
        <v>511</v>
      </c>
      <c r="F4" s="515">
        <f>G4*E4</f>
        <v>2800106.26</v>
      </c>
      <c r="G4" s="516">
        <f>5479.66</f>
        <v>5479.66</v>
      </c>
      <c r="H4" s="517" t="s">
        <v>272</v>
      </c>
      <c r="I4" s="518">
        <v>45314</v>
      </c>
      <c r="J4" s="516">
        <f>CONVERSIONES!$G$9</f>
        <v>20</v>
      </c>
      <c r="K4" s="516">
        <v>0</v>
      </c>
      <c r="L4" s="516">
        <f t="shared" ref="L4:L54" si="0">+G4-J4-K4</f>
        <v>5459.66</v>
      </c>
      <c r="M4" s="516">
        <f>CONVERSIONES!$G$12*$M$1</f>
        <v>0</v>
      </c>
      <c r="N4" s="516">
        <f t="shared" ref="N4:N54" si="1">+L4-M4</f>
        <v>5459.66</v>
      </c>
      <c r="O4" s="514">
        <v>507</v>
      </c>
      <c r="P4" s="519">
        <f>N4*O4</f>
        <v>2768047.62</v>
      </c>
      <c r="Q4" s="218"/>
      <c r="R4" s="290">
        <f t="shared" ref="R4:R47" si="2">P4-F4</f>
        <v>-32058.639999999665</v>
      </c>
      <c r="S4" s="291">
        <f>IFERROR(R4/O4,0)</f>
        <v>-63.232031558184744</v>
      </c>
      <c r="T4" s="278"/>
    </row>
    <row r="5" spans="1:20" ht="28.5" customHeight="1">
      <c r="A5" s="254"/>
      <c r="B5" s="282">
        <v>45301</v>
      </c>
      <c r="C5" s="225">
        <v>112</v>
      </c>
      <c r="D5" s="283" t="s">
        <v>347</v>
      </c>
      <c r="E5" s="222">
        <v>511</v>
      </c>
      <c r="F5" s="223">
        <v>2409251.6799999997</v>
      </c>
      <c r="G5" s="209">
        <f>F5/E5</f>
        <v>4714.7782387475536</v>
      </c>
      <c r="H5" s="210" t="s">
        <v>272</v>
      </c>
      <c r="I5" s="211">
        <v>45314</v>
      </c>
      <c r="J5" s="209">
        <f>CONVERSIONES!F9</f>
        <v>20</v>
      </c>
      <c r="K5" s="209">
        <v>0</v>
      </c>
      <c r="L5" s="209">
        <f t="shared" si="0"/>
        <v>4694.7782387475536</v>
      </c>
      <c r="M5" s="209">
        <f>CONVERSIONES!$F$12*$M$1</f>
        <v>0</v>
      </c>
      <c r="N5" s="209">
        <f t="shared" si="1"/>
        <v>4694.7782387475536</v>
      </c>
      <c r="O5" s="222">
        <v>507</v>
      </c>
      <c r="P5" s="293">
        <f>O5*N5</f>
        <v>2380252.5670450097</v>
      </c>
      <c r="Q5" s="218"/>
      <c r="R5" s="253">
        <f>P5-F5</f>
        <v>-28999.112954990007</v>
      </c>
      <c r="S5" s="226">
        <f t="shared" ref="S5:S29" si="3">IFERROR(R5/O5,0)</f>
        <v>-57.197461449684432</v>
      </c>
    </row>
    <row r="6" spans="1:20">
      <c r="A6" s="254"/>
      <c r="B6" s="221">
        <v>45296</v>
      </c>
      <c r="C6" s="233">
        <v>108</v>
      </c>
      <c r="D6" s="208" t="s">
        <v>281</v>
      </c>
      <c r="E6" s="222">
        <v>511</v>
      </c>
      <c r="F6" s="223">
        <v>2227892.7000000002</v>
      </c>
      <c r="G6" s="209">
        <f>F6/E6</f>
        <v>4359.8682974559688</v>
      </c>
      <c r="H6" s="210" t="s">
        <v>272</v>
      </c>
      <c r="I6" s="211">
        <v>45314</v>
      </c>
      <c r="J6" s="209">
        <f>CONVERSIONES!E9</f>
        <v>20</v>
      </c>
      <c r="K6" s="209">
        <v>0</v>
      </c>
      <c r="L6" s="209">
        <f t="shared" si="0"/>
        <v>4339.8682974559688</v>
      </c>
      <c r="M6" s="209">
        <f>CONVERSIONES!$E$12*$M$1</f>
        <v>0</v>
      </c>
      <c r="N6" s="209">
        <f t="shared" si="1"/>
        <v>4339.8682974559688</v>
      </c>
      <c r="O6" s="222">
        <v>507</v>
      </c>
      <c r="P6" s="293">
        <f t="shared" ref="P6:P41" si="4">N6*O6</f>
        <v>2200313.2268101764</v>
      </c>
      <c r="Q6" s="218"/>
      <c r="R6" s="253">
        <f>P6-F6</f>
        <v>-27579.473189823795</v>
      </c>
      <c r="S6" s="226">
        <f t="shared" si="3"/>
        <v>-54.397383017403932</v>
      </c>
    </row>
    <row r="7" spans="1:20">
      <c r="A7" s="254"/>
      <c r="B7" s="224">
        <v>45296</v>
      </c>
      <c r="C7" s="225">
        <v>110</v>
      </c>
      <c r="D7" s="208" t="s">
        <v>282</v>
      </c>
      <c r="E7" s="222">
        <v>511</v>
      </c>
      <c r="F7" s="223">
        <v>1192489</v>
      </c>
      <c r="G7" s="209">
        <f>F7/E7</f>
        <v>2333.6379647749509</v>
      </c>
      <c r="H7" s="210" t="s">
        <v>272</v>
      </c>
      <c r="I7" s="211">
        <v>45314</v>
      </c>
      <c r="J7" s="209">
        <f>CONVERSIONES!$D$9</f>
        <v>20</v>
      </c>
      <c r="K7" s="209">
        <v>0</v>
      </c>
      <c r="L7" s="209">
        <f t="shared" si="0"/>
        <v>2313.6379647749509</v>
      </c>
      <c r="M7" s="209">
        <f>CONVERSIONES!$D$12*$M$1</f>
        <v>0</v>
      </c>
      <c r="N7" s="209">
        <f t="shared" si="1"/>
        <v>2313.6379647749509</v>
      </c>
      <c r="O7" s="222">
        <v>507</v>
      </c>
      <c r="P7" s="293">
        <f t="shared" si="4"/>
        <v>1173014.4481409001</v>
      </c>
      <c r="Q7" s="218"/>
      <c r="R7" s="253">
        <f>P7-F7</f>
        <v>-19474.551859099884</v>
      </c>
      <c r="S7" s="226">
        <f t="shared" si="3"/>
        <v>-38.411344889743361</v>
      </c>
    </row>
    <row r="8" spans="1:20">
      <c r="A8" s="254"/>
      <c r="B8" s="224">
        <v>45296</v>
      </c>
      <c r="C8" s="233">
        <v>109</v>
      </c>
      <c r="D8" s="208" t="s">
        <v>283</v>
      </c>
      <c r="E8" s="222">
        <v>507</v>
      </c>
      <c r="F8" s="230">
        <f>G8*E8</f>
        <v>5680154.2199999997</v>
      </c>
      <c r="G8" s="209">
        <v>11203.46</v>
      </c>
      <c r="H8" s="210" t="s">
        <v>272</v>
      </c>
      <c r="I8" s="211">
        <v>45314</v>
      </c>
      <c r="J8" s="209">
        <f>CONVERSIONES!$C$9</f>
        <v>20</v>
      </c>
      <c r="K8" s="209">
        <v>0</v>
      </c>
      <c r="L8" s="209">
        <f t="shared" si="0"/>
        <v>11183.46</v>
      </c>
      <c r="M8" s="209">
        <f>CONVERSIONES!$C$12*$M$1</f>
        <v>0</v>
      </c>
      <c r="N8" s="209">
        <f t="shared" si="1"/>
        <v>11183.46</v>
      </c>
      <c r="O8" s="222">
        <v>507</v>
      </c>
      <c r="P8" s="292">
        <f t="shared" si="4"/>
        <v>5670014.2199999997</v>
      </c>
      <c r="Q8" s="218"/>
      <c r="R8" s="231">
        <f t="shared" si="2"/>
        <v>-10140</v>
      </c>
      <c r="S8" s="232">
        <f t="shared" si="3"/>
        <v>-20</v>
      </c>
    </row>
    <row r="9" spans="1:20" ht="35.25" customHeight="1">
      <c r="B9" s="224">
        <v>45330</v>
      </c>
      <c r="C9" s="225">
        <v>113</v>
      </c>
      <c r="D9" s="284" t="s">
        <v>349</v>
      </c>
      <c r="E9" s="222">
        <v>506</v>
      </c>
      <c r="F9" s="230">
        <f>G9*E9</f>
        <v>7483805.7799999993</v>
      </c>
      <c r="G9" s="209">
        <v>14790.13</v>
      </c>
      <c r="H9" s="210" t="s">
        <v>272</v>
      </c>
      <c r="I9" s="211">
        <v>45348</v>
      </c>
      <c r="J9" s="209">
        <f>CONVERSIONES!$C$32</f>
        <v>10</v>
      </c>
      <c r="K9" s="209">
        <f>CONVERSIONES!$C$34*$K$1</f>
        <v>8</v>
      </c>
      <c r="L9" s="209">
        <f t="shared" si="0"/>
        <v>14772.13</v>
      </c>
      <c r="M9" s="209">
        <f>CONVERSIONES!C37*$M$1</f>
        <v>0</v>
      </c>
      <c r="N9" s="209">
        <f t="shared" si="1"/>
        <v>14772.13</v>
      </c>
      <c r="O9" s="222">
        <v>506</v>
      </c>
      <c r="P9" s="292">
        <f t="shared" si="4"/>
        <v>7474697.7799999993</v>
      </c>
      <c r="Q9" s="218"/>
      <c r="R9" s="231">
        <f t="shared" si="2"/>
        <v>-9108</v>
      </c>
      <c r="S9" s="232">
        <f t="shared" si="3"/>
        <v>-18</v>
      </c>
    </row>
    <row r="10" spans="1:20" ht="39.75" customHeight="1">
      <c r="B10" s="224">
        <v>45330</v>
      </c>
      <c r="C10" s="225">
        <v>113</v>
      </c>
      <c r="D10" s="283" t="s">
        <v>350</v>
      </c>
      <c r="E10" s="222">
        <v>506</v>
      </c>
      <c r="F10" s="223">
        <v>2574701.09</v>
      </c>
      <c r="G10" s="209">
        <f>F10/E10</f>
        <v>5088.3420750988143</v>
      </c>
      <c r="H10" s="210" t="s">
        <v>272</v>
      </c>
      <c r="I10" s="211">
        <v>45348</v>
      </c>
      <c r="J10" s="209">
        <f>CONVERSIONES!$D$32</f>
        <v>10</v>
      </c>
      <c r="K10" s="209">
        <f>CONVERSIONES!$D$34*$K$1</f>
        <v>8</v>
      </c>
      <c r="L10" s="209">
        <f t="shared" si="0"/>
        <v>5070.3420750988143</v>
      </c>
      <c r="M10" s="209">
        <f>CONVERSIONES!$D$37*$M$1</f>
        <v>0</v>
      </c>
      <c r="N10" s="209">
        <f t="shared" si="1"/>
        <v>5070.3420750988143</v>
      </c>
      <c r="O10" s="222">
        <v>506</v>
      </c>
      <c r="P10" s="293">
        <f t="shared" si="4"/>
        <v>2565593.09</v>
      </c>
      <c r="Q10" s="218"/>
      <c r="R10" s="253">
        <f>P10-F10</f>
        <v>-9108</v>
      </c>
      <c r="S10" s="226">
        <f t="shared" si="3"/>
        <v>-18</v>
      </c>
    </row>
    <row r="11" spans="1:20">
      <c r="B11" s="224">
        <v>45330</v>
      </c>
      <c r="C11" s="233">
        <v>114</v>
      </c>
      <c r="D11" s="208" t="s">
        <v>284</v>
      </c>
      <c r="E11" s="222">
        <v>506</v>
      </c>
      <c r="F11" s="223">
        <v>2247332.7000000002</v>
      </c>
      <c r="G11" s="209">
        <f t="shared" ref="G11:G17" si="5">F11/E11</f>
        <v>4441.3689723320158</v>
      </c>
      <c r="H11" s="210" t="s">
        <v>272</v>
      </c>
      <c r="I11" s="211">
        <v>45348</v>
      </c>
      <c r="J11" s="209">
        <f>CONVERSIONES!$E$32</f>
        <v>10</v>
      </c>
      <c r="K11" s="209">
        <f>CONVERSIONES!$E$34*$K$1</f>
        <v>8</v>
      </c>
      <c r="L11" s="209">
        <f t="shared" si="0"/>
        <v>4423.3689723320158</v>
      </c>
      <c r="M11" s="209">
        <f>CONVERSIONES!$E$37*$M$1</f>
        <v>0</v>
      </c>
      <c r="N11" s="209">
        <f t="shared" si="1"/>
        <v>4423.3689723320158</v>
      </c>
      <c r="O11" s="222">
        <v>506</v>
      </c>
      <c r="P11" s="293">
        <f t="shared" si="4"/>
        <v>2238224.7000000002</v>
      </c>
      <c r="Q11" s="218"/>
      <c r="R11" s="253">
        <f>P11-F11</f>
        <v>-9108</v>
      </c>
      <c r="S11" s="226">
        <f t="shared" si="3"/>
        <v>-18</v>
      </c>
      <c r="T11" s="212"/>
    </row>
    <row r="12" spans="1:20">
      <c r="B12" s="224">
        <v>45330</v>
      </c>
      <c r="C12" s="233">
        <v>115</v>
      </c>
      <c r="D12" s="208" t="s">
        <v>285</v>
      </c>
      <c r="E12" s="222">
        <v>506</v>
      </c>
      <c r="F12" s="223">
        <v>1250230</v>
      </c>
      <c r="G12" s="209">
        <f t="shared" si="5"/>
        <v>2470.810276679842</v>
      </c>
      <c r="H12" s="210" t="s">
        <v>272</v>
      </c>
      <c r="I12" s="211">
        <v>45348</v>
      </c>
      <c r="J12" s="209">
        <f>CONVERSIONES!$F$32</f>
        <v>10</v>
      </c>
      <c r="K12" s="209">
        <f>CONVERSIONES!$F$34*$K$1</f>
        <v>8</v>
      </c>
      <c r="L12" s="209">
        <f t="shared" si="0"/>
        <v>2452.810276679842</v>
      </c>
      <c r="M12" s="209">
        <f>CONVERSIONES!$F$37*$M$1</f>
        <v>0</v>
      </c>
      <c r="N12" s="209">
        <f t="shared" si="1"/>
        <v>2452.810276679842</v>
      </c>
      <c r="O12" s="222">
        <v>506</v>
      </c>
      <c r="P12" s="293">
        <f t="shared" si="4"/>
        <v>1241122</v>
      </c>
      <c r="Q12" s="218"/>
      <c r="R12" s="253">
        <f>P12-F12</f>
        <v>-9108</v>
      </c>
      <c r="S12" s="226">
        <f t="shared" si="3"/>
        <v>-18</v>
      </c>
    </row>
    <row r="13" spans="1:20">
      <c r="B13" s="224">
        <v>45330</v>
      </c>
      <c r="C13" s="233">
        <v>117</v>
      </c>
      <c r="D13" s="208" t="s">
        <v>286</v>
      </c>
      <c r="E13" s="222">
        <v>506</v>
      </c>
      <c r="F13" s="223">
        <f>G13*E13</f>
        <v>5689190.7599999998</v>
      </c>
      <c r="G13" s="209">
        <v>11243.46</v>
      </c>
      <c r="H13" s="255" t="s">
        <v>272</v>
      </c>
      <c r="I13" s="211">
        <v>45348</v>
      </c>
      <c r="J13" s="209">
        <f>CONVERSIONES!$G$32</f>
        <v>10</v>
      </c>
      <c r="K13" s="209">
        <f>CONVERSIONES!$G$34*$K$1</f>
        <v>8</v>
      </c>
      <c r="L13" s="209">
        <f t="shared" si="0"/>
        <v>11225.46</v>
      </c>
      <c r="M13" s="209">
        <f>CONVERSIONES!$G$37*$M$1</f>
        <v>0</v>
      </c>
      <c r="N13" s="209">
        <f t="shared" si="1"/>
        <v>11225.46</v>
      </c>
      <c r="O13" s="222">
        <v>506</v>
      </c>
      <c r="P13" s="293">
        <f t="shared" si="4"/>
        <v>5680082.7599999998</v>
      </c>
      <c r="Q13" s="218"/>
      <c r="R13" s="231">
        <f t="shared" si="2"/>
        <v>-9108</v>
      </c>
      <c r="S13" s="232">
        <f t="shared" si="3"/>
        <v>-18</v>
      </c>
    </row>
    <row r="14" spans="1:20" ht="30" customHeight="1">
      <c r="B14" s="221">
        <v>45357</v>
      </c>
      <c r="C14" s="233">
        <v>118</v>
      </c>
      <c r="D14" s="284" t="s">
        <v>351</v>
      </c>
      <c r="E14" s="222">
        <v>504</v>
      </c>
      <c r="F14" s="230">
        <v>2574381.09</v>
      </c>
      <c r="G14" s="209">
        <f>F14/E14</f>
        <v>5107.8989880952377</v>
      </c>
      <c r="H14" s="210" t="s">
        <v>272</v>
      </c>
      <c r="I14" s="211">
        <v>45378</v>
      </c>
      <c r="J14" s="209">
        <f>CONVERSIONES!$C$51</f>
        <v>8.33</v>
      </c>
      <c r="K14" s="209">
        <f>CONVERSIONES!$C$53*$K$1</f>
        <v>6.66</v>
      </c>
      <c r="L14" s="209">
        <f t="shared" si="0"/>
        <v>5092.9089880952379</v>
      </c>
      <c r="M14" s="209">
        <f>CONVERSIONES!$C$56*$M$1</f>
        <v>0</v>
      </c>
      <c r="N14" s="209">
        <f t="shared" si="1"/>
        <v>5092.9089880952379</v>
      </c>
      <c r="O14" s="222">
        <v>495</v>
      </c>
      <c r="P14" s="292">
        <f t="shared" si="4"/>
        <v>2520989.9491071426</v>
      </c>
      <c r="Q14" s="218"/>
      <c r="R14" s="231">
        <f t="shared" si="2"/>
        <v>-53391.14089285722</v>
      </c>
      <c r="S14" s="232">
        <f t="shared" si="3"/>
        <v>-107.86089069264085</v>
      </c>
    </row>
    <row r="15" spans="1:20" ht="30" customHeight="1">
      <c r="B15" s="221">
        <v>45357</v>
      </c>
      <c r="C15" s="233">
        <v>118</v>
      </c>
      <c r="D15" s="283" t="s">
        <v>354</v>
      </c>
      <c r="E15" s="222">
        <v>504</v>
      </c>
      <c r="F15" s="223">
        <f>G15*E15</f>
        <v>2761713.36</v>
      </c>
      <c r="G15" s="209">
        <v>5479.59</v>
      </c>
      <c r="H15" s="255" t="s">
        <v>272</v>
      </c>
      <c r="I15" s="211">
        <v>45378</v>
      </c>
      <c r="J15" s="209">
        <f>CONVERSIONES!$D$51</f>
        <v>8.33</v>
      </c>
      <c r="K15" s="209">
        <f>CONVERSIONES!$D$53*$K$1</f>
        <v>6.66</v>
      </c>
      <c r="L15" s="209">
        <f t="shared" si="0"/>
        <v>5464.6</v>
      </c>
      <c r="M15" s="209">
        <f>CONVERSIONES!$D$56*$M$1</f>
        <v>0</v>
      </c>
      <c r="N15" s="209">
        <f t="shared" si="1"/>
        <v>5464.6</v>
      </c>
      <c r="O15" s="222">
        <v>495</v>
      </c>
      <c r="P15" s="293">
        <f t="shared" si="4"/>
        <v>2704977</v>
      </c>
      <c r="Q15" s="218"/>
      <c r="R15" s="253">
        <f>P15-F15</f>
        <v>-56736.35999999987</v>
      </c>
      <c r="S15" s="226">
        <f t="shared" si="3"/>
        <v>-114.61890909090883</v>
      </c>
    </row>
    <row r="16" spans="1:20" ht="30" customHeight="1">
      <c r="B16" s="221">
        <v>45357</v>
      </c>
      <c r="C16" s="233">
        <v>119</v>
      </c>
      <c r="D16" s="208" t="s">
        <v>287</v>
      </c>
      <c r="E16" s="222">
        <v>504</v>
      </c>
      <c r="F16" s="223">
        <v>3738167.84</v>
      </c>
      <c r="G16" s="209">
        <f t="shared" si="5"/>
        <v>7416.999682539682</v>
      </c>
      <c r="H16" s="210" t="s">
        <v>272</v>
      </c>
      <c r="I16" s="211">
        <v>45378</v>
      </c>
      <c r="J16" s="209">
        <f>CONVERSIONES!$E$51+CONVERSIONES!$F$51</f>
        <v>16.68</v>
      </c>
      <c r="K16" s="209">
        <f>(CONVERSIONES!$E$53+CONVERSIONES!$F$53)*$K$1</f>
        <v>13.36</v>
      </c>
      <c r="L16" s="209">
        <f t="shared" si="0"/>
        <v>7386.959682539682</v>
      </c>
      <c r="M16" s="209">
        <f>(CONVERSIONES!$E$56+CONVERSIONES!$F$56)*$M$1</f>
        <v>0</v>
      </c>
      <c r="N16" s="209">
        <f t="shared" si="1"/>
        <v>7386.959682539682</v>
      </c>
      <c r="O16" s="222">
        <v>495</v>
      </c>
      <c r="P16" s="293">
        <f t="shared" si="4"/>
        <v>3656545.0428571426</v>
      </c>
      <c r="Q16" s="218"/>
      <c r="R16" s="253">
        <f t="shared" si="2"/>
        <v>-81622.79714285722</v>
      </c>
      <c r="S16" s="226">
        <f t="shared" si="3"/>
        <v>-164.89453968253983</v>
      </c>
    </row>
    <row r="17" spans="2:20">
      <c r="B17" s="221">
        <v>45357</v>
      </c>
      <c r="C17" s="233">
        <v>120</v>
      </c>
      <c r="D17" s="208" t="s">
        <v>288</v>
      </c>
      <c r="E17" s="222">
        <v>504</v>
      </c>
      <c r="F17" s="223">
        <v>1229670</v>
      </c>
      <c r="G17" s="209">
        <f t="shared" si="5"/>
        <v>2439.8214285714284</v>
      </c>
      <c r="H17" s="210" t="s">
        <v>272</v>
      </c>
      <c r="I17" s="211">
        <v>45378</v>
      </c>
      <c r="J17" s="209">
        <f>CONVERSIONES!$G$51</f>
        <v>8.33</v>
      </c>
      <c r="K17" s="209">
        <f>CONVERSIONES!$G$53*$K$1</f>
        <v>6.66</v>
      </c>
      <c r="L17" s="209">
        <f t="shared" si="0"/>
        <v>2424.8314285714287</v>
      </c>
      <c r="M17" s="209">
        <f>CONVERSIONES!$G$56*$M$1</f>
        <v>0</v>
      </c>
      <c r="N17" s="209">
        <f t="shared" si="1"/>
        <v>2424.8314285714287</v>
      </c>
      <c r="O17" s="222">
        <v>495</v>
      </c>
      <c r="P17" s="293">
        <f t="shared" si="4"/>
        <v>1200291.5571428572</v>
      </c>
      <c r="Q17" s="218"/>
      <c r="R17" s="253">
        <f t="shared" si="2"/>
        <v>-29378.442857142771</v>
      </c>
      <c r="S17" s="226">
        <f t="shared" si="3"/>
        <v>-59.350389610389435</v>
      </c>
    </row>
    <row r="18" spans="2:20">
      <c r="B18" s="221">
        <v>45357</v>
      </c>
      <c r="C18" s="233">
        <v>121</v>
      </c>
      <c r="D18" s="208" t="s">
        <v>315</v>
      </c>
      <c r="E18" s="222">
        <v>495</v>
      </c>
      <c r="F18" s="230">
        <f>G18*E18</f>
        <v>5545712.6999999993</v>
      </c>
      <c r="G18" s="209">
        <v>11203.46</v>
      </c>
      <c r="H18" s="210" t="s">
        <v>272</v>
      </c>
      <c r="I18" s="211">
        <v>45378</v>
      </c>
      <c r="J18" s="209">
        <f>CONVERSIONES!$H$51</f>
        <v>8.33</v>
      </c>
      <c r="K18" s="209">
        <f>CONVERSIONES!$H$53*$K$1</f>
        <v>6.66</v>
      </c>
      <c r="L18" s="209">
        <f t="shared" si="0"/>
        <v>11188.47</v>
      </c>
      <c r="M18" s="209">
        <f>CONVERSIONES!$H$56*$M$1</f>
        <v>0</v>
      </c>
      <c r="N18" s="209">
        <f t="shared" si="1"/>
        <v>11188.47</v>
      </c>
      <c r="O18" s="222">
        <v>495</v>
      </c>
      <c r="P18" s="292">
        <f t="shared" si="4"/>
        <v>5538292.6499999994</v>
      </c>
      <c r="Q18" s="218"/>
      <c r="R18" s="231">
        <f t="shared" si="2"/>
        <v>-7420.0499999998137</v>
      </c>
      <c r="S18" s="232">
        <f t="shared" si="3"/>
        <v>-14.989999999999624</v>
      </c>
    </row>
    <row r="19" spans="2:20" ht="35.25" customHeight="1">
      <c r="B19" s="221">
        <v>45390</v>
      </c>
      <c r="C19" s="225">
        <v>122</v>
      </c>
      <c r="D19" s="284" t="s">
        <v>353</v>
      </c>
      <c r="E19" s="222">
        <v>493</v>
      </c>
      <c r="F19" s="230">
        <v>2572621.09</v>
      </c>
      <c r="G19" s="209">
        <f>F19/E19</f>
        <v>5218.2983569979715</v>
      </c>
      <c r="H19" s="210" t="s">
        <v>272</v>
      </c>
      <c r="I19" s="211">
        <v>45411</v>
      </c>
      <c r="J19" s="209">
        <f>CONVERSIONES!$C$69</f>
        <v>15.83</v>
      </c>
      <c r="K19" s="209">
        <f>CONVERSIONES!$C$71*$K$1</f>
        <v>9</v>
      </c>
      <c r="L19" s="209">
        <f t="shared" si="0"/>
        <v>5193.4683569979716</v>
      </c>
      <c r="M19" s="209">
        <f>CONVERSIONES!$C$74*$M$1</f>
        <v>0</v>
      </c>
      <c r="N19" s="209">
        <f t="shared" si="1"/>
        <v>5193.4683569979716</v>
      </c>
      <c r="O19" s="222">
        <v>500</v>
      </c>
      <c r="P19" s="292">
        <f t="shared" si="4"/>
        <v>2596734.1784989857</v>
      </c>
      <c r="Q19" s="218"/>
      <c r="R19" s="231">
        <f t="shared" si="2"/>
        <v>24113.08849898586</v>
      </c>
      <c r="S19" s="232">
        <f t="shared" si="3"/>
        <v>48.22617699797172</v>
      </c>
    </row>
    <row r="20" spans="2:20" ht="39.75" customHeight="1">
      <c r="B20" s="221">
        <v>45390</v>
      </c>
      <c r="C20" s="225">
        <v>122</v>
      </c>
      <c r="D20" s="283" t="s">
        <v>352</v>
      </c>
      <c r="E20" s="222">
        <v>493</v>
      </c>
      <c r="F20" s="223">
        <f>G20*E20</f>
        <v>2701437.87</v>
      </c>
      <c r="G20" s="209">
        <v>5479.59</v>
      </c>
      <c r="H20" s="210" t="s">
        <v>272</v>
      </c>
      <c r="I20" s="211">
        <v>45411</v>
      </c>
      <c r="J20" s="209">
        <f>CONVERSIONES!$D$69</f>
        <v>15.83</v>
      </c>
      <c r="K20" s="209">
        <f>CONVERSIONES!$D$71*$K$1</f>
        <v>9</v>
      </c>
      <c r="L20" s="209">
        <f t="shared" si="0"/>
        <v>5454.76</v>
      </c>
      <c r="M20" s="209">
        <f>CONVERSIONES!$D$74*$M$1</f>
        <v>0</v>
      </c>
      <c r="N20" s="209">
        <f t="shared" si="1"/>
        <v>5454.76</v>
      </c>
      <c r="O20" s="222">
        <v>500</v>
      </c>
      <c r="P20" s="293">
        <f t="shared" si="4"/>
        <v>2727380</v>
      </c>
      <c r="Q20" s="218"/>
      <c r="R20" s="253">
        <f t="shared" si="2"/>
        <v>25942.129999999888</v>
      </c>
      <c r="S20" s="226">
        <f t="shared" si="3"/>
        <v>51.884259999999777</v>
      </c>
    </row>
    <row r="21" spans="2:20" ht="30" customHeight="1">
      <c r="B21" s="221">
        <v>45390</v>
      </c>
      <c r="C21" s="225">
        <v>123</v>
      </c>
      <c r="D21" s="208" t="s">
        <v>289</v>
      </c>
      <c r="E21" s="222">
        <v>493</v>
      </c>
      <c r="F21" s="223">
        <v>4450025.4000000004</v>
      </c>
      <c r="G21" s="209">
        <f>F21/E21</f>
        <v>9026.4206896551732</v>
      </c>
      <c r="H21" s="210" t="s">
        <v>272</v>
      </c>
      <c r="I21" s="211">
        <v>45412</v>
      </c>
      <c r="J21" s="209">
        <f>CONVERSIONES!$E$69+CONVERSIONES!$F$69</f>
        <v>31.68</v>
      </c>
      <c r="K21" s="209">
        <f>(CONVERSIONES!$E$71+CONVERSIONES!$F$71)*$K$1</f>
        <v>18</v>
      </c>
      <c r="L21" s="209">
        <f t="shared" si="0"/>
        <v>8976.7406896551729</v>
      </c>
      <c r="M21" s="209">
        <f>(CONVERSIONES!E74+CONVERSIONES!F74)*$M$1</f>
        <v>0</v>
      </c>
      <c r="N21" s="209">
        <f t="shared" si="1"/>
        <v>8976.7406896551729</v>
      </c>
      <c r="O21" s="222">
        <v>501</v>
      </c>
      <c r="P21" s="293">
        <f t="shared" si="4"/>
        <v>4497347.0855172416</v>
      </c>
      <c r="Q21" s="218"/>
      <c r="R21" s="253">
        <f t="shared" si="2"/>
        <v>47321.685517241247</v>
      </c>
      <c r="S21" s="226">
        <f t="shared" si="3"/>
        <v>94.454462110261971</v>
      </c>
      <c r="T21" s="244"/>
    </row>
    <row r="22" spans="2:20">
      <c r="B22" s="221">
        <v>45390</v>
      </c>
      <c r="C22" s="225">
        <v>124</v>
      </c>
      <c r="D22" s="208" t="s">
        <v>290</v>
      </c>
      <c r="E22" s="222">
        <v>493</v>
      </c>
      <c r="F22" s="223">
        <v>1227910</v>
      </c>
      <c r="G22" s="209">
        <f>F22/E22</f>
        <v>2490.6896551724139</v>
      </c>
      <c r="H22" s="210" t="s">
        <v>272</v>
      </c>
      <c r="I22" s="211">
        <v>45412</v>
      </c>
      <c r="J22" s="209">
        <f>CONVERSIONES!$G$69</f>
        <v>15.83</v>
      </c>
      <c r="K22" s="209">
        <f>CONVERSIONES!$G$71*$K$1</f>
        <v>9</v>
      </c>
      <c r="L22" s="209">
        <f t="shared" si="0"/>
        <v>2465.859655172414</v>
      </c>
      <c r="M22" s="209">
        <f>CONVERSIONES!$G$74*$M$1</f>
        <v>0</v>
      </c>
      <c r="N22" s="209">
        <f t="shared" si="1"/>
        <v>2465.859655172414</v>
      </c>
      <c r="O22" s="222">
        <v>501</v>
      </c>
      <c r="P22" s="293">
        <f t="shared" si="4"/>
        <v>1235395.6872413794</v>
      </c>
      <c r="Q22" s="218"/>
      <c r="R22" s="253">
        <f t="shared" si="2"/>
        <v>7485.6872413794044</v>
      </c>
      <c r="S22" s="226">
        <f t="shared" si="3"/>
        <v>14.941491499759291</v>
      </c>
    </row>
    <row r="23" spans="2:20">
      <c r="B23" s="221">
        <v>45390</v>
      </c>
      <c r="C23" s="225">
        <v>125</v>
      </c>
      <c r="D23" s="208" t="s">
        <v>316</v>
      </c>
      <c r="E23" s="222">
        <v>493</v>
      </c>
      <c r="F23" s="230">
        <v>5523305.7799999993</v>
      </c>
      <c r="G23" s="209">
        <f>F23/E23</f>
        <v>11203.46</v>
      </c>
      <c r="H23" s="210" t="s">
        <v>272</v>
      </c>
      <c r="I23" s="211">
        <v>45412</v>
      </c>
      <c r="J23" s="209">
        <f>CONVERSIONES!$H$69</f>
        <v>15.83</v>
      </c>
      <c r="K23" s="209">
        <f>CONVERSIONES!$H$71*$K$1</f>
        <v>9</v>
      </c>
      <c r="L23" s="209">
        <f t="shared" si="0"/>
        <v>11178.63</v>
      </c>
      <c r="M23" s="209">
        <f>CONVERSIONES!$H$74*$M$1</f>
        <v>0</v>
      </c>
      <c r="N23" s="209">
        <f t="shared" si="1"/>
        <v>11178.63</v>
      </c>
      <c r="O23" s="222">
        <v>501</v>
      </c>
      <c r="P23" s="292">
        <f t="shared" si="4"/>
        <v>5600493.6299999999</v>
      </c>
      <c r="Q23" s="218"/>
      <c r="R23" s="231">
        <f t="shared" si="2"/>
        <v>77187.850000000559</v>
      </c>
      <c r="S23" s="232">
        <f t="shared" si="3"/>
        <v>154.06756487026058</v>
      </c>
    </row>
    <row r="24" spans="2:20" ht="43.2">
      <c r="B24" s="221">
        <v>45419</v>
      </c>
      <c r="C24" s="233">
        <v>126</v>
      </c>
      <c r="D24" s="284" t="s">
        <v>439</v>
      </c>
      <c r="E24" s="222">
        <v>493</v>
      </c>
      <c r="F24" s="230">
        <f>G24*E24</f>
        <v>2701437.87</v>
      </c>
      <c r="G24" s="209">
        <v>5479.59</v>
      </c>
      <c r="H24" s="210" t="s">
        <v>272</v>
      </c>
      <c r="I24" s="211">
        <v>45442</v>
      </c>
      <c r="J24" s="209">
        <f>CONVERSIONES!$C$86</f>
        <v>7.16</v>
      </c>
      <c r="K24" s="209">
        <f>CONVERSIONES!$C$88*$K$1</f>
        <v>4</v>
      </c>
      <c r="L24" s="209">
        <f t="shared" si="0"/>
        <v>5468.43</v>
      </c>
      <c r="M24" s="209">
        <f>CONVERSIONES!$C$91*$M$1</f>
        <v>0</v>
      </c>
      <c r="N24" s="209">
        <f t="shared" si="1"/>
        <v>5468.43</v>
      </c>
      <c r="O24" s="222">
        <v>521</v>
      </c>
      <c r="P24" s="292">
        <f t="shared" si="4"/>
        <v>2849052.0300000003</v>
      </c>
      <c r="Q24" s="218"/>
      <c r="R24" s="231">
        <f t="shared" si="2"/>
        <v>147614.16000000015</v>
      </c>
      <c r="S24" s="232">
        <f t="shared" si="3"/>
        <v>283.32852207293695</v>
      </c>
    </row>
    <row r="25" spans="2:20" ht="28.8">
      <c r="B25" s="221">
        <v>45419</v>
      </c>
      <c r="C25" s="233">
        <v>126</v>
      </c>
      <c r="D25" s="283" t="s">
        <v>357</v>
      </c>
      <c r="E25" s="222">
        <v>493</v>
      </c>
      <c r="F25" s="223">
        <v>2572621.09</v>
      </c>
      <c r="G25" s="209">
        <f>F25/E25</f>
        <v>5218.2983569979715</v>
      </c>
      <c r="H25" s="210" t="s">
        <v>272</v>
      </c>
      <c r="I25" s="211">
        <v>45442</v>
      </c>
      <c r="J25" s="209">
        <f>CONVERSIONES!$D$86</f>
        <v>7.14</v>
      </c>
      <c r="K25" s="209">
        <f>CONVERSIONES!$D$88*$K$1</f>
        <v>4</v>
      </c>
      <c r="L25" s="209">
        <f t="shared" si="0"/>
        <v>5207.1583569979712</v>
      </c>
      <c r="M25" s="209">
        <f>CONVERSIONES!$D$91*$M$1</f>
        <v>0</v>
      </c>
      <c r="N25" s="209">
        <f t="shared" si="1"/>
        <v>5207.1583569979712</v>
      </c>
      <c r="O25" s="222">
        <v>521</v>
      </c>
      <c r="P25" s="293">
        <f t="shared" si="4"/>
        <v>2712929.5039959429</v>
      </c>
      <c r="Q25" s="218"/>
      <c r="R25" s="253">
        <f t="shared" si="2"/>
        <v>140308.41399594303</v>
      </c>
      <c r="S25" s="226">
        <f t="shared" si="3"/>
        <v>269.30597695958357</v>
      </c>
    </row>
    <row r="26" spans="2:20">
      <c r="B26" s="221">
        <v>45419</v>
      </c>
      <c r="C26" s="233">
        <v>127</v>
      </c>
      <c r="D26" s="208" t="s">
        <v>356</v>
      </c>
      <c r="E26" s="222">
        <v>493</v>
      </c>
      <c r="F26" s="223">
        <v>4450025.4000000004</v>
      </c>
      <c r="G26" s="209">
        <f>F26/E26</f>
        <v>9026.4206896551732</v>
      </c>
      <c r="H26" s="210" t="s">
        <v>272</v>
      </c>
      <c r="I26" s="211">
        <v>45442</v>
      </c>
      <c r="J26" s="209">
        <f>CONVERSIONES!$E$86+CONVERSIONES!$F$86</f>
        <v>14.28</v>
      </c>
      <c r="K26" s="209">
        <f>(CONVERSIONES!E88+CONVERSIONES!F88)*$K$1</f>
        <v>8</v>
      </c>
      <c r="L26" s="209">
        <f t="shared" si="0"/>
        <v>9004.1406896551725</v>
      </c>
      <c r="M26" s="209">
        <f>(CONVERSIONES!$E$91+CONVERSIONES!$F$91)*$M$1</f>
        <v>0</v>
      </c>
      <c r="N26" s="209">
        <f t="shared" si="1"/>
        <v>9004.1406896551725</v>
      </c>
      <c r="O26" s="222">
        <v>521</v>
      </c>
      <c r="P26" s="293">
        <f t="shared" si="4"/>
        <v>4691157.2993103452</v>
      </c>
      <c r="Q26" s="218"/>
      <c r="R26" s="253">
        <f t="shared" si="2"/>
        <v>241131.89931034483</v>
      </c>
      <c r="S26" s="226">
        <f t="shared" si="3"/>
        <v>462.8251426302204</v>
      </c>
    </row>
    <row r="27" spans="2:20">
      <c r="B27" s="221">
        <v>45419</v>
      </c>
      <c r="C27" s="233">
        <v>128</v>
      </c>
      <c r="D27" s="208" t="s">
        <v>355</v>
      </c>
      <c r="E27" s="222">
        <v>493</v>
      </c>
      <c r="F27" s="223">
        <v>496380</v>
      </c>
      <c r="G27" s="209">
        <f>F27/E27</f>
        <v>1006.8559837728195</v>
      </c>
      <c r="H27" s="210" t="s">
        <v>272</v>
      </c>
      <c r="I27" s="211">
        <v>45442</v>
      </c>
      <c r="J27" s="209">
        <f>CONVERSIONES!$G$86</f>
        <v>7.14</v>
      </c>
      <c r="K27" s="209">
        <f>CONVERSIONES!$G$88*$K$1</f>
        <v>8</v>
      </c>
      <c r="L27" s="209">
        <f t="shared" si="0"/>
        <v>991.71598377281953</v>
      </c>
      <c r="M27" s="209">
        <f>CONVERSIONES!$G$91*$M$1</f>
        <v>0</v>
      </c>
      <c r="N27" s="209">
        <f t="shared" si="1"/>
        <v>991.71598377281953</v>
      </c>
      <c r="O27" s="222">
        <v>521</v>
      </c>
      <c r="P27" s="293">
        <f t="shared" si="4"/>
        <v>516684.02754563896</v>
      </c>
      <c r="Q27" s="218"/>
      <c r="R27" s="253">
        <f t="shared" si="2"/>
        <v>20304.027545638965</v>
      </c>
      <c r="S27" s="226">
        <f t="shared" si="3"/>
        <v>38.97126208376001</v>
      </c>
    </row>
    <row r="28" spans="2:20">
      <c r="B28" s="221">
        <v>45419</v>
      </c>
      <c r="C28" s="233">
        <v>129</v>
      </c>
      <c r="D28" s="208" t="s">
        <v>358</v>
      </c>
      <c r="E28" s="222">
        <v>493</v>
      </c>
      <c r="F28" s="230">
        <f>G28*E28</f>
        <v>5523305.7799999993</v>
      </c>
      <c r="G28" s="209">
        <v>11203.46</v>
      </c>
      <c r="H28" s="210" t="s">
        <v>272</v>
      </c>
      <c r="I28" s="211">
        <v>45442</v>
      </c>
      <c r="J28" s="209">
        <f>CONVERSIONES!$H$86</f>
        <v>7.14</v>
      </c>
      <c r="K28" s="209">
        <f>CONVERSIONES!$H$88*$K$1</f>
        <v>8</v>
      </c>
      <c r="L28" s="209">
        <f t="shared" si="0"/>
        <v>11188.32</v>
      </c>
      <c r="M28" s="209">
        <f>CONVERSIONES!$H$91*$M$1</f>
        <v>0</v>
      </c>
      <c r="N28" s="209">
        <f t="shared" si="1"/>
        <v>11188.32</v>
      </c>
      <c r="O28" s="222">
        <v>521</v>
      </c>
      <c r="P28" s="292">
        <f t="shared" si="4"/>
        <v>5829114.7199999997</v>
      </c>
      <c r="Q28" s="218"/>
      <c r="R28" s="231">
        <f t="shared" si="2"/>
        <v>305808.94000000041</v>
      </c>
      <c r="S28" s="232">
        <f t="shared" si="3"/>
        <v>586.96533589251521</v>
      </c>
    </row>
    <row r="29" spans="2:20">
      <c r="B29" s="221">
        <v>45419</v>
      </c>
      <c r="C29" s="233">
        <v>130</v>
      </c>
      <c r="D29" s="208" t="s">
        <v>380</v>
      </c>
      <c r="E29" s="222">
        <v>493</v>
      </c>
      <c r="F29" s="223">
        <v>1203015.6299999999</v>
      </c>
      <c r="G29" s="209">
        <f>F29/E29</f>
        <v>2440.1939756592292</v>
      </c>
      <c r="H29" s="210" t="s">
        <v>272</v>
      </c>
      <c r="I29" s="211">
        <v>45442</v>
      </c>
      <c r="J29" s="209">
        <f>CONVERSIONES!$I$86</f>
        <v>7.14</v>
      </c>
      <c r="K29" s="209">
        <f>CONVERSIONES!$I$88*$K$1</f>
        <v>8</v>
      </c>
      <c r="L29" s="209">
        <f t="shared" si="0"/>
        <v>2425.0539756592293</v>
      </c>
      <c r="M29" s="209">
        <f>CONVERSIONES!$I$91*$M$1</f>
        <v>0</v>
      </c>
      <c r="N29" s="209">
        <f t="shared" si="1"/>
        <v>2425.0539756592293</v>
      </c>
      <c r="O29" s="222">
        <v>521</v>
      </c>
      <c r="P29" s="293">
        <f t="shared" si="4"/>
        <v>1263453.1213184586</v>
      </c>
      <c r="Q29" s="218"/>
      <c r="R29" s="253">
        <f t="shared" si="2"/>
        <v>60437.491318458691</v>
      </c>
      <c r="S29" s="226">
        <f t="shared" si="3"/>
        <v>116.00286241546773</v>
      </c>
    </row>
    <row r="30" spans="2:20" ht="43.2">
      <c r="B30" s="221">
        <v>45450</v>
      </c>
      <c r="C30" s="225">
        <v>131</v>
      </c>
      <c r="D30" s="284" t="s">
        <v>377</v>
      </c>
      <c r="E30" s="222">
        <v>519</v>
      </c>
      <c r="F30" s="230">
        <f>G30*E30</f>
        <v>2843907.21</v>
      </c>
      <c r="G30" s="209">
        <v>5479.59</v>
      </c>
      <c r="H30" s="210" t="s">
        <v>272</v>
      </c>
      <c r="I30" s="211">
        <v>45467</v>
      </c>
      <c r="J30" s="209">
        <f>CONVERSIONES!C103</f>
        <v>6.25</v>
      </c>
      <c r="K30" s="209">
        <f>CONVERSIONES!$C$105*$K$1</f>
        <v>5</v>
      </c>
      <c r="L30" s="209">
        <f t="shared" si="0"/>
        <v>5468.34</v>
      </c>
      <c r="M30" s="209">
        <f>CONVERSIONES!$C$108*$M$1</f>
        <v>0</v>
      </c>
      <c r="N30" s="209">
        <f t="shared" si="1"/>
        <v>5468.34</v>
      </c>
      <c r="O30" s="222">
        <v>520</v>
      </c>
      <c r="P30" s="292">
        <f t="shared" si="4"/>
        <v>2843536.8000000003</v>
      </c>
      <c r="Q30" s="218"/>
      <c r="R30" s="231">
        <f t="shared" si="2"/>
        <v>-370.40999999968335</v>
      </c>
      <c r="S30" s="232">
        <f t="shared" ref="S30:S54" si="6">IFERROR(R30/O30,0)</f>
        <v>-0.71232692307631418</v>
      </c>
    </row>
    <row r="31" spans="2:20" ht="28.8">
      <c r="B31" s="221">
        <v>45450</v>
      </c>
      <c r="C31" s="225">
        <v>131</v>
      </c>
      <c r="D31" s="283" t="s">
        <v>431</v>
      </c>
      <c r="E31" s="222">
        <v>519</v>
      </c>
      <c r="F31" s="223">
        <v>2576781.08</v>
      </c>
      <c r="G31" s="209">
        <f>F31/E31</f>
        <v>4964.8961078998072</v>
      </c>
      <c r="H31" s="210" t="s">
        <v>272</v>
      </c>
      <c r="I31" s="211">
        <v>45467</v>
      </c>
      <c r="J31" s="209">
        <f>CONVERSIONES!$D$103</f>
        <v>6.25</v>
      </c>
      <c r="K31" s="209">
        <f>CONVERSIONES!$D$105*$K$1</f>
        <v>5</v>
      </c>
      <c r="L31" s="209">
        <f t="shared" si="0"/>
        <v>4953.6461078998072</v>
      </c>
      <c r="M31" s="209">
        <f>CONVERSIONES!$D$108*$M$1</f>
        <v>0</v>
      </c>
      <c r="N31" s="209">
        <f t="shared" si="1"/>
        <v>4953.6461078998072</v>
      </c>
      <c r="O31" s="222">
        <v>520</v>
      </c>
      <c r="P31" s="293">
        <f t="shared" si="4"/>
        <v>2575895.9761078996</v>
      </c>
      <c r="Q31" s="218"/>
      <c r="R31" s="253">
        <f t="shared" si="2"/>
        <v>-885.10389210050926</v>
      </c>
      <c r="S31" s="226">
        <f t="shared" si="6"/>
        <v>-1.7021228694240562</v>
      </c>
    </row>
    <row r="32" spans="2:20">
      <c r="B32" s="221">
        <v>45450</v>
      </c>
      <c r="C32" s="233">
        <v>132</v>
      </c>
      <c r="D32" s="208" t="s">
        <v>378</v>
      </c>
      <c r="E32" s="222">
        <v>519</v>
      </c>
      <c r="F32" s="223">
        <v>4458345.4000000004</v>
      </c>
      <c r="G32" s="209">
        <f>F32/E32</f>
        <v>8590.2608863198457</v>
      </c>
      <c r="H32" s="210" t="s">
        <v>272</v>
      </c>
      <c r="I32" s="211">
        <v>45467</v>
      </c>
      <c r="J32" s="209">
        <f>CONVERSIONES!$E$103+CONVERSIONES!$F$103</f>
        <v>12.5</v>
      </c>
      <c r="K32" s="209">
        <f>(CONVERSIONES!$E$105+CONVERSIONES!$F$105)*$K$1</f>
        <v>10</v>
      </c>
      <c r="L32" s="209">
        <f t="shared" si="0"/>
        <v>8567.7608863198457</v>
      </c>
      <c r="M32" s="209">
        <f>(CONVERSIONES!$E$108+CONVERSIONES!$F$108)*$M$1</f>
        <v>0</v>
      </c>
      <c r="N32" s="209">
        <f t="shared" si="1"/>
        <v>8567.7608863198457</v>
      </c>
      <c r="O32" s="222">
        <v>520</v>
      </c>
      <c r="P32" s="293">
        <f t="shared" si="4"/>
        <v>4455235.6608863194</v>
      </c>
      <c r="Q32" s="218"/>
      <c r="R32" s="253">
        <f t="shared" si="2"/>
        <v>-3109.7391136810184</v>
      </c>
      <c r="S32" s="226">
        <f t="shared" si="6"/>
        <v>-5.9802675263096505</v>
      </c>
    </row>
    <row r="33" spans="2:19">
      <c r="B33" s="221">
        <v>45450</v>
      </c>
      <c r="C33" s="233">
        <v>133</v>
      </c>
      <c r="D33" s="208" t="s">
        <v>379</v>
      </c>
      <c r="E33" s="222">
        <v>519</v>
      </c>
      <c r="F33" s="230">
        <f>G33*E33</f>
        <v>5814595.7399999993</v>
      </c>
      <c r="G33" s="209">
        <v>11203.46</v>
      </c>
      <c r="H33" s="210" t="s">
        <v>272</v>
      </c>
      <c r="I33" s="211">
        <v>45467</v>
      </c>
      <c r="J33" s="209">
        <f>CONVERSIONES!$G$103</f>
        <v>12.5</v>
      </c>
      <c r="K33" s="209">
        <f>CONVERSIONES!G105*$K$1</f>
        <v>10</v>
      </c>
      <c r="L33" s="209">
        <f t="shared" si="0"/>
        <v>11180.96</v>
      </c>
      <c r="M33" s="209">
        <f>CONVERSIONES!$G$108*$M$1</f>
        <v>0</v>
      </c>
      <c r="N33" s="209">
        <f t="shared" si="1"/>
        <v>11180.96</v>
      </c>
      <c r="O33" s="222">
        <v>520</v>
      </c>
      <c r="P33" s="292">
        <f t="shared" si="4"/>
        <v>5814099.1999999993</v>
      </c>
      <c r="Q33" s="218"/>
      <c r="R33" s="231">
        <f t="shared" si="2"/>
        <v>-496.54000000003725</v>
      </c>
      <c r="S33" s="232">
        <f t="shared" si="6"/>
        <v>-0.95488461538468705</v>
      </c>
    </row>
    <row r="34" spans="2:19">
      <c r="B34" s="221">
        <v>45450</v>
      </c>
      <c r="C34" s="233">
        <v>134</v>
      </c>
      <c r="D34" s="208" t="s">
        <v>381</v>
      </c>
      <c r="E34" s="222">
        <v>519</v>
      </c>
      <c r="F34" s="223">
        <v>1207175.6299999999</v>
      </c>
      <c r="G34" s="209">
        <f>F34/E34</f>
        <v>2325.9646050096335</v>
      </c>
      <c r="H34" s="210" t="s">
        <v>272</v>
      </c>
      <c r="I34" s="211">
        <v>45467</v>
      </c>
      <c r="J34" s="209">
        <f>CONVERSIONES!$H$103</f>
        <v>12.5</v>
      </c>
      <c r="K34" s="209">
        <f>CONVERSIONES!H105*$K$1</f>
        <v>10</v>
      </c>
      <c r="L34" s="209">
        <f t="shared" si="0"/>
        <v>2303.4646050096335</v>
      </c>
      <c r="M34" s="209">
        <f>CONVERSIONES!$H$108*$M$1</f>
        <v>0</v>
      </c>
      <c r="N34" s="209">
        <f t="shared" si="1"/>
        <v>2303.4646050096335</v>
      </c>
      <c r="O34" s="222">
        <v>520</v>
      </c>
      <c r="P34" s="293">
        <f t="shared" si="4"/>
        <v>1197801.5946050093</v>
      </c>
      <c r="Q34" s="218"/>
      <c r="R34" s="253">
        <f t="shared" si="2"/>
        <v>-9374.0353949905839</v>
      </c>
      <c r="S34" s="226">
        <f t="shared" si="6"/>
        <v>-18.026991144212662</v>
      </c>
    </row>
    <row r="35" spans="2:19" ht="28.8">
      <c r="B35" s="221">
        <v>45464</v>
      </c>
      <c r="C35" s="233">
        <v>135</v>
      </c>
      <c r="D35" s="283" t="s">
        <v>432</v>
      </c>
      <c r="E35" s="222">
        <v>519</v>
      </c>
      <c r="F35" s="223">
        <v>549554.82999999996</v>
      </c>
      <c r="G35" s="209">
        <f>F35/E35</f>
        <v>1058.8725048169556</v>
      </c>
      <c r="H35" s="210" t="s">
        <v>272</v>
      </c>
      <c r="I35" s="211">
        <v>45470</v>
      </c>
      <c r="J35" s="209">
        <f>CONVERSIONES!$I$103</f>
        <v>40</v>
      </c>
      <c r="K35" s="209">
        <f>CONVERSIONES!$I$105*$K$1</f>
        <v>20</v>
      </c>
      <c r="L35" s="209">
        <f t="shared" si="0"/>
        <v>998.8725048169556</v>
      </c>
      <c r="M35" s="209">
        <f>CONVERSIONES!I108*$M$1</f>
        <v>0</v>
      </c>
      <c r="N35" s="209">
        <f t="shared" si="1"/>
        <v>998.8725048169556</v>
      </c>
      <c r="O35" s="222">
        <v>520</v>
      </c>
      <c r="P35" s="293">
        <f t="shared" si="4"/>
        <v>519413.70250481693</v>
      </c>
      <c r="Q35" s="218"/>
      <c r="R35" s="253">
        <f t="shared" si="2"/>
        <v>-30141.127495183027</v>
      </c>
      <c r="S35" s="226">
        <f t="shared" si="6"/>
        <v>-57.963706721505822</v>
      </c>
    </row>
    <row r="36" spans="2:19" ht="43.2">
      <c r="B36" s="221">
        <v>45481</v>
      </c>
      <c r="C36" s="225">
        <v>140</v>
      </c>
      <c r="D36" s="284" t="s">
        <v>433</v>
      </c>
      <c r="E36" s="222">
        <v>522</v>
      </c>
      <c r="F36" s="230">
        <f>G36*E36</f>
        <v>2860345.98</v>
      </c>
      <c r="G36" s="209">
        <v>5479.59</v>
      </c>
      <c r="H36" s="210" t="s">
        <v>272</v>
      </c>
      <c r="I36" s="211">
        <v>45499</v>
      </c>
      <c r="J36" s="209">
        <f>CONVERSIONES!$E$121</f>
        <v>0</v>
      </c>
      <c r="K36" s="209">
        <f>CONVERSIONES!$E$123</f>
        <v>3.3333333333333335</v>
      </c>
      <c r="L36" s="209">
        <f t="shared" si="0"/>
        <v>5476.2566666666671</v>
      </c>
      <c r="M36" s="209">
        <f>CONVERSIONES!$E$126*$M$1</f>
        <v>0</v>
      </c>
      <c r="N36" s="209">
        <f>+L36-M36</f>
        <v>5476.2566666666671</v>
      </c>
      <c r="O36" s="222">
        <v>518</v>
      </c>
      <c r="P36" s="292">
        <f>N36*O36</f>
        <v>2836700.9533333336</v>
      </c>
      <c r="Q36" s="218"/>
      <c r="R36" s="231">
        <f>P36-F36</f>
        <v>-23645.026666666381</v>
      </c>
      <c r="S36" s="232">
        <f t="shared" si="6"/>
        <v>-45.646769626769078</v>
      </c>
    </row>
    <row r="37" spans="2:19" ht="28.8">
      <c r="B37" s="221">
        <v>45481</v>
      </c>
      <c r="C37" s="233">
        <v>140</v>
      </c>
      <c r="D37" s="283" t="s">
        <v>434</v>
      </c>
      <c r="E37" s="222">
        <v>522</v>
      </c>
      <c r="F37" s="223">
        <v>2577261.09</v>
      </c>
      <c r="G37" s="209">
        <f>F37/E37</f>
        <v>4937.2817816091947</v>
      </c>
      <c r="H37" s="210" t="s">
        <v>272</v>
      </c>
      <c r="I37" s="211">
        <v>45499</v>
      </c>
      <c r="J37" s="209">
        <f>CONVERSIONES!$D$121</f>
        <v>0</v>
      </c>
      <c r="K37" s="209">
        <f>CONVERSIONES!$D$123</f>
        <v>3.3333333333333335</v>
      </c>
      <c r="L37" s="209">
        <f t="shared" si="0"/>
        <v>4933.9484482758617</v>
      </c>
      <c r="M37" s="209">
        <f>CONVERSIONES!$D$126*$M$1</f>
        <v>0</v>
      </c>
      <c r="N37" s="209">
        <f t="shared" si="1"/>
        <v>4933.9484482758617</v>
      </c>
      <c r="O37" s="222">
        <v>518</v>
      </c>
      <c r="P37" s="293">
        <f>N37*O37</f>
        <v>2555785.2962068962</v>
      </c>
      <c r="Q37" s="218"/>
      <c r="R37" s="253">
        <f t="shared" si="2"/>
        <v>-21475.793793103658</v>
      </c>
      <c r="S37" s="226">
        <f t="shared" si="6"/>
        <v>-41.459061376647988</v>
      </c>
    </row>
    <row r="38" spans="2:19" ht="28.8">
      <c r="B38" s="221">
        <v>45481</v>
      </c>
      <c r="C38" s="233">
        <v>140</v>
      </c>
      <c r="D38" s="283" t="s">
        <v>435</v>
      </c>
      <c r="E38" s="222">
        <v>522</v>
      </c>
      <c r="F38" s="223">
        <v>2082868.74</v>
      </c>
      <c r="G38" s="209">
        <f>F38/E38</f>
        <v>3990.17</v>
      </c>
      <c r="H38" s="210" t="s">
        <v>272</v>
      </c>
      <c r="I38" s="211">
        <v>45499</v>
      </c>
      <c r="J38" s="209">
        <f>CONVERSIONES!$C$121</f>
        <v>0</v>
      </c>
      <c r="K38" s="209">
        <f>CONVERSIONES!$C$123</f>
        <v>3.3333333333333335</v>
      </c>
      <c r="L38" s="209">
        <f t="shared" si="0"/>
        <v>3986.8366666666666</v>
      </c>
      <c r="M38" s="209">
        <f>CONVERSIONES!$C$126*'DIFERENCIA CAMBI'!$M$1</f>
        <v>0</v>
      </c>
      <c r="N38" s="209">
        <f t="shared" si="1"/>
        <v>3986.8366666666666</v>
      </c>
      <c r="O38" s="222">
        <v>518</v>
      </c>
      <c r="P38" s="293">
        <f>N38*O38</f>
        <v>2065181.3933333333</v>
      </c>
      <c r="Q38" s="218"/>
      <c r="R38" s="253">
        <f t="shared" si="2"/>
        <v>-17687.346666666679</v>
      </c>
      <c r="S38" s="226">
        <f t="shared" si="6"/>
        <v>-34.145456885456909</v>
      </c>
    </row>
    <row r="39" spans="2:19">
      <c r="B39" s="221">
        <v>45481</v>
      </c>
      <c r="C39" s="233">
        <v>141</v>
      </c>
      <c r="D39" s="208" t="s">
        <v>436</v>
      </c>
      <c r="E39" s="222">
        <v>522</v>
      </c>
      <c r="F39" s="223">
        <v>4459305.4000000004</v>
      </c>
      <c r="G39" s="209">
        <f>F39/E39</f>
        <v>8542.7306513409967</v>
      </c>
      <c r="H39" s="210" t="s">
        <v>272</v>
      </c>
      <c r="I39" s="211">
        <v>45499</v>
      </c>
      <c r="J39" s="209">
        <f>CONVERSIONES!$F$121+CONVERSIONES!$G$121</f>
        <v>0</v>
      </c>
      <c r="K39" s="209">
        <f>CONVERSIONES!$F$123+CONVERSIONES!$G$123</f>
        <v>10</v>
      </c>
      <c r="L39" s="209">
        <f t="shared" si="0"/>
        <v>8532.7306513409967</v>
      </c>
      <c r="M39" s="209">
        <f>(CONVERSIONES!$F$126+CONVERSIONES!$G$126)*$M$1</f>
        <v>0</v>
      </c>
      <c r="N39" s="209">
        <f t="shared" si="1"/>
        <v>8532.7306513409967</v>
      </c>
      <c r="O39" s="222">
        <v>518</v>
      </c>
      <c r="P39" s="293">
        <f>N39*O39</f>
        <v>4419954.4773946367</v>
      </c>
      <c r="Q39" s="218"/>
      <c r="R39" s="253">
        <f t="shared" si="2"/>
        <v>-39350.922605363652</v>
      </c>
      <c r="S39" s="226">
        <f t="shared" si="6"/>
        <v>-75.967032056686591</v>
      </c>
    </row>
    <row r="40" spans="2:19">
      <c r="B40" s="221">
        <v>45481</v>
      </c>
      <c r="C40" s="233">
        <v>138</v>
      </c>
      <c r="D40" s="208" t="s">
        <v>437</v>
      </c>
      <c r="E40" s="222">
        <v>522</v>
      </c>
      <c r="F40" s="230">
        <f>G40*E40</f>
        <v>5848206.1199999992</v>
      </c>
      <c r="G40" s="209">
        <v>11203.46</v>
      </c>
      <c r="H40" s="210" t="s">
        <v>272</v>
      </c>
      <c r="I40" s="211">
        <v>45499</v>
      </c>
      <c r="J40" s="209">
        <f>CONVERSIONES!$H$121</f>
        <v>0</v>
      </c>
      <c r="K40" s="209">
        <f>CONVERSIONES!$H$123</f>
        <v>10</v>
      </c>
      <c r="L40" s="209">
        <f t="shared" si="0"/>
        <v>11193.46</v>
      </c>
      <c r="M40" s="209">
        <f>CONVERSIONES!$H$126*'DIFERENCIA CAMBI'!$M$1</f>
        <v>0</v>
      </c>
      <c r="N40" s="209">
        <f t="shared" si="1"/>
        <v>11193.46</v>
      </c>
      <c r="O40" s="222">
        <v>518</v>
      </c>
      <c r="P40" s="292">
        <f t="shared" si="4"/>
        <v>5798212.2799999993</v>
      </c>
      <c r="Q40" s="218"/>
      <c r="R40" s="231">
        <f>P40-F40</f>
        <v>-49993.839999999851</v>
      </c>
      <c r="S40" s="232">
        <f t="shared" si="6"/>
        <v>-96.513204633204339</v>
      </c>
    </row>
    <row r="41" spans="2:19">
      <c r="B41" s="221">
        <v>45481</v>
      </c>
      <c r="C41" s="233">
        <v>139</v>
      </c>
      <c r="D41" s="208" t="s">
        <v>438</v>
      </c>
      <c r="E41" s="222">
        <v>522</v>
      </c>
      <c r="F41" s="223">
        <v>1207655.6299999999</v>
      </c>
      <c r="G41" s="209">
        <f>F41/E41</f>
        <v>2313.5165325670496</v>
      </c>
      <c r="H41" s="210" t="s">
        <v>272</v>
      </c>
      <c r="I41" s="211">
        <v>45499</v>
      </c>
      <c r="J41" s="209">
        <f>CONVERSIONES!$I$121</f>
        <v>0</v>
      </c>
      <c r="K41" s="209">
        <f>CONVERSIONES!$I$123</f>
        <v>10</v>
      </c>
      <c r="L41" s="209">
        <f t="shared" si="0"/>
        <v>2303.5165325670496</v>
      </c>
      <c r="M41" s="209">
        <f>CONVERSIONES!$I$126*'DIFERENCIA CAMBI'!$M$1</f>
        <v>0</v>
      </c>
      <c r="N41" s="209">
        <f t="shared" si="1"/>
        <v>2303.5165325670496</v>
      </c>
      <c r="O41" s="222">
        <v>518</v>
      </c>
      <c r="P41" s="293">
        <f t="shared" si="4"/>
        <v>1193221.5638697317</v>
      </c>
      <c r="Q41" s="218"/>
      <c r="R41" s="253">
        <f t="shared" si="2"/>
        <v>-14434.066130268155</v>
      </c>
      <c r="S41" s="226">
        <f t="shared" si="6"/>
        <v>-27.864992529475202</v>
      </c>
    </row>
    <row r="42" spans="2:19" ht="43.2">
      <c r="B42" s="221">
        <v>45512</v>
      </c>
      <c r="C42" s="233">
        <v>142</v>
      </c>
      <c r="D42" s="284" t="s">
        <v>461</v>
      </c>
      <c r="E42" s="222">
        <v>518</v>
      </c>
      <c r="F42" s="230">
        <f>G42*E42</f>
        <v>2838427.62</v>
      </c>
      <c r="G42" s="209">
        <v>5479.59</v>
      </c>
      <c r="H42" s="210" t="s">
        <v>272</v>
      </c>
      <c r="I42" s="211">
        <v>45526</v>
      </c>
      <c r="J42" s="209">
        <f>CONVERSIONES!$E$139</f>
        <v>0</v>
      </c>
      <c r="K42" s="209">
        <f>CONVERSIONES!$E$141</f>
        <v>5</v>
      </c>
      <c r="L42" s="209">
        <f t="shared" si="0"/>
        <v>5474.59</v>
      </c>
      <c r="M42" s="209">
        <f>$M$1*CONVERSIONES!$E$144</f>
        <v>0</v>
      </c>
      <c r="N42" s="209">
        <f t="shared" si="1"/>
        <v>5474.59</v>
      </c>
      <c r="O42" s="222">
        <v>512</v>
      </c>
      <c r="P42" s="292">
        <f t="shared" ref="P42:P54" si="7">N42*O42</f>
        <v>2802990.08</v>
      </c>
      <c r="Q42" s="218"/>
      <c r="R42" s="311">
        <f>P42-F42</f>
        <v>-35437.540000000037</v>
      </c>
      <c r="S42" s="232">
        <f t="shared" si="6"/>
        <v>-69.213945312500073</v>
      </c>
    </row>
    <row r="43" spans="2:19" ht="28.8">
      <c r="B43" s="221">
        <v>45512</v>
      </c>
      <c r="C43" s="233">
        <v>142</v>
      </c>
      <c r="D43" s="283" t="s">
        <v>462</v>
      </c>
      <c r="E43" s="222">
        <v>518</v>
      </c>
      <c r="F43" s="223">
        <v>2576621.09</v>
      </c>
      <c r="G43" s="209">
        <f>F43/E43</f>
        <v>4974.1719884169879</v>
      </c>
      <c r="H43" s="210" t="s">
        <v>272</v>
      </c>
      <c r="I43" s="211">
        <v>45526</v>
      </c>
      <c r="J43" s="209">
        <f>CONVERSIONES!$D$139</f>
        <v>0</v>
      </c>
      <c r="K43" s="209">
        <f>CONVERSIONES!$E$141</f>
        <v>5</v>
      </c>
      <c r="L43" s="209">
        <f t="shared" si="0"/>
        <v>4969.1719884169879</v>
      </c>
      <c r="M43" s="209">
        <f>$M$1*CONVERSIONES!$D$144</f>
        <v>0</v>
      </c>
      <c r="N43" s="209">
        <f t="shared" si="1"/>
        <v>4969.1719884169879</v>
      </c>
      <c r="O43" s="222">
        <v>512</v>
      </c>
      <c r="P43" s="293">
        <f t="shared" si="7"/>
        <v>2544216.0580694978</v>
      </c>
      <c r="Q43" s="218"/>
      <c r="R43" s="253">
        <f t="shared" si="2"/>
        <v>-32405.031930502038</v>
      </c>
      <c r="S43" s="226">
        <f t="shared" si="6"/>
        <v>-63.291077989261794</v>
      </c>
    </row>
    <row r="44" spans="2:19" ht="28.8">
      <c r="B44" s="221">
        <v>45512</v>
      </c>
      <c r="C44" s="233">
        <v>142</v>
      </c>
      <c r="D44" s="283" t="s">
        <v>463</v>
      </c>
      <c r="E44" s="222">
        <v>518</v>
      </c>
      <c r="F44" s="223">
        <v>2082229.22</v>
      </c>
      <c r="G44" s="209">
        <f>F44/E44</f>
        <v>4019.7475289575291</v>
      </c>
      <c r="H44" s="210" t="s">
        <v>272</v>
      </c>
      <c r="I44" s="211">
        <v>45526</v>
      </c>
      <c r="J44" s="209">
        <f>CONVERSIONES!$C$139</f>
        <v>0</v>
      </c>
      <c r="K44" s="209">
        <f>CONVERSIONES!$E$141</f>
        <v>5</v>
      </c>
      <c r="L44" s="209">
        <f t="shared" si="0"/>
        <v>4014.7475289575291</v>
      </c>
      <c r="M44" s="209">
        <f>$M$1*CONVERSIONES!$C$144</f>
        <v>0</v>
      </c>
      <c r="N44" s="209">
        <f t="shared" si="1"/>
        <v>4014.7475289575291</v>
      </c>
      <c r="O44" s="222">
        <v>512</v>
      </c>
      <c r="P44" s="293">
        <f t="shared" si="7"/>
        <v>2055550.7348262549</v>
      </c>
      <c r="Q44" s="218"/>
      <c r="R44" s="253">
        <f t="shared" si="2"/>
        <v>-26678.485173745081</v>
      </c>
      <c r="S44" s="226">
        <f t="shared" si="6"/>
        <v>-52.106416354970861</v>
      </c>
    </row>
    <row r="45" spans="2:19">
      <c r="B45" s="221">
        <v>45512</v>
      </c>
      <c r="C45" s="233">
        <v>143</v>
      </c>
      <c r="D45" s="208" t="s">
        <v>464</v>
      </c>
      <c r="E45" s="222">
        <v>518</v>
      </c>
      <c r="F45" s="223">
        <v>4458025.4000000004</v>
      </c>
      <c r="G45" s="209">
        <f>F45/E45</f>
        <v>8606.2266409266413</v>
      </c>
      <c r="H45" s="210" t="s">
        <v>272</v>
      </c>
      <c r="I45" s="211">
        <v>45526</v>
      </c>
      <c r="J45" s="209">
        <f>CONVERSIONES!$F$139+CONVERSIONES!$G$139</f>
        <v>0</v>
      </c>
      <c r="K45" s="209">
        <v>10</v>
      </c>
      <c r="L45" s="209">
        <f t="shared" si="0"/>
        <v>8596.2266409266413</v>
      </c>
      <c r="M45" s="209">
        <f>(CONVERSIONES!F144+CONVERSIONES!G144)*$M$1</f>
        <v>0</v>
      </c>
      <c r="N45" s="209">
        <f t="shared" si="1"/>
        <v>8596.2266409266413</v>
      </c>
      <c r="O45" s="222">
        <v>512</v>
      </c>
      <c r="P45" s="293">
        <f t="shared" si="7"/>
        <v>4401268.0401544403</v>
      </c>
      <c r="Q45" s="218"/>
      <c r="R45" s="253">
        <f t="shared" si="2"/>
        <v>-56757.359845560044</v>
      </c>
      <c r="S45" s="226">
        <f t="shared" si="6"/>
        <v>-110.85421844835946</v>
      </c>
    </row>
    <row r="46" spans="2:19">
      <c r="B46" s="221">
        <v>45512</v>
      </c>
      <c r="C46" s="233">
        <v>144</v>
      </c>
      <c r="D46" s="208" t="s">
        <v>465</v>
      </c>
      <c r="E46" s="222">
        <v>518</v>
      </c>
      <c r="F46" s="230">
        <f>G46*E46</f>
        <v>5803392.2799999993</v>
      </c>
      <c r="G46" s="209">
        <v>11203.46</v>
      </c>
      <c r="H46" s="210" t="s">
        <v>272</v>
      </c>
      <c r="I46" s="211">
        <v>45526</v>
      </c>
      <c r="J46" s="209">
        <f>CONVERSIONES!$H$139</f>
        <v>0</v>
      </c>
      <c r="K46" s="209">
        <f>CONVERSIONES!$E$141</f>
        <v>5</v>
      </c>
      <c r="L46" s="209">
        <f t="shared" si="0"/>
        <v>11198.46</v>
      </c>
      <c r="M46" s="209">
        <f>CONVERSIONES!$H$144*$M$1</f>
        <v>0</v>
      </c>
      <c r="N46" s="209">
        <f t="shared" si="1"/>
        <v>11198.46</v>
      </c>
      <c r="O46" s="222">
        <v>512</v>
      </c>
      <c r="P46" s="292">
        <f t="shared" si="7"/>
        <v>5733611.5199999996</v>
      </c>
      <c r="Q46" s="218"/>
      <c r="R46" s="311">
        <f>P46-F46</f>
        <v>-69780.759999999776</v>
      </c>
      <c r="S46" s="232">
        <f t="shared" si="6"/>
        <v>-136.29054687499956</v>
      </c>
    </row>
    <row r="47" spans="2:19">
      <c r="B47" s="221">
        <v>45512</v>
      </c>
      <c r="C47" s="233">
        <v>145</v>
      </c>
      <c r="D47" s="208" t="s">
        <v>466</v>
      </c>
      <c r="E47" s="222">
        <v>518</v>
      </c>
      <c r="F47" s="223">
        <v>1207015.6299999999</v>
      </c>
      <c r="G47" s="209">
        <f>F47/E47</f>
        <v>2330.1460038610035</v>
      </c>
      <c r="H47" s="210" t="s">
        <v>272</v>
      </c>
      <c r="I47" s="211">
        <v>45526</v>
      </c>
      <c r="J47" s="209">
        <f>CONVERSIONES!$I$139</f>
        <v>0</v>
      </c>
      <c r="K47" s="209">
        <f>CONVERSIONES!$E$141</f>
        <v>5</v>
      </c>
      <c r="L47" s="209">
        <f t="shared" si="0"/>
        <v>2325.1460038610035</v>
      </c>
      <c r="M47" s="209">
        <f>CONVERSIONES!I144*$M$1</f>
        <v>0</v>
      </c>
      <c r="N47" s="209">
        <f t="shared" si="1"/>
        <v>2325.1460038610035</v>
      </c>
      <c r="O47" s="222">
        <v>512</v>
      </c>
      <c r="P47" s="293">
        <f t="shared" si="7"/>
        <v>1190474.7539768338</v>
      </c>
      <c r="Q47" s="218"/>
      <c r="R47" s="253">
        <f t="shared" si="2"/>
        <v>-16540.876023166114</v>
      </c>
      <c r="S47" s="226">
        <f t="shared" si="6"/>
        <v>-32.306398482746317</v>
      </c>
    </row>
    <row r="48" spans="2:19" ht="43.2">
      <c r="B48" s="221">
        <v>45518</v>
      </c>
      <c r="C48" s="233">
        <v>146</v>
      </c>
      <c r="D48" s="284" t="s">
        <v>473</v>
      </c>
      <c r="E48" s="222">
        <v>518</v>
      </c>
      <c r="F48" s="230">
        <f>G48*E48</f>
        <v>1110141.3400000001</v>
      </c>
      <c r="G48" s="209">
        <v>2143.13</v>
      </c>
      <c r="H48" s="210" t="s">
        <v>272</v>
      </c>
      <c r="I48" s="211">
        <v>45526</v>
      </c>
      <c r="J48" s="209">
        <v>0</v>
      </c>
      <c r="K48" s="209">
        <f>CONVERSIONES!$E$141</f>
        <v>5</v>
      </c>
      <c r="L48" s="209">
        <f t="shared" si="0"/>
        <v>2138.13</v>
      </c>
      <c r="M48" s="209">
        <f>CONVERSIONES!J144*$M$1</f>
        <v>0</v>
      </c>
      <c r="N48" s="209">
        <f t="shared" si="1"/>
        <v>2138.13</v>
      </c>
      <c r="O48" s="222">
        <v>512</v>
      </c>
      <c r="P48" s="292">
        <f t="shared" si="7"/>
        <v>1094722.5600000001</v>
      </c>
      <c r="Q48" s="218"/>
      <c r="R48" s="311">
        <f t="shared" ref="R48:R74" si="8">P48-F48</f>
        <v>-15418.780000000028</v>
      </c>
      <c r="S48" s="232">
        <f t="shared" si="6"/>
        <v>-30.114804687500055</v>
      </c>
    </row>
    <row r="49" spans="2:19" ht="43.2">
      <c r="B49" s="221">
        <v>45544</v>
      </c>
      <c r="C49" s="233">
        <v>147</v>
      </c>
      <c r="D49" s="284" t="s">
        <v>492</v>
      </c>
      <c r="E49" s="222">
        <v>510</v>
      </c>
      <c r="F49" s="230">
        <f>G49*E49</f>
        <v>4666551</v>
      </c>
      <c r="G49" s="209">
        <v>9150.1</v>
      </c>
      <c r="H49" s="210" t="s">
        <v>272</v>
      </c>
      <c r="I49" s="211">
        <v>45555</v>
      </c>
      <c r="J49" s="209">
        <f>CONVERSIONES!$I$139</f>
        <v>0</v>
      </c>
      <c r="K49" s="318">
        <f>CONVERSIONES!$E$160</f>
        <v>5.7142857142857144</v>
      </c>
      <c r="L49" s="209">
        <f t="shared" si="0"/>
        <v>9144.3857142857141</v>
      </c>
      <c r="M49" s="209">
        <f>CONVERSIONES!$E$163*$M$1</f>
        <v>0</v>
      </c>
      <c r="N49" s="209">
        <f t="shared" si="1"/>
        <v>9144.3857142857141</v>
      </c>
      <c r="O49" s="222">
        <f>CONVERSIONES!$E$165</f>
        <v>514</v>
      </c>
      <c r="P49" s="292">
        <f t="shared" si="7"/>
        <v>4700214.2571428567</v>
      </c>
      <c r="Q49" s="218"/>
      <c r="R49" s="311">
        <f t="shared" si="8"/>
        <v>33663.257142856717</v>
      </c>
      <c r="S49" s="232">
        <f t="shared" si="6"/>
        <v>65.492718176764043</v>
      </c>
    </row>
    <row r="50" spans="2:19" ht="28.8">
      <c r="B50" s="221">
        <v>45544</v>
      </c>
      <c r="C50" s="233">
        <v>147</v>
      </c>
      <c r="D50" s="283" t="s">
        <v>491</v>
      </c>
      <c r="E50" s="222">
        <v>510</v>
      </c>
      <c r="F50" s="223">
        <v>2575341.09</v>
      </c>
      <c r="G50" s="209">
        <f>F50/E50</f>
        <v>5049.688411764706</v>
      </c>
      <c r="H50" s="210" t="s">
        <v>272</v>
      </c>
      <c r="I50" s="211">
        <v>45555</v>
      </c>
      <c r="J50" s="209">
        <f>CONVERSIONES!$I$139</f>
        <v>0</v>
      </c>
      <c r="K50" s="318">
        <f>CONVERSIONES!$D$160</f>
        <v>5.7142857142857144</v>
      </c>
      <c r="L50" s="209">
        <f t="shared" si="0"/>
        <v>5043.9741260504206</v>
      </c>
      <c r="M50" s="209">
        <f>CONVERSIONES!$D$163*$M$1</f>
        <v>0</v>
      </c>
      <c r="N50" s="209">
        <f t="shared" si="1"/>
        <v>5043.9741260504206</v>
      </c>
      <c r="O50" s="222">
        <f>CONVERSIONES!$D$165</f>
        <v>514</v>
      </c>
      <c r="P50" s="293">
        <f t="shared" si="7"/>
        <v>2592602.7007899163</v>
      </c>
      <c r="Q50" s="218"/>
      <c r="R50" s="253">
        <f t="shared" si="8"/>
        <v>17261.610789916478</v>
      </c>
      <c r="S50" s="226">
        <f t="shared" si="6"/>
        <v>33.582900369487312</v>
      </c>
    </row>
    <row r="51" spans="2:19" ht="28.8">
      <c r="B51" s="221">
        <v>45544</v>
      </c>
      <c r="C51" s="233">
        <v>147</v>
      </c>
      <c r="D51" s="283" t="s">
        <v>493</v>
      </c>
      <c r="E51" s="222">
        <v>510</v>
      </c>
      <c r="F51" s="223">
        <v>2080949.22</v>
      </c>
      <c r="G51" s="209">
        <f>F51/E51</f>
        <v>4080.2925882352943</v>
      </c>
      <c r="H51" s="210" t="s">
        <v>272</v>
      </c>
      <c r="I51" s="211">
        <v>45555</v>
      </c>
      <c r="J51" s="209">
        <f>CONVERSIONES!$I$139</f>
        <v>0</v>
      </c>
      <c r="K51" s="318">
        <f>CONVERSIONES!$C$160</f>
        <v>5.7142857142857144</v>
      </c>
      <c r="L51" s="209">
        <f t="shared" si="0"/>
        <v>4074.5783025210085</v>
      </c>
      <c r="M51" s="209">
        <f>CONVERSIONES!$C$163*$M$1</f>
        <v>0</v>
      </c>
      <c r="N51" s="209">
        <f t="shared" si="1"/>
        <v>4074.5783025210085</v>
      </c>
      <c r="O51" s="222">
        <f>CONVERSIONES!$C$165</f>
        <v>514</v>
      </c>
      <c r="P51" s="293">
        <f t="shared" si="7"/>
        <v>2094333.2474957984</v>
      </c>
      <c r="Q51" s="218"/>
      <c r="R51" s="253">
        <f t="shared" si="8"/>
        <v>13384.027495798422</v>
      </c>
      <c r="S51" s="226">
        <f>IFERROR(R51/O51,0)</f>
        <v>26.038963999607827</v>
      </c>
    </row>
    <row r="52" spans="2:19">
      <c r="B52" s="221">
        <v>45544</v>
      </c>
      <c r="C52" s="233">
        <v>148</v>
      </c>
      <c r="D52" s="208" t="s">
        <v>494</v>
      </c>
      <c r="E52" s="222">
        <v>510</v>
      </c>
      <c r="F52" s="223">
        <v>4455465.4000000004</v>
      </c>
      <c r="G52" s="209">
        <f>F52/E52</f>
        <v>8736.2066666666669</v>
      </c>
      <c r="H52" s="210" t="s">
        <v>272</v>
      </c>
      <c r="I52" s="211">
        <v>45555</v>
      </c>
      <c r="J52" s="209">
        <f>CONVERSIONES!$I$139</f>
        <v>0</v>
      </c>
      <c r="K52" s="318">
        <f>CONVERSIONES!$F$160+CONVERSIONES!$G$160</f>
        <v>11.428571428571429</v>
      </c>
      <c r="L52" s="209">
        <f t="shared" si="0"/>
        <v>8724.7780952380963</v>
      </c>
      <c r="M52" s="209">
        <f>(CONVERSIONES!$F$163+CONVERSIONES!$G$163)*M1</f>
        <v>0</v>
      </c>
      <c r="N52" s="209">
        <f t="shared" si="1"/>
        <v>8724.7780952380963</v>
      </c>
      <c r="O52" s="222">
        <f>CONVERSIONES!$F$165</f>
        <v>514</v>
      </c>
      <c r="P52" s="293">
        <f t="shared" si="7"/>
        <v>4484535.9409523811</v>
      </c>
      <c r="Q52" s="218"/>
      <c r="R52" s="253">
        <f t="shared" si="8"/>
        <v>29070.540952380747</v>
      </c>
      <c r="S52" s="226">
        <f t="shared" si="6"/>
        <v>56.557472670001452</v>
      </c>
    </row>
    <row r="53" spans="2:19">
      <c r="B53" s="221">
        <v>45544</v>
      </c>
      <c r="C53" s="233">
        <v>149</v>
      </c>
      <c r="D53" s="208" t="s">
        <v>523</v>
      </c>
      <c r="E53" s="222">
        <v>510</v>
      </c>
      <c r="F53" s="230">
        <f>G53*E53</f>
        <v>5713764.5999999996</v>
      </c>
      <c r="G53" s="209">
        <v>11203.46</v>
      </c>
      <c r="H53" s="210" t="s">
        <v>272</v>
      </c>
      <c r="I53" s="211">
        <v>45555</v>
      </c>
      <c r="J53" s="209">
        <f>CONVERSIONES!$I$139</f>
        <v>0</v>
      </c>
      <c r="K53" s="318">
        <f>CONVERSIONES!$H$160</f>
        <v>5.7142857142857144</v>
      </c>
      <c r="L53" s="209">
        <f t="shared" si="0"/>
        <v>11197.745714285713</v>
      </c>
      <c r="M53" s="209">
        <f>CONVERSIONES!$H$163*$M$1</f>
        <v>0</v>
      </c>
      <c r="N53" s="209">
        <f t="shared" si="1"/>
        <v>11197.745714285713</v>
      </c>
      <c r="O53" s="222">
        <f>CONVERSIONES!$H$165</f>
        <v>514</v>
      </c>
      <c r="P53" s="292">
        <f t="shared" si="7"/>
        <v>5755641.2971428568</v>
      </c>
      <c r="Q53" s="218"/>
      <c r="R53" s="311">
        <f t="shared" si="8"/>
        <v>41876.697142857127</v>
      </c>
      <c r="S53" s="232">
        <f t="shared" si="6"/>
        <v>81.472173429683124</v>
      </c>
    </row>
    <row r="54" spans="2:19" ht="28.8">
      <c r="B54" s="221">
        <v>45544</v>
      </c>
      <c r="C54" s="233">
        <v>150</v>
      </c>
      <c r="D54" s="208" t="s">
        <v>522</v>
      </c>
      <c r="E54" s="222">
        <v>510</v>
      </c>
      <c r="F54" s="223">
        <v>1205735.6299999999</v>
      </c>
      <c r="G54" s="209">
        <f>F54/E54</f>
        <v>2364.1875098039213</v>
      </c>
      <c r="H54" s="210" t="s">
        <v>272</v>
      </c>
      <c r="I54" s="211">
        <v>45555</v>
      </c>
      <c r="J54" s="209">
        <f>CONVERSIONES!$I$139</f>
        <v>0</v>
      </c>
      <c r="K54" s="318">
        <f>CONVERSIONES!$I$160</f>
        <v>5.7142857142857144</v>
      </c>
      <c r="L54" s="209">
        <f t="shared" si="0"/>
        <v>2358.4732240896356</v>
      </c>
      <c r="M54" s="209">
        <f>CONVERSIONES!$I$163*$M$1</f>
        <v>0</v>
      </c>
      <c r="N54" s="209">
        <f t="shared" si="1"/>
        <v>2358.4732240896356</v>
      </c>
      <c r="O54" s="222">
        <f>CONVERSIONES!$I$165</f>
        <v>514</v>
      </c>
      <c r="P54" s="293">
        <f t="shared" si="7"/>
        <v>1212255.2371820726</v>
      </c>
      <c r="Q54" s="218"/>
      <c r="R54" s="253">
        <f t="shared" si="8"/>
        <v>6519.6071820727084</v>
      </c>
      <c r="S54" s="226">
        <f t="shared" si="6"/>
        <v>12.684060665511106</v>
      </c>
    </row>
    <row r="55" spans="2:19" ht="43.2">
      <c r="B55" s="221">
        <v>45572</v>
      </c>
      <c r="C55" s="233">
        <v>151</v>
      </c>
      <c r="D55" s="284" t="s">
        <v>517</v>
      </c>
      <c r="E55" s="222">
        <v>509</v>
      </c>
      <c r="F55" s="230">
        <f>G55*E55</f>
        <v>2789111.31</v>
      </c>
      <c r="G55" s="209">
        <v>5479.59</v>
      </c>
      <c r="H55" s="210" t="s">
        <v>272</v>
      </c>
      <c r="I55" s="211">
        <v>45586</v>
      </c>
      <c r="J55" s="209">
        <f>CONVERSIONES!$E$176</f>
        <v>0</v>
      </c>
      <c r="K55" s="318">
        <f>CONVERSIONES!$E$178</f>
        <v>5.7142857142857144</v>
      </c>
      <c r="L55" s="209">
        <f t="shared" ref="L55:L68" si="9">+G55-J55-K55</f>
        <v>5473.8757142857148</v>
      </c>
      <c r="M55" s="209">
        <f>CONVERSIONES!$E$163*$M$1</f>
        <v>0</v>
      </c>
      <c r="N55" s="209">
        <f t="shared" ref="N55:N68" si="10">+L55-M55</f>
        <v>5473.8757142857148</v>
      </c>
      <c r="O55" s="222">
        <v>506</v>
      </c>
      <c r="P55" s="292">
        <f t="shared" ref="P55:P68" si="11">N55*O55</f>
        <v>2769781.1114285719</v>
      </c>
      <c r="Q55" s="218"/>
      <c r="R55" s="311">
        <f t="shared" si="8"/>
        <v>-19330.198571428191</v>
      </c>
      <c r="S55" s="232">
        <f t="shared" ref="S55:S61" si="12">IFERROR(R55/O55,0)</f>
        <v>-38.201973461320534</v>
      </c>
    </row>
    <row r="56" spans="2:19" ht="28.8">
      <c r="B56" s="221">
        <v>45572</v>
      </c>
      <c r="C56" s="233">
        <v>151</v>
      </c>
      <c r="D56" s="283" t="s">
        <v>518</v>
      </c>
      <c r="E56" s="222">
        <v>509</v>
      </c>
      <c r="F56" s="222">
        <v>2080789.22</v>
      </c>
      <c r="G56" s="209">
        <f>F56/E56</f>
        <v>4087.9945383104127</v>
      </c>
      <c r="H56" s="210" t="s">
        <v>272</v>
      </c>
      <c r="I56" s="211">
        <v>45586</v>
      </c>
      <c r="J56" s="209">
        <f>CONVERSIONES!$D$176</f>
        <v>0</v>
      </c>
      <c r="K56" s="318">
        <f>CONVERSIONES!$D$178</f>
        <v>5.7142857142857144</v>
      </c>
      <c r="L56" s="209">
        <f t="shared" si="9"/>
        <v>4082.280252596127</v>
      </c>
      <c r="M56" s="209">
        <f>CONVERSIONES!$D$163*$M$1</f>
        <v>0</v>
      </c>
      <c r="N56" s="209">
        <f t="shared" si="10"/>
        <v>4082.280252596127</v>
      </c>
      <c r="O56" s="222">
        <v>506</v>
      </c>
      <c r="P56" s="293">
        <f t="shared" si="11"/>
        <v>2065633.8078136402</v>
      </c>
      <c r="Q56" s="218"/>
      <c r="R56" s="253">
        <f t="shared" si="8"/>
        <v>-15155.412186359754</v>
      </c>
      <c r="S56" s="226">
        <f t="shared" si="12"/>
        <v>-29.951407482924413</v>
      </c>
    </row>
    <row r="57" spans="2:19" ht="28.8">
      <c r="B57" s="221">
        <v>45572</v>
      </c>
      <c r="C57" s="233">
        <v>151</v>
      </c>
      <c r="D57" s="283" t="s">
        <v>569</v>
      </c>
      <c r="E57" s="222">
        <v>509</v>
      </c>
      <c r="F57" s="222">
        <v>2575181.09</v>
      </c>
      <c r="G57" s="209">
        <f>F57/E57</f>
        <v>5059.2948722986248</v>
      </c>
      <c r="H57" s="210" t="s">
        <v>272</v>
      </c>
      <c r="I57" s="211">
        <v>45586</v>
      </c>
      <c r="J57" s="209">
        <f>CONVERSIONES!$C$176</f>
        <v>0</v>
      </c>
      <c r="K57" s="318">
        <f>CONVERSIONES!$C$178</f>
        <v>5.7142857142857144</v>
      </c>
      <c r="L57" s="209">
        <f t="shared" si="9"/>
        <v>5053.5805865843395</v>
      </c>
      <c r="M57" s="209">
        <f>CONVERSIONES!$C$163*$M$1</f>
        <v>0</v>
      </c>
      <c r="N57" s="209">
        <f t="shared" si="10"/>
        <v>5053.5805865843395</v>
      </c>
      <c r="O57" s="222">
        <v>506</v>
      </c>
      <c r="P57" s="293">
        <f t="shared" si="11"/>
        <v>2557111.7768116756</v>
      </c>
      <c r="Q57" s="218"/>
      <c r="R57" s="253">
        <f t="shared" si="8"/>
        <v>-18069.313188324217</v>
      </c>
      <c r="S57" s="226">
        <f t="shared" si="12"/>
        <v>-35.71010511526525</v>
      </c>
    </row>
    <row r="58" spans="2:19">
      <c r="B58" s="221">
        <v>45572</v>
      </c>
      <c r="C58" s="233">
        <v>152</v>
      </c>
      <c r="D58" s="208" t="s">
        <v>520</v>
      </c>
      <c r="E58" s="222">
        <v>509</v>
      </c>
      <c r="F58" s="222">
        <v>4455145.4000000004</v>
      </c>
      <c r="G58" s="209">
        <f>F58/E58</f>
        <v>8752.7414538310422</v>
      </c>
      <c r="H58" s="210" t="s">
        <v>272</v>
      </c>
      <c r="I58" s="211">
        <v>45586</v>
      </c>
      <c r="J58" s="209">
        <f>CONVERSIONES!$F$176+CONVERSIONES!$G$176</f>
        <v>0</v>
      </c>
      <c r="K58" s="318">
        <f>CONVERSIONES!$F$178+CONVERSIONES!$G$178</f>
        <v>11.428571428571429</v>
      </c>
      <c r="L58" s="209">
        <f t="shared" si="9"/>
        <v>8741.3128824024716</v>
      </c>
      <c r="M58" s="209">
        <f>(CONVERSIONES!$F$163+CONVERSIONES!$G$163)*M7</f>
        <v>0</v>
      </c>
      <c r="N58" s="209">
        <f t="shared" si="10"/>
        <v>8741.3128824024716</v>
      </c>
      <c r="O58" s="222">
        <v>506</v>
      </c>
      <c r="P58" s="293">
        <f t="shared" si="11"/>
        <v>4423104.3184956508</v>
      </c>
      <c r="Q58" s="218"/>
      <c r="R58" s="253">
        <f t="shared" si="8"/>
        <v>-32041.081504349597</v>
      </c>
      <c r="S58" s="226">
        <f t="shared" si="12"/>
        <v>-63.322295463141494</v>
      </c>
    </row>
    <row r="59" spans="2:19">
      <c r="B59" s="221">
        <v>45572</v>
      </c>
      <c r="C59" s="233">
        <v>153</v>
      </c>
      <c r="D59" s="208" t="s">
        <v>521</v>
      </c>
      <c r="E59" s="222">
        <v>509</v>
      </c>
      <c r="F59" s="230">
        <f>G59*E59</f>
        <v>5702561.1399999997</v>
      </c>
      <c r="G59" s="209">
        <v>11203.46</v>
      </c>
      <c r="H59" s="210" t="s">
        <v>272</v>
      </c>
      <c r="I59" s="211">
        <v>45586</v>
      </c>
      <c r="J59" s="209">
        <f>CONVERSIONES!$H$176</f>
        <v>0</v>
      </c>
      <c r="K59" s="318">
        <f>CONVERSIONES!$H$178</f>
        <v>5.7142857142857144</v>
      </c>
      <c r="L59" s="209">
        <f t="shared" si="9"/>
        <v>11197.745714285713</v>
      </c>
      <c r="M59" s="209">
        <f>CONVERSIONES!$H$163*$M$1</f>
        <v>0</v>
      </c>
      <c r="N59" s="209">
        <f t="shared" si="10"/>
        <v>11197.745714285713</v>
      </c>
      <c r="O59" s="222">
        <v>506</v>
      </c>
      <c r="P59" s="292">
        <f t="shared" si="11"/>
        <v>5666059.3314285707</v>
      </c>
      <c r="Q59" s="218"/>
      <c r="R59" s="311">
        <f t="shared" si="8"/>
        <v>-36501.808571428992</v>
      </c>
      <c r="S59" s="232">
        <f t="shared" si="12"/>
        <v>-72.137961603614613</v>
      </c>
    </row>
    <row r="60" spans="2:19">
      <c r="B60" s="221">
        <v>45572</v>
      </c>
      <c r="C60" s="233">
        <v>154</v>
      </c>
      <c r="D60" s="208" t="s">
        <v>524</v>
      </c>
      <c r="E60" s="222">
        <v>509</v>
      </c>
      <c r="F60" s="222">
        <v>1205575.6299999999</v>
      </c>
      <c r="G60" s="209">
        <f>F60/E60</f>
        <v>2368.5179371316303</v>
      </c>
      <c r="H60" s="210" t="s">
        <v>272</v>
      </c>
      <c r="I60" s="211">
        <v>45586</v>
      </c>
      <c r="J60" s="209">
        <f>CONVERSIONES!$I$176</f>
        <v>0</v>
      </c>
      <c r="K60" s="318">
        <f>CONVERSIONES!$I$178</f>
        <v>5.7142857142857144</v>
      </c>
      <c r="L60" s="209">
        <f t="shared" si="9"/>
        <v>2362.8036514173446</v>
      </c>
      <c r="M60" s="209">
        <f>CONVERSIONES!$I$163*$M$1</f>
        <v>0</v>
      </c>
      <c r="N60" s="209">
        <f t="shared" si="10"/>
        <v>2362.8036514173446</v>
      </c>
      <c r="O60" s="222">
        <v>506</v>
      </c>
      <c r="P60" s="293">
        <f t="shared" si="11"/>
        <v>1195578.6476171764</v>
      </c>
      <c r="Q60" s="218"/>
      <c r="R60" s="253">
        <f t="shared" si="8"/>
        <v>-9996.9823828234803</v>
      </c>
      <c r="S60" s="226">
        <f t="shared" si="12"/>
        <v>-19.756882179493044</v>
      </c>
    </row>
    <row r="61" spans="2:19">
      <c r="B61" s="221">
        <v>45587</v>
      </c>
      <c r="C61" s="233">
        <v>155</v>
      </c>
      <c r="D61" s="208" t="s">
        <v>546</v>
      </c>
      <c r="E61" s="222">
        <v>509</v>
      </c>
      <c r="F61" s="230">
        <f>G61*E61</f>
        <v>2787691.2</v>
      </c>
      <c r="G61" s="209">
        <v>5476.8</v>
      </c>
      <c r="H61" s="210" t="s">
        <v>272</v>
      </c>
      <c r="I61" s="211">
        <v>45595</v>
      </c>
      <c r="J61" s="209">
        <f>CONVERSIONES!$H$176</f>
        <v>0</v>
      </c>
      <c r="K61" s="318">
        <f>CONVERSIONES!J178</f>
        <v>20</v>
      </c>
      <c r="L61" s="209">
        <f t="shared" si="9"/>
        <v>5456.8</v>
      </c>
      <c r="M61" s="209">
        <f>CONVERSIONES!J181*M1</f>
        <v>0</v>
      </c>
      <c r="N61" s="209">
        <f t="shared" si="10"/>
        <v>5456.8</v>
      </c>
      <c r="O61" s="222">
        <v>506</v>
      </c>
      <c r="P61" s="292">
        <f t="shared" si="11"/>
        <v>2761140.8000000003</v>
      </c>
      <c r="Q61" s="218"/>
      <c r="R61" s="311">
        <f t="shared" si="8"/>
        <v>-26550.399999999907</v>
      </c>
      <c r="S61" s="232">
        <f t="shared" si="12"/>
        <v>-52.471146245059103</v>
      </c>
    </row>
    <row r="62" spans="2:19" ht="43.2">
      <c r="B62" s="221">
        <v>45604</v>
      </c>
      <c r="C62" s="233">
        <v>156</v>
      </c>
      <c r="D62" s="284" t="s">
        <v>570</v>
      </c>
      <c r="E62" s="222">
        <v>502</v>
      </c>
      <c r="F62" s="230">
        <f>G62*E62</f>
        <v>2750754.18</v>
      </c>
      <c r="G62" s="209">
        <v>5479.59</v>
      </c>
      <c r="H62" s="210" t="s">
        <v>272</v>
      </c>
      <c r="I62" s="211">
        <v>45615</v>
      </c>
      <c r="J62" s="209">
        <v>0</v>
      </c>
      <c r="K62" s="209">
        <f>CONVERSIONES!$C$196</f>
        <v>5.7142857142857144</v>
      </c>
      <c r="L62" s="209">
        <f t="shared" si="9"/>
        <v>5473.8757142857148</v>
      </c>
      <c r="M62" s="209">
        <f>CONVERSIONES!$E$199*$M$1</f>
        <v>0</v>
      </c>
      <c r="N62" s="209">
        <f t="shared" si="10"/>
        <v>5473.8757142857148</v>
      </c>
      <c r="O62" s="222">
        <f>CONVERSIONES!$C$201</f>
        <v>501</v>
      </c>
      <c r="P62" s="292">
        <f t="shared" si="11"/>
        <v>2742411.732857143</v>
      </c>
      <c r="Q62" s="218"/>
      <c r="R62" s="311">
        <f t="shared" si="8"/>
        <v>-8342.4471428571269</v>
      </c>
      <c r="S62" s="232">
        <f t="shared" ref="S62:S67" si="13">IFERROR(R62/O62,0)</f>
        <v>-16.65159110350724</v>
      </c>
    </row>
    <row r="63" spans="2:19" ht="28.8">
      <c r="B63" s="221">
        <v>45604</v>
      </c>
      <c r="C63" s="233">
        <v>156</v>
      </c>
      <c r="D63" s="283" t="s">
        <v>571</v>
      </c>
      <c r="E63" s="222">
        <v>502</v>
      </c>
      <c r="F63" s="222">
        <v>2574061.09</v>
      </c>
      <c r="G63" s="209">
        <f>F63/E63</f>
        <v>5127.6117330677289</v>
      </c>
      <c r="H63" s="210" t="s">
        <v>272</v>
      </c>
      <c r="I63" s="211">
        <v>45615</v>
      </c>
      <c r="J63" s="209">
        <v>0</v>
      </c>
      <c r="K63" s="209">
        <f>CONVERSIONES!D196</f>
        <v>5.7142857142857144</v>
      </c>
      <c r="L63" s="209">
        <f t="shared" si="9"/>
        <v>5121.8974473534436</v>
      </c>
      <c r="M63" s="209">
        <f>CONVERSIONES!E199*$M$1</f>
        <v>0</v>
      </c>
      <c r="N63" s="209">
        <f t="shared" si="10"/>
        <v>5121.8974473534436</v>
      </c>
      <c r="O63" s="222">
        <f>CONVERSIONES!$C$201</f>
        <v>501</v>
      </c>
      <c r="P63" s="293">
        <f t="shared" si="11"/>
        <v>2566070.6211240753</v>
      </c>
      <c r="Q63" s="218"/>
      <c r="R63" s="253">
        <f t="shared" si="8"/>
        <v>-7990.468875924591</v>
      </c>
      <c r="S63" s="226">
        <f t="shared" si="13"/>
        <v>-15.949039672504174</v>
      </c>
    </row>
    <row r="64" spans="2:19" ht="28.8">
      <c r="B64" s="221">
        <v>45604</v>
      </c>
      <c r="C64" s="233">
        <v>156</v>
      </c>
      <c r="D64" s="283" t="s">
        <v>572</v>
      </c>
      <c r="E64" s="222">
        <v>502</v>
      </c>
      <c r="F64" s="222">
        <v>2079669.22</v>
      </c>
      <c r="G64" s="209">
        <f>F64/E64</f>
        <v>4142.7673705179286</v>
      </c>
      <c r="H64" s="210" t="s">
        <v>272</v>
      </c>
      <c r="I64" s="211">
        <v>45615</v>
      </c>
      <c r="J64" s="209">
        <v>0</v>
      </c>
      <c r="K64" s="209">
        <f>CONVERSIONES!E196</f>
        <v>5.7142857142857144</v>
      </c>
      <c r="L64" s="209">
        <f t="shared" si="9"/>
        <v>4137.0530848036433</v>
      </c>
      <c r="M64" s="209">
        <f>CONVERSIONES!C199*$M$1</f>
        <v>0</v>
      </c>
      <c r="N64" s="209">
        <f t="shared" si="10"/>
        <v>4137.0530848036433</v>
      </c>
      <c r="O64" s="222">
        <f>CONVERSIONES!$C$201</f>
        <v>501</v>
      </c>
      <c r="P64" s="293">
        <f t="shared" si="11"/>
        <v>2072663.5954866253</v>
      </c>
      <c r="Q64" s="218"/>
      <c r="R64" s="253">
        <f t="shared" si="8"/>
        <v>-7005.6245133746415</v>
      </c>
      <c r="S64" s="226">
        <f t="shared" si="13"/>
        <v>-13.983282461825631</v>
      </c>
    </row>
    <row r="65" spans="2:19">
      <c r="B65" s="221">
        <v>45604</v>
      </c>
      <c r="C65" s="233">
        <v>157</v>
      </c>
      <c r="D65" s="208" t="s">
        <v>573</v>
      </c>
      <c r="E65" s="222">
        <v>502</v>
      </c>
      <c r="F65" s="222">
        <v>4452905.4000000004</v>
      </c>
      <c r="G65" s="209">
        <f>F65/E65</f>
        <v>8870.3294820717147</v>
      </c>
      <c r="H65" s="210" t="s">
        <v>272</v>
      </c>
      <c r="I65" s="211">
        <v>45615</v>
      </c>
      <c r="J65" s="209">
        <v>0</v>
      </c>
      <c r="K65" s="209">
        <f>CONVERSIONES!F196</f>
        <v>5.7142857142857144</v>
      </c>
      <c r="L65" s="209">
        <f t="shared" si="9"/>
        <v>8864.6151963574284</v>
      </c>
      <c r="M65" s="209">
        <f>SUM(CONVERSIONES!$F$199:$G$199)*M1</f>
        <v>0</v>
      </c>
      <c r="N65" s="209">
        <f t="shared" si="10"/>
        <v>8864.6151963574284</v>
      </c>
      <c r="O65" s="222">
        <f>CONVERSIONES!$C$201</f>
        <v>501</v>
      </c>
      <c r="P65" s="293">
        <f t="shared" si="11"/>
        <v>4441172.213375072</v>
      </c>
      <c r="Q65" s="218"/>
      <c r="R65" s="253">
        <f t="shared" si="8"/>
        <v>-11733.186624928378</v>
      </c>
      <c r="S65" s="226">
        <f t="shared" si="13"/>
        <v>-23.419534181493766</v>
      </c>
    </row>
    <row r="66" spans="2:19">
      <c r="B66" s="221">
        <v>45604</v>
      </c>
      <c r="C66" s="233">
        <v>158</v>
      </c>
      <c r="D66" s="208" t="s">
        <v>574</v>
      </c>
      <c r="E66" s="222">
        <v>502</v>
      </c>
      <c r="F66" s="230">
        <f>G66*E66</f>
        <v>5624136.9199999999</v>
      </c>
      <c r="G66" s="209">
        <v>11203.46</v>
      </c>
      <c r="H66" s="210" t="s">
        <v>272</v>
      </c>
      <c r="I66" s="211">
        <v>45615</v>
      </c>
      <c r="J66" s="209">
        <v>0</v>
      </c>
      <c r="K66" s="209">
        <f>CONVERSIONES!G196</f>
        <v>5.7142857142857144</v>
      </c>
      <c r="L66" s="209">
        <f t="shared" si="9"/>
        <v>11197.745714285713</v>
      </c>
      <c r="M66" s="209">
        <f>CONVERSIONES!$H$199*$M$1</f>
        <v>0</v>
      </c>
      <c r="N66" s="209">
        <f t="shared" si="10"/>
        <v>11197.745714285713</v>
      </c>
      <c r="O66" s="222">
        <f>CONVERSIONES!$C$201</f>
        <v>501</v>
      </c>
      <c r="P66" s="292">
        <f t="shared" si="11"/>
        <v>5610070.6028571418</v>
      </c>
      <c r="Q66" s="218"/>
      <c r="R66" s="311">
        <f t="shared" si="8"/>
        <v>-14066.31714285817</v>
      </c>
      <c r="S66" s="232">
        <f t="shared" si="13"/>
        <v>-28.076481323070201</v>
      </c>
    </row>
    <row r="67" spans="2:19" ht="28.8">
      <c r="B67" s="221">
        <v>45604</v>
      </c>
      <c r="C67" s="233">
        <v>159</v>
      </c>
      <c r="D67" s="208" t="s">
        <v>575</v>
      </c>
      <c r="E67" s="222">
        <v>502</v>
      </c>
      <c r="F67" s="222">
        <v>1204455.6299999999</v>
      </c>
      <c r="G67" s="209">
        <f>F67/E67</f>
        <v>2399.3140039840637</v>
      </c>
      <c r="H67" s="210" t="s">
        <v>272</v>
      </c>
      <c r="I67" s="211">
        <v>45615</v>
      </c>
      <c r="J67" s="209">
        <v>0</v>
      </c>
      <c r="K67" s="209">
        <f>CONVERSIONES!H196</f>
        <v>5.7142857142857144</v>
      </c>
      <c r="L67" s="209">
        <f t="shared" si="9"/>
        <v>2393.5997182697779</v>
      </c>
      <c r="M67" s="209">
        <f>CONVERSIONES!$I$199*$M$1</f>
        <v>0</v>
      </c>
      <c r="N67" s="209">
        <f t="shared" si="10"/>
        <v>2393.5997182697779</v>
      </c>
      <c r="O67" s="222">
        <f>CONVERSIONES!$C$201</f>
        <v>501</v>
      </c>
      <c r="P67" s="293">
        <f t="shared" si="11"/>
        <v>1199193.4588531586</v>
      </c>
      <c r="Q67" s="218"/>
      <c r="R67" s="253">
        <f t="shared" si="8"/>
        <v>-5262.1711468412541</v>
      </c>
      <c r="S67" s="226">
        <f t="shared" si="13"/>
        <v>-10.503335622437634</v>
      </c>
    </row>
    <row r="68" spans="2:19">
      <c r="B68" s="221">
        <v>45609</v>
      </c>
      <c r="C68" s="233">
        <v>160</v>
      </c>
      <c r="D68" s="208" t="s">
        <v>576</v>
      </c>
      <c r="E68" s="222">
        <v>502</v>
      </c>
      <c r="F68" s="230">
        <f>G68*E68</f>
        <v>3548663.1</v>
      </c>
      <c r="G68" s="209">
        <v>7069.05</v>
      </c>
      <c r="H68" s="210" t="s">
        <v>272</v>
      </c>
      <c r="I68" s="211">
        <v>45631</v>
      </c>
      <c r="J68" s="209">
        <v>0</v>
      </c>
      <c r="K68" s="209">
        <f>CONVERSIONES!$J$196</f>
        <v>20</v>
      </c>
      <c r="L68" s="209">
        <f t="shared" si="9"/>
        <v>7049.05</v>
      </c>
      <c r="M68" s="209">
        <f>CONVERSIONES!$J$199*$M$1</f>
        <v>0</v>
      </c>
      <c r="N68" s="209">
        <f t="shared" si="10"/>
        <v>7049.05</v>
      </c>
      <c r="O68" s="222">
        <f>CONVERSIONES!$J$201</f>
        <v>496</v>
      </c>
      <c r="P68" s="292">
        <f t="shared" si="11"/>
        <v>3496328.8000000003</v>
      </c>
      <c r="Q68" s="218"/>
      <c r="R68" s="311">
        <f t="shared" si="8"/>
        <v>-52334.299999999814</v>
      </c>
      <c r="S68" s="232">
        <f>IFERROR(R68/O68,0)</f>
        <v>-105.51270161290284</v>
      </c>
    </row>
    <row r="69" spans="2:19" ht="43.2">
      <c r="B69" s="221">
        <v>45631</v>
      </c>
      <c r="C69" s="233">
        <v>161</v>
      </c>
      <c r="D69" s="284" t="s">
        <v>625</v>
      </c>
      <c r="E69" s="222">
        <v>496</v>
      </c>
      <c r="F69" s="230">
        <f>G69*E69</f>
        <v>5269389.92</v>
      </c>
      <c r="G69" s="209">
        <v>10623.77</v>
      </c>
      <c r="H69" s="342" t="s">
        <v>272</v>
      </c>
      <c r="I69" s="211">
        <v>45645</v>
      </c>
      <c r="J69" s="209">
        <v>0</v>
      </c>
      <c r="K69" s="209">
        <f>CONVERSIONES!$C$214</f>
        <v>5.7142857142857144</v>
      </c>
      <c r="L69" s="209">
        <f t="shared" ref="L69:L81" si="14">+G69-J69-K69</f>
        <v>10618.055714285714</v>
      </c>
      <c r="M69" s="209">
        <f>CONVERSIONES!$C$236*$M$1</f>
        <v>0</v>
      </c>
      <c r="N69" s="209">
        <f t="shared" ref="N69:N81" si="15">+L69-M69</f>
        <v>10618.055714285714</v>
      </c>
      <c r="O69" s="222">
        <f>CONVERSIONES!$C$238</f>
        <v>501</v>
      </c>
      <c r="P69" s="292">
        <f t="shared" ref="P69:P75" si="16">N69*O69</f>
        <v>5319645.9128571432</v>
      </c>
      <c r="Q69" s="218"/>
      <c r="R69" s="311">
        <f t="shared" si="8"/>
        <v>50255.992857143283</v>
      </c>
      <c r="S69" s="232">
        <f t="shared" ref="S69:S75" si="17">IFERROR(R69/O69,0)</f>
        <v>100.31136298830995</v>
      </c>
    </row>
    <row r="70" spans="2:19" ht="28.8">
      <c r="B70" s="221">
        <v>45631</v>
      </c>
      <c r="C70" s="233">
        <v>161</v>
      </c>
      <c r="D70" s="283" t="s">
        <v>626</v>
      </c>
      <c r="E70" s="222">
        <v>496</v>
      </c>
      <c r="F70" s="222">
        <v>4352748</v>
      </c>
      <c r="G70" s="209">
        <f>F70/E70</f>
        <v>8775.7016129032254</v>
      </c>
      <c r="H70" s="342" t="s">
        <v>272</v>
      </c>
      <c r="I70" s="211">
        <v>45645</v>
      </c>
      <c r="J70" s="209">
        <v>0</v>
      </c>
      <c r="K70" s="209">
        <f>CONVERSIONES!$D$214</f>
        <v>5.7142857142857144</v>
      </c>
      <c r="L70" s="209">
        <f t="shared" si="14"/>
        <v>8769.9873271889392</v>
      </c>
      <c r="M70" s="209">
        <f>CONVERSIONES!$D$236*$M$1</f>
        <v>0</v>
      </c>
      <c r="N70" s="209">
        <f t="shared" si="15"/>
        <v>8769.9873271889392</v>
      </c>
      <c r="O70" s="222">
        <f>CONVERSIONES!$D$238</f>
        <v>501</v>
      </c>
      <c r="P70" s="293">
        <f t="shared" si="16"/>
        <v>4393763.6509216586</v>
      </c>
      <c r="Q70" s="218"/>
      <c r="R70" s="253">
        <f t="shared" si="8"/>
        <v>41015.650921658613</v>
      </c>
      <c r="S70" s="226">
        <f t="shared" si="17"/>
        <v>81.867566709897432</v>
      </c>
    </row>
    <row r="71" spans="2:19" ht="28.8">
      <c r="B71" s="221">
        <v>45631</v>
      </c>
      <c r="C71" s="233">
        <v>161</v>
      </c>
      <c r="D71" s="283" t="s">
        <v>627</v>
      </c>
      <c r="E71" s="222">
        <v>496</v>
      </c>
      <c r="F71" s="222">
        <v>2761671.87</v>
      </c>
      <c r="G71" s="209">
        <f>F71/E71</f>
        <v>5567.8868346774198</v>
      </c>
      <c r="H71" s="342" t="s">
        <v>272</v>
      </c>
      <c r="I71" s="211">
        <v>45645</v>
      </c>
      <c r="J71" s="209">
        <v>0</v>
      </c>
      <c r="K71" s="209">
        <f>CONVERSIONES!$E$214</f>
        <v>5.7142857142857144</v>
      </c>
      <c r="L71" s="209">
        <f t="shared" si="14"/>
        <v>5562.1725489631344</v>
      </c>
      <c r="M71" s="209">
        <f>CONVERSIONES!$E$236*$M$1</f>
        <v>0</v>
      </c>
      <c r="N71" s="209">
        <f t="shared" si="15"/>
        <v>5562.1725489631344</v>
      </c>
      <c r="O71" s="222">
        <f>CONVERSIONES!$E$238</f>
        <v>501</v>
      </c>
      <c r="P71" s="293">
        <f t="shared" si="16"/>
        <v>2786648.4470305303</v>
      </c>
      <c r="Q71" s="218"/>
      <c r="R71" s="253">
        <f t="shared" si="8"/>
        <v>24976.577030530199</v>
      </c>
      <c r="S71" s="226">
        <f t="shared" si="17"/>
        <v>49.853447166726944</v>
      </c>
    </row>
    <row r="72" spans="2:19">
      <c r="B72" s="221">
        <v>45631</v>
      </c>
      <c r="C72" s="233">
        <v>161</v>
      </c>
      <c r="D72" s="208" t="s">
        <v>628</v>
      </c>
      <c r="E72" s="222">
        <v>496</v>
      </c>
      <c r="F72" s="222">
        <v>7346040.96</v>
      </c>
      <c r="G72" s="209">
        <f>F72/E72</f>
        <v>14810.566451612904</v>
      </c>
      <c r="H72" s="342" t="s">
        <v>272</v>
      </c>
      <c r="I72" s="211">
        <v>45645</v>
      </c>
      <c r="J72" s="209">
        <v>0</v>
      </c>
      <c r="K72" s="209">
        <f>CONVERSIONES!$F$214+CONVERSIONES!$G$214</f>
        <v>11.428571428571429</v>
      </c>
      <c r="L72" s="209">
        <f t="shared" si="14"/>
        <v>14799.137880184333</v>
      </c>
      <c r="M72" s="209">
        <f>(CONVERSIONES!$F$236+CONVERSIONES!$G$236)*$M$1</f>
        <v>0</v>
      </c>
      <c r="N72" s="209">
        <f t="shared" si="15"/>
        <v>14799.137880184333</v>
      </c>
      <c r="O72" s="222">
        <f>CONVERSIONES!$F$238</f>
        <v>501</v>
      </c>
      <c r="P72" s="293">
        <f t="shared" si="16"/>
        <v>7414368.0779723506</v>
      </c>
      <c r="Q72" s="218"/>
      <c r="R72" s="253">
        <f t="shared" si="8"/>
        <v>68327.117972350679</v>
      </c>
      <c r="S72" s="226">
        <f t="shared" si="17"/>
        <v>136.38147299870394</v>
      </c>
    </row>
    <row r="73" spans="2:19">
      <c r="B73" s="221">
        <v>45631</v>
      </c>
      <c r="C73" s="233">
        <v>161</v>
      </c>
      <c r="D73" s="208" t="s">
        <v>629</v>
      </c>
      <c r="E73" s="222">
        <v>496</v>
      </c>
      <c r="F73" s="230">
        <f>G73*E73</f>
        <v>9926457.9199999999</v>
      </c>
      <c r="G73" s="209">
        <v>20013.02</v>
      </c>
      <c r="H73" s="342" t="s">
        <v>272</v>
      </c>
      <c r="I73" s="211">
        <v>45645</v>
      </c>
      <c r="J73" s="209">
        <v>0</v>
      </c>
      <c r="K73" s="209">
        <f>CONVERSIONES!$H$214</f>
        <v>5.7142857142857144</v>
      </c>
      <c r="L73" s="209">
        <f t="shared" si="14"/>
        <v>20007.305714285714</v>
      </c>
      <c r="M73" s="209">
        <f>CONVERSIONES!$G$236*$M$1</f>
        <v>0</v>
      </c>
      <c r="N73" s="209">
        <f t="shared" si="15"/>
        <v>20007.305714285714</v>
      </c>
      <c r="O73" s="222">
        <f>CONVERSIONES!$G$238</f>
        <v>501</v>
      </c>
      <c r="P73" s="292">
        <f t="shared" si="16"/>
        <v>10023660.162857143</v>
      </c>
      <c r="Q73" s="218"/>
      <c r="R73" s="311">
        <f t="shared" si="8"/>
        <v>97202.242857143283</v>
      </c>
      <c r="S73" s="232">
        <f t="shared" si="17"/>
        <v>194.01645280866921</v>
      </c>
    </row>
    <row r="74" spans="2:19" ht="28.8">
      <c r="B74" s="221">
        <v>45631</v>
      </c>
      <c r="C74" s="233">
        <v>161</v>
      </c>
      <c r="D74" s="208" t="s">
        <v>630</v>
      </c>
      <c r="E74" s="222">
        <v>496</v>
      </c>
      <c r="F74" s="222">
        <v>1717121.21</v>
      </c>
      <c r="G74" s="209">
        <f>F74/E74</f>
        <v>3461.9379233870968</v>
      </c>
      <c r="H74" s="342" t="s">
        <v>272</v>
      </c>
      <c r="I74" s="211">
        <v>45645</v>
      </c>
      <c r="J74" s="209">
        <v>0</v>
      </c>
      <c r="K74" s="209">
        <f>CONVERSIONES!$I$214</f>
        <v>5.7142857142857144</v>
      </c>
      <c r="L74" s="209">
        <f t="shared" si="14"/>
        <v>3456.223637672811</v>
      </c>
      <c r="M74" s="209">
        <f>CONVERSIONES!I236*$M$1</f>
        <v>0</v>
      </c>
      <c r="N74" s="209">
        <f t="shared" si="15"/>
        <v>3456.223637672811</v>
      </c>
      <c r="O74" s="222">
        <f>CONVERSIONES!$H$238</f>
        <v>501</v>
      </c>
      <c r="P74" s="293">
        <f t="shared" si="16"/>
        <v>1731568.0424740782</v>
      </c>
      <c r="Q74" s="218"/>
      <c r="R74" s="253">
        <f t="shared" si="8"/>
        <v>14446.832474078285</v>
      </c>
      <c r="S74" s="226">
        <f t="shared" si="17"/>
        <v>28.835992962232105</v>
      </c>
    </row>
    <row r="75" spans="2:19" s="344" customFormat="1">
      <c r="B75" s="343">
        <v>45638</v>
      </c>
      <c r="C75" s="233">
        <v>162</v>
      </c>
      <c r="D75" s="208" t="s">
        <v>631</v>
      </c>
      <c r="E75" s="222">
        <v>496</v>
      </c>
      <c r="F75" s="230">
        <f>G75*E75</f>
        <v>2949597.9200000004</v>
      </c>
      <c r="G75" s="209">
        <v>5946.77</v>
      </c>
      <c r="H75" s="255" t="s">
        <v>272</v>
      </c>
      <c r="I75" s="211">
        <v>45656</v>
      </c>
      <c r="J75" s="209">
        <v>0</v>
      </c>
      <c r="K75" s="209">
        <v>0</v>
      </c>
      <c r="L75" s="209">
        <f t="shared" si="14"/>
        <v>5946.77</v>
      </c>
      <c r="M75" s="209">
        <f>CONVERSIONES!$J$199*$M$1</f>
        <v>0</v>
      </c>
      <c r="N75" s="209">
        <f t="shared" si="15"/>
        <v>5946.77</v>
      </c>
      <c r="O75" s="222">
        <v>0</v>
      </c>
      <c r="P75" s="293">
        <f t="shared" si="16"/>
        <v>0</v>
      </c>
      <c r="Q75" s="218"/>
      <c r="R75" s="253">
        <f>P75-F75*0</f>
        <v>0</v>
      </c>
      <c r="S75" s="226">
        <f t="shared" si="17"/>
        <v>0</v>
      </c>
    </row>
    <row r="76" spans="2:19" s="344" customFormat="1" ht="43.2">
      <c r="B76" s="221">
        <v>45666</v>
      </c>
      <c r="C76" s="233">
        <v>163</v>
      </c>
      <c r="D76" s="284" t="s">
        <v>669</v>
      </c>
      <c r="E76" s="222">
        <v>495</v>
      </c>
      <c r="F76" s="230">
        <f>G76*E76</f>
        <v>2712604.95</v>
      </c>
      <c r="G76" s="209">
        <v>5480.01</v>
      </c>
      <c r="H76" s="255" t="s">
        <v>272</v>
      </c>
      <c r="I76" s="211">
        <v>45315</v>
      </c>
      <c r="J76" s="209">
        <v>0</v>
      </c>
      <c r="K76" s="209">
        <f>CONVERSIONES!$E$273</f>
        <v>5.7142857142857144</v>
      </c>
      <c r="L76" s="209">
        <f t="shared" si="14"/>
        <v>5474.2957142857149</v>
      </c>
      <c r="M76" s="209">
        <f>CONVERSIONES!$E$276*$M$1</f>
        <v>0</v>
      </c>
      <c r="N76" s="209">
        <f t="shared" si="15"/>
        <v>5474.2957142857149</v>
      </c>
      <c r="O76" s="222">
        <f>CONVERSIONES!$E$278</f>
        <v>498</v>
      </c>
      <c r="P76" s="292">
        <f t="shared" ref="P76:P81" si="18">N76*O76</f>
        <v>2726199.2657142859</v>
      </c>
      <c r="Q76" s="218"/>
      <c r="R76" s="311">
        <f t="shared" ref="R76:R87" si="19">P76-F76</f>
        <v>13594.315714285709</v>
      </c>
      <c r="S76" s="232">
        <f t="shared" ref="S76:S81" si="20">IFERROR(R76/O76,0)</f>
        <v>27.297822719449215</v>
      </c>
    </row>
    <row r="77" spans="2:19" s="344" customFormat="1" ht="28.8">
      <c r="B77" s="221">
        <v>45666</v>
      </c>
      <c r="C77" s="233">
        <v>163</v>
      </c>
      <c r="D77" s="283" t="s">
        <v>670</v>
      </c>
      <c r="E77" s="222">
        <v>495</v>
      </c>
      <c r="F77" s="222">
        <v>2572941.09</v>
      </c>
      <c r="G77" s="209">
        <f>F77/E77</f>
        <v>5197.860787878788</v>
      </c>
      <c r="H77" s="255" t="s">
        <v>272</v>
      </c>
      <c r="I77" s="211">
        <v>45315</v>
      </c>
      <c r="J77" s="209">
        <v>0</v>
      </c>
      <c r="K77" s="209">
        <f>CONVERSIONES!D273</f>
        <v>5.7142857142857144</v>
      </c>
      <c r="L77" s="209">
        <f t="shared" si="14"/>
        <v>5192.1465021645026</v>
      </c>
      <c r="M77" s="209">
        <f>CONVERSIONES!$D$276*$M$1</f>
        <v>0</v>
      </c>
      <c r="N77" s="209">
        <f t="shared" si="15"/>
        <v>5192.1465021645026</v>
      </c>
      <c r="O77" s="222">
        <f>CONVERSIONES!$D$278</f>
        <v>498</v>
      </c>
      <c r="P77" s="293">
        <f t="shared" si="18"/>
        <v>2585688.9580779225</v>
      </c>
      <c r="Q77" s="218"/>
      <c r="R77" s="253">
        <f t="shared" si="19"/>
        <v>12747.868077922612</v>
      </c>
      <c r="S77" s="226">
        <f t="shared" si="20"/>
        <v>25.598128670527334</v>
      </c>
    </row>
    <row r="78" spans="2:19" ht="28.8">
      <c r="B78" s="221">
        <v>45666</v>
      </c>
      <c r="C78" s="233">
        <v>163</v>
      </c>
      <c r="D78" s="283" t="s">
        <v>671</v>
      </c>
      <c r="E78" s="222">
        <v>495</v>
      </c>
      <c r="F78" s="222">
        <v>2078549.23</v>
      </c>
      <c r="G78" s="209">
        <f>F78/E78</f>
        <v>4199.0893535353534</v>
      </c>
      <c r="H78" s="255" t="s">
        <v>272</v>
      </c>
      <c r="I78" s="211">
        <v>45315</v>
      </c>
      <c r="J78" s="209">
        <v>0</v>
      </c>
      <c r="K78" s="209">
        <f>CONVERSIONES!$C$273</f>
        <v>5.7142857142857144</v>
      </c>
      <c r="L78" s="209">
        <f t="shared" si="14"/>
        <v>4193.3750678210681</v>
      </c>
      <c r="M78" s="209">
        <f>CONVERSIONES!$C$276*$M$1</f>
        <v>0</v>
      </c>
      <c r="N78" s="209">
        <f t="shared" si="15"/>
        <v>4193.3750678210681</v>
      </c>
      <c r="O78" s="222">
        <f>CONVERSIONES!$C$278</f>
        <v>498</v>
      </c>
      <c r="P78" s="293">
        <f t="shared" si="18"/>
        <v>2088300.7837748919</v>
      </c>
      <c r="Q78" s="218"/>
      <c r="R78" s="253">
        <f t="shared" si="19"/>
        <v>9751.5537748918869</v>
      </c>
      <c r="S78" s="226">
        <f t="shared" si="20"/>
        <v>19.581433282915434</v>
      </c>
    </row>
    <row r="79" spans="2:19">
      <c r="B79" s="221">
        <v>45666</v>
      </c>
      <c r="C79" s="233">
        <v>163</v>
      </c>
      <c r="D79" s="208" t="s">
        <v>672</v>
      </c>
      <c r="E79" s="222">
        <v>495</v>
      </c>
      <c r="F79" s="222">
        <v>4450665.4000000004</v>
      </c>
      <c r="G79" s="209">
        <f>F79/E79</f>
        <v>8991.2432323232333</v>
      </c>
      <c r="H79" s="255" t="s">
        <v>272</v>
      </c>
      <c r="I79" s="211">
        <v>45315</v>
      </c>
      <c r="J79" s="209">
        <v>0</v>
      </c>
      <c r="K79" s="209">
        <f>CONVERSIONES!$F$273+CONVERSIONES!$G$273</f>
        <v>11.428571428571429</v>
      </c>
      <c r="L79" s="209">
        <f t="shared" si="14"/>
        <v>8979.8146608946627</v>
      </c>
      <c r="M79" s="209">
        <f>(CONVERSIONES!$F$276+CONVERSIONES!$G$276)*$M$1</f>
        <v>0</v>
      </c>
      <c r="N79" s="209">
        <f t="shared" si="15"/>
        <v>8979.8146608946627</v>
      </c>
      <c r="O79" s="222">
        <f>CONVERSIONES!$F$278</f>
        <v>498</v>
      </c>
      <c r="P79" s="293">
        <f t="shared" si="18"/>
        <v>4471947.7011255417</v>
      </c>
      <c r="Q79" s="218"/>
      <c r="R79" s="253">
        <f t="shared" si="19"/>
        <v>21282.301125541329</v>
      </c>
      <c r="S79" s="226">
        <f t="shared" si="20"/>
        <v>42.735544428797851</v>
      </c>
    </row>
    <row r="80" spans="2:19">
      <c r="B80" s="221">
        <v>45666</v>
      </c>
      <c r="C80" s="233">
        <v>163</v>
      </c>
      <c r="D80" s="208" t="s">
        <v>673</v>
      </c>
      <c r="E80" s="222">
        <v>495</v>
      </c>
      <c r="F80" s="230">
        <f>G80*E80</f>
        <v>5545712.6999999993</v>
      </c>
      <c r="G80" s="209">
        <v>11203.46</v>
      </c>
      <c r="H80" s="255" t="s">
        <v>272</v>
      </c>
      <c r="I80" s="211">
        <v>45315</v>
      </c>
      <c r="J80" s="209">
        <v>0</v>
      </c>
      <c r="K80" s="209">
        <f>CONVERSIONES!$H$273</f>
        <v>5.7142857142857144</v>
      </c>
      <c r="L80" s="209">
        <f t="shared" si="14"/>
        <v>11197.745714285713</v>
      </c>
      <c r="M80" s="209">
        <f>CONVERSIONES!$H$276*$M$1</f>
        <v>0</v>
      </c>
      <c r="N80" s="209">
        <f t="shared" si="15"/>
        <v>11197.745714285713</v>
      </c>
      <c r="O80" s="222">
        <f>CONVERSIONES!$H$278</f>
        <v>498</v>
      </c>
      <c r="P80" s="292">
        <f t="shared" si="18"/>
        <v>5576477.3657142846</v>
      </c>
      <c r="Q80" s="218"/>
      <c r="R80" s="311">
        <f t="shared" si="19"/>
        <v>30764.665714285336</v>
      </c>
      <c r="S80" s="232">
        <f t="shared" si="20"/>
        <v>61.776437177279789</v>
      </c>
    </row>
    <row r="81" spans="2:20">
      <c r="B81" s="221">
        <v>45666</v>
      </c>
      <c r="C81" s="233">
        <v>163</v>
      </c>
      <c r="D81" s="208" t="s">
        <v>674</v>
      </c>
      <c r="E81" s="222">
        <v>495</v>
      </c>
      <c r="F81" s="222">
        <v>1203335.6299999999</v>
      </c>
      <c r="G81" s="209">
        <v>2430.9810707070706</v>
      </c>
      <c r="H81" s="255" t="s">
        <v>272</v>
      </c>
      <c r="I81" s="211">
        <v>45315</v>
      </c>
      <c r="J81" s="209">
        <v>0</v>
      </c>
      <c r="K81" s="209">
        <f>CONVERSIONES!$I$273</f>
        <v>5.7142857142857144</v>
      </c>
      <c r="L81" s="209">
        <f t="shared" si="14"/>
        <v>2425.2667849927848</v>
      </c>
      <c r="M81" s="209">
        <f>CONVERSIONES!$I$276*$M$1</f>
        <v>0</v>
      </c>
      <c r="N81" s="209">
        <f t="shared" si="15"/>
        <v>2425.2667849927848</v>
      </c>
      <c r="O81" s="222">
        <f>CONVERSIONES!$I$278</f>
        <v>498</v>
      </c>
      <c r="P81" s="293">
        <f t="shared" si="18"/>
        <v>1207782.8589264068</v>
      </c>
      <c r="Q81" s="218"/>
      <c r="R81" s="253">
        <f t="shared" si="19"/>
        <v>4447.2289264069404</v>
      </c>
      <c r="S81" s="226">
        <f t="shared" si="20"/>
        <v>8.9301785670822103</v>
      </c>
    </row>
    <row r="82" spans="2:20" ht="43.2">
      <c r="B82" s="221">
        <v>45694</v>
      </c>
      <c r="C82" s="233">
        <v>165</v>
      </c>
      <c r="D82" s="284" t="s">
        <v>708</v>
      </c>
      <c r="E82" s="222">
        <v>498</v>
      </c>
      <c r="F82" s="230">
        <f>G82*E82</f>
        <v>2728835.8200000003</v>
      </c>
      <c r="G82" s="209">
        <v>5479.59</v>
      </c>
      <c r="H82" s="255" t="s">
        <v>272</v>
      </c>
      <c r="I82" s="211">
        <v>45343</v>
      </c>
      <c r="J82" s="209">
        <v>0</v>
      </c>
      <c r="K82" s="209">
        <f>CONVERSIONES!$E$292</f>
        <v>5.7142857142857144</v>
      </c>
      <c r="L82" s="209">
        <f t="shared" ref="L82:L87" si="21">+G82-J82-K82</f>
        <v>5473.8757142857148</v>
      </c>
      <c r="M82" s="209">
        <f>CONVERSIONES!$E$276*$M$1</f>
        <v>0</v>
      </c>
      <c r="N82" s="209">
        <f t="shared" ref="N82:N87" si="22">(L82-M82)</f>
        <v>5473.8757142857148</v>
      </c>
      <c r="O82" s="222">
        <f>CONVERSIONES!$C$297</f>
        <v>499</v>
      </c>
      <c r="P82" s="292">
        <f t="shared" ref="P82:P87" si="23">N82*O82</f>
        <v>2731463.9814285715</v>
      </c>
      <c r="Q82" s="218"/>
      <c r="R82" s="311">
        <f t="shared" si="19"/>
        <v>2628.161428571213</v>
      </c>
      <c r="S82" s="232">
        <f t="shared" ref="S82:S87" si="24">IFERROR(R82/O82,0)</f>
        <v>5.2668565702829921</v>
      </c>
    </row>
    <row r="83" spans="2:20" ht="28.8">
      <c r="B83" s="221">
        <v>45694</v>
      </c>
      <c r="C83" s="233">
        <v>165</v>
      </c>
      <c r="D83" s="283" t="s">
        <v>709</v>
      </c>
      <c r="E83" s="222">
        <v>498</v>
      </c>
      <c r="F83" s="222">
        <v>2573421.09</v>
      </c>
      <c r="G83" s="209">
        <f>F83/E83</f>
        <v>5167.5122289156625</v>
      </c>
      <c r="H83" s="255" t="s">
        <v>272</v>
      </c>
      <c r="I83" s="211">
        <v>45343</v>
      </c>
      <c r="J83" s="209">
        <v>0</v>
      </c>
      <c r="K83" s="209">
        <f>CONVERSIONES!$D$292</f>
        <v>5.7142857142857144</v>
      </c>
      <c r="L83" s="209">
        <f t="shared" si="21"/>
        <v>5161.7979432013772</v>
      </c>
      <c r="M83" s="209">
        <f>CONVERSIONES!$D$276*$M$1</f>
        <v>0</v>
      </c>
      <c r="N83" s="209">
        <f t="shared" si="22"/>
        <v>5161.7979432013772</v>
      </c>
      <c r="O83" s="222">
        <f>CONVERSIONES!$C$297</f>
        <v>499</v>
      </c>
      <c r="P83" s="293">
        <f t="shared" si="23"/>
        <v>2575737.1736574871</v>
      </c>
      <c r="Q83" s="218"/>
      <c r="R83" s="253">
        <f t="shared" si="19"/>
        <v>2316.0836574872956</v>
      </c>
      <c r="S83" s="226">
        <f t="shared" si="24"/>
        <v>4.6414502154054018</v>
      </c>
    </row>
    <row r="84" spans="2:20" ht="28.8">
      <c r="B84" s="221">
        <v>45694</v>
      </c>
      <c r="C84" s="233">
        <v>165</v>
      </c>
      <c r="D84" s="283" t="s">
        <v>710</v>
      </c>
      <c r="E84" s="222">
        <v>498</v>
      </c>
      <c r="F84" s="222">
        <v>2079029.22</v>
      </c>
      <c r="G84" s="209">
        <f>F84/E84</f>
        <v>4174.7574698795179</v>
      </c>
      <c r="H84" s="255" t="s">
        <v>272</v>
      </c>
      <c r="I84" s="211">
        <v>45343</v>
      </c>
      <c r="J84" s="209">
        <v>0</v>
      </c>
      <c r="K84" s="209">
        <f>CONVERSIONES!$C$292</f>
        <v>5.7142857142857144</v>
      </c>
      <c r="L84" s="209">
        <f t="shared" si="21"/>
        <v>4169.0431841652326</v>
      </c>
      <c r="M84" s="209">
        <f>CONVERSIONES!$C$276*$M$1</f>
        <v>0</v>
      </c>
      <c r="N84" s="209">
        <f t="shared" si="22"/>
        <v>4169.0431841652326</v>
      </c>
      <c r="O84" s="222">
        <f>CONVERSIONES!$C$297</f>
        <v>499</v>
      </c>
      <c r="P84" s="293">
        <f t="shared" si="23"/>
        <v>2080352.548898451</v>
      </c>
      <c r="Q84" s="218"/>
      <c r="R84" s="253">
        <f t="shared" si="19"/>
        <v>1323.3288984510582</v>
      </c>
      <c r="S84" s="226">
        <f t="shared" si="24"/>
        <v>2.6519617203428019</v>
      </c>
    </row>
    <row r="85" spans="2:20">
      <c r="B85" s="221">
        <v>45694</v>
      </c>
      <c r="C85" s="233">
        <v>165</v>
      </c>
      <c r="D85" s="208" t="s">
        <v>711</v>
      </c>
      <c r="E85" s="222">
        <v>498</v>
      </c>
      <c r="F85" s="222">
        <f>4451625.4+481.5</f>
        <v>4452106.9000000004</v>
      </c>
      <c r="G85" s="209">
        <f>F85/E85</f>
        <v>8939.9736947791171</v>
      </c>
      <c r="H85" s="255" t="s">
        <v>272</v>
      </c>
      <c r="I85" s="211">
        <v>45343</v>
      </c>
      <c r="J85" s="209">
        <v>0</v>
      </c>
      <c r="K85" s="209">
        <f>CONVERSIONES!$F$292+CONVERSIONES!$G$292</f>
        <v>11.428571428571429</v>
      </c>
      <c r="L85" s="209">
        <f t="shared" si="21"/>
        <v>8928.5451233505464</v>
      </c>
      <c r="M85" s="209">
        <f>(CONVERSIONES!$F$276+CONVERSIONES!$G$276)*$M$1</f>
        <v>0</v>
      </c>
      <c r="N85" s="209">
        <f t="shared" si="22"/>
        <v>8928.5451233505464</v>
      </c>
      <c r="O85" s="222">
        <f>CONVERSIONES!$C$297</f>
        <v>499</v>
      </c>
      <c r="P85" s="293">
        <f t="shared" si="23"/>
        <v>4455344.016551923</v>
      </c>
      <c r="Q85" s="218"/>
      <c r="R85" s="253">
        <f t="shared" si="19"/>
        <v>3237.1165519226342</v>
      </c>
      <c r="S85" s="226">
        <f t="shared" si="24"/>
        <v>6.4872075188830349</v>
      </c>
    </row>
    <row r="86" spans="2:20">
      <c r="B86" s="221">
        <v>45694</v>
      </c>
      <c r="C86" s="233">
        <v>165</v>
      </c>
      <c r="D86" s="208" t="s">
        <v>712</v>
      </c>
      <c r="E86" s="222">
        <v>498</v>
      </c>
      <c r="F86" s="230">
        <f>G86*E86</f>
        <v>5799304.6200000001</v>
      </c>
      <c r="G86" s="209">
        <v>11645.19</v>
      </c>
      <c r="H86" s="255" t="s">
        <v>272</v>
      </c>
      <c r="I86" s="211">
        <v>45343</v>
      </c>
      <c r="J86" s="209">
        <v>0</v>
      </c>
      <c r="K86" s="209">
        <f>CONVERSIONES!$H$292</f>
        <v>5.7142857142857144</v>
      </c>
      <c r="L86" s="209">
        <f t="shared" si="21"/>
        <v>11639.475714285714</v>
      </c>
      <c r="M86" s="209">
        <f>CONVERSIONES!$H$276*$M$1</f>
        <v>0</v>
      </c>
      <c r="N86" s="209">
        <f t="shared" si="22"/>
        <v>11639.475714285714</v>
      </c>
      <c r="O86" s="222">
        <f>CONVERSIONES!$C$297</f>
        <v>499</v>
      </c>
      <c r="P86" s="292">
        <f t="shared" si="23"/>
        <v>5808098.3814285714</v>
      </c>
      <c r="Q86" s="218"/>
      <c r="R86" s="311">
        <f t="shared" si="19"/>
        <v>8793.7614285713062</v>
      </c>
      <c r="S86" s="232">
        <f t="shared" si="24"/>
        <v>17.622768393930475</v>
      </c>
    </row>
    <row r="87" spans="2:20">
      <c r="B87" s="221">
        <v>45694</v>
      </c>
      <c r="C87" s="233">
        <v>165</v>
      </c>
      <c r="D87" s="208" t="s">
        <v>713</v>
      </c>
      <c r="E87" s="222">
        <v>494</v>
      </c>
      <c r="F87" s="222">
        <v>1203335.6299999999</v>
      </c>
      <c r="G87" s="209">
        <f>F87/E87</f>
        <v>2435.9020850202428</v>
      </c>
      <c r="H87" s="255" t="s">
        <v>272</v>
      </c>
      <c r="I87" s="211">
        <v>45343</v>
      </c>
      <c r="J87" s="209">
        <v>0</v>
      </c>
      <c r="K87" s="209">
        <f>CONVERSIONES!$I$292</f>
        <v>5.7142857142857144</v>
      </c>
      <c r="L87" s="209">
        <f t="shared" si="21"/>
        <v>2430.187799305957</v>
      </c>
      <c r="M87" s="209">
        <f>CONVERSIONES!$I$276*$M$1</f>
        <v>0</v>
      </c>
      <c r="N87" s="209">
        <f t="shared" si="22"/>
        <v>2430.187799305957</v>
      </c>
      <c r="O87" s="222">
        <f>CONVERSIONES!$C$297</f>
        <v>499</v>
      </c>
      <c r="P87" s="293">
        <f t="shared" si="23"/>
        <v>1212663.7118536725</v>
      </c>
      <c r="Q87" s="218"/>
      <c r="R87" s="253">
        <f t="shared" si="19"/>
        <v>9328.0818536726292</v>
      </c>
      <c r="S87" s="226">
        <f t="shared" si="24"/>
        <v>18.693550808963185</v>
      </c>
    </row>
    <row r="88" spans="2:20" ht="45" customHeight="1">
      <c r="B88" s="221">
        <v>45727</v>
      </c>
      <c r="C88" s="233">
        <v>166</v>
      </c>
      <c r="D88" s="284" t="s">
        <v>748</v>
      </c>
      <c r="E88" s="222">
        <v>494</v>
      </c>
      <c r="F88" s="230">
        <f>G88*E88</f>
        <v>2706917.46</v>
      </c>
      <c r="G88" s="209">
        <v>5479.59</v>
      </c>
      <c r="H88" s="255" t="s">
        <v>272</v>
      </c>
      <c r="I88" s="211">
        <v>45737</v>
      </c>
      <c r="J88" s="209">
        <v>0</v>
      </c>
      <c r="K88" s="209">
        <f>CONVERSIONES!$D$314</f>
        <v>5</v>
      </c>
      <c r="L88" s="209">
        <f t="shared" ref="L88:L95" si="25">+G88-J88-K88</f>
        <v>5474.59</v>
      </c>
      <c r="M88" s="209">
        <f>CONVERSIONES!$E$317*$M$1</f>
        <v>0</v>
      </c>
      <c r="N88" s="209">
        <f t="shared" ref="N88:N95" si="26">(L88-M88)</f>
        <v>5474.59</v>
      </c>
      <c r="O88" s="222">
        <f>CONVERSIONES!$C$319</f>
        <v>494</v>
      </c>
      <c r="P88" s="292">
        <f t="shared" ref="P88:P93" si="27">N88*O88</f>
        <v>2704447.46</v>
      </c>
      <c r="Q88" s="218"/>
      <c r="R88" s="311">
        <f t="shared" ref="R88:R95" si="28">P88-F88</f>
        <v>-2470</v>
      </c>
      <c r="S88" s="232">
        <f t="shared" ref="S88:S93" si="29">IFERROR(R88/O88,0)</f>
        <v>-5</v>
      </c>
      <c r="T88" s="379"/>
    </row>
    <row r="89" spans="2:20" ht="28.8">
      <c r="B89" s="221">
        <v>45727</v>
      </c>
      <c r="C89" s="233">
        <v>166</v>
      </c>
      <c r="D89" s="283" t="s">
        <v>749</v>
      </c>
      <c r="E89" s="222">
        <v>494</v>
      </c>
      <c r="F89" s="222">
        <v>2572781.09</v>
      </c>
      <c r="G89" s="209">
        <f>F89/E89</f>
        <v>5208.0588866396756</v>
      </c>
      <c r="H89" s="255" t="s">
        <v>272</v>
      </c>
      <c r="I89" s="211">
        <v>45737</v>
      </c>
      <c r="J89" s="209">
        <v>0</v>
      </c>
      <c r="K89" s="209">
        <f>CONVERSIONES!$E$314</f>
        <v>5</v>
      </c>
      <c r="L89" s="209">
        <f t="shared" si="25"/>
        <v>5203.0588866396756</v>
      </c>
      <c r="M89" s="209">
        <f>CONVERSIONES!$D$317*$M$1</f>
        <v>0</v>
      </c>
      <c r="N89" s="209">
        <f t="shared" si="26"/>
        <v>5203.0588866396756</v>
      </c>
      <c r="O89" s="222">
        <f>CONVERSIONES!$C$319</f>
        <v>494</v>
      </c>
      <c r="P89" s="293">
        <f t="shared" si="27"/>
        <v>2570311.09</v>
      </c>
      <c r="Q89" s="218"/>
      <c r="R89" s="253">
        <f t="shared" si="28"/>
        <v>-2470</v>
      </c>
      <c r="S89" s="226">
        <f t="shared" si="29"/>
        <v>-5</v>
      </c>
      <c r="T89" s="379"/>
    </row>
    <row r="90" spans="2:20" ht="28.8">
      <c r="B90" s="221">
        <v>45727</v>
      </c>
      <c r="C90" s="233">
        <v>166</v>
      </c>
      <c r="D90" s="283" t="s">
        <v>750</v>
      </c>
      <c r="E90" s="222">
        <v>494</v>
      </c>
      <c r="F90" s="222">
        <v>2078389.22</v>
      </c>
      <c r="G90" s="209">
        <f>F90/E90</f>
        <v>4207.2656275303643</v>
      </c>
      <c r="H90" s="255" t="s">
        <v>272</v>
      </c>
      <c r="I90" s="211">
        <v>45737</v>
      </c>
      <c r="J90" s="209">
        <v>0</v>
      </c>
      <c r="K90" s="209">
        <f>CONVERSIONES!$C$314</f>
        <v>5</v>
      </c>
      <c r="L90" s="209">
        <f t="shared" si="25"/>
        <v>4202.2656275303643</v>
      </c>
      <c r="M90" s="209">
        <f>CONVERSIONES!$C$317*$M$1</f>
        <v>0</v>
      </c>
      <c r="N90" s="209">
        <f t="shared" si="26"/>
        <v>4202.2656275303643</v>
      </c>
      <c r="O90" s="222">
        <f>CONVERSIONES!$C$319</f>
        <v>494</v>
      </c>
      <c r="P90" s="293">
        <f t="shared" si="27"/>
        <v>2075919.22</v>
      </c>
      <c r="Q90" s="218"/>
      <c r="R90" s="253">
        <f t="shared" si="28"/>
        <v>-2470</v>
      </c>
      <c r="S90" s="226">
        <f t="shared" si="29"/>
        <v>-5</v>
      </c>
      <c r="T90" s="379"/>
    </row>
    <row r="91" spans="2:20">
      <c r="B91" s="221">
        <v>45727</v>
      </c>
      <c r="C91" s="233">
        <v>166</v>
      </c>
      <c r="D91" s="208" t="s">
        <v>751</v>
      </c>
      <c r="E91" s="222">
        <v>494</v>
      </c>
      <c r="F91" s="222">
        <v>4450345.4000000004</v>
      </c>
      <c r="G91" s="209">
        <f>F91/E91</f>
        <v>9008.7963562753048</v>
      </c>
      <c r="H91" s="255" t="s">
        <v>272</v>
      </c>
      <c r="I91" s="211">
        <v>45737</v>
      </c>
      <c r="J91" s="209">
        <v>0</v>
      </c>
      <c r="K91" s="209">
        <f>CONVERSIONES!$F$314+CONVERSIONES!$G$314</f>
        <v>10</v>
      </c>
      <c r="L91" s="209">
        <f t="shared" si="25"/>
        <v>8998.7963562753048</v>
      </c>
      <c r="M91" s="209">
        <f>(CONVERSIONES!$F$317+CONVERSIONES!$G$317)*$M$1</f>
        <v>0</v>
      </c>
      <c r="N91" s="209">
        <f t="shared" si="26"/>
        <v>8998.7963562753048</v>
      </c>
      <c r="O91" s="222">
        <f>CONVERSIONES!$C$319</f>
        <v>494</v>
      </c>
      <c r="P91" s="293">
        <f t="shared" si="27"/>
        <v>4445405.4000000004</v>
      </c>
      <c r="Q91" s="218"/>
      <c r="R91" s="253">
        <f t="shared" si="28"/>
        <v>-4940</v>
      </c>
      <c r="S91" s="226">
        <f t="shared" si="29"/>
        <v>-10</v>
      </c>
      <c r="T91" s="379"/>
    </row>
    <row r="92" spans="2:20">
      <c r="B92" s="221">
        <v>45727</v>
      </c>
      <c r="C92" s="233">
        <v>166</v>
      </c>
      <c r="D92" s="208" t="s">
        <v>752</v>
      </c>
      <c r="E92" s="222">
        <v>494</v>
      </c>
      <c r="F92" s="230">
        <f>G92*E92</f>
        <v>5564791.4400000004</v>
      </c>
      <c r="G92" s="209">
        <v>11264.76</v>
      </c>
      <c r="H92" s="255" t="s">
        <v>272</v>
      </c>
      <c r="I92" s="211">
        <v>45737</v>
      </c>
      <c r="J92" s="209">
        <v>0</v>
      </c>
      <c r="K92" s="209">
        <f>CONVERSIONES!$I$314</f>
        <v>5</v>
      </c>
      <c r="L92" s="209">
        <f t="shared" si="25"/>
        <v>11259.76</v>
      </c>
      <c r="M92" s="209">
        <f>CONVERSIONES!$H$317*$M$1</f>
        <v>0</v>
      </c>
      <c r="N92" s="209">
        <f t="shared" si="26"/>
        <v>11259.76</v>
      </c>
      <c r="O92" s="222">
        <f>CONVERSIONES!$C$319</f>
        <v>494</v>
      </c>
      <c r="P92" s="292">
        <f t="shared" si="27"/>
        <v>5562321.4400000004</v>
      </c>
      <c r="Q92" s="218"/>
      <c r="R92" s="311">
        <f t="shared" si="28"/>
        <v>-2470</v>
      </c>
      <c r="S92" s="232">
        <f t="shared" si="29"/>
        <v>-5</v>
      </c>
      <c r="T92" s="379"/>
    </row>
    <row r="93" spans="2:20">
      <c r="B93" s="221">
        <v>45727</v>
      </c>
      <c r="C93" s="233">
        <v>166</v>
      </c>
      <c r="D93" s="208" t="s">
        <v>753</v>
      </c>
      <c r="E93" s="222">
        <v>494</v>
      </c>
      <c r="F93" s="222">
        <v>1203175.6299999999</v>
      </c>
      <c r="G93" s="209">
        <f>F93/E93</f>
        <v>2435.5781983805664</v>
      </c>
      <c r="H93" s="255" t="s">
        <v>272</v>
      </c>
      <c r="I93" s="211">
        <v>45737</v>
      </c>
      <c r="J93" s="209">
        <v>0</v>
      </c>
      <c r="K93" s="209">
        <f>CONVERSIONES!$I$314</f>
        <v>5</v>
      </c>
      <c r="L93" s="209">
        <f t="shared" si="25"/>
        <v>2430.5781983805664</v>
      </c>
      <c r="M93" s="209">
        <f>CONVERSIONES!$I$317*$M$1</f>
        <v>0</v>
      </c>
      <c r="N93" s="209">
        <f t="shared" si="26"/>
        <v>2430.5781983805664</v>
      </c>
      <c r="O93" s="222">
        <f>CONVERSIONES!$C$319</f>
        <v>494</v>
      </c>
      <c r="P93" s="293">
        <f t="shared" si="27"/>
        <v>1200705.6299999999</v>
      </c>
      <c r="Q93" s="218"/>
      <c r="R93" s="253">
        <f t="shared" si="28"/>
        <v>-2470</v>
      </c>
      <c r="S93" s="226">
        <f t="shared" si="29"/>
        <v>-5</v>
      </c>
      <c r="T93" s="379"/>
    </row>
    <row r="94" spans="2:20" ht="28.8">
      <c r="B94" s="221">
        <v>45727</v>
      </c>
      <c r="C94" s="233">
        <v>166</v>
      </c>
      <c r="D94" s="283" t="s">
        <v>754</v>
      </c>
      <c r="E94" s="222">
        <v>494</v>
      </c>
      <c r="F94" s="230">
        <f>G94*E94</f>
        <v>4178523.6999999997</v>
      </c>
      <c r="G94" s="209">
        <v>8458.5499999999993</v>
      </c>
      <c r="H94" s="255" t="s">
        <v>272</v>
      </c>
      <c r="I94" s="211">
        <v>45737</v>
      </c>
      <c r="J94" s="209">
        <v>0</v>
      </c>
      <c r="K94" s="209">
        <f>CONVERSIONES!$J$314</f>
        <v>5</v>
      </c>
      <c r="L94" s="209">
        <f t="shared" si="25"/>
        <v>8453.5499999999993</v>
      </c>
      <c r="M94" s="209">
        <f>CONVERSIONES!$J$317*$M$1</f>
        <v>0</v>
      </c>
      <c r="N94" s="209">
        <f t="shared" si="26"/>
        <v>8453.5499999999993</v>
      </c>
      <c r="O94" s="222">
        <f>CONVERSIONES!$C$319</f>
        <v>494</v>
      </c>
      <c r="P94" s="292">
        <f>N94*O94</f>
        <v>4176053.6999999997</v>
      </c>
      <c r="Q94" s="218"/>
      <c r="R94" s="311">
        <f t="shared" si="28"/>
        <v>-2470</v>
      </c>
      <c r="S94" s="232">
        <f>IFERROR(R94/O94,0)</f>
        <v>-5</v>
      </c>
      <c r="T94" s="379"/>
    </row>
    <row r="95" spans="2:20" ht="28.8">
      <c r="B95" s="221">
        <v>45727</v>
      </c>
      <c r="C95" s="233">
        <v>167</v>
      </c>
      <c r="D95" s="283" t="s">
        <v>755</v>
      </c>
      <c r="E95" s="222">
        <v>494</v>
      </c>
      <c r="F95" s="222">
        <v>8790215.8066666666</v>
      </c>
      <c r="G95" s="209">
        <f>F95/E95</f>
        <v>17793.959122807017</v>
      </c>
      <c r="H95" s="255" t="s">
        <v>272</v>
      </c>
      <c r="I95" s="211">
        <v>45741</v>
      </c>
      <c r="J95" s="209">
        <v>0</v>
      </c>
      <c r="K95" s="209">
        <f>CONVERSIONES!$C$336</f>
        <v>26.69</v>
      </c>
      <c r="L95" s="209">
        <f t="shared" si="25"/>
        <v>17767.269122807018</v>
      </c>
      <c r="M95" s="209">
        <f>CONVERSIONES!$C$339*M1</f>
        <v>0</v>
      </c>
      <c r="N95" s="209">
        <f t="shared" si="26"/>
        <v>17767.269122807018</v>
      </c>
      <c r="O95" s="222">
        <f>CONVERSIONES!$C$341</f>
        <v>494</v>
      </c>
      <c r="P95" s="293">
        <f>N95*O95</f>
        <v>8777030.9466666672</v>
      </c>
      <c r="Q95" s="218"/>
      <c r="R95" s="253">
        <f t="shared" si="28"/>
        <v>-13184.859999999404</v>
      </c>
      <c r="S95" s="226">
        <f>IFERROR(R95/O95,0)</f>
        <v>-26.689999999998793</v>
      </c>
      <c r="T95" s="379"/>
    </row>
    <row r="96" spans="2:20" ht="43.2">
      <c r="B96" s="221">
        <v>45756</v>
      </c>
      <c r="C96" s="233">
        <v>168</v>
      </c>
      <c r="D96" s="284" t="s">
        <v>803</v>
      </c>
      <c r="E96" s="222">
        <v>499</v>
      </c>
      <c r="F96" s="230">
        <f>G96*E96</f>
        <v>2734315.41</v>
      </c>
      <c r="G96" s="209">
        <v>5479.59</v>
      </c>
      <c r="H96" s="255" t="s">
        <v>272</v>
      </c>
      <c r="I96" s="211">
        <v>45777</v>
      </c>
      <c r="J96" s="209">
        <v>0</v>
      </c>
      <c r="K96" s="209">
        <f>CONVERSIONES!$E$355</f>
        <v>5</v>
      </c>
      <c r="L96" s="209">
        <f t="shared" ref="L96:L103" si="30">+G96-J96-K96</f>
        <v>5474.59</v>
      </c>
      <c r="M96" s="209">
        <f>CONVERSIONES!$E$358*$M$1</f>
        <v>0</v>
      </c>
      <c r="N96" s="209">
        <f t="shared" ref="N96:N114" si="31">(L96-M96)</f>
        <v>5474.59</v>
      </c>
      <c r="O96" s="222">
        <f>CONVERSIONES!$C$360</f>
        <v>499</v>
      </c>
      <c r="P96" s="292">
        <f t="shared" ref="P96:P101" si="32">N96*O96</f>
        <v>2731820.41</v>
      </c>
      <c r="Q96" s="218"/>
      <c r="R96" s="311">
        <f t="shared" ref="R96:R102" si="33">P96-F96</f>
        <v>-2495</v>
      </c>
      <c r="S96" s="232">
        <f t="shared" ref="S96:S101" si="34">IFERROR(R96/O96,0)</f>
        <v>-5</v>
      </c>
    </row>
    <row r="97" spans="1:19" ht="28.8">
      <c r="B97" s="221">
        <v>45756</v>
      </c>
      <c r="C97" s="233">
        <v>168</v>
      </c>
      <c r="D97" s="283" t="s">
        <v>804</v>
      </c>
      <c r="E97" s="222">
        <v>499</v>
      </c>
      <c r="F97" s="222">
        <v>2573581.09</v>
      </c>
      <c r="G97" s="209">
        <f>F97/E97</f>
        <v>5157.4771342685372</v>
      </c>
      <c r="H97" s="255" t="s">
        <v>272</v>
      </c>
      <c r="I97" s="211">
        <v>45777</v>
      </c>
      <c r="J97" s="209">
        <v>0</v>
      </c>
      <c r="K97" s="209">
        <f>CONVERSIONES!$D$355</f>
        <v>5</v>
      </c>
      <c r="L97" s="209">
        <f t="shared" si="30"/>
        <v>5152.4771342685372</v>
      </c>
      <c r="M97" s="209">
        <f>CONVERSIONES!$D$358*$M$1</f>
        <v>0</v>
      </c>
      <c r="N97" s="209">
        <f t="shared" si="31"/>
        <v>5152.4771342685372</v>
      </c>
      <c r="O97" s="222">
        <f>CONVERSIONES!$C$360</f>
        <v>499</v>
      </c>
      <c r="P97" s="293">
        <f t="shared" si="32"/>
        <v>2571086.09</v>
      </c>
      <c r="Q97" s="218"/>
      <c r="R97" s="253">
        <f t="shared" si="33"/>
        <v>-2495</v>
      </c>
      <c r="S97" s="226">
        <f t="shared" si="34"/>
        <v>-5</v>
      </c>
    </row>
    <row r="98" spans="1:19" ht="28.8">
      <c r="B98" s="221">
        <v>45756</v>
      </c>
      <c r="C98" s="233">
        <v>168</v>
      </c>
      <c r="D98" s="283" t="s">
        <v>805</v>
      </c>
      <c r="E98" s="222">
        <v>499</v>
      </c>
      <c r="F98" s="222">
        <v>2079189.22</v>
      </c>
      <c r="G98" s="209">
        <f>F98/E98</f>
        <v>4166.7118637274552</v>
      </c>
      <c r="H98" s="255" t="s">
        <v>272</v>
      </c>
      <c r="I98" s="211">
        <v>45777</v>
      </c>
      <c r="J98" s="209">
        <v>0</v>
      </c>
      <c r="K98" s="209">
        <f>CONVERSIONES!$C$355</f>
        <v>5</v>
      </c>
      <c r="L98" s="209">
        <f t="shared" si="30"/>
        <v>4161.7118637274552</v>
      </c>
      <c r="M98" s="209">
        <f>CONVERSIONES!$C$358*$M$1</f>
        <v>0</v>
      </c>
      <c r="N98" s="209">
        <f t="shared" si="31"/>
        <v>4161.7118637274552</v>
      </c>
      <c r="O98" s="222">
        <f>CONVERSIONES!$C$360</f>
        <v>499</v>
      </c>
      <c r="P98" s="293">
        <f t="shared" si="32"/>
        <v>2076694.2200000002</v>
      </c>
      <c r="Q98" s="218"/>
      <c r="R98" s="253">
        <f t="shared" si="33"/>
        <v>-2494.9999999997672</v>
      </c>
      <c r="S98" s="226">
        <f t="shared" si="34"/>
        <v>-4.9999999999995337</v>
      </c>
    </row>
    <row r="99" spans="1:19">
      <c r="B99" s="221">
        <v>45756</v>
      </c>
      <c r="C99" s="233">
        <v>168</v>
      </c>
      <c r="D99" s="208" t="s">
        <v>806</v>
      </c>
      <c r="E99" s="222">
        <v>499</v>
      </c>
      <c r="F99" s="222">
        <v>4451945.4000000004</v>
      </c>
      <c r="G99" s="209">
        <f>F99/E99</f>
        <v>8921.734268537075</v>
      </c>
      <c r="H99" s="255" t="s">
        <v>272</v>
      </c>
      <c r="I99" s="211">
        <v>45777</v>
      </c>
      <c r="J99" s="209">
        <v>0</v>
      </c>
      <c r="K99" s="209">
        <f>CONVERSIONES!$F$355+CONVERSIONES!$G$355</f>
        <v>10</v>
      </c>
      <c r="L99" s="209">
        <f t="shared" si="30"/>
        <v>8911.734268537075</v>
      </c>
      <c r="M99" s="209">
        <f>(CONVERSIONES!$F$358+CONVERSIONES!$G$358)*$M$1</f>
        <v>0</v>
      </c>
      <c r="N99" s="209">
        <f t="shared" si="31"/>
        <v>8911.734268537075</v>
      </c>
      <c r="O99" s="222">
        <f>CONVERSIONES!$C$360</f>
        <v>499</v>
      </c>
      <c r="P99" s="293">
        <f t="shared" si="32"/>
        <v>4446955.4000000004</v>
      </c>
      <c r="Q99" s="218"/>
      <c r="R99" s="253">
        <f t="shared" si="33"/>
        <v>-4990</v>
      </c>
      <c r="S99" s="226">
        <f t="shared" si="34"/>
        <v>-10</v>
      </c>
    </row>
    <row r="100" spans="1:19">
      <c r="B100" s="221">
        <v>45756</v>
      </c>
      <c r="C100" s="233">
        <v>168</v>
      </c>
      <c r="D100" s="208" t="s">
        <v>807</v>
      </c>
      <c r="E100" s="222">
        <v>499</v>
      </c>
      <c r="F100" s="230">
        <f>G100*E100</f>
        <v>12864629.18</v>
      </c>
      <c r="G100" s="209">
        <v>25780.82</v>
      </c>
      <c r="H100" s="255" t="s">
        <v>272</v>
      </c>
      <c r="I100" s="211">
        <v>45777</v>
      </c>
      <c r="J100" s="209">
        <v>0</v>
      </c>
      <c r="K100" s="209">
        <f>CONVERSIONES!$H$355</f>
        <v>5</v>
      </c>
      <c r="L100" s="209">
        <f t="shared" si="30"/>
        <v>25775.82</v>
      </c>
      <c r="M100" s="209">
        <f>CONVERSIONES!$H$358*$M$1</f>
        <v>0</v>
      </c>
      <c r="N100" s="209">
        <f t="shared" si="31"/>
        <v>25775.82</v>
      </c>
      <c r="O100" s="222">
        <f>CONVERSIONES!$C$360</f>
        <v>499</v>
      </c>
      <c r="P100" s="292">
        <f t="shared" si="32"/>
        <v>12862134.18</v>
      </c>
      <c r="Q100" s="218"/>
      <c r="R100" s="311">
        <f t="shared" si="33"/>
        <v>-2495</v>
      </c>
      <c r="S100" s="232">
        <f t="shared" si="34"/>
        <v>-5</v>
      </c>
    </row>
    <row r="101" spans="1:19">
      <c r="B101" s="221">
        <v>45756</v>
      </c>
      <c r="C101" s="233">
        <v>168</v>
      </c>
      <c r="D101" s="208" t="s">
        <v>808</v>
      </c>
      <c r="E101" s="222">
        <v>499</v>
      </c>
      <c r="F101" s="222">
        <v>1203975.6299999999</v>
      </c>
      <c r="G101" s="209">
        <f>F101/E101</f>
        <v>2412.7768136272543</v>
      </c>
      <c r="H101" s="255" t="s">
        <v>272</v>
      </c>
      <c r="I101" s="211">
        <v>45777</v>
      </c>
      <c r="J101" s="209">
        <v>0</v>
      </c>
      <c r="K101" s="209">
        <f>CONVERSIONES!$I$355</f>
        <v>5</v>
      </c>
      <c r="L101" s="209">
        <f t="shared" si="30"/>
        <v>2407.7768136272543</v>
      </c>
      <c r="M101" s="209">
        <f>CONVERSIONES!$I$358*$M$1</f>
        <v>0</v>
      </c>
      <c r="N101" s="209">
        <f t="shared" si="31"/>
        <v>2407.7768136272543</v>
      </c>
      <c r="O101" s="222">
        <f>CONVERSIONES!$C$360</f>
        <v>499</v>
      </c>
      <c r="P101" s="293">
        <f t="shared" si="32"/>
        <v>1201480.6299999999</v>
      </c>
      <c r="Q101" s="218"/>
      <c r="R101" s="253">
        <f t="shared" si="33"/>
        <v>-2495</v>
      </c>
      <c r="S101" s="226">
        <f t="shared" si="34"/>
        <v>-5</v>
      </c>
    </row>
    <row r="102" spans="1:19">
      <c r="B102" s="221">
        <v>45756</v>
      </c>
      <c r="C102" s="233">
        <v>168</v>
      </c>
      <c r="D102" s="283" t="s">
        <v>809</v>
      </c>
      <c r="E102" s="222">
        <v>499</v>
      </c>
      <c r="F102" s="230">
        <f>G102*E102</f>
        <v>4220816.4499999993</v>
      </c>
      <c r="G102" s="209">
        <v>8458.5499999999993</v>
      </c>
      <c r="H102" s="255" t="s">
        <v>272</v>
      </c>
      <c r="I102" s="211">
        <v>45777</v>
      </c>
      <c r="J102" s="209">
        <v>0</v>
      </c>
      <c r="K102" s="209">
        <f>CONVERSIONES!$J$355</f>
        <v>5</v>
      </c>
      <c r="L102" s="209">
        <f t="shared" si="30"/>
        <v>8453.5499999999993</v>
      </c>
      <c r="M102" s="209">
        <f>CONVERSIONES!$J$358*$M$1</f>
        <v>0</v>
      </c>
      <c r="N102" s="209">
        <f t="shared" si="31"/>
        <v>8453.5499999999993</v>
      </c>
      <c r="O102" s="222">
        <f>CONVERSIONES!$C$360</f>
        <v>499</v>
      </c>
      <c r="P102" s="292">
        <f>N102*O102</f>
        <v>4218321.4499999993</v>
      </c>
      <c r="Q102" s="218"/>
      <c r="R102" s="311">
        <f t="shared" si="33"/>
        <v>-2495</v>
      </c>
      <c r="S102" s="232">
        <f>IFERROR(R102/O102,0)</f>
        <v>-5</v>
      </c>
    </row>
    <row r="103" spans="1:19" ht="28.8">
      <c r="B103" s="221">
        <v>45762</v>
      </c>
      <c r="C103" s="233">
        <v>169</v>
      </c>
      <c r="D103" s="283" t="s">
        <v>812</v>
      </c>
      <c r="E103" s="222">
        <v>502</v>
      </c>
      <c r="F103" s="223">
        <v>8803845.8066666666</v>
      </c>
      <c r="G103" s="209">
        <f>F103/E103</f>
        <v>17537.541447543161</v>
      </c>
      <c r="H103" s="255" t="s">
        <v>272</v>
      </c>
      <c r="I103" s="211">
        <v>45768</v>
      </c>
      <c r="J103" s="209">
        <v>0</v>
      </c>
      <c r="K103" s="520">
        <f>CONVERSIONES!$C$373</f>
        <v>26.3</v>
      </c>
      <c r="L103" s="209">
        <f t="shared" si="30"/>
        <v>17511.241447543161</v>
      </c>
      <c r="M103" s="209">
        <f>CONVERSIONES!$C$376*$M$1</f>
        <v>0</v>
      </c>
      <c r="N103" s="209">
        <f t="shared" si="31"/>
        <v>17511.241447543161</v>
      </c>
      <c r="O103" s="222">
        <f>CONVERSIONES!$C$378</f>
        <v>499</v>
      </c>
      <c r="P103" s="293">
        <f>N103*O103</f>
        <v>8738109.4823240377</v>
      </c>
      <c r="Q103" s="218"/>
      <c r="R103" s="253">
        <f t="shared" ref="R103:R118" si="35">P103-F103</f>
        <v>-65736.324342628941</v>
      </c>
      <c r="S103" s="226">
        <f>IFERROR(R103/O103,0)</f>
        <v>-131.7361209271121</v>
      </c>
    </row>
    <row r="104" spans="1:19" ht="28.8">
      <c r="A104" s="344"/>
      <c r="B104" s="221">
        <v>45786</v>
      </c>
      <c r="C104" s="233">
        <v>172</v>
      </c>
      <c r="D104" s="283" t="s">
        <v>843</v>
      </c>
      <c r="E104" s="222">
        <v>501</v>
      </c>
      <c r="F104" s="222">
        <v>1022367.8106</v>
      </c>
      <c r="G104" s="209">
        <f>F104/E104</f>
        <v>2040.6543125748503</v>
      </c>
      <c r="H104" s="255" t="s">
        <v>272</v>
      </c>
      <c r="I104" s="211">
        <v>45799</v>
      </c>
      <c r="J104" s="209">
        <v>0</v>
      </c>
      <c r="K104" s="209">
        <f>CONVERSIONES!$C$391</f>
        <v>0</v>
      </c>
      <c r="L104" s="209">
        <f t="shared" ref="L104:L110" si="36">+G104-J104-K104</f>
        <v>2040.6543125748503</v>
      </c>
      <c r="M104" s="209">
        <f>CONVERSIONES!$C$394*$M$1</f>
        <v>0</v>
      </c>
      <c r="N104" s="209">
        <f t="shared" ref="N104:N110" si="37">(L104-M104)</f>
        <v>2040.6543125748503</v>
      </c>
      <c r="O104" s="222">
        <f>CONVERSIONES!$C$396</f>
        <v>502</v>
      </c>
      <c r="P104" s="293">
        <f t="shared" ref="P104:P109" si="38">N104*O104</f>
        <v>1024408.4649125749</v>
      </c>
      <c r="Q104" s="218"/>
      <c r="R104" s="253">
        <f t="shared" si="35"/>
        <v>2040.6543125748867</v>
      </c>
      <c r="S104" s="226">
        <f t="shared" ref="S104:S109" si="39">IFERROR(R104/O104,0)</f>
        <v>4.0650484314240769</v>
      </c>
    </row>
    <row r="105" spans="1:19" ht="43.2">
      <c r="A105" s="344"/>
      <c r="B105" s="221">
        <v>45786</v>
      </c>
      <c r="C105" s="233">
        <v>171</v>
      </c>
      <c r="D105" s="283" t="s">
        <v>895</v>
      </c>
      <c r="E105" s="222">
        <v>501</v>
      </c>
      <c r="F105" s="230">
        <f>G105*E105</f>
        <v>2745485.0100000002</v>
      </c>
      <c r="G105" s="209">
        <v>5480.01</v>
      </c>
      <c r="H105" s="255" t="s">
        <v>272</v>
      </c>
      <c r="I105" s="211">
        <v>45799</v>
      </c>
      <c r="J105" s="209">
        <v>0</v>
      </c>
      <c r="K105" s="209">
        <f>CONVERSIONES!$E$391</f>
        <v>0</v>
      </c>
      <c r="L105" s="209">
        <f t="shared" si="36"/>
        <v>5480.01</v>
      </c>
      <c r="M105" s="209">
        <f>CONVERSIONES!$E$394*$M$1</f>
        <v>0</v>
      </c>
      <c r="N105" s="209">
        <f t="shared" si="37"/>
        <v>5480.01</v>
      </c>
      <c r="O105" s="222">
        <f>CONVERSIONES!$C$396</f>
        <v>502</v>
      </c>
      <c r="P105" s="292">
        <f t="shared" si="38"/>
        <v>2750965.02</v>
      </c>
      <c r="Q105" s="218"/>
      <c r="R105" s="311">
        <f t="shared" si="35"/>
        <v>5480.0099999997765</v>
      </c>
      <c r="S105" s="232">
        <f t="shared" si="39"/>
        <v>10.916354581672861</v>
      </c>
    </row>
    <row r="106" spans="1:19" ht="28.8">
      <c r="A106" s="344"/>
      <c r="B106" s="221">
        <v>45786</v>
      </c>
      <c r="C106" s="233">
        <v>171</v>
      </c>
      <c r="D106" s="283" t="s">
        <v>804</v>
      </c>
      <c r="E106" s="222">
        <v>501</v>
      </c>
      <c r="F106" s="222">
        <v>3054449.32</v>
      </c>
      <c r="G106" s="209">
        <f>F106/E106</f>
        <v>6096.7052295409176</v>
      </c>
      <c r="H106" s="255" t="s">
        <v>272</v>
      </c>
      <c r="I106" s="211">
        <v>45799</v>
      </c>
      <c r="J106" s="209">
        <v>0</v>
      </c>
      <c r="K106" s="209">
        <f>CONVERSIONES!$D$391</f>
        <v>0</v>
      </c>
      <c r="L106" s="209">
        <f t="shared" si="36"/>
        <v>6096.7052295409176</v>
      </c>
      <c r="M106" s="209">
        <f>CONVERSIONES!$D$394*$M$1</f>
        <v>0</v>
      </c>
      <c r="N106" s="209">
        <f t="shared" si="37"/>
        <v>6096.7052295409176</v>
      </c>
      <c r="O106" s="222">
        <f>CONVERSIONES!$C$396</f>
        <v>502</v>
      </c>
      <c r="P106" s="293">
        <f t="shared" si="38"/>
        <v>3060546.0252295407</v>
      </c>
      <c r="Q106" s="218"/>
      <c r="R106" s="253">
        <f t="shared" si="35"/>
        <v>6096.7052295408212</v>
      </c>
      <c r="S106" s="226">
        <f t="shared" si="39"/>
        <v>12.144831134543468</v>
      </c>
    </row>
    <row r="107" spans="1:19">
      <c r="A107" s="344"/>
      <c r="B107" s="221">
        <v>45786</v>
      </c>
      <c r="C107" s="233">
        <v>171</v>
      </c>
      <c r="D107" s="283" t="s">
        <v>844</v>
      </c>
      <c r="E107" s="222">
        <v>501</v>
      </c>
      <c r="F107" s="222">
        <v>4452585.4000000004</v>
      </c>
      <c r="G107" s="209">
        <f>F107/E107</f>
        <v>8887.3960079840326</v>
      </c>
      <c r="H107" s="255" t="s">
        <v>272</v>
      </c>
      <c r="I107" s="211">
        <v>45799</v>
      </c>
      <c r="J107" s="209">
        <v>0</v>
      </c>
      <c r="K107" s="209">
        <f>CONVERSIONES!$F$391+CONVERSIONES!$G$391</f>
        <v>0</v>
      </c>
      <c r="L107" s="209">
        <f t="shared" si="36"/>
        <v>8887.3960079840326</v>
      </c>
      <c r="M107" s="209">
        <f>(CONVERSIONES!$F$394+CONVERSIONES!$G$394)*$M$1</f>
        <v>0</v>
      </c>
      <c r="N107" s="209">
        <f t="shared" si="37"/>
        <v>8887.3960079840326</v>
      </c>
      <c r="O107" s="222">
        <f>CONVERSIONES!$C$396</f>
        <v>502</v>
      </c>
      <c r="P107" s="293">
        <f t="shared" si="38"/>
        <v>4461472.7960079843</v>
      </c>
      <c r="Q107" s="218"/>
      <c r="R107" s="253">
        <f t="shared" si="35"/>
        <v>8887.3960079839453</v>
      </c>
      <c r="S107" s="226">
        <f t="shared" si="39"/>
        <v>17.703976111521804</v>
      </c>
    </row>
    <row r="108" spans="1:19">
      <c r="A108" s="344"/>
      <c r="B108" s="221">
        <v>45786</v>
      </c>
      <c r="C108" s="233">
        <v>171</v>
      </c>
      <c r="D108" s="283" t="s">
        <v>845</v>
      </c>
      <c r="E108" s="222">
        <v>501</v>
      </c>
      <c r="F108" s="230">
        <f>G108*E108</f>
        <v>5723584.3200000003</v>
      </c>
      <c r="G108" s="209">
        <v>11424.32</v>
      </c>
      <c r="H108" s="255" t="s">
        <v>272</v>
      </c>
      <c r="I108" s="211">
        <v>45799</v>
      </c>
      <c r="J108" s="209">
        <v>0</v>
      </c>
      <c r="K108" s="209">
        <f>CONVERSIONES!$H$391</f>
        <v>0</v>
      </c>
      <c r="L108" s="209">
        <f t="shared" si="36"/>
        <v>11424.32</v>
      </c>
      <c r="M108" s="209">
        <f>CONVERSIONES!$H$394*$M$1</f>
        <v>0</v>
      </c>
      <c r="N108" s="209">
        <f t="shared" si="37"/>
        <v>11424.32</v>
      </c>
      <c r="O108" s="222">
        <f>CONVERSIONES!$C$396</f>
        <v>502</v>
      </c>
      <c r="P108" s="292">
        <f t="shared" si="38"/>
        <v>5735008.6399999997</v>
      </c>
      <c r="Q108" s="218"/>
      <c r="R108" s="311">
        <f t="shared" si="35"/>
        <v>11424.319999999367</v>
      </c>
      <c r="S108" s="232">
        <f t="shared" si="39"/>
        <v>22.757609561751728</v>
      </c>
    </row>
    <row r="109" spans="1:19">
      <c r="A109" s="344"/>
      <c r="B109" s="221">
        <v>45786</v>
      </c>
      <c r="C109" s="233">
        <v>171</v>
      </c>
      <c r="D109" s="283" t="s">
        <v>846</v>
      </c>
      <c r="E109" s="222">
        <v>501</v>
      </c>
      <c r="F109" s="222">
        <v>1204295.6299999999</v>
      </c>
      <c r="G109" s="209">
        <f>F109/E109</f>
        <v>2403.7836926147702</v>
      </c>
      <c r="H109" s="255" t="s">
        <v>272</v>
      </c>
      <c r="I109" s="211">
        <v>45799</v>
      </c>
      <c r="J109" s="209">
        <v>0</v>
      </c>
      <c r="K109" s="209">
        <f>CONVERSIONES!$I$391</f>
        <v>0</v>
      </c>
      <c r="L109" s="209">
        <f t="shared" si="36"/>
        <v>2403.7836926147702</v>
      </c>
      <c r="M109" s="209">
        <f>CONVERSIONES!I394*$M$1</f>
        <v>0</v>
      </c>
      <c r="N109" s="209">
        <f t="shared" si="37"/>
        <v>2403.7836926147702</v>
      </c>
      <c r="O109" s="222">
        <f>CONVERSIONES!$C$396</f>
        <v>502</v>
      </c>
      <c r="P109" s="293">
        <f t="shared" si="38"/>
        <v>1206699.4136926145</v>
      </c>
      <c r="Q109" s="218"/>
      <c r="R109" s="253">
        <f t="shared" si="35"/>
        <v>2403.783692614641</v>
      </c>
      <c r="S109" s="226">
        <f t="shared" si="39"/>
        <v>4.7884137303080498</v>
      </c>
    </row>
    <row r="110" spans="1:19">
      <c r="A110" s="344"/>
      <c r="B110" s="221">
        <v>45786</v>
      </c>
      <c r="C110" s="233">
        <v>171</v>
      </c>
      <c r="D110" s="283" t="s">
        <v>847</v>
      </c>
      <c r="E110" s="222">
        <v>501</v>
      </c>
      <c r="F110" s="230">
        <f>G110*E110</f>
        <v>4237733.55</v>
      </c>
      <c r="G110" s="209">
        <v>8458.5499999999993</v>
      </c>
      <c r="H110" s="255" t="s">
        <v>272</v>
      </c>
      <c r="I110" s="211">
        <v>45799</v>
      </c>
      <c r="J110" s="209">
        <v>0</v>
      </c>
      <c r="K110" s="209">
        <f>CONVERSIONES!$J$391</f>
        <v>0</v>
      </c>
      <c r="L110" s="209">
        <f t="shared" si="36"/>
        <v>8458.5499999999993</v>
      </c>
      <c r="M110" s="209">
        <f>CONVERSIONES!$J$394*$M$1</f>
        <v>0</v>
      </c>
      <c r="N110" s="209">
        <f t="shared" si="37"/>
        <v>8458.5499999999993</v>
      </c>
      <c r="O110" s="222">
        <f>CONVERSIONES!$C$396</f>
        <v>502</v>
      </c>
      <c r="P110" s="292">
        <f t="shared" ref="P110:P117" si="40">N110*O110</f>
        <v>4246192.0999999996</v>
      </c>
      <c r="Q110" s="218"/>
      <c r="R110" s="311">
        <f t="shared" si="35"/>
        <v>8458.5499999998137</v>
      </c>
      <c r="S110" s="232">
        <f t="shared" ref="S110:S117" si="41">IFERROR(R110/O110,0)</f>
        <v>16.849701195218753</v>
      </c>
    </row>
    <row r="111" spans="1:19" ht="28.8">
      <c r="B111" s="221">
        <v>45789</v>
      </c>
      <c r="C111" s="233">
        <v>173</v>
      </c>
      <c r="D111" s="283" t="s">
        <v>842</v>
      </c>
      <c r="E111" s="222">
        <v>501</v>
      </c>
      <c r="F111" s="223">
        <v>8803685.8066666666</v>
      </c>
      <c r="G111" s="209">
        <f>F111/E111</f>
        <v>17572.227159015303</v>
      </c>
      <c r="H111" s="255" t="s">
        <v>272</v>
      </c>
      <c r="I111" s="211">
        <v>45799</v>
      </c>
      <c r="J111" s="209">
        <v>0</v>
      </c>
      <c r="K111" s="209">
        <f>CONVERSIONES!$C$425</f>
        <v>20</v>
      </c>
      <c r="L111" s="209">
        <f t="shared" ref="L111:L129" si="42">+G111-J111-K111</f>
        <v>17552.227159015303</v>
      </c>
      <c r="M111" s="209">
        <f>CONVERSIONES!$C$428*$M$1</f>
        <v>0</v>
      </c>
      <c r="N111" s="209">
        <f t="shared" si="31"/>
        <v>17552.227159015303</v>
      </c>
      <c r="O111" s="222">
        <f>CONVERSIONES!$C$396</f>
        <v>502</v>
      </c>
      <c r="P111" s="293">
        <f t="shared" si="40"/>
        <v>8811218.0338256825</v>
      </c>
      <c r="Q111" s="218"/>
      <c r="R111" s="253">
        <f t="shared" si="35"/>
        <v>7532.2271590158343</v>
      </c>
      <c r="S111" s="226">
        <f t="shared" si="41"/>
        <v>15.004436571744689</v>
      </c>
    </row>
    <row r="112" spans="1:19" ht="28.8">
      <c r="B112" s="221">
        <v>45807</v>
      </c>
      <c r="C112" s="233">
        <v>174</v>
      </c>
      <c r="D112" s="283" t="s">
        <v>891</v>
      </c>
      <c r="E112" s="222">
        <v>501</v>
      </c>
      <c r="F112" s="230">
        <f>G112*E112</f>
        <v>682211.70000000007</v>
      </c>
      <c r="G112" s="209">
        <v>1361.7</v>
      </c>
      <c r="H112" s="255" t="s">
        <v>272</v>
      </c>
      <c r="I112" s="211">
        <v>45817</v>
      </c>
      <c r="J112" s="209">
        <v>0</v>
      </c>
      <c r="K112" s="209">
        <f>CONVERSIONES!$C$425</f>
        <v>20</v>
      </c>
      <c r="L112" s="209">
        <f t="shared" si="42"/>
        <v>1341.7</v>
      </c>
      <c r="M112" s="209">
        <f>CONVERSIONES!$C$428*$M$1</f>
        <v>0</v>
      </c>
      <c r="N112" s="209">
        <f t="shared" si="31"/>
        <v>1341.7</v>
      </c>
      <c r="O112" s="222">
        <f>CONVERSIONES!$C$448</f>
        <v>498</v>
      </c>
      <c r="P112" s="292">
        <f t="shared" si="40"/>
        <v>668166.6</v>
      </c>
      <c r="Q112" s="218"/>
      <c r="R112" s="311">
        <f t="shared" si="35"/>
        <v>-14045.100000000093</v>
      </c>
      <c r="S112" s="232">
        <f t="shared" si="41"/>
        <v>-28.203012048192956</v>
      </c>
    </row>
    <row r="113" spans="2:19" ht="43.2">
      <c r="B113" s="221">
        <v>45818</v>
      </c>
      <c r="C113" s="233">
        <v>175</v>
      </c>
      <c r="D113" s="283" t="s">
        <v>894</v>
      </c>
      <c r="E113" s="222">
        <v>501</v>
      </c>
      <c r="F113" s="230">
        <f>G113*E113</f>
        <v>2745485.0100000002</v>
      </c>
      <c r="G113" s="209">
        <v>5480.01</v>
      </c>
      <c r="H113" s="255" t="s">
        <v>272</v>
      </c>
      <c r="I113" s="211">
        <v>45832</v>
      </c>
      <c r="J113" s="209">
        <v>0</v>
      </c>
      <c r="K113" s="209">
        <f>CONVERSIONES!$C$443</f>
        <v>0</v>
      </c>
      <c r="L113" s="209">
        <f t="shared" si="42"/>
        <v>5480.01</v>
      </c>
      <c r="M113" s="209">
        <f>CONVERSIONES!$C$428*$M$1</f>
        <v>0</v>
      </c>
      <c r="N113" s="209">
        <f t="shared" si="31"/>
        <v>5480.01</v>
      </c>
      <c r="O113" s="222">
        <f>CONVERSIONES!$C$448</f>
        <v>498</v>
      </c>
      <c r="P113" s="292">
        <f t="shared" si="40"/>
        <v>2729044.98</v>
      </c>
      <c r="Q113" s="218"/>
      <c r="R113" s="311">
        <f t="shared" si="35"/>
        <v>-16440.030000000261</v>
      </c>
      <c r="S113" s="232">
        <f t="shared" si="41"/>
        <v>-33.012108433735463</v>
      </c>
    </row>
    <row r="114" spans="2:19">
      <c r="B114" s="221">
        <v>45818</v>
      </c>
      <c r="C114" s="233">
        <v>175</v>
      </c>
      <c r="D114" s="283" t="s">
        <v>896</v>
      </c>
      <c r="E114" s="222">
        <v>501</v>
      </c>
      <c r="F114" s="222">
        <v>4452587.4000000004</v>
      </c>
      <c r="G114" s="209">
        <f>F114/E114</f>
        <v>8887.4000000000015</v>
      </c>
      <c r="H114" s="255" t="s">
        <v>272</v>
      </c>
      <c r="I114" s="211">
        <v>45832</v>
      </c>
      <c r="J114" s="209">
        <v>0</v>
      </c>
      <c r="K114" s="209">
        <f>CONVERSIONES!$D$443+CONVERSIONES!$E$443</f>
        <v>0</v>
      </c>
      <c r="L114" s="209">
        <f t="shared" si="42"/>
        <v>8887.4000000000015</v>
      </c>
      <c r="M114" s="209">
        <f>CONVERSIONES!$C$428*$M$1</f>
        <v>0</v>
      </c>
      <c r="N114" s="209">
        <f t="shared" si="31"/>
        <v>8887.4000000000015</v>
      </c>
      <c r="O114" s="222">
        <f>CONVERSIONES!$C$448</f>
        <v>498</v>
      </c>
      <c r="P114" s="293">
        <f t="shared" si="40"/>
        <v>4425925.2000000011</v>
      </c>
      <c r="Q114" s="218"/>
      <c r="R114" s="253">
        <f t="shared" si="35"/>
        <v>-26662.199999999255</v>
      </c>
      <c r="S114" s="226">
        <f t="shared" si="41"/>
        <v>-53.538554216865975</v>
      </c>
    </row>
    <row r="115" spans="2:19">
      <c r="B115" s="221">
        <v>45818</v>
      </c>
      <c r="C115" s="233">
        <v>175</v>
      </c>
      <c r="D115" s="283" t="s">
        <v>897</v>
      </c>
      <c r="E115" s="222">
        <v>501</v>
      </c>
      <c r="F115" s="230">
        <f>G115*E115</f>
        <v>5723584.3200000003</v>
      </c>
      <c r="G115" s="209">
        <v>11424.32</v>
      </c>
      <c r="H115" s="255" t="s">
        <v>272</v>
      </c>
      <c r="I115" s="211">
        <v>45832</v>
      </c>
      <c r="J115" s="209">
        <v>0</v>
      </c>
      <c r="K115" s="209">
        <v>0</v>
      </c>
      <c r="L115" s="209">
        <f t="shared" si="42"/>
        <v>11424.32</v>
      </c>
      <c r="M115" s="209">
        <f>CONVERSIONES!$C$428*$M$1</f>
        <v>0</v>
      </c>
      <c r="N115" s="209">
        <f t="shared" ref="N115:N129" si="43">(L115-M115)</f>
        <v>11424.32</v>
      </c>
      <c r="O115" s="222">
        <f>CONVERSIONES!$C$448</f>
        <v>498</v>
      </c>
      <c r="P115" s="292">
        <f t="shared" si="40"/>
        <v>5689311.3599999994</v>
      </c>
      <c r="Q115" s="218"/>
      <c r="R115" s="311">
        <f t="shared" si="35"/>
        <v>-34272.960000000894</v>
      </c>
      <c r="S115" s="232">
        <f>IFERROR(R115/O115,0)</f>
        <v>-68.821204819278904</v>
      </c>
    </row>
    <row r="116" spans="2:19">
      <c r="B116" s="221">
        <v>45818</v>
      </c>
      <c r="C116" s="233">
        <v>175</v>
      </c>
      <c r="D116" s="283" t="s">
        <v>949</v>
      </c>
      <c r="E116" s="222">
        <v>501</v>
      </c>
      <c r="F116" s="222">
        <v>1204295.6299999999</v>
      </c>
      <c r="G116" s="209">
        <f>F116/E116</f>
        <v>2403.7836926147702</v>
      </c>
      <c r="H116" s="255" t="s">
        <v>272</v>
      </c>
      <c r="I116" s="211">
        <v>45832</v>
      </c>
      <c r="J116" s="209">
        <v>0</v>
      </c>
      <c r="K116" s="209">
        <v>0</v>
      </c>
      <c r="L116" s="209">
        <f t="shared" si="42"/>
        <v>2403.7836926147702</v>
      </c>
      <c r="M116" s="209">
        <f>CONVERSIONES!$C$428*$M$1</f>
        <v>0</v>
      </c>
      <c r="N116" s="209">
        <f t="shared" si="43"/>
        <v>2403.7836926147702</v>
      </c>
      <c r="O116" s="222">
        <f>CONVERSIONES!$C$448</f>
        <v>498</v>
      </c>
      <c r="P116" s="293">
        <f t="shared" si="40"/>
        <v>1197084.2789221555</v>
      </c>
      <c r="Q116" s="218"/>
      <c r="R116" s="253">
        <f t="shared" si="35"/>
        <v>-7211.3510778443888</v>
      </c>
      <c r="S116" s="226">
        <f t="shared" si="41"/>
        <v>-14.480624654306002</v>
      </c>
    </row>
    <row r="117" spans="2:19">
      <c r="B117" s="221">
        <v>45818</v>
      </c>
      <c r="C117" s="233">
        <v>175</v>
      </c>
      <c r="D117" s="283" t="s">
        <v>950</v>
      </c>
      <c r="E117" s="222">
        <v>501</v>
      </c>
      <c r="F117" s="230">
        <f>G117*E117</f>
        <v>4237733.55</v>
      </c>
      <c r="G117" s="209">
        <v>8458.5499999999993</v>
      </c>
      <c r="H117" s="255" t="s">
        <v>272</v>
      </c>
      <c r="I117" s="211">
        <v>45832</v>
      </c>
      <c r="J117" s="209">
        <v>0</v>
      </c>
      <c r="K117" s="209">
        <f>CONVERSIONES!$H$443</f>
        <v>0</v>
      </c>
      <c r="L117" s="209">
        <f t="shared" si="42"/>
        <v>8458.5499999999993</v>
      </c>
      <c r="M117" s="209">
        <f>CONVERSIONES!$C$428*$M$1</f>
        <v>0</v>
      </c>
      <c r="N117" s="209">
        <f t="shared" si="43"/>
        <v>8458.5499999999993</v>
      </c>
      <c r="O117" s="222">
        <f>CONVERSIONES!$C$448</f>
        <v>498</v>
      </c>
      <c r="P117" s="292">
        <f t="shared" si="40"/>
        <v>4212357.8999999994</v>
      </c>
      <c r="Q117" s="218"/>
      <c r="R117" s="311">
        <f t="shared" si="35"/>
        <v>-25375.650000000373</v>
      </c>
      <c r="S117" s="232">
        <f t="shared" si="41"/>
        <v>-50.955120481928461</v>
      </c>
    </row>
    <row r="118" spans="2:19" ht="28.8">
      <c r="B118" s="221">
        <v>45821</v>
      </c>
      <c r="C118" s="233">
        <v>176</v>
      </c>
      <c r="D118" s="283" t="s">
        <v>901</v>
      </c>
      <c r="E118" s="222">
        <v>501</v>
      </c>
      <c r="F118" s="223">
        <v>8803685.8066666666</v>
      </c>
      <c r="G118" s="209">
        <f>F118/E118</f>
        <v>17572.227159015303</v>
      </c>
      <c r="H118" s="255" t="s">
        <v>272</v>
      </c>
      <c r="I118" s="211">
        <v>45828</v>
      </c>
      <c r="J118" s="209">
        <v>0</v>
      </c>
      <c r="K118" s="209">
        <f>CONVERSIONES!$C$478</f>
        <v>26.35</v>
      </c>
      <c r="L118" s="209">
        <f t="shared" si="42"/>
        <v>17545.877159015305</v>
      </c>
      <c r="M118" s="209">
        <f>CONVERSIONES!$C$481*$M$1</f>
        <v>0</v>
      </c>
      <c r="N118" s="209">
        <f t="shared" si="43"/>
        <v>17545.877159015305</v>
      </c>
      <c r="O118" s="222">
        <f>CONVERSIONES!$C$483</f>
        <v>498</v>
      </c>
      <c r="P118" s="293">
        <f>N118*O118</f>
        <v>8737846.8251896221</v>
      </c>
      <c r="Q118" s="218"/>
      <c r="R118" s="253">
        <f t="shared" si="35"/>
        <v>-65838.981477044523</v>
      </c>
      <c r="S118" s="226">
        <f>IFERROR(R118/O118,0)</f>
        <v>-132.20679011454723</v>
      </c>
    </row>
    <row r="119" spans="2:19" ht="28.8">
      <c r="B119" s="221">
        <v>45833</v>
      </c>
      <c r="C119" s="233">
        <v>178</v>
      </c>
      <c r="D119" s="283" t="s">
        <v>930</v>
      </c>
      <c r="E119" s="222">
        <v>501</v>
      </c>
      <c r="F119" s="230">
        <f>G119*E119</f>
        <v>485358.77999999997</v>
      </c>
      <c r="G119" s="209">
        <v>968.78</v>
      </c>
      <c r="H119" s="255" t="s">
        <v>272</v>
      </c>
      <c r="I119" s="521">
        <v>45881</v>
      </c>
      <c r="J119" s="209">
        <v>0</v>
      </c>
      <c r="K119" s="209">
        <f>CONVERSIONES!$C$497</f>
        <v>0</v>
      </c>
      <c r="L119" s="209">
        <f t="shared" si="42"/>
        <v>968.78</v>
      </c>
      <c r="M119" s="209">
        <f>CONVERSIONES!$C$500*$M$1</f>
        <v>0</v>
      </c>
      <c r="N119" s="209">
        <f t="shared" si="43"/>
        <v>968.78</v>
      </c>
      <c r="O119" s="222">
        <v>499</v>
      </c>
      <c r="P119" s="293">
        <f>N119*O119</f>
        <v>483421.22</v>
      </c>
      <c r="Q119" s="218"/>
      <c r="R119" s="253">
        <f>P119-F119</f>
        <v>-1937.5599999999977</v>
      </c>
      <c r="S119" s="226">
        <f>IFERROR(R119/O119,0)</f>
        <v>-3.8828857715430813</v>
      </c>
    </row>
    <row r="120" spans="2:19" ht="28.8">
      <c r="B120" s="221">
        <v>45842</v>
      </c>
      <c r="C120" s="233">
        <v>179</v>
      </c>
      <c r="D120" s="283" t="s">
        <v>931</v>
      </c>
      <c r="E120" s="222">
        <v>501</v>
      </c>
      <c r="F120" s="230">
        <f>G120*E120</f>
        <v>178501.29</v>
      </c>
      <c r="G120" s="209">
        <v>356.29</v>
      </c>
      <c r="H120" s="255" t="s">
        <v>272</v>
      </c>
      <c r="I120" s="521">
        <v>45881</v>
      </c>
      <c r="J120" s="209">
        <v>0</v>
      </c>
      <c r="K120" s="209">
        <f>CONVERSIONES!$E$497</f>
        <v>0</v>
      </c>
      <c r="L120" s="209">
        <f t="shared" si="42"/>
        <v>356.29</v>
      </c>
      <c r="M120" s="209">
        <f>CONVERSIONES!$E$500*$M$1</f>
        <v>0</v>
      </c>
      <c r="N120" s="209">
        <f t="shared" si="43"/>
        <v>356.29</v>
      </c>
      <c r="O120" s="222">
        <v>499</v>
      </c>
      <c r="P120" s="293">
        <f>N120*O120</f>
        <v>177788.71000000002</v>
      </c>
      <c r="Q120" s="218"/>
      <c r="R120" s="253">
        <f>P120-F120</f>
        <v>-712.57999999998719</v>
      </c>
      <c r="S120" s="226">
        <f>IFERROR(R120/O120,0)</f>
        <v>-1.4280160320641027</v>
      </c>
    </row>
    <row r="121" spans="2:19" ht="28.8">
      <c r="B121" s="221">
        <v>45848</v>
      </c>
      <c r="C121" s="233">
        <v>180</v>
      </c>
      <c r="D121" s="283" t="s">
        <v>958</v>
      </c>
      <c r="E121" s="222">
        <v>497</v>
      </c>
      <c r="F121" s="223">
        <v>9327167.0966666657</v>
      </c>
      <c r="G121" s="209">
        <f>F121/E121</f>
        <v>18766.935808182425</v>
      </c>
      <c r="H121" s="255" t="s">
        <v>272</v>
      </c>
      <c r="I121" s="211">
        <v>45862</v>
      </c>
      <c r="J121" s="209">
        <v>0</v>
      </c>
      <c r="K121" s="209">
        <f>CONVERSIONES!$G$497</f>
        <v>28.15</v>
      </c>
      <c r="L121" s="209">
        <f t="shared" si="42"/>
        <v>18738.785808182423</v>
      </c>
      <c r="M121" s="209">
        <f>CONVERSIONES!G500*$M$1</f>
        <v>0</v>
      </c>
      <c r="N121" s="209">
        <f>(L121-M121)</f>
        <v>18738.785808182423</v>
      </c>
      <c r="O121" s="222">
        <f>CONVERSIONES!$G$502</f>
        <v>499</v>
      </c>
      <c r="P121" s="293">
        <f>N121*O121</f>
        <v>9350654.1182830296</v>
      </c>
      <c r="Q121" s="218"/>
      <c r="R121" s="253">
        <f>P121-F121</f>
        <v>23487.021616363898</v>
      </c>
      <c r="S121" s="226">
        <f>IFERROR(R121/O121,0)</f>
        <v>47.068179591911623</v>
      </c>
    </row>
    <row r="122" spans="2:19" ht="43.2">
      <c r="B122" s="221">
        <v>45848</v>
      </c>
      <c r="C122" s="233">
        <v>181</v>
      </c>
      <c r="D122" s="283" t="s">
        <v>957</v>
      </c>
      <c r="E122" s="222">
        <v>497</v>
      </c>
      <c r="F122" s="230">
        <f>G122*E122</f>
        <v>3455807.0808333326</v>
      </c>
      <c r="G122" s="209">
        <v>6953.3341666666656</v>
      </c>
      <c r="H122" s="255" t="s">
        <v>272</v>
      </c>
      <c r="I122" s="521">
        <v>45881</v>
      </c>
      <c r="J122" s="209">
        <v>0</v>
      </c>
      <c r="K122" s="209">
        <f>CONVERSIONES!$I$497</f>
        <v>0</v>
      </c>
      <c r="L122" s="209">
        <f>+G122-J122-K122</f>
        <v>6953.3341666666656</v>
      </c>
      <c r="M122" s="209">
        <f>CONVERSIONES!$I$500*$M$1</f>
        <v>0</v>
      </c>
      <c r="N122" s="209">
        <f>(L122-M122)</f>
        <v>6953.3341666666656</v>
      </c>
      <c r="O122" s="222">
        <v>499</v>
      </c>
      <c r="P122" s="293">
        <f>N122*O122</f>
        <v>3469713.7491666661</v>
      </c>
      <c r="Q122" s="218"/>
      <c r="R122" s="253">
        <f>P122-F122</f>
        <v>13906.668333333451</v>
      </c>
      <c r="S122" s="226">
        <f>IFERROR(R122/O122,0)</f>
        <v>27.869074816299502</v>
      </c>
    </row>
    <row r="123" spans="2:19" ht="43.2">
      <c r="B123" s="221">
        <v>45848</v>
      </c>
      <c r="C123" s="233">
        <v>182</v>
      </c>
      <c r="D123" s="283" t="s">
        <v>948</v>
      </c>
      <c r="E123" s="222">
        <v>497</v>
      </c>
      <c r="F123" s="230">
        <f>G123*E123</f>
        <v>2723356.23</v>
      </c>
      <c r="G123" s="209">
        <f>CONVERSIONES!C512</f>
        <v>5479.59</v>
      </c>
      <c r="H123" s="255" t="s">
        <v>272</v>
      </c>
      <c r="I123" s="211">
        <v>45866</v>
      </c>
      <c r="J123" s="209">
        <v>0</v>
      </c>
      <c r="K123" s="209">
        <f>CONVERSIONES!$C$515</f>
        <v>5</v>
      </c>
      <c r="L123" s="209">
        <f t="shared" si="42"/>
        <v>5474.59</v>
      </c>
      <c r="M123" s="209">
        <f>CONVERSIONES!C518*$M$1</f>
        <v>0</v>
      </c>
      <c r="N123" s="209">
        <f t="shared" si="43"/>
        <v>5474.59</v>
      </c>
      <c r="O123" s="222">
        <f>CONVERSIONES!$C$520</f>
        <v>499</v>
      </c>
      <c r="P123" s="293">
        <f t="shared" ref="P123:P129" si="44">N123*O123</f>
        <v>2731820.41</v>
      </c>
      <c r="Q123" s="218"/>
      <c r="R123" s="253">
        <f t="shared" ref="R123:R129" si="45">P123-F123</f>
        <v>8464.1800000001676</v>
      </c>
      <c r="S123" s="226">
        <f t="shared" ref="S123:S129" si="46">IFERROR(R123/O123,0)</f>
        <v>16.962284569138614</v>
      </c>
    </row>
    <row r="124" spans="2:19" ht="28.8">
      <c r="B124" s="221">
        <v>45848</v>
      </c>
      <c r="C124" s="233">
        <v>182</v>
      </c>
      <c r="D124" s="283" t="s">
        <v>956</v>
      </c>
      <c r="E124" s="222">
        <v>497</v>
      </c>
      <c r="F124" s="222">
        <v>4451305.4000000004</v>
      </c>
      <c r="G124" s="209">
        <f>F124/E124</f>
        <v>8956.348893360162</v>
      </c>
      <c r="H124" s="255" t="s">
        <v>272</v>
      </c>
      <c r="I124" s="211">
        <v>45866</v>
      </c>
      <c r="J124" s="209">
        <v>0</v>
      </c>
      <c r="K124" s="209">
        <f>CONVERSIONES!$D$515+CONVERSIONES!$E$515</f>
        <v>10</v>
      </c>
      <c r="L124" s="209">
        <f t="shared" si="42"/>
        <v>8946.348893360162</v>
      </c>
      <c r="M124" s="209">
        <f>(CONVERSIONES!$D$518+CONVERSIONES!$E$518)*$M$1</f>
        <v>0</v>
      </c>
      <c r="N124" s="209">
        <f t="shared" si="43"/>
        <v>8946.348893360162</v>
      </c>
      <c r="O124" s="222">
        <f>CONVERSIONES!$C$520</f>
        <v>499</v>
      </c>
      <c r="P124" s="293">
        <f t="shared" si="44"/>
        <v>4464228.0977867208</v>
      </c>
      <c r="Q124" s="218"/>
      <c r="R124" s="253">
        <f t="shared" si="45"/>
        <v>12922.69778672047</v>
      </c>
      <c r="S124" s="226">
        <f t="shared" si="46"/>
        <v>25.897189953347635</v>
      </c>
    </row>
    <row r="125" spans="2:19" ht="28.8">
      <c r="B125" s="221">
        <v>45848</v>
      </c>
      <c r="C125" s="233">
        <v>182</v>
      </c>
      <c r="D125" s="283" t="s">
        <v>955</v>
      </c>
      <c r="E125" s="222">
        <v>497</v>
      </c>
      <c r="F125" s="230">
        <f>G125*E125</f>
        <v>5677390.04</v>
      </c>
      <c r="G125" s="209">
        <v>11423.32</v>
      </c>
      <c r="H125" s="255" t="s">
        <v>272</v>
      </c>
      <c r="I125" s="211">
        <v>45866</v>
      </c>
      <c r="J125" s="209">
        <v>0</v>
      </c>
      <c r="K125" s="209">
        <f>CONVERSIONES!$F$515</f>
        <v>5</v>
      </c>
      <c r="L125" s="209">
        <f t="shared" si="42"/>
        <v>11418.32</v>
      </c>
      <c r="M125" s="209">
        <f>CONVERSIONES!$F$518*$M$1</f>
        <v>0</v>
      </c>
      <c r="N125" s="209">
        <f t="shared" si="43"/>
        <v>11418.32</v>
      </c>
      <c r="O125" s="222">
        <f>CONVERSIONES!$C$520</f>
        <v>499</v>
      </c>
      <c r="P125" s="293">
        <f t="shared" si="44"/>
        <v>5697741.6799999997</v>
      </c>
      <c r="Q125" s="218"/>
      <c r="R125" s="253">
        <f t="shared" si="45"/>
        <v>20351.639999999665</v>
      </c>
      <c r="S125" s="226">
        <f t="shared" si="46"/>
        <v>40.784849699398123</v>
      </c>
    </row>
    <row r="126" spans="2:19" ht="28.8">
      <c r="B126" s="221">
        <v>45848</v>
      </c>
      <c r="C126" s="233">
        <v>182</v>
      </c>
      <c r="D126" s="283" t="s">
        <v>954</v>
      </c>
      <c r="E126" s="222">
        <v>497</v>
      </c>
      <c r="F126" s="222">
        <v>1203655.6299999999</v>
      </c>
      <c r="G126" s="209">
        <f>F126/E126</f>
        <v>2421.8423138832995</v>
      </c>
      <c r="H126" s="255" t="s">
        <v>272</v>
      </c>
      <c r="I126" s="211">
        <v>45866</v>
      </c>
      <c r="J126" s="209">
        <v>0</v>
      </c>
      <c r="K126" s="209">
        <f>CONVERSIONES!$G$515</f>
        <v>5</v>
      </c>
      <c r="L126" s="209">
        <f t="shared" si="42"/>
        <v>2416.8423138832995</v>
      </c>
      <c r="M126" s="209">
        <f>CONVERSIONES!$G$518*$M$1</f>
        <v>0</v>
      </c>
      <c r="N126" s="209">
        <f t="shared" si="43"/>
        <v>2416.8423138832995</v>
      </c>
      <c r="O126" s="222">
        <f>CONVERSIONES!$C$520</f>
        <v>499</v>
      </c>
      <c r="P126" s="293">
        <f t="shared" si="44"/>
        <v>1206004.3146277664</v>
      </c>
      <c r="Q126" s="218"/>
      <c r="R126" s="253">
        <f t="shared" si="45"/>
        <v>2348.6846277664881</v>
      </c>
      <c r="S126" s="226">
        <f t="shared" si="46"/>
        <v>4.7067828211753273</v>
      </c>
    </row>
    <row r="127" spans="2:19" ht="43.2">
      <c r="B127" s="221">
        <v>45848</v>
      </c>
      <c r="C127" s="233">
        <v>182</v>
      </c>
      <c r="D127" s="283" t="s">
        <v>953</v>
      </c>
      <c r="E127" s="222">
        <v>497</v>
      </c>
      <c r="F127" s="230">
        <f>G127*E127</f>
        <v>4203899.3499999996</v>
      </c>
      <c r="G127" s="209">
        <v>8458.5499999999993</v>
      </c>
      <c r="H127" s="255" t="s">
        <v>272</v>
      </c>
      <c r="I127" s="211">
        <v>45866</v>
      </c>
      <c r="J127" s="209">
        <v>0</v>
      </c>
      <c r="K127" s="209">
        <f>CONVERSIONES!$H$515</f>
        <v>5</v>
      </c>
      <c r="L127" s="209">
        <f t="shared" si="42"/>
        <v>8453.5499999999993</v>
      </c>
      <c r="M127" s="209">
        <f>CONVERSIONES!$H$518*$M$1</f>
        <v>0</v>
      </c>
      <c r="N127" s="209">
        <f t="shared" si="43"/>
        <v>8453.5499999999993</v>
      </c>
      <c r="O127" s="222">
        <f>CONVERSIONES!$C$520</f>
        <v>499</v>
      </c>
      <c r="P127" s="293">
        <f t="shared" si="44"/>
        <v>4218321.4499999993</v>
      </c>
      <c r="Q127" s="218"/>
      <c r="R127" s="253">
        <f t="shared" si="45"/>
        <v>14422.099999999627</v>
      </c>
      <c r="S127" s="226">
        <f t="shared" si="46"/>
        <v>28.902004008015286</v>
      </c>
    </row>
    <row r="128" spans="2:19" ht="43.2">
      <c r="B128" s="221">
        <v>45848</v>
      </c>
      <c r="C128" s="233">
        <v>182</v>
      </c>
      <c r="D128" s="283" t="s">
        <v>952</v>
      </c>
      <c r="E128" s="222">
        <v>497</v>
      </c>
      <c r="F128" s="223">
        <v>3323318.48</v>
      </c>
      <c r="G128" s="209">
        <f>F128/E128</f>
        <v>6686.7575050301812</v>
      </c>
      <c r="H128" s="255" t="s">
        <v>272</v>
      </c>
      <c r="I128" s="211">
        <v>45866</v>
      </c>
      <c r="J128" s="209">
        <v>0</v>
      </c>
      <c r="K128" s="209">
        <f>CONVERSIONES!$I$515</f>
        <v>5</v>
      </c>
      <c r="L128" s="209">
        <f t="shared" si="42"/>
        <v>6681.7575050301812</v>
      </c>
      <c r="M128" s="209">
        <f>CONVERSIONES!I518*$M$1</f>
        <v>0</v>
      </c>
      <c r="N128" s="209">
        <f t="shared" si="43"/>
        <v>6681.7575050301812</v>
      </c>
      <c r="O128" s="222">
        <f>CONVERSIONES!$C$520</f>
        <v>499</v>
      </c>
      <c r="P128" s="293">
        <f t="shared" si="44"/>
        <v>3334196.9950100603</v>
      </c>
      <c r="Q128" s="218"/>
      <c r="R128" s="253">
        <f t="shared" si="45"/>
        <v>10878.515010060277</v>
      </c>
      <c r="S128" s="226">
        <f t="shared" si="46"/>
        <v>21.800631282685927</v>
      </c>
    </row>
    <row r="129" spans="2:19" ht="28.8">
      <c r="B129" s="221">
        <v>45848</v>
      </c>
      <c r="C129" s="233">
        <v>182</v>
      </c>
      <c r="D129" s="283" t="s">
        <v>951</v>
      </c>
      <c r="E129" s="222">
        <v>497</v>
      </c>
      <c r="F129" s="230">
        <f>G129*E129</f>
        <v>5240283.51</v>
      </c>
      <c r="G129" s="209">
        <v>10543.83</v>
      </c>
      <c r="H129" s="255" t="s">
        <v>272</v>
      </c>
      <c r="I129" s="211">
        <v>45866</v>
      </c>
      <c r="J129" s="209">
        <v>0</v>
      </c>
      <c r="K129" s="209">
        <f>CONVERSIONES!$J$515</f>
        <v>5</v>
      </c>
      <c r="L129" s="209">
        <f t="shared" si="42"/>
        <v>10538.83</v>
      </c>
      <c r="M129" s="209">
        <f>CONVERSIONES!J518*$M$1</f>
        <v>0</v>
      </c>
      <c r="N129" s="209">
        <f t="shared" si="43"/>
        <v>10538.83</v>
      </c>
      <c r="O129" s="222">
        <f>CONVERSIONES!$C$520</f>
        <v>499</v>
      </c>
      <c r="P129" s="293">
        <f t="shared" si="44"/>
        <v>5258876.17</v>
      </c>
      <c r="Q129" s="218"/>
      <c r="R129" s="253">
        <f t="shared" si="45"/>
        <v>18592.660000000149</v>
      </c>
      <c r="S129" s="226">
        <f t="shared" si="46"/>
        <v>37.259839679359018</v>
      </c>
    </row>
    <row r="130" spans="2:19" ht="43.2">
      <c r="B130" s="221">
        <v>45881</v>
      </c>
      <c r="C130" s="233">
        <v>184</v>
      </c>
      <c r="D130" s="283" t="s">
        <v>1015</v>
      </c>
      <c r="E130" s="222">
        <v>500</v>
      </c>
      <c r="F130" s="230">
        <f>G130*E130</f>
        <v>2739795</v>
      </c>
      <c r="G130" s="209">
        <v>5479.59</v>
      </c>
      <c r="H130" s="210" t="s">
        <v>272</v>
      </c>
      <c r="I130" s="211">
        <v>45897</v>
      </c>
      <c r="J130" s="209">
        <v>0</v>
      </c>
      <c r="K130" s="209">
        <f>CONVERSIONES!$C$550</f>
        <v>3.3333333333333335</v>
      </c>
      <c r="L130" s="209">
        <f t="shared" ref="L130:L139" si="47">+G130-J130-K130</f>
        <v>5476.2566666666671</v>
      </c>
      <c r="M130" s="209">
        <f>CONVERSIONES!$C$553*'DIFERENCIA CAMBI'!$M$1</f>
        <v>0</v>
      </c>
      <c r="N130" s="209">
        <f t="shared" ref="N130:N139" si="48">(L130-M130)</f>
        <v>5476.2566666666671</v>
      </c>
      <c r="O130" s="222">
        <f>CONVERSIONES!$C$555</f>
        <v>499</v>
      </c>
      <c r="P130" s="293">
        <f t="shared" ref="P130:P140" si="49">N130*O130</f>
        <v>2732652.0766666667</v>
      </c>
      <c r="Q130" s="218"/>
      <c r="R130" s="253">
        <f t="shared" ref="R130:R143" si="50">P130-F130</f>
        <v>-7142.9233333333395</v>
      </c>
      <c r="S130" s="226">
        <f t="shared" ref="S130:S138" si="51">IFERROR(R130/O130,0)</f>
        <v>-14.314475617902485</v>
      </c>
    </row>
    <row r="131" spans="2:19" ht="28.8">
      <c r="B131" s="221">
        <v>45881</v>
      </c>
      <c r="C131" s="233">
        <v>184</v>
      </c>
      <c r="D131" s="283" t="s">
        <v>1016</v>
      </c>
      <c r="E131" s="222">
        <v>500</v>
      </c>
      <c r="F131" s="222">
        <f>2226132.7*2</f>
        <v>4452265.4000000004</v>
      </c>
      <c r="G131" s="209">
        <f>F131/E131</f>
        <v>8904.5308000000005</v>
      </c>
      <c r="H131" s="210" t="s">
        <v>272</v>
      </c>
      <c r="I131" s="211">
        <v>45897</v>
      </c>
      <c r="J131" s="209">
        <v>0</v>
      </c>
      <c r="K131" s="209">
        <f>CONVERSIONES!$D$550+CONVERSIONES!$E$550</f>
        <v>6.666666666666667</v>
      </c>
      <c r="L131" s="209">
        <f t="shared" si="47"/>
        <v>8897.8641333333344</v>
      </c>
      <c r="M131" s="209">
        <f>(CONVERSIONES!$D$553+CONVERSIONES!$E$553)*$M$1</f>
        <v>0</v>
      </c>
      <c r="N131" s="209">
        <f t="shared" si="48"/>
        <v>8897.8641333333344</v>
      </c>
      <c r="O131" s="222">
        <f>CONVERSIONES!$C$555</f>
        <v>499</v>
      </c>
      <c r="P131" s="293">
        <f t="shared" si="49"/>
        <v>4440034.2025333336</v>
      </c>
      <c r="Q131" s="218"/>
      <c r="R131" s="253">
        <f t="shared" si="50"/>
        <v>-12231.19746666681</v>
      </c>
      <c r="S131" s="226">
        <f t="shared" si="51"/>
        <v>-24.511417768871365</v>
      </c>
    </row>
    <row r="132" spans="2:19" ht="28.8">
      <c r="B132" s="221">
        <v>45881</v>
      </c>
      <c r="C132" s="233">
        <v>184</v>
      </c>
      <c r="D132" s="283" t="s">
        <v>1017</v>
      </c>
      <c r="E132" s="222">
        <v>500</v>
      </c>
      <c r="F132" s="230">
        <f>G132*E132</f>
        <v>5712160</v>
      </c>
      <c r="G132" s="209">
        <v>11424.32</v>
      </c>
      <c r="H132" s="210" t="s">
        <v>272</v>
      </c>
      <c r="I132" s="211">
        <v>45897</v>
      </c>
      <c r="J132" s="209">
        <v>0</v>
      </c>
      <c r="K132" s="209">
        <f>CONVERSIONES!$F$550</f>
        <v>3.3333333333333335</v>
      </c>
      <c r="L132" s="209">
        <f t="shared" si="47"/>
        <v>11420.986666666666</v>
      </c>
      <c r="M132" s="209">
        <f>CONVERSIONES!$F$553*$M$1</f>
        <v>0</v>
      </c>
      <c r="N132" s="209">
        <f t="shared" si="48"/>
        <v>11420.986666666666</v>
      </c>
      <c r="O132" s="222">
        <f>CONVERSIONES!$C$555</f>
        <v>499</v>
      </c>
      <c r="P132" s="293">
        <f t="shared" si="49"/>
        <v>5699072.3466666667</v>
      </c>
      <c r="Q132" s="218"/>
      <c r="R132" s="253">
        <f t="shared" si="50"/>
        <v>-13087.653333333321</v>
      </c>
      <c r="S132" s="226">
        <f t="shared" si="51"/>
        <v>-26.22776219104874</v>
      </c>
    </row>
    <row r="133" spans="2:19" ht="28.8">
      <c r="B133" s="221">
        <v>45881</v>
      </c>
      <c r="C133" s="233">
        <v>184</v>
      </c>
      <c r="D133" s="283" t="s">
        <v>1018</v>
      </c>
      <c r="E133" s="222">
        <v>500</v>
      </c>
      <c r="F133" s="222">
        <v>1204135.6299999999</v>
      </c>
      <c r="G133" s="209">
        <f>F133/E133</f>
        <v>2408.27126</v>
      </c>
      <c r="H133" s="210" t="s">
        <v>272</v>
      </c>
      <c r="I133" s="211">
        <v>45897</v>
      </c>
      <c r="J133" s="209">
        <v>0</v>
      </c>
      <c r="K133" s="209">
        <f>CONVERSIONES!$G$550</f>
        <v>3.3333333333333335</v>
      </c>
      <c r="L133" s="209">
        <f t="shared" si="47"/>
        <v>2404.9379266666665</v>
      </c>
      <c r="M133" s="209">
        <f>CONVERSIONES!$G$553*$M$1</f>
        <v>0</v>
      </c>
      <c r="N133" s="209">
        <f t="shared" si="48"/>
        <v>2404.9379266666665</v>
      </c>
      <c r="O133" s="222">
        <f>CONVERSIONES!$C$555</f>
        <v>499</v>
      </c>
      <c r="P133" s="293">
        <f t="shared" si="49"/>
        <v>1200064.0254066666</v>
      </c>
      <c r="Q133" s="218"/>
      <c r="R133" s="253">
        <f t="shared" si="50"/>
        <v>-4071.6045933333226</v>
      </c>
      <c r="S133" s="226">
        <f t="shared" si="51"/>
        <v>-8.1595282431529519</v>
      </c>
    </row>
    <row r="134" spans="2:19" ht="43.2">
      <c r="B134" s="221">
        <v>45881</v>
      </c>
      <c r="C134" s="233">
        <v>184</v>
      </c>
      <c r="D134" s="283" t="s">
        <v>1019</v>
      </c>
      <c r="E134" s="222">
        <v>500</v>
      </c>
      <c r="F134" s="230">
        <f>G134*E134</f>
        <v>4229275</v>
      </c>
      <c r="G134" s="209">
        <v>8458.5499999999993</v>
      </c>
      <c r="H134" s="210" t="s">
        <v>272</v>
      </c>
      <c r="I134" s="211">
        <v>45897</v>
      </c>
      <c r="J134" s="209">
        <v>0</v>
      </c>
      <c r="K134" s="209">
        <f>CONVERSIONES!$H$550</f>
        <v>3.3333333333333335</v>
      </c>
      <c r="L134" s="209">
        <f t="shared" si="47"/>
        <v>8455.2166666666653</v>
      </c>
      <c r="M134" s="209">
        <f>CONVERSIONES!$H$553*$M$1</f>
        <v>0</v>
      </c>
      <c r="N134" s="209">
        <f t="shared" si="48"/>
        <v>8455.2166666666653</v>
      </c>
      <c r="O134" s="222">
        <f>CONVERSIONES!$C$555</f>
        <v>499</v>
      </c>
      <c r="P134" s="293">
        <f t="shared" si="49"/>
        <v>4219153.1166666662</v>
      </c>
      <c r="Q134" s="218"/>
      <c r="R134" s="253">
        <f t="shared" si="50"/>
        <v>-10121.883333333768</v>
      </c>
      <c r="S134" s="226">
        <f t="shared" si="51"/>
        <v>-20.28433533734222</v>
      </c>
    </row>
    <row r="135" spans="2:19" ht="43.2">
      <c r="B135" s="221">
        <v>45881</v>
      </c>
      <c r="C135" s="233">
        <v>184</v>
      </c>
      <c r="D135" s="283" t="s">
        <v>1020</v>
      </c>
      <c r="E135" s="222">
        <v>500</v>
      </c>
      <c r="F135" s="223">
        <v>3323798.37</v>
      </c>
      <c r="G135" s="209">
        <f>F135/E135</f>
        <v>6647.59674</v>
      </c>
      <c r="H135" s="210" t="s">
        <v>272</v>
      </c>
      <c r="I135" s="211">
        <v>45897</v>
      </c>
      <c r="J135" s="209">
        <v>0</v>
      </c>
      <c r="K135" s="209">
        <f>CONVERSIONES!$I$550</f>
        <v>3.3333333333333335</v>
      </c>
      <c r="L135" s="209">
        <f t="shared" si="47"/>
        <v>6644.2634066666669</v>
      </c>
      <c r="M135" s="209">
        <f>CONVERSIONES!$I$553*$M$1</f>
        <v>0</v>
      </c>
      <c r="N135" s="209">
        <f t="shared" si="48"/>
        <v>6644.2634066666669</v>
      </c>
      <c r="O135" s="222">
        <f>CONVERSIONES!$C$555</f>
        <v>499</v>
      </c>
      <c r="P135" s="293">
        <f t="shared" si="49"/>
        <v>3315487.4399266667</v>
      </c>
      <c r="Q135" s="218"/>
      <c r="R135" s="253">
        <f t="shared" si="50"/>
        <v>-8310.9300733334385</v>
      </c>
      <c r="S135" s="226">
        <f t="shared" si="51"/>
        <v>-16.65517048764216</v>
      </c>
    </row>
    <row r="136" spans="2:19" ht="43.2">
      <c r="B136" s="221">
        <v>45881</v>
      </c>
      <c r="C136" s="233">
        <v>184</v>
      </c>
      <c r="D136" s="283" t="s">
        <v>1021</v>
      </c>
      <c r="E136" s="222">
        <v>500</v>
      </c>
      <c r="F136" s="223">
        <f>G136*E136</f>
        <v>6569895</v>
      </c>
      <c r="G136" s="209">
        <v>13139.79</v>
      </c>
      <c r="H136" s="210" t="s">
        <v>272</v>
      </c>
      <c r="I136" s="211">
        <v>45897</v>
      </c>
      <c r="J136" s="209">
        <v>0</v>
      </c>
      <c r="K136" s="209">
        <f>CONVERSIONES!$J$550</f>
        <v>3.3333333333333335</v>
      </c>
      <c r="L136" s="209">
        <f t="shared" si="47"/>
        <v>13136.456666666667</v>
      </c>
      <c r="M136" s="209">
        <f>CONVERSIONES!$J$553*$M$1</f>
        <v>0</v>
      </c>
      <c r="N136" s="209">
        <f t="shared" si="48"/>
        <v>13136.456666666667</v>
      </c>
      <c r="O136" s="222">
        <f>CONVERSIONES!$C$555</f>
        <v>499</v>
      </c>
      <c r="P136" s="293">
        <f t="shared" si="49"/>
        <v>6555091.8766666669</v>
      </c>
      <c r="Q136" s="218"/>
      <c r="R136" s="253">
        <f t="shared" si="50"/>
        <v>-14803.12333333306</v>
      </c>
      <c r="S136" s="226">
        <f t="shared" si="51"/>
        <v>-29.665577822310741</v>
      </c>
    </row>
    <row r="137" spans="2:19" ht="28.8">
      <c r="B137" s="221">
        <v>45881</v>
      </c>
      <c r="C137" s="233">
        <v>184</v>
      </c>
      <c r="D137" s="283" t="s">
        <v>1022</v>
      </c>
      <c r="E137" s="222">
        <v>500</v>
      </c>
      <c r="F137" s="223">
        <f>G137*E137</f>
        <v>2500415</v>
      </c>
      <c r="G137" s="209">
        <v>5000.83</v>
      </c>
      <c r="H137" s="210" t="s">
        <v>272</v>
      </c>
      <c r="I137" s="211">
        <v>45897</v>
      </c>
      <c r="J137" s="209">
        <v>0</v>
      </c>
      <c r="K137" s="209">
        <f>CONVERSIONES!E550</f>
        <v>3.3333333333333335</v>
      </c>
      <c r="L137" s="209">
        <f t="shared" si="47"/>
        <v>4997.4966666666669</v>
      </c>
      <c r="M137" s="209">
        <f>CONVERSIONES!$L$553*$M$1</f>
        <v>0</v>
      </c>
      <c r="N137" s="209">
        <f t="shared" si="48"/>
        <v>4997.4966666666669</v>
      </c>
      <c r="O137" s="222">
        <f>CONVERSIONES!$C$555</f>
        <v>499</v>
      </c>
      <c r="P137" s="293">
        <f t="shared" si="49"/>
        <v>2493750.8366666669</v>
      </c>
      <c r="Q137" s="218"/>
      <c r="R137" s="253">
        <f t="shared" si="50"/>
        <v>-6664.1633333330974</v>
      </c>
      <c r="S137" s="226">
        <f t="shared" si="51"/>
        <v>-13.355036740146488</v>
      </c>
    </row>
    <row r="138" spans="2:19" ht="28.8">
      <c r="B138" s="221">
        <v>45881</v>
      </c>
      <c r="C138" s="233">
        <v>184</v>
      </c>
      <c r="D138" s="283" t="s">
        <v>1023</v>
      </c>
      <c r="E138" s="222">
        <v>500</v>
      </c>
      <c r="F138" s="223">
        <v>1531512.15</v>
      </c>
      <c r="G138" s="209">
        <f>F138/E138</f>
        <v>3063.0243</v>
      </c>
      <c r="H138" s="210" t="s">
        <v>272</v>
      </c>
      <c r="I138" s="211">
        <v>45897</v>
      </c>
      <c r="J138" s="209">
        <v>0</v>
      </c>
      <c r="K138" s="209">
        <f>CONVERSIONES!K550</f>
        <v>3.3333333333333335</v>
      </c>
      <c r="L138" s="209">
        <f t="shared" si="47"/>
        <v>3059.6909666666666</v>
      </c>
      <c r="M138" s="209">
        <f>CONVERSIONES!$K$553*$M$1</f>
        <v>0</v>
      </c>
      <c r="N138" s="209">
        <f t="shared" si="48"/>
        <v>3059.6909666666666</v>
      </c>
      <c r="O138" s="222">
        <f>CONVERSIONES!$C$555</f>
        <v>499</v>
      </c>
      <c r="P138" s="293">
        <f t="shared" si="49"/>
        <v>1526785.7923666667</v>
      </c>
      <c r="Q138" s="218"/>
      <c r="R138" s="253">
        <f t="shared" si="50"/>
        <v>-4726.3576333331876</v>
      </c>
      <c r="S138" s="226">
        <f t="shared" si="51"/>
        <v>-9.4716585838340439</v>
      </c>
    </row>
    <row r="139" spans="2:19" ht="28.8">
      <c r="B139" s="221">
        <v>45881</v>
      </c>
      <c r="C139" s="233">
        <v>185</v>
      </c>
      <c r="D139" s="283" t="s">
        <v>1024</v>
      </c>
      <c r="E139" s="222">
        <v>500</v>
      </c>
      <c r="F139" s="223">
        <v>9533715.8066666666</v>
      </c>
      <c r="G139" s="209">
        <f>F139/E139</f>
        <v>19067.431613333334</v>
      </c>
      <c r="H139" s="210" t="s">
        <v>272</v>
      </c>
      <c r="I139" s="211">
        <v>45891</v>
      </c>
      <c r="J139" s="209">
        <v>0</v>
      </c>
      <c r="K139" s="209">
        <f>CONVERSIONES!$C$568</f>
        <v>28.6</v>
      </c>
      <c r="L139" s="209">
        <f t="shared" si="47"/>
        <v>19038.831613333336</v>
      </c>
      <c r="M139" s="209">
        <f>CONVERSIONES!$C$571*$M$1</f>
        <v>0</v>
      </c>
      <c r="N139" s="209">
        <f t="shared" si="48"/>
        <v>19038.831613333336</v>
      </c>
      <c r="O139" s="222">
        <f>CONVERSIONES!$C$573</f>
        <v>499</v>
      </c>
      <c r="P139" s="293">
        <f t="shared" si="49"/>
        <v>9500376.9750533346</v>
      </c>
      <c r="Q139" s="218"/>
      <c r="R139" s="253">
        <f t="shared" si="50"/>
        <v>-33338.831613332033</v>
      </c>
      <c r="S139" s="226">
        <f t="shared" ref="S139:S145" si="52">IFERROR(R139/O139,0)</f>
        <v>-66.811285798260585</v>
      </c>
    </row>
    <row r="140" spans="2:19" ht="28.8">
      <c r="B140" s="221">
        <v>45881</v>
      </c>
      <c r="C140" s="233">
        <v>186</v>
      </c>
      <c r="D140" s="283" t="s">
        <v>1025</v>
      </c>
      <c r="E140" s="222">
        <v>500</v>
      </c>
      <c r="F140" s="223">
        <f t="shared" ref="F140:F145" si="53">G140*E140</f>
        <v>3004805</v>
      </c>
      <c r="G140" s="209">
        <v>6009.61</v>
      </c>
      <c r="H140" s="210" t="s">
        <v>272</v>
      </c>
      <c r="I140" s="211">
        <v>45891</v>
      </c>
      <c r="J140" s="209">
        <v>0</v>
      </c>
      <c r="K140" s="209">
        <f>CONVERSIONES!D568</f>
        <v>20</v>
      </c>
      <c r="L140" s="209">
        <f t="shared" ref="L140:L145" si="54">+G140-J140-K140</f>
        <v>5989.61</v>
      </c>
      <c r="M140" s="209">
        <f>CONVERSIONES!D571*M1</f>
        <v>0</v>
      </c>
      <c r="N140" s="209">
        <f t="shared" ref="N140:N145" si="55">(L140-M140)</f>
        <v>5989.61</v>
      </c>
      <c r="O140" s="222">
        <f>CONVERSIONES!$D$573</f>
        <v>499</v>
      </c>
      <c r="P140" s="293">
        <f t="shared" si="49"/>
        <v>2988815.3899999997</v>
      </c>
      <c r="Q140" s="218"/>
      <c r="R140" s="253">
        <f t="shared" si="50"/>
        <v>-15989.610000000335</v>
      </c>
      <c r="S140" s="226">
        <f t="shared" si="52"/>
        <v>-32.043306613227124</v>
      </c>
    </row>
    <row r="141" spans="2:19" ht="28.8">
      <c r="B141" s="221">
        <v>45884</v>
      </c>
      <c r="C141" s="233">
        <v>187</v>
      </c>
      <c r="D141" s="283" t="s">
        <v>1026</v>
      </c>
      <c r="E141" s="222">
        <v>500</v>
      </c>
      <c r="F141" s="223">
        <f t="shared" si="53"/>
        <v>2813665</v>
      </c>
      <c r="G141" s="209">
        <v>5627.33</v>
      </c>
      <c r="H141" s="210" t="s">
        <v>272</v>
      </c>
      <c r="I141" s="211">
        <v>45890</v>
      </c>
      <c r="J141" s="209">
        <v>0</v>
      </c>
      <c r="K141" s="209">
        <f>CONVERSIONES!$E$568</f>
        <v>20</v>
      </c>
      <c r="L141" s="209">
        <f t="shared" si="54"/>
        <v>5607.33</v>
      </c>
      <c r="M141" s="209">
        <f>CONVERSIONES!$D$571*M1</f>
        <v>0</v>
      </c>
      <c r="N141" s="209">
        <f t="shared" si="55"/>
        <v>5607.33</v>
      </c>
      <c r="O141" s="222">
        <f>CONVERSIONES!$E$573</f>
        <v>499</v>
      </c>
      <c r="P141" s="293">
        <f t="shared" ref="P141:P147" si="56">N141*O141</f>
        <v>2798057.67</v>
      </c>
      <c r="Q141" s="218"/>
      <c r="R141" s="253">
        <f t="shared" si="50"/>
        <v>-15607.330000000075</v>
      </c>
      <c r="S141" s="226">
        <f t="shared" si="52"/>
        <v>-31.277214428857864</v>
      </c>
    </row>
    <row r="142" spans="2:19">
      <c r="B142" s="221">
        <v>45888</v>
      </c>
      <c r="C142" s="233">
        <v>188</v>
      </c>
      <c r="D142" s="283" t="s">
        <v>1042</v>
      </c>
      <c r="E142" s="222">
        <v>500</v>
      </c>
      <c r="F142" s="223">
        <f t="shared" si="53"/>
        <v>55705</v>
      </c>
      <c r="G142" s="209">
        <v>111.41</v>
      </c>
      <c r="H142" s="210" t="s">
        <v>272</v>
      </c>
      <c r="I142" s="211">
        <v>45897</v>
      </c>
      <c r="J142" s="209">
        <v>0</v>
      </c>
      <c r="K142" s="209">
        <f>CONVERSIONES!$M$550</f>
        <v>3.3333333333333335</v>
      </c>
      <c r="L142" s="209">
        <f t="shared" si="54"/>
        <v>108.07666666666667</v>
      </c>
      <c r="M142" s="209">
        <v>0</v>
      </c>
      <c r="N142" s="209">
        <f t="shared" si="55"/>
        <v>108.07666666666667</v>
      </c>
      <c r="O142" s="222">
        <f>CONVERSIONES!$E$573</f>
        <v>499</v>
      </c>
      <c r="P142" s="293">
        <f t="shared" si="56"/>
        <v>53930.256666666668</v>
      </c>
      <c r="Q142" s="218"/>
      <c r="R142" s="253">
        <f t="shared" si="50"/>
        <v>-1774.743333333332</v>
      </c>
      <c r="S142" s="226">
        <f t="shared" si="52"/>
        <v>-3.5565998663994627</v>
      </c>
    </row>
    <row r="143" spans="2:19" ht="28.8">
      <c r="B143" s="221">
        <v>45891</v>
      </c>
      <c r="C143" s="233">
        <v>189</v>
      </c>
      <c r="D143" s="283" t="s">
        <v>1022</v>
      </c>
      <c r="E143" s="222">
        <v>500</v>
      </c>
      <c r="F143" s="223">
        <f t="shared" si="53"/>
        <v>193630</v>
      </c>
      <c r="G143" s="209">
        <v>387.26</v>
      </c>
      <c r="H143" s="210" t="s">
        <v>272</v>
      </c>
      <c r="I143" s="211">
        <v>45896</v>
      </c>
      <c r="J143" s="209">
        <v>0</v>
      </c>
      <c r="K143" s="209">
        <f>CONVERSIONES!$P$550</f>
        <v>20</v>
      </c>
      <c r="L143" s="209">
        <f t="shared" si="54"/>
        <v>367.26</v>
      </c>
      <c r="M143" s="209">
        <v>0</v>
      </c>
      <c r="N143" s="209">
        <f t="shared" si="55"/>
        <v>367.26</v>
      </c>
      <c r="O143" s="222">
        <f>CONVERSIONES!$P$555</f>
        <v>499</v>
      </c>
      <c r="P143" s="293">
        <f t="shared" si="56"/>
        <v>183262.74</v>
      </c>
      <c r="Q143" s="218"/>
      <c r="R143" s="253">
        <f t="shared" si="50"/>
        <v>-10367.260000000009</v>
      </c>
      <c r="S143" s="226">
        <f t="shared" si="52"/>
        <v>-20.776072144288595</v>
      </c>
    </row>
    <row r="144" spans="2:19">
      <c r="B144" s="221">
        <v>45895</v>
      </c>
      <c r="C144" s="233">
        <v>190</v>
      </c>
      <c r="D144" s="283" t="s">
        <v>1077</v>
      </c>
      <c r="E144" s="222">
        <v>500</v>
      </c>
      <c r="F144" s="223">
        <f t="shared" si="53"/>
        <v>362890</v>
      </c>
      <c r="G144" s="209">
        <v>725.78</v>
      </c>
      <c r="H144" s="210" t="s">
        <v>272</v>
      </c>
      <c r="I144" s="211">
        <v>45684</v>
      </c>
      <c r="J144" s="209">
        <v>0</v>
      </c>
      <c r="K144" s="209">
        <f>CONVERSIONES!$F$568</f>
        <v>0</v>
      </c>
      <c r="L144" s="209">
        <f t="shared" si="54"/>
        <v>725.78</v>
      </c>
      <c r="M144" s="209">
        <f>CONVERSIONES!$F$571*M1</f>
        <v>0</v>
      </c>
      <c r="N144" s="209">
        <f t="shared" si="55"/>
        <v>725.78</v>
      </c>
      <c r="O144" s="222">
        <v>498</v>
      </c>
      <c r="P144" s="293">
        <f t="shared" si="56"/>
        <v>361438.44</v>
      </c>
      <c r="Q144" s="218"/>
      <c r="R144" s="253">
        <f>P144-F144</f>
        <v>-1451.5599999999977</v>
      </c>
      <c r="S144" s="226">
        <f t="shared" si="52"/>
        <v>-2.914779116465859</v>
      </c>
    </row>
    <row r="145" spans="2:19">
      <c r="B145" s="221">
        <v>45910</v>
      </c>
      <c r="C145" s="233">
        <v>191</v>
      </c>
      <c r="D145" s="208" t="s">
        <v>1076</v>
      </c>
      <c r="E145" s="222">
        <v>500</v>
      </c>
      <c r="F145" s="223">
        <f t="shared" si="53"/>
        <v>4180500</v>
      </c>
      <c r="G145" s="209">
        <v>8361</v>
      </c>
      <c r="H145" s="210" t="s">
        <v>272</v>
      </c>
      <c r="I145" s="211">
        <v>45922</v>
      </c>
      <c r="J145" s="209">
        <v>0</v>
      </c>
      <c r="K145" s="209">
        <f>CONVERSIONES!C587</f>
        <v>20</v>
      </c>
      <c r="L145" s="209">
        <f t="shared" si="54"/>
        <v>8341</v>
      </c>
      <c r="M145" s="209">
        <f>CONVERSIONES!$C$590*M1</f>
        <v>0</v>
      </c>
      <c r="N145" s="209">
        <f t="shared" si="55"/>
        <v>8341</v>
      </c>
      <c r="O145" s="222">
        <f>CONVERSIONES!$C$592</f>
        <v>496</v>
      </c>
      <c r="P145" s="293">
        <f t="shared" si="56"/>
        <v>4137136</v>
      </c>
      <c r="Q145" s="218"/>
      <c r="R145" s="253">
        <f>P145-F145</f>
        <v>-43364</v>
      </c>
      <c r="S145" s="226">
        <f t="shared" si="52"/>
        <v>-87.427419354838705</v>
      </c>
    </row>
    <row r="146" spans="2:19">
      <c r="B146" s="221">
        <v>45912</v>
      </c>
      <c r="C146" s="233">
        <v>192</v>
      </c>
      <c r="D146" s="208" t="s">
        <v>1127</v>
      </c>
      <c r="E146" s="222">
        <v>500</v>
      </c>
      <c r="F146" s="223">
        <v>8803525</v>
      </c>
      <c r="G146" s="209">
        <v>17607.05</v>
      </c>
      <c r="H146" s="210" t="s">
        <v>272</v>
      </c>
      <c r="I146" s="211">
        <v>45922</v>
      </c>
      <c r="J146" s="209">
        <v>0</v>
      </c>
      <c r="K146" s="209">
        <f>CONVERSIONES!$D$587</f>
        <v>26.41</v>
      </c>
      <c r="L146" s="209">
        <f t="shared" ref="L146:L158" si="57">+G146-J146-K146</f>
        <v>17580.64</v>
      </c>
      <c r="M146" s="209">
        <f>CONVERSIONES!D590*M2</f>
        <v>0</v>
      </c>
      <c r="N146" s="209">
        <f t="shared" ref="N146:N158" si="58">(L146-M146)</f>
        <v>17580.64</v>
      </c>
      <c r="O146" s="222">
        <f>CONVERSIONES!$D$592</f>
        <v>496</v>
      </c>
      <c r="P146" s="293">
        <f t="shared" si="56"/>
        <v>8719997.4399999995</v>
      </c>
      <c r="Q146" s="218"/>
      <c r="R146" s="253">
        <f>P146-F146</f>
        <v>-83527.560000000522</v>
      </c>
      <c r="S146" s="226">
        <f>IFERROR(R146/O146,0)</f>
        <v>-168.40233870967847</v>
      </c>
    </row>
    <row r="147" spans="2:19">
      <c r="B147" s="221">
        <v>45912</v>
      </c>
      <c r="C147" s="233">
        <v>193</v>
      </c>
      <c r="D147" s="208" t="s">
        <v>1128</v>
      </c>
      <c r="E147" s="222">
        <v>500</v>
      </c>
      <c r="F147" s="223">
        <v>3641100</v>
      </c>
      <c r="G147" s="209">
        <v>7282.2</v>
      </c>
      <c r="H147" s="210" t="s">
        <v>272</v>
      </c>
      <c r="I147" s="211">
        <v>45922</v>
      </c>
      <c r="J147" s="209">
        <v>0</v>
      </c>
      <c r="K147" s="209">
        <f>CONVERSIONES!$E$587</f>
        <v>20</v>
      </c>
      <c r="L147" s="209">
        <f t="shared" si="57"/>
        <v>7262.2</v>
      </c>
      <c r="M147" s="209">
        <f>CONVERSIONES!$E$590*M1</f>
        <v>0</v>
      </c>
      <c r="N147" s="209">
        <f t="shared" si="58"/>
        <v>7262.2</v>
      </c>
      <c r="O147" s="222">
        <f>CONVERSIONES!$E$592</f>
        <v>496</v>
      </c>
      <c r="P147" s="293">
        <f t="shared" si="56"/>
        <v>3602051.1999999997</v>
      </c>
      <c r="Q147" s="218"/>
      <c r="R147" s="253">
        <f>P147-F147</f>
        <v>-39048.800000000279</v>
      </c>
      <c r="S147" s="478">
        <f>IFERROR(R147/O147,0)</f>
        <v>-78.72741935483927</v>
      </c>
    </row>
    <row r="148" spans="2:19" ht="43.2">
      <c r="B148" s="221">
        <v>45915</v>
      </c>
      <c r="C148" s="233">
        <v>194</v>
      </c>
      <c r="D148" s="283" t="s">
        <v>1129</v>
      </c>
      <c r="E148" s="222">
        <v>500</v>
      </c>
      <c r="F148" s="230">
        <f>G148*E148</f>
        <v>2739795</v>
      </c>
      <c r="G148" s="209">
        <v>5479.59</v>
      </c>
      <c r="H148" s="210" t="s">
        <v>272</v>
      </c>
      <c r="I148" s="211">
        <v>45925</v>
      </c>
      <c r="J148" s="209">
        <v>0</v>
      </c>
      <c r="K148" s="209">
        <f>CONVERSIONES!C606</f>
        <v>3.6363636363636362</v>
      </c>
      <c r="L148" s="209">
        <f t="shared" si="57"/>
        <v>5475.9536363636362</v>
      </c>
      <c r="M148" s="209">
        <f>CONVERSIONES!$C$609*$M$1</f>
        <v>0</v>
      </c>
      <c r="N148" s="209">
        <f t="shared" si="58"/>
        <v>5475.9536363636362</v>
      </c>
      <c r="O148" s="222">
        <f>CONVERSIONES!$C$611</f>
        <v>496</v>
      </c>
      <c r="P148" s="293">
        <f t="shared" ref="P148:P157" si="59">N148*O148</f>
        <v>2716073.0036363634</v>
      </c>
      <c r="Q148" s="218"/>
      <c r="R148" s="253">
        <f t="shared" ref="R148:R157" si="60">P148-F148</f>
        <v>-23721.996363636572</v>
      </c>
      <c r="S148" s="226">
        <f t="shared" ref="S148:S157" si="61">IFERROR(R148/O148,0)</f>
        <v>-47.826605571847928</v>
      </c>
    </row>
    <row r="149" spans="2:19" ht="28.8">
      <c r="B149" s="221">
        <v>45915</v>
      </c>
      <c r="C149" s="233">
        <v>194</v>
      </c>
      <c r="D149" s="283" t="s">
        <v>1130</v>
      </c>
      <c r="E149" s="222">
        <v>500</v>
      </c>
      <c r="F149" s="222">
        <f>2226132.7*2</f>
        <v>4452265.4000000004</v>
      </c>
      <c r="G149" s="209">
        <f>F149/E149</f>
        <v>8904.5308000000005</v>
      </c>
      <c r="H149" s="210" t="s">
        <v>272</v>
      </c>
      <c r="I149" s="211">
        <v>45925</v>
      </c>
      <c r="J149" s="209">
        <v>0</v>
      </c>
      <c r="K149" s="209">
        <f>CONVERSIONES!$D$606+CONVERSIONES!$E$606</f>
        <v>7.2727272727272725</v>
      </c>
      <c r="L149" s="209">
        <f t="shared" si="57"/>
        <v>8897.2580727272725</v>
      </c>
      <c r="M149" s="209">
        <f>(CONVERSIONES!$D$609+CONVERSIONES!$E$609)*$M$1</f>
        <v>0</v>
      </c>
      <c r="N149" s="209">
        <f t="shared" si="58"/>
        <v>8897.2580727272725</v>
      </c>
      <c r="O149" s="222">
        <f>CONVERSIONES!$C$611</f>
        <v>496</v>
      </c>
      <c r="P149" s="293">
        <f t="shared" si="59"/>
        <v>4413040.0040727276</v>
      </c>
      <c r="Q149" s="218"/>
      <c r="R149" s="253">
        <f t="shared" si="60"/>
        <v>-39225.395927272737</v>
      </c>
      <c r="S149" s="226">
        <f t="shared" si="61"/>
        <v>-79.083459530791814</v>
      </c>
    </row>
    <row r="150" spans="2:19" ht="28.8">
      <c r="B150" s="221">
        <v>45915</v>
      </c>
      <c r="C150" s="233">
        <v>194</v>
      </c>
      <c r="D150" s="283" t="s">
        <v>1131</v>
      </c>
      <c r="E150" s="222">
        <v>500</v>
      </c>
      <c r="F150" s="230">
        <f>G150*E150</f>
        <v>5712160</v>
      </c>
      <c r="G150" s="209">
        <v>11424.32</v>
      </c>
      <c r="H150" s="210" t="s">
        <v>272</v>
      </c>
      <c r="I150" s="211">
        <v>45925</v>
      </c>
      <c r="J150" s="209">
        <v>0</v>
      </c>
      <c r="K150" s="209">
        <f>CONVERSIONES!$F$606</f>
        <v>3.6363636363636362</v>
      </c>
      <c r="L150" s="209">
        <f t="shared" si="57"/>
        <v>11420.683636363636</v>
      </c>
      <c r="M150" s="209">
        <f>CONVERSIONES!$F$609*$M$1</f>
        <v>0</v>
      </c>
      <c r="N150" s="209">
        <f t="shared" si="58"/>
        <v>11420.683636363636</v>
      </c>
      <c r="O150" s="222">
        <f>CONVERSIONES!$C$611</f>
        <v>496</v>
      </c>
      <c r="P150" s="293">
        <f t="shared" si="59"/>
        <v>5664659.083636363</v>
      </c>
      <c r="Q150" s="218"/>
      <c r="R150" s="253">
        <f t="shared" si="60"/>
        <v>-47500.916363636963</v>
      </c>
      <c r="S150" s="226">
        <f t="shared" si="61"/>
        <v>-95.767976539590649</v>
      </c>
    </row>
    <row r="151" spans="2:19" ht="28.8">
      <c r="B151" s="221">
        <v>45915</v>
      </c>
      <c r="C151" s="233">
        <v>194</v>
      </c>
      <c r="D151" s="283" t="s">
        <v>1132</v>
      </c>
      <c r="E151" s="222">
        <v>500</v>
      </c>
      <c r="F151" s="222">
        <v>1204135.6299999999</v>
      </c>
      <c r="G151" s="209">
        <f>F151/E151</f>
        <v>2408.27126</v>
      </c>
      <c r="H151" s="210" t="s">
        <v>272</v>
      </c>
      <c r="I151" s="211">
        <v>45925</v>
      </c>
      <c r="J151" s="209">
        <v>0</v>
      </c>
      <c r="K151" s="209">
        <f>CONVERSIONES!$G$606</f>
        <v>3.6363636363636362</v>
      </c>
      <c r="L151" s="209">
        <f t="shared" si="57"/>
        <v>2404.6348963636365</v>
      </c>
      <c r="M151" s="209">
        <f>CONVERSIONES!$G$609*$M$1</f>
        <v>0</v>
      </c>
      <c r="N151" s="209">
        <f t="shared" si="58"/>
        <v>2404.6348963636365</v>
      </c>
      <c r="O151" s="222">
        <f>CONVERSIONES!$C$611</f>
        <v>496</v>
      </c>
      <c r="P151" s="293">
        <f t="shared" si="59"/>
        <v>1192698.9085963636</v>
      </c>
      <c r="Q151" s="218"/>
      <c r="R151" s="253">
        <f t="shared" si="60"/>
        <v>-11436.721403636271</v>
      </c>
      <c r="S151" s="226">
        <f t="shared" si="61"/>
        <v>-23.057906055718288</v>
      </c>
    </row>
    <row r="152" spans="2:19" ht="43.2">
      <c r="B152" s="221">
        <v>45915</v>
      </c>
      <c r="C152" s="233">
        <v>194</v>
      </c>
      <c r="D152" s="283" t="s">
        <v>1133</v>
      </c>
      <c r="E152" s="222">
        <v>500</v>
      </c>
      <c r="F152" s="230">
        <f>G152*E152</f>
        <v>4229275</v>
      </c>
      <c r="G152" s="209">
        <v>8458.5499999999993</v>
      </c>
      <c r="H152" s="210" t="s">
        <v>272</v>
      </c>
      <c r="I152" s="211">
        <v>45925</v>
      </c>
      <c r="J152" s="209">
        <v>0</v>
      </c>
      <c r="K152" s="209">
        <f>CONVERSIONES!$H$606</f>
        <v>3.6363636363636362</v>
      </c>
      <c r="L152" s="209">
        <f t="shared" si="57"/>
        <v>8454.9136363636353</v>
      </c>
      <c r="M152" s="209">
        <f>CONVERSIONES!$H$609*$M$1</f>
        <v>0</v>
      </c>
      <c r="N152" s="209">
        <f t="shared" si="58"/>
        <v>8454.9136363636353</v>
      </c>
      <c r="O152" s="222">
        <f>CONVERSIONES!$C$611</f>
        <v>496</v>
      </c>
      <c r="P152" s="293">
        <f t="shared" si="59"/>
        <v>4193637.1636363631</v>
      </c>
      <c r="Q152" s="218"/>
      <c r="R152" s="253">
        <f t="shared" si="60"/>
        <v>-35637.836363636889</v>
      </c>
      <c r="S152" s="226">
        <f t="shared" si="61"/>
        <v>-71.850476539590503</v>
      </c>
    </row>
    <row r="153" spans="2:19" ht="43.2">
      <c r="B153" s="221">
        <v>45915</v>
      </c>
      <c r="C153" s="233">
        <v>194</v>
      </c>
      <c r="D153" s="283" t="s">
        <v>1134</v>
      </c>
      <c r="E153" s="222">
        <v>500</v>
      </c>
      <c r="F153" s="223">
        <v>3323798.37</v>
      </c>
      <c r="G153" s="209">
        <f>F153/E153</f>
        <v>6647.59674</v>
      </c>
      <c r="H153" s="210" t="s">
        <v>272</v>
      </c>
      <c r="I153" s="211">
        <v>45925</v>
      </c>
      <c r="J153" s="209">
        <v>0</v>
      </c>
      <c r="K153" s="209">
        <f>CONVERSIONES!$I$606</f>
        <v>3.6363636363636362</v>
      </c>
      <c r="L153" s="209">
        <f t="shared" si="57"/>
        <v>6643.960376363636</v>
      </c>
      <c r="M153" s="209">
        <f>CONVERSIONES!$I$609*$M$1</f>
        <v>0</v>
      </c>
      <c r="N153" s="209">
        <f t="shared" si="58"/>
        <v>6643.960376363636</v>
      </c>
      <c r="O153" s="222">
        <f>CONVERSIONES!$C$611</f>
        <v>496</v>
      </c>
      <c r="P153" s="293">
        <f t="shared" si="59"/>
        <v>3295404.3466763636</v>
      </c>
      <c r="Q153" s="218"/>
      <c r="R153" s="253">
        <f t="shared" si="60"/>
        <v>-28394.023323636502</v>
      </c>
      <c r="S153" s="226">
        <f t="shared" si="61"/>
        <v>-57.246014765396176</v>
      </c>
    </row>
    <row r="154" spans="2:19" ht="43.2">
      <c r="B154" s="221">
        <v>45915</v>
      </c>
      <c r="C154" s="233">
        <v>194</v>
      </c>
      <c r="D154" s="283" t="s">
        <v>1135</v>
      </c>
      <c r="E154" s="222">
        <v>500</v>
      </c>
      <c r="F154" s="230">
        <f>G154*E154</f>
        <v>7577940.0000000009</v>
      </c>
      <c r="G154" s="209">
        <v>15155.880000000001</v>
      </c>
      <c r="H154" s="210" t="s">
        <v>272</v>
      </c>
      <c r="I154" s="211">
        <v>45925</v>
      </c>
      <c r="J154" s="209">
        <v>0</v>
      </c>
      <c r="K154" s="209">
        <f>CONVERSIONES!$J$606</f>
        <v>3.6363636363636362</v>
      </c>
      <c r="L154" s="209">
        <f t="shared" si="57"/>
        <v>15152.243636363637</v>
      </c>
      <c r="M154" s="209">
        <f>CONVERSIONES!$J$609*$M$1</f>
        <v>0</v>
      </c>
      <c r="N154" s="209">
        <f t="shared" si="58"/>
        <v>15152.243636363637</v>
      </c>
      <c r="O154" s="222">
        <f>CONVERSIONES!$C$611</f>
        <v>496</v>
      </c>
      <c r="P154" s="293">
        <f t="shared" si="59"/>
        <v>7515512.8436363637</v>
      </c>
      <c r="Q154" s="218"/>
      <c r="R154" s="253">
        <f t="shared" si="60"/>
        <v>-62427.156363637187</v>
      </c>
      <c r="S154" s="226">
        <f t="shared" si="61"/>
        <v>-125.86120234604272</v>
      </c>
    </row>
    <row r="155" spans="2:19" ht="28.8">
      <c r="B155" s="221">
        <v>45915</v>
      </c>
      <c r="C155" s="233">
        <v>194</v>
      </c>
      <c r="D155" s="283" t="s">
        <v>1136</v>
      </c>
      <c r="E155" s="222">
        <v>500</v>
      </c>
      <c r="F155" s="230">
        <f>G155*E155</f>
        <v>6112410</v>
      </c>
      <c r="G155" s="209">
        <v>12224.82</v>
      </c>
      <c r="H155" s="210" t="s">
        <v>272</v>
      </c>
      <c r="I155" s="211">
        <v>45925</v>
      </c>
      <c r="J155" s="209">
        <v>0</v>
      </c>
      <c r="K155" s="209">
        <f>CONVERSIONES!$L$606</f>
        <v>3.6363636363636362</v>
      </c>
      <c r="L155" s="209">
        <f t="shared" si="57"/>
        <v>12221.183636363636</v>
      </c>
      <c r="M155" s="209">
        <f>CONVERSIONES!$L$609*$M$1</f>
        <v>0</v>
      </c>
      <c r="N155" s="209">
        <f t="shared" si="58"/>
        <v>12221.183636363636</v>
      </c>
      <c r="O155" s="222">
        <f>CONVERSIONES!$C$611</f>
        <v>496</v>
      </c>
      <c r="P155" s="293">
        <f t="shared" si="59"/>
        <v>6061707.083636363</v>
      </c>
      <c r="Q155" s="218"/>
      <c r="R155" s="253">
        <f t="shared" si="60"/>
        <v>-50702.916363636963</v>
      </c>
      <c r="S155" s="226">
        <f t="shared" si="61"/>
        <v>-102.22362170088097</v>
      </c>
    </row>
    <row r="156" spans="2:19" ht="28.8">
      <c r="B156" s="221">
        <v>45915</v>
      </c>
      <c r="C156" s="233">
        <v>194</v>
      </c>
      <c r="D156" s="283" t="s">
        <v>1137</v>
      </c>
      <c r="E156" s="222">
        <v>500</v>
      </c>
      <c r="F156" s="223">
        <v>1561576.2400000002</v>
      </c>
      <c r="G156" s="209">
        <f>F156/E156</f>
        <v>3123.1524800000007</v>
      </c>
      <c r="H156" s="210" t="s">
        <v>272</v>
      </c>
      <c r="I156" s="211">
        <v>45925</v>
      </c>
      <c r="J156" s="209">
        <v>0</v>
      </c>
      <c r="K156" s="209">
        <f>CONVERSIONES!$K$606</f>
        <v>3.6363636363636362</v>
      </c>
      <c r="L156" s="209">
        <f t="shared" si="57"/>
        <v>3119.5161163636371</v>
      </c>
      <c r="M156" s="209">
        <f>CONVERSIONES!$K$609*$M$1</f>
        <v>0</v>
      </c>
      <c r="N156" s="209">
        <f t="shared" si="58"/>
        <v>3119.5161163636371</v>
      </c>
      <c r="O156" s="222">
        <f>CONVERSIONES!$C$611</f>
        <v>496</v>
      </c>
      <c r="P156" s="293">
        <f t="shared" si="59"/>
        <v>1547279.993716364</v>
      </c>
      <c r="Q156" s="218"/>
      <c r="R156" s="253">
        <f t="shared" si="60"/>
        <v>-14296.246283636196</v>
      </c>
      <c r="S156" s="226">
        <f t="shared" si="61"/>
        <v>-28.823077184750396</v>
      </c>
    </row>
    <row r="157" spans="2:19" ht="28.8">
      <c r="B157" s="221">
        <v>45915</v>
      </c>
      <c r="C157" s="233">
        <v>194</v>
      </c>
      <c r="D157" s="283" t="s">
        <v>1138</v>
      </c>
      <c r="E157" s="222">
        <v>500</v>
      </c>
      <c r="F157" s="223">
        <v>1356700</v>
      </c>
      <c r="G157" s="209">
        <f>F157/E157</f>
        <v>2713.4</v>
      </c>
      <c r="H157" s="210" t="s">
        <v>272</v>
      </c>
      <c r="I157" s="211">
        <v>45925</v>
      </c>
      <c r="J157" s="209">
        <v>0</v>
      </c>
      <c r="K157" s="209">
        <f>CONVERSIONES!$M$606</f>
        <v>3.6363636363636362</v>
      </c>
      <c r="L157" s="209">
        <f t="shared" si="57"/>
        <v>2709.7636363636366</v>
      </c>
      <c r="M157" s="209">
        <f>CONVERSIONES!$M$609*$M$1</f>
        <v>0</v>
      </c>
      <c r="N157" s="209">
        <f t="shared" si="58"/>
        <v>2709.7636363636366</v>
      </c>
      <c r="O157" s="222">
        <f>CONVERSIONES!$C$611</f>
        <v>496</v>
      </c>
      <c r="P157" s="293">
        <f t="shared" si="59"/>
        <v>1344042.7636363637</v>
      </c>
      <c r="Q157" s="218"/>
      <c r="R157" s="253">
        <f t="shared" si="60"/>
        <v>-12657.23636363633</v>
      </c>
      <c r="S157" s="226">
        <f t="shared" si="61"/>
        <v>-25.518621700879699</v>
      </c>
    </row>
    <row r="158" spans="2:19">
      <c r="B158" s="221">
        <v>45940</v>
      </c>
      <c r="C158" s="233">
        <v>195</v>
      </c>
      <c r="D158" s="283" t="s">
        <v>1194</v>
      </c>
      <c r="E158" s="222">
        <v>499</v>
      </c>
      <c r="F158" s="223">
        <f t="shared" ref="F158:F167" si="62">G158*E158</f>
        <v>37829379.620000005</v>
      </c>
      <c r="G158" s="209">
        <v>75810.38</v>
      </c>
      <c r="H158" s="210" t="s">
        <v>272</v>
      </c>
      <c r="I158" s="211">
        <v>45953</v>
      </c>
      <c r="J158" s="209">
        <v>0</v>
      </c>
      <c r="K158" s="209">
        <f>SUM(CONVERSIONES!C624:M624)</f>
        <v>39.999999999999993</v>
      </c>
      <c r="L158" s="209">
        <f t="shared" si="57"/>
        <v>75770.38</v>
      </c>
      <c r="M158" s="209">
        <f>SUM(CONVERSIONES!C627:M627)*M1</f>
        <v>0</v>
      </c>
      <c r="N158" s="209">
        <f t="shared" si="58"/>
        <v>75770.38</v>
      </c>
      <c r="O158" s="222">
        <f>CONVERSIONES!$C$629</f>
        <v>495</v>
      </c>
      <c r="P158" s="293">
        <f t="shared" ref="P158:P167" si="63">N158*O158</f>
        <v>37506338.100000001</v>
      </c>
      <c r="Q158" s="218"/>
      <c r="R158" s="253">
        <f t="shared" ref="R158:R165" si="64">(P158-F158)</f>
        <v>-323041.52000000328</v>
      </c>
      <c r="S158" s="226">
        <f t="shared" ref="S158:S167" si="65">IFERROR(R158/O158,0)</f>
        <v>-652.60913131313794</v>
      </c>
    </row>
    <row r="159" spans="2:19" ht="28.8">
      <c r="B159" s="221">
        <v>45945</v>
      </c>
      <c r="C159" s="233">
        <v>197</v>
      </c>
      <c r="D159" s="283" t="s">
        <v>1195</v>
      </c>
      <c r="E159" s="222">
        <v>499</v>
      </c>
      <c r="F159" s="223">
        <f t="shared" si="62"/>
        <v>2605152.6</v>
      </c>
      <c r="G159" s="209">
        <v>5220.7466933867736</v>
      </c>
      <c r="H159" s="210" t="s">
        <v>272</v>
      </c>
      <c r="I159" s="211">
        <v>45952</v>
      </c>
      <c r="J159" s="209">
        <v>0</v>
      </c>
      <c r="K159" s="209">
        <f>CONVERSIONES!$P$624</f>
        <v>20</v>
      </c>
      <c r="L159" s="209">
        <f t="shared" ref="L159:L167" si="66">+G159-J159-K159</f>
        <v>5200.7466933867736</v>
      </c>
      <c r="M159" s="209">
        <f>SUM(CONVERSIONES!C628:M628)*M2</f>
        <v>0</v>
      </c>
      <c r="N159" s="209">
        <f t="shared" ref="N159:N167" si="67">(L159-M159)</f>
        <v>5200.7466933867736</v>
      </c>
      <c r="O159" s="222">
        <f>CONVERSIONES!$C$629</f>
        <v>495</v>
      </c>
      <c r="P159" s="293">
        <f t="shared" si="63"/>
        <v>2574369.6132264528</v>
      </c>
      <c r="Q159" s="218"/>
      <c r="R159" s="253">
        <f t="shared" si="64"/>
        <v>-30782.986773547251</v>
      </c>
      <c r="S159" s="226">
        <f t="shared" si="65"/>
        <v>-62.187852067772226</v>
      </c>
    </row>
    <row r="160" spans="2:19">
      <c r="B160" s="221">
        <v>45946</v>
      </c>
      <c r="C160" s="233">
        <v>198</v>
      </c>
      <c r="D160" s="208" t="s">
        <v>1196</v>
      </c>
      <c r="E160" s="222">
        <v>499</v>
      </c>
      <c r="F160" s="223">
        <f t="shared" si="62"/>
        <v>5740242</v>
      </c>
      <c r="G160" s="209">
        <v>11503.490981963929</v>
      </c>
      <c r="H160" s="210" t="s">
        <v>272</v>
      </c>
      <c r="I160" s="211">
        <v>45957</v>
      </c>
      <c r="J160" s="209">
        <v>0</v>
      </c>
      <c r="K160" s="209">
        <f>CONVERSIONES!$C$643</f>
        <v>20</v>
      </c>
      <c r="L160" s="209">
        <f t="shared" si="66"/>
        <v>11483.490981963929</v>
      </c>
      <c r="M160" s="209">
        <f>CONVERSIONES!$C$646*M1</f>
        <v>0</v>
      </c>
      <c r="N160" s="209">
        <f t="shared" si="67"/>
        <v>11483.490981963929</v>
      </c>
      <c r="O160" s="222">
        <f>CONVERSIONES!$C$648</f>
        <v>495</v>
      </c>
      <c r="P160" s="293">
        <f t="shared" si="63"/>
        <v>5684328.0360721443</v>
      </c>
      <c r="Q160" s="218"/>
      <c r="R160" s="253">
        <f t="shared" si="64"/>
        <v>-55913.963927855715</v>
      </c>
      <c r="S160" s="226">
        <f t="shared" si="65"/>
        <v>-112.957502884557</v>
      </c>
    </row>
    <row r="161" spans="2:19">
      <c r="B161" s="221">
        <v>45946</v>
      </c>
      <c r="C161" s="233">
        <v>199</v>
      </c>
      <c r="D161" s="208" t="s">
        <v>1197</v>
      </c>
      <c r="E161" s="222">
        <v>499</v>
      </c>
      <c r="F161" s="223">
        <f t="shared" si="62"/>
        <v>8803365.8066666666</v>
      </c>
      <c r="G161" s="209">
        <v>17642.015644622577</v>
      </c>
      <c r="H161" s="210" t="s">
        <v>272</v>
      </c>
      <c r="I161" s="211">
        <v>45952</v>
      </c>
      <c r="J161" s="209">
        <v>0</v>
      </c>
      <c r="K161" s="209">
        <f>CONVERSIONES!$D$643</f>
        <v>26.46</v>
      </c>
      <c r="L161" s="209">
        <f t="shared" si="66"/>
        <v>17615.555644622578</v>
      </c>
      <c r="M161" s="209">
        <f>CONVERSIONES!$D$646*M1</f>
        <v>0</v>
      </c>
      <c r="N161" s="209">
        <f t="shared" si="67"/>
        <v>17615.555644622578</v>
      </c>
      <c r="O161" s="222">
        <f>CONVERSIONES!$D$648</f>
        <v>495</v>
      </c>
      <c r="P161" s="293">
        <f t="shared" si="63"/>
        <v>8719700.0440881755</v>
      </c>
      <c r="Q161" s="218"/>
      <c r="R161" s="253">
        <f t="shared" si="64"/>
        <v>-83665.762578491122</v>
      </c>
      <c r="S161" s="226">
        <f t="shared" si="65"/>
        <v>-169.02174258281033</v>
      </c>
    </row>
    <row r="162" spans="2:19">
      <c r="B162" s="221">
        <v>45946</v>
      </c>
      <c r="C162" s="233">
        <v>196</v>
      </c>
      <c r="D162" s="208" t="s">
        <v>1198</v>
      </c>
      <c r="E162" s="222">
        <v>499</v>
      </c>
      <c r="F162" s="223">
        <f t="shared" si="62"/>
        <v>1211826.4900000002</v>
      </c>
      <c r="G162" s="209">
        <v>2428.5100000000002</v>
      </c>
      <c r="H162" s="210" t="s">
        <v>272</v>
      </c>
      <c r="I162" s="211">
        <v>45964</v>
      </c>
      <c r="J162" s="209">
        <v>0</v>
      </c>
      <c r="K162" s="209">
        <f>CONVERSIONES!$E$643</f>
        <v>20</v>
      </c>
      <c r="L162" s="209">
        <f t="shared" si="66"/>
        <v>2408.5100000000002</v>
      </c>
      <c r="M162" s="209">
        <f>CONVERSIONES!$E$646*M1</f>
        <v>0</v>
      </c>
      <c r="N162" s="209">
        <f t="shared" si="67"/>
        <v>2408.5100000000002</v>
      </c>
      <c r="O162" s="222">
        <v>486</v>
      </c>
      <c r="P162" s="293">
        <f t="shared" si="63"/>
        <v>1170535.8600000001</v>
      </c>
      <c r="Q162" s="218"/>
      <c r="R162" s="253">
        <f t="shared" si="64"/>
        <v>-41290.630000000121</v>
      </c>
      <c r="S162" s="226">
        <f t="shared" si="65"/>
        <v>-84.960144032922059</v>
      </c>
    </row>
    <row r="163" spans="2:19">
      <c r="B163" s="221">
        <v>45972</v>
      </c>
      <c r="C163" s="233">
        <v>201</v>
      </c>
      <c r="D163" s="208" t="s">
        <v>1250</v>
      </c>
      <c r="E163" s="222">
        <v>490</v>
      </c>
      <c r="F163" s="223">
        <f t="shared" si="62"/>
        <v>4096890</v>
      </c>
      <c r="G163" s="209">
        <v>8361</v>
      </c>
      <c r="H163" s="210" t="s">
        <v>272</v>
      </c>
      <c r="I163" s="211">
        <v>45988</v>
      </c>
      <c r="J163" s="209">
        <f>CONVERSIONES!$C$698*$M$1</f>
        <v>0</v>
      </c>
      <c r="K163" s="209">
        <f>CONVERSIONES!$C$698</f>
        <v>20</v>
      </c>
      <c r="L163" s="209">
        <f t="shared" si="66"/>
        <v>8341</v>
      </c>
      <c r="M163" s="209">
        <f>CONVERSIONES!$C$701*$M$1</f>
        <v>0</v>
      </c>
      <c r="N163" s="209">
        <f t="shared" si="67"/>
        <v>8341</v>
      </c>
      <c r="O163" s="222">
        <v>486</v>
      </c>
      <c r="P163" s="293">
        <f t="shared" si="63"/>
        <v>4053726</v>
      </c>
      <c r="Q163" s="218"/>
      <c r="R163" s="253">
        <f t="shared" si="64"/>
        <v>-43164</v>
      </c>
      <c r="S163" s="226">
        <f t="shared" si="65"/>
        <v>-88.81481481481481</v>
      </c>
    </row>
    <row r="164" spans="2:19">
      <c r="B164" s="221">
        <v>45946</v>
      </c>
      <c r="C164" s="233">
        <v>202</v>
      </c>
      <c r="D164" s="208" t="s">
        <v>1251</v>
      </c>
      <c r="E164" s="222">
        <v>490</v>
      </c>
      <c r="F164" s="223">
        <f t="shared" si="62"/>
        <v>9876562.5</v>
      </c>
      <c r="G164" s="209">
        <v>20156.25</v>
      </c>
      <c r="H164" s="210" t="s">
        <v>272</v>
      </c>
      <c r="I164" s="211">
        <v>45988</v>
      </c>
      <c r="J164" s="209">
        <f>CONVERSIONES!$D$698*$M$1</f>
        <v>0</v>
      </c>
      <c r="K164" s="209">
        <f>CONVERSIONES!$D$698</f>
        <v>30.23</v>
      </c>
      <c r="L164" s="209">
        <f t="shared" si="66"/>
        <v>20126.02</v>
      </c>
      <c r="M164" s="209">
        <f>CONVERSIONES!$D$701*$M$1</f>
        <v>0</v>
      </c>
      <c r="N164" s="209">
        <f t="shared" si="67"/>
        <v>20126.02</v>
      </c>
      <c r="O164" s="222">
        <v>486</v>
      </c>
      <c r="P164" s="293">
        <f t="shared" si="63"/>
        <v>9781245.7200000007</v>
      </c>
      <c r="Q164" s="218"/>
      <c r="R164" s="253">
        <f t="shared" si="64"/>
        <v>-95316.779999999329</v>
      </c>
      <c r="S164" s="226">
        <f t="shared" si="65"/>
        <v>-196.12506172839369</v>
      </c>
    </row>
    <row r="165" spans="2:19">
      <c r="B165" s="221">
        <v>45979</v>
      </c>
      <c r="C165" s="233">
        <v>203</v>
      </c>
      <c r="D165" s="208" t="s">
        <v>1252</v>
      </c>
      <c r="E165" s="222">
        <v>490</v>
      </c>
      <c r="F165" s="223">
        <f t="shared" si="62"/>
        <v>1986019</v>
      </c>
      <c r="G165" s="209">
        <v>4053.1</v>
      </c>
      <c r="H165" s="255" t="s">
        <v>272</v>
      </c>
      <c r="I165" s="211">
        <v>45988</v>
      </c>
      <c r="J165" s="209">
        <f>CONVERSIONES!$E$698*$M$1</f>
        <v>0</v>
      </c>
      <c r="K165" s="209">
        <f>CONVERSIONES!$E$698</f>
        <v>20</v>
      </c>
      <c r="L165" s="209">
        <f t="shared" si="66"/>
        <v>4033.1</v>
      </c>
      <c r="M165" s="209">
        <f>CONVERSIONES!$E$701*$M$1</f>
        <v>0</v>
      </c>
      <c r="N165" s="209">
        <f>(L165-M165)</f>
        <v>4033.1</v>
      </c>
      <c r="O165" s="222">
        <v>486</v>
      </c>
      <c r="P165" s="293">
        <f t="shared" si="63"/>
        <v>1960086.5999999999</v>
      </c>
      <c r="Q165" s="218"/>
      <c r="R165" s="253">
        <f t="shared" si="64"/>
        <v>-25932.40000000014</v>
      </c>
      <c r="S165" s="226">
        <f t="shared" si="65"/>
        <v>-53.358847736625805</v>
      </c>
    </row>
    <row r="166" spans="2:19">
      <c r="B166" s="221">
        <v>45979</v>
      </c>
      <c r="C166" s="233">
        <v>204</v>
      </c>
      <c r="D166" s="283" t="s">
        <v>1253</v>
      </c>
      <c r="E166" s="222">
        <v>490</v>
      </c>
      <c r="F166" s="223">
        <f t="shared" si="62"/>
        <v>53391424.100000001</v>
      </c>
      <c r="G166" s="209">
        <v>108962.09</v>
      </c>
      <c r="H166" s="255" t="s">
        <v>272</v>
      </c>
      <c r="I166" s="211">
        <v>45993</v>
      </c>
      <c r="J166" s="209">
        <f>SUM(CONVERSIONES!$C$662:$L$662)*$M$1</f>
        <v>0</v>
      </c>
      <c r="K166" s="209">
        <f>SUM(CONVERSIONES!C662:L662)</f>
        <v>40</v>
      </c>
      <c r="L166" s="209">
        <f t="shared" si="66"/>
        <v>108922.09</v>
      </c>
      <c r="M166" s="209">
        <f>SUM(CONVERSIONES!E665:M665)*$M$1</f>
        <v>0</v>
      </c>
      <c r="N166" s="209">
        <f t="shared" si="67"/>
        <v>108922.09</v>
      </c>
      <c r="O166" s="222">
        <v>486</v>
      </c>
      <c r="P166" s="293">
        <f t="shared" si="63"/>
        <v>52936135.739999995</v>
      </c>
      <c r="Q166" s="218"/>
      <c r="R166" s="253">
        <f>(P166-F166)*0</f>
        <v>0</v>
      </c>
      <c r="S166" s="226">
        <f t="shared" si="65"/>
        <v>0</v>
      </c>
    </row>
    <row r="167" spans="2:19" ht="28.8">
      <c r="B167" s="221">
        <v>45979</v>
      </c>
      <c r="C167" s="233">
        <v>205</v>
      </c>
      <c r="D167" s="283" t="s">
        <v>1249</v>
      </c>
      <c r="E167" s="222">
        <v>490</v>
      </c>
      <c r="F167" s="223">
        <f t="shared" si="62"/>
        <v>1981952</v>
      </c>
      <c r="G167" s="209">
        <v>4044.8</v>
      </c>
      <c r="H167" s="210" t="s">
        <v>272</v>
      </c>
      <c r="I167" s="211">
        <v>45988</v>
      </c>
      <c r="J167" s="209">
        <f>CONVERSIONES!C680*$M$1</f>
        <v>0</v>
      </c>
      <c r="K167" s="209">
        <f>CONVERSIONES!$C$680</f>
        <v>20</v>
      </c>
      <c r="L167" s="209">
        <f t="shared" si="66"/>
        <v>4024.8</v>
      </c>
      <c r="M167" s="209">
        <f>CONVERSIONES!E683*$M$1</f>
        <v>0</v>
      </c>
      <c r="N167" s="209">
        <f t="shared" si="67"/>
        <v>4024.8</v>
      </c>
      <c r="O167" s="222">
        <v>486</v>
      </c>
      <c r="P167" s="293">
        <f t="shared" si="63"/>
        <v>1956052.8</v>
      </c>
      <c r="Q167" s="218"/>
      <c r="R167" s="253">
        <f t="shared" ref="R167:R176" si="68">(P167-F167)</f>
        <v>-25899.199999999953</v>
      </c>
      <c r="S167" s="226">
        <f t="shared" si="65"/>
        <v>-53.290534979423775</v>
      </c>
    </row>
    <row r="168" spans="2:19">
      <c r="B168" s="221">
        <v>45995</v>
      </c>
      <c r="C168" s="233">
        <v>207</v>
      </c>
      <c r="D168" s="283" t="s">
        <v>1343</v>
      </c>
      <c r="E168" s="222">
        <v>478</v>
      </c>
      <c r="F168" s="223">
        <f t="shared" ref="F168:F176" si="69">G168*E168</f>
        <v>41822308.859999999</v>
      </c>
      <c r="G168" s="209">
        <v>87494.37</v>
      </c>
      <c r="H168" s="255" t="s">
        <v>272</v>
      </c>
      <c r="I168" s="211">
        <v>46009</v>
      </c>
      <c r="J168" s="209">
        <v>0</v>
      </c>
      <c r="K168" s="209">
        <f>SUM(CONVERSIONES!$C$717:$L$717)</f>
        <v>60</v>
      </c>
      <c r="L168" s="209">
        <f t="shared" ref="L168:L176" si="70">+G168-J168-K168</f>
        <v>87434.37</v>
      </c>
      <c r="M168" s="209">
        <f>SUM(CONVERSIONES!$C$720:$L$720)*$M$1</f>
        <v>0</v>
      </c>
      <c r="N168" s="209">
        <f t="shared" ref="N168:N176" si="71">(L168-M168)</f>
        <v>87434.37</v>
      </c>
      <c r="O168" s="222">
        <v>491</v>
      </c>
      <c r="P168" s="293">
        <f t="shared" ref="P168:P176" si="72">N168*O168</f>
        <v>42930275.669999994</v>
      </c>
      <c r="Q168" s="218"/>
      <c r="R168" s="253">
        <f t="shared" si="68"/>
        <v>1107966.8099999949</v>
      </c>
      <c r="S168" s="226">
        <f t="shared" ref="S168:S176" si="73">IFERROR(R168/O168,0)</f>
        <v>2256.5515478614966</v>
      </c>
    </row>
    <row r="169" spans="2:19">
      <c r="B169" s="221">
        <v>46003</v>
      </c>
      <c r="C169" s="233">
        <v>208</v>
      </c>
      <c r="D169" s="208" t="s">
        <v>1344</v>
      </c>
      <c r="E169" s="222">
        <v>478</v>
      </c>
      <c r="F169" s="223">
        <f t="shared" si="69"/>
        <v>4092898.8999999994</v>
      </c>
      <c r="G169" s="209">
        <v>8562.5499999999993</v>
      </c>
      <c r="H169" s="255" t="s">
        <v>272</v>
      </c>
      <c r="I169" s="211">
        <v>46014</v>
      </c>
      <c r="J169" s="209">
        <v>0</v>
      </c>
      <c r="K169" s="209">
        <f>CONVERSIONES!$C$736</f>
        <v>20</v>
      </c>
      <c r="L169" s="209">
        <f t="shared" si="70"/>
        <v>8542.5499999999993</v>
      </c>
      <c r="M169" s="209">
        <f>CONVERSIONES!$C$739*$M$1</f>
        <v>0</v>
      </c>
      <c r="N169" s="209">
        <f t="shared" si="71"/>
        <v>8542.5499999999993</v>
      </c>
      <c r="O169" s="222">
        <v>491</v>
      </c>
      <c r="P169" s="293">
        <f t="shared" si="72"/>
        <v>4194392.05</v>
      </c>
      <c r="Q169" s="218"/>
      <c r="R169" s="253">
        <f t="shared" si="68"/>
        <v>101493.15000000037</v>
      </c>
      <c r="S169" s="226">
        <f t="shared" si="73"/>
        <v>206.70702647657916</v>
      </c>
    </row>
    <row r="170" spans="2:19">
      <c r="B170" s="221">
        <v>46007</v>
      </c>
      <c r="C170" s="233">
        <v>209</v>
      </c>
      <c r="D170" s="208" t="s">
        <v>1345</v>
      </c>
      <c r="E170" s="222">
        <v>478</v>
      </c>
      <c r="F170" s="223">
        <f t="shared" si="69"/>
        <v>1670098.54</v>
      </c>
      <c r="G170" s="209">
        <v>3493.93</v>
      </c>
      <c r="H170" s="255" t="s">
        <v>272</v>
      </c>
      <c r="I170" s="211">
        <v>46014</v>
      </c>
      <c r="J170" s="209">
        <v>0</v>
      </c>
      <c r="K170" s="209">
        <f>CONVERSIONES!$D$736</f>
        <v>20</v>
      </c>
      <c r="L170" s="209">
        <f t="shared" si="70"/>
        <v>3473.93</v>
      </c>
      <c r="M170" s="209">
        <f>CONVERSIONES!$D$739*$M$1</f>
        <v>0</v>
      </c>
      <c r="N170" s="209">
        <f t="shared" si="71"/>
        <v>3473.93</v>
      </c>
      <c r="O170" s="222">
        <v>491</v>
      </c>
      <c r="P170" s="293">
        <f t="shared" si="72"/>
        <v>1705699.63</v>
      </c>
      <c r="Q170" s="218"/>
      <c r="R170" s="253">
        <f t="shared" si="68"/>
        <v>35601.089999999851</v>
      </c>
      <c r="S170" s="226">
        <f t="shared" si="73"/>
        <v>72.507311608961004</v>
      </c>
    </row>
    <row r="171" spans="2:19">
      <c r="B171" s="221">
        <v>46007</v>
      </c>
      <c r="C171" s="233">
        <v>210</v>
      </c>
      <c r="D171" s="208" t="s">
        <v>1346</v>
      </c>
      <c r="E171" s="222">
        <v>478</v>
      </c>
      <c r="F171" s="223">
        <f t="shared" si="69"/>
        <v>9498404.9199999999</v>
      </c>
      <c r="G171" s="209">
        <v>19871.14</v>
      </c>
      <c r="H171" s="210" t="s">
        <v>272</v>
      </c>
      <c r="I171" s="211">
        <v>46009</v>
      </c>
      <c r="J171" s="209">
        <v>0</v>
      </c>
      <c r="K171" s="209">
        <f>CONVERSIONES!$E$736</f>
        <v>29.81</v>
      </c>
      <c r="L171" s="209">
        <f t="shared" si="70"/>
        <v>19841.329999999998</v>
      </c>
      <c r="M171" s="209">
        <f>CONVERSIONES!$E$739*$M$1</f>
        <v>0</v>
      </c>
      <c r="N171" s="209">
        <f t="shared" si="71"/>
        <v>19841.329999999998</v>
      </c>
      <c r="O171" s="222">
        <v>491</v>
      </c>
      <c r="P171" s="293">
        <f t="shared" si="72"/>
        <v>9742093.0299999993</v>
      </c>
      <c r="Q171" s="218"/>
      <c r="R171" s="253">
        <f t="shared" si="68"/>
        <v>243688.1099999994</v>
      </c>
      <c r="S171" s="226">
        <f t="shared" si="73"/>
        <v>496.30979633401103</v>
      </c>
    </row>
    <row r="172" spans="2:19">
      <c r="B172" s="221">
        <v>46031</v>
      </c>
      <c r="C172" s="233">
        <v>212</v>
      </c>
      <c r="D172" s="283" t="s">
        <v>1388</v>
      </c>
      <c r="E172" s="222">
        <v>491</v>
      </c>
      <c r="F172" s="223">
        <f t="shared" si="69"/>
        <v>39749106.310000002</v>
      </c>
      <c r="G172" s="209">
        <v>80955.41</v>
      </c>
      <c r="H172" s="255" t="s">
        <v>272</v>
      </c>
      <c r="I172" s="211">
        <v>46045</v>
      </c>
      <c r="J172" s="209">
        <v>0</v>
      </c>
      <c r="K172" s="209">
        <f>SUM(CONVERSIONES!$C$758:$L$758)</f>
        <v>40</v>
      </c>
      <c r="L172" s="209">
        <f t="shared" si="70"/>
        <v>80915.41</v>
      </c>
      <c r="M172" s="209">
        <f>SUM(CONVERSIONES!$C$761:$L$761)*$M$1</f>
        <v>0</v>
      </c>
      <c r="N172" s="209">
        <f t="shared" si="71"/>
        <v>80915.41</v>
      </c>
      <c r="O172" s="222">
        <f>CONVERSIONES!$C$763</f>
        <v>486</v>
      </c>
      <c r="P172" s="293">
        <f t="shared" si="72"/>
        <v>39324889.260000005</v>
      </c>
      <c r="Q172" s="218"/>
      <c r="R172" s="253">
        <f t="shared" si="68"/>
        <v>-424217.04999999702</v>
      </c>
      <c r="S172" s="226">
        <f t="shared" si="73"/>
        <v>-872.87458847736013</v>
      </c>
    </row>
    <row r="173" spans="2:19">
      <c r="B173" s="221">
        <v>46036</v>
      </c>
      <c r="C173" s="233">
        <v>213</v>
      </c>
      <c r="D173" s="208" t="s">
        <v>1393</v>
      </c>
      <c r="E173" s="222">
        <v>491</v>
      </c>
      <c r="F173" s="223">
        <f t="shared" si="69"/>
        <v>4109989.15</v>
      </c>
      <c r="G173" s="209">
        <v>8370.65</v>
      </c>
      <c r="H173" s="255" t="s">
        <v>272</v>
      </c>
      <c r="I173" s="211">
        <v>46044</v>
      </c>
      <c r="J173" s="209">
        <v>0</v>
      </c>
      <c r="K173" s="209">
        <f>CONVERSIONES!$C$777</f>
        <v>20</v>
      </c>
      <c r="L173" s="209">
        <f t="shared" si="70"/>
        <v>8350.65</v>
      </c>
      <c r="M173" s="209">
        <f>CONVERSIONES!$C$780*$M$1</f>
        <v>0</v>
      </c>
      <c r="N173" s="209">
        <f t="shared" si="71"/>
        <v>8350.65</v>
      </c>
      <c r="O173" s="222">
        <f>CONVERSIONES!$C$782</f>
        <v>486</v>
      </c>
      <c r="P173" s="293">
        <f t="shared" si="72"/>
        <v>4058415.9</v>
      </c>
      <c r="Q173" s="218"/>
      <c r="R173" s="253">
        <f t="shared" si="68"/>
        <v>-51573.25</v>
      </c>
      <c r="S173" s="226">
        <f t="shared" si="73"/>
        <v>-106.11779835390946</v>
      </c>
    </row>
    <row r="174" spans="2:19">
      <c r="B174" s="221">
        <v>46036</v>
      </c>
      <c r="C174" s="233">
        <v>214</v>
      </c>
      <c r="D174" s="208" t="s">
        <v>1396</v>
      </c>
      <c r="E174" s="222">
        <v>491</v>
      </c>
      <c r="F174" s="223">
        <f t="shared" si="69"/>
        <v>9218672.2999999989</v>
      </c>
      <c r="G174" s="209">
        <v>18775.3</v>
      </c>
      <c r="H174" s="255" t="s">
        <v>272</v>
      </c>
      <c r="I174" s="211">
        <v>46042</v>
      </c>
      <c r="J174" s="209">
        <v>0</v>
      </c>
      <c r="K174" s="209">
        <f>CONVERSIONES!$D$777</f>
        <v>28.16</v>
      </c>
      <c r="L174" s="209">
        <f t="shared" si="70"/>
        <v>18747.14</v>
      </c>
      <c r="M174" s="209">
        <f>CONVERSIONES!$D$780*$M$1</f>
        <v>0</v>
      </c>
      <c r="N174" s="209">
        <f t="shared" si="71"/>
        <v>18747.14</v>
      </c>
      <c r="O174" s="222">
        <f>CONVERSIONES!$D$782</f>
        <v>486</v>
      </c>
      <c r="P174" s="293">
        <f t="shared" si="72"/>
        <v>9111110.0399999991</v>
      </c>
      <c r="Q174" s="218"/>
      <c r="R174" s="253">
        <f t="shared" si="68"/>
        <v>-107562.25999999978</v>
      </c>
      <c r="S174" s="226">
        <f t="shared" si="73"/>
        <v>-221.32152263374439</v>
      </c>
    </row>
    <row r="175" spans="2:19">
      <c r="B175" s="221">
        <v>45673</v>
      </c>
      <c r="C175" s="233">
        <v>215</v>
      </c>
      <c r="D175" s="208" t="s">
        <v>1398</v>
      </c>
      <c r="E175" s="222">
        <v>491</v>
      </c>
      <c r="F175" s="223">
        <f t="shared" si="69"/>
        <v>11320397.799999999</v>
      </c>
      <c r="G175" s="209">
        <v>23055.8</v>
      </c>
      <c r="H175" s="255" t="s">
        <v>272</v>
      </c>
      <c r="I175" s="211">
        <v>46045</v>
      </c>
      <c r="J175" s="209">
        <v>0</v>
      </c>
      <c r="K175" s="209">
        <f>SUM(CONVERSIONES!C795:F795)</f>
        <v>34.549999999999997</v>
      </c>
      <c r="L175" s="209">
        <f t="shared" si="70"/>
        <v>23021.25</v>
      </c>
      <c r="M175" s="209">
        <f>SUM(CONVERSIONES!C798:F798)*M1</f>
        <v>0</v>
      </c>
      <c r="N175" s="209">
        <f t="shared" si="71"/>
        <v>23021.25</v>
      </c>
      <c r="O175" s="222">
        <f>CONVERSIONES!$C$800</f>
        <v>486</v>
      </c>
      <c r="P175" s="293">
        <f t="shared" si="72"/>
        <v>11188327.5</v>
      </c>
      <c r="Q175" s="218"/>
      <c r="R175" s="253">
        <f t="shared" si="68"/>
        <v>-132070.29999999888</v>
      </c>
      <c r="S175" s="226">
        <f t="shared" si="73"/>
        <v>-271.74958847736394</v>
      </c>
    </row>
    <row r="176" spans="2:19">
      <c r="B176" s="221">
        <v>46041</v>
      </c>
      <c r="C176" s="233">
        <v>216</v>
      </c>
      <c r="D176" s="208" t="s">
        <v>1397</v>
      </c>
      <c r="E176" s="222">
        <v>491</v>
      </c>
      <c r="F176" s="223">
        <f t="shared" si="69"/>
        <v>2127149.48</v>
      </c>
      <c r="G176" s="209">
        <v>4332.28</v>
      </c>
      <c r="H176" s="255" t="s">
        <v>272</v>
      </c>
      <c r="I176" s="211">
        <v>46049</v>
      </c>
      <c r="J176" s="209">
        <v>0</v>
      </c>
      <c r="K176" s="209">
        <f>CONVERSIONES!$E$777</f>
        <v>20</v>
      </c>
      <c r="L176" s="209">
        <f t="shared" si="70"/>
        <v>4312.28</v>
      </c>
      <c r="M176" s="209">
        <f>CONVERSIONES!$E$780*$M$1</f>
        <v>0</v>
      </c>
      <c r="N176" s="209">
        <f t="shared" si="71"/>
        <v>4312.28</v>
      </c>
      <c r="O176" s="222">
        <f>CONVERSIONES!$E$782</f>
        <v>486</v>
      </c>
      <c r="P176" s="293">
        <f t="shared" si="72"/>
        <v>2095768.0799999998</v>
      </c>
      <c r="Q176" s="218"/>
      <c r="R176" s="253">
        <f t="shared" si="68"/>
        <v>-31381.40000000014</v>
      </c>
      <c r="S176" s="226">
        <f t="shared" si="73"/>
        <v>-64.570781893004408</v>
      </c>
    </row>
    <row r="177" spans="2:19" s="344" customFormat="1">
      <c r="B177" s="343">
        <v>46063</v>
      </c>
      <c r="C177" s="233">
        <v>218</v>
      </c>
      <c r="D177" s="283" t="s">
        <v>1460</v>
      </c>
      <c r="E177" s="222">
        <v>489</v>
      </c>
      <c r="F177" s="223">
        <f t="shared" ref="F177:F183" si="74">G177*E177</f>
        <v>9185571.6000000015</v>
      </c>
      <c r="G177" s="209">
        <v>18784.400000000001</v>
      </c>
      <c r="H177" s="255" t="s">
        <v>272</v>
      </c>
      <c r="I177" s="211">
        <v>46065</v>
      </c>
      <c r="J177" s="209">
        <v>0</v>
      </c>
      <c r="K177" s="209">
        <f>CONVERSIONES!$D$815</f>
        <v>28.18</v>
      </c>
      <c r="L177" s="209">
        <f t="shared" ref="L177:L183" si="75">+G177-J177-K177</f>
        <v>18756.22</v>
      </c>
      <c r="M177" s="209">
        <f>CONVERSIONES!$D$818*$M$1</f>
        <v>0</v>
      </c>
      <c r="N177" s="209">
        <f t="shared" ref="N177:N183" si="76">(L177-M177)</f>
        <v>18756.22</v>
      </c>
      <c r="O177" s="222">
        <v>466</v>
      </c>
      <c r="P177" s="293">
        <f t="shared" ref="P177:P183" si="77">N177*O177</f>
        <v>8740398.5200000014</v>
      </c>
      <c r="Q177" s="218"/>
      <c r="R177" s="253">
        <f t="shared" ref="R177:R183" si="78">(P177-F177)</f>
        <v>-445173.08000000007</v>
      </c>
      <c r="S177" s="478">
        <f t="shared" ref="S177:S183" si="79">IFERROR(R177/O177,0)</f>
        <v>-955.3070386266096</v>
      </c>
    </row>
    <row r="178" spans="2:19" s="344" customFormat="1">
      <c r="B178" s="343">
        <v>46063</v>
      </c>
      <c r="C178" s="233">
        <v>219</v>
      </c>
      <c r="D178" s="283" t="s">
        <v>1461</v>
      </c>
      <c r="E178" s="222">
        <v>489</v>
      </c>
      <c r="F178" s="223">
        <f t="shared" si="74"/>
        <v>4782327.09</v>
      </c>
      <c r="G178" s="209">
        <v>9779.81</v>
      </c>
      <c r="H178" s="255" t="s">
        <v>272</v>
      </c>
      <c r="I178" s="211">
        <v>46065</v>
      </c>
      <c r="J178" s="209">
        <v>0</v>
      </c>
      <c r="K178" s="209">
        <f>CONVERSIONES!$C$815</f>
        <v>20</v>
      </c>
      <c r="L178" s="209">
        <f t="shared" si="75"/>
        <v>9759.81</v>
      </c>
      <c r="M178" s="209">
        <f>CONVERSIONES!$C$818*$M$1</f>
        <v>0</v>
      </c>
      <c r="N178" s="209">
        <f t="shared" si="76"/>
        <v>9759.81</v>
      </c>
      <c r="O178" s="222">
        <v>466</v>
      </c>
      <c r="P178" s="293">
        <f t="shared" si="77"/>
        <v>4548071.46</v>
      </c>
      <c r="Q178" s="218"/>
      <c r="R178" s="253">
        <f t="shared" si="78"/>
        <v>-234255.62999999989</v>
      </c>
      <c r="S178" s="478">
        <f t="shared" si="79"/>
        <v>-502.69448497854052</v>
      </c>
    </row>
    <row r="179" spans="2:19" s="344" customFormat="1">
      <c r="B179" s="343">
        <v>46064</v>
      </c>
      <c r="C179" s="233">
        <v>220</v>
      </c>
      <c r="D179" s="283" t="s">
        <v>1462</v>
      </c>
      <c r="E179" s="222">
        <v>489</v>
      </c>
      <c r="F179" s="223">
        <f t="shared" si="74"/>
        <v>37616026.710000001</v>
      </c>
      <c r="G179" s="318">
        <v>76924.39</v>
      </c>
      <c r="H179" s="255" t="s">
        <v>272</v>
      </c>
      <c r="I179" s="211">
        <v>46077</v>
      </c>
      <c r="J179" s="209">
        <v>0</v>
      </c>
      <c r="K179" s="209">
        <f>SUM(CONVERSIONES!$C$833:$N$833)</f>
        <v>40</v>
      </c>
      <c r="L179" s="209">
        <f t="shared" si="75"/>
        <v>76884.39</v>
      </c>
      <c r="M179" s="209">
        <f>SUM(CONVERSIONES!$C$836:$N$836)*M1</f>
        <v>0</v>
      </c>
      <c r="N179" s="209">
        <f t="shared" si="76"/>
        <v>76884.39</v>
      </c>
      <c r="O179" s="222">
        <v>466</v>
      </c>
      <c r="P179" s="293">
        <f t="shared" si="77"/>
        <v>35828125.740000002</v>
      </c>
      <c r="Q179" s="218"/>
      <c r="R179" s="253">
        <f t="shared" si="78"/>
        <v>-1787900.9699999988</v>
      </c>
      <c r="S179" s="478">
        <f t="shared" si="79"/>
        <v>-3836.6973605150188</v>
      </c>
    </row>
    <row r="180" spans="2:19" s="344" customFormat="1">
      <c r="B180" s="343">
        <v>46064</v>
      </c>
      <c r="C180" s="233">
        <v>221</v>
      </c>
      <c r="D180" s="283" t="s">
        <v>1463</v>
      </c>
      <c r="E180" s="222">
        <v>489</v>
      </c>
      <c r="F180" s="223">
        <f t="shared" si="74"/>
        <v>1547308.47</v>
      </c>
      <c r="G180" s="318">
        <v>3164.23</v>
      </c>
      <c r="H180" s="255" t="s">
        <v>272</v>
      </c>
      <c r="I180" s="211">
        <v>46078</v>
      </c>
      <c r="J180" s="209">
        <v>0</v>
      </c>
      <c r="K180" s="209">
        <f>CONVERSIONES!$E$815</f>
        <v>20</v>
      </c>
      <c r="L180" s="209">
        <f t="shared" si="75"/>
        <v>3144.23</v>
      </c>
      <c r="M180" s="209">
        <f>CONVERSIONES!$E$818*$M$1</f>
        <v>0</v>
      </c>
      <c r="N180" s="209">
        <f t="shared" si="76"/>
        <v>3144.23</v>
      </c>
      <c r="O180" s="222">
        <v>466</v>
      </c>
      <c r="P180" s="293">
        <f t="shared" si="77"/>
        <v>1465211.18</v>
      </c>
      <c r="Q180" s="218"/>
      <c r="R180" s="253">
        <f t="shared" si="78"/>
        <v>-82097.290000000037</v>
      </c>
      <c r="S180" s="478">
        <f t="shared" si="79"/>
        <v>-176.17444206008591</v>
      </c>
    </row>
    <row r="181" spans="2:19" s="344" customFormat="1">
      <c r="B181" s="343">
        <v>46066</v>
      </c>
      <c r="C181" s="233">
        <v>222</v>
      </c>
      <c r="D181" s="283" t="s">
        <v>1464</v>
      </c>
      <c r="E181" s="222">
        <v>489</v>
      </c>
      <c r="F181" s="223">
        <f t="shared" si="74"/>
        <v>886899.3</v>
      </c>
      <c r="G181" s="209">
        <v>1813.7</v>
      </c>
      <c r="H181" s="255" t="s">
        <v>272</v>
      </c>
      <c r="I181" s="211">
        <v>46079</v>
      </c>
      <c r="J181" s="209">
        <v>0</v>
      </c>
      <c r="K181" s="209">
        <f>CONVERSIONES!$C$851</f>
        <v>20</v>
      </c>
      <c r="L181" s="209">
        <f>+G181-J181-K181-40</f>
        <v>1753.7</v>
      </c>
      <c r="M181" s="209">
        <f>CONVERSIONES!$C$854*$M$1</f>
        <v>0</v>
      </c>
      <c r="N181" s="209">
        <f t="shared" si="76"/>
        <v>1753.7</v>
      </c>
      <c r="O181" s="222">
        <v>466</v>
      </c>
      <c r="P181" s="293">
        <f t="shared" si="77"/>
        <v>817224.20000000007</v>
      </c>
      <c r="Q181" s="218"/>
      <c r="R181" s="253">
        <f t="shared" si="78"/>
        <v>-69675.099999999977</v>
      </c>
      <c r="S181" s="478">
        <f t="shared" si="79"/>
        <v>-149.51738197424888</v>
      </c>
    </row>
    <row r="182" spans="2:19" s="344" customFormat="1">
      <c r="B182" s="343">
        <v>46069</v>
      </c>
      <c r="C182" s="233">
        <v>223</v>
      </c>
      <c r="D182" s="283" t="s">
        <v>1398</v>
      </c>
      <c r="E182" s="222">
        <v>489</v>
      </c>
      <c r="F182" s="223">
        <f t="shared" si="74"/>
        <v>11923262.550000001</v>
      </c>
      <c r="G182" s="209">
        <v>24382.95</v>
      </c>
      <c r="H182" s="255" t="s">
        <v>272</v>
      </c>
      <c r="I182" s="211">
        <v>46076</v>
      </c>
      <c r="J182" s="209">
        <v>0</v>
      </c>
      <c r="K182" s="209">
        <f>CONVERSIONES!$C$851+40</f>
        <v>60</v>
      </c>
      <c r="L182" s="209">
        <f t="shared" si="75"/>
        <v>24322.95</v>
      </c>
      <c r="M182" s="209">
        <f>CONVERSIONES!$C$854*$M$1</f>
        <v>0</v>
      </c>
      <c r="N182" s="209">
        <f t="shared" si="76"/>
        <v>24322.95</v>
      </c>
      <c r="O182" s="222">
        <v>466</v>
      </c>
      <c r="P182" s="293">
        <f t="shared" si="77"/>
        <v>11334494.700000001</v>
      </c>
      <c r="Q182" s="218"/>
      <c r="R182" s="253">
        <f t="shared" si="78"/>
        <v>-588767.84999999963</v>
      </c>
      <c r="S182" s="478">
        <f t="shared" si="79"/>
        <v>-1263.4503218884113</v>
      </c>
    </row>
    <row r="183" spans="2:19" s="344" customFormat="1">
      <c r="B183" s="343">
        <v>46091</v>
      </c>
      <c r="C183" s="233">
        <v>224</v>
      </c>
      <c r="D183" s="283" t="s">
        <v>1519</v>
      </c>
      <c r="E183" s="222">
        <v>460</v>
      </c>
      <c r="F183" s="223">
        <f t="shared" si="74"/>
        <v>40658107.399999999</v>
      </c>
      <c r="G183" s="209">
        <v>88387.19</v>
      </c>
      <c r="H183" s="255" t="s">
        <v>272</v>
      </c>
      <c r="I183" s="211">
        <v>46104</v>
      </c>
      <c r="J183" s="209">
        <v>0</v>
      </c>
      <c r="K183" s="209">
        <f>SUM(CONVERSIONES!$C$892:$O$892)</f>
        <v>0</v>
      </c>
      <c r="L183" s="209">
        <f t="shared" si="75"/>
        <v>88387.19</v>
      </c>
      <c r="M183" s="209">
        <f>SUM(CONVERSIONES!C895:O895)*M1</f>
        <v>0</v>
      </c>
      <c r="N183" s="209">
        <f t="shared" si="76"/>
        <v>88387.19</v>
      </c>
      <c r="O183" s="222">
        <f>CONVERSIONES!$C$897</f>
        <v>458</v>
      </c>
      <c r="P183" s="293">
        <f t="shared" si="77"/>
        <v>40481333.020000003</v>
      </c>
      <c r="Q183" s="218"/>
      <c r="R183" s="253">
        <f t="shared" si="78"/>
        <v>-176774.37999999523</v>
      </c>
      <c r="S183" s="478">
        <f t="shared" si="79"/>
        <v>-385.97026200872324</v>
      </c>
    </row>
    <row r="184" spans="2:19" s="344" customFormat="1">
      <c r="B184" s="343">
        <v>46092</v>
      </c>
      <c r="C184" s="233">
        <v>225</v>
      </c>
      <c r="D184" s="283" t="s">
        <v>1521</v>
      </c>
      <c r="E184" s="222">
        <v>460</v>
      </c>
      <c r="F184" s="223">
        <f t="shared" ref="F184:F189" si="80">G184*E184</f>
        <v>12540993.799999999</v>
      </c>
      <c r="G184" s="209">
        <f>27303.03-40</f>
        <v>27263.03</v>
      </c>
      <c r="H184" s="255" t="s">
        <v>272</v>
      </c>
      <c r="I184" s="211">
        <v>46101</v>
      </c>
      <c r="J184" s="209">
        <v>0</v>
      </c>
      <c r="K184" s="209">
        <f>SUM(CONVERSIONES!$C$910:$G$910)</f>
        <v>40</v>
      </c>
      <c r="L184" s="209">
        <f>(G184-J184-K184)</f>
        <v>27223.03</v>
      </c>
      <c r="M184" s="209">
        <f>SUM(CONVERSIONES!C913:G913)*M1</f>
        <v>0</v>
      </c>
      <c r="N184" s="209">
        <f t="shared" ref="N184:N189" si="81">(L184-M184)</f>
        <v>27223.03</v>
      </c>
      <c r="O184" s="222">
        <f>CONVERSIONES!$C$915</f>
        <v>458</v>
      </c>
      <c r="P184" s="293">
        <f t="shared" ref="P184:P189" si="82">N184*O184</f>
        <v>12468147.74</v>
      </c>
      <c r="Q184" s="218"/>
      <c r="R184" s="253">
        <f t="shared" ref="R184:R189" si="83">(P184-F184)</f>
        <v>-72846.059999998659</v>
      </c>
      <c r="S184" s="478">
        <f t="shared" ref="S184:S189" si="84">IFERROR(R184/O184,0)</f>
        <v>-159.05253275108876</v>
      </c>
    </row>
    <row r="185" spans="2:19" s="344" customFormat="1">
      <c r="B185" s="343">
        <v>46092</v>
      </c>
      <c r="C185" s="233">
        <v>226</v>
      </c>
      <c r="D185" s="283" t="s">
        <v>1524</v>
      </c>
      <c r="E185" s="222">
        <v>460</v>
      </c>
      <c r="F185" s="223">
        <f t="shared" si="80"/>
        <v>393847.4</v>
      </c>
      <c r="G185" s="209">
        <v>856.19</v>
      </c>
      <c r="H185" s="255" t="s">
        <v>272</v>
      </c>
      <c r="I185" s="211">
        <v>46104</v>
      </c>
      <c r="J185" s="209">
        <v>0</v>
      </c>
      <c r="K185" s="209">
        <v>0</v>
      </c>
      <c r="L185" s="209">
        <f>+G185-J185-K185</f>
        <v>856.19</v>
      </c>
      <c r="M185" s="209">
        <f>SUM(CONVERSIONES!C914:G914)*M2</f>
        <v>0</v>
      </c>
      <c r="N185" s="209">
        <f t="shared" si="81"/>
        <v>856.19</v>
      </c>
      <c r="O185" s="222">
        <f>CONVERSIONES!$C$897</f>
        <v>458</v>
      </c>
      <c r="P185" s="293">
        <f t="shared" si="82"/>
        <v>392135.02</v>
      </c>
      <c r="Q185" s="218"/>
      <c r="R185" s="253">
        <f t="shared" si="83"/>
        <v>-1712.3800000000047</v>
      </c>
      <c r="S185" s="478">
        <f t="shared" si="84"/>
        <v>-3.7388209606987002</v>
      </c>
    </row>
    <row r="186" spans="2:19" s="344" customFormat="1">
      <c r="B186" s="343">
        <v>46093</v>
      </c>
      <c r="C186" s="233">
        <v>228</v>
      </c>
      <c r="D186" s="283" t="s">
        <v>1525</v>
      </c>
      <c r="E186" s="222">
        <v>460</v>
      </c>
      <c r="F186" s="223">
        <f t="shared" si="80"/>
        <v>824780</v>
      </c>
      <c r="G186" s="209">
        <v>1793</v>
      </c>
      <c r="H186" s="255" t="s">
        <v>272</v>
      </c>
      <c r="I186" s="211">
        <v>46112</v>
      </c>
      <c r="J186" s="209">
        <v>0</v>
      </c>
      <c r="K186" s="209">
        <f>CONVERSIONES!$C$928</f>
        <v>20</v>
      </c>
      <c r="L186" s="209">
        <f>+G186-J186-K186-20</f>
        <v>1753</v>
      </c>
      <c r="M186" s="209">
        <f>CONVERSIONES!$C$931*$M$1</f>
        <v>0</v>
      </c>
      <c r="N186" s="209">
        <f t="shared" si="81"/>
        <v>1753</v>
      </c>
      <c r="O186" s="222">
        <f>CONVERSIONES!$C$933</f>
        <v>458</v>
      </c>
      <c r="P186" s="293">
        <f t="shared" si="82"/>
        <v>802874</v>
      </c>
      <c r="Q186" s="218"/>
      <c r="R186" s="253">
        <f t="shared" si="83"/>
        <v>-21906</v>
      </c>
      <c r="S186" s="478">
        <f t="shared" si="84"/>
        <v>-47.829694323144103</v>
      </c>
    </row>
    <row r="187" spans="2:19" s="344" customFormat="1">
      <c r="B187" s="343">
        <v>46094</v>
      </c>
      <c r="C187" s="233">
        <v>229</v>
      </c>
      <c r="D187" s="283" t="s">
        <v>1528</v>
      </c>
      <c r="E187" s="222">
        <v>460</v>
      </c>
      <c r="F187" s="223">
        <f t="shared" si="80"/>
        <v>3850499</v>
      </c>
      <c r="G187" s="209">
        <v>8370.65</v>
      </c>
      <c r="H187" s="255" t="s">
        <v>272</v>
      </c>
      <c r="I187" s="211">
        <v>46104</v>
      </c>
      <c r="J187" s="209">
        <v>0</v>
      </c>
      <c r="K187" s="209">
        <f>CONVERSIONES!$C$946</f>
        <v>20</v>
      </c>
      <c r="L187" s="209">
        <f>+G187-J187-K187</f>
        <v>8350.65</v>
      </c>
      <c r="M187" s="209">
        <f>CONVERSIONES!$C$949*$M$1</f>
        <v>0</v>
      </c>
      <c r="N187" s="209">
        <f t="shared" si="81"/>
        <v>8350.65</v>
      </c>
      <c r="O187" s="222">
        <f>CONVERSIONES!$C$951</f>
        <v>458</v>
      </c>
      <c r="P187" s="293">
        <f t="shared" si="82"/>
        <v>3824597.6999999997</v>
      </c>
      <c r="Q187" s="218"/>
      <c r="R187" s="253">
        <f t="shared" si="83"/>
        <v>-25901.300000000279</v>
      </c>
      <c r="S187" s="478">
        <f t="shared" si="84"/>
        <v>-56.553056768559564</v>
      </c>
    </row>
    <row r="188" spans="2:19" s="344" customFormat="1">
      <c r="B188" s="343">
        <v>46097</v>
      </c>
      <c r="C188" s="233">
        <v>230</v>
      </c>
      <c r="D188" s="283" t="s">
        <v>1545</v>
      </c>
      <c r="E188" s="222">
        <v>460</v>
      </c>
      <c r="F188" s="223">
        <f t="shared" si="80"/>
        <v>1376407.4000000001</v>
      </c>
      <c r="G188" s="209">
        <v>2992.19</v>
      </c>
      <c r="H188" s="255" t="s">
        <v>272</v>
      </c>
      <c r="I188" s="211">
        <v>46108</v>
      </c>
      <c r="J188" s="209">
        <v>0</v>
      </c>
      <c r="K188" s="209">
        <f>CONVERSIONES!$E$946</f>
        <v>20</v>
      </c>
      <c r="L188" s="209">
        <f>+G188-J188-K188</f>
        <v>2972.19</v>
      </c>
      <c r="M188" s="209">
        <f>CONVERSIONES!$E$949*$M$1</f>
        <v>0</v>
      </c>
      <c r="N188" s="209">
        <f t="shared" si="81"/>
        <v>2972.19</v>
      </c>
      <c r="O188" s="222">
        <f>CONVERSIONES!$C$951</f>
        <v>458</v>
      </c>
      <c r="P188" s="293">
        <f t="shared" si="82"/>
        <v>1361263.02</v>
      </c>
      <c r="Q188" s="218"/>
      <c r="R188" s="253">
        <f t="shared" si="83"/>
        <v>-15144.380000000121</v>
      </c>
      <c r="S188" s="478">
        <f t="shared" si="84"/>
        <v>-33.066331877729525</v>
      </c>
    </row>
    <row r="189" spans="2:19" s="344" customFormat="1">
      <c r="B189" s="343">
        <v>46105</v>
      </c>
      <c r="C189" s="233">
        <v>231</v>
      </c>
      <c r="D189" s="283" t="s">
        <v>1460</v>
      </c>
      <c r="E189" s="222">
        <v>469</v>
      </c>
      <c r="F189" s="223">
        <f t="shared" si="80"/>
        <v>10746755.109999999</v>
      </c>
      <c r="G189" s="209">
        <v>22914.19</v>
      </c>
      <c r="H189" s="255" t="s">
        <v>272</v>
      </c>
      <c r="I189" s="211">
        <v>46108</v>
      </c>
      <c r="J189" s="209">
        <v>0</v>
      </c>
      <c r="K189" s="209">
        <f>CONVERSIONES!$D$946</f>
        <v>34.369999999999997</v>
      </c>
      <c r="L189" s="209">
        <f>+G189-J189-K189</f>
        <v>22879.82</v>
      </c>
      <c r="M189" s="209">
        <f>CONVERSIONES!$D$949*M1</f>
        <v>0</v>
      </c>
      <c r="N189" s="209">
        <f t="shared" si="81"/>
        <v>22879.82</v>
      </c>
      <c r="O189" s="222">
        <f>CONVERSIONES!$C$951</f>
        <v>458</v>
      </c>
      <c r="P189" s="293">
        <f t="shared" si="82"/>
        <v>10478957.560000001</v>
      </c>
      <c r="Q189" s="218"/>
      <c r="R189" s="253">
        <f t="shared" si="83"/>
        <v>-267797.54999999888</v>
      </c>
      <c r="S189" s="478">
        <f t="shared" si="84"/>
        <v>-584.71080786025959</v>
      </c>
    </row>
    <row r="190" spans="2:19" s="344" customFormat="1">
      <c r="B190" s="343"/>
      <c r="C190" s="233"/>
      <c r="D190" s="283"/>
      <c r="E190" s="222"/>
      <c r="F190" s="223"/>
      <c r="G190" s="209"/>
      <c r="H190" s="255"/>
      <c r="I190" s="211"/>
      <c r="J190" s="209"/>
      <c r="K190" s="209"/>
      <c r="L190" s="209"/>
      <c r="M190" s="209"/>
      <c r="N190" s="209"/>
      <c r="O190" s="222"/>
      <c r="P190" s="293"/>
      <c r="Q190" s="218"/>
      <c r="R190" s="253"/>
      <c r="S190" s="478"/>
    </row>
    <row r="191" spans="2:19" s="215" customFormat="1" ht="15.6">
      <c r="B191" s="213"/>
      <c r="C191" s="213"/>
      <c r="D191" s="595" t="s">
        <v>274</v>
      </c>
      <c r="E191" s="596"/>
      <c r="F191" s="228">
        <f>SUBTOTAL(9,F4:F190)</f>
        <v>936068838.35809958</v>
      </c>
      <c r="G191" s="289">
        <f>SUBTOTAL(9,G4:G190)</f>
        <v>1893766.9031503589</v>
      </c>
      <c r="I191" s="216"/>
      <c r="J191" s="216"/>
      <c r="K191" s="216"/>
      <c r="L191" s="216"/>
      <c r="M191" s="216"/>
      <c r="N191" s="216"/>
      <c r="O191" s="216"/>
      <c r="P191" s="595" t="s">
        <v>429</v>
      </c>
      <c r="Q191" s="595"/>
      <c r="R191" s="228">
        <f>SUBTOTAL(9,R4:R190)</f>
        <v>-4022917.142981912</v>
      </c>
      <c r="S191" s="289">
        <f>SUBTOTAL(9,S4:S190)</f>
        <v>-8696.3242861889175</v>
      </c>
    </row>
    <row r="192" spans="2:19" ht="3.75" customHeight="1">
      <c r="B192" s="213"/>
      <c r="C192" s="213"/>
      <c r="F192" s="217"/>
      <c r="G192" s="218"/>
      <c r="I192" s="219"/>
      <c r="J192" s="219"/>
      <c r="K192" s="219"/>
      <c r="L192" s="219"/>
      <c r="M192" s="219"/>
      <c r="N192" s="219"/>
      <c r="O192" s="219"/>
      <c r="R192" s="212"/>
    </row>
    <row r="193" spans="2:19" ht="15.6" hidden="1">
      <c r="K193" s="278"/>
      <c r="P193" s="598" t="s">
        <v>270</v>
      </c>
      <c r="Q193" s="598"/>
      <c r="R193" s="289">
        <f>R191/$O$87</f>
        <v>-8061.9582023685607</v>
      </c>
    </row>
    <row r="194" spans="2:19">
      <c r="G194" s="244"/>
      <c r="K194" s="278"/>
      <c r="P194" s="370"/>
      <c r="Q194" s="370"/>
    </row>
    <row r="195" spans="2:19">
      <c r="D195" s="597" t="s">
        <v>273</v>
      </c>
      <c r="E195" s="597"/>
      <c r="F195" s="214">
        <f>SUMIF($H$4:$H$176,D195,F4:F176)</f>
        <v>0</v>
      </c>
      <c r="G195" s="214">
        <f>SUMIF($H$4:$H$176,D195,G4:G176)</f>
        <v>0</v>
      </c>
      <c r="K195" s="278"/>
      <c r="O195" s="568"/>
      <c r="P195" s="287"/>
      <c r="Q195" s="287"/>
      <c r="R195" s="288"/>
      <c r="S195" s="288"/>
    </row>
    <row r="196" spans="2:19" ht="15.6">
      <c r="D196" s="598" t="s">
        <v>272</v>
      </c>
      <c r="E196" s="598"/>
      <c r="F196" s="214">
        <f>SUMIF($H$4:$H$190,D196,F4:F190)</f>
        <v>936068838.35809958</v>
      </c>
      <c r="G196" s="214">
        <f>SUMIF($H$4:$H$190,D196,G4:G190)</f>
        <v>1893766.9031503589</v>
      </c>
      <c r="K196" s="278"/>
      <c r="L196" s="278"/>
      <c r="S196" s="371"/>
    </row>
    <row r="197" spans="2:19" ht="17.25" customHeight="1">
      <c r="B197" s="213"/>
      <c r="C197" s="213"/>
      <c r="D197" s="599" t="s">
        <v>291</v>
      </c>
      <c r="E197" s="599"/>
      <c r="F197" s="168">
        <f>SUM(F195:F196)</f>
        <v>936068838.35809958</v>
      </c>
      <c r="G197" s="207">
        <f>SUM(G195:G196)</f>
        <v>1893766.9031503589</v>
      </c>
      <c r="I197" s="219"/>
      <c r="J197" s="219"/>
      <c r="K197" s="219"/>
      <c r="L197" s="219"/>
      <c r="M197" s="219"/>
      <c r="N197" s="219"/>
      <c r="O197" s="219"/>
      <c r="P197" s="220"/>
      <c r="Q197" s="220"/>
      <c r="R197" s="212"/>
    </row>
    <row r="203" spans="2:19">
      <c r="D203" s="455" t="s">
        <v>1078</v>
      </c>
      <c r="E203" s="460" t="s">
        <v>1079</v>
      </c>
    </row>
  </sheetData>
  <autoFilter ref="B3:T187" xr:uid="{E25A4256-2776-42AE-9FA2-D891A1FEF304}"/>
  <mergeCells count="6">
    <mergeCell ref="D191:E191"/>
    <mergeCell ref="D195:E195"/>
    <mergeCell ref="D196:E196"/>
    <mergeCell ref="D197:E197"/>
    <mergeCell ref="P191:Q191"/>
    <mergeCell ref="P193:Q193"/>
  </mergeCells>
  <dataValidations count="2">
    <dataValidation type="list" allowBlank="1" showInputMessage="1" showErrorMessage="1" sqref="M1 K1" xr:uid="{0341CDCA-C847-4910-B6A1-042CD5DB5CB8}">
      <formula1>"0,1"</formula1>
    </dataValidation>
    <dataValidation type="list" allowBlank="1" showInputMessage="1" showErrorMessage="1" sqref="H4:H190" xr:uid="{A0DC4E50-3760-4DD1-83E9-65BE8E0AABBB}">
      <formula1>"SIN PAGAR, PAGADO"</formula1>
    </dataValidation>
  </dataValidations>
  <pageMargins left="0.70866141732283472" right="0.70866141732283472" top="0.74803149606299213" bottom="0.74803149606299213" header="0.31496062992125984" footer="0.31496062992125984"/>
  <pageSetup paperSize="3" scale="13" orientation="landscape" r:id="rId1"/>
  <ignoredErrors>
    <ignoredError sqref="P5:P41 J60:J68 R75 L181:L185 L187:L190" formula="1"/>
  </ignoredError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43DC-60A3-4680-96FF-AEF31DBFC732}">
  <dimension ref="A1:V968"/>
  <sheetViews>
    <sheetView showGridLines="0" topLeftCell="A908" zoomScaleNormal="100" workbookViewId="0">
      <selection activeCell="F931" sqref="F931"/>
    </sheetView>
  </sheetViews>
  <sheetFormatPr baseColWidth="10" defaultColWidth="9.109375" defaultRowHeight="12"/>
  <cols>
    <col min="1" max="1" width="2.33203125" style="15" customWidth="1"/>
    <col min="2" max="2" width="17.5546875" style="11" customWidth="1"/>
    <col min="3" max="3" width="11.6640625" style="11" bestFit="1" customWidth="1"/>
    <col min="4" max="4" width="13.6640625" style="11" bestFit="1" customWidth="1"/>
    <col min="5" max="5" width="13.109375" style="11" customWidth="1"/>
    <col min="6" max="6" width="17.109375" style="11" bestFit="1" customWidth="1"/>
    <col min="7" max="7" width="12.6640625" style="11" customWidth="1"/>
    <col min="8" max="8" width="15.109375" style="11" customWidth="1"/>
    <col min="9" max="11" width="12" style="11" bestFit="1" customWidth="1"/>
    <col min="12" max="12" width="13" style="11" customWidth="1"/>
    <col min="13" max="13" width="12" style="11" bestFit="1" customWidth="1"/>
    <col min="14" max="15" width="12" style="11" customWidth="1"/>
    <col min="16" max="18" width="12" style="11" bestFit="1" customWidth="1"/>
    <col min="19" max="19" width="9.88671875" style="11" bestFit="1" customWidth="1"/>
    <col min="20" max="20" width="9.109375" style="11"/>
    <col min="21" max="21" width="12" style="11" bestFit="1" customWidth="1"/>
    <col min="22" max="16384" width="9.109375" style="11"/>
  </cols>
  <sheetData>
    <row r="1" spans="2:16" s="15" customFormat="1">
      <c r="C1" s="34"/>
      <c r="D1" s="34"/>
      <c r="E1" s="34"/>
      <c r="F1" s="34"/>
    </row>
    <row r="2" spans="2:16">
      <c r="B2" s="600" t="s">
        <v>206</v>
      </c>
      <c r="C2" s="600"/>
      <c r="D2" s="600"/>
      <c r="E2" s="600"/>
      <c r="F2" s="600"/>
      <c r="G2" s="600"/>
      <c r="H2" s="600"/>
      <c r="I2" s="600"/>
      <c r="J2" s="600"/>
      <c r="K2" s="600"/>
      <c r="L2" s="600"/>
    </row>
    <row r="4" spans="2:16">
      <c r="C4" s="55"/>
      <c r="G4" s="55"/>
    </row>
    <row r="5" spans="2:16">
      <c r="B5" s="11" t="s">
        <v>110</v>
      </c>
      <c r="D5" s="46">
        <v>511</v>
      </c>
      <c r="E5" s="46">
        <v>511</v>
      </c>
      <c r="F5" s="46">
        <v>511</v>
      </c>
    </row>
    <row r="6" spans="2:16">
      <c r="B6" s="15"/>
      <c r="C6" s="285" t="s">
        <v>105</v>
      </c>
      <c r="D6" s="19" t="s">
        <v>162</v>
      </c>
      <c r="E6" s="19" t="s">
        <v>106</v>
      </c>
      <c r="F6" s="19" t="s">
        <v>149</v>
      </c>
      <c r="G6" s="19" t="s">
        <v>107</v>
      </c>
      <c r="H6" s="15"/>
      <c r="J6" s="11" t="s">
        <v>359</v>
      </c>
      <c r="K6" s="11" t="s">
        <v>335</v>
      </c>
      <c r="L6" s="11" t="s">
        <v>336</v>
      </c>
      <c r="P6" s="51"/>
    </row>
    <row r="7" spans="2:16">
      <c r="B7" s="15" t="s">
        <v>96</v>
      </c>
      <c r="C7" s="34">
        <v>11203.46</v>
      </c>
      <c r="D7" s="34">
        <v>2333.64</v>
      </c>
      <c r="E7" s="28">
        <v>4359.87</v>
      </c>
      <c r="F7" s="11">
        <v>4714.78</v>
      </c>
      <c r="G7" s="28">
        <v>5479.66</v>
      </c>
      <c r="H7" s="256" t="s">
        <v>360</v>
      </c>
      <c r="J7" s="29">
        <f>SUM($C$7:$G$7)</f>
        <v>28091.409999999996</v>
      </c>
      <c r="K7" s="29">
        <v>27881.41</v>
      </c>
      <c r="L7" s="247">
        <f>J7-K7</f>
        <v>209.99999999999636</v>
      </c>
    </row>
    <row r="8" spans="2:16">
      <c r="B8" s="11" t="s">
        <v>147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28">
        <v>0</v>
      </c>
    </row>
    <row r="9" spans="2:16">
      <c r="B9" s="15" t="s">
        <v>97</v>
      </c>
      <c r="C9" s="34">
        <f>20*$K$11</f>
        <v>20</v>
      </c>
      <c r="D9" s="34">
        <f>20*$K$11</f>
        <v>20</v>
      </c>
      <c r="E9" s="34">
        <f>20*$K$11</f>
        <v>20</v>
      </c>
      <c r="F9" s="34">
        <f>20*$K$11</f>
        <v>20</v>
      </c>
      <c r="G9" s="34">
        <f>20*$K$11</f>
        <v>20</v>
      </c>
      <c r="H9" s="256">
        <f>SUM(C9:G9)</f>
        <v>100</v>
      </c>
    </row>
    <row r="10" spans="2:16">
      <c r="B10" s="50" t="s">
        <v>148</v>
      </c>
      <c r="C10" s="51">
        <f>C7-C8-C9</f>
        <v>11183.46</v>
      </c>
      <c r="D10" s="51">
        <f>D7-D8-D9</f>
        <v>2313.64</v>
      </c>
      <c r="E10" s="85">
        <f>E7-E8-E9</f>
        <v>4339.87</v>
      </c>
      <c r="F10" s="85">
        <f>F7-F8-F9</f>
        <v>4694.78</v>
      </c>
      <c r="G10" s="85">
        <f>G7-G8-G9</f>
        <v>5459.66</v>
      </c>
      <c r="I10" s="28">
        <f>SUM(C10:G10)</f>
        <v>27991.409999999996</v>
      </c>
      <c r="K10" s="50" t="s">
        <v>154</v>
      </c>
    </row>
    <row r="11" spans="2:16">
      <c r="B11" s="15" t="s">
        <v>150</v>
      </c>
      <c r="C11" s="54">
        <v>6537.57</v>
      </c>
      <c r="D11" s="34"/>
      <c r="E11" s="34">
        <v>0</v>
      </c>
      <c r="F11" s="34"/>
      <c r="G11" s="54">
        <v>3407.31</v>
      </c>
      <c r="H11" s="15"/>
      <c r="K11" s="52">
        <v>1</v>
      </c>
    </row>
    <row r="12" spans="2:16">
      <c r="B12" s="15" t="s">
        <v>99</v>
      </c>
      <c r="C12" s="34">
        <v>135</v>
      </c>
      <c r="D12" s="34">
        <v>135</v>
      </c>
      <c r="E12" s="34">
        <v>135</v>
      </c>
      <c r="F12" s="34">
        <v>135</v>
      </c>
      <c r="G12" s="34">
        <v>135</v>
      </c>
      <c r="H12" s="15"/>
    </row>
    <row r="13" spans="2:16">
      <c r="B13" s="47" t="s">
        <v>361</v>
      </c>
      <c r="C13" s="48">
        <f>C10-C11-C12</f>
        <v>4510.8899999999994</v>
      </c>
      <c r="D13" s="48">
        <f>D10-D11-D12</f>
        <v>2178.64</v>
      </c>
      <c r="E13" s="48">
        <f>E10-E11-E12</f>
        <v>4204.87</v>
      </c>
      <c r="F13" s="48">
        <f>F10-F11-F12</f>
        <v>4559.78</v>
      </c>
      <c r="G13" s="48">
        <f>G10-G11-G12</f>
        <v>1917.35</v>
      </c>
      <c r="H13" s="48">
        <f>SUM(C13:G13)</f>
        <v>17371.529999999995</v>
      </c>
      <c r="J13" s="29">
        <v>27316.409999999996</v>
      </c>
      <c r="K13" s="29">
        <v>-6282.4699999999939</v>
      </c>
      <c r="L13" s="11" t="s">
        <v>155</v>
      </c>
    </row>
    <row r="14" spans="2:16">
      <c r="B14" s="11" t="s">
        <v>153</v>
      </c>
      <c r="C14" s="34">
        <v>507</v>
      </c>
      <c r="D14" s="34">
        <v>507</v>
      </c>
      <c r="E14" s="34">
        <v>507</v>
      </c>
      <c r="F14" s="34">
        <v>507</v>
      </c>
      <c r="G14" s="34">
        <v>507</v>
      </c>
      <c r="H14" s="34"/>
    </row>
    <row r="15" spans="2:16">
      <c r="B15" s="47" t="s">
        <v>100</v>
      </c>
      <c r="C15" s="34">
        <f>C13*C14</f>
        <v>2287021.2299999995</v>
      </c>
      <c r="D15" s="34">
        <f>D13*D14</f>
        <v>1104570.48</v>
      </c>
      <c r="E15" s="34">
        <f>E13*E14</f>
        <v>2131869.09</v>
      </c>
      <c r="F15" s="34">
        <f>F13*F14</f>
        <v>2311808.46</v>
      </c>
      <c r="G15" s="34">
        <f>G13*G14</f>
        <v>972096.45</v>
      </c>
      <c r="H15" s="34"/>
    </row>
    <row r="16" spans="2:16">
      <c r="B16" s="15" t="s">
        <v>151</v>
      </c>
      <c r="C16" s="34"/>
      <c r="D16" s="34">
        <v>1110729</v>
      </c>
      <c r="E16" s="34">
        <v>2146132.7000000002</v>
      </c>
      <c r="F16" s="34">
        <v>2327491.6799999997</v>
      </c>
      <c r="G16" s="34"/>
      <c r="H16" s="29">
        <f>+G13+G11</f>
        <v>5324.66</v>
      </c>
      <c r="I16" s="275">
        <f>G11/G10</f>
        <v>0.62408831319166391</v>
      </c>
      <c r="J16" s="11" t="s">
        <v>150</v>
      </c>
    </row>
    <row r="17" spans="1:19">
      <c r="B17" s="12" t="s">
        <v>152</v>
      </c>
      <c r="C17" s="34"/>
      <c r="D17" s="34">
        <f>D15-D16</f>
        <v>-6158.5200000000186</v>
      </c>
      <c r="E17" s="34">
        <f>E15-E16</f>
        <v>-14263.610000000335</v>
      </c>
      <c r="F17" s="34">
        <f>F15-F16</f>
        <v>-15683.219999999739</v>
      </c>
      <c r="I17" s="275">
        <v>0.38</v>
      </c>
      <c r="J17" s="11" t="s">
        <v>421</v>
      </c>
    </row>
    <row r="18" spans="1:19">
      <c r="B18" s="15"/>
      <c r="C18" s="49"/>
      <c r="E18" s="49"/>
      <c r="G18" s="49"/>
      <c r="I18" s="276">
        <f>SUM(I16:I17)</f>
        <v>1.004088313191664</v>
      </c>
    </row>
    <row r="19" spans="1:19" s="15" customFormat="1">
      <c r="A19" s="34">
        <v>3092870.0099999961</v>
      </c>
      <c r="B19" s="13"/>
      <c r="C19" s="13"/>
      <c r="D19" s="34">
        <f>D17/D5</f>
        <v>-12.05189823874759</v>
      </c>
      <c r="E19" s="34">
        <f>E17/E5</f>
        <v>-27.913131115460537</v>
      </c>
      <c r="F19" s="34">
        <f>F17/F5</f>
        <v>-30.691232876711819</v>
      </c>
    </row>
    <row r="20" spans="1:19">
      <c r="B20" s="12"/>
      <c r="C20" s="12"/>
      <c r="D20" s="29">
        <f>D19-D8-5</f>
        <v>-17.05189823874759</v>
      </c>
      <c r="E20" s="29">
        <f>E19-E8-5</f>
        <v>-32.913131115460537</v>
      </c>
      <c r="F20" s="29">
        <f>F19-F8-5</f>
        <v>-35.691232876711823</v>
      </c>
    </row>
    <row r="21" spans="1:19">
      <c r="B21" s="53" t="s">
        <v>156</v>
      </c>
      <c r="C21" s="11">
        <v>4505.8899999999994</v>
      </c>
      <c r="G21" s="12">
        <v>1912.35</v>
      </c>
    </row>
    <row r="22" spans="1:19">
      <c r="B22" s="12"/>
      <c r="C22" s="29">
        <f>C13-C21</f>
        <v>5</v>
      </c>
      <c r="G22" s="29">
        <f>G13-G21</f>
        <v>5</v>
      </c>
    </row>
    <row r="23" spans="1:19">
      <c r="B23" s="12"/>
      <c r="C23" s="12"/>
      <c r="D23" s="29">
        <f>D16/D5</f>
        <v>2173.6379647749509</v>
      </c>
      <c r="E23" s="29">
        <f>E16/E5</f>
        <v>4199.8682974559688</v>
      </c>
      <c r="F23" s="29">
        <f>F16/F5</f>
        <v>4554.7782387475536</v>
      </c>
    </row>
    <row r="24" spans="1:19">
      <c r="B24" s="12">
        <v>6273.57</v>
      </c>
      <c r="C24" s="12"/>
      <c r="D24" s="29">
        <f>D23-D13</f>
        <v>-5.002035225048985</v>
      </c>
      <c r="E24" s="29">
        <f>E23-E13</f>
        <v>-5.0017025440311045</v>
      </c>
      <c r="F24" s="29">
        <f>F23-F13</f>
        <v>-5.0017612524461583</v>
      </c>
    </row>
    <row r="25" spans="1:19">
      <c r="A25" s="47"/>
      <c r="B25" s="29">
        <v>4559.7799999999916</v>
      </c>
    </row>
    <row r="26" spans="1:19" s="15" customFormat="1">
      <c r="A26" s="34">
        <v>3425645.0099999961</v>
      </c>
      <c r="B26" s="13"/>
      <c r="C26" s="13"/>
      <c r="D26" s="34"/>
      <c r="E26" s="34"/>
      <c r="F26" s="34"/>
      <c r="M26" s="15" t="s">
        <v>422</v>
      </c>
      <c r="P26" s="34">
        <f>C31-C36</f>
        <v>6448.0193398793981</v>
      </c>
      <c r="Q26" s="34">
        <f>P26-C37</f>
        <v>6313.0193398793981</v>
      </c>
      <c r="R26" s="34">
        <f>Q26*C29</f>
        <v>3194387.7859789752</v>
      </c>
    </row>
    <row r="27" spans="1:19">
      <c r="B27" s="600" t="s">
        <v>205</v>
      </c>
      <c r="C27" s="600"/>
      <c r="D27" s="600"/>
      <c r="E27" s="600"/>
      <c r="F27" s="600"/>
      <c r="G27" s="600"/>
      <c r="H27" s="600"/>
      <c r="I27" s="600"/>
      <c r="J27" s="600"/>
      <c r="K27" s="600"/>
      <c r="L27" s="600"/>
      <c r="M27" s="11" t="s">
        <v>423</v>
      </c>
      <c r="P27" s="29">
        <f>C35-C36</f>
        <v>6430.0193398793981</v>
      </c>
      <c r="Q27" s="29">
        <f>P27-C37</f>
        <v>6295.0193398793981</v>
      </c>
      <c r="R27" s="29">
        <f>C39*Q27</f>
        <v>3185279.7859789752</v>
      </c>
    </row>
    <row r="28" spans="1:19">
      <c r="B28" s="11" t="s">
        <v>178</v>
      </c>
      <c r="C28" s="235">
        <v>113</v>
      </c>
      <c r="E28" s="235">
        <v>114</v>
      </c>
      <c r="F28" s="235">
        <v>115</v>
      </c>
      <c r="G28" s="235">
        <v>117</v>
      </c>
      <c r="R28" s="29">
        <f>R27-R26</f>
        <v>-9108</v>
      </c>
      <c r="S28" s="29">
        <f>R28/F29</f>
        <v>-18</v>
      </c>
    </row>
    <row r="29" spans="1:19">
      <c r="B29" s="11" t="s">
        <v>110</v>
      </c>
      <c r="C29" s="235">
        <v>506</v>
      </c>
      <c r="E29" s="235">
        <v>506</v>
      </c>
      <c r="F29" s="235">
        <v>506</v>
      </c>
      <c r="G29" s="235">
        <v>506</v>
      </c>
      <c r="J29" s="50" t="s">
        <v>204</v>
      </c>
      <c r="K29" s="50" t="s">
        <v>364</v>
      </c>
      <c r="L29" s="50" t="s">
        <v>336</v>
      </c>
    </row>
    <row r="30" spans="1:19">
      <c r="B30" s="15"/>
      <c r="C30" s="286" t="s">
        <v>107</v>
      </c>
      <c r="D30" s="286" t="s">
        <v>149</v>
      </c>
      <c r="E30" s="19" t="s">
        <v>179</v>
      </c>
      <c r="F30" s="286" t="s">
        <v>180</v>
      </c>
      <c r="G30" s="286" t="s">
        <v>181</v>
      </c>
      <c r="J30" s="29">
        <f>SUM($C$31:$G$31)</f>
        <v>38034.108588891257</v>
      </c>
      <c r="K30" s="29">
        <f>SUM($C$33:$G$33)</f>
        <v>37984.108588891257</v>
      </c>
      <c r="L30" s="247">
        <f>J30-K30</f>
        <v>50</v>
      </c>
      <c r="P30" s="51">
        <f>C31*C29</f>
        <v>7483805.4459789759</v>
      </c>
      <c r="Q30" s="29">
        <f>C35*C29</f>
        <v>7474697.4459789759</v>
      </c>
      <c r="R30" s="29">
        <f>P30-Q30</f>
        <v>9108</v>
      </c>
    </row>
    <row r="31" spans="1:19">
      <c r="B31" s="15" t="s">
        <v>96</v>
      </c>
      <c r="C31" s="54">
        <f>14730.7393398794+59.39</f>
        <v>14790.129339879399</v>
      </c>
      <c r="D31" s="54">
        <v>5088.34</v>
      </c>
      <c r="E31" s="54">
        <v>4441.3689723320158</v>
      </c>
      <c r="F31" s="59">
        <v>2470.810276679842</v>
      </c>
      <c r="G31" s="59">
        <v>11243.46</v>
      </c>
    </row>
    <row r="32" spans="1:19">
      <c r="A32" s="47"/>
      <c r="B32" s="11" t="s">
        <v>147</v>
      </c>
      <c r="C32" s="34">
        <v>10</v>
      </c>
      <c r="D32" s="34">
        <v>10</v>
      </c>
      <c r="E32" s="34">
        <v>10</v>
      </c>
      <c r="F32" s="34">
        <v>10</v>
      </c>
      <c r="G32" s="34">
        <v>10</v>
      </c>
      <c r="H32" s="85">
        <f>SUM(C32:G32)</f>
        <v>50</v>
      </c>
    </row>
    <row r="33" spans="1:12">
      <c r="A33" s="47"/>
      <c r="B33" s="50" t="s">
        <v>362</v>
      </c>
      <c r="C33" s="85">
        <f>C31-C32</f>
        <v>14780.129339879399</v>
      </c>
      <c r="D33" s="85">
        <f>D31-D32</f>
        <v>5078.34</v>
      </c>
      <c r="E33" s="85">
        <f>E31-E32</f>
        <v>4431.3689723320158</v>
      </c>
      <c r="F33" s="85">
        <f>F31-F32</f>
        <v>2460.810276679842</v>
      </c>
      <c r="G33" s="85">
        <f>G31-G32</f>
        <v>11233.46</v>
      </c>
      <c r="H33" s="11" t="s">
        <v>363</v>
      </c>
    </row>
    <row r="34" spans="1:12" s="15" customFormat="1">
      <c r="A34" s="34">
        <v>3800325.0099999979</v>
      </c>
      <c r="B34" s="15" t="s">
        <v>97</v>
      </c>
      <c r="C34" s="34">
        <v>8</v>
      </c>
      <c r="D34" s="34">
        <v>8</v>
      </c>
      <c r="E34" s="34">
        <v>8</v>
      </c>
      <c r="F34" s="34">
        <v>8</v>
      </c>
      <c r="G34" s="34">
        <v>8</v>
      </c>
      <c r="H34" s="85">
        <f>SUM(C34:G34)</f>
        <v>40</v>
      </c>
    </row>
    <row r="35" spans="1:12">
      <c r="B35" s="50" t="s">
        <v>148</v>
      </c>
      <c r="C35" s="227">
        <f>C33-C34</f>
        <v>14772.129339879399</v>
      </c>
      <c r="D35" s="227">
        <f>D33-D34</f>
        <v>5070.34</v>
      </c>
      <c r="E35" s="227">
        <f>E33-E34</f>
        <v>4423.3689723320158</v>
      </c>
      <c r="F35" s="227">
        <f>F33-F34</f>
        <v>2452.810276679842</v>
      </c>
      <c r="G35" s="227">
        <f>G33-G34</f>
        <v>11225.46</v>
      </c>
    </row>
    <row r="36" spans="1:12">
      <c r="B36" s="15" t="s">
        <v>150</v>
      </c>
      <c r="C36" s="60">
        <v>8342.11</v>
      </c>
      <c r="E36" s="34"/>
      <c r="F36" s="34">
        <v>0</v>
      </c>
      <c r="G36" s="60">
        <v>6537.57</v>
      </c>
      <c r="H36" s="56"/>
    </row>
    <row r="37" spans="1:12">
      <c r="B37" s="15" t="s">
        <v>99</v>
      </c>
      <c r="C37" s="34">
        <v>135</v>
      </c>
      <c r="D37" s="34">
        <v>135</v>
      </c>
      <c r="E37" s="34">
        <v>135</v>
      </c>
      <c r="F37" s="34">
        <v>135</v>
      </c>
      <c r="G37" s="34">
        <v>135</v>
      </c>
    </row>
    <row r="38" spans="1:12">
      <c r="B38" s="47" t="s">
        <v>109</v>
      </c>
      <c r="C38" s="48">
        <f>C35-C36-C37</f>
        <v>6295.0193398793981</v>
      </c>
      <c r="D38" s="48">
        <f>D35-D36-D37</f>
        <v>4935.34</v>
      </c>
      <c r="E38" s="48">
        <f>E35-E36-E37</f>
        <v>4288.3689723320158</v>
      </c>
      <c r="F38" s="48">
        <f>F35-F36-F37</f>
        <v>2317.810276679842</v>
      </c>
      <c r="G38" s="48">
        <f>G35-G36-G37</f>
        <v>4552.8899999999994</v>
      </c>
    </row>
    <row r="39" spans="1:12">
      <c r="B39" s="11" t="s">
        <v>153</v>
      </c>
      <c r="C39" s="34">
        <v>506</v>
      </c>
      <c r="D39" s="34">
        <v>506</v>
      </c>
      <c r="E39" s="34">
        <v>506</v>
      </c>
      <c r="F39" s="34">
        <v>506</v>
      </c>
      <c r="G39" s="34">
        <v>506</v>
      </c>
    </row>
    <row r="40" spans="1:12">
      <c r="B40" s="47" t="s">
        <v>100</v>
      </c>
      <c r="C40" s="34">
        <f>C38*C39</f>
        <v>3185279.7859789752</v>
      </c>
      <c r="D40" s="34">
        <f>D38*D39</f>
        <v>2497282.04</v>
      </c>
      <c r="E40" s="34">
        <f>E38*E39</f>
        <v>2169914.7000000002</v>
      </c>
      <c r="F40" s="34">
        <f>F38*F39</f>
        <v>1172812</v>
      </c>
      <c r="G40" s="34">
        <f>G38*G39</f>
        <v>2303762.34</v>
      </c>
      <c r="H40" s="51">
        <f>SUM(C40:G40)</f>
        <v>11329050.865978975</v>
      </c>
      <c r="I40" s="29"/>
      <c r="J40" s="51"/>
    </row>
    <row r="41" spans="1:12">
      <c r="B41" s="15" t="s">
        <v>151</v>
      </c>
      <c r="C41" s="34">
        <v>0</v>
      </c>
      <c r="D41" s="54">
        <v>1612916.33</v>
      </c>
      <c r="E41" s="54">
        <v>1410537.3</v>
      </c>
      <c r="F41" s="54">
        <v>803970</v>
      </c>
      <c r="G41" s="54">
        <v>0</v>
      </c>
    </row>
    <row r="42" spans="1:12">
      <c r="B42" s="12" t="s">
        <v>152</v>
      </c>
      <c r="C42" s="34">
        <f>C40-C41</f>
        <v>3185279.7859789752</v>
      </c>
      <c r="D42" s="34">
        <f>D40-D41</f>
        <v>884365.71</v>
      </c>
      <c r="E42" s="34">
        <f>E40-E41</f>
        <v>759377.40000000014</v>
      </c>
      <c r="F42" s="34">
        <f>F40-F41</f>
        <v>368842</v>
      </c>
      <c r="G42" s="34">
        <f>G40-G41</f>
        <v>2303762.34</v>
      </c>
    </row>
    <row r="46" spans="1:12">
      <c r="B46" s="600" t="s">
        <v>203</v>
      </c>
      <c r="C46" s="600"/>
      <c r="D46" s="600"/>
      <c r="E46" s="600"/>
      <c r="F46" s="600"/>
      <c r="G46" s="600"/>
      <c r="H46" s="600"/>
      <c r="I46" s="600"/>
      <c r="J46" s="600"/>
      <c r="K46" s="600"/>
      <c r="L46" s="600"/>
    </row>
    <row r="47" spans="1:12">
      <c r="B47" s="11" t="s">
        <v>178</v>
      </c>
      <c r="C47" s="603">
        <v>118</v>
      </c>
      <c r="D47" s="603"/>
      <c r="E47" s="603">
        <v>119</v>
      </c>
      <c r="F47" s="603"/>
      <c r="G47" s="235">
        <v>120</v>
      </c>
      <c r="H47" s="235">
        <v>121</v>
      </c>
    </row>
    <row r="48" spans="1:12">
      <c r="B48" s="11" t="s">
        <v>110</v>
      </c>
      <c r="C48" s="235">
        <v>504</v>
      </c>
      <c r="E48" s="235">
        <v>504</v>
      </c>
      <c r="F48" s="235">
        <v>504</v>
      </c>
      <c r="G48" s="235">
        <v>504</v>
      </c>
      <c r="H48" s="235">
        <v>504</v>
      </c>
    </row>
    <row r="49" spans="2:19">
      <c r="B49" s="15"/>
      <c r="C49" s="286" t="s">
        <v>107</v>
      </c>
      <c r="D49" s="286" t="s">
        <v>149</v>
      </c>
      <c r="E49" s="19" t="s">
        <v>179</v>
      </c>
      <c r="F49" s="19" t="s">
        <v>202</v>
      </c>
      <c r="G49" s="286" t="s">
        <v>180</v>
      </c>
      <c r="H49" s="286" t="s">
        <v>181</v>
      </c>
      <c r="J49" s="50" t="s">
        <v>204</v>
      </c>
      <c r="K49" s="50" t="s">
        <v>364</v>
      </c>
      <c r="L49" s="50" t="s">
        <v>336</v>
      </c>
    </row>
    <row r="50" spans="2:19">
      <c r="B50" s="15" t="s">
        <v>96</v>
      </c>
      <c r="C50" s="54">
        <v>5479.59</v>
      </c>
      <c r="D50" s="54">
        <v>5107.8999999999996</v>
      </c>
      <c r="E50" s="54">
        <v>4418.2</v>
      </c>
      <c r="F50" s="59">
        <v>2998.8</v>
      </c>
      <c r="G50" s="59">
        <v>2439.8200000000002</v>
      </c>
      <c r="H50" s="54">
        <v>11203.46</v>
      </c>
      <c r="J50" s="29">
        <f>SUM(C50:I50)</f>
        <v>31647.769999999997</v>
      </c>
      <c r="K50" s="29">
        <f>SUM(C52:H52)</f>
        <v>31597.769999999997</v>
      </c>
      <c r="L50" s="51">
        <f>J50-K50</f>
        <v>50</v>
      </c>
    </row>
    <row r="51" spans="2:19">
      <c r="B51" s="11" t="s">
        <v>147</v>
      </c>
      <c r="C51" s="34">
        <v>8.33</v>
      </c>
      <c r="D51" s="34">
        <v>8.33</v>
      </c>
      <c r="E51" s="34">
        <v>8.34</v>
      </c>
      <c r="F51" s="34">
        <v>8.34</v>
      </c>
      <c r="G51" s="34">
        <v>8.33</v>
      </c>
      <c r="H51" s="34">
        <v>8.33</v>
      </c>
      <c r="I51" s="85">
        <f>SUM(C51:H51)</f>
        <v>50</v>
      </c>
    </row>
    <row r="52" spans="2:19">
      <c r="B52" s="50" t="s">
        <v>362</v>
      </c>
      <c r="C52" s="85">
        <f t="shared" ref="C52:H52" si="0">C50-C51</f>
        <v>5471.26</v>
      </c>
      <c r="D52" s="85">
        <f t="shared" si="0"/>
        <v>5099.57</v>
      </c>
      <c r="E52" s="85">
        <f t="shared" si="0"/>
        <v>4409.8599999999997</v>
      </c>
      <c r="F52" s="85">
        <f t="shared" si="0"/>
        <v>2990.46</v>
      </c>
      <c r="G52" s="85">
        <f t="shared" si="0"/>
        <v>2431.4900000000002</v>
      </c>
      <c r="H52" s="85">
        <f t="shared" si="0"/>
        <v>11195.13</v>
      </c>
      <c r="I52" s="11" t="s">
        <v>363</v>
      </c>
    </row>
    <row r="53" spans="2:19">
      <c r="B53" s="15" t="s">
        <v>97</v>
      </c>
      <c r="C53" s="34">
        <v>6.66</v>
      </c>
      <c r="D53" s="34">
        <v>6.66</v>
      </c>
      <c r="E53" s="34">
        <f>6.66+0.02</f>
        <v>6.68</v>
      </c>
      <c r="F53" s="34">
        <f>6.66+0.02</f>
        <v>6.68</v>
      </c>
      <c r="G53" s="34">
        <v>6.66</v>
      </c>
      <c r="H53" s="34">
        <v>6.66</v>
      </c>
      <c r="I53" s="85">
        <f>SUM(C53:H53)</f>
        <v>40</v>
      </c>
      <c r="J53" s="29"/>
      <c r="K53" s="29"/>
      <c r="L53" s="29"/>
    </row>
    <row r="54" spans="2:19">
      <c r="B54" s="50" t="s">
        <v>148</v>
      </c>
      <c r="C54" s="51">
        <f t="shared" ref="C54:H54" si="1">C52-C53</f>
        <v>5464.6</v>
      </c>
      <c r="D54" s="51">
        <f t="shared" si="1"/>
        <v>5092.91</v>
      </c>
      <c r="E54" s="51">
        <f t="shared" si="1"/>
        <v>4403.1799999999994</v>
      </c>
      <c r="F54" s="51">
        <f t="shared" si="1"/>
        <v>2983.78</v>
      </c>
      <c r="G54" s="51">
        <f t="shared" si="1"/>
        <v>2424.8300000000004</v>
      </c>
      <c r="H54" s="51">
        <f t="shared" si="1"/>
        <v>11188.47</v>
      </c>
    </row>
    <row r="55" spans="2:19">
      <c r="B55" s="15" t="s">
        <v>150</v>
      </c>
      <c r="C55" s="60">
        <v>3410.59</v>
      </c>
      <c r="E55" s="34"/>
      <c r="G55" s="34">
        <v>0</v>
      </c>
      <c r="H55" s="60">
        <v>6537.57</v>
      </c>
    </row>
    <row r="56" spans="2:19">
      <c r="B56" s="15" t="s">
        <v>99</v>
      </c>
      <c r="C56" s="34">
        <v>135</v>
      </c>
      <c r="D56" s="34">
        <v>135</v>
      </c>
      <c r="E56" s="34">
        <v>135</v>
      </c>
      <c r="F56" s="34">
        <v>135</v>
      </c>
      <c r="G56" s="34">
        <v>135</v>
      </c>
      <c r="H56" s="34">
        <v>135</v>
      </c>
    </row>
    <row r="57" spans="2:19">
      <c r="B57" s="47" t="s">
        <v>109</v>
      </c>
      <c r="C57" s="48">
        <f t="shared" ref="C57:H57" si="2">C54-C55-C56</f>
        <v>1919.0100000000002</v>
      </c>
      <c r="D57" s="48">
        <f t="shared" si="2"/>
        <v>4957.91</v>
      </c>
      <c r="E57" s="48">
        <f t="shared" si="2"/>
        <v>4268.1799999999994</v>
      </c>
      <c r="F57" s="48">
        <f t="shared" si="2"/>
        <v>2848.78</v>
      </c>
      <c r="G57" s="48">
        <f t="shared" si="2"/>
        <v>2289.8300000000004</v>
      </c>
      <c r="H57" s="48">
        <f t="shared" si="2"/>
        <v>4515.8999999999996</v>
      </c>
      <c r="J57" s="48">
        <v>20849.609999999997</v>
      </c>
      <c r="P57" s="277">
        <f>(C50-C55-C56)*C48</f>
        <v>974736</v>
      </c>
      <c r="Q57" s="277">
        <f>(C54-C55-C56)*C58</f>
        <v>949909.95000000007</v>
      </c>
      <c r="R57" s="277">
        <f>P57-Q57</f>
        <v>24826.04999999993</v>
      </c>
      <c r="S57" s="277">
        <f>R57/C48</f>
        <v>49.258035714285576</v>
      </c>
    </row>
    <row r="58" spans="2:19">
      <c r="B58" s="11" t="s">
        <v>153</v>
      </c>
      <c r="C58" s="34">
        <v>495</v>
      </c>
      <c r="D58" s="34">
        <v>495</v>
      </c>
      <c r="E58" s="34">
        <v>495</v>
      </c>
      <c r="F58" s="34">
        <v>495</v>
      </c>
      <c r="G58" s="34">
        <v>495</v>
      </c>
      <c r="H58" s="34">
        <v>495</v>
      </c>
      <c r="P58" s="29">
        <f>C50*C48</f>
        <v>2761713.36</v>
      </c>
      <c r="Q58" s="29">
        <f>C54*C58</f>
        <v>2704977</v>
      </c>
      <c r="R58" s="29">
        <f>P58-Q58</f>
        <v>56736.35999999987</v>
      </c>
      <c r="S58" s="29">
        <f>R58/C48</f>
        <v>112.57214285714259</v>
      </c>
    </row>
    <row r="59" spans="2:19">
      <c r="B59" s="47" t="s">
        <v>100</v>
      </c>
      <c r="C59" s="34">
        <f t="shared" ref="C59:H59" si="3">C57*C58</f>
        <v>949909.95000000007</v>
      </c>
      <c r="D59" s="34">
        <f t="shared" si="3"/>
        <v>2454165.4499999997</v>
      </c>
      <c r="E59" s="34">
        <f t="shared" si="3"/>
        <v>2112749.0999999996</v>
      </c>
      <c r="F59" s="34">
        <f t="shared" si="3"/>
        <v>1410146.1</v>
      </c>
      <c r="G59" s="34">
        <f t="shared" si="3"/>
        <v>1133465.8500000001</v>
      </c>
      <c r="H59" s="34">
        <f t="shared" si="3"/>
        <v>2235370.5</v>
      </c>
      <c r="J59" s="51">
        <f>SUM(C59:H59)</f>
        <v>10295806.949999999</v>
      </c>
    </row>
    <row r="60" spans="2:19">
      <c r="B60" s="15" t="s">
        <v>151</v>
      </c>
      <c r="C60" s="34">
        <v>0</v>
      </c>
      <c r="D60" s="54">
        <v>1612916.33</v>
      </c>
      <c r="E60" s="54">
        <v>1410537.3</v>
      </c>
      <c r="F60" s="54">
        <v>981924.86</v>
      </c>
      <c r="G60" s="54">
        <v>803970</v>
      </c>
      <c r="H60" s="34">
        <v>0</v>
      </c>
    </row>
    <row r="61" spans="2:19">
      <c r="B61" s="12" t="s">
        <v>152</v>
      </c>
      <c r="C61" s="34">
        <f t="shared" ref="C61:H61" si="4">C59-C60</f>
        <v>949909.95000000007</v>
      </c>
      <c r="D61" s="34">
        <f t="shared" si="4"/>
        <v>841249.11999999965</v>
      </c>
      <c r="E61" s="34">
        <f t="shared" si="4"/>
        <v>702211.79999999958</v>
      </c>
      <c r="F61" s="34">
        <f t="shared" si="4"/>
        <v>428221.24000000011</v>
      </c>
      <c r="G61" s="34">
        <f t="shared" si="4"/>
        <v>329495.85000000009</v>
      </c>
      <c r="H61" s="34">
        <f t="shared" si="4"/>
        <v>2235370.5</v>
      </c>
    </row>
    <row r="64" spans="2:19">
      <c r="B64" s="600" t="s">
        <v>218</v>
      </c>
      <c r="C64" s="600"/>
      <c r="D64" s="600"/>
      <c r="E64" s="600"/>
      <c r="F64" s="600"/>
      <c r="G64" s="600"/>
      <c r="H64" s="600"/>
      <c r="I64" s="600"/>
      <c r="J64" s="600"/>
      <c r="K64" s="600"/>
      <c r="L64" s="600"/>
    </row>
    <row r="65" spans="2:15">
      <c r="B65" s="11" t="s">
        <v>178</v>
      </c>
      <c r="C65" s="603">
        <v>122</v>
      </c>
      <c r="D65" s="603"/>
      <c r="E65" s="603">
        <v>123</v>
      </c>
      <c r="F65" s="603"/>
      <c r="G65" s="235">
        <v>124</v>
      </c>
      <c r="H65" s="235">
        <v>125</v>
      </c>
    </row>
    <row r="66" spans="2:15">
      <c r="B66" s="11" t="s">
        <v>110</v>
      </c>
      <c r="C66" s="235">
        <v>493</v>
      </c>
      <c r="D66" s="11">
        <v>493</v>
      </c>
      <c r="E66" s="235">
        <v>493</v>
      </c>
      <c r="F66" s="235">
        <v>493</v>
      </c>
      <c r="G66" s="235">
        <v>493</v>
      </c>
      <c r="H66" s="235">
        <v>493</v>
      </c>
      <c r="J66" s="29"/>
      <c r="K66" s="29"/>
      <c r="L66" s="29"/>
    </row>
    <row r="67" spans="2:15">
      <c r="B67" s="15"/>
      <c r="C67" s="286" t="s">
        <v>107</v>
      </c>
      <c r="D67" s="286" t="s">
        <v>149</v>
      </c>
      <c r="E67" s="19" t="s">
        <v>179</v>
      </c>
      <c r="F67" s="19" t="s">
        <v>202</v>
      </c>
      <c r="G67" s="286" t="s">
        <v>180</v>
      </c>
      <c r="H67" s="286" t="s">
        <v>181</v>
      </c>
      <c r="J67" s="50" t="s">
        <v>204</v>
      </c>
      <c r="K67" s="50" t="s">
        <v>364</v>
      </c>
      <c r="L67" s="50" t="s">
        <v>336</v>
      </c>
    </row>
    <row r="68" spans="2:15">
      <c r="B68" s="15" t="s">
        <v>96</v>
      </c>
      <c r="C68" s="54">
        <v>5479.59</v>
      </c>
      <c r="D68" s="54">
        <f>2572621.09/C66</f>
        <v>5218.2983569979715</v>
      </c>
      <c r="E68" s="54">
        <v>4513.2103448275866</v>
      </c>
      <c r="F68" s="59">
        <v>4513.2103448275866</v>
      </c>
      <c r="G68" s="59">
        <v>2490.69</v>
      </c>
      <c r="H68" s="54">
        <v>11203.46</v>
      </c>
      <c r="J68" s="29">
        <f>SUM(C68:H68)</f>
        <v>33418.459046653137</v>
      </c>
      <c r="K68" s="29">
        <f>SUM(C70:H70)</f>
        <v>33323.459046653144</v>
      </c>
      <c r="L68" s="247">
        <f>J68-K68</f>
        <v>94.999999999992724</v>
      </c>
      <c r="M68" s="29"/>
      <c r="N68" s="29"/>
      <c r="O68" s="29"/>
    </row>
    <row r="69" spans="2:15">
      <c r="B69" s="11" t="s">
        <v>147</v>
      </c>
      <c r="C69" s="34">
        <v>15.83</v>
      </c>
      <c r="D69" s="34">
        <v>15.83</v>
      </c>
      <c r="E69" s="34">
        <f>15.83+0.01</f>
        <v>15.84</v>
      </c>
      <c r="F69" s="34">
        <f>15.83+0.01</f>
        <v>15.84</v>
      </c>
      <c r="G69" s="34">
        <v>15.83</v>
      </c>
      <c r="H69" s="34">
        <v>15.83</v>
      </c>
      <c r="I69" s="51">
        <f>SUM(C69:H69)</f>
        <v>95</v>
      </c>
    </row>
    <row r="70" spans="2:15">
      <c r="B70" s="50" t="s">
        <v>362</v>
      </c>
      <c r="C70" s="85">
        <f t="shared" ref="C70:H70" si="5">C68-C69</f>
        <v>5463.76</v>
      </c>
      <c r="D70" s="85">
        <f t="shared" si="5"/>
        <v>5202.4683569979716</v>
      </c>
      <c r="E70" s="85">
        <f t="shared" si="5"/>
        <v>4497.3703448275865</v>
      </c>
      <c r="F70" s="85">
        <f t="shared" si="5"/>
        <v>4497.3703448275865</v>
      </c>
      <c r="G70" s="85">
        <f t="shared" si="5"/>
        <v>2474.86</v>
      </c>
      <c r="H70" s="85">
        <f t="shared" si="5"/>
        <v>11187.63</v>
      </c>
      <c r="I70" s="11" t="s">
        <v>363</v>
      </c>
      <c r="K70" s="29"/>
    </row>
    <row r="71" spans="2:15">
      <c r="B71" s="15" t="s">
        <v>97</v>
      </c>
      <c r="C71" s="34">
        <v>9</v>
      </c>
      <c r="D71" s="34">
        <v>9</v>
      </c>
      <c r="E71" s="34">
        <v>9</v>
      </c>
      <c r="F71" s="34">
        <v>9</v>
      </c>
      <c r="G71" s="34">
        <v>9</v>
      </c>
      <c r="H71" s="34">
        <v>9</v>
      </c>
      <c r="I71" s="51">
        <f>SUM(C71:H71)</f>
        <v>54</v>
      </c>
    </row>
    <row r="72" spans="2:15">
      <c r="B72" s="50" t="s">
        <v>148</v>
      </c>
      <c r="C72" s="51">
        <f t="shared" ref="C72:H72" si="6">C70-C71</f>
        <v>5454.76</v>
      </c>
      <c r="D72" s="51">
        <f t="shared" si="6"/>
        <v>5193.4683569979716</v>
      </c>
      <c r="E72" s="51">
        <f t="shared" si="6"/>
        <v>4488.3703448275865</v>
      </c>
      <c r="F72" s="51">
        <f t="shared" si="6"/>
        <v>4488.3703448275865</v>
      </c>
      <c r="G72" s="51">
        <f t="shared" si="6"/>
        <v>2465.86</v>
      </c>
      <c r="H72" s="51">
        <f t="shared" si="6"/>
        <v>11178.63</v>
      </c>
      <c r="J72" s="29"/>
      <c r="L72" s="51"/>
      <c r="M72" s="29"/>
      <c r="N72" s="29"/>
      <c r="O72" s="29"/>
    </row>
    <row r="73" spans="2:15">
      <c r="B73" s="15" t="s">
        <v>150</v>
      </c>
      <c r="C73" s="252">
        <v>3443</v>
      </c>
      <c r="E73" s="34"/>
      <c r="G73" s="34">
        <v>0</v>
      </c>
      <c r="H73" s="252">
        <v>6577.89</v>
      </c>
    </row>
    <row r="74" spans="2:15">
      <c r="B74" s="15" t="s">
        <v>99</v>
      </c>
      <c r="C74" s="34">
        <v>135</v>
      </c>
      <c r="D74" s="34">
        <v>135</v>
      </c>
      <c r="E74" s="34">
        <v>135</v>
      </c>
      <c r="F74" s="34">
        <v>135</v>
      </c>
      <c r="G74" s="34">
        <v>135</v>
      </c>
      <c r="H74" s="34">
        <v>135</v>
      </c>
    </row>
    <row r="75" spans="2:15">
      <c r="B75" s="47" t="s">
        <v>109</v>
      </c>
      <c r="C75" s="48">
        <f t="shared" ref="C75:H75" si="7">C72-C73-C74</f>
        <v>1876.7600000000002</v>
      </c>
      <c r="D75" s="48">
        <f t="shared" si="7"/>
        <v>5058.4683569979716</v>
      </c>
      <c r="E75" s="48">
        <f t="shared" si="7"/>
        <v>4353.3703448275865</v>
      </c>
      <c r="F75" s="48">
        <f t="shared" si="7"/>
        <v>4353.3703448275865</v>
      </c>
      <c r="G75" s="48">
        <f t="shared" si="7"/>
        <v>2330.86</v>
      </c>
      <c r="H75" s="48">
        <f t="shared" si="7"/>
        <v>4465.7399999999989</v>
      </c>
      <c r="J75" s="48"/>
    </row>
    <row r="76" spans="2:15">
      <c r="B76" s="11" t="s">
        <v>153</v>
      </c>
      <c r="C76" s="34">
        <v>500</v>
      </c>
      <c r="D76" s="34">
        <v>500</v>
      </c>
      <c r="E76" s="34">
        <v>501</v>
      </c>
      <c r="F76" s="34">
        <v>501</v>
      </c>
      <c r="G76" s="34">
        <v>501</v>
      </c>
      <c r="H76" s="34">
        <v>501</v>
      </c>
    </row>
    <row r="77" spans="2:15">
      <c r="B77" s="47" t="s">
        <v>100</v>
      </c>
      <c r="C77" s="34">
        <f t="shared" ref="C77:H77" si="8">C75*C76</f>
        <v>938380.00000000012</v>
      </c>
      <c r="D77" s="34">
        <f t="shared" si="8"/>
        <v>2529234.1784989857</v>
      </c>
      <c r="E77" s="34">
        <f t="shared" si="8"/>
        <v>2181038.5427586208</v>
      </c>
      <c r="F77" s="34">
        <f t="shared" si="8"/>
        <v>2181038.5427586208</v>
      </c>
      <c r="G77" s="34">
        <f t="shared" si="8"/>
        <v>1167760.8600000001</v>
      </c>
      <c r="H77" s="34">
        <f t="shared" si="8"/>
        <v>2237335.7399999993</v>
      </c>
      <c r="J77" s="51"/>
      <c r="K77" s="29"/>
    </row>
    <row r="78" spans="2:15">
      <c r="B78" s="15" t="s">
        <v>151</v>
      </c>
      <c r="C78" s="34">
        <v>0</v>
      </c>
      <c r="D78" s="54">
        <v>1612916.33</v>
      </c>
      <c r="E78" s="54"/>
      <c r="F78" s="54"/>
      <c r="G78" s="54"/>
      <c r="H78" s="54">
        <v>0</v>
      </c>
    </row>
    <row r="79" spans="2:15">
      <c r="B79" s="12" t="s">
        <v>152</v>
      </c>
      <c r="C79" s="34"/>
      <c r="D79" s="34">
        <f>D77-D78</f>
        <v>916317.84849898564</v>
      </c>
      <c r="E79" s="34">
        <f>E77-E78</f>
        <v>2181038.5427586208</v>
      </c>
      <c r="F79" s="34">
        <f>F77-F78</f>
        <v>2181038.5427586208</v>
      </c>
      <c r="G79" s="34">
        <f>G77-G78</f>
        <v>1167760.8600000001</v>
      </c>
      <c r="H79" s="34">
        <f>H77-H78</f>
        <v>2237335.7399999993</v>
      </c>
    </row>
    <row r="80" spans="2:15">
      <c r="C80" s="238"/>
      <c r="D80" s="238"/>
    </row>
    <row r="81" spans="2:16">
      <c r="B81" s="600" t="s">
        <v>319</v>
      </c>
      <c r="C81" s="600"/>
      <c r="D81" s="600"/>
      <c r="E81" s="600"/>
      <c r="F81" s="600"/>
      <c r="G81" s="600"/>
      <c r="H81" s="600"/>
      <c r="I81" s="600"/>
      <c r="J81" s="600"/>
      <c r="K81" s="600"/>
      <c r="L81" s="600"/>
    </row>
    <row r="82" spans="2:16">
      <c r="B82" s="11" t="s">
        <v>178</v>
      </c>
      <c r="C82" s="602">
        <v>126</v>
      </c>
      <c r="D82" s="602"/>
      <c r="E82" s="602">
        <v>127</v>
      </c>
      <c r="F82" s="602"/>
      <c r="G82" s="246">
        <v>128</v>
      </c>
      <c r="H82" s="246">
        <v>129</v>
      </c>
      <c r="I82" s="246">
        <v>130</v>
      </c>
    </row>
    <row r="83" spans="2:16">
      <c r="B83" s="11" t="s">
        <v>110</v>
      </c>
      <c r="C83" s="245">
        <v>493</v>
      </c>
      <c r="D83" s="11">
        <v>493</v>
      </c>
      <c r="E83" s="245">
        <v>493</v>
      </c>
      <c r="F83" s="245">
        <v>493</v>
      </c>
      <c r="G83" s="245">
        <v>493</v>
      </c>
      <c r="H83" s="245">
        <v>493</v>
      </c>
      <c r="I83" s="245">
        <v>493</v>
      </c>
      <c r="J83" s="29"/>
      <c r="K83" s="29"/>
      <c r="L83" s="29"/>
    </row>
    <row r="84" spans="2:16" ht="24">
      <c r="B84" s="15"/>
      <c r="C84" s="286" t="s">
        <v>107</v>
      </c>
      <c r="D84" s="286" t="s">
        <v>149</v>
      </c>
      <c r="E84" s="19" t="s">
        <v>179</v>
      </c>
      <c r="F84" s="19" t="s">
        <v>202</v>
      </c>
      <c r="G84" s="286" t="s">
        <v>180</v>
      </c>
      <c r="H84" s="286" t="s">
        <v>181</v>
      </c>
      <c r="I84" s="286" t="s">
        <v>337</v>
      </c>
      <c r="K84" s="55" t="s">
        <v>334</v>
      </c>
      <c r="L84" s="55" t="s">
        <v>335</v>
      </c>
      <c r="M84" s="50" t="s">
        <v>336</v>
      </c>
      <c r="N84" s="50"/>
      <c r="O84" s="50"/>
    </row>
    <row r="85" spans="2:16">
      <c r="B85" s="15" t="s">
        <v>96</v>
      </c>
      <c r="C85" s="54">
        <v>5479.59</v>
      </c>
      <c r="D85" s="54">
        <f>2572621.09/C83</f>
        <v>5218.2983569979715</v>
      </c>
      <c r="E85" s="54">
        <v>4513.2103448275866</v>
      </c>
      <c r="F85" s="59">
        <v>4513.2103448275866</v>
      </c>
      <c r="G85" s="59">
        <v>1006.86</v>
      </c>
      <c r="H85" s="54">
        <v>11203.46</v>
      </c>
      <c r="I85" s="54">
        <v>2440.19</v>
      </c>
      <c r="K85" s="29">
        <f>SUM(C85:I85)</f>
        <v>34374.819046653145</v>
      </c>
      <c r="L85" s="29">
        <f>SUM(C87:I87)</f>
        <v>34324.819046653145</v>
      </c>
      <c r="M85" s="247">
        <f>L85-K85</f>
        <v>-50</v>
      </c>
      <c r="N85" s="247"/>
      <c r="O85" s="247"/>
      <c r="P85" s="29"/>
    </row>
    <row r="86" spans="2:16">
      <c r="B86" s="11" t="s">
        <v>147</v>
      </c>
      <c r="C86" s="34">
        <v>7.16</v>
      </c>
      <c r="D86" s="34">
        <v>7.14</v>
      </c>
      <c r="E86" s="34">
        <v>7.14</v>
      </c>
      <c r="F86" s="34">
        <v>7.14</v>
      </c>
      <c r="G86" s="34">
        <v>7.14</v>
      </c>
      <c r="H86" s="34">
        <v>7.14</v>
      </c>
      <c r="I86" s="34">
        <v>7.14</v>
      </c>
      <c r="J86" s="51">
        <f>SUM(C86:I86)</f>
        <v>50</v>
      </c>
    </row>
    <row r="87" spans="2:16">
      <c r="B87" s="50" t="s">
        <v>362</v>
      </c>
      <c r="C87" s="85">
        <f>C85-C86</f>
        <v>5472.43</v>
      </c>
      <c r="D87" s="85">
        <f t="shared" ref="D87:I87" si="9">D85-D86</f>
        <v>5211.1583569979712</v>
      </c>
      <c r="E87" s="85">
        <f t="shared" si="9"/>
        <v>4506.0703448275863</v>
      </c>
      <c r="F87" s="85">
        <f t="shared" si="9"/>
        <v>4506.0703448275863</v>
      </c>
      <c r="G87" s="85">
        <f t="shared" si="9"/>
        <v>999.72</v>
      </c>
      <c r="H87" s="85">
        <f t="shared" si="9"/>
        <v>11196.32</v>
      </c>
      <c r="I87" s="85">
        <f t="shared" si="9"/>
        <v>2433.0500000000002</v>
      </c>
      <c r="J87" s="29"/>
    </row>
    <row r="88" spans="2:16">
      <c r="B88" s="15" t="s">
        <v>97</v>
      </c>
      <c r="C88" s="34">
        <f>8/2</f>
        <v>4</v>
      </c>
      <c r="D88" s="34">
        <f>8/2</f>
        <v>4</v>
      </c>
      <c r="E88" s="34">
        <f>8/2</f>
        <v>4</v>
      </c>
      <c r="F88" s="34">
        <f>8/2</f>
        <v>4</v>
      </c>
      <c r="G88" s="34">
        <v>8</v>
      </c>
      <c r="H88" s="34">
        <v>8</v>
      </c>
      <c r="I88" s="34">
        <v>8</v>
      </c>
      <c r="J88" s="51">
        <f>SUM(C88:I88)</f>
        <v>40</v>
      </c>
    </row>
    <row r="89" spans="2:16">
      <c r="B89" s="50" t="s">
        <v>148</v>
      </c>
      <c r="C89" s="51">
        <f>C87-C88</f>
        <v>5468.43</v>
      </c>
      <c r="D89" s="51">
        <f t="shared" ref="D89:I89" si="10">D87-D88</f>
        <v>5207.1583569979712</v>
      </c>
      <c r="E89" s="51">
        <f t="shared" si="10"/>
        <v>4502.0703448275863</v>
      </c>
      <c r="F89" s="51">
        <f t="shared" si="10"/>
        <v>4502.0703448275863</v>
      </c>
      <c r="G89" s="51">
        <f t="shared" si="10"/>
        <v>991.72</v>
      </c>
      <c r="H89" s="51">
        <f t="shared" si="10"/>
        <v>11188.32</v>
      </c>
      <c r="I89" s="51">
        <f t="shared" si="10"/>
        <v>2425.0500000000002</v>
      </c>
      <c r="J89" s="29"/>
      <c r="K89" s="29"/>
      <c r="L89" s="51"/>
      <c r="M89" s="29"/>
      <c r="N89" s="29"/>
      <c r="O89" s="29"/>
    </row>
    <row r="90" spans="2:16">
      <c r="B90" s="15" t="s">
        <v>150</v>
      </c>
      <c r="C90" s="248">
        <v>3400.63</v>
      </c>
      <c r="E90" s="34"/>
      <c r="G90" s="34">
        <v>0</v>
      </c>
      <c r="H90" s="248">
        <v>6554.87</v>
      </c>
      <c r="I90" s="34"/>
      <c r="J90" s="51"/>
    </row>
    <row r="91" spans="2:16">
      <c r="B91" s="15" t="s">
        <v>99</v>
      </c>
      <c r="C91" s="34">
        <v>135</v>
      </c>
      <c r="D91" s="34">
        <v>135</v>
      </c>
      <c r="E91" s="34">
        <v>135</v>
      </c>
      <c r="F91" s="34">
        <v>135</v>
      </c>
      <c r="G91" s="34">
        <v>135</v>
      </c>
      <c r="H91" s="34">
        <v>135</v>
      </c>
      <c r="I91" s="34">
        <v>135</v>
      </c>
    </row>
    <row r="92" spans="2:16">
      <c r="B92" s="47" t="s">
        <v>109</v>
      </c>
      <c r="C92" s="48">
        <f>C89-C90-C91</f>
        <v>1932.8000000000002</v>
      </c>
      <c r="D92" s="48">
        <f t="shared" ref="D92:I92" si="11">D89-D90-D91</f>
        <v>5072.1583569979712</v>
      </c>
      <c r="E92" s="48">
        <f t="shared" si="11"/>
        <v>4367.0703448275863</v>
      </c>
      <c r="F92" s="48">
        <f t="shared" si="11"/>
        <v>4367.0703448275863</v>
      </c>
      <c r="G92" s="48">
        <f t="shared" si="11"/>
        <v>856.72</v>
      </c>
      <c r="H92" s="48">
        <f t="shared" si="11"/>
        <v>4498.45</v>
      </c>
      <c r="I92" s="48">
        <f t="shared" si="11"/>
        <v>2290.0500000000002</v>
      </c>
      <c r="J92" s="48"/>
    </row>
    <row r="93" spans="2:16">
      <c r="B93" s="11" t="s">
        <v>153</v>
      </c>
      <c r="C93" s="34">
        <v>521</v>
      </c>
      <c r="D93" s="34">
        <v>521</v>
      </c>
      <c r="E93" s="34">
        <v>521</v>
      </c>
      <c r="F93" s="34">
        <v>521</v>
      </c>
      <c r="G93" s="34">
        <v>521</v>
      </c>
      <c r="H93" s="34">
        <v>521</v>
      </c>
      <c r="I93" s="34">
        <v>521</v>
      </c>
    </row>
    <row r="94" spans="2:16">
      <c r="B94" s="47" t="s">
        <v>100</v>
      </c>
      <c r="C94" s="34">
        <f t="shared" ref="C94:I94" si="12">C93*C92</f>
        <v>1006988.8</v>
      </c>
      <c r="D94" s="34">
        <f t="shared" si="12"/>
        <v>2642594.5039959429</v>
      </c>
      <c r="E94" s="34">
        <f t="shared" si="12"/>
        <v>2275243.6496551726</v>
      </c>
      <c r="F94" s="34">
        <f t="shared" si="12"/>
        <v>2275243.6496551726</v>
      </c>
      <c r="G94" s="34">
        <f t="shared" si="12"/>
        <v>446351.12</v>
      </c>
      <c r="H94" s="34">
        <f t="shared" si="12"/>
        <v>2343692.4499999997</v>
      </c>
      <c r="I94" s="34">
        <f t="shared" si="12"/>
        <v>1193116.05</v>
      </c>
      <c r="J94" s="249"/>
      <c r="K94" s="29"/>
      <c r="L94" s="29"/>
    </row>
    <row r="95" spans="2:16">
      <c r="B95" s="15" t="s">
        <v>151</v>
      </c>
      <c r="C95" s="34">
        <v>0</v>
      </c>
      <c r="D95" s="54">
        <v>1612916.33</v>
      </c>
      <c r="E95" s="54">
        <v>1410537.3</v>
      </c>
      <c r="F95" s="54">
        <v>1410537.3</v>
      </c>
      <c r="G95" s="54">
        <v>417500</v>
      </c>
      <c r="H95" s="54">
        <v>0</v>
      </c>
      <c r="I95" s="54">
        <v>786551.54</v>
      </c>
      <c r="J95" s="51"/>
    </row>
    <row r="96" spans="2:16">
      <c r="B96" s="12" t="s">
        <v>152</v>
      </c>
      <c r="C96" s="34">
        <f t="shared" ref="C96:I96" si="13">C94-C95</f>
        <v>1006988.8</v>
      </c>
      <c r="D96" s="34">
        <f t="shared" si="13"/>
        <v>1029678.1739959428</v>
      </c>
      <c r="E96" s="34">
        <f t="shared" si="13"/>
        <v>864706.34965517255</v>
      </c>
      <c r="F96" s="34">
        <f t="shared" si="13"/>
        <v>864706.34965517255</v>
      </c>
      <c r="G96" s="34">
        <f t="shared" si="13"/>
        <v>28851.119999999995</v>
      </c>
      <c r="H96" s="34">
        <f t="shared" si="13"/>
        <v>2343692.4499999997</v>
      </c>
      <c r="I96" s="34">
        <f t="shared" si="13"/>
        <v>406564.51</v>
      </c>
      <c r="J96" s="51"/>
    </row>
    <row r="97" spans="2:19">
      <c r="C97" s="238"/>
      <c r="D97" s="238"/>
    </row>
    <row r="98" spans="2:19">
      <c r="B98" s="600" t="s">
        <v>367</v>
      </c>
      <c r="C98" s="600"/>
      <c r="D98" s="600"/>
      <c r="E98" s="600"/>
      <c r="F98" s="600"/>
      <c r="G98" s="600"/>
      <c r="H98" s="600"/>
      <c r="I98" s="600"/>
      <c r="J98" s="600"/>
      <c r="K98" s="600"/>
      <c r="L98" s="600"/>
    </row>
    <row r="99" spans="2:19">
      <c r="B99" s="11" t="s">
        <v>178</v>
      </c>
      <c r="C99" s="602">
        <v>131</v>
      </c>
      <c r="D99" s="602"/>
      <c r="E99" s="602">
        <v>132</v>
      </c>
      <c r="F99" s="602"/>
      <c r="G99" s="259">
        <v>133</v>
      </c>
      <c r="H99" s="259">
        <v>134</v>
      </c>
      <c r="I99" s="262">
        <v>135</v>
      </c>
    </row>
    <row r="100" spans="2:19">
      <c r="B100" s="11" t="s">
        <v>110</v>
      </c>
      <c r="C100" s="260">
        <v>519</v>
      </c>
      <c r="D100" s="11">
        <v>519</v>
      </c>
      <c r="E100" s="260">
        <v>519</v>
      </c>
      <c r="F100" s="260">
        <v>519</v>
      </c>
      <c r="G100" s="260">
        <v>519</v>
      </c>
      <c r="H100" s="260">
        <v>519</v>
      </c>
      <c r="I100" s="261">
        <v>519</v>
      </c>
      <c r="J100" s="29"/>
      <c r="K100" s="29"/>
    </row>
    <row r="101" spans="2:19" ht="24">
      <c r="B101" s="15"/>
      <c r="C101" s="286" t="s">
        <v>107</v>
      </c>
      <c r="D101" s="286" t="s">
        <v>149</v>
      </c>
      <c r="E101" s="19" t="s">
        <v>179</v>
      </c>
      <c r="F101" s="19" t="s">
        <v>202</v>
      </c>
      <c r="G101" s="286" t="s">
        <v>181</v>
      </c>
      <c r="H101" s="286" t="s">
        <v>337</v>
      </c>
      <c r="I101" s="286" t="s">
        <v>386</v>
      </c>
      <c r="L101" s="55" t="s">
        <v>334</v>
      </c>
      <c r="M101" s="55" t="s">
        <v>335</v>
      </c>
      <c r="N101" s="55"/>
      <c r="O101" s="55"/>
      <c r="P101" s="50" t="s">
        <v>336</v>
      </c>
      <c r="R101" s="11" t="s">
        <v>418</v>
      </c>
      <c r="S101" s="11" t="s">
        <v>418</v>
      </c>
    </row>
    <row r="102" spans="2:19">
      <c r="B102" s="15" t="s">
        <v>96</v>
      </c>
      <c r="C102" s="54">
        <v>5479.59</v>
      </c>
      <c r="D102" s="54">
        <v>4964.8961078998072</v>
      </c>
      <c r="E102" s="54">
        <v>4295.1304431599228</v>
      </c>
      <c r="F102" s="59">
        <v>4295.1304431599228</v>
      </c>
      <c r="G102" s="59">
        <v>11203.46</v>
      </c>
      <c r="H102" s="54">
        <v>2325.9646050096335</v>
      </c>
      <c r="I102" s="54">
        <v>1058.8699999999999</v>
      </c>
      <c r="J102" s="11" t="s">
        <v>419</v>
      </c>
      <c r="L102" s="29">
        <f>SUM(C102:I102)</f>
        <v>33623.041599229291</v>
      </c>
      <c r="M102" s="29">
        <f>SUM(C104:I104)</f>
        <v>33533.041599229291</v>
      </c>
      <c r="N102" s="29"/>
      <c r="O102" s="29"/>
      <c r="P102" s="247">
        <f>M102-L102</f>
        <v>-90</v>
      </c>
      <c r="Q102" s="29"/>
      <c r="R102" s="29">
        <f>L102*$C$100</f>
        <v>17450358.590000004</v>
      </c>
      <c r="S102" s="29">
        <f>J103*I100</f>
        <v>25950</v>
      </c>
    </row>
    <row r="103" spans="2:19">
      <c r="B103" s="11" t="s">
        <v>147</v>
      </c>
      <c r="C103" s="34">
        <f>(50/4)/2</f>
        <v>6.25</v>
      </c>
      <c r="D103" s="34">
        <f>(50/4)/2</f>
        <v>6.25</v>
      </c>
      <c r="E103" s="34">
        <f>(50/4)/2</f>
        <v>6.25</v>
      </c>
      <c r="F103" s="34">
        <f>(50/4)/2</f>
        <v>6.25</v>
      </c>
      <c r="G103" s="34">
        <f>(50/4)</f>
        <v>12.5</v>
      </c>
      <c r="H103" s="34">
        <f>(50/4)</f>
        <v>12.5</v>
      </c>
      <c r="I103" s="34">
        <v>40</v>
      </c>
      <c r="J103" s="51">
        <f>SUM(C103:H103)</f>
        <v>50</v>
      </c>
    </row>
    <row r="104" spans="2:19">
      <c r="B104" s="50" t="s">
        <v>362</v>
      </c>
      <c r="C104" s="85">
        <f t="shared" ref="C104:H104" si="14">C102-C103</f>
        <v>5473.34</v>
      </c>
      <c r="D104" s="85">
        <f t="shared" si="14"/>
        <v>4958.6461078998072</v>
      </c>
      <c r="E104" s="85">
        <f t="shared" si="14"/>
        <v>4288.8804431599228</v>
      </c>
      <c r="F104" s="85">
        <f t="shared" si="14"/>
        <v>4288.8804431599228</v>
      </c>
      <c r="G104" s="85">
        <f t="shared" si="14"/>
        <v>11190.96</v>
      </c>
      <c r="H104" s="85">
        <f t="shared" si="14"/>
        <v>2313.4646050096335</v>
      </c>
      <c r="I104" s="85">
        <f>I102-I103</f>
        <v>1018.8699999999999</v>
      </c>
      <c r="J104" s="11" t="s">
        <v>420</v>
      </c>
      <c r="R104" s="29">
        <f>SUM(C106:I106)*I100</f>
        <v>17372508.590000004</v>
      </c>
    </row>
    <row r="105" spans="2:19">
      <c r="B105" s="15" t="s">
        <v>97</v>
      </c>
      <c r="C105" s="34">
        <f>(40/4)/2</f>
        <v>5</v>
      </c>
      <c r="D105" s="34">
        <f>(40/4)/2</f>
        <v>5</v>
      </c>
      <c r="E105" s="34">
        <f>(40/4)/2</f>
        <v>5</v>
      </c>
      <c r="F105" s="34">
        <f>(40/4)/2</f>
        <v>5</v>
      </c>
      <c r="G105" s="34">
        <v>10</v>
      </c>
      <c r="H105" s="34">
        <v>10</v>
      </c>
      <c r="I105" s="34">
        <v>20</v>
      </c>
      <c r="J105" s="51">
        <f>SUM(C105:H105)</f>
        <v>40</v>
      </c>
      <c r="M105" s="29">
        <f>M102-J105</f>
        <v>33493.041599229291</v>
      </c>
      <c r="N105" s="29"/>
      <c r="O105" s="29"/>
    </row>
    <row r="106" spans="2:19">
      <c r="B106" s="50" t="s">
        <v>148</v>
      </c>
      <c r="C106" s="51">
        <f t="shared" ref="C106:H106" si="15">C104-C105</f>
        <v>5468.34</v>
      </c>
      <c r="D106" s="51">
        <f t="shared" si="15"/>
        <v>4953.6461078998072</v>
      </c>
      <c r="E106" s="51">
        <f t="shared" si="15"/>
        <v>4283.8804431599228</v>
      </c>
      <c r="F106" s="51">
        <f t="shared" si="15"/>
        <v>4283.8804431599228</v>
      </c>
      <c r="G106" s="51">
        <f t="shared" si="15"/>
        <v>11180.96</v>
      </c>
      <c r="H106" s="51">
        <f t="shared" si="15"/>
        <v>2303.4646050096335</v>
      </c>
      <c r="I106" s="51">
        <f>I104-I105</f>
        <v>998.86999999999989</v>
      </c>
      <c r="J106" s="263">
        <f>SUM(C106:I106)</f>
        <v>33473.041599229291</v>
      </c>
      <c r="K106" s="51"/>
      <c r="L106" s="29"/>
      <c r="P106" s="29"/>
      <c r="Q106" s="29"/>
      <c r="R106" s="29">
        <f>R102-R104</f>
        <v>77850</v>
      </c>
    </row>
    <row r="107" spans="2:19">
      <c r="B107" s="15" t="s">
        <v>150</v>
      </c>
      <c r="C107" s="248">
        <v>3407.81</v>
      </c>
      <c r="E107" s="34"/>
      <c r="G107" s="248">
        <v>6532.77</v>
      </c>
      <c r="H107" s="34"/>
      <c r="I107" s="34"/>
    </row>
    <row r="108" spans="2:19">
      <c r="B108" s="15" t="s">
        <v>99</v>
      </c>
      <c r="C108" s="34">
        <v>135</v>
      </c>
      <c r="D108" s="34">
        <v>135</v>
      </c>
      <c r="E108" s="34">
        <v>135</v>
      </c>
      <c r="F108" s="34">
        <v>135</v>
      </c>
      <c r="G108" s="34">
        <v>135</v>
      </c>
      <c r="H108" s="34">
        <v>135</v>
      </c>
      <c r="I108" s="34">
        <v>135</v>
      </c>
      <c r="L108" s="29">
        <f>SUM(C107:I108)</f>
        <v>10885.58</v>
      </c>
    </row>
    <row r="109" spans="2:19">
      <c r="B109" s="47" t="s">
        <v>109</v>
      </c>
      <c r="C109" s="48">
        <f t="shared" ref="C109:H109" si="16">C106-C107-C108</f>
        <v>1925.5300000000002</v>
      </c>
      <c r="D109" s="48">
        <f t="shared" si="16"/>
        <v>4818.6461078998072</v>
      </c>
      <c r="E109" s="48">
        <f t="shared" si="16"/>
        <v>4148.8804431599228</v>
      </c>
      <c r="F109" s="48">
        <f t="shared" si="16"/>
        <v>4148.8804431599228</v>
      </c>
      <c r="G109" s="48">
        <f t="shared" si="16"/>
        <v>4513.1899999999987</v>
      </c>
      <c r="H109" s="48">
        <f t="shared" si="16"/>
        <v>2168.4646050096335</v>
      </c>
      <c r="I109" s="48">
        <f>I106-I107-I108</f>
        <v>863.86999999999989</v>
      </c>
      <c r="J109" s="263">
        <f>SUM(C109:I109)</f>
        <v>22587.461599229286</v>
      </c>
    </row>
    <row r="110" spans="2:19">
      <c r="B110" s="11" t="s">
        <v>153</v>
      </c>
      <c r="C110" s="34">
        <v>520</v>
      </c>
      <c r="D110" s="34">
        <v>520</v>
      </c>
      <c r="E110" s="34">
        <v>520</v>
      </c>
      <c r="F110" s="34">
        <v>520</v>
      </c>
      <c r="G110" s="34">
        <v>520</v>
      </c>
      <c r="H110" s="34">
        <v>520</v>
      </c>
      <c r="I110" s="34">
        <v>520</v>
      </c>
      <c r="R110" s="29">
        <f>R102-J111</f>
        <v>5704878.5584007744</v>
      </c>
      <c r="S110" s="29">
        <f>R110/520</f>
        <v>10970.920304616873</v>
      </c>
    </row>
    <row r="111" spans="2:19">
      <c r="B111" s="47" t="s">
        <v>100</v>
      </c>
      <c r="C111" s="34">
        <f t="shared" ref="C111:H111" si="17">C110*C109</f>
        <v>1001275.6000000001</v>
      </c>
      <c r="D111" s="34">
        <f t="shared" si="17"/>
        <v>2505695.9761078996</v>
      </c>
      <c r="E111" s="34">
        <f t="shared" si="17"/>
        <v>2157417.8304431597</v>
      </c>
      <c r="F111" s="34">
        <f t="shared" si="17"/>
        <v>2157417.8304431597</v>
      </c>
      <c r="G111" s="34">
        <f t="shared" si="17"/>
        <v>2346858.7999999993</v>
      </c>
      <c r="H111" s="34">
        <f t="shared" si="17"/>
        <v>1127601.5946050093</v>
      </c>
      <c r="I111" s="34">
        <f>I110*I109</f>
        <v>449212.39999999997</v>
      </c>
      <c r="J111" s="247">
        <f>SUM(C111:I111)</f>
        <v>11745480.031599229</v>
      </c>
      <c r="K111" s="29"/>
      <c r="L111" s="268">
        <f>J111/520</f>
        <v>22587.461599229286</v>
      </c>
    </row>
    <row r="112" spans="2:19">
      <c r="B112" s="15" t="s">
        <v>151</v>
      </c>
      <c r="C112" s="34">
        <v>0</v>
      </c>
      <c r="D112" s="54">
        <v>1612916.33</v>
      </c>
      <c r="E112" s="54">
        <v>1410537.3</v>
      </c>
      <c r="F112" s="54">
        <v>1410537.3</v>
      </c>
      <c r="G112" s="34"/>
      <c r="H112" s="54">
        <v>786551.54</v>
      </c>
      <c r="I112" s="54">
        <v>326417.87</v>
      </c>
      <c r="J112" s="267">
        <f>SUM(C112:I112)</f>
        <v>5546960.3399999999</v>
      </c>
    </row>
    <row r="113" spans="2:16">
      <c r="B113" s="12" t="s">
        <v>152</v>
      </c>
      <c r="C113" s="34">
        <f t="shared" ref="C113:H113" si="18">C111-C112</f>
        <v>1001275.6000000001</v>
      </c>
      <c r="D113" s="34">
        <f t="shared" si="18"/>
        <v>892779.64610789949</v>
      </c>
      <c r="E113" s="34">
        <f t="shared" si="18"/>
        <v>746880.53044315963</v>
      </c>
      <c r="F113" s="34">
        <f t="shared" si="18"/>
        <v>746880.53044315963</v>
      </c>
      <c r="G113" s="34">
        <f t="shared" si="18"/>
        <v>2346858.7999999993</v>
      </c>
      <c r="H113" s="34">
        <f t="shared" si="18"/>
        <v>341050.05460500927</v>
      </c>
      <c r="I113" s="34">
        <f>I111-I112</f>
        <v>122794.52999999997</v>
      </c>
    </row>
    <row r="116" spans="2:16">
      <c r="B116" s="600" t="s">
        <v>402</v>
      </c>
      <c r="C116" s="600"/>
      <c r="D116" s="600"/>
      <c r="E116" s="600"/>
      <c r="F116" s="600"/>
      <c r="G116" s="600"/>
      <c r="H116" s="600"/>
      <c r="I116" s="600"/>
      <c r="J116" s="600"/>
      <c r="K116" s="600"/>
      <c r="L116" s="600"/>
    </row>
    <row r="117" spans="2:16" ht="15" customHeight="1">
      <c r="B117" s="11" t="s">
        <v>178</v>
      </c>
      <c r="C117" s="602">
        <v>140</v>
      </c>
      <c r="D117" s="602"/>
      <c r="E117" s="602"/>
      <c r="F117" s="602">
        <v>141</v>
      </c>
      <c r="G117" s="602"/>
      <c r="H117" s="274">
        <v>138</v>
      </c>
      <c r="I117" s="274">
        <v>139</v>
      </c>
      <c r="J117" s="46"/>
    </row>
    <row r="118" spans="2:16">
      <c r="B118" s="11" t="s">
        <v>110</v>
      </c>
      <c r="C118" s="11">
        <v>522</v>
      </c>
      <c r="D118" s="11">
        <v>522</v>
      </c>
      <c r="E118" s="273">
        <v>522</v>
      </c>
      <c r="F118" s="11">
        <v>522</v>
      </c>
      <c r="G118" s="273">
        <v>522</v>
      </c>
      <c r="H118" s="273">
        <v>522</v>
      </c>
      <c r="I118" s="296">
        <v>522</v>
      </c>
      <c r="J118" s="46"/>
      <c r="K118" s="29"/>
      <c r="L118" s="29"/>
    </row>
    <row r="119" spans="2:16" ht="24">
      <c r="B119" s="15"/>
      <c r="C119" s="58" t="s">
        <v>386</v>
      </c>
      <c r="D119" s="57" t="s">
        <v>149</v>
      </c>
      <c r="E119" s="57" t="s">
        <v>107</v>
      </c>
      <c r="F119" s="58" t="s">
        <v>179</v>
      </c>
      <c r="G119" s="58" t="s">
        <v>202</v>
      </c>
      <c r="H119" s="58" t="s">
        <v>181</v>
      </c>
      <c r="I119" s="58" t="s">
        <v>337</v>
      </c>
      <c r="L119" s="55" t="s">
        <v>334</v>
      </c>
      <c r="M119" s="55" t="s">
        <v>335</v>
      </c>
      <c r="N119" s="55"/>
      <c r="O119" s="55"/>
      <c r="P119" s="50" t="s">
        <v>336</v>
      </c>
    </row>
    <row r="120" spans="2:16">
      <c r="B120" s="15" t="s">
        <v>96</v>
      </c>
      <c r="C120" s="28">
        <v>3990.17091954023</v>
      </c>
      <c r="D120" s="34">
        <v>4937.2817816091947</v>
      </c>
      <c r="E120" s="34">
        <v>5479.59</v>
      </c>
      <c r="F120" s="34">
        <v>4271.37</v>
      </c>
      <c r="G120" s="34">
        <v>4271.37</v>
      </c>
      <c r="H120" s="28">
        <v>11203.46</v>
      </c>
      <c r="I120" s="28">
        <v>2313.5165325670496</v>
      </c>
      <c r="J120" s="50" t="s">
        <v>419</v>
      </c>
      <c r="L120" s="29">
        <f>SUM(C120:I120)</f>
        <v>36466.759233716468</v>
      </c>
      <c r="M120" s="29">
        <f>SUM(C122:I122)</f>
        <v>36466.759233716468</v>
      </c>
      <c r="N120" s="29"/>
      <c r="O120" s="29"/>
      <c r="P120" s="247">
        <f>M120-L120</f>
        <v>0</v>
      </c>
    </row>
    <row r="121" spans="2:16">
      <c r="B121" s="11" t="s">
        <v>147</v>
      </c>
      <c r="C121" s="34">
        <v>0</v>
      </c>
      <c r="D121" s="34">
        <v>0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51">
        <f>SUM(C121:I121)</f>
        <v>0</v>
      </c>
    </row>
    <row r="122" spans="2:16">
      <c r="B122" s="50" t="s">
        <v>362</v>
      </c>
      <c r="C122" s="85">
        <f t="shared" ref="C122:I122" si="19">C120-C121</f>
        <v>3990.17091954023</v>
      </c>
      <c r="D122" s="85">
        <f t="shared" si="19"/>
        <v>4937.2817816091947</v>
      </c>
      <c r="E122" s="85">
        <f t="shared" si="19"/>
        <v>5479.59</v>
      </c>
      <c r="F122" s="85">
        <f t="shared" si="19"/>
        <v>4271.37</v>
      </c>
      <c r="G122" s="85">
        <f t="shared" si="19"/>
        <v>4271.37</v>
      </c>
      <c r="H122" s="85">
        <f t="shared" si="19"/>
        <v>11203.46</v>
      </c>
      <c r="I122" s="85">
        <f t="shared" si="19"/>
        <v>2313.5165325670496</v>
      </c>
      <c r="J122" s="50" t="s">
        <v>420</v>
      </c>
    </row>
    <row r="123" spans="2:16">
      <c r="B123" s="15" t="s">
        <v>97</v>
      </c>
      <c r="C123" s="34">
        <f>(40/4)/3</f>
        <v>3.3333333333333335</v>
      </c>
      <c r="D123" s="34">
        <f>(40/4)/3</f>
        <v>3.3333333333333335</v>
      </c>
      <c r="E123" s="34">
        <f>(40/4)/3</f>
        <v>3.3333333333333335</v>
      </c>
      <c r="F123" s="34">
        <f>(40/4)/2</f>
        <v>5</v>
      </c>
      <c r="G123" s="34">
        <f>(40/4)/2</f>
        <v>5</v>
      </c>
      <c r="H123" s="34">
        <v>10</v>
      </c>
      <c r="I123" s="34">
        <v>10</v>
      </c>
      <c r="J123" s="51">
        <f>SUM(C123:I123)</f>
        <v>40</v>
      </c>
      <c r="M123" s="29">
        <f>M120-J123</f>
        <v>36426.759233716468</v>
      </c>
      <c r="N123" s="29"/>
      <c r="O123" s="29"/>
    </row>
    <row r="124" spans="2:16">
      <c r="B124" s="50" t="s">
        <v>148</v>
      </c>
      <c r="C124" s="51">
        <f t="shared" ref="C124:I124" si="20">C122-C123</f>
        <v>3986.8375862068965</v>
      </c>
      <c r="D124" s="51">
        <f t="shared" si="20"/>
        <v>4933.9484482758617</v>
      </c>
      <c r="E124" s="51">
        <f t="shared" si="20"/>
        <v>5476.2566666666671</v>
      </c>
      <c r="F124" s="51">
        <f t="shared" si="20"/>
        <v>4266.37</v>
      </c>
      <c r="G124" s="51">
        <f t="shared" si="20"/>
        <v>4266.37</v>
      </c>
      <c r="H124" s="51">
        <f t="shared" si="20"/>
        <v>11193.46</v>
      </c>
      <c r="I124" s="51">
        <f t="shared" si="20"/>
        <v>2303.5165325670496</v>
      </c>
      <c r="J124" s="263">
        <f>SUM(C124:I124)</f>
        <v>36426.759233716468</v>
      </c>
      <c r="K124" s="51"/>
      <c r="L124" s="29"/>
      <c r="P124" s="29"/>
    </row>
    <row r="125" spans="2:16">
      <c r="B125" s="15" t="s">
        <v>150</v>
      </c>
      <c r="C125" s="34"/>
      <c r="E125" s="248">
        <v>3409.64</v>
      </c>
      <c r="F125" s="34"/>
      <c r="H125" s="248">
        <v>6535.92</v>
      </c>
      <c r="I125" s="34"/>
    </row>
    <row r="126" spans="2:16">
      <c r="B126" s="15" t="s">
        <v>99</v>
      </c>
      <c r="C126" s="34">
        <v>135</v>
      </c>
      <c r="D126" s="34">
        <v>135</v>
      </c>
      <c r="E126" s="34">
        <v>135</v>
      </c>
      <c r="F126" s="34">
        <v>135</v>
      </c>
      <c r="G126" s="34">
        <v>135</v>
      </c>
      <c r="H126" s="34">
        <v>135</v>
      </c>
      <c r="I126" s="34">
        <v>135</v>
      </c>
    </row>
    <row r="127" spans="2:16">
      <c r="B127" s="47" t="s">
        <v>109</v>
      </c>
      <c r="C127" s="48">
        <f t="shared" ref="C127:I127" si="21">C124-C125-C126</f>
        <v>3851.8375862068965</v>
      </c>
      <c r="D127" s="48">
        <f t="shared" si="21"/>
        <v>4798.9484482758617</v>
      </c>
      <c r="E127" s="48">
        <f t="shared" si="21"/>
        <v>1931.6166666666672</v>
      </c>
      <c r="F127" s="48">
        <f t="shared" si="21"/>
        <v>4131.37</v>
      </c>
      <c r="G127" s="48">
        <f t="shared" si="21"/>
        <v>4131.37</v>
      </c>
      <c r="H127" s="48">
        <f t="shared" si="21"/>
        <v>4522.5399999999991</v>
      </c>
      <c r="I127" s="48">
        <f t="shared" si="21"/>
        <v>2168.5165325670496</v>
      </c>
    </row>
    <row r="128" spans="2:16">
      <c r="B128" s="11" t="s">
        <v>153</v>
      </c>
      <c r="C128" s="34">
        <v>518</v>
      </c>
      <c r="D128" s="34">
        <v>518</v>
      </c>
      <c r="E128" s="34">
        <v>518</v>
      </c>
      <c r="F128" s="34">
        <v>518</v>
      </c>
      <c r="G128" s="34">
        <v>518</v>
      </c>
      <c r="H128" s="34">
        <v>518</v>
      </c>
      <c r="I128" s="34">
        <v>518</v>
      </c>
    </row>
    <row r="129" spans="2:17">
      <c r="B129" s="47" t="s">
        <v>100</v>
      </c>
      <c r="C129" s="34">
        <f t="shared" ref="C129:I129" si="22">C128*C127</f>
        <v>1995251.8696551723</v>
      </c>
      <c r="D129" s="34">
        <f t="shared" si="22"/>
        <v>2485855.2962068962</v>
      </c>
      <c r="E129" s="34">
        <f t="shared" si="22"/>
        <v>1000577.4333333336</v>
      </c>
      <c r="F129" s="34">
        <f t="shared" si="22"/>
        <v>2140049.66</v>
      </c>
      <c r="G129" s="34">
        <f t="shared" si="22"/>
        <v>2140049.66</v>
      </c>
      <c r="H129" s="34">
        <f t="shared" si="22"/>
        <v>2342675.7199999997</v>
      </c>
      <c r="I129" s="34">
        <f t="shared" si="22"/>
        <v>1123291.5638697317</v>
      </c>
      <c r="J129" s="247">
        <f>SUM(C129:I129)</f>
        <v>13227751.203065133</v>
      </c>
      <c r="K129" s="29"/>
      <c r="L129" s="268">
        <f>IFERROR(J129/C128,0)</f>
        <v>25536.199233716474</v>
      </c>
    </row>
    <row r="130" spans="2:17">
      <c r="B130" s="15" t="s">
        <v>151</v>
      </c>
      <c r="C130" s="54">
        <v>1325079.3600000001</v>
      </c>
      <c r="D130" s="54">
        <v>1612916.33</v>
      </c>
      <c r="E130" s="34">
        <v>0</v>
      </c>
      <c r="F130" s="54">
        <v>1410537.3</v>
      </c>
      <c r="G130" s="54">
        <v>1410537.3</v>
      </c>
      <c r="H130" s="34"/>
      <c r="I130" s="54">
        <v>786551.54</v>
      </c>
      <c r="J130" s="267">
        <f>SUM(C130:I130)</f>
        <v>6545621.8300000001</v>
      </c>
    </row>
    <row r="131" spans="2:17">
      <c r="B131" s="12" t="s">
        <v>152</v>
      </c>
      <c r="C131" s="34">
        <f t="shared" ref="C131:I131" si="23">C129-C130</f>
        <v>670172.50965517224</v>
      </c>
      <c r="D131" s="34">
        <f t="shared" si="23"/>
        <v>872938.96620689612</v>
      </c>
      <c r="E131" s="34">
        <f t="shared" si="23"/>
        <v>1000577.4333333336</v>
      </c>
      <c r="F131" s="34">
        <f t="shared" si="23"/>
        <v>729512.3600000001</v>
      </c>
      <c r="G131" s="34">
        <f t="shared" si="23"/>
        <v>729512.3600000001</v>
      </c>
      <c r="H131" s="34">
        <f t="shared" si="23"/>
        <v>2342675.7199999997</v>
      </c>
      <c r="I131" s="34">
        <f t="shared" si="23"/>
        <v>336740.0238697317</v>
      </c>
      <c r="J131" s="267"/>
    </row>
    <row r="134" spans="2:17">
      <c r="B134" s="600" t="s">
        <v>467</v>
      </c>
      <c r="C134" s="600"/>
      <c r="D134" s="600"/>
      <c r="E134" s="600"/>
      <c r="F134" s="600"/>
      <c r="G134" s="600"/>
      <c r="H134" s="600"/>
      <c r="I134" s="600"/>
      <c r="J134" s="600"/>
      <c r="K134" s="600"/>
      <c r="L134" s="600"/>
    </row>
    <row r="135" spans="2:17">
      <c r="B135" s="11" t="s">
        <v>178</v>
      </c>
      <c r="C135" s="602">
        <v>142</v>
      </c>
      <c r="D135" s="602"/>
      <c r="E135" s="602"/>
      <c r="F135" s="602">
        <v>143</v>
      </c>
      <c r="G135" s="602"/>
      <c r="H135" s="301">
        <v>144</v>
      </c>
      <c r="I135" s="301">
        <v>145</v>
      </c>
      <c r="J135" s="307">
        <v>146</v>
      </c>
      <c r="K135" s="46"/>
    </row>
    <row r="136" spans="2:17">
      <c r="B136" s="11" t="s">
        <v>110</v>
      </c>
      <c r="C136" s="11">
        <v>518</v>
      </c>
      <c r="D136" s="11">
        <v>518</v>
      </c>
      <c r="E136" s="302">
        <v>518</v>
      </c>
      <c r="F136" s="11">
        <v>518</v>
      </c>
      <c r="G136" s="302">
        <v>518</v>
      </c>
      <c r="H136" s="302">
        <v>518</v>
      </c>
      <c r="I136" s="302">
        <v>518</v>
      </c>
      <c r="J136" s="308">
        <v>518</v>
      </c>
      <c r="K136" s="46"/>
      <c r="L136" s="29"/>
      <c r="M136" s="29"/>
      <c r="N136" s="29"/>
      <c r="O136" s="29"/>
    </row>
    <row r="137" spans="2:17" ht="24">
      <c r="B137" s="15"/>
      <c r="C137" s="58" t="s">
        <v>386</v>
      </c>
      <c r="D137" s="57" t="s">
        <v>149</v>
      </c>
      <c r="E137" s="57" t="s">
        <v>107</v>
      </c>
      <c r="F137" s="58" t="s">
        <v>179</v>
      </c>
      <c r="G137" s="58" t="s">
        <v>202</v>
      </c>
      <c r="H137" s="58" t="s">
        <v>181</v>
      </c>
      <c r="I137" s="58" t="s">
        <v>337</v>
      </c>
      <c r="J137" s="57" t="s">
        <v>107</v>
      </c>
      <c r="M137" s="55" t="s">
        <v>334</v>
      </c>
      <c r="N137" s="55"/>
      <c r="O137" s="55"/>
      <c r="P137" s="55" t="s">
        <v>335</v>
      </c>
      <c r="Q137" s="50" t="s">
        <v>336</v>
      </c>
    </row>
    <row r="138" spans="2:17">
      <c r="B138" s="15" t="s">
        <v>96</v>
      </c>
      <c r="C138" s="28">
        <v>4019.7475289575291</v>
      </c>
      <c r="D138" s="34">
        <v>4974.1719884169879</v>
      </c>
      <c r="E138" s="34">
        <v>5479.59</v>
      </c>
      <c r="F138" s="34">
        <v>4303.1133204633206</v>
      </c>
      <c r="G138" s="34">
        <v>4303.1133204633206</v>
      </c>
      <c r="H138" s="28">
        <v>11203.46</v>
      </c>
      <c r="I138" s="28">
        <v>2330.15</v>
      </c>
      <c r="J138" s="28">
        <v>2143.13</v>
      </c>
      <c r="K138" s="50" t="s">
        <v>419</v>
      </c>
      <c r="M138" s="29">
        <f>SUM(C138:J138)</f>
        <v>38756.476158301157</v>
      </c>
      <c r="N138" s="29"/>
      <c r="O138" s="29"/>
      <c r="P138" s="29">
        <f>SUM(C140:J140)</f>
        <v>38756.476158301157</v>
      </c>
      <c r="Q138" s="247">
        <f>P138-M138</f>
        <v>0</v>
      </c>
    </row>
    <row r="139" spans="2:17">
      <c r="B139" s="11" t="s">
        <v>147</v>
      </c>
      <c r="C139" s="34">
        <v>0</v>
      </c>
      <c r="D139" s="34">
        <v>0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51">
        <f>SUM(C139:I139)</f>
        <v>0</v>
      </c>
    </row>
    <row r="140" spans="2:17">
      <c r="B140" s="50" t="s">
        <v>362</v>
      </c>
      <c r="C140" s="85">
        <f t="shared" ref="C140:J140" si="24">C138-C139</f>
        <v>4019.7475289575291</v>
      </c>
      <c r="D140" s="85">
        <f t="shared" si="24"/>
        <v>4974.1719884169879</v>
      </c>
      <c r="E140" s="85">
        <f t="shared" si="24"/>
        <v>5479.59</v>
      </c>
      <c r="F140" s="85">
        <f t="shared" si="24"/>
        <v>4303.1133204633206</v>
      </c>
      <c r="G140" s="85">
        <f t="shared" si="24"/>
        <v>4303.1133204633206</v>
      </c>
      <c r="H140" s="85">
        <f t="shared" si="24"/>
        <v>11203.46</v>
      </c>
      <c r="I140" s="85">
        <f t="shared" si="24"/>
        <v>2330.15</v>
      </c>
      <c r="J140" s="85">
        <f t="shared" si="24"/>
        <v>2143.13</v>
      </c>
      <c r="K140" s="50" t="s">
        <v>420</v>
      </c>
    </row>
    <row r="141" spans="2:17">
      <c r="B141" s="15" t="s">
        <v>97</v>
      </c>
      <c r="C141" s="34">
        <v>5</v>
      </c>
      <c r="D141" s="34">
        <v>5</v>
      </c>
      <c r="E141" s="34">
        <v>5</v>
      </c>
      <c r="F141" s="34">
        <v>5</v>
      </c>
      <c r="G141" s="34">
        <v>5</v>
      </c>
      <c r="H141" s="34">
        <v>5</v>
      </c>
      <c r="I141" s="34">
        <v>5</v>
      </c>
      <c r="J141" s="34">
        <v>5</v>
      </c>
      <c r="K141" s="51">
        <f>SUM(C141:J141)</f>
        <v>40</v>
      </c>
      <c r="P141" s="29">
        <f>P138-K141</f>
        <v>38716.476158301157</v>
      </c>
    </row>
    <row r="142" spans="2:17">
      <c r="B142" s="50" t="s">
        <v>148</v>
      </c>
      <c r="C142" s="51">
        <f t="shared" ref="C142:J142" si="25">C140-C141</f>
        <v>4014.7475289575291</v>
      </c>
      <c r="D142" s="51">
        <f t="shared" si="25"/>
        <v>4969.1719884169879</v>
      </c>
      <c r="E142" s="51">
        <f t="shared" si="25"/>
        <v>5474.59</v>
      </c>
      <c r="F142" s="51">
        <f t="shared" si="25"/>
        <v>4298.1133204633206</v>
      </c>
      <c r="G142" s="51">
        <f t="shared" si="25"/>
        <v>4298.1133204633206</v>
      </c>
      <c r="H142" s="51">
        <f t="shared" si="25"/>
        <v>11198.46</v>
      </c>
      <c r="I142" s="51">
        <f t="shared" si="25"/>
        <v>2325.15</v>
      </c>
      <c r="J142" s="51">
        <f t="shared" si="25"/>
        <v>2138.13</v>
      </c>
      <c r="K142" s="263">
        <f>SUM(C142:J142)</f>
        <v>38716.476158301157</v>
      </c>
      <c r="L142" s="51"/>
      <c r="M142" s="29"/>
      <c r="N142" s="29"/>
      <c r="O142" s="29"/>
      <c r="Q142" s="29"/>
    </row>
    <row r="143" spans="2:17">
      <c r="B143" s="15" t="s">
        <v>150</v>
      </c>
      <c r="C143" s="34"/>
      <c r="E143" s="248">
        <v>4557.74</v>
      </c>
      <c r="F143" s="34"/>
      <c r="H143" s="248">
        <v>6536.09</v>
      </c>
      <c r="I143" s="34"/>
    </row>
    <row r="144" spans="2:17">
      <c r="B144" s="15" t="s">
        <v>99</v>
      </c>
      <c r="C144" s="34">
        <v>135</v>
      </c>
      <c r="D144" s="34">
        <v>135</v>
      </c>
      <c r="E144" s="34">
        <v>135</v>
      </c>
      <c r="F144" s="34">
        <v>135</v>
      </c>
      <c r="G144" s="34">
        <v>135</v>
      </c>
      <c r="H144" s="34">
        <v>135</v>
      </c>
      <c r="I144" s="34">
        <v>135</v>
      </c>
      <c r="J144" s="34">
        <v>135</v>
      </c>
      <c r="K144" s="51">
        <f>SUM(C144:J144)</f>
        <v>1080</v>
      </c>
    </row>
    <row r="145" spans="2:16">
      <c r="B145" s="47" t="s">
        <v>109</v>
      </c>
      <c r="C145" s="48">
        <f t="shared" ref="C145:J145" si="26">C142-C143-C144</f>
        <v>3879.7475289575291</v>
      </c>
      <c r="D145" s="48">
        <f t="shared" si="26"/>
        <v>4834.1719884169879</v>
      </c>
      <c r="E145" s="48">
        <f t="shared" si="26"/>
        <v>781.85000000000036</v>
      </c>
      <c r="F145" s="48">
        <f t="shared" si="26"/>
        <v>4163.1133204633206</v>
      </c>
      <c r="G145" s="48">
        <f t="shared" si="26"/>
        <v>4163.1133204633206</v>
      </c>
      <c r="H145" s="48">
        <f t="shared" si="26"/>
        <v>4527.369999999999</v>
      </c>
      <c r="I145" s="48">
        <f t="shared" si="26"/>
        <v>2190.15</v>
      </c>
      <c r="J145" s="48">
        <f t="shared" si="26"/>
        <v>2003.13</v>
      </c>
    </row>
    <row r="146" spans="2:16">
      <c r="B146" s="11" t="s">
        <v>153</v>
      </c>
      <c r="C146" s="34">
        <v>512</v>
      </c>
      <c r="D146" s="34">
        <v>512</v>
      </c>
      <c r="E146" s="34">
        <v>512</v>
      </c>
      <c r="F146" s="34">
        <v>512</v>
      </c>
      <c r="G146" s="34">
        <v>512</v>
      </c>
      <c r="H146" s="34">
        <v>512</v>
      </c>
      <c r="I146" s="34">
        <v>512</v>
      </c>
      <c r="J146" s="34">
        <v>512</v>
      </c>
    </row>
    <row r="147" spans="2:16">
      <c r="B147" s="47" t="s">
        <v>100</v>
      </c>
      <c r="C147" s="34">
        <f t="shared" ref="C147:J147" si="27">C146*C145</f>
        <v>1986430.7348262549</v>
      </c>
      <c r="D147" s="34">
        <f t="shared" si="27"/>
        <v>2475096.0580694978</v>
      </c>
      <c r="E147" s="34">
        <f t="shared" si="27"/>
        <v>400307.20000000019</v>
      </c>
      <c r="F147" s="34">
        <f t="shared" si="27"/>
        <v>2131514.0200772202</v>
      </c>
      <c r="G147" s="34">
        <f t="shared" si="27"/>
        <v>2131514.0200772202</v>
      </c>
      <c r="H147" s="34">
        <f t="shared" si="27"/>
        <v>2318013.4399999995</v>
      </c>
      <c r="I147" s="34">
        <f t="shared" si="27"/>
        <v>1121356.8</v>
      </c>
      <c r="J147" s="34">
        <f t="shared" si="27"/>
        <v>1025602.5600000001</v>
      </c>
      <c r="K147" s="247">
        <f>SUM(C147:J147)</f>
        <v>13589834.833050195</v>
      </c>
      <c r="L147" s="29"/>
      <c r="M147" s="268">
        <f>IFERROR(K147/C146,0)</f>
        <v>26542.646158301162</v>
      </c>
      <c r="N147" s="268"/>
      <c r="O147" s="268"/>
    </row>
    <row r="148" spans="2:16">
      <c r="B148" s="15" t="s">
        <v>151</v>
      </c>
      <c r="C148" s="54">
        <v>1325079.3600000001</v>
      </c>
      <c r="D148" s="54">
        <v>1612916.33</v>
      </c>
      <c r="E148" s="34">
        <v>0</v>
      </c>
      <c r="F148" s="54">
        <v>1410537.3</v>
      </c>
      <c r="G148" s="54">
        <v>1410537.3</v>
      </c>
      <c r="H148" s="34">
        <v>0</v>
      </c>
      <c r="I148" s="54">
        <v>786551.54</v>
      </c>
      <c r="J148" s="34">
        <v>0</v>
      </c>
      <c r="K148" s="267">
        <f>SUM(C148:I148)</f>
        <v>6545621.8300000001</v>
      </c>
    </row>
    <row r="149" spans="2:16">
      <c r="B149" s="12" t="s">
        <v>152</v>
      </c>
      <c r="C149" s="34">
        <f t="shared" ref="C149:J149" si="28">C147-C148</f>
        <v>661351.37482625479</v>
      </c>
      <c r="D149" s="34">
        <f t="shared" si="28"/>
        <v>862179.72806949774</v>
      </c>
      <c r="E149" s="34">
        <f t="shared" si="28"/>
        <v>400307.20000000019</v>
      </c>
      <c r="F149" s="34">
        <f t="shared" si="28"/>
        <v>720976.72007722012</v>
      </c>
      <c r="G149" s="34">
        <f t="shared" si="28"/>
        <v>720976.72007722012</v>
      </c>
      <c r="H149" s="34">
        <f t="shared" si="28"/>
        <v>2318013.4399999995</v>
      </c>
      <c r="I149" s="34">
        <f t="shared" si="28"/>
        <v>334805.26</v>
      </c>
      <c r="J149" s="34">
        <f t="shared" si="28"/>
        <v>1025602.5600000001</v>
      </c>
      <c r="K149" s="267"/>
    </row>
    <row r="153" spans="2:16">
      <c r="B153" s="600" t="s">
        <v>495</v>
      </c>
      <c r="C153" s="600"/>
      <c r="D153" s="600"/>
      <c r="E153" s="600"/>
      <c r="F153" s="600"/>
      <c r="G153" s="600"/>
      <c r="H153" s="600"/>
      <c r="I153" s="600"/>
      <c r="J153" s="600"/>
      <c r="K153" s="600"/>
      <c r="L153" s="600"/>
    </row>
    <row r="154" spans="2:16">
      <c r="B154" s="11" t="s">
        <v>178</v>
      </c>
      <c r="C154" s="602">
        <v>147</v>
      </c>
      <c r="D154" s="602"/>
      <c r="E154" s="602"/>
      <c r="F154" s="602">
        <v>148</v>
      </c>
      <c r="G154" s="602"/>
      <c r="H154" s="312">
        <v>149</v>
      </c>
      <c r="I154" s="312">
        <v>150</v>
      </c>
      <c r="J154" s="46"/>
    </row>
    <row r="155" spans="2:16">
      <c r="B155" s="11" t="s">
        <v>110</v>
      </c>
      <c r="C155" s="11">
        <v>510</v>
      </c>
      <c r="D155" s="11">
        <v>510</v>
      </c>
      <c r="E155" s="313">
        <v>510</v>
      </c>
      <c r="F155" s="11">
        <v>510</v>
      </c>
      <c r="G155" s="313">
        <v>510</v>
      </c>
      <c r="H155" s="313">
        <v>510</v>
      </c>
      <c r="I155" s="313">
        <v>518</v>
      </c>
      <c r="J155" s="46"/>
      <c r="K155" s="29"/>
      <c r="L155" s="29"/>
    </row>
    <row r="156" spans="2:16" ht="24">
      <c r="B156" s="15"/>
      <c r="C156" s="58" t="s">
        <v>386</v>
      </c>
      <c r="D156" s="57" t="s">
        <v>149</v>
      </c>
      <c r="E156" s="57" t="s">
        <v>107</v>
      </c>
      <c r="F156" s="58" t="s">
        <v>179</v>
      </c>
      <c r="G156" s="58" t="s">
        <v>202</v>
      </c>
      <c r="H156" s="58" t="s">
        <v>181</v>
      </c>
      <c r="I156" s="58" t="s">
        <v>337</v>
      </c>
      <c r="L156" s="55" t="s">
        <v>334</v>
      </c>
      <c r="M156" s="55" t="s">
        <v>335</v>
      </c>
      <c r="N156" s="55"/>
      <c r="O156" s="55"/>
      <c r="P156" s="50" t="s">
        <v>336</v>
      </c>
    </row>
    <row r="157" spans="2:16">
      <c r="B157" s="15" t="s">
        <v>96</v>
      </c>
      <c r="C157" s="314">
        <v>4080.2925882352943</v>
      </c>
      <c r="D157" s="315">
        <v>5049.688411764706</v>
      </c>
      <c r="E157" s="315">
        <v>9150.1</v>
      </c>
      <c r="F157" s="315">
        <v>4368.1033333333335</v>
      </c>
      <c r="G157" s="315">
        <v>4368.1033333333335</v>
      </c>
      <c r="H157" s="314">
        <v>11203.46</v>
      </c>
      <c r="I157" s="314">
        <v>2364.1875098039213</v>
      </c>
      <c r="J157" s="50" t="s">
        <v>419</v>
      </c>
      <c r="L157" s="29">
        <f>SUM(C157:I157)</f>
        <v>40583.935176470586</v>
      </c>
      <c r="M157" s="29">
        <f>SUM(C159:I159)</f>
        <v>40583.935176470586</v>
      </c>
      <c r="N157" s="29"/>
      <c r="O157" s="29"/>
      <c r="P157" s="247">
        <f>M157-L157</f>
        <v>0</v>
      </c>
    </row>
    <row r="158" spans="2:16">
      <c r="B158" s="11" t="s">
        <v>147</v>
      </c>
      <c r="C158" s="34">
        <v>0</v>
      </c>
      <c r="D158" s="34">
        <v>0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51">
        <f>SUM(C158:I158)</f>
        <v>0</v>
      </c>
    </row>
    <row r="159" spans="2:16">
      <c r="B159" s="50" t="s">
        <v>362</v>
      </c>
      <c r="C159" s="85">
        <f t="shared" ref="C159:I159" si="29">C157-C158</f>
        <v>4080.2925882352943</v>
      </c>
      <c r="D159" s="85">
        <f t="shared" si="29"/>
        <v>5049.688411764706</v>
      </c>
      <c r="E159" s="85">
        <f t="shared" si="29"/>
        <v>9150.1</v>
      </c>
      <c r="F159" s="85">
        <f t="shared" si="29"/>
        <v>4368.1033333333335</v>
      </c>
      <c r="G159" s="85">
        <f t="shared" si="29"/>
        <v>4368.1033333333335</v>
      </c>
      <c r="H159" s="85">
        <f t="shared" si="29"/>
        <v>11203.46</v>
      </c>
      <c r="I159" s="85">
        <f t="shared" si="29"/>
        <v>2364.1875098039213</v>
      </c>
      <c r="J159" s="50" t="s">
        <v>420</v>
      </c>
    </row>
    <row r="160" spans="2:16">
      <c r="B160" s="15" t="s">
        <v>97</v>
      </c>
      <c r="C160" s="34">
        <f t="shared" ref="C160:I160" si="30">40/7</f>
        <v>5.7142857142857144</v>
      </c>
      <c r="D160" s="34">
        <f t="shared" si="30"/>
        <v>5.7142857142857144</v>
      </c>
      <c r="E160" s="34">
        <f t="shared" si="30"/>
        <v>5.7142857142857144</v>
      </c>
      <c r="F160" s="34">
        <f t="shared" si="30"/>
        <v>5.7142857142857144</v>
      </c>
      <c r="G160" s="34">
        <f t="shared" si="30"/>
        <v>5.7142857142857144</v>
      </c>
      <c r="H160" s="34">
        <f t="shared" si="30"/>
        <v>5.7142857142857144</v>
      </c>
      <c r="I160" s="34">
        <f t="shared" si="30"/>
        <v>5.7142857142857144</v>
      </c>
      <c r="J160" s="34">
        <f>SUM(C160:I160)</f>
        <v>40</v>
      </c>
      <c r="M160" s="29">
        <f>M157-J160</f>
        <v>40543.935176470586</v>
      </c>
      <c r="N160" s="29"/>
      <c r="O160" s="29"/>
    </row>
    <row r="161" spans="2:17">
      <c r="B161" s="50" t="s">
        <v>148</v>
      </c>
      <c r="C161" s="51">
        <f t="shared" ref="C161:I161" si="31">C159-C160</f>
        <v>4074.5783025210085</v>
      </c>
      <c r="D161" s="51">
        <f t="shared" si="31"/>
        <v>5043.9741260504206</v>
      </c>
      <c r="E161" s="51">
        <f t="shared" si="31"/>
        <v>9144.3857142857141</v>
      </c>
      <c r="F161" s="51">
        <f t="shared" si="31"/>
        <v>4362.3890476190481</v>
      </c>
      <c r="G161" s="51">
        <f t="shared" si="31"/>
        <v>4362.3890476190481</v>
      </c>
      <c r="H161" s="51">
        <f t="shared" si="31"/>
        <v>11197.745714285713</v>
      </c>
      <c r="I161" s="51">
        <f t="shared" si="31"/>
        <v>2358.4732240896356</v>
      </c>
      <c r="J161" s="263">
        <f>SUM(C161:I161)</f>
        <v>40543.935176470586</v>
      </c>
      <c r="K161" s="51"/>
      <c r="L161" s="29"/>
      <c r="P161" s="29"/>
    </row>
    <row r="162" spans="2:17">
      <c r="B162" s="15" t="s">
        <v>150</v>
      </c>
      <c r="C162" s="34"/>
      <c r="E162" s="248">
        <v>5428.63</v>
      </c>
      <c r="F162" s="34"/>
      <c r="H162" s="248">
        <v>6540.32</v>
      </c>
      <c r="I162" s="34"/>
    </row>
    <row r="163" spans="2:17">
      <c r="B163" s="15" t="s">
        <v>99</v>
      </c>
      <c r="C163" s="34">
        <f>135*0</f>
        <v>0</v>
      </c>
      <c r="D163" s="34">
        <f t="shared" ref="D163:I163" si="32">135*0</f>
        <v>0</v>
      </c>
      <c r="E163" s="34">
        <f t="shared" si="32"/>
        <v>0</v>
      </c>
      <c r="F163" s="34">
        <f t="shared" si="32"/>
        <v>0</v>
      </c>
      <c r="G163" s="34">
        <f t="shared" si="32"/>
        <v>0</v>
      </c>
      <c r="H163" s="34">
        <f t="shared" si="32"/>
        <v>0</v>
      </c>
      <c r="I163" s="34">
        <f t="shared" si="32"/>
        <v>0</v>
      </c>
      <c r="J163" s="249">
        <f>SUM(C163:I163)</f>
        <v>0</v>
      </c>
    </row>
    <row r="164" spans="2:17">
      <c r="B164" s="47" t="s">
        <v>109</v>
      </c>
      <c r="C164" s="48">
        <f t="shared" ref="C164:I164" si="33">C161-C162-C163</f>
        <v>4074.5783025210085</v>
      </c>
      <c r="D164" s="48">
        <f t="shared" si="33"/>
        <v>5043.9741260504206</v>
      </c>
      <c r="E164" s="48">
        <f t="shared" si="33"/>
        <v>3715.755714285714</v>
      </c>
      <c r="F164" s="48">
        <f t="shared" si="33"/>
        <v>4362.3890476190481</v>
      </c>
      <c r="G164" s="48">
        <f t="shared" si="33"/>
        <v>4362.3890476190481</v>
      </c>
      <c r="H164" s="48">
        <f t="shared" si="33"/>
        <v>4657.4257142857132</v>
      </c>
      <c r="I164" s="48">
        <f t="shared" si="33"/>
        <v>2358.4732240896356</v>
      </c>
    </row>
    <row r="165" spans="2:17">
      <c r="B165" s="11" t="s">
        <v>153</v>
      </c>
      <c r="C165" s="34">
        <v>514</v>
      </c>
      <c r="D165" s="34">
        <f t="shared" ref="D165:I165" si="34">$C$165</f>
        <v>514</v>
      </c>
      <c r="E165" s="34">
        <f t="shared" si="34"/>
        <v>514</v>
      </c>
      <c r="F165" s="34">
        <f t="shared" si="34"/>
        <v>514</v>
      </c>
      <c r="G165" s="34">
        <f t="shared" si="34"/>
        <v>514</v>
      </c>
      <c r="H165" s="34">
        <f t="shared" si="34"/>
        <v>514</v>
      </c>
      <c r="I165" s="34">
        <f t="shared" si="34"/>
        <v>514</v>
      </c>
    </row>
    <row r="166" spans="2:17">
      <c r="B166" s="47" t="s">
        <v>100</v>
      </c>
      <c r="C166" s="34">
        <f t="shared" ref="C166:I166" si="35">C165*C164</f>
        <v>2094333.2474957984</v>
      </c>
      <c r="D166" s="34">
        <f t="shared" si="35"/>
        <v>2592602.7007899163</v>
      </c>
      <c r="E166" s="34">
        <f t="shared" si="35"/>
        <v>1909898.4371428571</v>
      </c>
      <c r="F166" s="34">
        <f t="shared" si="35"/>
        <v>2242267.9704761906</v>
      </c>
      <c r="G166" s="34">
        <f t="shared" si="35"/>
        <v>2242267.9704761906</v>
      </c>
      <c r="H166" s="34">
        <f t="shared" si="35"/>
        <v>2393916.8171428568</v>
      </c>
      <c r="I166" s="34">
        <f t="shared" si="35"/>
        <v>1212255.2371820726</v>
      </c>
      <c r="J166" s="247">
        <f>SUM(C166:I166)</f>
        <v>14687542.380705884</v>
      </c>
      <c r="K166" s="29"/>
      <c r="L166" s="268">
        <f>IFERROR(J166/C165,0)</f>
        <v>28574.985176470593</v>
      </c>
    </row>
    <row r="167" spans="2:17">
      <c r="B167" s="15" t="s">
        <v>151</v>
      </c>
      <c r="C167" s="54">
        <v>1325079.3600000001</v>
      </c>
      <c r="D167" s="54">
        <v>1612916.33</v>
      </c>
      <c r="E167" s="34">
        <v>0</v>
      </c>
      <c r="F167" s="54">
        <v>1410537.3</v>
      </c>
      <c r="G167" s="54">
        <v>1410537.3</v>
      </c>
      <c r="H167" s="34">
        <v>0</v>
      </c>
      <c r="I167" s="54">
        <v>786551.54</v>
      </c>
      <c r="J167" s="267">
        <f>SUM(C167:I167)</f>
        <v>6545621.8300000001</v>
      </c>
    </row>
    <row r="168" spans="2:17">
      <c r="B168" s="12" t="s">
        <v>152</v>
      </c>
      <c r="C168" s="34">
        <f t="shared" ref="C168:I168" si="36">C166-C167</f>
        <v>769253.88749579829</v>
      </c>
      <c r="D168" s="34">
        <f t="shared" si="36"/>
        <v>979686.37078991625</v>
      </c>
      <c r="E168" s="34">
        <f t="shared" si="36"/>
        <v>1909898.4371428571</v>
      </c>
      <c r="F168" s="34">
        <f t="shared" si="36"/>
        <v>831730.67047619051</v>
      </c>
      <c r="G168" s="34">
        <f t="shared" si="36"/>
        <v>831730.67047619051</v>
      </c>
      <c r="H168" s="34">
        <f t="shared" si="36"/>
        <v>2393916.8171428568</v>
      </c>
      <c r="I168" s="34">
        <f t="shared" si="36"/>
        <v>425703.69718207256</v>
      </c>
      <c r="J168" s="267"/>
    </row>
    <row r="171" spans="2:17">
      <c r="B171" s="600" t="s">
        <v>519</v>
      </c>
      <c r="C171" s="600"/>
      <c r="D171" s="600"/>
      <c r="E171" s="600"/>
      <c r="F171" s="600"/>
      <c r="G171" s="600"/>
      <c r="H171" s="600"/>
      <c r="I171" s="600"/>
      <c r="J171" s="600"/>
      <c r="K171" s="600"/>
      <c r="L171" s="600"/>
    </row>
    <row r="172" spans="2:17">
      <c r="B172" s="11" t="s">
        <v>178</v>
      </c>
      <c r="C172" s="602">
        <v>151</v>
      </c>
      <c r="D172" s="602"/>
      <c r="E172" s="602"/>
      <c r="F172" s="602">
        <v>152</v>
      </c>
      <c r="G172" s="602"/>
      <c r="H172" s="319">
        <v>153</v>
      </c>
      <c r="I172" s="319">
        <v>154</v>
      </c>
      <c r="J172" s="321" t="s">
        <v>544</v>
      </c>
    </row>
    <row r="173" spans="2:17">
      <c r="B173" s="11" t="s">
        <v>110</v>
      </c>
      <c r="C173" s="11">
        <v>509</v>
      </c>
      <c r="D173" s="11">
        <v>509</v>
      </c>
      <c r="E173" s="11">
        <v>509</v>
      </c>
      <c r="F173" s="11">
        <v>509</v>
      </c>
      <c r="G173" s="11">
        <v>509</v>
      </c>
      <c r="H173" s="11">
        <v>509</v>
      </c>
      <c r="I173" s="11">
        <v>509</v>
      </c>
      <c r="J173" s="46">
        <v>509</v>
      </c>
      <c r="K173" s="29"/>
      <c r="L173" s="29"/>
    </row>
    <row r="174" spans="2:17" ht="24">
      <c r="B174" s="15"/>
      <c r="C174" s="58" t="s">
        <v>386</v>
      </c>
      <c r="D174" s="57" t="s">
        <v>149</v>
      </c>
      <c r="E174" s="57" t="s">
        <v>107</v>
      </c>
      <c r="F174" s="58" t="s">
        <v>179</v>
      </c>
      <c r="G174" s="58" t="s">
        <v>202</v>
      </c>
      <c r="H174" s="58" t="s">
        <v>181</v>
      </c>
      <c r="I174" s="58" t="s">
        <v>337</v>
      </c>
      <c r="J174" s="11" t="s">
        <v>545</v>
      </c>
      <c r="M174" s="55" t="s">
        <v>334</v>
      </c>
      <c r="N174" s="55"/>
      <c r="O174" s="55"/>
      <c r="P174" s="55" t="s">
        <v>335</v>
      </c>
      <c r="Q174" s="50" t="s">
        <v>336</v>
      </c>
    </row>
    <row r="175" spans="2:17">
      <c r="B175" s="15" t="s">
        <v>96</v>
      </c>
      <c r="C175" s="314">
        <v>4087.9945383104127</v>
      </c>
      <c r="D175" s="315">
        <v>5059.2948722986248</v>
      </c>
      <c r="E175" s="315">
        <v>5479.59</v>
      </c>
      <c r="F175" s="315">
        <v>4376.3707269155211</v>
      </c>
      <c r="G175" s="315">
        <v>4376.3707269155211</v>
      </c>
      <c r="H175" s="315">
        <v>11203.46</v>
      </c>
      <c r="I175" s="314">
        <v>2368.5179371316303</v>
      </c>
      <c r="J175" s="314">
        <v>5476.8</v>
      </c>
      <c r="K175" s="50" t="s">
        <v>419</v>
      </c>
      <c r="M175" s="29">
        <f>SUM(C175:I175)</f>
        <v>36951.598801571716</v>
      </c>
      <c r="N175" s="29"/>
      <c r="O175" s="29"/>
      <c r="P175" s="29">
        <f>SUM(C177:I177)</f>
        <v>36951.598801571716</v>
      </c>
      <c r="Q175" s="247">
        <f>P175-M175</f>
        <v>0</v>
      </c>
    </row>
    <row r="176" spans="2:17">
      <c r="B176" s="11" t="s">
        <v>147</v>
      </c>
      <c r="C176" s="34">
        <v>0</v>
      </c>
      <c r="D176" s="34">
        <v>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11">
        <v>0</v>
      </c>
      <c r="K176" s="51">
        <f>SUM(C176:J176)</f>
        <v>0</v>
      </c>
    </row>
    <row r="177" spans="2:17">
      <c r="B177" s="50" t="s">
        <v>362</v>
      </c>
      <c r="C177" s="85">
        <f t="shared" ref="C177:J177" si="37">C175-C176</f>
        <v>4087.9945383104127</v>
      </c>
      <c r="D177" s="85">
        <f t="shared" si="37"/>
        <v>5059.2948722986248</v>
      </c>
      <c r="E177" s="85">
        <f t="shared" si="37"/>
        <v>5479.59</v>
      </c>
      <c r="F177" s="85">
        <f t="shared" si="37"/>
        <v>4376.3707269155211</v>
      </c>
      <c r="G177" s="85">
        <f t="shared" si="37"/>
        <v>4376.3707269155211</v>
      </c>
      <c r="H177" s="85">
        <f t="shared" si="37"/>
        <v>11203.46</v>
      </c>
      <c r="I177" s="85">
        <f t="shared" si="37"/>
        <v>2368.5179371316303</v>
      </c>
      <c r="J177" s="85">
        <f t="shared" si="37"/>
        <v>5476.8</v>
      </c>
      <c r="K177" s="50" t="s">
        <v>420</v>
      </c>
    </row>
    <row r="178" spans="2:17">
      <c r="B178" s="15" t="s">
        <v>97</v>
      </c>
      <c r="C178" s="34">
        <f t="shared" ref="C178:I178" si="38">40/7</f>
        <v>5.7142857142857144</v>
      </c>
      <c r="D178" s="34">
        <f t="shared" si="38"/>
        <v>5.7142857142857144</v>
      </c>
      <c r="E178" s="34">
        <f t="shared" si="38"/>
        <v>5.7142857142857144</v>
      </c>
      <c r="F178" s="34">
        <f t="shared" si="38"/>
        <v>5.7142857142857144</v>
      </c>
      <c r="G178" s="34">
        <f t="shared" si="38"/>
        <v>5.7142857142857144</v>
      </c>
      <c r="H178" s="34">
        <f t="shared" si="38"/>
        <v>5.7142857142857144</v>
      </c>
      <c r="I178" s="34">
        <f t="shared" si="38"/>
        <v>5.7142857142857144</v>
      </c>
      <c r="J178" s="11">
        <v>20</v>
      </c>
      <c r="K178" s="34">
        <f>SUM(C178:I178)</f>
        <v>40</v>
      </c>
      <c r="P178" s="29">
        <f>P175-K178</f>
        <v>36911.598801571716</v>
      </c>
    </row>
    <row r="179" spans="2:17">
      <c r="B179" s="50" t="s">
        <v>148</v>
      </c>
      <c r="C179" s="51">
        <f t="shared" ref="C179:J179" si="39">C177-C178</f>
        <v>4082.280252596127</v>
      </c>
      <c r="D179" s="51">
        <f t="shared" si="39"/>
        <v>5053.5805865843395</v>
      </c>
      <c r="E179" s="51">
        <f t="shared" si="39"/>
        <v>5473.8757142857148</v>
      </c>
      <c r="F179" s="51">
        <f t="shared" si="39"/>
        <v>4370.6564412012358</v>
      </c>
      <c r="G179" s="51">
        <f t="shared" si="39"/>
        <v>4370.6564412012358</v>
      </c>
      <c r="H179" s="51">
        <f t="shared" si="39"/>
        <v>11197.745714285713</v>
      </c>
      <c r="I179" s="51">
        <f t="shared" si="39"/>
        <v>2362.8036514173446</v>
      </c>
      <c r="J179" s="51">
        <f t="shared" si="39"/>
        <v>5456.8</v>
      </c>
      <c r="K179" s="263">
        <f>SUM(C179:I179)</f>
        <v>36911.598801571716</v>
      </c>
      <c r="M179" s="29"/>
      <c r="N179" s="29"/>
      <c r="O179" s="29"/>
      <c r="Q179" s="29"/>
    </row>
    <row r="180" spans="2:17">
      <c r="B180" s="15" t="s">
        <v>150</v>
      </c>
      <c r="C180" s="34"/>
      <c r="E180" s="248">
        <v>3414.59</v>
      </c>
      <c r="F180" s="34"/>
      <c r="H180" s="248">
        <v>6544.46</v>
      </c>
      <c r="I180" s="34"/>
      <c r="J180" s="248">
        <v>3287.33</v>
      </c>
    </row>
    <row r="181" spans="2:17">
      <c r="B181" s="15" t="s">
        <v>99</v>
      </c>
      <c r="C181" s="34">
        <f>135*0</f>
        <v>0</v>
      </c>
      <c r="D181" s="34">
        <f t="shared" ref="D181:I181" si="40">135*0</f>
        <v>0</v>
      </c>
      <c r="E181" s="34">
        <f t="shared" si="40"/>
        <v>0</v>
      </c>
      <c r="F181" s="34">
        <f t="shared" si="40"/>
        <v>0</v>
      </c>
      <c r="G181" s="34">
        <f t="shared" si="40"/>
        <v>0</v>
      </c>
      <c r="H181" s="34">
        <f t="shared" si="40"/>
        <v>0</v>
      </c>
      <c r="I181" s="34">
        <f t="shared" si="40"/>
        <v>0</v>
      </c>
      <c r="J181" s="11">
        <v>135</v>
      </c>
      <c r="K181" s="29">
        <f>SUM(C181:I181)</f>
        <v>0</v>
      </c>
    </row>
    <row r="182" spans="2:17">
      <c r="B182" s="47" t="s">
        <v>109</v>
      </c>
      <c r="C182" s="48">
        <f t="shared" ref="C182:J182" si="41">C179-C180-C181</f>
        <v>4082.280252596127</v>
      </c>
      <c r="D182" s="48">
        <f t="shared" si="41"/>
        <v>5053.5805865843395</v>
      </c>
      <c r="E182" s="48">
        <f t="shared" si="41"/>
        <v>2059.2857142857147</v>
      </c>
      <c r="F182" s="48">
        <f t="shared" si="41"/>
        <v>4370.6564412012358</v>
      </c>
      <c r="G182" s="48">
        <f t="shared" si="41"/>
        <v>4370.6564412012358</v>
      </c>
      <c r="H182" s="48">
        <f t="shared" si="41"/>
        <v>4653.2857142857129</v>
      </c>
      <c r="I182" s="48">
        <f t="shared" si="41"/>
        <v>2362.8036514173446</v>
      </c>
      <c r="J182" s="48">
        <f t="shared" si="41"/>
        <v>2034.4700000000003</v>
      </c>
    </row>
    <row r="183" spans="2:17">
      <c r="B183" s="11" t="s">
        <v>153</v>
      </c>
      <c r="C183" s="320">
        <v>506</v>
      </c>
      <c r="D183" s="34">
        <f t="shared" ref="D183:I183" si="42">$C$183</f>
        <v>506</v>
      </c>
      <c r="E183" s="34">
        <f t="shared" si="42"/>
        <v>506</v>
      </c>
      <c r="F183" s="34">
        <f t="shared" si="42"/>
        <v>506</v>
      </c>
      <c r="G183" s="34">
        <f t="shared" si="42"/>
        <v>506</v>
      </c>
      <c r="H183" s="34">
        <f t="shared" si="42"/>
        <v>506</v>
      </c>
      <c r="I183" s="34">
        <f t="shared" si="42"/>
        <v>506</v>
      </c>
      <c r="J183" s="34">
        <v>506</v>
      </c>
    </row>
    <row r="184" spans="2:17">
      <c r="B184" s="47" t="s">
        <v>100</v>
      </c>
      <c r="C184" s="34">
        <f t="shared" ref="C184:J184" si="43">C183*C182</f>
        <v>2065633.8078136402</v>
      </c>
      <c r="D184" s="34">
        <f t="shared" si="43"/>
        <v>2557111.7768116756</v>
      </c>
      <c r="E184" s="34">
        <f t="shared" si="43"/>
        <v>1041998.5714285716</v>
      </c>
      <c r="F184" s="34">
        <f t="shared" si="43"/>
        <v>2211552.1592478254</v>
      </c>
      <c r="G184" s="34">
        <f t="shared" si="43"/>
        <v>2211552.1592478254</v>
      </c>
      <c r="H184" s="34">
        <f t="shared" si="43"/>
        <v>2354562.5714285709</v>
      </c>
      <c r="I184" s="34">
        <f t="shared" si="43"/>
        <v>1195578.6476171764</v>
      </c>
      <c r="J184" s="34">
        <f t="shared" si="43"/>
        <v>1029441.8200000002</v>
      </c>
      <c r="K184" s="247">
        <f>SUM(C184:I184)</f>
        <v>13637989.693595285</v>
      </c>
      <c r="M184" s="268">
        <f>IFERROR(K184/C183,0)</f>
        <v>26952.548801571709</v>
      </c>
      <c r="N184" s="268"/>
      <c r="O184" s="268"/>
    </row>
    <row r="185" spans="2:17">
      <c r="B185" s="15" t="s">
        <v>151</v>
      </c>
      <c r="C185" s="54">
        <v>1325079.3600000001</v>
      </c>
      <c r="D185" s="54">
        <v>1612916.33</v>
      </c>
      <c r="E185" s="34">
        <v>0</v>
      </c>
      <c r="F185" s="54">
        <v>1410537.3</v>
      </c>
      <c r="G185" s="54">
        <v>1410537.3</v>
      </c>
      <c r="H185" s="34">
        <v>0</v>
      </c>
      <c r="I185" s="54">
        <v>786551.54</v>
      </c>
      <c r="K185" s="267">
        <f>SUM(C185:I185)</f>
        <v>6545621.8300000001</v>
      </c>
    </row>
    <row r="186" spans="2:17">
      <c r="B186" s="12" t="s">
        <v>152</v>
      </c>
      <c r="C186" s="34">
        <f t="shared" ref="C186:I186" si="44">C184-C185</f>
        <v>740554.44781364012</v>
      </c>
      <c r="D186" s="34">
        <f t="shared" si="44"/>
        <v>944195.44681167556</v>
      </c>
      <c r="E186" s="34">
        <f t="shared" si="44"/>
        <v>1041998.5714285716</v>
      </c>
      <c r="F186" s="34">
        <f t="shared" si="44"/>
        <v>801014.85924782534</v>
      </c>
      <c r="G186" s="34">
        <f t="shared" si="44"/>
        <v>801014.85924782534</v>
      </c>
      <c r="H186" s="34">
        <f t="shared" si="44"/>
        <v>2354562.5714285709</v>
      </c>
      <c r="I186" s="34">
        <f t="shared" si="44"/>
        <v>409027.10761717637</v>
      </c>
      <c r="J186" s="34">
        <f>J184-J185</f>
        <v>1029441.8200000002</v>
      </c>
    </row>
    <row r="189" spans="2:17">
      <c r="B189" s="600" t="s">
        <v>564</v>
      </c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</row>
    <row r="190" spans="2:17">
      <c r="B190" s="11" t="s">
        <v>178</v>
      </c>
      <c r="C190" s="602">
        <v>161</v>
      </c>
      <c r="D190" s="602"/>
      <c r="E190" s="602"/>
      <c r="F190" s="602">
        <v>161</v>
      </c>
      <c r="G190" s="602"/>
      <c r="H190" s="326">
        <v>161</v>
      </c>
      <c r="I190" s="326">
        <v>161</v>
      </c>
      <c r="J190" s="326">
        <v>161</v>
      </c>
    </row>
    <row r="191" spans="2:17">
      <c r="B191" s="11" t="s">
        <v>110</v>
      </c>
      <c r="C191" s="11">
        <v>502</v>
      </c>
      <c r="D191" s="11">
        <v>502</v>
      </c>
      <c r="E191" s="11">
        <v>502</v>
      </c>
      <c r="F191" s="11">
        <v>502</v>
      </c>
      <c r="G191" s="11">
        <v>502</v>
      </c>
      <c r="H191" s="11">
        <v>502</v>
      </c>
      <c r="I191" s="11">
        <v>502</v>
      </c>
      <c r="J191" s="46">
        <v>502</v>
      </c>
      <c r="K191" s="29"/>
      <c r="L191" s="29"/>
    </row>
    <row r="192" spans="2:17" ht="24">
      <c r="B192" s="15"/>
      <c r="C192" s="57" t="s">
        <v>386</v>
      </c>
      <c r="D192" s="57" t="s">
        <v>149</v>
      </c>
      <c r="E192" s="57" t="s">
        <v>107</v>
      </c>
      <c r="F192" s="57" t="s">
        <v>179</v>
      </c>
      <c r="G192" s="57" t="s">
        <v>202</v>
      </c>
      <c r="H192" s="57" t="s">
        <v>181</v>
      </c>
      <c r="I192" s="57" t="s">
        <v>337</v>
      </c>
      <c r="J192" s="15" t="s">
        <v>545</v>
      </c>
      <c r="M192" s="55" t="s">
        <v>334</v>
      </c>
      <c r="N192" s="55"/>
      <c r="O192" s="55"/>
      <c r="P192" s="55" t="s">
        <v>335</v>
      </c>
      <c r="Q192" s="50" t="s">
        <v>336</v>
      </c>
    </row>
    <row r="193" spans="2:17">
      <c r="B193" s="15" t="s">
        <v>96</v>
      </c>
      <c r="C193" s="314">
        <v>4142.7673705179277</v>
      </c>
      <c r="D193" s="315">
        <v>5127.6117330677289</v>
      </c>
      <c r="E193" s="315">
        <v>5479.59</v>
      </c>
      <c r="F193" s="315">
        <v>4435.1647410358573</v>
      </c>
      <c r="G193" s="315">
        <v>4435.1647410358573</v>
      </c>
      <c r="H193" s="315">
        <v>11203.46</v>
      </c>
      <c r="I193" s="314">
        <v>2399.3140039840637</v>
      </c>
      <c r="J193" s="314">
        <v>7069.05</v>
      </c>
      <c r="K193" s="50" t="s">
        <v>419</v>
      </c>
      <c r="M193" s="29">
        <f>SUM(C193:I193)</f>
        <v>37223.072589641437</v>
      </c>
      <c r="N193" s="29"/>
      <c r="O193" s="29"/>
      <c r="P193" s="29">
        <f>SUM(C195:I195)</f>
        <v>37223.072589641437</v>
      </c>
      <c r="Q193" s="247">
        <f>P193-M193</f>
        <v>0</v>
      </c>
    </row>
    <row r="194" spans="2:17">
      <c r="B194" s="11" t="s">
        <v>147</v>
      </c>
      <c r="C194" s="34">
        <v>0</v>
      </c>
      <c r="D194" s="34">
        <v>0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15">
        <v>0</v>
      </c>
      <c r="K194" s="51">
        <f>SUM(C194:J194)</f>
        <v>0</v>
      </c>
      <c r="M194" s="334">
        <f>J193</f>
        <v>7069.05</v>
      </c>
      <c r="N194" s="334"/>
      <c r="O194" s="334"/>
    </row>
    <row r="195" spans="2:17">
      <c r="B195" s="50" t="s">
        <v>362</v>
      </c>
      <c r="C195" s="85">
        <f t="shared" ref="C195:J195" si="45">C193-C194</f>
        <v>4142.7673705179277</v>
      </c>
      <c r="D195" s="85">
        <f t="shared" si="45"/>
        <v>5127.6117330677289</v>
      </c>
      <c r="E195" s="85">
        <f t="shared" si="45"/>
        <v>5479.59</v>
      </c>
      <c r="F195" s="85">
        <f t="shared" si="45"/>
        <v>4435.1647410358573</v>
      </c>
      <c r="G195" s="85">
        <f t="shared" si="45"/>
        <v>4435.1647410358573</v>
      </c>
      <c r="H195" s="85">
        <f t="shared" si="45"/>
        <v>11203.46</v>
      </c>
      <c r="I195" s="85">
        <f t="shared" si="45"/>
        <v>2399.3140039840637</v>
      </c>
      <c r="J195" s="85">
        <f t="shared" si="45"/>
        <v>7069.05</v>
      </c>
      <c r="K195" s="50" t="s">
        <v>420</v>
      </c>
    </row>
    <row r="196" spans="2:17">
      <c r="B196" s="15" t="s">
        <v>97</v>
      </c>
      <c r="C196" s="327">
        <f t="shared" ref="C196:I196" si="46">40/7</f>
        <v>5.7142857142857144</v>
      </c>
      <c r="D196" s="327">
        <f t="shared" si="46"/>
        <v>5.7142857142857144</v>
      </c>
      <c r="E196" s="327">
        <f t="shared" si="46"/>
        <v>5.7142857142857144</v>
      </c>
      <c r="F196" s="327">
        <f t="shared" si="46"/>
        <v>5.7142857142857144</v>
      </c>
      <c r="G196" s="327">
        <f t="shared" si="46"/>
        <v>5.7142857142857144</v>
      </c>
      <c r="H196" s="327">
        <f t="shared" si="46"/>
        <v>5.7142857142857144</v>
      </c>
      <c r="I196" s="327">
        <f t="shared" si="46"/>
        <v>5.7142857142857144</v>
      </c>
      <c r="J196" s="327">
        <v>20</v>
      </c>
      <c r="K196" s="34">
        <f>SUM(C196:J196)</f>
        <v>60</v>
      </c>
      <c r="P196" s="29">
        <f>P193-K196</f>
        <v>37163.072589641437</v>
      </c>
    </row>
    <row r="197" spans="2:17">
      <c r="B197" s="50" t="s">
        <v>148</v>
      </c>
      <c r="C197" s="51">
        <f t="shared" ref="C197:J197" si="47">C195-C196</f>
        <v>4137.0530848036424</v>
      </c>
      <c r="D197" s="51">
        <f t="shared" si="47"/>
        <v>5121.8974473534436</v>
      </c>
      <c r="E197" s="51">
        <f t="shared" si="47"/>
        <v>5473.8757142857148</v>
      </c>
      <c r="F197" s="51">
        <f t="shared" si="47"/>
        <v>4429.450455321572</v>
      </c>
      <c r="G197" s="51">
        <f t="shared" si="47"/>
        <v>4429.450455321572</v>
      </c>
      <c r="H197" s="51">
        <f t="shared" si="47"/>
        <v>11197.745714285713</v>
      </c>
      <c r="I197" s="51">
        <f t="shared" si="47"/>
        <v>2393.5997182697779</v>
      </c>
      <c r="J197" s="85">
        <f t="shared" si="47"/>
        <v>7049.05</v>
      </c>
      <c r="K197" s="263">
        <f>SUM(C197:I197)</f>
        <v>37183.072589641437</v>
      </c>
      <c r="M197" s="29"/>
      <c r="N197" s="29"/>
      <c r="O197" s="29"/>
      <c r="Q197" s="29"/>
    </row>
    <row r="198" spans="2:17">
      <c r="B198" s="15" t="s">
        <v>150</v>
      </c>
      <c r="C198" s="34"/>
      <c r="E198" s="248">
        <v>3417.34</v>
      </c>
      <c r="F198" s="34"/>
      <c r="H198" s="248">
        <v>6664.55</v>
      </c>
      <c r="I198" s="34"/>
      <c r="J198" s="248">
        <v>4018.67</v>
      </c>
    </row>
    <row r="199" spans="2:17">
      <c r="B199" s="15" t="s">
        <v>99</v>
      </c>
      <c r="C199" s="34">
        <f>135</f>
        <v>135</v>
      </c>
      <c r="D199" s="34">
        <f>135</f>
        <v>135</v>
      </c>
      <c r="E199" s="34">
        <f>135</f>
        <v>135</v>
      </c>
      <c r="F199" s="34">
        <f>135</f>
        <v>135</v>
      </c>
      <c r="G199" s="34">
        <f>135</f>
        <v>135</v>
      </c>
      <c r="H199" s="34">
        <f>135</f>
        <v>135</v>
      </c>
      <c r="I199" s="34">
        <f>135</f>
        <v>135</v>
      </c>
      <c r="J199" s="34">
        <v>135</v>
      </c>
      <c r="K199" s="29">
        <f>SUM(C199:J199)</f>
        <v>1080</v>
      </c>
    </row>
    <row r="200" spans="2:17">
      <c r="B200" s="47" t="s">
        <v>109</v>
      </c>
      <c r="C200" s="48">
        <f>C197-C198-C199</f>
        <v>4002.0530848036424</v>
      </c>
      <c r="D200" s="48">
        <f t="shared" ref="D200:J200" si="48">D197-D198-D199</f>
        <v>4986.8974473534436</v>
      </c>
      <c r="E200" s="48">
        <f t="shared" si="48"/>
        <v>1921.5357142857147</v>
      </c>
      <c r="F200" s="48">
        <f t="shared" si="48"/>
        <v>4294.450455321572</v>
      </c>
      <c r="G200" s="48">
        <f t="shared" si="48"/>
        <v>4294.450455321572</v>
      </c>
      <c r="H200" s="48">
        <f t="shared" si="48"/>
        <v>4398.1957142857127</v>
      </c>
      <c r="I200" s="48">
        <f t="shared" si="48"/>
        <v>2258.5997182697779</v>
      </c>
      <c r="J200" s="48">
        <f t="shared" si="48"/>
        <v>2895.38</v>
      </c>
    </row>
    <row r="201" spans="2:17">
      <c r="B201" s="11" t="s">
        <v>153</v>
      </c>
      <c r="C201" s="320">
        <v>501</v>
      </c>
      <c r="D201" s="34">
        <f t="shared" ref="D201:I201" si="49">$C$201</f>
        <v>501</v>
      </c>
      <c r="E201" s="34">
        <f t="shared" si="49"/>
        <v>501</v>
      </c>
      <c r="F201" s="34">
        <f t="shared" si="49"/>
        <v>501</v>
      </c>
      <c r="G201" s="34">
        <f t="shared" si="49"/>
        <v>501</v>
      </c>
      <c r="H201" s="34">
        <f t="shared" si="49"/>
        <v>501</v>
      </c>
      <c r="I201" s="34">
        <f t="shared" si="49"/>
        <v>501</v>
      </c>
      <c r="J201" s="34">
        <v>496</v>
      </c>
    </row>
    <row r="202" spans="2:17">
      <c r="B202" s="47" t="s">
        <v>100</v>
      </c>
      <c r="C202" s="34">
        <f t="shared" ref="C202:I202" si="50">C201*C200</f>
        <v>2005028.5954866249</v>
      </c>
      <c r="D202" s="34">
        <f t="shared" si="50"/>
        <v>2498435.6211240753</v>
      </c>
      <c r="E202" s="34">
        <f t="shared" si="50"/>
        <v>962689.39285714307</v>
      </c>
      <c r="F202" s="34">
        <f t="shared" si="50"/>
        <v>2151519.6781161074</v>
      </c>
      <c r="G202" s="34">
        <f t="shared" si="50"/>
        <v>2151519.6781161074</v>
      </c>
      <c r="H202" s="34">
        <f t="shared" si="50"/>
        <v>2203496.0528571419</v>
      </c>
      <c r="I202" s="34">
        <f t="shared" si="50"/>
        <v>1131558.4588531586</v>
      </c>
      <c r="J202" s="34">
        <f>J201*J200</f>
        <v>1436108.48</v>
      </c>
      <c r="K202" s="247">
        <f>SUM(C202:J202)</f>
        <v>14540355.957410358</v>
      </c>
      <c r="M202" s="268">
        <f>IFERROR(K202/C201,0)</f>
        <v>29022.666581657402</v>
      </c>
      <c r="N202" s="268"/>
      <c r="O202" s="268"/>
    </row>
    <row r="203" spans="2:17">
      <c r="B203" s="15" t="s">
        <v>151</v>
      </c>
      <c r="C203" s="54">
        <v>1325079.3600000001</v>
      </c>
      <c r="D203" s="54">
        <v>1612916.33</v>
      </c>
      <c r="E203" s="34">
        <v>0</v>
      </c>
      <c r="F203" s="54">
        <v>1410537.3</v>
      </c>
      <c r="G203" s="54">
        <v>1410537.3</v>
      </c>
      <c r="H203" s="34">
        <v>0</v>
      </c>
      <c r="I203" s="54">
        <v>786551.54</v>
      </c>
      <c r="J203" s="15"/>
      <c r="K203" s="267">
        <f>SUM(C203:I203)</f>
        <v>6545621.8300000001</v>
      </c>
      <c r="M203" s="268">
        <f>IFERROR(K203/C201,0)</f>
        <v>13065.113433133733</v>
      </c>
      <c r="N203" s="268"/>
      <c r="O203" s="268"/>
    </row>
    <row r="204" spans="2:17">
      <c r="B204" s="12" t="s">
        <v>152</v>
      </c>
      <c r="C204" s="34">
        <f t="shared" ref="C204:I204" si="51">C202-C203</f>
        <v>679949.23548662476</v>
      </c>
      <c r="D204" s="34">
        <f t="shared" si="51"/>
        <v>885519.29112407519</v>
      </c>
      <c r="E204" s="34">
        <f t="shared" si="51"/>
        <v>962689.39285714307</v>
      </c>
      <c r="F204" s="34">
        <f t="shared" si="51"/>
        <v>740982.37811610731</v>
      </c>
      <c r="G204" s="34">
        <f t="shared" si="51"/>
        <v>740982.37811610731</v>
      </c>
      <c r="H204" s="34">
        <f t="shared" si="51"/>
        <v>2203496.0528571419</v>
      </c>
      <c r="I204" s="34">
        <f t="shared" si="51"/>
        <v>345006.9188531586</v>
      </c>
      <c r="J204" s="34">
        <f>J202-J203</f>
        <v>1436108.48</v>
      </c>
    </row>
    <row r="205" spans="2:17">
      <c r="J205" s="335"/>
    </row>
    <row r="206" spans="2:17">
      <c r="J206" s="15"/>
    </row>
    <row r="207" spans="2:17">
      <c r="B207" s="600" t="s">
        <v>607</v>
      </c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</row>
    <row r="208" spans="2:17">
      <c r="B208" s="11" t="s">
        <v>178</v>
      </c>
      <c r="C208" s="602">
        <v>161</v>
      </c>
      <c r="D208" s="602"/>
      <c r="E208" s="602"/>
      <c r="F208" s="602">
        <v>161</v>
      </c>
      <c r="G208" s="602"/>
      <c r="H208" s="336">
        <v>161</v>
      </c>
      <c r="I208" s="336">
        <v>161</v>
      </c>
      <c r="J208" s="336"/>
    </row>
    <row r="209" spans="2:17">
      <c r="B209" s="11" t="s">
        <v>110</v>
      </c>
      <c r="C209" s="338">
        <v>496</v>
      </c>
      <c r="D209" s="338">
        <v>496</v>
      </c>
      <c r="E209" s="338">
        <v>496</v>
      </c>
      <c r="F209" s="338">
        <v>496</v>
      </c>
      <c r="G209" s="338">
        <v>496</v>
      </c>
      <c r="H209" s="338">
        <v>496</v>
      </c>
      <c r="I209" s="338">
        <v>496</v>
      </c>
      <c r="J209" s="46"/>
      <c r="K209" s="29"/>
      <c r="L209" s="29"/>
    </row>
    <row r="210" spans="2:17" ht="24">
      <c r="B210" s="15"/>
      <c r="C210" s="57" t="s">
        <v>386</v>
      </c>
      <c r="D210" s="57" t="s">
        <v>149</v>
      </c>
      <c r="E210" s="57" t="s">
        <v>107</v>
      </c>
      <c r="F210" s="57" t="s">
        <v>179</v>
      </c>
      <c r="G210" s="57" t="s">
        <v>202</v>
      </c>
      <c r="H210" s="57" t="s">
        <v>181</v>
      </c>
      <c r="I210" s="57" t="s">
        <v>337</v>
      </c>
      <c r="J210" s="15" t="s">
        <v>545</v>
      </c>
      <c r="M210" s="55" t="s">
        <v>334</v>
      </c>
      <c r="N210" s="55"/>
      <c r="O210" s="55"/>
      <c r="P210" s="55" t="s">
        <v>335</v>
      </c>
      <c r="Q210" s="50" t="s">
        <v>336</v>
      </c>
    </row>
    <row r="211" spans="2:17">
      <c r="B211" s="15" t="s">
        <v>96</v>
      </c>
      <c r="C211" s="314">
        <v>5567.8868346774198</v>
      </c>
      <c r="D211" s="315">
        <v>8775.7016129032254</v>
      </c>
      <c r="E211" s="315">
        <v>10623.77</v>
      </c>
      <c r="F211" s="315">
        <v>7875.9933467741939</v>
      </c>
      <c r="G211" s="315">
        <v>6934.5731048387106</v>
      </c>
      <c r="H211" s="315">
        <v>20013.02</v>
      </c>
      <c r="I211" s="314">
        <v>3461.9379233870968</v>
      </c>
      <c r="J211" s="339"/>
      <c r="K211" s="50" t="s">
        <v>419</v>
      </c>
      <c r="M211" s="29">
        <f>SUM(C211:I211)</f>
        <v>63252.88282258065</v>
      </c>
      <c r="N211" s="29"/>
      <c r="O211" s="29"/>
      <c r="P211" s="29">
        <f>SUM(C213:I213)</f>
        <v>63252.88282258065</v>
      </c>
      <c r="Q211" s="247">
        <f>P211-M211</f>
        <v>0</v>
      </c>
    </row>
    <row r="212" spans="2:17">
      <c r="B212" s="11" t="s">
        <v>147</v>
      </c>
      <c r="C212" s="34">
        <v>0</v>
      </c>
      <c r="D212" s="34">
        <v>0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15">
        <v>0</v>
      </c>
      <c r="K212" s="51">
        <f>SUM(C212:J212)</f>
        <v>0</v>
      </c>
      <c r="M212" s="334">
        <f>J211</f>
        <v>0</v>
      </c>
      <c r="N212" s="334"/>
      <c r="O212" s="334"/>
    </row>
    <row r="213" spans="2:17">
      <c r="B213" s="50" t="s">
        <v>362</v>
      </c>
      <c r="C213" s="85">
        <f t="shared" ref="C213:J213" si="52">C211-C212</f>
        <v>5567.8868346774198</v>
      </c>
      <c r="D213" s="85">
        <f t="shared" si="52"/>
        <v>8775.7016129032254</v>
      </c>
      <c r="E213" s="85">
        <f t="shared" si="52"/>
        <v>10623.77</v>
      </c>
      <c r="F213" s="85">
        <f t="shared" si="52"/>
        <v>7875.9933467741939</v>
      </c>
      <c r="G213" s="85">
        <f t="shared" si="52"/>
        <v>6934.5731048387106</v>
      </c>
      <c r="H213" s="85">
        <f t="shared" si="52"/>
        <v>20013.02</v>
      </c>
      <c r="I213" s="85">
        <f t="shared" si="52"/>
        <v>3461.9379233870968</v>
      </c>
      <c r="J213" s="85">
        <f t="shared" si="52"/>
        <v>0</v>
      </c>
      <c r="K213" s="50" t="s">
        <v>420</v>
      </c>
    </row>
    <row r="214" spans="2:17">
      <c r="B214" s="15" t="s">
        <v>97</v>
      </c>
      <c r="C214" s="327">
        <f t="shared" ref="C214:I214" si="53">40/7</f>
        <v>5.7142857142857144</v>
      </c>
      <c r="D214" s="327">
        <f t="shared" si="53"/>
        <v>5.7142857142857144</v>
      </c>
      <c r="E214" s="327">
        <f t="shared" si="53"/>
        <v>5.7142857142857144</v>
      </c>
      <c r="F214" s="327">
        <f t="shared" si="53"/>
        <v>5.7142857142857144</v>
      </c>
      <c r="G214" s="327">
        <f t="shared" si="53"/>
        <v>5.7142857142857144</v>
      </c>
      <c r="H214" s="327">
        <f t="shared" si="53"/>
        <v>5.7142857142857144</v>
      </c>
      <c r="I214" s="327">
        <f t="shared" si="53"/>
        <v>5.7142857142857144</v>
      </c>
      <c r="J214" s="327"/>
      <c r="K214" s="34">
        <f>SUM(C214:J214)</f>
        <v>40</v>
      </c>
      <c r="P214" s="29">
        <f>P211-K214</f>
        <v>63212.88282258065</v>
      </c>
    </row>
    <row r="215" spans="2:17">
      <c r="B215" s="50" t="s">
        <v>148</v>
      </c>
      <c r="C215" s="51">
        <f t="shared" ref="C215:J215" si="54">C213-C214</f>
        <v>5562.1725489631344</v>
      </c>
      <c r="D215" s="51">
        <f t="shared" si="54"/>
        <v>8769.9873271889392</v>
      </c>
      <c r="E215" s="51">
        <f t="shared" si="54"/>
        <v>10618.055714285714</v>
      </c>
      <c r="F215" s="51">
        <f t="shared" si="54"/>
        <v>7870.2790610599086</v>
      </c>
      <c r="G215" s="51">
        <f t="shared" si="54"/>
        <v>6928.8588191244253</v>
      </c>
      <c r="H215" s="51">
        <f t="shared" si="54"/>
        <v>20007.305714285714</v>
      </c>
      <c r="I215" s="51">
        <f t="shared" si="54"/>
        <v>3456.223637672811</v>
      </c>
      <c r="J215" s="85">
        <f t="shared" si="54"/>
        <v>0</v>
      </c>
      <c r="K215" s="263">
        <f>SUM(C215:I215)</f>
        <v>63212.88282258065</v>
      </c>
      <c r="M215" s="29"/>
      <c r="N215" s="29"/>
      <c r="O215" s="29"/>
      <c r="Q215" s="29"/>
    </row>
    <row r="216" spans="2:17">
      <c r="B216" s="15" t="s">
        <v>150</v>
      </c>
      <c r="C216" s="34"/>
      <c r="E216" s="248">
        <v>5144.18</v>
      </c>
      <c r="F216" s="34"/>
      <c r="H216" s="248">
        <v>8650</v>
      </c>
      <c r="I216" s="34"/>
      <c r="J216" s="248">
        <v>750</v>
      </c>
    </row>
    <row r="217" spans="2:17">
      <c r="B217" s="15" t="s">
        <v>99</v>
      </c>
      <c r="C217" s="34"/>
      <c r="D217" s="34"/>
      <c r="E217" s="34"/>
      <c r="F217" s="34"/>
      <c r="G217" s="34"/>
      <c r="H217" s="34"/>
      <c r="I217" s="34"/>
      <c r="J217" s="34"/>
      <c r="K217" s="29">
        <f>SUM(C217:J217)</f>
        <v>0</v>
      </c>
    </row>
    <row r="218" spans="2:17">
      <c r="B218" s="47" t="s">
        <v>109</v>
      </c>
      <c r="C218" s="48">
        <f>C215-C216-C217</f>
        <v>5562.1725489631344</v>
      </c>
      <c r="D218" s="48">
        <f t="shared" ref="D218:J218" si="55">D215-D216-D217</f>
        <v>8769.9873271889392</v>
      </c>
      <c r="E218" s="48">
        <f t="shared" si="55"/>
        <v>5473.8757142857139</v>
      </c>
      <c r="F218" s="48">
        <f t="shared" si="55"/>
        <v>7870.2790610599086</v>
      </c>
      <c r="G218" s="48">
        <f t="shared" si="55"/>
        <v>6928.8588191244253</v>
      </c>
      <c r="H218" s="48">
        <f t="shared" si="55"/>
        <v>11357.305714285714</v>
      </c>
      <c r="I218" s="48">
        <f t="shared" si="55"/>
        <v>3456.223637672811</v>
      </c>
      <c r="J218" s="48">
        <f t="shared" si="55"/>
        <v>-750</v>
      </c>
    </row>
    <row r="219" spans="2:17">
      <c r="B219" s="11" t="s">
        <v>153</v>
      </c>
      <c r="C219" s="320">
        <v>501</v>
      </c>
      <c r="D219" s="320">
        <v>501</v>
      </c>
      <c r="E219" s="320">
        <v>501</v>
      </c>
      <c r="F219" s="320">
        <v>501</v>
      </c>
      <c r="G219" s="320">
        <v>501</v>
      </c>
      <c r="H219" s="320">
        <v>501</v>
      </c>
      <c r="I219" s="320">
        <v>501</v>
      </c>
      <c r="J219" s="34"/>
    </row>
    <row r="220" spans="2:17">
      <c r="B220" s="47" t="s">
        <v>100</v>
      </c>
      <c r="C220" s="34">
        <f t="shared" ref="C220:I220" si="56">C219*C218</f>
        <v>2786648.4470305303</v>
      </c>
      <c r="D220" s="34">
        <f t="shared" si="56"/>
        <v>4393763.6509216586</v>
      </c>
      <c r="E220" s="34">
        <f t="shared" si="56"/>
        <v>2742411.7328571426</v>
      </c>
      <c r="F220" s="34">
        <f t="shared" si="56"/>
        <v>3943009.8095910144</v>
      </c>
      <c r="G220" s="34">
        <f t="shared" si="56"/>
        <v>3471358.2683813372</v>
      </c>
      <c r="H220" s="34">
        <f t="shared" si="56"/>
        <v>5690010.1628571432</v>
      </c>
      <c r="I220" s="34">
        <f t="shared" si="56"/>
        <v>1731568.0424740782</v>
      </c>
      <c r="J220" s="34">
        <f>J219*J218</f>
        <v>0</v>
      </c>
      <c r="K220" s="247">
        <f>SUM(C220:J220)</f>
        <v>24758770.11411291</v>
      </c>
      <c r="M220" s="268">
        <f>IFERROR(K220/C219,0)</f>
        <v>49418.702822580657</v>
      </c>
      <c r="N220" s="268"/>
      <c r="O220" s="268"/>
    </row>
    <row r="221" spans="2:17">
      <c r="B221" s="15" t="s">
        <v>151</v>
      </c>
      <c r="C221" s="54">
        <v>682962.65</v>
      </c>
      <c r="D221" s="54">
        <v>1779646.91</v>
      </c>
      <c r="E221" s="34">
        <v>0</v>
      </c>
      <c r="F221" s="54">
        <v>1681000</v>
      </c>
      <c r="G221" s="54">
        <v>1214055.56</v>
      </c>
      <c r="H221" s="34">
        <v>0</v>
      </c>
      <c r="I221" s="54">
        <v>513625.58</v>
      </c>
      <c r="J221" s="15"/>
      <c r="K221" s="267">
        <f>SUM(C221:I221)</f>
        <v>5871290.7000000002</v>
      </c>
      <c r="M221" s="268">
        <f>IFERROR(K221/C219,0)</f>
        <v>11719.143113772456</v>
      </c>
      <c r="N221" s="268"/>
      <c r="O221" s="268"/>
    </row>
    <row r="222" spans="2:17">
      <c r="B222" s="12" t="s">
        <v>152</v>
      </c>
      <c r="C222" s="34">
        <f t="shared" ref="C222:I222" si="57">C220-C221</f>
        <v>2103685.7970305304</v>
      </c>
      <c r="D222" s="34">
        <f t="shared" si="57"/>
        <v>2614116.7409216585</v>
      </c>
      <c r="E222" s="34">
        <f t="shared" si="57"/>
        <v>2742411.7328571426</v>
      </c>
      <c r="F222" s="34">
        <f t="shared" si="57"/>
        <v>2262009.8095910144</v>
      </c>
      <c r="G222" s="34">
        <f t="shared" si="57"/>
        <v>2257302.7083813371</v>
      </c>
      <c r="H222" s="34">
        <f t="shared" si="57"/>
        <v>5690010.1628571432</v>
      </c>
      <c r="I222" s="34">
        <f t="shared" si="57"/>
        <v>1217942.4624740782</v>
      </c>
      <c r="J222" s="34">
        <f>J220-J221</f>
        <v>0</v>
      </c>
    </row>
    <row r="225" spans="2:12">
      <c r="J225" s="15"/>
    </row>
    <row r="226" spans="2:12">
      <c r="B226" s="600" t="s">
        <v>611</v>
      </c>
      <c r="C226" s="600"/>
      <c r="D226" s="600"/>
      <c r="E226" s="600"/>
      <c r="F226" s="600"/>
      <c r="G226" s="600"/>
      <c r="H226" s="600"/>
      <c r="I226" s="600"/>
      <c r="J226" s="600"/>
      <c r="K226" s="600"/>
      <c r="L226" s="600"/>
    </row>
    <row r="227" spans="2:12">
      <c r="B227" s="11" t="s">
        <v>178</v>
      </c>
      <c r="C227" s="602">
        <v>161</v>
      </c>
      <c r="D227" s="602"/>
      <c r="E227" s="602"/>
      <c r="F227" s="602">
        <v>161</v>
      </c>
      <c r="G227" s="602"/>
      <c r="H227" s="337">
        <v>161</v>
      </c>
      <c r="I227" s="337">
        <v>161</v>
      </c>
      <c r="J227" s="337"/>
    </row>
    <row r="228" spans="2:12">
      <c r="B228" s="11" t="s">
        <v>110</v>
      </c>
      <c r="C228" s="338">
        <v>496</v>
      </c>
      <c r="D228" s="338">
        <v>496</v>
      </c>
      <c r="E228" s="338">
        <v>496</v>
      </c>
      <c r="F228" s="338">
        <v>496</v>
      </c>
      <c r="G228" s="338">
        <v>496</v>
      </c>
      <c r="H228" s="338">
        <v>496</v>
      </c>
      <c r="I228" s="338">
        <v>496</v>
      </c>
      <c r="J228" s="46"/>
      <c r="K228" s="29"/>
      <c r="L228" s="29"/>
    </row>
    <row r="229" spans="2:12" ht="24">
      <c r="B229" s="15"/>
      <c r="C229" s="57" t="s">
        <v>386</v>
      </c>
      <c r="D229" s="57" t="s">
        <v>149</v>
      </c>
      <c r="E229" s="57" t="s">
        <v>107</v>
      </c>
      <c r="F229" s="57" t="s">
        <v>179</v>
      </c>
      <c r="G229" s="57" t="s">
        <v>202</v>
      </c>
      <c r="H229" s="57" t="s">
        <v>181</v>
      </c>
      <c r="I229" s="57" t="s">
        <v>337</v>
      </c>
      <c r="J229" s="15" t="s">
        <v>545</v>
      </c>
    </row>
    <row r="230" spans="2:12">
      <c r="B230" s="15" t="s">
        <v>96</v>
      </c>
      <c r="C230" s="314">
        <v>5567.8868346774198</v>
      </c>
      <c r="D230" s="315">
        <v>8775.7016129032254</v>
      </c>
      <c r="E230" s="315">
        <v>10623.77</v>
      </c>
      <c r="F230" s="315">
        <v>7875.9933467741939</v>
      </c>
      <c r="G230" s="315">
        <v>6934.5731048387106</v>
      </c>
      <c r="H230" s="315">
        <v>20013.02</v>
      </c>
      <c r="I230" s="314">
        <v>3461.9379233870968</v>
      </c>
      <c r="J230" s="339"/>
      <c r="K230" s="50" t="s">
        <v>419</v>
      </c>
    </row>
    <row r="231" spans="2:12">
      <c r="B231" s="11" t="s">
        <v>147</v>
      </c>
      <c r="C231" s="34">
        <v>0</v>
      </c>
      <c r="D231" s="34">
        <v>0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15">
        <v>0</v>
      </c>
      <c r="K231" s="51">
        <f>SUM(C231:J231)</f>
        <v>0</v>
      </c>
    </row>
    <row r="232" spans="2:12">
      <c r="B232" s="50" t="s">
        <v>362</v>
      </c>
      <c r="C232" s="85">
        <f t="shared" ref="C232:J232" si="58">C230-C231</f>
        <v>5567.8868346774198</v>
      </c>
      <c r="D232" s="85">
        <f t="shared" si="58"/>
        <v>8775.7016129032254</v>
      </c>
      <c r="E232" s="85">
        <f t="shared" si="58"/>
        <v>10623.77</v>
      </c>
      <c r="F232" s="85">
        <f t="shared" si="58"/>
        <v>7875.9933467741939</v>
      </c>
      <c r="G232" s="85">
        <f t="shared" si="58"/>
        <v>6934.5731048387106</v>
      </c>
      <c r="H232" s="85">
        <f t="shared" si="58"/>
        <v>20013.02</v>
      </c>
      <c r="I232" s="85">
        <f t="shared" si="58"/>
        <v>3461.9379233870968</v>
      </c>
      <c r="J232" s="85">
        <f t="shared" si="58"/>
        <v>0</v>
      </c>
      <c r="K232" s="50" t="s">
        <v>420</v>
      </c>
    </row>
    <row r="233" spans="2:12">
      <c r="B233" s="15" t="s">
        <v>97</v>
      </c>
      <c r="C233" s="327"/>
      <c r="D233" s="327"/>
      <c r="E233" s="327"/>
      <c r="F233" s="327"/>
      <c r="G233" s="327"/>
      <c r="H233" s="327"/>
      <c r="I233" s="327"/>
      <c r="J233" s="327"/>
      <c r="K233" s="34">
        <f>SUM(C233:J233)</f>
        <v>0</v>
      </c>
    </row>
    <row r="234" spans="2:12">
      <c r="B234" s="50" t="s">
        <v>148</v>
      </c>
      <c r="C234" s="51">
        <f t="shared" ref="C234:J234" si="59">C232-C233</f>
        <v>5567.8868346774198</v>
      </c>
      <c r="D234" s="51">
        <f t="shared" si="59"/>
        <v>8775.7016129032254</v>
      </c>
      <c r="E234" s="51">
        <f t="shared" si="59"/>
        <v>10623.77</v>
      </c>
      <c r="F234" s="51">
        <f t="shared" si="59"/>
        <v>7875.9933467741939</v>
      </c>
      <c r="G234" s="51">
        <f t="shared" si="59"/>
        <v>6934.5731048387106</v>
      </c>
      <c r="H234" s="51">
        <f t="shared" si="59"/>
        <v>20013.02</v>
      </c>
      <c r="I234" s="51">
        <f t="shared" si="59"/>
        <v>3461.9379233870968</v>
      </c>
      <c r="J234" s="85">
        <f t="shared" si="59"/>
        <v>0</v>
      </c>
      <c r="K234" s="263">
        <f>SUM(C234:I234)</f>
        <v>63252.88282258065</v>
      </c>
    </row>
    <row r="235" spans="2:12">
      <c r="B235" s="15" t="s">
        <v>150</v>
      </c>
      <c r="C235" s="34"/>
      <c r="E235" s="248">
        <v>3419.7</v>
      </c>
      <c r="F235" s="34"/>
      <c r="H235" s="248">
        <v>6491.74</v>
      </c>
      <c r="I235" s="34"/>
      <c r="J235" s="248">
        <v>2796.86</v>
      </c>
    </row>
    <row r="236" spans="2:12">
      <c r="B236" s="15" t="s">
        <v>99</v>
      </c>
      <c r="C236" s="34">
        <v>135</v>
      </c>
      <c r="D236" s="34">
        <v>135</v>
      </c>
      <c r="E236" s="34">
        <v>135</v>
      </c>
      <c r="F236" s="34">
        <v>135</v>
      </c>
      <c r="G236" s="34">
        <v>135</v>
      </c>
      <c r="H236" s="34">
        <v>135</v>
      </c>
      <c r="I236" s="34">
        <v>135</v>
      </c>
      <c r="J236" s="34"/>
      <c r="K236" s="29">
        <f>SUM(C236:J236)</f>
        <v>945</v>
      </c>
    </row>
    <row r="237" spans="2:12">
      <c r="B237" s="47" t="s">
        <v>109</v>
      </c>
      <c r="C237" s="48">
        <f>C234-C235-C236</f>
        <v>5432.8868346774198</v>
      </c>
      <c r="D237" s="48">
        <f t="shared" ref="D237:J237" si="60">D234-D235-D236</f>
        <v>8640.7016129032254</v>
      </c>
      <c r="E237" s="48">
        <f t="shared" si="60"/>
        <v>7069.0700000000006</v>
      </c>
      <c r="F237" s="48">
        <f t="shared" si="60"/>
        <v>7740.9933467741939</v>
      </c>
      <c r="G237" s="48">
        <f t="shared" si="60"/>
        <v>6799.5731048387106</v>
      </c>
      <c r="H237" s="48">
        <f t="shared" si="60"/>
        <v>13386.28</v>
      </c>
      <c r="I237" s="48">
        <f t="shared" si="60"/>
        <v>3326.9379233870968</v>
      </c>
      <c r="J237" s="48">
        <f t="shared" si="60"/>
        <v>-2796.86</v>
      </c>
    </row>
    <row r="238" spans="2:12">
      <c r="B238" s="11" t="s">
        <v>153</v>
      </c>
      <c r="C238" s="320">
        <v>501</v>
      </c>
      <c r="D238" s="320">
        <v>501</v>
      </c>
      <c r="E238" s="320">
        <v>501</v>
      </c>
      <c r="F238" s="320">
        <v>501</v>
      </c>
      <c r="G238" s="320">
        <v>501</v>
      </c>
      <c r="H238" s="320">
        <v>501</v>
      </c>
      <c r="I238" s="320">
        <v>501</v>
      </c>
      <c r="J238" s="34"/>
    </row>
    <row r="239" spans="2:12">
      <c r="B239" s="47" t="s">
        <v>100</v>
      </c>
      <c r="C239" s="34">
        <f t="shared" ref="C239:I239" si="61">C238*C237</f>
        <v>2721876.3041733871</v>
      </c>
      <c r="D239" s="34">
        <f t="shared" si="61"/>
        <v>4328991.5080645159</v>
      </c>
      <c r="E239" s="34">
        <f t="shared" si="61"/>
        <v>3541604.0700000003</v>
      </c>
      <c r="F239" s="34">
        <f t="shared" si="61"/>
        <v>3878237.6667338712</v>
      </c>
      <c r="G239" s="34">
        <f t="shared" si="61"/>
        <v>3406586.125524194</v>
      </c>
      <c r="H239" s="34">
        <f t="shared" si="61"/>
        <v>6706526.2800000003</v>
      </c>
      <c r="I239" s="34">
        <f t="shared" si="61"/>
        <v>1666795.8996169355</v>
      </c>
      <c r="J239" s="34">
        <f>J238*J237</f>
        <v>0</v>
      </c>
      <c r="K239" s="247">
        <f>SUM(C239:J239)</f>
        <v>26250617.854112905</v>
      </c>
    </row>
    <row r="240" spans="2:12">
      <c r="B240" s="15" t="s">
        <v>151</v>
      </c>
      <c r="C240" s="54">
        <v>1325079.3600000001</v>
      </c>
      <c r="D240" s="54">
        <v>1612916.33</v>
      </c>
      <c r="E240" s="34">
        <v>0</v>
      </c>
      <c r="F240" s="54">
        <v>1410537.3</v>
      </c>
      <c r="G240" s="54">
        <v>1410537.3</v>
      </c>
      <c r="H240" s="34">
        <v>0</v>
      </c>
      <c r="I240" s="54">
        <v>786551.54</v>
      </c>
      <c r="J240" s="15"/>
      <c r="K240" s="267">
        <f>SUM(C240:I240)</f>
        <v>6545621.8300000001</v>
      </c>
    </row>
    <row r="241" spans="2:10">
      <c r="B241" s="12" t="s">
        <v>152</v>
      </c>
      <c r="C241" s="34">
        <f t="shared" ref="C241:I241" si="62">C239-C240</f>
        <v>1396796.944173387</v>
      </c>
      <c r="D241" s="34">
        <f t="shared" si="62"/>
        <v>2716075.1780645158</v>
      </c>
      <c r="E241" s="34">
        <f t="shared" si="62"/>
        <v>3541604.0700000003</v>
      </c>
      <c r="F241" s="34">
        <f t="shared" si="62"/>
        <v>2467700.3667338714</v>
      </c>
      <c r="G241" s="34">
        <f t="shared" si="62"/>
        <v>1996048.8255241939</v>
      </c>
      <c r="H241" s="34">
        <f t="shared" si="62"/>
        <v>6706526.2800000003</v>
      </c>
      <c r="I241" s="34">
        <f t="shared" si="62"/>
        <v>880244.35961693549</v>
      </c>
      <c r="J241" s="34">
        <f>J239-J240</f>
        <v>0</v>
      </c>
    </row>
    <row r="244" spans="2:10">
      <c r="B244" s="11" t="s">
        <v>150</v>
      </c>
      <c r="C244" s="29">
        <f>$E$235+$H$235+$J$235</f>
        <v>12708.3</v>
      </c>
    </row>
    <row r="245" spans="2:10">
      <c r="B245" s="11" t="s">
        <v>99</v>
      </c>
      <c r="C245" s="29">
        <f>$C$236+$D$236+$E$236+$F$236+$G$236+$H$236+$I$236</f>
        <v>945</v>
      </c>
    </row>
    <row r="246" spans="2:10">
      <c r="B246" s="11" t="s">
        <v>612</v>
      </c>
      <c r="C246" s="29">
        <f>$C$221+$D$221+$F$221+$G$221+$I$221</f>
        <v>5871290.7000000002</v>
      </c>
    </row>
    <row r="247" spans="2:10">
      <c r="B247" s="11" t="s">
        <v>613</v>
      </c>
      <c r="C247" s="29">
        <f>C240+D240+F240+G240+I240</f>
        <v>6545621.8300000001</v>
      </c>
    </row>
    <row r="249" spans="2:10">
      <c r="B249" s="11" t="s">
        <v>614</v>
      </c>
      <c r="C249" s="29">
        <v>58655.250774865104</v>
      </c>
    </row>
    <row r="250" spans="2:10" ht="24">
      <c r="B250" s="340" t="s">
        <v>617</v>
      </c>
      <c r="C250" s="29">
        <v>9986.5499999999993</v>
      </c>
    </row>
    <row r="251" spans="2:10">
      <c r="B251" s="50" t="s">
        <v>618</v>
      </c>
      <c r="C251" s="51">
        <f>C249-C250</f>
        <v>48668.700774865109</v>
      </c>
    </row>
    <row r="252" spans="2:10">
      <c r="C252" s="29"/>
    </row>
    <row r="253" spans="2:10">
      <c r="C253" s="29"/>
    </row>
    <row r="254" spans="2:10">
      <c r="B254" s="11" t="s">
        <v>615</v>
      </c>
      <c r="C254" s="29">
        <f>C244+C245</f>
        <v>13653.3</v>
      </c>
    </row>
    <row r="255" spans="2:10" ht="24">
      <c r="B255" s="340" t="s">
        <v>616</v>
      </c>
      <c r="C255" s="29">
        <f>C251-C254</f>
        <v>35015.400774865106</v>
      </c>
      <c r="D255" s="29">
        <f>C255*501</f>
        <v>17542715.788207419</v>
      </c>
    </row>
    <row r="259" spans="2:16" ht="24">
      <c r="B259" s="341" t="s">
        <v>619</v>
      </c>
      <c r="C259" s="247">
        <f>C254+C250</f>
        <v>23639.85</v>
      </c>
    </row>
    <row r="262" spans="2:16" s="19" customFormat="1"/>
    <row r="266" spans="2:16">
      <c r="B266" s="601" t="s">
        <v>668</v>
      </c>
      <c r="C266" s="600"/>
      <c r="D266" s="600"/>
      <c r="E266" s="600"/>
      <c r="F266" s="600"/>
      <c r="G266" s="600"/>
      <c r="H266" s="600"/>
      <c r="I266" s="600"/>
      <c r="J266" s="600"/>
      <c r="K266" s="600"/>
      <c r="L266" s="600"/>
    </row>
    <row r="267" spans="2:16">
      <c r="B267" s="11" t="s">
        <v>178</v>
      </c>
      <c r="C267" s="602">
        <v>163</v>
      </c>
      <c r="D267" s="602"/>
      <c r="E267" s="602"/>
      <c r="F267" s="602">
        <v>163</v>
      </c>
      <c r="G267" s="602"/>
      <c r="H267" s="354">
        <v>163</v>
      </c>
      <c r="I267" s="354">
        <v>163</v>
      </c>
    </row>
    <row r="268" spans="2:16">
      <c r="B268" s="11" t="s">
        <v>110</v>
      </c>
      <c r="C268" s="11">
        <v>495</v>
      </c>
      <c r="D268" s="11">
        <v>495</v>
      </c>
      <c r="E268" s="11">
        <v>495</v>
      </c>
      <c r="F268" s="11">
        <v>495</v>
      </c>
      <c r="G268" s="11">
        <v>495</v>
      </c>
      <c r="H268" s="11">
        <v>495</v>
      </c>
      <c r="I268" s="11">
        <v>495</v>
      </c>
      <c r="J268" s="29"/>
      <c r="K268" s="29"/>
    </row>
    <row r="269" spans="2:16" ht="24">
      <c r="B269" s="15"/>
      <c r="C269" s="57" t="s">
        <v>386</v>
      </c>
      <c r="D269" s="57" t="s">
        <v>149</v>
      </c>
      <c r="E269" s="57" t="s">
        <v>107</v>
      </c>
      <c r="F269" s="57" t="s">
        <v>179</v>
      </c>
      <c r="G269" s="57" t="s">
        <v>202</v>
      </c>
      <c r="H269" s="57" t="s">
        <v>181</v>
      </c>
      <c r="I269" s="57" t="s">
        <v>337</v>
      </c>
      <c r="L269" s="55" t="s">
        <v>334</v>
      </c>
      <c r="M269" s="55" t="s">
        <v>335</v>
      </c>
      <c r="N269" s="55"/>
      <c r="O269" s="55"/>
      <c r="P269" s="50" t="s">
        <v>336</v>
      </c>
    </row>
    <row r="270" spans="2:16">
      <c r="B270" s="15" t="s">
        <v>96</v>
      </c>
      <c r="C270" s="355">
        <v>4199.0893535353534</v>
      </c>
      <c r="D270" s="315">
        <v>5197.860787878788</v>
      </c>
      <c r="E270" s="315">
        <v>5480.01</v>
      </c>
      <c r="F270" s="315">
        <v>4495.6216161616167</v>
      </c>
      <c r="G270" s="315">
        <v>4495.6216161616167</v>
      </c>
      <c r="H270" s="315">
        <v>11203.46</v>
      </c>
      <c r="I270" s="314">
        <v>2430.9810707070706</v>
      </c>
      <c r="J270" s="50" t="s">
        <v>419</v>
      </c>
      <c r="L270" s="29">
        <f>SUM(C270:I270)</f>
        <v>37502.64444444445</v>
      </c>
      <c r="M270" s="29">
        <f>SUM(C272:I272)</f>
        <v>37502.64444444445</v>
      </c>
      <c r="N270" s="29"/>
      <c r="O270" s="29"/>
      <c r="P270" s="247">
        <f>M270-L270</f>
        <v>0</v>
      </c>
    </row>
    <row r="271" spans="2:16">
      <c r="B271" s="11" t="s">
        <v>147</v>
      </c>
      <c r="C271" s="34">
        <v>0</v>
      </c>
      <c r="D271" s="34">
        <v>0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51">
        <f>SUM(C271:I271)</f>
        <v>0</v>
      </c>
      <c r="L271" s="334"/>
    </row>
    <row r="272" spans="2:16">
      <c r="B272" s="50" t="s">
        <v>362</v>
      </c>
      <c r="C272" s="85">
        <f t="shared" ref="C272:I272" si="63">C270-C271</f>
        <v>4199.0893535353534</v>
      </c>
      <c r="D272" s="85">
        <f t="shared" si="63"/>
        <v>5197.860787878788</v>
      </c>
      <c r="E272" s="85">
        <f t="shared" si="63"/>
        <v>5480.01</v>
      </c>
      <c r="F272" s="85">
        <f t="shared" si="63"/>
        <v>4495.6216161616167</v>
      </c>
      <c r="G272" s="85">
        <f t="shared" si="63"/>
        <v>4495.6216161616167</v>
      </c>
      <c r="H272" s="85">
        <f t="shared" si="63"/>
        <v>11203.46</v>
      </c>
      <c r="I272" s="85">
        <f t="shared" si="63"/>
        <v>2430.9810707070706</v>
      </c>
      <c r="J272" s="50" t="s">
        <v>420</v>
      </c>
    </row>
    <row r="273" spans="2:16">
      <c r="B273" s="15" t="s">
        <v>97</v>
      </c>
      <c r="C273" s="327">
        <f t="shared" ref="C273:I273" si="64">40/7</f>
        <v>5.7142857142857144</v>
      </c>
      <c r="D273" s="327">
        <f t="shared" si="64"/>
        <v>5.7142857142857144</v>
      </c>
      <c r="E273" s="327">
        <f t="shared" si="64"/>
        <v>5.7142857142857144</v>
      </c>
      <c r="F273" s="327">
        <f t="shared" si="64"/>
        <v>5.7142857142857144</v>
      </c>
      <c r="G273" s="327">
        <f t="shared" si="64"/>
        <v>5.7142857142857144</v>
      </c>
      <c r="H273" s="327">
        <f t="shared" si="64"/>
        <v>5.7142857142857144</v>
      </c>
      <c r="I273" s="327">
        <f t="shared" si="64"/>
        <v>5.7142857142857144</v>
      </c>
      <c r="J273" s="34">
        <f>SUM(C273:I273)</f>
        <v>40</v>
      </c>
      <c r="M273" s="29">
        <f>M270-J273</f>
        <v>37462.64444444445</v>
      </c>
      <c r="N273" s="29"/>
      <c r="O273" s="29"/>
    </row>
    <row r="274" spans="2:16">
      <c r="B274" s="50" t="s">
        <v>148</v>
      </c>
      <c r="C274" s="51">
        <f t="shared" ref="C274:I274" si="65">C272-C273</f>
        <v>4193.3750678210681</v>
      </c>
      <c r="D274" s="51">
        <f t="shared" si="65"/>
        <v>5192.1465021645026</v>
      </c>
      <c r="E274" s="51">
        <f t="shared" si="65"/>
        <v>5474.2957142857149</v>
      </c>
      <c r="F274" s="51">
        <f t="shared" si="65"/>
        <v>4489.9073304473313</v>
      </c>
      <c r="G274" s="51">
        <f t="shared" si="65"/>
        <v>4489.9073304473313</v>
      </c>
      <c r="H274" s="51">
        <f t="shared" si="65"/>
        <v>11197.745714285713</v>
      </c>
      <c r="I274" s="51">
        <f t="shared" si="65"/>
        <v>2425.2667849927848</v>
      </c>
      <c r="J274" s="263">
        <f>SUM(C274:I274)</f>
        <v>37462.644444444442</v>
      </c>
      <c r="L274" s="29"/>
      <c r="P274" s="29"/>
    </row>
    <row r="275" spans="2:16">
      <c r="B275" s="15" t="s">
        <v>150</v>
      </c>
      <c r="C275" s="34"/>
      <c r="E275" s="248">
        <v>3418.61</v>
      </c>
      <c r="F275" s="34"/>
      <c r="H275" s="248">
        <v>6550.96</v>
      </c>
      <c r="I275" s="34"/>
    </row>
    <row r="276" spans="2:16">
      <c r="B276" s="15" t="s">
        <v>99</v>
      </c>
      <c r="C276" s="34">
        <f>135</f>
        <v>135</v>
      </c>
      <c r="D276" s="34">
        <f>135</f>
        <v>135</v>
      </c>
      <c r="E276" s="34">
        <f>135</f>
        <v>135</v>
      </c>
      <c r="F276" s="34">
        <f>135</f>
        <v>135</v>
      </c>
      <c r="G276" s="34">
        <f>135</f>
        <v>135</v>
      </c>
      <c r="H276" s="34">
        <f>135</f>
        <v>135</v>
      </c>
      <c r="I276" s="34">
        <f>135</f>
        <v>135</v>
      </c>
      <c r="J276" s="29">
        <f>SUM(C276:I276)</f>
        <v>945</v>
      </c>
    </row>
    <row r="277" spans="2:16">
      <c r="B277" s="47" t="s">
        <v>109</v>
      </c>
      <c r="C277" s="48">
        <f>C274-C275-C276</f>
        <v>4058.3750678210681</v>
      </c>
      <c r="D277" s="48">
        <f t="shared" ref="D277:I277" si="66">D274-D275-D276</f>
        <v>5057.1465021645026</v>
      </c>
      <c r="E277" s="48">
        <f t="shared" si="66"/>
        <v>1920.6857142857148</v>
      </c>
      <c r="F277" s="48">
        <f t="shared" si="66"/>
        <v>4354.9073304473313</v>
      </c>
      <c r="G277" s="48">
        <f t="shared" si="66"/>
        <v>4354.9073304473313</v>
      </c>
      <c r="H277" s="48">
        <f t="shared" si="66"/>
        <v>4511.7857142857129</v>
      </c>
      <c r="I277" s="48">
        <f t="shared" si="66"/>
        <v>2290.2667849927848</v>
      </c>
      <c r="J277" s="263">
        <f>SUM(C277:I277)</f>
        <v>26548.07444444445</v>
      </c>
    </row>
    <row r="278" spans="2:16">
      <c r="B278" s="11" t="s">
        <v>153</v>
      </c>
      <c r="C278" s="320">
        <v>498</v>
      </c>
      <c r="D278" s="34">
        <f t="shared" ref="D278:I278" si="67">$C$278</f>
        <v>498</v>
      </c>
      <c r="E278" s="34">
        <f t="shared" si="67"/>
        <v>498</v>
      </c>
      <c r="F278" s="34">
        <f t="shared" si="67"/>
        <v>498</v>
      </c>
      <c r="G278" s="34">
        <f t="shared" si="67"/>
        <v>498</v>
      </c>
      <c r="H278" s="34">
        <f t="shared" si="67"/>
        <v>498</v>
      </c>
      <c r="I278" s="34">
        <f t="shared" si="67"/>
        <v>498</v>
      </c>
    </row>
    <row r="279" spans="2:16">
      <c r="B279" s="47" t="s">
        <v>100</v>
      </c>
      <c r="C279" s="34">
        <f t="shared" ref="C279:I279" si="68">C278*C277</f>
        <v>2021070.7837748919</v>
      </c>
      <c r="D279" s="34">
        <f t="shared" si="68"/>
        <v>2518458.9580779225</v>
      </c>
      <c r="E279" s="34">
        <f t="shared" si="68"/>
        <v>956501.48571428598</v>
      </c>
      <c r="F279" s="34">
        <f t="shared" si="68"/>
        <v>2168743.8505627709</v>
      </c>
      <c r="G279" s="34">
        <f t="shared" si="68"/>
        <v>2168743.8505627709</v>
      </c>
      <c r="H279" s="34">
        <f t="shared" si="68"/>
        <v>2246869.285714285</v>
      </c>
      <c r="I279" s="34">
        <f t="shared" si="68"/>
        <v>1140552.8589264068</v>
      </c>
      <c r="J279" s="247">
        <f>SUM(C279:I279)</f>
        <v>13220941.073333334</v>
      </c>
      <c r="L279" s="268">
        <f>IFERROR(J279/C278,0)</f>
        <v>26548.074444444446</v>
      </c>
    </row>
    <row r="280" spans="2:16">
      <c r="B280" s="15" t="s">
        <v>151</v>
      </c>
      <c r="C280" s="54">
        <v>1325079.3600000001</v>
      </c>
      <c r="D280" s="54">
        <v>1612916.33</v>
      </c>
      <c r="E280" s="34">
        <v>0</v>
      </c>
      <c r="F280" s="54">
        <v>1410537.3</v>
      </c>
      <c r="G280" s="54">
        <v>1410537.3</v>
      </c>
      <c r="H280" s="34">
        <v>0</v>
      </c>
      <c r="I280" s="54">
        <v>786551.54</v>
      </c>
      <c r="J280" s="267">
        <f>SUM(C280:I280)</f>
        <v>6545621.8300000001</v>
      </c>
      <c r="L280" s="268">
        <f>IFERROR(J280/C278,0)</f>
        <v>13143.818935742973</v>
      </c>
    </row>
    <row r="281" spans="2:16">
      <c r="B281" s="12" t="s">
        <v>152</v>
      </c>
      <c r="C281" s="34">
        <f t="shared" ref="C281:I281" si="69">C279-C280</f>
        <v>695991.42377489177</v>
      </c>
      <c r="D281" s="34">
        <f t="shared" si="69"/>
        <v>905542.62807792239</v>
      </c>
      <c r="E281" s="34">
        <f t="shared" si="69"/>
        <v>956501.48571428598</v>
      </c>
      <c r="F281" s="34">
        <f t="shared" si="69"/>
        <v>758206.5505627708</v>
      </c>
      <c r="G281" s="34">
        <f t="shared" si="69"/>
        <v>758206.5505627708</v>
      </c>
      <c r="H281" s="34">
        <f t="shared" si="69"/>
        <v>2246869.285714285</v>
      </c>
      <c r="I281" s="34">
        <f t="shared" si="69"/>
        <v>354001.31892640679</v>
      </c>
    </row>
    <row r="282" spans="2:16">
      <c r="J282" s="335"/>
    </row>
    <row r="285" spans="2:16">
      <c r="B285" s="601" t="s">
        <v>705</v>
      </c>
      <c r="C285" s="600"/>
      <c r="D285" s="600"/>
      <c r="E285" s="600"/>
      <c r="F285" s="600"/>
      <c r="G285" s="600"/>
      <c r="H285" s="600"/>
      <c r="I285" s="600"/>
      <c r="J285" s="600"/>
      <c r="K285" s="600"/>
      <c r="L285" s="600"/>
    </row>
    <row r="286" spans="2:16">
      <c r="B286" s="11" t="s">
        <v>178</v>
      </c>
      <c r="C286" s="602">
        <v>165</v>
      </c>
      <c r="D286" s="602"/>
      <c r="E286" s="602"/>
      <c r="F286" s="602">
        <v>165</v>
      </c>
      <c r="G286" s="602"/>
      <c r="H286" s="359">
        <v>165</v>
      </c>
      <c r="I286" s="359">
        <v>165</v>
      </c>
    </row>
    <row r="287" spans="2:16">
      <c r="B287" s="11" t="s">
        <v>110</v>
      </c>
      <c r="C287" s="11">
        <v>498</v>
      </c>
      <c r="D287" s="11">
        <v>498</v>
      </c>
      <c r="E287" s="11">
        <v>498</v>
      </c>
      <c r="F287" s="11">
        <v>498</v>
      </c>
      <c r="G287" s="11">
        <v>498</v>
      </c>
      <c r="H287" s="11">
        <v>498</v>
      </c>
      <c r="I287" s="11">
        <v>498</v>
      </c>
      <c r="J287" s="29"/>
      <c r="K287" s="29"/>
    </row>
    <row r="288" spans="2:16" ht="24">
      <c r="B288" s="15"/>
      <c r="C288" s="57" t="s">
        <v>386</v>
      </c>
      <c r="D288" s="57" t="s">
        <v>149</v>
      </c>
      <c r="E288" s="57" t="s">
        <v>107</v>
      </c>
      <c r="F288" s="57" t="s">
        <v>179</v>
      </c>
      <c r="G288" s="57" t="s">
        <v>202</v>
      </c>
      <c r="H288" s="57" t="s">
        <v>181</v>
      </c>
      <c r="I288" s="57" t="s">
        <v>337</v>
      </c>
      <c r="L288" s="55" t="s">
        <v>334</v>
      </c>
      <c r="M288" s="55" t="s">
        <v>335</v>
      </c>
      <c r="N288" s="55"/>
      <c r="O288" s="55"/>
      <c r="P288" s="50" t="s">
        <v>336</v>
      </c>
    </row>
    <row r="289" spans="2:16">
      <c r="B289" s="15" t="s">
        <v>96</v>
      </c>
      <c r="C289" s="355">
        <v>4174.7574698795179</v>
      </c>
      <c r="D289" s="315">
        <v>5167.5122289156625</v>
      </c>
      <c r="E289" s="315">
        <v>5479.59</v>
      </c>
      <c r="F289" s="315">
        <v>4469.5034136546192</v>
      </c>
      <c r="G289" s="315">
        <v>4469.5034136546192</v>
      </c>
      <c r="H289" s="315">
        <v>11645.19</v>
      </c>
      <c r="I289" s="314">
        <v>2417.3004618473892</v>
      </c>
      <c r="J289" s="50" t="s">
        <v>419</v>
      </c>
      <c r="L289" s="29">
        <f>SUM(C289:I289)</f>
        <v>37823.356987951804</v>
      </c>
      <c r="M289" s="29">
        <f>SUM(C291:I291)</f>
        <v>37823.356987951804</v>
      </c>
      <c r="N289" s="29"/>
      <c r="O289" s="29"/>
      <c r="P289" s="247">
        <f>M289-L289</f>
        <v>0</v>
      </c>
    </row>
    <row r="290" spans="2:16">
      <c r="B290" s="11" t="s">
        <v>147</v>
      </c>
      <c r="C290" s="34">
        <v>0</v>
      </c>
      <c r="D290" s="34">
        <v>0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51">
        <f>SUM(C290:I290)</f>
        <v>0</v>
      </c>
      <c r="L290" s="334"/>
    </row>
    <row r="291" spans="2:16">
      <c r="B291" s="50" t="s">
        <v>362</v>
      </c>
      <c r="C291" s="85">
        <f t="shared" ref="C291:I291" si="70">C289-C290</f>
        <v>4174.7574698795179</v>
      </c>
      <c r="D291" s="85">
        <f t="shared" si="70"/>
        <v>5167.5122289156625</v>
      </c>
      <c r="E291" s="85">
        <f t="shared" si="70"/>
        <v>5479.59</v>
      </c>
      <c r="F291" s="85">
        <f t="shared" si="70"/>
        <v>4469.5034136546192</v>
      </c>
      <c r="G291" s="85">
        <f t="shared" si="70"/>
        <v>4469.5034136546192</v>
      </c>
      <c r="H291" s="85">
        <f t="shared" si="70"/>
        <v>11645.19</v>
      </c>
      <c r="I291" s="85">
        <f t="shared" si="70"/>
        <v>2417.3004618473892</v>
      </c>
      <c r="J291" s="50" t="s">
        <v>420</v>
      </c>
    </row>
    <row r="292" spans="2:16">
      <c r="B292" s="15" t="s">
        <v>97</v>
      </c>
      <c r="C292" s="327">
        <f t="shared" ref="C292:I292" si="71">40/7</f>
        <v>5.7142857142857144</v>
      </c>
      <c r="D292" s="327">
        <f t="shared" si="71"/>
        <v>5.7142857142857144</v>
      </c>
      <c r="E292" s="327">
        <f t="shared" si="71"/>
        <v>5.7142857142857144</v>
      </c>
      <c r="F292" s="327">
        <f t="shared" si="71"/>
        <v>5.7142857142857144</v>
      </c>
      <c r="G292" s="327">
        <f t="shared" si="71"/>
        <v>5.7142857142857144</v>
      </c>
      <c r="H292" s="327">
        <f t="shared" si="71"/>
        <v>5.7142857142857144</v>
      </c>
      <c r="I292" s="327">
        <f t="shared" si="71"/>
        <v>5.7142857142857144</v>
      </c>
      <c r="J292" s="34">
        <f>SUM(C292:I292)</f>
        <v>40</v>
      </c>
      <c r="M292" s="29">
        <f>M289-J292</f>
        <v>37783.356987951804</v>
      </c>
      <c r="N292" s="29"/>
      <c r="O292" s="29"/>
    </row>
    <row r="293" spans="2:16">
      <c r="B293" s="50" t="s">
        <v>148</v>
      </c>
      <c r="C293" s="51">
        <f t="shared" ref="C293:I293" si="72">C291-C292</f>
        <v>4169.0431841652326</v>
      </c>
      <c r="D293" s="51">
        <f t="shared" si="72"/>
        <v>5161.7979432013772</v>
      </c>
      <c r="E293" s="51">
        <f t="shared" si="72"/>
        <v>5473.8757142857148</v>
      </c>
      <c r="F293" s="51">
        <f t="shared" si="72"/>
        <v>4463.7891279403339</v>
      </c>
      <c r="G293" s="51">
        <f t="shared" si="72"/>
        <v>4463.7891279403339</v>
      </c>
      <c r="H293" s="51">
        <f t="shared" si="72"/>
        <v>11639.475714285714</v>
      </c>
      <c r="I293" s="51">
        <f t="shared" si="72"/>
        <v>2411.5861761331034</v>
      </c>
      <c r="J293" s="263">
        <f>SUM(C293:I293)</f>
        <v>37783.356987951811</v>
      </c>
      <c r="L293" s="29"/>
      <c r="P293" s="29"/>
    </row>
    <row r="294" spans="2:16">
      <c r="B294" s="15" t="s">
        <v>150</v>
      </c>
      <c r="C294" s="34"/>
      <c r="E294" s="248">
        <v>3420.66</v>
      </c>
      <c r="F294" s="34"/>
      <c r="H294" s="248">
        <v>6794.9</v>
      </c>
      <c r="I294" s="34"/>
    </row>
    <row r="295" spans="2:16">
      <c r="B295" s="15" t="s">
        <v>99</v>
      </c>
      <c r="C295" s="34">
        <f>135</f>
        <v>135</v>
      </c>
      <c r="D295" s="34">
        <f>135</f>
        <v>135</v>
      </c>
      <c r="E295" s="34">
        <f>135</f>
        <v>135</v>
      </c>
      <c r="F295" s="34">
        <f>135</f>
        <v>135</v>
      </c>
      <c r="G295" s="34">
        <f>135</f>
        <v>135</v>
      </c>
      <c r="H295" s="34">
        <f>135</f>
        <v>135</v>
      </c>
      <c r="I295" s="34">
        <f>135</f>
        <v>135</v>
      </c>
      <c r="J295" s="29">
        <f>SUM(C295:I295)</f>
        <v>945</v>
      </c>
    </row>
    <row r="296" spans="2:16">
      <c r="B296" s="47" t="s">
        <v>109</v>
      </c>
      <c r="C296" s="48">
        <f>C293-C294-C295</f>
        <v>4034.0431841652326</v>
      </c>
      <c r="D296" s="48">
        <f t="shared" ref="D296:I296" si="73">D293-D294-D295</f>
        <v>5026.7979432013772</v>
      </c>
      <c r="E296" s="48">
        <f t="shared" si="73"/>
        <v>1918.215714285715</v>
      </c>
      <c r="F296" s="48">
        <f t="shared" si="73"/>
        <v>4328.7891279403339</v>
      </c>
      <c r="G296" s="48">
        <f t="shared" si="73"/>
        <v>4328.7891279403339</v>
      </c>
      <c r="H296" s="48">
        <f t="shared" si="73"/>
        <v>4709.5757142857146</v>
      </c>
      <c r="I296" s="48">
        <f t="shared" si="73"/>
        <v>2276.5861761331034</v>
      </c>
      <c r="J296" s="263">
        <f>SUM(C296:I296)</f>
        <v>26622.79698795181</v>
      </c>
    </row>
    <row r="297" spans="2:16">
      <c r="B297" s="11" t="s">
        <v>153</v>
      </c>
      <c r="C297" s="320">
        <v>499</v>
      </c>
      <c r="D297" s="34">
        <f t="shared" ref="D297:I297" si="74">$C$297</f>
        <v>499</v>
      </c>
      <c r="E297" s="34">
        <f t="shared" si="74"/>
        <v>499</v>
      </c>
      <c r="F297" s="34">
        <f t="shared" si="74"/>
        <v>499</v>
      </c>
      <c r="G297" s="34">
        <f t="shared" si="74"/>
        <v>499</v>
      </c>
      <c r="H297" s="34">
        <f t="shared" si="74"/>
        <v>499</v>
      </c>
      <c r="I297" s="34">
        <f t="shared" si="74"/>
        <v>499</v>
      </c>
    </row>
    <row r="298" spans="2:16">
      <c r="B298" s="47" t="s">
        <v>100</v>
      </c>
      <c r="C298" s="34">
        <f t="shared" ref="C298:I298" si="75">C297*C296</f>
        <v>2012987.548898451</v>
      </c>
      <c r="D298" s="34">
        <f t="shared" si="75"/>
        <v>2508372.1736574871</v>
      </c>
      <c r="E298" s="34">
        <f t="shared" si="75"/>
        <v>957189.64142857178</v>
      </c>
      <c r="F298" s="34">
        <f t="shared" si="75"/>
        <v>2160065.7748422264</v>
      </c>
      <c r="G298" s="34">
        <f t="shared" si="75"/>
        <v>2160065.7748422264</v>
      </c>
      <c r="H298" s="34">
        <f t="shared" si="75"/>
        <v>2350078.2814285718</v>
      </c>
      <c r="I298" s="34">
        <f t="shared" si="75"/>
        <v>1136016.5018904186</v>
      </c>
      <c r="J298" s="247">
        <f>SUM(C298:I298)</f>
        <v>13284775.696987955</v>
      </c>
      <c r="L298" s="268">
        <f>IFERROR(J298/C297,0)</f>
        <v>26622.796987951813</v>
      </c>
      <c r="M298" s="268">
        <v>500</v>
      </c>
      <c r="N298" s="268"/>
      <c r="O298" s="268"/>
      <c r="P298" s="366">
        <f>L298+M298</f>
        <v>27122.796987951813</v>
      </c>
    </row>
    <row r="299" spans="2:16">
      <c r="B299" s="15" t="s">
        <v>151</v>
      </c>
      <c r="C299" s="54">
        <v>1325079.3600000001</v>
      </c>
      <c r="D299" s="54">
        <v>1612916.33</v>
      </c>
      <c r="E299" s="34">
        <v>0</v>
      </c>
      <c r="F299" s="54">
        <v>1410537.3</v>
      </c>
      <c r="G299" s="54">
        <v>1410537.3</v>
      </c>
      <c r="H299" s="34">
        <v>0</v>
      </c>
      <c r="I299" s="54">
        <v>786551.54</v>
      </c>
      <c r="J299" s="267">
        <f>SUM(C299:I299)</f>
        <v>6545621.8300000001</v>
      </c>
      <c r="L299" s="268">
        <f>IFERROR(J299/C297,0)</f>
        <v>13117.478617234468</v>
      </c>
    </row>
    <row r="300" spans="2:16">
      <c r="B300" s="12" t="s">
        <v>152</v>
      </c>
      <c r="C300" s="34">
        <f t="shared" ref="C300:I300" si="76">C298-C299</f>
        <v>687908.18889845093</v>
      </c>
      <c r="D300" s="34">
        <f t="shared" si="76"/>
        <v>895455.84365748707</v>
      </c>
      <c r="E300" s="34">
        <f t="shared" si="76"/>
        <v>957189.64142857178</v>
      </c>
      <c r="F300" s="34">
        <f t="shared" si="76"/>
        <v>749528.47484222637</v>
      </c>
      <c r="G300" s="34">
        <f t="shared" si="76"/>
        <v>749528.47484222637</v>
      </c>
      <c r="H300" s="34">
        <f t="shared" si="76"/>
        <v>2350078.2814285718</v>
      </c>
      <c r="I300" s="34">
        <f t="shared" si="76"/>
        <v>349464.96189041855</v>
      </c>
    </row>
    <row r="303" spans="2:16">
      <c r="H303" s="50" t="s">
        <v>727</v>
      </c>
      <c r="I303" s="50"/>
      <c r="J303" s="247">
        <f>500*499</f>
        <v>249500</v>
      </c>
    </row>
    <row r="304" spans="2:16">
      <c r="H304" s="365" t="s">
        <v>728</v>
      </c>
      <c r="I304" s="50"/>
      <c r="J304" s="247">
        <f>J298+J303</f>
        <v>13534275.696987955</v>
      </c>
    </row>
    <row r="305" spans="2:18">
      <c r="H305" s="361"/>
    </row>
    <row r="307" spans="2:18">
      <c r="B307" s="601" t="s">
        <v>756</v>
      </c>
      <c r="C307" s="600"/>
      <c r="D307" s="600"/>
      <c r="E307" s="600"/>
      <c r="F307" s="600"/>
      <c r="G307" s="600"/>
      <c r="H307" s="600"/>
      <c r="I307" s="600"/>
      <c r="J307" s="600"/>
      <c r="K307" s="600"/>
      <c r="L307" s="600"/>
    </row>
    <row r="308" spans="2:18">
      <c r="B308" s="11" t="s">
        <v>178</v>
      </c>
      <c r="C308" s="602">
        <v>166</v>
      </c>
      <c r="D308" s="602"/>
      <c r="E308" s="602"/>
      <c r="F308" s="602">
        <v>166</v>
      </c>
      <c r="G308" s="602"/>
      <c r="H308" s="372">
        <v>166</v>
      </c>
      <c r="I308" s="372">
        <v>166</v>
      </c>
      <c r="J308" s="372">
        <v>166</v>
      </c>
    </row>
    <row r="309" spans="2:18">
      <c r="B309" s="11" t="s">
        <v>110</v>
      </c>
      <c r="C309" s="11">
        <v>494</v>
      </c>
      <c r="D309" s="11">
        <v>494</v>
      </c>
      <c r="E309" s="11">
        <v>494</v>
      </c>
      <c r="F309" s="11">
        <v>494</v>
      </c>
      <c r="G309" s="11">
        <v>494</v>
      </c>
      <c r="H309" s="11">
        <v>494</v>
      </c>
      <c r="I309" s="11">
        <v>494</v>
      </c>
      <c r="J309" s="11">
        <v>494</v>
      </c>
      <c r="K309" s="29"/>
    </row>
    <row r="310" spans="2:18" ht="24">
      <c r="B310" s="15"/>
      <c r="C310" s="57" t="s">
        <v>386</v>
      </c>
      <c r="D310" s="57" t="s">
        <v>149</v>
      </c>
      <c r="E310" s="57" t="s">
        <v>107</v>
      </c>
      <c r="F310" s="57" t="s">
        <v>179</v>
      </c>
      <c r="G310" s="57" t="s">
        <v>202</v>
      </c>
      <c r="H310" s="57" t="s">
        <v>181</v>
      </c>
      <c r="I310" s="57" t="s">
        <v>337</v>
      </c>
      <c r="J310" s="57" t="s">
        <v>744</v>
      </c>
      <c r="P310" s="55" t="s">
        <v>334</v>
      </c>
      <c r="Q310" s="55" t="s">
        <v>335</v>
      </c>
      <c r="R310" s="50" t="s">
        <v>336</v>
      </c>
    </row>
    <row r="311" spans="2:18">
      <c r="B311" s="15" t="s">
        <v>96</v>
      </c>
      <c r="C311" s="355">
        <v>4207.2656275303643</v>
      </c>
      <c r="D311" s="315">
        <v>5208.0588866396756</v>
      </c>
      <c r="E311" s="315">
        <v>5479.59</v>
      </c>
      <c r="F311" s="315">
        <v>4504.3981781376524</v>
      </c>
      <c r="G311" s="315">
        <v>4504.3981781376524</v>
      </c>
      <c r="H311" s="315">
        <v>11264.76</v>
      </c>
      <c r="I311" s="314">
        <v>2435.5781983805664</v>
      </c>
      <c r="J311" s="314">
        <v>8458.5499999999993</v>
      </c>
      <c r="K311" s="50" t="s">
        <v>419</v>
      </c>
      <c r="P311" s="29">
        <f>SUM(C311:J311)</f>
        <v>46062.599068825904</v>
      </c>
      <c r="Q311" s="29">
        <f>SUM(C313:J313)</f>
        <v>46062.599068825904</v>
      </c>
      <c r="R311" s="247">
        <f>Q311-P311</f>
        <v>0</v>
      </c>
    </row>
    <row r="312" spans="2:18">
      <c r="B312" s="11" t="s">
        <v>147</v>
      </c>
      <c r="C312" s="34">
        <v>0</v>
      </c>
      <c r="D312" s="34">
        <v>0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51">
        <f>SUM(C312:I312)</f>
        <v>0</v>
      </c>
      <c r="P312" s="334"/>
    </row>
    <row r="313" spans="2:18">
      <c r="B313" s="50" t="s">
        <v>362</v>
      </c>
      <c r="C313" s="85">
        <f t="shared" ref="C313:I313" si="77">C311-C312</f>
        <v>4207.2656275303643</v>
      </c>
      <c r="D313" s="85">
        <f t="shared" si="77"/>
        <v>5208.0588866396756</v>
      </c>
      <c r="E313" s="85">
        <f t="shared" si="77"/>
        <v>5479.59</v>
      </c>
      <c r="F313" s="85">
        <f t="shared" si="77"/>
        <v>4504.3981781376524</v>
      </c>
      <c r="G313" s="85">
        <f t="shared" si="77"/>
        <v>4504.3981781376524</v>
      </c>
      <c r="H313" s="85">
        <f t="shared" si="77"/>
        <v>11264.76</v>
      </c>
      <c r="I313" s="85">
        <f t="shared" si="77"/>
        <v>2435.5781983805664</v>
      </c>
      <c r="J313" s="85">
        <f>J311-J312</f>
        <v>8458.5499999999993</v>
      </c>
      <c r="K313" s="50" t="s">
        <v>420</v>
      </c>
    </row>
    <row r="314" spans="2:18">
      <c r="B314" s="15" t="s">
        <v>97</v>
      </c>
      <c r="C314" s="327">
        <f>40/8</f>
        <v>5</v>
      </c>
      <c r="D314" s="327">
        <f t="shared" ref="D314:J314" si="78">40/8</f>
        <v>5</v>
      </c>
      <c r="E314" s="327">
        <f t="shared" si="78"/>
        <v>5</v>
      </c>
      <c r="F314" s="327">
        <f t="shared" si="78"/>
        <v>5</v>
      </c>
      <c r="G314" s="327">
        <f t="shared" si="78"/>
        <v>5</v>
      </c>
      <c r="H314" s="327">
        <f t="shared" si="78"/>
        <v>5</v>
      </c>
      <c r="I314" s="327">
        <f t="shared" si="78"/>
        <v>5</v>
      </c>
      <c r="J314" s="327">
        <f t="shared" si="78"/>
        <v>5</v>
      </c>
      <c r="K314" s="34">
        <f>SUM(C314:J314)</f>
        <v>40</v>
      </c>
      <c r="Q314" s="29">
        <f>Q311-K314</f>
        <v>46022.599068825904</v>
      </c>
    </row>
    <row r="315" spans="2:18">
      <c r="B315" s="50" t="s">
        <v>148</v>
      </c>
      <c r="C315" s="51">
        <f t="shared" ref="C315:I315" si="79">C313-C314</f>
        <v>4202.2656275303643</v>
      </c>
      <c r="D315" s="51">
        <f t="shared" si="79"/>
        <v>5203.0588866396756</v>
      </c>
      <c r="E315" s="51">
        <f t="shared" si="79"/>
        <v>5474.59</v>
      </c>
      <c r="F315" s="51">
        <f t="shared" si="79"/>
        <v>4499.3981781376524</v>
      </c>
      <c r="G315" s="51">
        <f t="shared" si="79"/>
        <v>4499.3981781376524</v>
      </c>
      <c r="H315" s="51">
        <f t="shared" si="79"/>
        <v>11259.76</v>
      </c>
      <c r="I315" s="51">
        <f t="shared" si="79"/>
        <v>2430.5781983805664</v>
      </c>
      <c r="J315" s="51">
        <f>J313-J314</f>
        <v>8453.5499999999993</v>
      </c>
      <c r="K315" s="263">
        <f>SUM($C$315:$J$315)</f>
        <v>46022.599068825904</v>
      </c>
      <c r="P315" s="29"/>
      <c r="R315" s="29"/>
    </row>
    <row r="316" spans="2:18">
      <c r="B316" s="15" t="s">
        <v>150</v>
      </c>
      <c r="C316" s="34"/>
      <c r="E316" s="248">
        <v>3422.34</v>
      </c>
      <c r="F316" s="34"/>
      <c r="H316" s="248">
        <v>6704.79</v>
      </c>
      <c r="I316" s="34"/>
      <c r="J316" s="248">
        <v>5067.32</v>
      </c>
    </row>
    <row r="317" spans="2:18">
      <c r="B317" s="15" t="s">
        <v>99</v>
      </c>
      <c r="C317" s="34">
        <f>135</f>
        <v>135</v>
      </c>
      <c r="D317" s="34">
        <f>135</f>
        <v>135</v>
      </c>
      <c r="E317" s="34">
        <f>135</f>
        <v>135</v>
      </c>
      <c r="F317" s="34">
        <f>135</f>
        <v>135</v>
      </c>
      <c r="G317" s="34">
        <f>135</f>
        <v>135</v>
      </c>
      <c r="H317" s="34">
        <f>135</f>
        <v>135</v>
      </c>
      <c r="I317" s="34">
        <f>135</f>
        <v>135</v>
      </c>
      <c r="J317" s="34">
        <f>135</f>
        <v>135</v>
      </c>
      <c r="K317" s="29">
        <f>SUM($C$317:$J$317)</f>
        <v>1080</v>
      </c>
    </row>
    <row r="318" spans="2:18">
      <c r="B318" s="47" t="s">
        <v>109</v>
      </c>
      <c r="C318" s="48">
        <f>C315-C316-C317</f>
        <v>4067.2656275303643</v>
      </c>
      <c r="D318" s="48">
        <f t="shared" ref="D318:I318" si="80">D315-D316-D317</f>
        <v>5068.0588866396756</v>
      </c>
      <c r="E318" s="48">
        <f t="shared" si="80"/>
        <v>1917.25</v>
      </c>
      <c r="F318" s="48">
        <f t="shared" si="80"/>
        <v>4364.3981781376524</v>
      </c>
      <c r="G318" s="48">
        <f t="shared" si="80"/>
        <v>4364.3981781376524</v>
      </c>
      <c r="H318" s="48">
        <f t="shared" si="80"/>
        <v>4419.97</v>
      </c>
      <c r="I318" s="48">
        <f t="shared" si="80"/>
        <v>2295.5781983805664</v>
      </c>
      <c r="J318" s="48">
        <f>J315-J316-J317</f>
        <v>3251.2299999999996</v>
      </c>
      <c r="K318" s="263">
        <f>SUM($C$318:$J$318)</f>
        <v>29748.149068825911</v>
      </c>
    </row>
    <row r="319" spans="2:18">
      <c r="B319" s="11" t="s">
        <v>153</v>
      </c>
      <c r="C319" s="320">
        <v>494</v>
      </c>
      <c r="D319" s="34">
        <f>$C$319</f>
        <v>494</v>
      </c>
      <c r="E319" s="34">
        <f t="shared" ref="E319:J319" si="81">$C$319</f>
        <v>494</v>
      </c>
      <c r="F319" s="34">
        <f t="shared" si="81"/>
        <v>494</v>
      </c>
      <c r="G319" s="34">
        <f t="shared" si="81"/>
        <v>494</v>
      </c>
      <c r="H319" s="34">
        <f t="shared" si="81"/>
        <v>494</v>
      </c>
      <c r="I319" s="34">
        <f t="shared" si="81"/>
        <v>494</v>
      </c>
      <c r="J319" s="34">
        <f t="shared" si="81"/>
        <v>494</v>
      </c>
    </row>
    <row r="320" spans="2:18">
      <c r="B320" s="47" t="s">
        <v>100</v>
      </c>
      <c r="C320" s="34">
        <f t="shared" ref="C320:I320" si="82">C319*C318</f>
        <v>2009229.22</v>
      </c>
      <c r="D320" s="34">
        <f t="shared" si="82"/>
        <v>2503621.09</v>
      </c>
      <c r="E320" s="34">
        <f t="shared" si="82"/>
        <v>947121.5</v>
      </c>
      <c r="F320" s="34">
        <f t="shared" si="82"/>
        <v>2156012.7000000002</v>
      </c>
      <c r="G320" s="34">
        <f t="shared" si="82"/>
        <v>2156012.7000000002</v>
      </c>
      <c r="H320" s="34">
        <f t="shared" si="82"/>
        <v>2183465.1800000002</v>
      </c>
      <c r="I320" s="34">
        <f t="shared" si="82"/>
        <v>1134015.6299999999</v>
      </c>
      <c r="J320" s="34">
        <f>J319*J318</f>
        <v>1606107.6199999999</v>
      </c>
      <c r="K320" s="247">
        <f>SUM(C320:J320)</f>
        <v>14695585.639999999</v>
      </c>
      <c r="P320" s="268">
        <f>IFERROR(K320/C319,0)</f>
        <v>29748.149068825907</v>
      </c>
      <c r="Q320" s="268"/>
      <c r="R320" s="366"/>
    </row>
    <row r="321" spans="2:16">
      <c r="B321" s="15" t="s">
        <v>151</v>
      </c>
      <c r="C321" s="54">
        <v>1325079.3600000001</v>
      </c>
      <c r="D321" s="54">
        <v>1612916.33</v>
      </c>
      <c r="E321" s="34">
        <v>0</v>
      </c>
      <c r="F321" s="54">
        <v>1410537.3</v>
      </c>
      <c r="G321" s="54">
        <v>1410537.3</v>
      </c>
      <c r="H321" s="34">
        <v>0</v>
      </c>
      <c r="I321" s="54">
        <v>786551.54</v>
      </c>
      <c r="J321" s="34">
        <v>0</v>
      </c>
      <c r="K321" s="267">
        <f>SUM(C321:J321)</f>
        <v>6545621.8300000001</v>
      </c>
      <c r="P321" s="268">
        <f>IFERROR(K321/C319,0)</f>
        <v>13250.246619433199</v>
      </c>
    </row>
    <row r="322" spans="2:16">
      <c r="B322" s="12" t="s">
        <v>152</v>
      </c>
      <c r="C322" s="34">
        <f t="shared" ref="C322:I322" si="83">C320-C321</f>
        <v>684149.85999999987</v>
      </c>
      <c r="D322" s="34">
        <f t="shared" si="83"/>
        <v>890704.75999999978</v>
      </c>
      <c r="E322" s="34">
        <f t="shared" si="83"/>
        <v>947121.5</v>
      </c>
      <c r="F322" s="34">
        <f t="shared" si="83"/>
        <v>745475.40000000014</v>
      </c>
      <c r="G322" s="34">
        <f t="shared" si="83"/>
        <v>745475.40000000014</v>
      </c>
      <c r="H322" s="34">
        <f t="shared" si="83"/>
        <v>2183465.1800000002</v>
      </c>
      <c r="I322" s="34">
        <f t="shared" si="83"/>
        <v>347464.08999999985</v>
      </c>
      <c r="J322" s="34">
        <f>J320-J321</f>
        <v>1606107.6199999999</v>
      </c>
    </row>
    <row r="325" spans="2:16">
      <c r="H325" s="50"/>
      <c r="I325" s="50"/>
      <c r="J325" s="247"/>
    </row>
    <row r="326" spans="2:16">
      <c r="H326" s="365" t="s">
        <v>783</v>
      </c>
      <c r="I326" s="50"/>
      <c r="J326" s="247">
        <f>K320+D342</f>
        <v>23405912.199999999</v>
      </c>
    </row>
    <row r="327" spans="2:16">
      <c r="H327" s="365" t="s">
        <v>784</v>
      </c>
      <c r="J327" s="29">
        <f>J326/C319</f>
        <v>47380.389068825913</v>
      </c>
    </row>
    <row r="329" spans="2:16">
      <c r="B329" s="601" t="s">
        <v>757</v>
      </c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</row>
    <row r="330" spans="2:16">
      <c r="B330" s="11" t="s">
        <v>178</v>
      </c>
      <c r="C330" s="372">
        <v>167</v>
      </c>
    </row>
    <row r="331" spans="2:16">
      <c r="B331" s="11" t="s">
        <v>110</v>
      </c>
      <c r="C331" s="11">
        <v>494</v>
      </c>
      <c r="D331" s="29"/>
      <c r="F331" s="55" t="s">
        <v>334</v>
      </c>
      <c r="G331" s="55" t="s">
        <v>335</v>
      </c>
      <c r="H331" s="50" t="s">
        <v>336</v>
      </c>
    </row>
    <row r="332" spans="2:16" ht="24">
      <c r="B332" s="15"/>
      <c r="C332" s="57" t="s">
        <v>758</v>
      </c>
      <c r="F332" s="29">
        <f>SUM($C$333)</f>
        <v>17793.93</v>
      </c>
      <c r="G332" s="29">
        <f>SUM($C$337)</f>
        <v>17767.240000000002</v>
      </c>
      <c r="H332" s="247">
        <f>G332-F332</f>
        <v>-26.68999999999869</v>
      </c>
    </row>
    <row r="333" spans="2:16">
      <c r="B333" s="15" t="s">
        <v>96</v>
      </c>
      <c r="C333" s="355">
        <v>17793.93</v>
      </c>
      <c r="D333" s="50" t="s">
        <v>419</v>
      </c>
      <c r="F333" s="334"/>
    </row>
    <row r="334" spans="2:16">
      <c r="B334" s="11" t="s">
        <v>147</v>
      </c>
      <c r="C334" s="34">
        <v>0</v>
      </c>
      <c r="D334" s="51">
        <f>SUM(C334:C334)</f>
        <v>0</v>
      </c>
    </row>
    <row r="335" spans="2:16">
      <c r="B335" s="50" t="s">
        <v>362</v>
      </c>
      <c r="C335" s="85">
        <f>C333-C334</f>
        <v>17793.93</v>
      </c>
      <c r="D335" s="50" t="s">
        <v>420</v>
      </c>
      <c r="G335" s="29">
        <f>$F$332-$D$336</f>
        <v>17767.240000000002</v>
      </c>
    </row>
    <row r="336" spans="2:16">
      <c r="B336" s="15" t="s">
        <v>97</v>
      </c>
      <c r="C336" s="327">
        <v>26.69</v>
      </c>
      <c r="D336" s="34">
        <f>SUM(C336)</f>
        <v>26.69</v>
      </c>
    </row>
    <row r="337" spans="2:18">
      <c r="B337" s="50" t="s">
        <v>148</v>
      </c>
      <c r="C337" s="51">
        <f>C335-C336</f>
        <v>17767.240000000002</v>
      </c>
      <c r="D337" s="263">
        <f>SUM(C337)</f>
        <v>17767.240000000002</v>
      </c>
    </row>
    <row r="338" spans="2:18">
      <c r="B338" s="15" t="s">
        <v>150</v>
      </c>
      <c r="C338" s="34"/>
    </row>
    <row r="339" spans="2:18">
      <c r="B339" s="15" t="s">
        <v>99</v>
      </c>
      <c r="C339" s="34">
        <f>135</f>
        <v>135</v>
      </c>
      <c r="D339" s="29">
        <f>SUM(C339)</f>
        <v>135</v>
      </c>
    </row>
    <row r="340" spans="2:18">
      <c r="B340" s="47" t="s">
        <v>109</v>
      </c>
      <c r="C340" s="48">
        <f>C337-C338-C339</f>
        <v>17632.240000000002</v>
      </c>
      <c r="D340" s="263">
        <f>SUM(C340)</f>
        <v>17632.240000000002</v>
      </c>
    </row>
    <row r="341" spans="2:18">
      <c r="B341" s="11" t="s">
        <v>153</v>
      </c>
      <c r="C341" s="320">
        <f>C319</f>
        <v>494</v>
      </c>
    </row>
    <row r="342" spans="2:18">
      <c r="B342" s="47" t="s">
        <v>100</v>
      </c>
      <c r="C342" s="34">
        <f>C341*C340</f>
        <v>8710326.5600000005</v>
      </c>
      <c r="D342" s="247">
        <f>SUM(C342:C342)</f>
        <v>8710326.5600000005</v>
      </c>
    </row>
    <row r="343" spans="2:18">
      <c r="B343" s="15" t="s">
        <v>151</v>
      </c>
      <c r="C343" s="54">
        <v>4646054.8600000003</v>
      </c>
      <c r="D343" s="267">
        <f>SUM(C343:C343)</f>
        <v>4646054.8600000003</v>
      </c>
    </row>
    <row r="344" spans="2:18">
      <c r="B344" s="12" t="s">
        <v>152</v>
      </c>
      <c r="C344" s="34">
        <f>C342-C343</f>
        <v>4064271.7</v>
      </c>
    </row>
    <row r="346" spans="2:18">
      <c r="H346" s="365" t="s">
        <v>728</v>
      </c>
      <c r="I346" s="50"/>
      <c r="J346" s="247">
        <f>D342</f>
        <v>8710326.5600000005</v>
      </c>
    </row>
    <row r="348" spans="2:18">
      <c r="B348" s="601" t="s">
        <v>810</v>
      </c>
      <c r="C348" s="600"/>
      <c r="D348" s="600"/>
      <c r="E348" s="600"/>
      <c r="F348" s="600"/>
      <c r="G348" s="600"/>
      <c r="H348" s="600"/>
      <c r="I348" s="600"/>
      <c r="J348" s="600"/>
      <c r="K348" s="600"/>
      <c r="L348" s="600"/>
    </row>
    <row r="349" spans="2:18">
      <c r="B349" s="11" t="s">
        <v>178</v>
      </c>
      <c r="C349" s="602">
        <v>168</v>
      </c>
      <c r="D349" s="602"/>
      <c r="E349" s="602"/>
      <c r="F349" s="602">
        <v>168</v>
      </c>
      <c r="G349" s="602"/>
      <c r="H349" s="383">
        <v>168</v>
      </c>
      <c r="I349" s="383">
        <v>168</v>
      </c>
      <c r="J349" s="383">
        <v>168</v>
      </c>
    </row>
    <row r="350" spans="2:18">
      <c r="B350" s="11" t="s">
        <v>110</v>
      </c>
      <c r="C350" s="11">
        <v>494</v>
      </c>
      <c r="D350" s="11">
        <v>494</v>
      </c>
      <c r="E350" s="11">
        <v>494</v>
      </c>
      <c r="F350" s="11">
        <v>494</v>
      </c>
      <c r="G350" s="11">
        <v>494</v>
      </c>
      <c r="H350" s="11">
        <v>494</v>
      </c>
      <c r="I350" s="11">
        <v>494</v>
      </c>
      <c r="J350" s="11">
        <v>494</v>
      </c>
      <c r="K350" s="29"/>
    </row>
    <row r="351" spans="2:18" ht="24">
      <c r="B351" s="15"/>
      <c r="C351" s="385" t="s">
        <v>386</v>
      </c>
      <c r="D351" s="385" t="s">
        <v>149</v>
      </c>
      <c r="E351" s="385" t="s">
        <v>107</v>
      </c>
      <c r="F351" s="386" t="s">
        <v>179</v>
      </c>
      <c r="G351" s="386" t="s">
        <v>202</v>
      </c>
      <c r="H351" s="57" t="s">
        <v>181</v>
      </c>
      <c r="I351" s="57" t="s">
        <v>337</v>
      </c>
      <c r="J351" s="57" t="s">
        <v>744</v>
      </c>
      <c r="P351" s="55" t="s">
        <v>334</v>
      </c>
      <c r="Q351" s="55" t="s">
        <v>335</v>
      </c>
      <c r="R351" s="50" t="s">
        <v>336</v>
      </c>
    </row>
    <row r="352" spans="2:18">
      <c r="B352" s="15" t="s">
        <v>96</v>
      </c>
      <c r="C352" s="355">
        <v>4166.7118637274552</v>
      </c>
      <c r="D352" s="315">
        <v>5157.4771342685372</v>
      </c>
      <c r="E352" s="315">
        <v>5479.59</v>
      </c>
      <c r="F352" s="315">
        <v>4460.8671342685375</v>
      </c>
      <c r="G352" s="315">
        <v>4460.8671342685375</v>
      </c>
      <c r="H352" s="315">
        <v>25780.82</v>
      </c>
      <c r="I352" s="314">
        <v>2412.7768136272543</v>
      </c>
      <c r="J352" s="314">
        <v>8458.5499999999993</v>
      </c>
      <c r="K352" s="50" t="s">
        <v>419</v>
      </c>
      <c r="P352" s="29">
        <f>SUM(C352:J352)</f>
        <v>60377.66008016032</v>
      </c>
      <c r="Q352" s="29">
        <f>SUM(C354:J354)</f>
        <v>60377.66008016032</v>
      </c>
      <c r="R352" s="247">
        <f>Q352-P352</f>
        <v>0</v>
      </c>
    </row>
    <row r="353" spans="2:18">
      <c r="B353" s="11" t="s">
        <v>147</v>
      </c>
      <c r="C353" s="34">
        <v>0</v>
      </c>
      <c r="D353" s="34">
        <v>0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51">
        <f>SUM(C353:I353)</f>
        <v>0</v>
      </c>
      <c r="P353" s="334"/>
    </row>
    <row r="354" spans="2:18">
      <c r="B354" s="50" t="s">
        <v>362</v>
      </c>
      <c r="C354" s="85">
        <f t="shared" ref="C354:I354" si="84">C352-C353</f>
        <v>4166.7118637274552</v>
      </c>
      <c r="D354" s="85">
        <f t="shared" si="84"/>
        <v>5157.4771342685372</v>
      </c>
      <c r="E354" s="85">
        <f t="shared" si="84"/>
        <v>5479.59</v>
      </c>
      <c r="F354" s="85">
        <f t="shared" si="84"/>
        <v>4460.8671342685375</v>
      </c>
      <c r="G354" s="85">
        <f t="shared" si="84"/>
        <v>4460.8671342685375</v>
      </c>
      <c r="H354" s="85">
        <f t="shared" si="84"/>
        <v>25780.82</v>
      </c>
      <c r="I354" s="85">
        <f t="shared" si="84"/>
        <v>2412.7768136272543</v>
      </c>
      <c r="J354" s="85">
        <f>J352-J353</f>
        <v>8458.5499999999993</v>
      </c>
      <c r="K354" s="50" t="s">
        <v>420</v>
      </c>
    </row>
    <row r="355" spans="2:18">
      <c r="B355" s="15" t="s">
        <v>97</v>
      </c>
      <c r="C355" s="327">
        <f>40/8</f>
        <v>5</v>
      </c>
      <c r="D355" s="327">
        <f t="shared" ref="D355:J355" si="85">40/8</f>
        <v>5</v>
      </c>
      <c r="E355" s="327">
        <f t="shared" si="85"/>
        <v>5</v>
      </c>
      <c r="F355" s="327">
        <f t="shared" si="85"/>
        <v>5</v>
      </c>
      <c r="G355" s="327">
        <f t="shared" si="85"/>
        <v>5</v>
      </c>
      <c r="H355" s="327">
        <f t="shared" si="85"/>
        <v>5</v>
      </c>
      <c r="I355" s="327">
        <f t="shared" si="85"/>
        <v>5</v>
      </c>
      <c r="J355" s="327">
        <f t="shared" si="85"/>
        <v>5</v>
      </c>
      <c r="K355" s="34">
        <f>SUM(C355:J355)</f>
        <v>40</v>
      </c>
      <c r="Q355" s="29">
        <f>Q352-K355</f>
        <v>60337.66008016032</v>
      </c>
    </row>
    <row r="356" spans="2:18">
      <c r="B356" s="50" t="s">
        <v>148</v>
      </c>
      <c r="C356" s="51">
        <f t="shared" ref="C356:I356" si="86">C354-C355</f>
        <v>4161.7118637274552</v>
      </c>
      <c r="D356" s="51">
        <f t="shared" si="86"/>
        <v>5152.4771342685372</v>
      </c>
      <c r="E356" s="51">
        <f t="shared" si="86"/>
        <v>5474.59</v>
      </c>
      <c r="F356" s="51">
        <f t="shared" si="86"/>
        <v>4455.8671342685375</v>
      </c>
      <c r="G356" s="51">
        <f t="shared" si="86"/>
        <v>4455.8671342685375</v>
      </c>
      <c r="H356" s="51">
        <f t="shared" si="86"/>
        <v>25775.82</v>
      </c>
      <c r="I356" s="51">
        <f t="shared" si="86"/>
        <v>2407.7768136272543</v>
      </c>
      <c r="J356" s="51">
        <f>J354-J355</f>
        <v>8453.5499999999993</v>
      </c>
      <c r="K356" s="263">
        <f>SUM($C$356:$J$356)</f>
        <v>60337.66008016032</v>
      </c>
      <c r="P356" s="29"/>
      <c r="R356" s="29"/>
    </row>
    <row r="357" spans="2:18">
      <c r="B357" s="15" t="s">
        <v>150</v>
      </c>
      <c r="C357" s="34"/>
      <c r="E357" s="248">
        <v>3423.24</v>
      </c>
      <c r="F357" s="34"/>
      <c r="H357" s="248">
        <v>13951.4</v>
      </c>
      <c r="I357" s="34"/>
      <c r="J357" s="248">
        <v>5068.8599999999997</v>
      </c>
    </row>
    <row r="358" spans="2:18">
      <c r="B358" s="15" t="s">
        <v>99</v>
      </c>
      <c r="C358" s="34">
        <f>135</f>
        <v>135</v>
      </c>
      <c r="D358" s="34">
        <f>135</f>
        <v>135</v>
      </c>
      <c r="E358" s="34">
        <f>135</f>
        <v>135</v>
      </c>
      <c r="F358" s="34">
        <f>135</f>
        <v>135</v>
      </c>
      <c r="G358" s="34">
        <f>135</f>
        <v>135</v>
      </c>
      <c r="H358" s="34">
        <f>135</f>
        <v>135</v>
      </c>
      <c r="I358" s="34">
        <f>135</f>
        <v>135</v>
      </c>
      <c r="J358" s="34">
        <f>135</f>
        <v>135</v>
      </c>
      <c r="K358" s="29">
        <f>SUM($C$358:$J$358)</f>
        <v>1080</v>
      </c>
    </row>
    <row r="359" spans="2:18">
      <c r="B359" s="47" t="s">
        <v>109</v>
      </c>
      <c r="C359" s="48">
        <f>C356-C357-C358</f>
        <v>4026.7118637274552</v>
      </c>
      <c r="D359" s="48">
        <f t="shared" ref="D359:I359" si="87">D356-D357-D358</f>
        <v>5017.4771342685372</v>
      </c>
      <c r="E359" s="48">
        <f t="shared" si="87"/>
        <v>1916.3500000000004</v>
      </c>
      <c r="F359" s="48">
        <f t="shared" si="87"/>
        <v>4320.8671342685375</v>
      </c>
      <c r="G359" s="48">
        <f t="shared" si="87"/>
        <v>4320.8671342685375</v>
      </c>
      <c r="H359" s="48">
        <f t="shared" si="87"/>
        <v>11689.42</v>
      </c>
      <c r="I359" s="48">
        <f t="shared" si="87"/>
        <v>2272.7768136272543</v>
      </c>
      <c r="J359" s="48">
        <f>J356-J357-J358</f>
        <v>3249.6899999999996</v>
      </c>
      <c r="K359" s="263">
        <f>SUM($C$359:$J$359)</f>
        <v>36814.160080160327</v>
      </c>
    </row>
    <row r="360" spans="2:18">
      <c r="B360" s="11" t="s">
        <v>153</v>
      </c>
      <c r="C360" s="320">
        <v>499</v>
      </c>
      <c r="D360" s="34">
        <f>$C$360</f>
        <v>499</v>
      </c>
      <c r="E360" s="34">
        <f t="shared" ref="E360:J360" si="88">$C$360</f>
        <v>499</v>
      </c>
      <c r="F360" s="34">
        <f t="shared" si="88"/>
        <v>499</v>
      </c>
      <c r="G360" s="34">
        <f t="shared" si="88"/>
        <v>499</v>
      </c>
      <c r="H360" s="34">
        <f t="shared" si="88"/>
        <v>499</v>
      </c>
      <c r="I360" s="34">
        <f t="shared" si="88"/>
        <v>499</v>
      </c>
      <c r="J360" s="34">
        <f t="shared" si="88"/>
        <v>499</v>
      </c>
    </row>
    <row r="361" spans="2:18">
      <c r="B361" s="47" t="s">
        <v>100</v>
      </c>
      <c r="C361" s="34">
        <f t="shared" ref="C361:I361" si="89">C360*C359</f>
        <v>2009329.2200000002</v>
      </c>
      <c r="D361" s="34">
        <f t="shared" si="89"/>
        <v>2503721.09</v>
      </c>
      <c r="E361" s="34">
        <f t="shared" si="89"/>
        <v>956258.65000000014</v>
      </c>
      <c r="F361" s="34">
        <f t="shared" si="89"/>
        <v>2156112.7000000002</v>
      </c>
      <c r="G361" s="34">
        <f t="shared" si="89"/>
        <v>2156112.7000000002</v>
      </c>
      <c r="H361" s="34">
        <f t="shared" si="89"/>
        <v>5833020.5800000001</v>
      </c>
      <c r="I361" s="34">
        <f t="shared" si="89"/>
        <v>1134115.6299999999</v>
      </c>
      <c r="J361" s="34">
        <f>J360*J359</f>
        <v>1621595.3099999998</v>
      </c>
      <c r="K361" s="247">
        <f>SUM(C361:J361)</f>
        <v>18370265.879999999</v>
      </c>
      <c r="P361" s="268"/>
      <c r="Q361" s="268"/>
      <c r="R361" s="366"/>
    </row>
    <row r="362" spans="2:18">
      <c r="B362" s="15" t="s">
        <v>151</v>
      </c>
      <c r="C362" s="54">
        <v>1325079.3600000001</v>
      </c>
      <c r="D362" s="54">
        <v>1612916.33</v>
      </c>
      <c r="E362" s="34">
        <v>0</v>
      </c>
      <c r="F362" s="54">
        <v>1410537.3</v>
      </c>
      <c r="G362" s="54">
        <v>1410537.3</v>
      </c>
      <c r="H362" s="34">
        <v>0</v>
      </c>
      <c r="I362" s="54">
        <v>786551.54</v>
      </c>
      <c r="J362" s="34">
        <v>0</v>
      </c>
      <c r="K362" s="267">
        <f>SUM(C362:J362)</f>
        <v>6545621.8300000001</v>
      </c>
      <c r="L362" s="29">
        <f>K362/499</f>
        <v>13117.478617234468</v>
      </c>
      <c r="P362" s="268"/>
    </row>
    <row r="363" spans="2:18">
      <c r="B363" s="12" t="s">
        <v>152</v>
      </c>
      <c r="C363" s="34">
        <f t="shared" ref="C363:I363" si="90">C361-C362</f>
        <v>684249.8600000001</v>
      </c>
      <c r="D363" s="34">
        <f t="shared" si="90"/>
        <v>890804.75999999978</v>
      </c>
      <c r="E363" s="34">
        <f t="shared" si="90"/>
        <v>956258.65000000014</v>
      </c>
      <c r="F363" s="34">
        <f t="shared" si="90"/>
        <v>745575.40000000014</v>
      </c>
      <c r="G363" s="34">
        <f t="shared" si="90"/>
        <v>745575.40000000014</v>
      </c>
      <c r="H363" s="34">
        <f t="shared" si="90"/>
        <v>5833020.5800000001</v>
      </c>
      <c r="I363" s="34">
        <f t="shared" si="90"/>
        <v>347564.08999999985</v>
      </c>
      <c r="J363" s="34">
        <f>J361-J362</f>
        <v>1621595.3099999998</v>
      </c>
    </row>
    <row r="364" spans="2:18">
      <c r="Q364" s="11" t="s">
        <v>824</v>
      </c>
    </row>
    <row r="365" spans="2:18">
      <c r="Q365" s="29">
        <f>K359</f>
        <v>36814.160080160327</v>
      </c>
      <c r="R365" s="29">
        <f>Q365*499</f>
        <v>18370265.880000003</v>
      </c>
    </row>
    <row r="366" spans="2:18">
      <c r="B366" s="601" t="s">
        <v>841</v>
      </c>
      <c r="C366" s="600"/>
      <c r="D366" s="600"/>
      <c r="E366" s="600"/>
      <c r="F366" s="600"/>
      <c r="G366" s="600"/>
      <c r="H366" s="600"/>
      <c r="I366" s="600"/>
      <c r="J366" s="600"/>
      <c r="K366" s="600"/>
      <c r="L366" s="600"/>
      <c r="Q366" s="29">
        <f>R366/499</f>
        <v>8065.5088176352701</v>
      </c>
      <c r="R366" s="29">
        <v>4024688.9</v>
      </c>
    </row>
    <row r="367" spans="2:18">
      <c r="B367" s="11" t="s">
        <v>178</v>
      </c>
      <c r="C367" s="384">
        <v>169</v>
      </c>
      <c r="Q367" s="51">
        <f>SUM(Q365:Q366)</f>
        <v>44879.6688977956</v>
      </c>
      <c r="R367" s="51">
        <f>SUM(R365:R366)</f>
        <v>22394954.780000001</v>
      </c>
    </row>
    <row r="368" spans="2:18">
      <c r="B368" s="11" t="s">
        <v>110</v>
      </c>
      <c r="C368" s="11">
        <v>502</v>
      </c>
      <c r="D368" s="29"/>
      <c r="F368" s="55" t="s">
        <v>334</v>
      </c>
      <c r="G368" s="55" t="s">
        <v>335</v>
      </c>
      <c r="H368" s="50" t="s">
        <v>336</v>
      </c>
    </row>
    <row r="369" spans="2:12" ht="24">
      <c r="B369" s="15"/>
      <c r="C369" s="57" t="s">
        <v>758</v>
      </c>
      <c r="F369" s="29">
        <f>C370</f>
        <v>17537.54</v>
      </c>
      <c r="G369" s="29">
        <f>C374</f>
        <v>17511.240000000002</v>
      </c>
      <c r="H369" s="247">
        <f>G369-F369</f>
        <v>-26.299999999999272</v>
      </c>
    </row>
    <row r="370" spans="2:12">
      <c r="B370" s="15" t="s">
        <v>96</v>
      </c>
      <c r="C370" s="355">
        <v>17537.54</v>
      </c>
      <c r="D370" s="50" t="s">
        <v>419</v>
      </c>
      <c r="F370" s="334"/>
    </row>
    <row r="371" spans="2:12">
      <c r="B371" s="11" t="s">
        <v>147</v>
      </c>
      <c r="C371" s="34">
        <v>0</v>
      </c>
      <c r="D371" s="51">
        <f>SUM(C371:C371)</f>
        <v>0</v>
      </c>
    </row>
    <row r="372" spans="2:12">
      <c r="B372" s="50" t="s">
        <v>362</v>
      </c>
      <c r="C372" s="85">
        <f>C370-C371</f>
        <v>17537.54</v>
      </c>
      <c r="D372" s="50" t="s">
        <v>420</v>
      </c>
      <c r="G372" s="29">
        <f>$F$369-$D$373</f>
        <v>17511.240000000002</v>
      </c>
    </row>
    <row r="373" spans="2:12">
      <c r="B373" s="15" t="s">
        <v>97</v>
      </c>
      <c r="C373" s="327">
        <v>26.3</v>
      </c>
      <c r="D373" s="34">
        <f>SUM(C373)</f>
        <v>26.3</v>
      </c>
    </row>
    <row r="374" spans="2:12">
      <c r="B374" s="50" t="s">
        <v>148</v>
      </c>
      <c r="C374" s="51">
        <f>C372-C373</f>
        <v>17511.240000000002</v>
      </c>
      <c r="D374" s="263">
        <f>SUM(C374)</f>
        <v>17511.240000000002</v>
      </c>
    </row>
    <row r="375" spans="2:12">
      <c r="B375" s="15" t="s">
        <v>150</v>
      </c>
      <c r="C375" s="34"/>
    </row>
    <row r="376" spans="2:12">
      <c r="B376" s="15" t="s">
        <v>99</v>
      </c>
      <c r="C376" s="34">
        <f>135</f>
        <v>135</v>
      </c>
      <c r="D376" s="29">
        <f>SUM(C376)</f>
        <v>135</v>
      </c>
    </row>
    <row r="377" spans="2:12">
      <c r="B377" s="47" t="s">
        <v>109</v>
      </c>
      <c r="C377" s="48">
        <f>C374-C375-C376</f>
        <v>17376.240000000002</v>
      </c>
      <c r="D377" s="263">
        <f>SUM(C377)</f>
        <v>17376.240000000002</v>
      </c>
    </row>
    <row r="378" spans="2:12">
      <c r="B378" s="11" t="s">
        <v>153</v>
      </c>
      <c r="C378" s="320">
        <v>499</v>
      </c>
    </row>
    <row r="379" spans="2:12">
      <c r="B379" s="47" t="s">
        <v>100</v>
      </c>
      <c r="C379" s="34">
        <f>C378*C377</f>
        <v>8670743.7600000016</v>
      </c>
      <c r="D379" s="247">
        <f>SUM(C379:C379)</f>
        <v>8670743.7600000016</v>
      </c>
    </row>
    <row r="380" spans="2:12">
      <c r="B380" s="15" t="s">
        <v>151</v>
      </c>
      <c r="C380" s="54">
        <v>4646054.8600000003</v>
      </c>
      <c r="D380" s="267">
        <f>SUM(C380:C380)</f>
        <v>4646054.8600000003</v>
      </c>
    </row>
    <row r="381" spans="2:12">
      <c r="B381" s="12" t="s">
        <v>152</v>
      </c>
      <c r="C381" s="34">
        <f>C379-C380</f>
        <v>4024688.9000000013</v>
      </c>
    </row>
    <row r="384" spans="2:12">
      <c r="B384" s="601" t="s">
        <v>840</v>
      </c>
      <c r="C384" s="600"/>
      <c r="D384" s="600"/>
      <c r="E384" s="600"/>
      <c r="F384" s="600"/>
      <c r="G384" s="600"/>
      <c r="H384" s="600"/>
      <c r="I384" s="600"/>
      <c r="J384" s="600"/>
      <c r="K384" s="600"/>
      <c r="L384" s="600"/>
    </row>
    <row r="385" spans="2:18">
      <c r="B385" s="11" t="s">
        <v>178</v>
      </c>
      <c r="C385" s="391">
        <v>172</v>
      </c>
      <c r="D385" s="602">
        <v>171</v>
      </c>
      <c r="E385" s="602"/>
      <c r="F385" s="602">
        <v>171</v>
      </c>
      <c r="G385" s="602"/>
      <c r="H385" s="390">
        <v>171</v>
      </c>
      <c r="I385" s="390">
        <v>171</v>
      </c>
      <c r="J385" s="390">
        <v>171</v>
      </c>
    </row>
    <row r="386" spans="2:18">
      <c r="B386" s="11" t="s">
        <v>110</v>
      </c>
      <c r="C386" s="11">
        <v>501</v>
      </c>
      <c r="D386" s="11">
        <v>501</v>
      </c>
      <c r="E386" s="11">
        <v>501</v>
      </c>
      <c r="F386" s="11">
        <v>501</v>
      </c>
      <c r="G386" s="11">
        <v>501</v>
      </c>
      <c r="H386" s="11">
        <v>501</v>
      </c>
      <c r="I386" s="11">
        <v>501</v>
      </c>
      <c r="J386" s="11">
        <v>501</v>
      </c>
      <c r="K386" s="29"/>
    </row>
    <row r="387" spans="2:18" ht="24">
      <c r="B387" s="15"/>
      <c r="C387" s="385" t="s">
        <v>386</v>
      </c>
      <c r="D387" s="385" t="s">
        <v>149</v>
      </c>
      <c r="E387" s="385" t="s">
        <v>107</v>
      </c>
      <c r="F387" s="386" t="s">
        <v>179</v>
      </c>
      <c r="G387" s="386" t="s">
        <v>202</v>
      </c>
      <c r="H387" s="57" t="s">
        <v>181</v>
      </c>
      <c r="I387" s="57" t="s">
        <v>337</v>
      </c>
      <c r="J387" s="57" t="s">
        <v>744</v>
      </c>
      <c r="P387" s="55" t="s">
        <v>334</v>
      </c>
      <c r="Q387" s="55" t="s">
        <v>335</v>
      </c>
      <c r="R387" s="50" t="s">
        <v>336</v>
      </c>
    </row>
    <row r="388" spans="2:18">
      <c r="B388" s="15" t="s">
        <v>96</v>
      </c>
      <c r="C388" s="355">
        <v>6096.7052295409176</v>
      </c>
      <c r="D388" s="315">
        <v>2040.6543125748503</v>
      </c>
      <c r="E388" s="315">
        <v>5480.01</v>
      </c>
      <c r="F388" s="315">
        <v>4443.6980039920163</v>
      </c>
      <c r="G388" s="315">
        <v>4443.6980039920163</v>
      </c>
      <c r="H388" s="315">
        <v>11424.32</v>
      </c>
      <c r="I388" s="314">
        <v>2403.7836926147702</v>
      </c>
      <c r="J388" s="314">
        <v>8458.5499999999993</v>
      </c>
      <c r="K388" s="50" t="s">
        <v>419</v>
      </c>
      <c r="P388" s="29">
        <f>SUM(C388:J388)</f>
        <v>44791.419242714575</v>
      </c>
      <c r="Q388" s="29">
        <f>SUM(C390:J390)</f>
        <v>44751.419242714575</v>
      </c>
      <c r="R388" s="247">
        <f>Q388-P388</f>
        <v>-40</v>
      </c>
    </row>
    <row r="389" spans="2:18">
      <c r="B389" s="11" t="s">
        <v>147</v>
      </c>
      <c r="C389" s="34">
        <f t="shared" ref="C389:J389" si="91">40/8</f>
        <v>5</v>
      </c>
      <c r="D389" s="34">
        <f t="shared" si="91"/>
        <v>5</v>
      </c>
      <c r="E389" s="34">
        <f t="shared" si="91"/>
        <v>5</v>
      </c>
      <c r="F389" s="34">
        <f t="shared" si="91"/>
        <v>5</v>
      </c>
      <c r="G389" s="34">
        <f t="shared" si="91"/>
        <v>5</v>
      </c>
      <c r="H389" s="34">
        <f t="shared" si="91"/>
        <v>5</v>
      </c>
      <c r="I389" s="34">
        <f t="shared" si="91"/>
        <v>5</v>
      </c>
      <c r="J389" s="34">
        <f t="shared" si="91"/>
        <v>5</v>
      </c>
      <c r="K389" s="51">
        <f>SUM(C389:I389)</f>
        <v>35</v>
      </c>
      <c r="P389" s="334"/>
    </row>
    <row r="390" spans="2:18">
      <c r="B390" s="50" t="s">
        <v>362</v>
      </c>
      <c r="C390" s="85">
        <f t="shared" ref="C390:I390" si="92">C388-C389</f>
        <v>6091.7052295409176</v>
      </c>
      <c r="D390" s="85">
        <f t="shared" si="92"/>
        <v>2035.6543125748503</v>
      </c>
      <c r="E390" s="85">
        <f t="shared" si="92"/>
        <v>5475.01</v>
      </c>
      <c r="F390" s="85">
        <f t="shared" si="92"/>
        <v>4438.6980039920163</v>
      </c>
      <c r="G390" s="85">
        <f t="shared" si="92"/>
        <v>4438.6980039920163</v>
      </c>
      <c r="H390" s="85">
        <f t="shared" si="92"/>
        <v>11419.32</v>
      </c>
      <c r="I390" s="85">
        <f t="shared" si="92"/>
        <v>2398.7836926147702</v>
      </c>
      <c r="J390" s="85">
        <f>J388-J389</f>
        <v>8453.5499999999993</v>
      </c>
      <c r="K390" s="50" t="s">
        <v>420</v>
      </c>
    </row>
    <row r="391" spans="2:18">
      <c r="B391" s="15" t="s">
        <v>97</v>
      </c>
      <c r="C391" s="327">
        <v>0</v>
      </c>
      <c r="D391" s="327">
        <v>0</v>
      </c>
      <c r="E391" s="327">
        <v>0</v>
      </c>
      <c r="F391" s="327">
        <v>0</v>
      </c>
      <c r="G391" s="327">
        <v>0</v>
      </c>
      <c r="H391" s="327">
        <v>0</v>
      </c>
      <c r="I391" s="327">
        <v>0</v>
      </c>
      <c r="J391" s="327">
        <v>0</v>
      </c>
      <c r="K391" s="34">
        <f>SUM(C391:J391)</f>
        <v>0</v>
      </c>
      <c r="Q391" s="29">
        <f>Q388-K391</f>
        <v>44751.419242714575</v>
      </c>
    </row>
    <row r="392" spans="2:18">
      <c r="B392" s="50" t="s">
        <v>148</v>
      </c>
      <c r="C392" s="51">
        <f t="shared" ref="C392:I392" si="93">C390-C391</f>
        <v>6091.7052295409176</v>
      </c>
      <c r="D392" s="51">
        <f t="shared" si="93"/>
        <v>2035.6543125748503</v>
      </c>
      <c r="E392" s="51">
        <f t="shared" si="93"/>
        <v>5475.01</v>
      </c>
      <c r="F392" s="51">
        <f t="shared" si="93"/>
        <v>4438.6980039920163</v>
      </c>
      <c r="G392" s="51">
        <f t="shared" si="93"/>
        <v>4438.6980039920163</v>
      </c>
      <c r="H392" s="51">
        <f t="shared" si="93"/>
        <v>11419.32</v>
      </c>
      <c r="I392" s="51">
        <f t="shared" si="93"/>
        <v>2398.7836926147702</v>
      </c>
      <c r="J392" s="51">
        <f>J390-J391</f>
        <v>8453.5499999999993</v>
      </c>
      <c r="K392" s="263">
        <f>SUM($C$392:$J$392)</f>
        <v>44751.419242714575</v>
      </c>
      <c r="P392" s="29"/>
      <c r="R392" s="29"/>
    </row>
    <row r="393" spans="2:18">
      <c r="B393" s="15" t="s">
        <v>150</v>
      </c>
      <c r="C393" s="34"/>
      <c r="E393" s="248">
        <v>3408.72</v>
      </c>
      <c r="F393" s="34"/>
      <c r="H393" s="248">
        <v>6649.61</v>
      </c>
      <c r="I393" s="34"/>
      <c r="J393" s="248">
        <v>5737.02</v>
      </c>
    </row>
    <row r="394" spans="2:18">
      <c r="B394" s="15" t="s">
        <v>99</v>
      </c>
      <c r="C394" s="34">
        <f>135</f>
        <v>135</v>
      </c>
      <c r="D394" s="34">
        <f>135</f>
        <v>135</v>
      </c>
      <c r="E394" s="34">
        <f>135</f>
        <v>135</v>
      </c>
      <c r="F394" s="34">
        <f>135</f>
        <v>135</v>
      </c>
      <c r="G394" s="34">
        <f>135</f>
        <v>135</v>
      </c>
      <c r="H394" s="34">
        <f>135</f>
        <v>135</v>
      </c>
      <c r="I394" s="34">
        <f>135</f>
        <v>135</v>
      </c>
      <c r="J394" s="34">
        <f>135</f>
        <v>135</v>
      </c>
      <c r="K394" s="29">
        <f>SUM($C$394:$J$394)</f>
        <v>1080</v>
      </c>
    </row>
    <row r="395" spans="2:18">
      <c r="B395" s="47" t="s">
        <v>109</v>
      </c>
      <c r="C395" s="48">
        <f>C392-C393-C394</f>
        <v>5956.7052295409176</v>
      </c>
      <c r="D395" s="48">
        <f t="shared" ref="D395:I395" si="94">D392-D393-D394</f>
        <v>1900.6543125748503</v>
      </c>
      <c r="E395" s="48">
        <f t="shared" si="94"/>
        <v>1931.2900000000004</v>
      </c>
      <c r="F395" s="48">
        <f t="shared" si="94"/>
        <v>4303.6980039920163</v>
      </c>
      <c r="G395" s="48">
        <f t="shared" si="94"/>
        <v>4303.6980039920163</v>
      </c>
      <c r="H395" s="48">
        <f t="shared" si="94"/>
        <v>4634.71</v>
      </c>
      <c r="I395" s="48">
        <f t="shared" si="94"/>
        <v>2263.7836926147702</v>
      </c>
      <c r="J395" s="48">
        <f>J392-J393-J394</f>
        <v>2581.5299999999988</v>
      </c>
      <c r="K395" s="263">
        <f>SUM($C$395:$J$395)</f>
        <v>27876.06924271457</v>
      </c>
    </row>
    <row r="396" spans="2:18">
      <c r="B396" s="11" t="s">
        <v>153</v>
      </c>
      <c r="C396" s="320">
        <v>502</v>
      </c>
      <c r="D396" s="34">
        <f>$C$396</f>
        <v>502</v>
      </c>
      <c r="E396" s="34">
        <f t="shared" ref="E396:J396" si="95">$C$396</f>
        <v>502</v>
      </c>
      <c r="F396" s="34">
        <f t="shared" si="95"/>
        <v>502</v>
      </c>
      <c r="G396" s="34">
        <f t="shared" si="95"/>
        <v>502</v>
      </c>
      <c r="H396" s="34">
        <f t="shared" si="95"/>
        <v>502</v>
      </c>
      <c r="I396" s="34">
        <f t="shared" si="95"/>
        <v>502</v>
      </c>
      <c r="J396" s="34">
        <f t="shared" si="95"/>
        <v>502</v>
      </c>
    </row>
    <row r="397" spans="2:18">
      <c r="B397" s="47" t="s">
        <v>100</v>
      </c>
      <c r="C397" s="34">
        <f t="shared" ref="C397:I397" si="96">C396*C395</f>
        <v>2990266.0252295407</v>
      </c>
      <c r="D397" s="34">
        <f t="shared" si="96"/>
        <v>954128.46491257485</v>
      </c>
      <c r="E397" s="34">
        <f t="shared" si="96"/>
        <v>969507.58000000019</v>
      </c>
      <c r="F397" s="34">
        <f t="shared" si="96"/>
        <v>2160456.3980039922</v>
      </c>
      <c r="G397" s="34">
        <f t="shared" si="96"/>
        <v>2160456.3980039922</v>
      </c>
      <c r="H397" s="34">
        <f t="shared" si="96"/>
        <v>2326624.42</v>
      </c>
      <c r="I397" s="34">
        <f t="shared" si="96"/>
        <v>1136419.4136926145</v>
      </c>
      <c r="J397" s="34">
        <f>J396*J395</f>
        <v>1295928.0599999994</v>
      </c>
      <c r="K397" s="247">
        <f>SUM(C397:J397)</f>
        <v>13993786.759842712</v>
      </c>
      <c r="P397" s="268"/>
      <c r="Q397" s="268"/>
      <c r="R397" s="366"/>
    </row>
    <row r="398" spans="2:18">
      <c r="B398" s="15" t="s">
        <v>151</v>
      </c>
      <c r="C398" s="54">
        <v>0</v>
      </c>
      <c r="D398" s="54"/>
      <c r="E398" s="34">
        <v>0</v>
      </c>
      <c r="F398" s="54">
        <v>1405538.3</v>
      </c>
      <c r="G398" s="54">
        <v>1405538.3</v>
      </c>
      <c r="H398" s="34">
        <v>0</v>
      </c>
      <c r="I398" s="54">
        <v>786551.54</v>
      </c>
      <c r="J398" s="34">
        <v>0</v>
      </c>
      <c r="K398" s="267">
        <f>SUM(C398:J398)</f>
        <v>3597628.14</v>
      </c>
      <c r="L398" s="29">
        <f>K398/499</f>
        <v>7209.6756312625257</v>
      </c>
      <c r="P398" s="268"/>
    </row>
    <row r="399" spans="2:18">
      <c r="B399" s="12" t="s">
        <v>152</v>
      </c>
      <c r="C399" s="34">
        <f t="shared" ref="C399:I399" si="97">C397-C398</f>
        <v>2990266.0252295407</v>
      </c>
      <c r="D399" s="34">
        <f t="shared" si="97"/>
        <v>954128.46491257485</v>
      </c>
      <c r="E399" s="34">
        <f t="shared" si="97"/>
        <v>969507.58000000019</v>
      </c>
      <c r="F399" s="34">
        <f t="shared" si="97"/>
        <v>754918.09800399211</v>
      </c>
      <c r="G399" s="34">
        <f t="shared" si="97"/>
        <v>754918.09800399211</v>
      </c>
      <c r="H399" s="34">
        <f t="shared" si="97"/>
        <v>2326624.42</v>
      </c>
      <c r="I399" s="34">
        <f t="shared" si="97"/>
        <v>349867.87369261449</v>
      </c>
      <c r="J399" s="34">
        <f>J397-J398</f>
        <v>1295928.0599999994</v>
      </c>
    </row>
    <row r="401" spans="2:18">
      <c r="B401" s="601" t="s">
        <v>900</v>
      </c>
      <c r="C401" s="600"/>
      <c r="D401" s="600"/>
      <c r="E401" s="600"/>
      <c r="F401" s="600"/>
      <c r="G401" s="600"/>
      <c r="H401" s="600"/>
      <c r="I401" s="600"/>
      <c r="J401" s="600"/>
      <c r="K401" s="600"/>
      <c r="L401" s="600"/>
      <c r="Q401" s="29"/>
      <c r="R401" s="29"/>
    </row>
    <row r="402" spans="2:18">
      <c r="B402" s="11" t="s">
        <v>178</v>
      </c>
      <c r="C402" s="409">
        <v>173</v>
      </c>
      <c r="Q402" s="29"/>
      <c r="R402" s="29"/>
    </row>
    <row r="403" spans="2:18">
      <c r="B403" s="11" t="s">
        <v>110</v>
      </c>
      <c r="C403" s="11">
        <v>501</v>
      </c>
      <c r="D403" s="29"/>
      <c r="F403" s="55" t="s">
        <v>334</v>
      </c>
      <c r="G403" s="55" t="s">
        <v>335</v>
      </c>
      <c r="H403" s="50" t="s">
        <v>336</v>
      </c>
      <c r="Q403" s="29"/>
      <c r="R403" s="29"/>
    </row>
    <row r="404" spans="2:18" ht="24">
      <c r="B404" s="15"/>
      <c r="C404" s="57" t="s">
        <v>758</v>
      </c>
      <c r="F404" s="29">
        <f>C405</f>
        <v>17572.23</v>
      </c>
      <c r="G404" s="29">
        <f>C409</f>
        <v>17545.88</v>
      </c>
      <c r="H404" s="247">
        <f>G404-F404</f>
        <v>-26.349999999998545</v>
      </c>
      <c r="Q404" s="29"/>
      <c r="R404" s="29"/>
    </row>
    <row r="405" spans="2:18">
      <c r="B405" s="15" t="s">
        <v>96</v>
      </c>
      <c r="C405" s="355">
        <v>17572.23</v>
      </c>
      <c r="D405" s="50" t="s">
        <v>419</v>
      </c>
      <c r="F405" s="334"/>
      <c r="Q405" s="29"/>
      <c r="R405" s="29"/>
    </row>
    <row r="406" spans="2:18">
      <c r="B406" s="11" t="s">
        <v>147</v>
      </c>
      <c r="C406" s="34">
        <v>0</v>
      </c>
      <c r="D406" s="51">
        <f>SUM(C406:C406)</f>
        <v>0</v>
      </c>
      <c r="Q406" s="29"/>
      <c r="R406" s="29"/>
    </row>
    <row r="407" spans="2:18">
      <c r="B407" s="50" t="s">
        <v>362</v>
      </c>
      <c r="C407" s="85">
        <f>C405-C406</f>
        <v>17572.23</v>
      </c>
      <c r="D407" s="50" t="s">
        <v>420</v>
      </c>
      <c r="G407" s="29"/>
      <c r="Q407" s="29"/>
      <c r="R407" s="29"/>
    </row>
    <row r="408" spans="2:18">
      <c r="B408" s="15" t="s">
        <v>97</v>
      </c>
      <c r="C408" s="327">
        <v>26.35</v>
      </c>
      <c r="D408" s="34"/>
      <c r="Q408" s="29"/>
      <c r="R408" s="29"/>
    </row>
    <row r="409" spans="2:18">
      <c r="B409" s="50" t="s">
        <v>148</v>
      </c>
      <c r="C409" s="51">
        <f>C407-C408</f>
        <v>17545.88</v>
      </c>
      <c r="D409" s="263">
        <f>SUM(C409)</f>
        <v>17545.88</v>
      </c>
      <c r="Q409" s="29"/>
      <c r="R409" s="29"/>
    </row>
    <row r="410" spans="2:18">
      <c r="B410" s="15" t="s">
        <v>150</v>
      </c>
      <c r="C410" s="34"/>
      <c r="Q410" s="29"/>
      <c r="R410" s="29"/>
    </row>
    <row r="411" spans="2:18">
      <c r="B411" s="15" t="s">
        <v>99</v>
      </c>
      <c r="C411" s="34">
        <f>135</f>
        <v>135</v>
      </c>
      <c r="D411" s="29"/>
      <c r="Q411" s="29"/>
      <c r="R411" s="29"/>
    </row>
    <row r="412" spans="2:18">
      <c r="B412" s="47" t="s">
        <v>109</v>
      </c>
      <c r="C412" s="48">
        <f>C409-C410-C411</f>
        <v>17410.88</v>
      </c>
      <c r="D412" s="263"/>
      <c r="Q412" s="29"/>
      <c r="R412" s="29"/>
    </row>
    <row r="413" spans="2:18">
      <c r="B413" s="11" t="s">
        <v>153</v>
      </c>
      <c r="C413" s="320">
        <v>502</v>
      </c>
      <c r="Q413" s="29"/>
      <c r="R413" s="29"/>
    </row>
    <row r="414" spans="2:18">
      <c r="B414" s="47" t="s">
        <v>100</v>
      </c>
      <c r="C414" s="34">
        <f>C413*C412</f>
        <v>8740261.7599999998</v>
      </c>
      <c r="D414" s="247"/>
      <c r="Q414" s="29"/>
      <c r="R414" s="29"/>
    </row>
    <row r="415" spans="2:18">
      <c r="B415" s="15" t="s">
        <v>151</v>
      </c>
      <c r="C415" s="54">
        <v>4637855.76</v>
      </c>
      <c r="D415" s="267"/>
      <c r="Q415" s="29"/>
      <c r="R415" s="29"/>
    </row>
    <row r="416" spans="2:18">
      <c r="B416" s="15" t="s">
        <v>152</v>
      </c>
      <c r="C416" s="34">
        <f>C414-C415</f>
        <v>4102406</v>
      </c>
      <c r="Q416" s="29"/>
      <c r="R416" s="29"/>
    </row>
    <row r="417" spans="2:18">
      <c r="Q417" s="29"/>
      <c r="R417" s="29"/>
    </row>
    <row r="418" spans="2:18">
      <c r="B418" s="601" t="s">
        <v>892</v>
      </c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Q418" s="29"/>
      <c r="R418" s="29"/>
    </row>
    <row r="419" spans="2:18">
      <c r="B419" s="11" t="s">
        <v>178</v>
      </c>
      <c r="C419" s="390">
        <v>174</v>
      </c>
      <c r="Q419" s="51"/>
      <c r="R419" s="51"/>
    </row>
    <row r="420" spans="2:18">
      <c r="B420" s="11" t="s">
        <v>110</v>
      </c>
      <c r="C420" s="11">
        <v>501</v>
      </c>
      <c r="D420" s="29"/>
      <c r="F420" s="55" t="s">
        <v>334</v>
      </c>
      <c r="G420" s="55" t="s">
        <v>335</v>
      </c>
      <c r="H420" s="50" t="s">
        <v>336</v>
      </c>
    </row>
    <row r="421" spans="2:18">
      <c r="B421" s="15"/>
      <c r="C421" s="57" t="s">
        <v>893</v>
      </c>
      <c r="F421" s="29">
        <f>C422</f>
        <v>1361.7</v>
      </c>
      <c r="G421" s="29">
        <f>C426</f>
        <v>1341.7</v>
      </c>
      <c r="H421" s="247">
        <f>G421-F421</f>
        <v>-20</v>
      </c>
    </row>
    <row r="422" spans="2:18">
      <c r="B422" s="15" t="s">
        <v>96</v>
      </c>
      <c r="C422" s="355">
        <v>1361.7</v>
      </c>
      <c r="D422" s="50" t="s">
        <v>419</v>
      </c>
      <c r="F422" s="334"/>
    </row>
    <row r="423" spans="2:18">
      <c r="B423" s="11" t="s">
        <v>147</v>
      </c>
      <c r="C423" s="34">
        <v>0</v>
      </c>
      <c r="D423" s="51">
        <f>SUM(C423:C423)</f>
        <v>0</v>
      </c>
    </row>
    <row r="424" spans="2:18">
      <c r="B424" s="50" t="s">
        <v>362</v>
      </c>
      <c r="C424" s="85">
        <f>C422-C423</f>
        <v>1361.7</v>
      </c>
      <c r="D424" s="50" t="s">
        <v>420</v>
      </c>
      <c r="G424" s="29">
        <f>$F$421-$D$425</f>
        <v>1341.7</v>
      </c>
    </row>
    <row r="425" spans="2:18">
      <c r="B425" s="15" t="s">
        <v>97</v>
      </c>
      <c r="C425" s="327">
        <v>20</v>
      </c>
      <c r="D425" s="34">
        <f>SUM(C425)</f>
        <v>20</v>
      </c>
    </row>
    <row r="426" spans="2:18">
      <c r="B426" s="50" t="s">
        <v>148</v>
      </c>
      <c r="C426" s="51">
        <f>C424-C425</f>
        <v>1341.7</v>
      </c>
      <c r="D426" s="263">
        <f>SUM(C426)</f>
        <v>1341.7</v>
      </c>
    </row>
    <row r="427" spans="2:18">
      <c r="B427" s="15" t="s">
        <v>150</v>
      </c>
      <c r="C427" s="34"/>
    </row>
    <row r="428" spans="2:18">
      <c r="B428" s="15" t="s">
        <v>99</v>
      </c>
      <c r="C428" s="34">
        <f>135</f>
        <v>135</v>
      </c>
      <c r="D428" s="29">
        <f>SUM(C428)</f>
        <v>135</v>
      </c>
    </row>
    <row r="429" spans="2:18">
      <c r="B429" s="47" t="s">
        <v>109</v>
      </c>
      <c r="C429" s="48">
        <f>C426-C427-C428</f>
        <v>1206.7</v>
      </c>
      <c r="D429" s="263">
        <f>SUM(C429)</f>
        <v>1206.7</v>
      </c>
    </row>
    <row r="430" spans="2:18">
      <c r="B430" s="11" t="s">
        <v>153</v>
      </c>
      <c r="C430" s="320"/>
    </row>
    <row r="431" spans="2:18">
      <c r="B431" s="47" t="s">
        <v>100</v>
      </c>
      <c r="C431" s="34">
        <f>C430*C429</f>
        <v>0</v>
      </c>
      <c r="D431" s="247">
        <f>SUM(C431:C431)</f>
        <v>0</v>
      </c>
      <c r="G431" s="29"/>
      <c r="H431" s="29"/>
    </row>
    <row r="432" spans="2:18">
      <c r="B432" s="15" t="s">
        <v>151</v>
      </c>
      <c r="C432" s="54">
        <v>0</v>
      </c>
      <c r="D432" s="267">
        <f>SUM(C432:C432)</f>
        <v>0</v>
      </c>
    </row>
    <row r="433" spans="2:17">
      <c r="B433" s="12" t="s">
        <v>152</v>
      </c>
      <c r="C433" s="34">
        <f>C431-C432</f>
        <v>0</v>
      </c>
    </row>
    <row r="436" spans="2:17">
      <c r="B436" s="601" t="s">
        <v>890</v>
      </c>
      <c r="C436" s="600"/>
      <c r="D436" s="600"/>
      <c r="E436" s="600"/>
      <c r="F436" s="600"/>
      <c r="G436" s="600"/>
      <c r="H436" s="600"/>
      <c r="I436" s="600"/>
      <c r="J436" s="600"/>
      <c r="K436" s="600"/>
      <c r="L436" s="600"/>
    </row>
    <row r="437" spans="2:17">
      <c r="B437" s="11" t="s">
        <v>178</v>
      </c>
      <c r="C437" s="391">
        <v>175</v>
      </c>
      <c r="D437" s="391">
        <v>175</v>
      </c>
      <c r="E437" s="391">
        <v>175</v>
      </c>
      <c r="F437" s="391">
        <v>175</v>
      </c>
      <c r="G437" s="391">
        <v>175</v>
      </c>
      <c r="H437" s="391">
        <v>175</v>
      </c>
      <c r="I437" s="46"/>
      <c r="J437" s="46"/>
    </row>
    <row r="438" spans="2:17">
      <c r="B438" s="11" t="s">
        <v>110</v>
      </c>
      <c r="C438" s="11">
        <v>501</v>
      </c>
      <c r="D438" s="11">
        <v>501</v>
      </c>
      <c r="E438" s="11">
        <v>501</v>
      </c>
      <c r="F438" s="11">
        <v>501</v>
      </c>
      <c r="G438" s="11">
        <v>501</v>
      </c>
      <c r="H438" s="11">
        <v>501</v>
      </c>
      <c r="I438" s="15"/>
      <c r="J438" s="15"/>
      <c r="K438" s="29"/>
    </row>
    <row r="439" spans="2:17" ht="24">
      <c r="B439" s="15"/>
      <c r="C439" s="415" t="s">
        <v>107</v>
      </c>
      <c r="D439" s="415" t="s">
        <v>179</v>
      </c>
      <c r="E439" s="415" t="s">
        <v>202</v>
      </c>
      <c r="F439" s="415" t="s">
        <v>181</v>
      </c>
      <c r="G439" s="415" t="s">
        <v>337</v>
      </c>
      <c r="H439" s="386" t="s">
        <v>744</v>
      </c>
      <c r="L439" s="55" t="s">
        <v>334</v>
      </c>
      <c r="M439" s="55" t="s">
        <v>335</v>
      </c>
      <c r="N439" s="55"/>
      <c r="O439" s="55"/>
      <c r="P439" s="50" t="s">
        <v>336</v>
      </c>
    </row>
    <row r="440" spans="2:17">
      <c r="B440" s="15" t="s">
        <v>96</v>
      </c>
      <c r="C440" s="315">
        <v>5480.01</v>
      </c>
      <c r="D440" s="315">
        <v>4443.6980039920163</v>
      </c>
      <c r="E440" s="315">
        <v>4443.6980039920163</v>
      </c>
      <c r="F440" s="315">
        <v>11424.32</v>
      </c>
      <c r="G440" s="314">
        <v>2403.7836926147702</v>
      </c>
      <c r="H440" s="314">
        <v>8458.5499999999993</v>
      </c>
      <c r="I440" s="50" t="s">
        <v>419</v>
      </c>
      <c r="L440" s="29">
        <f>SUM(C440:H440)</f>
        <v>36654.059700598809</v>
      </c>
      <c r="M440" s="29">
        <f>SUM(C442:H442)</f>
        <v>36654.059700598809</v>
      </c>
      <c r="N440" s="29"/>
      <c r="O440" s="29"/>
      <c r="P440" s="247">
        <f>M440-L440</f>
        <v>0</v>
      </c>
    </row>
    <row r="441" spans="2:17">
      <c r="B441" s="11" t="s">
        <v>147</v>
      </c>
      <c r="C441" s="34"/>
      <c r="D441" s="34"/>
      <c r="E441" s="34"/>
      <c r="F441" s="34"/>
      <c r="G441" s="34"/>
      <c r="H441" s="34"/>
      <c r="I441" s="51">
        <f>SUM(C441:G441)</f>
        <v>0</v>
      </c>
      <c r="L441" s="334"/>
    </row>
    <row r="442" spans="2:17">
      <c r="B442" s="50" t="s">
        <v>362</v>
      </c>
      <c r="C442" s="85">
        <f t="shared" ref="C442:H442" si="98">C440-C441</f>
        <v>5480.01</v>
      </c>
      <c r="D442" s="85">
        <f t="shared" si="98"/>
        <v>4443.6980039920163</v>
      </c>
      <c r="E442" s="85">
        <f t="shared" si="98"/>
        <v>4443.6980039920163</v>
      </c>
      <c r="F442" s="85">
        <f t="shared" si="98"/>
        <v>11424.32</v>
      </c>
      <c r="G442" s="85">
        <f t="shared" si="98"/>
        <v>2403.7836926147702</v>
      </c>
      <c r="H442" s="85">
        <f t="shared" si="98"/>
        <v>8458.5499999999993</v>
      </c>
      <c r="I442" s="50" t="s">
        <v>420</v>
      </c>
    </row>
    <row r="443" spans="2:17">
      <c r="B443" s="15" t="s">
        <v>97</v>
      </c>
      <c r="C443" s="327">
        <v>0</v>
      </c>
      <c r="D443" s="327">
        <v>0</v>
      </c>
      <c r="E443" s="327">
        <v>0</v>
      </c>
      <c r="F443" s="327">
        <v>0</v>
      </c>
      <c r="G443" s="327">
        <v>0</v>
      </c>
      <c r="H443" s="327">
        <v>0</v>
      </c>
      <c r="I443" s="34">
        <f>SUM(C443:H443)</f>
        <v>0</v>
      </c>
      <c r="M443" s="29">
        <f>M440-I443</f>
        <v>36654.059700598809</v>
      </c>
      <c r="N443" s="29"/>
      <c r="O443" s="29"/>
      <c r="P443" s="29">
        <v>36790.07</v>
      </c>
      <c r="Q443" s="29">
        <f>M443-P443</f>
        <v>-136.01029940119042</v>
      </c>
    </row>
    <row r="444" spans="2:17">
      <c r="B444" s="50" t="s">
        <v>148</v>
      </c>
      <c r="C444" s="51">
        <f t="shared" ref="C444:H444" si="99">C442-C443</f>
        <v>5480.01</v>
      </c>
      <c r="D444" s="51">
        <f t="shared" si="99"/>
        <v>4443.6980039920163</v>
      </c>
      <c r="E444" s="51">
        <f t="shared" si="99"/>
        <v>4443.6980039920163</v>
      </c>
      <c r="F444" s="51">
        <f t="shared" si="99"/>
        <v>11424.32</v>
      </c>
      <c r="G444" s="51">
        <f t="shared" si="99"/>
        <v>2403.7836926147702</v>
      </c>
      <c r="H444" s="51">
        <f t="shared" si="99"/>
        <v>8458.5499999999993</v>
      </c>
      <c r="I444" s="263">
        <f>SUM($C$444:$H$444)</f>
        <v>36654.059700598809</v>
      </c>
      <c r="L444" s="29"/>
      <c r="P444" s="29"/>
    </row>
    <row r="445" spans="2:17">
      <c r="B445" s="15" t="s">
        <v>150</v>
      </c>
      <c r="C445" s="248">
        <v>3418.59</v>
      </c>
      <c r="D445" s="34"/>
      <c r="F445" s="248">
        <v>6670.78</v>
      </c>
      <c r="G445" s="34"/>
      <c r="H445" s="248">
        <v>5060.24</v>
      </c>
    </row>
    <row r="446" spans="2:17">
      <c r="B446" s="15" t="s">
        <v>99</v>
      </c>
      <c r="C446" s="34">
        <f>135</f>
        <v>135</v>
      </c>
      <c r="D446" s="34">
        <f>135</f>
        <v>135</v>
      </c>
      <c r="E446" s="34">
        <f>135</f>
        <v>135</v>
      </c>
      <c r="F446" s="34">
        <f>135</f>
        <v>135</v>
      </c>
      <c r="G446" s="34">
        <f>135</f>
        <v>135</v>
      </c>
      <c r="H446" s="34">
        <f>135</f>
        <v>135</v>
      </c>
      <c r="I446" s="29">
        <f>SUM($C$446:$H$446)</f>
        <v>810</v>
      </c>
    </row>
    <row r="447" spans="2:17">
      <c r="B447" s="47" t="s">
        <v>109</v>
      </c>
      <c r="C447" s="48">
        <f t="shared" ref="C447:H447" si="100">C444-C445-C446</f>
        <v>1926.42</v>
      </c>
      <c r="D447" s="48">
        <f t="shared" si="100"/>
        <v>4308.6980039920163</v>
      </c>
      <c r="E447" s="48">
        <f t="shared" si="100"/>
        <v>4308.6980039920163</v>
      </c>
      <c r="F447" s="48">
        <f t="shared" si="100"/>
        <v>4618.54</v>
      </c>
      <c r="G447" s="48">
        <f t="shared" si="100"/>
        <v>2268.7836926147702</v>
      </c>
      <c r="H447" s="48">
        <f t="shared" si="100"/>
        <v>3263.3099999999995</v>
      </c>
      <c r="I447" s="263">
        <f>SUM($C$447:$H$447)</f>
        <v>20694.449700598801</v>
      </c>
    </row>
    <row r="448" spans="2:17">
      <c r="B448" s="11" t="s">
        <v>153</v>
      </c>
      <c r="C448" s="34">
        <v>498</v>
      </c>
      <c r="D448" s="34">
        <f>$C$448</f>
        <v>498</v>
      </c>
      <c r="E448" s="34">
        <f>$C$448</f>
        <v>498</v>
      </c>
      <c r="F448" s="34">
        <f>$C$448</f>
        <v>498</v>
      </c>
      <c r="G448" s="34">
        <f>$C$448</f>
        <v>498</v>
      </c>
      <c r="H448" s="34">
        <f>$C$448</f>
        <v>498</v>
      </c>
    </row>
    <row r="449" spans="2:18">
      <c r="B449" s="47" t="s">
        <v>100</v>
      </c>
      <c r="C449" s="34">
        <f t="shared" ref="C449:H449" si="101">C448*C447</f>
        <v>959357.16</v>
      </c>
      <c r="D449" s="34">
        <f t="shared" si="101"/>
        <v>2145731.6059880243</v>
      </c>
      <c r="E449" s="34">
        <f t="shared" si="101"/>
        <v>2145731.6059880243</v>
      </c>
      <c r="F449" s="34">
        <f t="shared" si="101"/>
        <v>2300032.92</v>
      </c>
      <c r="G449" s="34">
        <f t="shared" si="101"/>
        <v>1129854.2789221555</v>
      </c>
      <c r="H449" s="34">
        <f t="shared" si="101"/>
        <v>1625128.3799999997</v>
      </c>
      <c r="I449" s="247">
        <f>SUM(C449:H449)</f>
        <v>10305835.950898204</v>
      </c>
      <c r="L449" s="268"/>
      <c r="M449" s="268"/>
      <c r="N449" s="268"/>
      <c r="O449" s="268"/>
      <c r="P449" s="366"/>
    </row>
    <row r="450" spans="2:18">
      <c r="B450" s="15" t="s">
        <v>151</v>
      </c>
      <c r="C450" s="34">
        <v>0</v>
      </c>
      <c r="D450" s="54">
        <v>1409287.55</v>
      </c>
      <c r="E450" s="54">
        <v>1409287.55</v>
      </c>
      <c r="F450" s="34">
        <v>0</v>
      </c>
      <c r="G450" s="54">
        <v>786551.54</v>
      </c>
      <c r="H450" s="34">
        <v>0</v>
      </c>
      <c r="I450" s="267">
        <f>SUM(C450:H450)</f>
        <v>3605126.64</v>
      </c>
      <c r="J450" s="29">
        <f>I450/499</f>
        <v>7224.7026853707421</v>
      </c>
      <c r="L450" s="268"/>
    </row>
    <row r="451" spans="2:18">
      <c r="B451" s="12" t="s">
        <v>152</v>
      </c>
      <c r="C451" s="34">
        <f t="shared" ref="C451:H451" si="102">C449-C450</f>
        <v>959357.16</v>
      </c>
      <c r="D451" s="34">
        <f t="shared" si="102"/>
        <v>736444.05598802422</v>
      </c>
      <c r="E451" s="34">
        <f t="shared" si="102"/>
        <v>736444.05598802422</v>
      </c>
      <c r="F451" s="34">
        <f t="shared" si="102"/>
        <v>2300032.92</v>
      </c>
      <c r="G451" s="34">
        <f t="shared" si="102"/>
        <v>343302.73892215546</v>
      </c>
      <c r="H451" s="34">
        <f t="shared" si="102"/>
        <v>1625128.3799999997</v>
      </c>
    </row>
    <row r="454" spans="2:18">
      <c r="B454" s="11" t="s">
        <v>178</v>
      </c>
      <c r="C454" s="412">
        <v>177</v>
      </c>
      <c r="Q454" s="29"/>
      <c r="R454" s="29"/>
    </row>
    <row r="455" spans="2:18">
      <c r="B455" s="11" t="s">
        <v>110</v>
      </c>
      <c r="C455" s="11">
        <v>501</v>
      </c>
      <c r="D455" s="29"/>
      <c r="F455" s="55" t="s">
        <v>334</v>
      </c>
      <c r="G455" s="55" t="s">
        <v>335</v>
      </c>
      <c r="H455" s="50" t="s">
        <v>336</v>
      </c>
      <c r="Q455" s="29"/>
      <c r="R455" s="29"/>
    </row>
    <row r="456" spans="2:18">
      <c r="B456" s="15"/>
      <c r="C456" s="386" t="s">
        <v>909</v>
      </c>
      <c r="F456" s="29">
        <f>C457</f>
        <v>136.01</v>
      </c>
      <c r="G456" s="29">
        <f>C461</f>
        <v>96.009999999999991</v>
      </c>
      <c r="H456" s="247">
        <f>G456-F456</f>
        <v>-40</v>
      </c>
      <c r="Q456" s="29"/>
      <c r="R456" s="29"/>
    </row>
    <row r="457" spans="2:18">
      <c r="B457" s="15" t="s">
        <v>96</v>
      </c>
      <c r="C457" s="355">
        <v>136.01</v>
      </c>
      <c r="D457" s="50" t="s">
        <v>419</v>
      </c>
      <c r="F457" s="334"/>
      <c r="Q457" s="29"/>
      <c r="R457" s="29"/>
    </row>
    <row r="458" spans="2:18">
      <c r="B458" s="11" t="s">
        <v>147</v>
      </c>
      <c r="C458" s="34">
        <v>0</v>
      </c>
      <c r="D458" s="51">
        <f>SUM(C458:C458)</f>
        <v>0</v>
      </c>
      <c r="Q458" s="29"/>
      <c r="R458" s="29"/>
    </row>
    <row r="459" spans="2:18">
      <c r="B459" s="50" t="s">
        <v>362</v>
      </c>
      <c r="C459" s="85">
        <f>C457-C458</f>
        <v>136.01</v>
      </c>
      <c r="D459" s="50" t="s">
        <v>420</v>
      </c>
      <c r="G459" s="29"/>
      <c r="Q459" s="29"/>
      <c r="R459" s="29"/>
    </row>
    <row r="460" spans="2:18">
      <c r="B460" s="15" t="s">
        <v>97</v>
      </c>
      <c r="C460" s="327">
        <v>40</v>
      </c>
      <c r="D460" s="34"/>
      <c r="Q460" s="29"/>
      <c r="R460" s="29"/>
    </row>
    <row r="461" spans="2:18" ht="15.6">
      <c r="B461" s="50" t="s">
        <v>148</v>
      </c>
      <c r="C461" s="51">
        <f>C459-C460</f>
        <v>96.009999999999991</v>
      </c>
      <c r="D461" s="263">
        <f>SUM(C461)</f>
        <v>96.009999999999991</v>
      </c>
      <c r="I461" s="416">
        <f>$I$447+$D$461+$D$479</f>
        <v>38336.339700598801</v>
      </c>
      <c r="Q461" s="29"/>
      <c r="R461" s="29"/>
    </row>
    <row r="462" spans="2:18">
      <c r="B462" s="15" t="s">
        <v>150</v>
      </c>
      <c r="C462" s="34"/>
      <c r="Q462" s="29"/>
      <c r="R462" s="29"/>
    </row>
    <row r="463" spans="2:18">
      <c r="B463" s="15" t="s">
        <v>99</v>
      </c>
      <c r="C463" s="34">
        <v>0</v>
      </c>
      <c r="D463" s="29"/>
      <c r="Q463" s="29"/>
      <c r="R463" s="29"/>
    </row>
    <row r="464" spans="2:18">
      <c r="B464" s="47" t="s">
        <v>109</v>
      </c>
      <c r="C464" s="48">
        <f>C461-C462-C463</f>
        <v>96.009999999999991</v>
      </c>
      <c r="D464" s="263"/>
      <c r="Q464" s="29"/>
      <c r="R464" s="29"/>
    </row>
    <row r="465" spans="2:18">
      <c r="B465" s="11" t="s">
        <v>153</v>
      </c>
      <c r="C465" s="320">
        <v>498</v>
      </c>
      <c r="Q465" s="29"/>
      <c r="R465" s="29"/>
    </row>
    <row r="466" spans="2:18">
      <c r="B466" s="47" t="s">
        <v>100</v>
      </c>
      <c r="C466" s="34">
        <f>C465*C464</f>
        <v>47812.979999999996</v>
      </c>
      <c r="D466" s="247"/>
      <c r="Q466" s="29"/>
      <c r="R466" s="29"/>
    </row>
    <row r="467" spans="2:18">
      <c r="B467" s="15" t="s">
        <v>151</v>
      </c>
      <c r="C467" s="54">
        <v>0</v>
      </c>
      <c r="D467" s="267"/>
      <c r="Q467" s="29"/>
      <c r="R467" s="29"/>
    </row>
    <row r="468" spans="2:18">
      <c r="B468" s="15" t="s">
        <v>152</v>
      </c>
      <c r="C468" s="34">
        <f>C466-C467</f>
        <v>47812.979999999996</v>
      </c>
      <c r="Q468" s="29"/>
      <c r="R468" s="29"/>
    </row>
    <row r="471" spans="2:18">
      <c r="B471" s="601" t="s">
        <v>902</v>
      </c>
      <c r="C471" s="600"/>
      <c r="D471" s="600"/>
      <c r="E471" s="600"/>
      <c r="F471" s="600"/>
      <c r="G471" s="600"/>
      <c r="H471" s="600"/>
      <c r="I471" s="600"/>
      <c r="J471" s="600"/>
      <c r="K471" s="600"/>
      <c r="L471" s="600"/>
      <c r="Q471" s="29"/>
      <c r="R471" s="29"/>
    </row>
    <row r="472" spans="2:18">
      <c r="B472" s="11" t="s">
        <v>178</v>
      </c>
      <c r="C472" s="409">
        <v>176</v>
      </c>
      <c r="Q472" s="29"/>
      <c r="R472" s="29"/>
    </row>
    <row r="473" spans="2:18">
      <c r="B473" s="11" t="s">
        <v>110</v>
      </c>
      <c r="C473" s="11">
        <v>501</v>
      </c>
      <c r="D473" s="29"/>
      <c r="F473" s="55" t="s">
        <v>334</v>
      </c>
      <c r="G473" s="55" t="s">
        <v>335</v>
      </c>
      <c r="H473" s="50" t="s">
        <v>336</v>
      </c>
      <c r="Q473" s="29"/>
      <c r="R473" s="29"/>
    </row>
    <row r="474" spans="2:18" ht="24">
      <c r="B474" s="15"/>
      <c r="C474" s="386" t="s">
        <v>758</v>
      </c>
      <c r="F474" s="29">
        <f>C475</f>
        <v>17572.23</v>
      </c>
      <c r="G474" s="29">
        <f>C479</f>
        <v>17545.88</v>
      </c>
      <c r="H474" s="247">
        <f>G474-F474</f>
        <v>-26.349999999998545</v>
      </c>
      <c r="Q474" s="29"/>
      <c r="R474" s="29"/>
    </row>
    <row r="475" spans="2:18">
      <c r="B475" s="15" t="s">
        <v>96</v>
      </c>
      <c r="C475" s="355">
        <v>17572.23</v>
      </c>
      <c r="D475" s="50" t="s">
        <v>419</v>
      </c>
      <c r="F475" s="334"/>
      <c r="Q475" s="29"/>
      <c r="R475" s="29"/>
    </row>
    <row r="476" spans="2:18">
      <c r="B476" s="11" t="s">
        <v>147</v>
      </c>
      <c r="C476" s="34">
        <v>0</v>
      </c>
      <c r="D476" s="51">
        <f>SUM(C476:C476)</f>
        <v>0</v>
      </c>
      <c r="Q476" s="29"/>
      <c r="R476" s="29"/>
    </row>
    <row r="477" spans="2:18">
      <c r="B477" s="50" t="s">
        <v>362</v>
      </c>
      <c r="C477" s="85">
        <f>C475-C476</f>
        <v>17572.23</v>
      </c>
      <c r="D477" s="50" t="s">
        <v>420</v>
      </c>
      <c r="G477" s="29"/>
      <c r="Q477" s="29"/>
      <c r="R477" s="29"/>
    </row>
    <row r="478" spans="2:18">
      <c r="B478" s="15" t="s">
        <v>97</v>
      </c>
      <c r="C478" s="327">
        <f>'BAC SAN JOSE USD'!F309</f>
        <v>26.35</v>
      </c>
      <c r="D478" s="34"/>
      <c r="Q478" s="29"/>
      <c r="R478" s="29"/>
    </row>
    <row r="479" spans="2:18">
      <c r="B479" s="50" t="s">
        <v>148</v>
      </c>
      <c r="C479" s="51">
        <f>C477-C478</f>
        <v>17545.88</v>
      </c>
      <c r="D479" s="263">
        <f>SUM(C479)</f>
        <v>17545.88</v>
      </c>
      <c r="Q479" s="29"/>
      <c r="R479" s="29"/>
    </row>
    <row r="480" spans="2:18">
      <c r="B480" s="15" t="s">
        <v>150</v>
      </c>
      <c r="C480" s="34"/>
      <c r="Q480" s="29"/>
      <c r="R480" s="29"/>
    </row>
    <row r="481" spans="2:19">
      <c r="B481" s="15" t="s">
        <v>99</v>
      </c>
      <c r="C481" s="34">
        <f>135</f>
        <v>135</v>
      </c>
      <c r="D481" s="29"/>
      <c r="Q481" s="29"/>
      <c r="R481" s="29"/>
    </row>
    <row r="482" spans="2:19">
      <c r="B482" s="47" t="s">
        <v>109</v>
      </c>
      <c r="C482" s="48">
        <f>C479-C480-C481</f>
        <v>17410.88</v>
      </c>
      <c r="D482" s="263"/>
      <c r="Q482" s="29"/>
      <c r="R482" s="29"/>
    </row>
    <row r="483" spans="2:19">
      <c r="B483" s="11" t="s">
        <v>153</v>
      </c>
      <c r="C483" s="320">
        <v>498</v>
      </c>
      <c r="Q483" s="29"/>
      <c r="R483" s="29"/>
    </row>
    <row r="484" spans="2:19">
      <c r="B484" s="47" t="s">
        <v>100</v>
      </c>
      <c r="C484" s="34">
        <f>C483*C482</f>
        <v>8670618.2400000002</v>
      </c>
      <c r="D484" s="247"/>
      <c r="Q484" s="29"/>
      <c r="R484" s="29"/>
    </row>
    <row r="485" spans="2:19">
      <c r="B485" s="15" t="s">
        <v>151</v>
      </c>
      <c r="C485" s="54">
        <v>4641955.3099999996</v>
      </c>
      <c r="D485" s="267"/>
      <c r="Q485" s="29"/>
      <c r="R485" s="29"/>
    </row>
    <row r="486" spans="2:19">
      <c r="B486" s="15" t="s">
        <v>152</v>
      </c>
      <c r="C486" s="34">
        <f>C484-C485</f>
        <v>4028662.9300000006</v>
      </c>
      <c r="Q486" s="29"/>
      <c r="R486" s="29"/>
    </row>
    <row r="489" spans="2:19">
      <c r="B489" s="601" t="s">
        <v>943</v>
      </c>
      <c r="C489" s="600"/>
      <c r="D489" s="600"/>
      <c r="E489" s="600"/>
      <c r="F489" s="600"/>
      <c r="G489" s="600"/>
      <c r="H489" s="600"/>
      <c r="I489" s="600"/>
      <c r="J489" s="600"/>
      <c r="K489" s="600"/>
      <c r="L489" s="600"/>
      <c r="Q489" s="29"/>
      <c r="R489" s="29"/>
    </row>
    <row r="491" spans="2:19">
      <c r="B491" s="11" t="s">
        <v>178</v>
      </c>
      <c r="C491" s="424">
        <v>178</v>
      </c>
      <c r="E491" s="424">
        <v>179</v>
      </c>
      <c r="G491" s="425">
        <v>180</v>
      </c>
      <c r="I491" s="425">
        <v>181</v>
      </c>
      <c r="Q491" s="29"/>
      <c r="R491" s="29"/>
    </row>
    <row r="492" spans="2:19">
      <c r="B492" s="11" t="s">
        <v>110</v>
      </c>
      <c r="C492" s="11">
        <v>501</v>
      </c>
      <c r="D492" s="29"/>
      <c r="E492" s="11">
        <v>501</v>
      </c>
      <c r="F492" s="29"/>
      <c r="G492" s="426">
        <v>497</v>
      </c>
      <c r="I492" s="426">
        <v>497</v>
      </c>
      <c r="Q492" s="55" t="s">
        <v>334</v>
      </c>
      <c r="R492" s="55" t="s">
        <v>335</v>
      </c>
      <c r="S492" s="50" t="s">
        <v>336</v>
      </c>
    </row>
    <row r="493" spans="2:19" ht="48">
      <c r="B493" s="15"/>
      <c r="C493" s="386" t="s">
        <v>926</v>
      </c>
      <c r="E493" s="386" t="s">
        <v>927</v>
      </c>
      <c r="G493" s="386" t="s">
        <v>758</v>
      </c>
      <c r="I493" s="386" t="s">
        <v>944</v>
      </c>
      <c r="Q493" s="29">
        <f>C494+E494</f>
        <v>1325.07</v>
      </c>
      <c r="R493" s="29">
        <f>C498+E498</f>
        <v>1325.07</v>
      </c>
      <c r="S493" s="247">
        <f>R493-Q493</f>
        <v>0</v>
      </c>
    </row>
    <row r="494" spans="2:19">
      <c r="B494" s="15" t="s">
        <v>96</v>
      </c>
      <c r="C494" s="355">
        <v>968.78</v>
      </c>
      <c r="D494" s="50" t="s">
        <v>419</v>
      </c>
      <c r="E494" s="355">
        <v>356.29</v>
      </c>
      <c r="F494" s="50"/>
      <c r="G494" s="355">
        <v>18766.935808182425</v>
      </c>
      <c r="I494" s="355">
        <v>6953.33</v>
      </c>
      <c r="M494" s="50" t="s">
        <v>419</v>
      </c>
      <c r="N494" s="50"/>
      <c r="O494" s="50"/>
    </row>
    <row r="495" spans="2:19">
      <c r="B495" s="11" t="s">
        <v>147</v>
      </c>
      <c r="C495" s="34">
        <v>0</v>
      </c>
      <c r="D495" s="51">
        <f>SUM(C495:C495)</f>
        <v>0</v>
      </c>
      <c r="E495" s="34">
        <v>0</v>
      </c>
      <c r="F495" s="51"/>
      <c r="G495" s="34">
        <v>0</v>
      </c>
      <c r="I495" s="34">
        <v>0</v>
      </c>
      <c r="M495" s="51">
        <f>SUM(I495:I495)</f>
        <v>0</v>
      </c>
      <c r="N495" s="51"/>
      <c r="O495" s="51"/>
    </row>
    <row r="496" spans="2:19">
      <c r="B496" s="50" t="s">
        <v>362</v>
      </c>
      <c r="C496" s="85">
        <f>C494-C495</f>
        <v>968.78</v>
      </c>
      <c r="D496" s="50" t="s">
        <v>420</v>
      </c>
      <c r="E496" s="85">
        <f>E494-E495</f>
        <v>356.29</v>
      </c>
      <c r="F496" s="50"/>
      <c r="G496" s="85">
        <f>G494-G495</f>
        <v>18766.935808182425</v>
      </c>
      <c r="I496" s="85">
        <f>I494-I495</f>
        <v>6953.33</v>
      </c>
      <c r="M496" s="50" t="s">
        <v>420</v>
      </c>
      <c r="N496" s="50"/>
      <c r="O496" s="50"/>
    </row>
    <row r="497" spans="2:19">
      <c r="B497" s="15" t="s">
        <v>97</v>
      </c>
      <c r="C497" s="327">
        <f>'BAC SAN JOSE USD'!F328</f>
        <v>0</v>
      </c>
      <c r="D497" s="34"/>
      <c r="E497" s="327">
        <f>'BAC SAN JOSE USD'!H328</f>
        <v>0</v>
      </c>
      <c r="F497" s="34"/>
      <c r="G497" s="327">
        <v>28.15</v>
      </c>
      <c r="I497" s="327">
        <f>'BAC SAN JOSE USD'!L328</f>
        <v>0</v>
      </c>
      <c r="M497" s="34"/>
      <c r="N497" s="34"/>
      <c r="O497" s="34"/>
    </row>
    <row r="498" spans="2:19">
      <c r="B498" s="50" t="s">
        <v>148</v>
      </c>
      <c r="C498" s="51">
        <f>C496-C497</f>
        <v>968.78</v>
      </c>
      <c r="D498" s="263">
        <f>SUM(C498)</f>
        <v>968.78</v>
      </c>
      <c r="E498" s="51">
        <f>E496-E497</f>
        <v>356.29</v>
      </c>
      <c r="F498" s="263">
        <f>SUM(E498)</f>
        <v>356.29</v>
      </c>
      <c r="G498" s="51">
        <f>G496-G497</f>
        <v>18738.785808182423</v>
      </c>
      <c r="H498" s="263">
        <f>SUM(G498)</f>
        <v>18738.785808182423</v>
      </c>
      <c r="I498" s="51">
        <f>I496-I497</f>
        <v>6953.33</v>
      </c>
      <c r="J498" s="263">
        <f>SUM(I498)</f>
        <v>6953.33</v>
      </c>
      <c r="M498" s="263">
        <f>D498+E498+F498+H498+J498</f>
        <v>27373.475808182426</v>
      </c>
      <c r="N498" s="263"/>
      <c r="O498" s="263"/>
    </row>
    <row r="499" spans="2:19">
      <c r="B499" s="15" t="s">
        <v>150</v>
      </c>
      <c r="C499" s="34"/>
      <c r="E499" s="34"/>
      <c r="G499" s="430">
        <v>3536.55</v>
      </c>
      <c r="I499" s="430"/>
    </row>
    <row r="500" spans="2:19">
      <c r="B500" s="15" t="s">
        <v>99</v>
      </c>
      <c r="C500" s="34">
        <f>135</f>
        <v>135</v>
      </c>
      <c r="D500" s="29"/>
      <c r="E500" s="34">
        <f>135</f>
        <v>135</v>
      </c>
      <c r="F500" s="29"/>
      <c r="G500" s="34">
        <f>135</f>
        <v>135</v>
      </c>
      <c r="I500" s="34">
        <f>135</f>
        <v>135</v>
      </c>
    </row>
    <row r="501" spans="2:19">
      <c r="B501" s="47" t="s">
        <v>109</v>
      </c>
      <c r="C501" s="48">
        <f>C498-C499-C500</f>
        <v>833.78</v>
      </c>
      <c r="D501" s="263"/>
      <c r="E501" s="48">
        <f>E498-E499-E500</f>
        <v>221.29000000000002</v>
      </c>
      <c r="F501" s="263"/>
      <c r="G501" s="48">
        <f>G498-G499-G500</f>
        <v>15067.235808182424</v>
      </c>
      <c r="I501" s="48">
        <f>I498-I499-I500</f>
        <v>6818.33</v>
      </c>
    </row>
    <row r="502" spans="2:19">
      <c r="B502" s="11" t="s">
        <v>153</v>
      </c>
      <c r="C502" s="320"/>
      <c r="E502" s="320">
        <v>0</v>
      </c>
      <c r="G502" s="320">
        <v>499</v>
      </c>
      <c r="I502" s="320">
        <v>0</v>
      </c>
      <c r="L502" s="29">
        <f>G503</f>
        <v>7518550.6682830295</v>
      </c>
    </row>
    <row r="503" spans="2:19">
      <c r="B503" s="47" t="s">
        <v>100</v>
      </c>
      <c r="C503" s="34">
        <f>C502*C501</f>
        <v>0</v>
      </c>
      <c r="D503" s="247"/>
      <c r="E503" s="34">
        <f>E502*E501</f>
        <v>0</v>
      </c>
      <c r="F503" s="247"/>
      <c r="G503" s="34">
        <f>G502*G501</f>
        <v>7518550.6682830295</v>
      </c>
      <c r="I503" s="34">
        <f>I502*I501</f>
        <v>0</v>
      </c>
    </row>
    <row r="504" spans="2:19">
      <c r="B504" s="15" t="s">
        <v>151</v>
      </c>
      <c r="C504" s="54">
        <v>0</v>
      </c>
      <c r="D504" s="267"/>
      <c r="E504" s="54">
        <v>0</v>
      </c>
      <c r="F504" s="267"/>
      <c r="G504" s="54">
        <f>575515.22+4646054.86+421042.07</f>
        <v>5642612.1500000004</v>
      </c>
      <c r="I504" s="54">
        <v>0</v>
      </c>
    </row>
    <row r="505" spans="2:19">
      <c r="B505" s="15" t="s">
        <v>152</v>
      </c>
      <c r="C505" s="34">
        <f>C503-C504</f>
        <v>0</v>
      </c>
      <c r="E505" s="34">
        <f>E503-E504</f>
        <v>0</v>
      </c>
      <c r="G505" s="34">
        <f>G503-G504</f>
        <v>1875938.5182830291</v>
      </c>
      <c r="I505" s="34">
        <f>I503-I504</f>
        <v>0</v>
      </c>
    </row>
    <row r="508" spans="2:19">
      <c r="B508" s="601" t="s">
        <v>945</v>
      </c>
      <c r="C508" s="600"/>
      <c r="D508" s="600"/>
      <c r="E508" s="600"/>
      <c r="F508" s="600"/>
      <c r="G508" s="600"/>
      <c r="H508" s="600"/>
      <c r="I508" s="600"/>
      <c r="J508" s="600"/>
      <c r="K508" s="600"/>
      <c r="L508" s="600"/>
    </row>
    <row r="509" spans="2:19">
      <c r="B509" s="11" t="s">
        <v>178</v>
      </c>
      <c r="C509" s="391">
        <v>182</v>
      </c>
      <c r="D509" s="391">
        <v>182</v>
      </c>
      <c r="E509" s="391">
        <v>182</v>
      </c>
      <c r="F509" s="391">
        <v>182</v>
      </c>
      <c r="G509" s="391">
        <v>182</v>
      </c>
      <c r="H509" s="425">
        <v>182</v>
      </c>
      <c r="I509" s="425">
        <v>182</v>
      </c>
      <c r="J509" s="425">
        <v>182</v>
      </c>
    </row>
    <row r="510" spans="2:19">
      <c r="B510" s="11" t="s">
        <v>110</v>
      </c>
      <c r="C510" s="11">
        <v>497</v>
      </c>
      <c r="D510" s="11">
        <v>497</v>
      </c>
      <c r="E510" s="11">
        <v>497</v>
      </c>
      <c r="F510" s="11">
        <v>497</v>
      </c>
      <c r="G510" s="11">
        <v>497</v>
      </c>
      <c r="H510" s="11">
        <v>497</v>
      </c>
      <c r="I510" s="11">
        <v>497</v>
      </c>
      <c r="J510" s="11">
        <v>497</v>
      </c>
      <c r="K510" s="29"/>
    </row>
    <row r="511" spans="2:19" ht="24">
      <c r="B511" s="15"/>
      <c r="C511" s="415" t="s">
        <v>107</v>
      </c>
      <c r="D511" s="415" t="s">
        <v>179</v>
      </c>
      <c r="E511" s="415" t="s">
        <v>202</v>
      </c>
      <c r="F511" s="415" t="s">
        <v>181</v>
      </c>
      <c r="G511" s="415" t="s">
        <v>337</v>
      </c>
      <c r="H511" s="386" t="s">
        <v>744</v>
      </c>
      <c r="I511" s="386" t="s">
        <v>946</v>
      </c>
      <c r="J511" s="386" t="s">
        <v>947</v>
      </c>
      <c r="Q511" s="55" t="s">
        <v>334</v>
      </c>
      <c r="R511" s="55" t="s">
        <v>335</v>
      </c>
      <c r="S511" s="50" t="s">
        <v>336</v>
      </c>
    </row>
    <row r="512" spans="2:19">
      <c r="B512" s="15" t="s">
        <v>96</v>
      </c>
      <c r="C512" s="315">
        <v>5479.59</v>
      </c>
      <c r="D512" s="315">
        <v>4478.174446680081</v>
      </c>
      <c r="E512" s="315">
        <v>4478.174446680081</v>
      </c>
      <c r="F512" s="315">
        <v>11423.32</v>
      </c>
      <c r="G512" s="314">
        <v>2421.8423138832995</v>
      </c>
      <c r="H512" s="355">
        <v>8458.5499999999993</v>
      </c>
      <c r="I512" s="355">
        <v>6686.7575050301812</v>
      </c>
      <c r="J512" s="355">
        <v>10543.83</v>
      </c>
      <c r="L512" s="50" t="s">
        <v>419</v>
      </c>
      <c r="Q512" s="29">
        <f>SUM(C512:J512)</f>
        <v>53970.23871227364</v>
      </c>
      <c r="R512" s="29">
        <f>SUM(C514:J514)</f>
        <v>53970.23871227364</v>
      </c>
      <c r="S512" s="247">
        <f>R512-Q512</f>
        <v>0</v>
      </c>
    </row>
    <row r="513" spans="2:20">
      <c r="B513" s="11" t="s">
        <v>147</v>
      </c>
      <c r="C513" s="34"/>
      <c r="D513" s="34"/>
      <c r="E513" s="34"/>
      <c r="F513" s="34"/>
      <c r="G513" s="34"/>
      <c r="H513" s="427"/>
      <c r="I513" s="427"/>
      <c r="J513" s="427"/>
      <c r="L513" s="51">
        <f>SUM(C513:G513)</f>
        <v>0</v>
      </c>
      <c r="Q513" s="334"/>
    </row>
    <row r="514" spans="2:20">
      <c r="B514" s="50" t="s">
        <v>362</v>
      </c>
      <c r="C514" s="85">
        <f t="shared" ref="C514:H514" si="103">C512-C513</f>
        <v>5479.59</v>
      </c>
      <c r="D514" s="85">
        <f t="shared" si="103"/>
        <v>4478.174446680081</v>
      </c>
      <c r="E514" s="85">
        <f t="shared" si="103"/>
        <v>4478.174446680081</v>
      </c>
      <c r="F514" s="85">
        <f t="shared" si="103"/>
        <v>11423.32</v>
      </c>
      <c r="G514" s="85">
        <f t="shared" si="103"/>
        <v>2421.8423138832995</v>
      </c>
      <c r="H514" s="428">
        <f t="shared" si="103"/>
        <v>8458.5499999999993</v>
      </c>
      <c r="I514" s="428">
        <f>I512-I513</f>
        <v>6686.7575050301812</v>
      </c>
      <c r="J514" s="428">
        <f>J512-J513</f>
        <v>10543.83</v>
      </c>
      <c r="L514" s="50" t="s">
        <v>420</v>
      </c>
    </row>
    <row r="515" spans="2:20">
      <c r="B515" s="15" t="s">
        <v>97</v>
      </c>
      <c r="C515" s="327">
        <f t="shared" ref="C515:J515" si="104">40/8</f>
        <v>5</v>
      </c>
      <c r="D515" s="327">
        <f t="shared" si="104"/>
        <v>5</v>
      </c>
      <c r="E515" s="327">
        <f t="shared" si="104"/>
        <v>5</v>
      </c>
      <c r="F515" s="327">
        <f t="shared" si="104"/>
        <v>5</v>
      </c>
      <c r="G515" s="327">
        <f t="shared" si="104"/>
        <v>5</v>
      </c>
      <c r="H515" s="327">
        <f t="shared" si="104"/>
        <v>5</v>
      </c>
      <c r="I515" s="327">
        <f t="shared" si="104"/>
        <v>5</v>
      </c>
      <c r="J515" s="327">
        <f t="shared" si="104"/>
        <v>5</v>
      </c>
      <c r="L515" s="34">
        <f>SUM(C515:H515)</f>
        <v>30</v>
      </c>
      <c r="R515" s="29">
        <f>R512-L515</f>
        <v>53940.23871227364</v>
      </c>
      <c r="S515" s="29">
        <v>36790.07</v>
      </c>
      <c r="T515" s="29">
        <f>R515-S515</f>
        <v>17150.16871227364</v>
      </c>
    </row>
    <row r="516" spans="2:20">
      <c r="B516" s="50" t="s">
        <v>148</v>
      </c>
      <c r="C516" s="51">
        <f t="shared" ref="C516:H516" si="105">C514-C515</f>
        <v>5474.59</v>
      </c>
      <c r="D516" s="51">
        <f t="shared" si="105"/>
        <v>4473.174446680081</v>
      </c>
      <c r="E516" s="51">
        <f t="shared" si="105"/>
        <v>4473.174446680081</v>
      </c>
      <c r="F516" s="51">
        <f t="shared" si="105"/>
        <v>11418.32</v>
      </c>
      <c r="G516" s="51">
        <f t="shared" si="105"/>
        <v>2416.8423138832995</v>
      </c>
      <c r="H516" s="429">
        <f t="shared" si="105"/>
        <v>8453.5499999999993</v>
      </c>
      <c r="I516" s="429">
        <f>I514-I515</f>
        <v>6681.7575050301812</v>
      </c>
      <c r="J516" s="429">
        <f>J514-J515</f>
        <v>10538.83</v>
      </c>
      <c r="L516" s="263">
        <f>SUM($C$516:$J$516)</f>
        <v>53930.23871227364</v>
      </c>
      <c r="Q516" s="29"/>
      <c r="S516" s="29"/>
    </row>
    <row r="517" spans="2:20">
      <c r="B517" s="15" t="s">
        <v>150</v>
      </c>
      <c r="C517" s="248">
        <v>3418.53</v>
      </c>
      <c r="D517" s="34"/>
      <c r="F517" s="248">
        <v>6671.21</v>
      </c>
      <c r="G517" s="34"/>
      <c r="H517" s="430">
        <v>5060.67</v>
      </c>
      <c r="I517" s="432"/>
      <c r="J517" s="430">
        <v>6173.07</v>
      </c>
    </row>
    <row r="518" spans="2:20">
      <c r="B518" s="15" t="s">
        <v>99</v>
      </c>
      <c r="C518" s="34">
        <f>135</f>
        <v>135</v>
      </c>
      <c r="D518" s="34">
        <f>135</f>
        <v>135</v>
      </c>
      <c r="E518" s="34">
        <f>135</f>
        <v>135</v>
      </c>
      <c r="F518" s="34">
        <f>135</f>
        <v>135</v>
      </c>
      <c r="G518" s="34">
        <f>135</f>
        <v>135</v>
      </c>
      <c r="H518" s="427">
        <f>135</f>
        <v>135</v>
      </c>
      <c r="I518" s="427">
        <f>135</f>
        <v>135</v>
      </c>
      <c r="J518" s="427">
        <f>135</f>
        <v>135</v>
      </c>
      <c r="L518" s="29">
        <f>SUM($C$518:$J$518)</f>
        <v>1080</v>
      </c>
    </row>
    <row r="519" spans="2:20">
      <c r="B519" s="47" t="s">
        <v>109</v>
      </c>
      <c r="C519" s="48">
        <f t="shared" ref="C519:H519" si="106">C516-C517-C518</f>
        <v>1921.06</v>
      </c>
      <c r="D519" s="48">
        <f t="shared" si="106"/>
        <v>4338.174446680081</v>
      </c>
      <c r="E519" s="48">
        <f t="shared" si="106"/>
        <v>4338.174446680081</v>
      </c>
      <c r="F519" s="48">
        <f t="shared" si="106"/>
        <v>4612.1099999999997</v>
      </c>
      <c r="G519" s="48">
        <f t="shared" si="106"/>
        <v>2281.8423138832995</v>
      </c>
      <c r="H519" s="431">
        <f t="shared" si="106"/>
        <v>3257.8799999999992</v>
      </c>
      <c r="I519" s="431">
        <f>I516-I517-I518</f>
        <v>6546.7575050301812</v>
      </c>
      <c r="J519" s="431">
        <f>J516-J517-J518</f>
        <v>4230.76</v>
      </c>
      <c r="L519" s="263">
        <f>SUM($C$447:$H$447)</f>
        <v>20694.449700598801</v>
      </c>
    </row>
    <row r="520" spans="2:20">
      <c r="B520" s="11" t="s">
        <v>153</v>
      </c>
      <c r="C520" s="34">
        <v>499</v>
      </c>
      <c r="D520" s="34">
        <v>499</v>
      </c>
      <c r="E520" s="34">
        <v>499</v>
      </c>
      <c r="F520" s="34">
        <v>499</v>
      </c>
      <c r="G520" s="34">
        <v>499</v>
      </c>
      <c r="H520" s="34">
        <v>499</v>
      </c>
      <c r="I520" s="34">
        <v>499</v>
      </c>
      <c r="J520" s="34">
        <v>499</v>
      </c>
    </row>
    <row r="521" spans="2:20">
      <c r="B521" s="47" t="s">
        <v>100</v>
      </c>
      <c r="C521" s="34">
        <f t="shared" ref="C521:H521" si="107">C520*C519</f>
        <v>958608.94</v>
      </c>
      <c r="D521" s="34">
        <f t="shared" si="107"/>
        <v>2164749.0488933604</v>
      </c>
      <c r="E521" s="34">
        <f t="shared" si="107"/>
        <v>2164749.0488933604</v>
      </c>
      <c r="F521" s="34">
        <f t="shared" si="107"/>
        <v>2301442.8899999997</v>
      </c>
      <c r="G521" s="34">
        <f t="shared" si="107"/>
        <v>1138639.3146277664</v>
      </c>
      <c r="H521" s="427">
        <f t="shared" si="107"/>
        <v>1625682.1199999996</v>
      </c>
      <c r="I521" s="427">
        <f>I520*I519</f>
        <v>3266831.9950100603</v>
      </c>
      <c r="J521" s="427">
        <f>J520*J519</f>
        <v>2111149.2400000002</v>
      </c>
      <c r="L521" s="247">
        <f>SUM(C521:J521)</f>
        <v>15731852.597424546</v>
      </c>
      <c r="Q521" s="268"/>
      <c r="R521" s="268"/>
      <c r="S521" s="366"/>
    </row>
    <row r="522" spans="2:20">
      <c r="B522" s="15" t="s">
        <v>151</v>
      </c>
      <c r="C522" s="34">
        <v>0</v>
      </c>
      <c r="D522" s="54">
        <v>1409287.55</v>
      </c>
      <c r="E522" s="54">
        <v>1409287.55</v>
      </c>
      <c r="F522" s="34">
        <v>0</v>
      </c>
      <c r="G522" s="54">
        <v>786551.54</v>
      </c>
      <c r="H522" s="427">
        <v>0</v>
      </c>
      <c r="I522" s="54">
        <v>2039964.92</v>
      </c>
      <c r="J522" s="427">
        <v>0</v>
      </c>
      <c r="L522" s="267"/>
      <c r="M522" s="29"/>
      <c r="N522" s="29"/>
      <c r="O522" s="29"/>
      <c r="Q522" s="268"/>
    </row>
    <row r="523" spans="2:20">
      <c r="B523" s="12" t="s">
        <v>152</v>
      </c>
      <c r="C523" s="34">
        <f t="shared" ref="C523:H523" si="108">C521-C522</f>
        <v>958608.94</v>
      </c>
      <c r="D523" s="34">
        <f t="shared" si="108"/>
        <v>755461.49889336037</v>
      </c>
      <c r="E523" s="34">
        <f t="shared" si="108"/>
        <v>755461.49889336037</v>
      </c>
      <c r="F523" s="34">
        <f t="shared" si="108"/>
        <v>2301442.8899999997</v>
      </c>
      <c r="G523" s="34">
        <f t="shared" si="108"/>
        <v>352087.77462776634</v>
      </c>
      <c r="H523" s="427">
        <f t="shared" si="108"/>
        <v>1625682.1199999996</v>
      </c>
      <c r="I523" s="427">
        <f>I521-I522</f>
        <v>1226867.0750100603</v>
      </c>
      <c r="J523" s="427">
        <f>J521-J522</f>
        <v>2111149.2400000002</v>
      </c>
      <c r="L523" s="267"/>
    </row>
    <row r="524" spans="2:20">
      <c r="H524" s="426"/>
      <c r="I524" s="426"/>
      <c r="L524" s="29">
        <f>L502+L521</f>
        <v>23250403.265707575</v>
      </c>
    </row>
    <row r="526" spans="2:20">
      <c r="B526" s="11" t="s">
        <v>178</v>
      </c>
      <c r="C526" s="453">
        <v>183</v>
      </c>
    </row>
    <row r="527" spans="2:20">
      <c r="B527" s="11" t="s">
        <v>110</v>
      </c>
      <c r="C527" s="11">
        <v>497</v>
      </c>
    </row>
    <row r="528" spans="2:20">
      <c r="B528" s="15"/>
      <c r="C528" s="415" t="s">
        <v>1071</v>
      </c>
    </row>
    <row r="529" spans="2:16">
      <c r="B529" s="15" t="s">
        <v>96</v>
      </c>
      <c r="C529" s="315">
        <v>4018.88</v>
      </c>
    </row>
    <row r="530" spans="2:16">
      <c r="B530" s="11" t="s">
        <v>147</v>
      </c>
      <c r="C530" s="34"/>
    </row>
    <row r="531" spans="2:16">
      <c r="B531" s="50" t="s">
        <v>362</v>
      </c>
      <c r="C531" s="85">
        <f>C529-C530</f>
        <v>4018.88</v>
      </c>
    </row>
    <row r="532" spans="2:16">
      <c r="B532" s="15" t="s">
        <v>97</v>
      </c>
      <c r="C532" s="327">
        <f>40/12</f>
        <v>3.3333333333333335</v>
      </c>
      <c r="D532" s="29"/>
    </row>
    <row r="533" spans="2:16">
      <c r="B533" s="50" t="s">
        <v>148</v>
      </c>
      <c r="C533" s="51">
        <f>C531-C532</f>
        <v>4015.5466666666666</v>
      </c>
    </row>
    <row r="534" spans="2:16">
      <c r="B534" s="15" t="s">
        <v>150</v>
      </c>
      <c r="C534" s="248">
        <v>0</v>
      </c>
    </row>
    <row r="535" spans="2:16">
      <c r="B535" s="15" t="s">
        <v>99</v>
      </c>
      <c r="C535" s="34">
        <f>135</f>
        <v>135</v>
      </c>
    </row>
    <row r="536" spans="2:16">
      <c r="B536" s="47" t="s">
        <v>109</v>
      </c>
      <c r="C536" s="48">
        <f>C533-C534-C535</f>
        <v>3880.5466666666666</v>
      </c>
    </row>
    <row r="537" spans="2:16">
      <c r="B537" s="11" t="s">
        <v>153</v>
      </c>
      <c r="C537" s="34">
        <v>499</v>
      </c>
    </row>
    <row r="538" spans="2:16">
      <c r="B538" s="47" t="s">
        <v>100</v>
      </c>
      <c r="C538" s="34">
        <f>C537*C536</f>
        <v>1936392.7866666666</v>
      </c>
    </row>
    <row r="539" spans="2:16">
      <c r="B539" s="15" t="s">
        <v>151</v>
      </c>
      <c r="C539" s="34">
        <v>0</v>
      </c>
    </row>
    <row r="540" spans="2:16">
      <c r="B540" s="12" t="s">
        <v>152</v>
      </c>
      <c r="C540" s="34">
        <f>C538-C539</f>
        <v>1936392.7866666666</v>
      </c>
    </row>
    <row r="542" spans="2:16">
      <c r="B542" s="601" t="s">
        <v>1004</v>
      </c>
      <c r="C542" s="601"/>
      <c r="D542" s="601"/>
      <c r="E542" s="601"/>
      <c r="F542" s="601"/>
      <c r="G542" s="601"/>
      <c r="H542" s="601"/>
      <c r="I542" s="601"/>
      <c r="J542" s="601"/>
      <c r="K542" s="601"/>
      <c r="L542" s="601"/>
    </row>
    <row r="544" spans="2:16">
      <c r="B544" s="11" t="s">
        <v>178</v>
      </c>
      <c r="C544" s="391">
        <v>184</v>
      </c>
      <c r="D544" s="391">
        <v>184</v>
      </c>
      <c r="E544" s="391">
        <v>184</v>
      </c>
      <c r="F544" s="391">
        <v>184</v>
      </c>
      <c r="G544" s="391">
        <v>184</v>
      </c>
      <c r="H544" s="391">
        <v>184</v>
      </c>
      <c r="I544" s="391">
        <v>184</v>
      </c>
      <c r="J544" s="391">
        <v>184</v>
      </c>
      <c r="K544" s="391">
        <v>184</v>
      </c>
      <c r="L544" s="391">
        <v>184</v>
      </c>
      <c r="M544" s="391">
        <v>188</v>
      </c>
      <c r="N544" s="391"/>
      <c r="O544" s="391"/>
      <c r="P544" s="391">
        <v>189</v>
      </c>
    </row>
    <row r="545" spans="2:22">
      <c r="B545" s="11" t="s">
        <v>110</v>
      </c>
      <c r="C545" s="11">
        <v>500</v>
      </c>
      <c r="D545" s="11">
        <v>500</v>
      </c>
      <c r="E545" s="11">
        <v>500</v>
      </c>
      <c r="F545" s="11">
        <v>500</v>
      </c>
      <c r="G545" s="11">
        <v>500</v>
      </c>
      <c r="H545" s="11">
        <v>500</v>
      </c>
      <c r="I545" s="11">
        <v>500</v>
      </c>
      <c r="J545" s="11">
        <v>500</v>
      </c>
      <c r="K545" s="11">
        <v>500</v>
      </c>
      <c r="L545" s="11">
        <v>500</v>
      </c>
      <c r="M545" s="11">
        <v>500</v>
      </c>
      <c r="P545" s="11">
        <v>500</v>
      </c>
    </row>
    <row r="546" spans="2:22" ht="36">
      <c r="C546" s="415" t="s">
        <v>107</v>
      </c>
      <c r="D546" s="415" t="s">
        <v>179</v>
      </c>
      <c r="E546" s="415" t="s">
        <v>202</v>
      </c>
      <c r="F546" s="415" t="s">
        <v>181</v>
      </c>
      <c r="G546" s="415" t="s">
        <v>337</v>
      </c>
      <c r="H546" s="386" t="s">
        <v>744</v>
      </c>
      <c r="I546" s="386" t="s">
        <v>946</v>
      </c>
      <c r="J546" s="386" t="s">
        <v>947</v>
      </c>
      <c r="K546" s="386" t="s">
        <v>1005</v>
      </c>
      <c r="L546" s="386" t="s">
        <v>1006</v>
      </c>
      <c r="M546" s="386" t="s">
        <v>1042</v>
      </c>
      <c r="N546" s="386"/>
      <c r="O546" s="386"/>
      <c r="P546" s="386" t="s">
        <v>1031</v>
      </c>
      <c r="T546" s="55" t="s">
        <v>334</v>
      </c>
      <c r="U546" s="55" t="s">
        <v>335</v>
      </c>
      <c r="V546" s="50" t="s">
        <v>336</v>
      </c>
    </row>
    <row r="547" spans="2:22">
      <c r="B547" s="15" t="s">
        <v>96</v>
      </c>
      <c r="C547" s="315">
        <v>5479.59</v>
      </c>
      <c r="D547" s="315">
        <v>4452.2654000000002</v>
      </c>
      <c r="E547" s="315">
        <v>4452.2654000000002</v>
      </c>
      <c r="F547" s="315">
        <v>11424.32</v>
      </c>
      <c r="G547" s="314">
        <v>2408.27126</v>
      </c>
      <c r="H547" s="355">
        <v>8458.5499999999993</v>
      </c>
      <c r="I547" s="355">
        <v>6647.59674</v>
      </c>
      <c r="J547" s="355">
        <v>13139.79</v>
      </c>
      <c r="K547" s="315">
        <v>3063.0243</v>
      </c>
      <c r="L547" s="315">
        <v>5000.83</v>
      </c>
      <c r="M547" s="315">
        <v>111.41</v>
      </c>
      <c r="N547" s="315"/>
      <c r="O547" s="315"/>
      <c r="P547" s="315">
        <v>387.26</v>
      </c>
      <c r="R547" s="50" t="s">
        <v>419</v>
      </c>
      <c r="T547" s="32">
        <f>SUM(C547:L547)</f>
        <v>64526.503100000002</v>
      </c>
      <c r="U547" s="29">
        <f>SUM(C549:L549)</f>
        <v>64526.503100000002</v>
      </c>
      <c r="V547" s="247">
        <f>U547-T547</f>
        <v>0</v>
      </c>
    </row>
    <row r="548" spans="2:22">
      <c r="B548" s="11" t="s">
        <v>147</v>
      </c>
      <c r="C548" s="34"/>
      <c r="D548" s="34"/>
      <c r="E548" s="34"/>
      <c r="F548" s="34"/>
      <c r="G548" s="34"/>
      <c r="H548" s="427"/>
      <c r="I548" s="427"/>
      <c r="J548" s="427"/>
      <c r="R548" s="51">
        <f>SUM(D548:H548)</f>
        <v>0</v>
      </c>
    </row>
    <row r="549" spans="2:22">
      <c r="B549" s="50" t="s">
        <v>362</v>
      </c>
      <c r="C549" s="85">
        <f t="shared" ref="C549:H549" si="109">C547-C548</f>
        <v>5479.59</v>
      </c>
      <c r="D549" s="85">
        <f t="shared" si="109"/>
        <v>4452.2654000000002</v>
      </c>
      <c r="E549" s="85">
        <f t="shared" si="109"/>
        <v>4452.2654000000002</v>
      </c>
      <c r="F549" s="85">
        <f t="shared" si="109"/>
        <v>11424.32</v>
      </c>
      <c r="G549" s="85">
        <f t="shared" si="109"/>
        <v>2408.27126</v>
      </c>
      <c r="H549" s="428">
        <f t="shared" si="109"/>
        <v>8458.5499999999993</v>
      </c>
      <c r="I549" s="428">
        <f t="shared" ref="I549:P549" si="110">I547-I548</f>
        <v>6647.59674</v>
      </c>
      <c r="J549" s="428">
        <f t="shared" si="110"/>
        <v>13139.79</v>
      </c>
      <c r="K549" s="428">
        <f t="shared" si="110"/>
        <v>3063.0243</v>
      </c>
      <c r="L549" s="428">
        <f t="shared" si="110"/>
        <v>5000.83</v>
      </c>
      <c r="M549" s="428">
        <f t="shared" si="110"/>
        <v>111.41</v>
      </c>
      <c r="N549" s="428"/>
      <c r="O549" s="428"/>
      <c r="P549" s="428">
        <f t="shared" si="110"/>
        <v>387.26</v>
      </c>
      <c r="R549" s="50" t="s">
        <v>420</v>
      </c>
      <c r="T549" s="32">
        <f>SUM(C549:M549)+C529</f>
        <v>68656.79310000001</v>
      </c>
    </row>
    <row r="550" spans="2:22">
      <c r="B550" s="15" t="s">
        <v>97</v>
      </c>
      <c r="C550" s="327">
        <f>40/12</f>
        <v>3.3333333333333335</v>
      </c>
      <c r="D550" s="327">
        <f t="shared" ref="D550:M550" si="111">40/12</f>
        <v>3.3333333333333335</v>
      </c>
      <c r="E550" s="327">
        <f t="shared" si="111"/>
        <v>3.3333333333333335</v>
      </c>
      <c r="F550" s="327">
        <f t="shared" si="111"/>
        <v>3.3333333333333335</v>
      </c>
      <c r="G550" s="327">
        <f t="shared" si="111"/>
        <v>3.3333333333333335</v>
      </c>
      <c r="H550" s="327">
        <f t="shared" si="111"/>
        <v>3.3333333333333335</v>
      </c>
      <c r="I550" s="327">
        <f t="shared" si="111"/>
        <v>3.3333333333333335</v>
      </c>
      <c r="J550" s="327">
        <f t="shared" si="111"/>
        <v>3.3333333333333335</v>
      </c>
      <c r="K550" s="327">
        <f t="shared" si="111"/>
        <v>3.3333333333333335</v>
      </c>
      <c r="L550" s="327">
        <f t="shared" si="111"/>
        <v>3.3333333333333335</v>
      </c>
      <c r="M550" s="327">
        <f t="shared" si="111"/>
        <v>3.3333333333333335</v>
      </c>
      <c r="N550" s="327"/>
      <c r="O550" s="327"/>
      <c r="P550" s="327">
        <v>20</v>
      </c>
      <c r="T550" s="32">
        <f>'BAC SAN JOSE USD'!E366</f>
        <v>68656.789999999994</v>
      </c>
    </row>
    <row r="551" spans="2:22">
      <c r="B551" s="50" t="s">
        <v>148</v>
      </c>
      <c r="C551" s="51">
        <f t="shared" ref="C551:H551" si="112">C549-C550</f>
        <v>5476.2566666666671</v>
      </c>
      <c r="D551" s="51">
        <f t="shared" si="112"/>
        <v>4448.9320666666672</v>
      </c>
      <c r="E551" s="51">
        <f t="shared" si="112"/>
        <v>4448.9320666666672</v>
      </c>
      <c r="F551" s="51">
        <f t="shared" si="112"/>
        <v>11420.986666666666</v>
      </c>
      <c r="G551" s="51">
        <f t="shared" si="112"/>
        <v>2404.9379266666665</v>
      </c>
      <c r="H551" s="429">
        <f t="shared" si="112"/>
        <v>8455.2166666666653</v>
      </c>
      <c r="I551" s="429">
        <f t="shared" ref="I551:P551" si="113">I549-I550</f>
        <v>6644.2634066666669</v>
      </c>
      <c r="J551" s="429">
        <f t="shared" si="113"/>
        <v>13136.456666666667</v>
      </c>
      <c r="K551" s="429">
        <f t="shared" si="113"/>
        <v>3059.6909666666666</v>
      </c>
      <c r="L551" s="429">
        <f t="shared" si="113"/>
        <v>4997.4966666666669</v>
      </c>
      <c r="M551" s="429">
        <f t="shared" si="113"/>
        <v>108.07666666666667</v>
      </c>
      <c r="N551" s="429"/>
      <c r="O551" s="429"/>
      <c r="P551" s="429">
        <f t="shared" si="113"/>
        <v>367.26</v>
      </c>
      <c r="T551" s="29">
        <f>T549-T550</f>
        <v>3.100000016274862E-3</v>
      </c>
    </row>
    <row r="552" spans="2:22">
      <c r="B552" s="15" t="s">
        <v>150</v>
      </c>
      <c r="C552" s="248">
        <v>3418.62</v>
      </c>
      <c r="D552" s="34"/>
      <c r="F552" s="248">
        <v>6671.27</v>
      </c>
      <c r="G552" s="34"/>
      <c r="H552" s="430">
        <v>5060.7299999999996</v>
      </c>
      <c r="I552" s="432"/>
      <c r="J552" s="430">
        <v>7566.77</v>
      </c>
      <c r="L552" s="430">
        <v>3361.91</v>
      </c>
      <c r="P552" s="430">
        <v>0</v>
      </c>
    </row>
    <row r="553" spans="2:22">
      <c r="B553" s="15" t="s">
        <v>99</v>
      </c>
      <c r="C553" s="34">
        <f>135</f>
        <v>135</v>
      </c>
      <c r="D553" s="34">
        <f>135</f>
        <v>135</v>
      </c>
      <c r="E553" s="34">
        <f>135</f>
        <v>135</v>
      </c>
      <c r="F553" s="34">
        <f>135</f>
        <v>135</v>
      </c>
      <c r="G553" s="34">
        <f>135</f>
        <v>135</v>
      </c>
      <c r="H553" s="34">
        <f>135</f>
        <v>135</v>
      </c>
      <c r="I553" s="34">
        <f>135</f>
        <v>135</v>
      </c>
      <c r="J553" s="34">
        <f>135</f>
        <v>135</v>
      </c>
      <c r="K553" s="34">
        <f>135</f>
        <v>135</v>
      </c>
      <c r="L553" s="34">
        <f>135</f>
        <v>135</v>
      </c>
      <c r="M553" s="34">
        <v>0</v>
      </c>
      <c r="N553" s="34"/>
      <c r="O553" s="34"/>
      <c r="P553" s="34">
        <v>0</v>
      </c>
    </row>
    <row r="554" spans="2:22">
      <c r="B554" s="47" t="s">
        <v>109</v>
      </c>
      <c r="C554" s="48">
        <f t="shared" ref="C554:M554" si="114">C551-C552-C553</f>
        <v>1922.6366666666672</v>
      </c>
      <c r="D554" s="48">
        <f t="shared" si="114"/>
        <v>4313.9320666666672</v>
      </c>
      <c r="E554" s="48">
        <f t="shared" si="114"/>
        <v>4313.9320666666672</v>
      </c>
      <c r="F554" s="48">
        <f t="shared" si="114"/>
        <v>4614.7166666666653</v>
      </c>
      <c r="G554" s="48">
        <f t="shared" si="114"/>
        <v>2269.9379266666665</v>
      </c>
      <c r="H554" s="48">
        <f t="shared" si="114"/>
        <v>3259.4866666666658</v>
      </c>
      <c r="I554" s="48">
        <f t="shared" si="114"/>
        <v>6509.2634066666669</v>
      </c>
      <c r="J554" s="48">
        <f t="shared" si="114"/>
        <v>5434.6866666666665</v>
      </c>
      <c r="K554" s="48">
        <f t="shared" si="114"/>
        <v>2924.6909666666666</v>
      </c>
      <c r="L554" s="48">
        <f t="shared" si="114"/>
        <v>1500.586666666667</v>
      </c>
      <c r="M554" s="48">
        <f t="shared" si="114"/>
        <v>108.07666666666667</v>
      </c>
      <c r="N554" s="48"/>
      <c r="O554" s="48"/>
      <c r="P554" s="48">
        <f>P551-P552-P553</f>
        <v>367.26</v>
      </c>
    </row>
    <row r="555" spans="2:22">
      <c r="B555" s="11" t="s">
        <v>153</v>
      </c>
      <c r="C555" s="34">
        <v>499</v>
      </c>
      <c r="D555" s="34">
        <f>$C$555</f>
        <v>499</v>
      </c>
      <c r="E555" s="34">
        <f t="shared" ref="E555:P555" si="115">$C$555</f>
        <v>499</v>
      </c>
      <c r="F555" s="34">
        <f t="shared" si="115"/>
        <v>499</v>
      </c>
      <c r="G555" s="34">
        <f t="shared" si="115"/>
        <v>499</v>
      </c>
      <c r="H555" s="34">
        <f t="shared" si="115"/>
        <v>499</v>
      </c>
      <c r="I555" s="34">
        <f t="shared" si="115"/>
        <v>499</v>
      </c>
      <c r="J555" s="34">
        <f t="shared" si="115"/>
        <v>499</v>
      </c>
      <c r="K555" s="34">
        <f t="shared" si="115"/>
        <v>499</v>
      </c>
      <c r="L555" s="34">
        <f t="shared" si="115"/>
        <v>499</v>
      </c>
      <c r="M555" s="34">
        <f t="shared" si="115"/>
        <v>499</v>
      </c>
      <c r="N555" s="34"/>
      <c r="O555" s="34"/>
      <c r="P555" s="34">
        <f t="shared" si="115"/>
        <v>499</v>
      </c>
    </row>
    <row r="556" spans="2:22">
      <c r="B556" s="47" t="s">
        <v>100</v>
      </c>
      <c r="C556" s="34">
        <f t="shared" ref="C556:M556" si="116">C555*C554</f>
        <v>959395.69666666689</v>
      </c>
      <c r="D556" s="34">
        <f t="shared" si="116"/>
        <v>2152652.1012666668</v>
      </c>
      <c r="E556" s="34">
        <f t="shared" si="116"/>
        <v>2152652.1012666668</v>
      </c>
      <c r="F556" s="34">
        <f t="shared" si="116"/>
        <v>2302743.6166666662</v>
      </c>
      <c r="G556" s="34">
        <f t="shared" si="116"/>
        <v>1132699.0254066666</v>
      </c>
      <c r="H556" s="34">
        <f t="shared" si="116"/>
        <v>1626483.8466666662</v>
      </c>
      <c r="I556" s="34">
        <f t="shared" si="116"/>
        <v>3248122.4399266667</v>
      </c>
      <c r="J556" s="34">
        <f t="shared" si="116"/>
        <v>2711908.6466666665</v>
      </c>
      <c r="K556" s="34">
        <f t="shared" si="116"/>
        <v>1459420.7923666667</v>
      </c>
      <c r="L556" s="34">
        <f t="shared" si="116"/>
        <v>748792.74666666682</v>
      </c>
      <c r="M556" s="34">
        <f t="shared" si="116"/>
        <v>53930.256666666668</v>
      </c>
      <c r="N556" s="34"/>
      <c r="O556" s="34"/>
      <c r="P556" s="34">
        <f>P555*P554</f>
        <v>183262.74</v>
      </c>
    </row>
    <row r="557" spans="2:22">
      <c r="B557" s="15" t="s">
        <v>151</v>
      </c>
      <c r="C557" s="34">
        <v>0</v>
      </c>
      <c r="D557" s="54">
        <v>1409287.55</v>
      </c>
      <c r="E557" s="54">
        <v>1409287.55</v>
      </c>
      <c r="F557" s="34">
        <v>0</v>
      </c>
      <c r="G557" s="54">
        <v>786551.54</v>
      </c>
      <c r="H557" s="427">
        <v>0</v>
      </c>
      <c r="I557" s="54">
        <v>2039964.81</v>
      </c>
      <c r="J557" s="427">
        <v>0</v>
      </c>
      <c r="K557" s="54">
        <v>994122.7</v>
      </c>
      <c r="L557" s="11">
        <v>0</v>
      </c>
      <c r="M557" s="11">
        <v>0</v>
      </c>
      <c r="P557" s="11">
        <v>0</v>
      </c>
    </row>
    <row r="558" spans="2:22">
      <c r="B558" s="12" t="s">
        <v>152</v>
      </c>
      <c r="C558" s="34">
        <f t="shared" ref="C558:H558" si="117">C556-C557</f>
        <v>959395.69666666689</v>
      </c>
      <c r="D558" s="34">
        <f t="shared" si="117"/>
        <v>743364.55126666673</v>
      </c>
      <c r="E558" s="34">
        <f t="shared" si="117"/>
        <v>743364.55126666673</v>
      </c>
      <c r="F558" s="34">
        <f t="shared" si="117"/>
        <v>2302743.6166666662</v>
      </c>
      <c r="G558" s="34">
        <f t="shared" si="117"/>
        <v>346147.48540666653</v>
      </c>
      <c r="H558" s="427">
        <f t="shared" si="117"/>
        <v>1626483.8466666662</v>
      </c>
      <c r="I558" s="427">
        <f t="shared" ref="I558:P558" si="118">I556-I557</f>
        <v>1208157.6299266666</v>
      </c>
      <c r="J558" s="427">
        <f t="shared" si="118"/>
        <v>2711908.6466666665</v>
      </c>
      <c r="K558" s="427">
        <f t="shared" si="118"/>
        <v>465298.09236666677</v>
      </c>
      <c r="L558" s="427">
        <f t="shared" si="118"/>
        <v>748792.74666666682</v>
      </c>
      <c r="M558" s="427">
        <f t="shared" si="118"/>
        <v>53930.256666666668</v>
      </c>
      <c r="N558" s="427"/>
      <c r="O558" s="427"/>
      <c r="P558" s="427">
        <f t="shared" si="118"/>
        <v>183262.74</v>
      </c>
    </row>
    <row r="561" spans="2:17">
      <c r="C561" s="600" t="s">
        <v>1040</v>
      </c>
      <c r="D561" s="600"/>
      <c r="E561" s="600"/>
    </row>
    <row r="562" spans="2:17">
      <c r="B562" s="11" t="s">
        <v>178</v>
      </c>
      <c r="C562" s="437">
        <v>185</v>
      </c>
      <c r="D562" s="437">
        <v>186</v>
      </c>
      <c r="E562" s="437">
        <v>187</v>
      </c>
      <c r="F562" s="444">
        <v>190</v>
      </c>
      <c r="M562" s="55"/>
      <c r="N562" s="55"/>
      <c r="O562" s="55"/>
      <c r="P562" s="55"/>
      <c r="Q562" s="50"/>
    </row>
    <row r="563" spans="2:17">
      <c r="B563" s="11" t="s">
        <v>110</v>
      </c>
      <c r="C563" s="438">
        <v>500</v>
      </c>
      <c r="D563" s="438">
        <v>500</v>
      </c>
      <c r="E563" s="438">
        <v>500</v>
      </c>
      <c r="F563" s="445">
        <v>500</v>
      </c>
      <c r="K563" s="50"/>
      <c r="M563" s="34"/>
      <c r="N563" s="34"/>
      <c r="O563" s="34"/>
      <c r="P563" s="29"/>
      <c r="Q563" s="247"/>
    </row>
    <row r="564" spans="2:17" ht="24">
      <c r="C564" s="386" t="s">
        <v>1014</v>
      </c>
      <c r="D564" s="386" t="s">
        <v>1013</v>
      </c>
      <c r="E564" s="386" t="s">
        <v>1012</v>
      </c>
      <c r="F564" s="386" t="s">
        <v>1041</v>
      </c>
      <c r="K564" s="85"/>
      <c r="L564" s="15"/>
      <c r="M564" s="34"/>
      <c r="N564" s="34"/>
      <c r="O564" s="34"/>
    </row>
    <row r="565" spans="2:17">
      <c r="B565" s="15" t="s">
        <v>96</v>
      </c>
      <c r="C565" s="315">
        <v>19067.43</v>
      </c>
      <c r="D565" s="315">
        <v>6009.61</v>
      </c>
      <c r="E565" s="315">
        <v>5627.43</v>
      </c>
      <c r="F565" s="315">
        <v>725.78</v>
      </c>
      <c r="K565" s="33"/>
      <c r="L565" s="15"/>
      <c r="M565" s="34"/>
      <c r="N565" s="34"/>
      <c r="O565" s="34"/>
    </row>
    <row r="566" spans="2:17">
      <c r="B566" s="11" t="s">
        <v>147</v>
      </c>
      <c r="C566" s="34"/>
      <c r="D566" s="34"/>
      <c r="E566" s="34"/>
      <c r="F566" s="34"/>
      <c r="K566" s="15"/>
      <c r="L566" s="15"/>
      <c r="M566" s="34"/>
      <c r="N566" s="34"/>
      <c r="O566" s="34"/>
    </row>
    <row r="567" spans="2:17">
      <c r="B567" s="50" t="s">
        <v>362</v>
      </c>
      <c r="C567" s="85">
        <f>C565-C566</f>
        <v>19067.43</v>
      </c>
      <c r="D567" s="85">
        <f>D565-D566</f>
        <v>6009.61</v>
      </c>
      <c r="E567" s="85">
        <f>E565-E566</f>
        <v>5627.43</v>
      </c>
      <c r="F567" s="85">
        <f>F565-F566</f>
        <v>725.78</v>
      </c>
      <c r="K567" s="15"/>
      <c r="L567" s="15"/>
      <c r="M567" s="34"/>
      <c r="N567" s="34"/>
      <c r="O567" s="34"/>
    </row>
    <row r="568" spans="2:17">
      <c r="B568" s="15" t="s">
        <v>97</v>
      </c>
      <c r="C568" s="327">
        <v>28.6</v>
      </c>
      <c r="D568" s="327">
        <v>20</v>
      </c>
      <c r="E568" s="327">
        <v>20</v>
      </c>
      <c r="F568" s="327">
        <v>0</v>
      </c>
    </row>
    <row r="569" spans="2:17">
      <c r="B569" s="50" t="s">
        <v>148</v>
      </c>
      <c r="C569" s="51">
        <f>C567-C568</f>
        <v>19038.830000000002</v>
      </c>
      <c r="D569" s="51">
        <f>D567-D568</f>
        <v>5989.61</v>
      </c>
      <c r="E569" s="51">
        <f>E567-E568</f>
        <v>5607.43</v>
      </c>
      <c r="F569" s="51">
        <f>F567-F568</f>
        <v>725.78</v>
      </c>
    </row>
    <row r="570" spans="2:17">
      <c r="B570" s="15" t="s">
        <v>150</v>
      </c>
      <c r="C570" s="248">
        <v>0</v>
      </c>
      <c r="D570" s="248">
        <v>3536.59</v>
      </c>
      <c r="E570" s="248">
        <v>3306.17</v>
      </c>
      <c r="F570" s="248">
        <v>371.61</v>
      </c>
    </row>
    <row r="571" spans="2:17">
      <c r="B571" s="15" t="s">
        <v>99</v>
      </c>
      <c r="C571" s="34">
        <f>135</f>
        <v>135</v>
      </c>
      <c r="D571" s="34">
        <f>135</f>
        <v>135</v>
      </c>
      <c r="E571" s="34">
        <f>135</f>
        <v>135</v>
      </c>
      <c r="F571" s="34">
        <f>135</f>
        <v>135</v>
      </c>
    </row>
    <row r="572" spans="2:17">
      <c r="B572" s="47" t="s">
        <v>109</v>
      </c>
      <c r="C572" s="48">
        <f>C569-C570-C571</f>
        <v>18903.830000000002</v>
      </c>
      <c r="D572" s="48">
        <f>D569-D570-D571</f>
        <v>2318.0199999999995</v>
      </c>
      <c r="E572" s="48">
        <f>E569-E570-E571</f>
        <v>2166.2600000000002</v>
      </c>
      <c r="F572" s="48">
        <f>F569-F570-F571</f>
        <v>219.16999999999996</v>
      </c>
    </row>
    <row r="573" spans="2:17">
      <c r="B573" s="11" t="s">
        <v>153</v>
      </c>
      <c r="C573" s="34">
        <v>499</v>
      </c>
      <c r="D573" s="34">
        <f>$C$573</f>
        <v>499</v>
      </c>
      <c r="E573" s="34">
        <f>$C$573</f>
        <v>499</v>
      </c>
      <c r="F573" s="34">
        <f>$C$573</f>
        <v>499</v>
      </c>
    </row>
    <row r="574" spans="2:17">
      <c r="B574" s="47" t="s">
        <v>100</v>
      </c>
      <c r="C574" s="34">
        <f>C573*C572</f>
        <v>9433011.1700000018</v>
      </c>
      <c r="D574" s="34">
        <f>D573*D572</f>
        <v>1156691.9799999997</v>
      </c>
      <c r="E574" s="34">
        <f>E573*E572</f>
        <v>1080963.7400000002</v>
      </c>
      <c r="F574" s="34">
        <f>F573*F572</f>
        <v>109365.82999999997</v>
      </c>
    </row>
    <row r="575" spans="2:17">
      <c r="B575" s="15" t="s">
        <v>151</v>
      </c>
      <c r="C575" s="34">
        <v>4641955.3099999996</v>
      </c>
      <c r="D575" s="34">
        <v>0</v>
      </c>
      <c r="E575" s="34">
        <v>0</v>
      </c>
      <c r="F575" s="34">
        <v>0</v>
      </c>
    </row>
    <row r="576" spans="2:17">
      <c r="B576" s="12" t="s">
        <v>152</v>
      </c>
      <c r="C576" s="34">
        <f>C574-C575</f>
        <v>4791055.8600000022</v>
      </c>
      <c r="D576" s="34">
        <f>D574-D575</f>
        <v>1156691.9799999997</v>
      </c>
      <c r="E576" s="34">
        <f>E574-E575</f>
        <v>1080963.7400000002</v>
      </c>
      <c r="F576" s="34">
        <f>F574-F575</f>
        <v>109365.82999999997</v>
      </c>
    </row>
    <row r="579" spans="2:7">
      <c r="C579" s="600" t="s">
        <v>1074</v>
      </c>
      <c r="D579" s="600"/>
      <c r="E579" s="600"/>
    </row>
    <row r="581" spans="2:7">
      <c r="B581" s="11" t="s">
        <v>178</v>
      </c>
      <c r="C581" s="453">
        <v>191</v>
      </c>
      <c r="D581" s="461">
        <v>192</v>
      </c>
      <c r="E581" s="461">
        <v>193</v>
      </c>
    </row>
    <row r="582" spans="2:7">
      <c r="B582" s="11" t="s">
        <v>110</v>
      </c>
      <c r="C582" s="454">
        <v>500</v>
      </c>
      <c r="D582" s="462">
        <v>500</v>
      </c>
      <c r="E582" s="462">
        <v>500</v>
      </c>
    </row>
    <row r="583" spans="2:7">
      <c r="C583" s="386" t="s">
        <v>1075</v>
      </c>
      <c r="D583" s="386" t="s">
        <v>1118</v>
      </c>
      <c r="E583" s="386" t="s">
        <v>1119</v>
      </c>
    </row>
    <row r="584" spans="2:7">
      <c r="B584" s="15" t="s">
        <v>96</v>
      </c>
      <c r="C584" s="315">
        <v>8361</v>
      </c>
      <c r="D584" s="315">
        <v>17607.05</v>
      </c>
      <c r="E584" s="315">
        <v>7282.2</v>
      </c>
    </row>
    <row r="585" spans="2:7">
      <c r="B585" s="11" t="s">
        <v>147</v>
      </c>
      <c r="C585" s="34"/>
      <c r="D585" s="34"/>
      <c r="E585" s="34"/>
    </row>
    <row r="586" spans="2:7">
      <c r="B586" s="50" t="s">
        <v>362</v>
      </c>
      <c r="C586" s="85">
        <f>C584-C585</f>
        <v>8361</v>
      </c>
      <c r="D586" s="85">
        <f>D584-D585</f>
        <v>17607.05</v>
      </c>
      <c r="E586" s="85">
        <f>E584-E585</f>
        <v>7282.2</v>
      </c>
    </row>
    <row r="587" spans="2:7">
      <c r="B587" s="15" t="s">
        <v>97</v>
      </c>
      <c r="C587" s="327">
        <v>20</v>
      </c>
      <c r="D587" s="327">
        <v>26.41</v>
      </c>
      <c r="E587" s="327">
        <v>20</v>
      </c>
    </row>
    <row r="588" spans="2:7">
      <c r="B588" s="50" t="s">
        <v>148</v>
      </c>
      <c r="C588" s="51">
        <f>C586-C587</f>
        <v>8341</v>
      </c>
      <c r="D588" s="51">
        <f>D586-D587</f>
        <v>17580.64</v>
      </c>
      <c r="E588" s="51">
        <f>E586-E587</f>
        <v>7262.2</v>
      </c>
    </row>
    <row r="589" spans="2:7">
      <c r="B589" s="15" t="s">
        <v>150</v>
      </c>
      <c r="C589" s="248">
        <v>4734.88</v>
      </c>
      <c r="D589" s="468">
        <v>0</v>
      </c>
      <c r="E589" s="248">
        <v>1833.59</v>
      </c>
    </row>
    <row r="590" spans="2:7">
      <c r="B590" s="15" t="s">
        <v>99</v>
      </c>
      <c r="C590" s="34">
        <f>135</f>
        <v>135</v>
      </c>
      <c r="D590" s="34">
        <f>135</f>
        <v>135</v>
      </c>
      <c r="E590" s="34">
        <f>135</f>
        <v>135</v>
      </c>
    </row>
    <row r="591" spans="2:7">
      <c r="B591" s="47" t="s">
        <v>109</v>
      </c>
      <c r="C591" s="48">
        <f>C588-C589-C590</f>
        <v>3471.12</v>
      </c>
      <c r="D591" s="48">
        <f>D588-D589-D590</f>
        <v>17445.64</v>
      </c>
      <c r="E591" s="48">
        <f>E588-E589-E590</f>
        <v>5293.61</v>
      </c>
      <c r="G591" s="29">
        <f>SUM(C591:E591)</f>
        <v>26210.37</v>
      </c>
    </row>
    <row r="592" spans="2:7">
      <c r="B592" s="11" t="s">
        <v>153</v>
      </c>
      <c r="C592" s="34">
        <v>496</v>
      </c>
      <c r="D592" s="34">
        <f>$C$592</f>
        <v>496</v>
      </c>
      <c r="E592" s="34">
        <f>$C$592</f>
        <v>496</v>
      </c>
    </row>
    <row r="593" spans="2:21">
      <c r="B593" s="47" t="s">
        <v>100</v>
      </c>
      <c r="C593" s="34">
        <f>C592*C591</f>
        <v>1721675.52</v>
      </c>
      <c r="D593" s="34">
        <f>D592*D591</f>
        <v>8653037.4399999995</v>
      </c>
      <c r="E593" s="34">
        <f>E592*E591</f>
        <v>2625630.56</v>
      </c>
      <c r="G593" s="29">
        <f>SUM(C593:E593)</f>
        <v>13000343.52</v>
      </c>
      <c r="H593" s="29">
        <f>G593/496</f>
        <v>26210.37</v>
      </c>
      <c r="I593" s="29">
        <f>H593-G591</f>
        <v>0</v>
      </c>
    </row>
    <row r="594" spans="2:21">
      <c r="B594" s="15" t="s">
        <v>151</v>
      </c>
      <c r="C594" s="34">
        <v>0</v>
      </c>
      <c r="D594" s="54">
        <v>4641955.3099999996</v>
      </c>
      <c r="E594" s="34">
        <v>0</v>
      </c>
    </row>
    <row r="595" spans="2:21">
      <c r="B595" s="12" t="s">
        <v>152</v>
      </c>
      <c r="C595" s="34">
        <f>C593-C594</f>
        <v>1721675.52</v>
      </c>
      <c r="D595" s="34">
        <f>D593-D594</f>
        <v>4011082.13</v>
      </c>
      <c r="E595" s="34">
        <f>E593-E594</f>
        <v>2625630.56</v>
      </c>
    </row>
    <row r="598" spans="2:21">
      <c r="B598" s="601" t="s">
        <v>1126</v>
      </c>
      <c r="C598" s="601"/>
      <c r="D598" s="601"/>
      <c r="E598" s="601"/>
      <c r="F598" s="601"/>
      <c r="G598" s="601"/>
      <c r="H598" s="601"/>
      <c r="I598" s="601"/>
      <c r="J598" s="601"/>
      <c r="K598" s="601"/>
      <c r="L598" s="601"/>
    </row>
    <row r="600" spans="2:21">
      <c r="B600" s="11" t="s">
        <v>178</v>
      </c>
      <c r="C600" s="391">
        <v>194</v>
      </c>
      <c r="D600" s="391">
        <v>194</v>
      </c>
      <c r="E600" s="391">
        <v>194</v>
      </c>
      <c r="F600" s="391">
        <v>194</v>
      </c>
      <c r="G600" s="391">
        <v>194</v>
      </c>
      <c r="H600" s="391">
        <v>194</v>
      </c>
      <c r="I600" s="391">
        <v>194</v>
      </c>
      <c r="J600" s="391">
        <v>194</v>
      </c>
      <c r="K600" s="391">
        <v>194</v>
      </c>
      <c r="L600" s="391">
        <v>194</v>
      </c>
      <c r="M600" s="391">
        <v>194</v>
      </c>
      <c r="N600" s="391"/>
      <c r="O600" s="391"/>
    </row>
    <row r="601" spans="2:21">
      <c r="B601" s="11" t="s">
        <v>110</v>
      </c>
      <c r="C601" s="11">
        <v>500</v>
      </c>
      <c r="D601" s="11">
        <v>500</v>
      </c>
      <c r="E601" s="11">
        <v>500</v>
      </c>
      <c r="F601" s="11">
        <v>500</v>
      </c>
      <c r="G601" s="11">
        <v>500</v>
      </c>
      <c r="H601" s="11">
        <v>500</v>
      </c>
      <c r="I601" s="11">
        <v>500</v>
      </c>
      <c r="J601" s="11">
        <v>500</v>
      </c>
      <c r="K601" s="11">
        <v>500</v>
      </c>
      <c r="L601" s="11">
        <v>500</v>
      </c>
      <c r="M601" s="11">
        <v>500</v>
      </c>
    </row>
    <row r="602" spans="2:21" ht="36">
      <c r="C602" s="415" t="s">
        <v>107</v>
      </c>
      <c r="D602" s="415" t="s">
        <v>179</v>
      </c>
      <c r="E602" s="415" t="s">
        <v>202</v>
      </c>
      <c r="F602" s="415" t="s">
        <v>181</v>
      </c>
      <c r="G602" s="415" t="s">
        <v>337</v>
      </c>
      <c r="H602" s="386" t="s">
        <v>744</v>
      </c>
      <c r="I602" s="386" t="s">
        <v>946</v>
      </c>
      <c r="J602" s="386" t="s">
        <v>947</v>
      </c>
      <c r="K602" s="386" t="s">
        <v>1005</v>
      </c>
      <c r="L602" s="386" t="s">
        <v>1006</v>
      </c>
      <c r="M602" s="386" t="s">
        <v>1123</v>
      </c>
      <c r="N602" s="386"/>
      <c r="O602" s="386"/>
      <c r="S602" s="55" t="s">
        <v>334</v>
      </c>
      <c r="T602" s="55" t="s">
        <v>335</v>
      </c>
      <c r="U602" s="50" t="s">
        <v>336</v>
      </c>
    </row>
    <row r="603" spans="2:21">
      <c r="B603" s="15" t="s">
        <v>96</v>
      </c>
      <c r="C603" s="315">
        <v>5479.59</v>
      </c>
      <c r="D603" s="315">
        <v>4452.2654000000002</v>
      </c>
      <c r="E603" s="315">
        <v>4452.2654000000002</v>
      </c>
      <c r="F603" s="315">
        <v>11424.32</v>
      </c>
      <c r="G603" s="314">
        <v>2408.27126</v>
      </c>
      <c r="H603" s="355">
        <v>8458.5499999999993</v>
      </c>
      <c r="I603" s="355">
        <v>6647.59674</v>
      </c>
      <c r="J603" s="355">
        <v>15155.880000000001</v>
      </c>
      <c r="K603" s="315">
        <v>3123.1524800000007</v>
      </c>
      <c r="L603" s="315">
        <v>12224.82</v>
      </c>
      <c r="M603" s="315">
        <v>2713.4</v>
      </c>
      <c r="N603" s="315"/>
      <c r="O603" s="315"/>
      <c r="Q603" s="50" t="s">
        <v>419</v>
      </c>
      <c r="S603" s="32">
        <f>SUM(C603:M603)</f>
        <v>76540.111280000012</v>
      </c>
      <c r="T603" s="29">
        <f>SUM(C605:M605)</f>
        <v>76540.111280000012</v>
      </c>
      <c r="U603" s="247">
        <f>T603-S603</f>
        <v>0</v>
      </c>
    </row>
    <row r="604" spans="2:21">
      <c r="B604" s="11" t="s">
        <v>147</v>
      </c>
      <c r="C604" s="34"/>
      <c r="D604" s="34"/>
      <c r="E604" s="34"/>
      <c r="F604" s="34"/>
      <c r="G604" s="34"/>
      <c r="H604" s="427"/>
      <c r="I604" s="427"/>
      <c r="J604" s="427"/>
      <c r="Q604" s="51">
        <f>SUM(D604:H604)</f>
        <v>0</v>
      </c>
    </row>
    <row r="605" spans="2:21">
      <c r="B605" s="50" t="s">
        <v>362</v>
      </c>
      <c r="C605" s="85">
        <f t="shared" ref="C605:M605" si="119">C603-C604</f>
        <v>5479.59</v>
      </c>
      <c r="D605" s="85">
        <f>D603-D604</f>
        <v>4452.2654000000002</v>
      </c>
      <c r="E605" s="85">
        <f t="shared" si="119"/>
        <v>4452.2654000000002</v>
      </c>
      <c r="F605" s="85">
        <f t="shared" si="119"/>
        <v>11424.32</v>
      </c>
      <c r="G605" s="85">
        <f t="shared" si="119"/>
        <v>2408.27126</v>
      </c>
      <c r="H605" s="428">
        <f t="shared" si="119"/>
        <v>8458.5499999999993</v>
      </c>
      <c r="I605" s="428">
        <f t="shared" si="119"/>
        <v>6647.59674</v>
      </c>
      <c r="J605" s="428">
        <f t="shared" si="119"/>
        <v>15155.880000000001</v>
      </c>
      <c r="K605" s="428">
        <f t="shared" si="119"/>
        <v>3123.1524800000007</v>
      </c>
      <c r="L605" s="428">
        <f t="shared" si="119"/>
        <v>12224.82</v>
      </c>
      <c r="M605" s="428">
        <f t="shared" si="119"/>
        <v>2713.4</v>
      </c>
      <c r="N605" s="428"/>
      <c r="O605" s="428"/>
      <c r="Q605" s="50" t="s">
        <v>420</v>
      </c>
      <c r="S605" s="32">
        <f>SUM(C606:M606)</f>
        <v>39.999999999999993</v>
      </c>
    </row>
    <row r="606" spans="2:21">
      <c r="B606" s="15" t="s">
        <v>97</v>
      </c>
      <c r="C606" s="327">
        <f>40/11</f>
        <v>3.6363636363636362</v>
      </c>
      <c r="D606" s="327">
        <f t="shared" ref="D606:M606" si="120">40/11</f>
        <v>3.6363636363636362</v>
      </c>
      <c r="E606" s="327">
        <f t="shared" si="120"/>
        <v>3.6363636363636362</v>
      </c>
      <c r="F606" s="327">
        <f t="shared" si="120"/>
        <v>3.6363636363636362</v>
      </c>
      <c r="G606" s="327">
        <f t="shared" si="120"/>
        <v>3.6363636363636362</v>
      </c>
      <c r="H606" s="327">
        <f t="shared" si="120"/>
        <v>3.6363636363636362</v>
      </c>
      <c r="I606" s="327">
        <f t="shared" si="120"/>
        <v>3.6363636363636362</v>
      </c>
      <c r="J606" s="327">
        <f t="shared" si="120"/>
        <v>3.6363636363636362</v>
      </c>
      <c r="K606" s="327">
        <f t="shared" si="120"/>
        <v>3.6363636363636362</v>
      </c>
      <c r="L606" s="327">
        <f t="shared" si="120"/>
        <v>3.6363636363636362</v>
      </c>
      <c r="M606" s="327">
        <f t="shared" si="120"/>
        <v>3.6363636363636362</v>
      </c>
      <c r="N606" s="327"/>
      <c r="O606" s="327"/>
      <c r="S606" s="34">
        <f>'BAC SAN JOSE USD'!E422</f>
        <v>0</v>
      </c>
    </row>
    <row r="607" spans="2:21">
      <c r="B607" s="50" t="s">
        <v>148</v>
      </c>
      <c r="C607" s="51">
        <f t="shared" ref="C607:M607" si="121">C605-C606</f>
        <v>5475.9536363636362</v>
      </c>
      <c r="D607" s="51">
        <f t="shared" si="121"/>
        <v>4448.6290363636363</v>
      </c>
      <c r="E607" s="51">
        <f t="shared" si="121"/>
        <v>4448.6290363636363</v>
      </c>
      <c r="F607" s="51">
        <f t="shared" si="121"/>
        <v>11420.683636363636</v>
      </c>
      <c r="G607" s="51">
        <f t="shared" si="121"/>
        <v>2404.6348963636365</v>
      </c>
      <c r="H607" s="51">
        <f t="shared" si="121"/>
        <v>8454.9136363636353</v>
      </c>
      <c r="I607" s="51">
        <f t="shared" si="121"/>
        <v>6643.960376363636</v>
      </c>
      <c r="J607" s="51">
        <f t="shared" si="121"/>
        <v>15152.243636363637</v>
      </c>
      <c r="K607" s="51">
        <f t="shared" si="121"/>
        <v>3119.5161163636371</v>
      </c>
      <c r="L607" s="51">
        <f t="shared" si="121"/>
        <v>12221.183636363636</v>
      </c>
      <c r="M607" s="51">
        <f t="shared" si="121"/>
        <v>2709.7636363636366</v>
      </c>
      <c r="N607" s="51"/>
      <c r="O607" s="51"/>
      <c r="S607" s="29"/>
    </row>
    <row r="608" spans="2:21">
      <c r="B608" s="15" t="s">
        <v>150</v>
      </c>
      <c r="C608" s="248">
        <v>3418.62</v>
      </c>
      <c r="D608" s="34"/>
      <c r="F608" s="248">
        <v>6671.27</v>
      </c>
      <c r="G608" s="34"/>
      <c r="H608" s="430">
        <v>5060.7299999999996</v>
      </c>
      <c r="I608" s="432"/>
      <c r="J608" s="430">
        <v>7566.77</v>
      </c>
      <c r="L608" s="430">
        <v>7105.74</v>
      </c>
    </row>
    <row r="609" spans="2:21">
      <c r="B609" s="15" t="s">
        <v>99</v>
      </c>
      <c r="C609" s="34">
        <f>135</f>
        <v>135</v>
      </c>
      <c r="D609" s="34">
        <f>135</f>
        <v>135</v>
      </c>
      <c r="E609" s="34">
        <f>135</f>
        <v>135</v>
      </c>
      <c r="F609" s="34">
        <f>135</f>
        <v>135</v>
      </c>
      <c r="G609" s="34">
        <f>135</f>
        <v>135</v>
      </c>
      <c r="H609" s="34">
        <f>135</f>
        <v>135</v>
      </c>
      <c r="I609" s="34">
        <f>135</f>
        <v>135</v>
      </c>
      <c r="J609" s="34">
        <f>135</f>
        <v>135</v>
      </c>
      <c r="K609" s="34">
        <f>135</f>
        <v>135</v>
      </c>
      <c r="L609" s="34">
        <f>135</f>
        <v>135</v>
      </c>
      <c r="M609" s="34">
        <f>135</f>
        <v>135</v>
      </c>
      <c r="N609" s="34"/>
      <c r="O609" s="34"/>
    </row>
    <row r="610" spans="2:21">
      <c r="B610" s="47" t="s">
        <v>109</v>
      </c>
      <c r="C610" s="48">
        <f t="shared" ref="C610:M610" si="122">C607-C608-C609</f>
        <v>1922.3336363636363</v>
      </c>
      <c r="D610" s="48">
        <f t="shared" si="122"/>
        <v>4313.6290363636363</v>
      </c>
      <c r="E610" s="48">
        <f t="shared" si="122"/>
        <v>4313.6290363636363</v>
      </c>
      <c r="F610" s="48">
        <f t="shared" si="122"/>
        <v>4614.4136363636353</v>
      </c>
      <c r="G610" s="48">
        <f t="shared" si="122"/>
        <v>2269.6348963636365</v>
      </c>
      <c r="H610" s="48">
        <f t="shared" si="122"/>
        <v>3259.1836363636357</v>
      </c>
      <c r="I610" s="48">
        <f t="shared" si="122"/>
        <v>6508.960376363636</v>
      </c>
      <c r="J610" s="48">
        <f t="shared" si="122"/>
        <v>7450.4736363636366</v>
      </c>
      <c r="K610" s="48">
        <f t="shared" si="122"/>
        <v>2984.5161163636371</v>
      </c>
      <c r="L610" s="48">
        <f t="shared" si="122"/>
        <v>4980.443636363636</v>
      </c>
      <c r="M610" s="48">
        <f t="shared" si="122"/>
        <v>2574.7636363636366</v>
      </c>
      <c r="N610" s="48"/>
      <c r="O610" s="48"/>
      <c r="Q610" s="29">
        <f>SUM(C610:M610)</f>
        <v>45191.98128</v>
      </c>
    </row>
    <row r="611" spans="2:21">
      <c r="B611" s="11" t="s">
        <v>153</v>
      </c>
      <c r="C611" s="34">
        <v>496</v>
      </c>
      <c r="D611" s="34">
        <f>$C$611</f>
        <v>496</v>
      </c>
      <c r="E611" s="34">
        <f t="shared" ref="E611:M611" si="123">$C$611</f>
        <v>496</v>
      </c>
      <c r="F611" s="34">
        <f t="shared" si="123"/>
        <v>496</v>
      </c>
      <c r="G611" s="34">
        <f t="shared" si="123"/>
        <v>496</v>
      </c>
      <c r="H611" s="34">
        <f t="shared" si="123"/>
        <v>496</v>
      </c>
      <c r="I611" s="34">
        <f t="shared" si="123"/>
        <v>496</v>
      </c>
      <c r="J611" s="34">
        <f t="shared" si="123"/>
        <v>496</v>
      </c>
      <c r="K611" s="34">
        <f t="shared" si="123"/>
        <v>496</v>
      </c>
      <c r="L611" s="34">
        <f t="shared" si="123"/>
        <v>496</v>
      </c>
      <c r="M611" s="34">
        <f t="shared" si="123"/>
        <v>496</v>
      </c>
      <c r="N611" s="34"/>
      <c r="O611" s="34"/>
    </row>
    <row r="612" spans="2:21">
      <c r="B612" s="47" t="s">
        <v>100</v>
      </c>
      <c r="C612" s="34">
        <f t="shared" ref="C612:M612" si="124">C611*C610</f>
        <v>953477.48363636364</v>
      </c>
      <c r="D612" s="34">
        <f t="shared" si="124"/>
        <v>2139560.0020363638</v>
      </c>
      <c r="E612" s="34">
        <f t="shared" si="124"/>
        <v>2139560.0020363638</v>
      </c>
      <c r="F612" s="34">
        <f t="shared" si="124"/>
        <v>2288749.1636363631</v>
      </c>
      <c r="G612" s="34">
        <f t="shared" si="124"/>
        <v>1125738.9085963636</v>
      </c>
      <c r="H612" s="34">
        <f t="shared" si="124"/>
        <v>1616555.0836363633</v>
      </c>
      <c r="I612" s="34">
        <f t="shared" si="124"/>
        <v>3228444.3466763636</v>
      </c>
      <c r="J612" s="34">
        <f t="shared" si="124"/>
        <v>3695434.9236363638</v>
      </c>
      <c r="K612" s="34">
        <f t="shared" si="124"/>
        <v>1480319.993716364</v>
      </c>
      <c r="L612" s="34">
        <f t="shared" si="124"/>
        <v>2470300.0436363635</v>
      </c>
      <c r="M612" s="34">
        <f t="shared" si="124"/>
        <v>1277082.7636363637</v>
      </c>
      <c r="N612" s="34"/>
      <c r="O612" s="34"/>
      <c r="Q612" s="29">
        <f>SUM(C612:M612)</f>
        <v>22415222.714879997</v>
      </c>
      <c r="R612" s="29">
        <f>Q612/496</f>
        <v>45191.981279999993</v>
      </c>
      <c r="S612" s="29">
        <f>+R612-Q610</f>
        <v>0</v>
      </c>
    </row>
    <row r="613" spans="2:21">
      <c r="B613" s="15" t="s">
        <v>151</v>
      </c>
      <c r="C613" s="34">
        <v>0</v>
      </c>
      <c r="D613" s="54">
        <v>1409287.55</v>
      </c>
      <c r="E613" s="54">
        <v>1409287.55</v>
      </c>
      <c r="F613" s="34">
        <v>0</v>
      </c>
      <c r="G613" s="54">
        <v>786551.54</v>
      </c>
      <c r="H613" s="427">
        <v>0</v>
      </c>
      <c r="I613" s="54">
        <v>2039964.81</v>
      </c>
      <c r="J613" s="427">
        <v>0</v>
      </c>
      <c r="K613" s="54">
        <v>994122.7</v>
      </c>
      <c r="L613" s="427">
        <v>0</v>
      </c>
      <c r="M613" s="54">
        <v>885500.1</v>
      </c>
      <c r="N613" s="54"/>
      <c r="O613" s="54"/>
      <c r="Q613" s="29">
        <f>G593</f>
        <v>13000343.52</v>
      </c>
      <c r="R613" s="29">
        <f>+H593</f>
        <v>26210.37</v>
      </c>
    </row>
    <row r="614" spans="2:21">
      <c r="B614" s="12" t="s">
        <v>152</v>
      </c>
      <c r="C614" s="34">
        <f t="shared" ref="C614:M614" si="125">C612-C613</f>
        <v>953477.48363636364</v>
      </c>
      <c r="D614" s="34">
        <f t="shared" si="125"/>
        <v>730272.45203636377</v>
      </c>
      <c r="E614" s="34">
        <f t="shared" si="125"/>
        <v>730272.45203636377</v>
      </c>
      <c r="F614" s="34">
        <f t="shared" si="125"/>
        <v>2288749.1636363631</v>
      </c>
      <c r="G614" s="34">
        <f t="shared" si="125"/>
        <v>339187.36859636358</v>
      </c>
      <c r="H614" s="427">
        <f t="shared" si="125"/>
        <v>1616555.0836363633</v>
      </c>
      <c r="I614" s="427">
        <f t="shared" si="125"/>
        <v>1188479.5366763636</v>
      </c>
      <c r="J614" s="427">
        <f t="shared" si="125"/>
        <v>3695434.9236363638</v>
      </c>
      <c r="K614" s="427">
        <f t="shared" si="125"/>
        <v>486197.29371636407</v>
      </c>
      <c r="L614" s="427">
        <f t="shared" si="125"/>
        <v>2470300.0436363635</v>
      </c>
      <c r="M614" s="427">
        <f t="shared" si="125"/>
        <v>391582.66363636369</v>
      </c>
      <c r="N614" s="427"/>
      <c r="O614" s="427"/>
      <c r="Q614" s="51">
        <f>SUM(Q612:Q613)</f>
        <v>35415566.23488</v>
      </c>
      <c r="R614" s="51">
        <f>SUM(R612:R613)</f>
        <v>71402.351279999988</v>
      </c>
    </row>
    <row r="617" spans="2:21">
      <c r="B617" s="601" t="s">
        <v>1191</v>
      </c>
      <c r="C617" s="601"/>
      <c r="D617" s="601"/>
      <c r="E617" s="601"/>
      <c r="F617" s="601"/>
      <c r="G617" s="601"/>
      <c r="H617" s="601"/>
      <c r="I617" s="601"/>
      <c r="J617" s="601"/>
      <c r="K617" s="601"/>
      <c r="L617" s="601"/>
    </row>
    <row r="618" spans="2:21">
      <c r="B618" s="11" t="s">
        <v>178</v>
      </c>
      <c r="C618" s="391">
        <v>197</v>
      </c>
      <c r="D618" s="391">
        <v>197</v>
      </c>
      <c r="E618" s="391">
        <v>197</v>
      </c>
      <c r="F618" s="391">
        <v>197</v>
      </c>
      <c r="G618" s="391">
        <v>197</v>
      </c>
      <c r="H618" s="391">
        <v>197</v>
      </c>
      <c r="I618" s="391">
        <v>197</v>
      </c>
      <c r="J618" s="391">
        <v>197</v>
      </c>
      <c r="K618" s="391">
        <v>197</v>
      </c>
      <c r="L618" s="391">
        <v>197</v>
      </c>
      <c r="M618" s="391">
        <v>197</v>
      </c>
      <c r="N618" s="391"/>
      <c r="O618" s="391"/>
      <c r="P618" s="391">
        <v>196</v>
      </c>
      <c r="S618" s="55" t="s">
        <v>334</v>
      </c>
      <c r="T618" s="55" t="s">
        <v>335</v>
      </c>
      <c r="U618" s="50" t="s">
        <v>336</v>
      </c>
    </row>
    <row r="619" spans="2:21">
      <c r="B619" s="11" t="s">
        <v>110</v>
      </c>
      <c r="C619" s="11">
        <v>499</v>
      </c>
      <c r="D619" s="11">
        <v>499</v>
      </c>
      <c r="E619" s="11">
        <v>499</v>
      </c>
      <c r="F619" s="11">
        <v>499</v>
      </c>
      <c r="G619" s="11">
        <v>499</v>
      </c>
      <c r="H619" s="11">
        <v>499</v>
      </c>
      <c r="I619" s="11">
        <v>499</v>
      </c>
      <c r="J619" s="11">
        <v>499</v>
      </c>
      <c r="K619" s="11">
        <v>499</v>
      </c>
      <c r="L619" s="11">
        <v>499</v>
      </c>
      <c r="M619" s="11">
        <v>499</v>
      </c>
      <c r="P619" s="11">
        <v>499</v>
      </c>
      <c r="S619" s="32">
        <f>'FLUJO CAJA OCTUBRE 2025'!E14</f>
        <v>75810.38</v>
      </c>
      <c r="T619" s="29">
        <f>SUM(C621:M621)</f>
        <v>75810.378316633272</v>
      </c>
      <c r="U619" s="247">
        <f>T619-S619</f>
        <v>-1.6833667323226109E-3</v>
      </c>
    </row>
    <row r="620" spans="2:21" ht="36">
      <c r="C620" s="415" t="s">
        <v>107</v>
      </c>
      <c r="D620" s="415" t="s">
        <v>179</v>
      </c>
      <c r="E620" s="415" t="s">
        <v>202</v>
      </c>
      <c r="F620" s="415" t="s">
        <v>181</v>
      </c>
      <c r="G620" s="415" t="s">
        <v>337</v>
      </c>
      <c r="H620" s="386" t="s">
        <v>744</v>
      </c>
      <c r="I620" s="386" t="s">
        <v>946</v>
      </c>
      <c r="J620" s="386" t="s">
        <v>947</v>
      </c>
      <c r="K620" s="386" t="s">
        <v>1005</v>
      </c>
      <c r="L620" s="386" t="s">
        <v>1006</v>
      </c>
      <c r="M620" s="386" t="s">
        <v>1123</v>
      </c>
      <c r="N620" s="386"/>
      <c r="O620" s="386"/>
      <c r="P620" s="386" t="s">
        <v>1192</v>
      </c>
    </row>
    <row r="621" spans="2:21">
      <c r="B621" s="15" t="s">
        <v>96</v>
      </c>
      <c r="C621" s="315">
        <v>5480.01</v>
      </c>
      <c r="D621" s="315">
        <v>4460.8671342685375</v>
      </c>
      <c r="E621" s="315">
        <v>4460.8671342685375</v>
      </c>
      <c r="F621" s="315">
        <v>11424.32</v>
      </c>
      <c r="G621" s="314">
        <v>2412.7768136272543</v>
      </c>
      <c r="H621" s="355">
        <v>8458.5499999999993</v>
      </c>
      <c r="I621" s="355">
        <v>6660.5982164328652</v>
      </c>
      <c r="J621" s="355">
        <v>13140.21</v>
      </c>
      <c r="K621" s="315">
        <v>3068.8419839679359</v>
      </c>
      <c r="L621" s="315">
        <v>13524.82</v>
      </c>
      <c r="M621" s="315">
        <v>2718.5170340681361</v>
      </c>
      <c r="N621" s="315"/>
      <c r="O621" s="315"/>
      <c r="P621" s="315">
        <v>5220.7466933867736</v>
      </c>
    </row>
    <row r="622" spans="2:21">
      <c r="B622" s="11" t="s">
        <v>147</v>
      </c>
      <c r="C622" s="34"/>
      <c r="D622" s="34"/>
      <c r="E622" s="34"/>
      <c r="F622" s="34"/>
      <c r="G622" s="34"/>
      <c r="H622" s="427"/>
      <c r="I622" s="427"/>
      <c r="J622" s="427"/>
    </row>
    <row r="623" spans="2:21">
      <c r="B623" s="50" t="s">
        <v>362</v>
      </c>
      <c r="C623" s="85">
        <f>C621-C622</f>
        <v>5480.01</v>
      </c>
      <c r="D623" s="85">
        <f>D621-D622</f>
        <v>4460.8671342685375</v>
      </c>
      <c r="E623" s="85">
        <f t="shared" ref="E623:P623" si="126">E621-E622</f>
        <v>4460.8671342685375</v>
      </c>
      <c r="F623" s="85">
        <f t="shared" si="126"/>
        <v>11424.32</v>
      </c>
      <c r="G623" s="85">
        <f t="shared" si="126"/>
        <v>2412.7768136272543</v>
      </c>
      <c r="H623" s="428">
        <f t="shared" si="126"/>
        <v>8458.5499999999993</v>
      </c>
      <c r="I623" s="428">
        <f t="shared" si="126"/>
        <v>6660.5982164328652</v>
      </c>
      <c r="J623" s="428">
        <f t="shared" si="126"/>
        <v>13140.21</v>
      </c>
      <c r="K623" s="428">
        <f t="shared" si="126"/>
        <v>3068.8419839679359</v>
      </c>
      <c r="L623" s="428">
        <f t="shared" si="126"/>
        <v>13524.82</v>
      </c>
      <c r="M623" s="428">
        <f t="shared" si="126"/>
        <v>2718.5170340681361</v>
      </c>
      <c r="N623" s="428"/>
      <c r="O623" s="428"/>
      <c r="P623" s="428">
        <f t="shared" si="126"/>
        <v>5220.7466933867736</v>
      </c>
    </row>
    <row r="624" spans="2:21">
      <c r="B624" s="15" t="s">
        <v>97</v>
      </c>
      <c r="C624" s="327">
        <f>40/11</f>
        <v>3.6363636363636362</v>
      </c>
      <c r="D624" s="327">
        <f t="shared" ref="D624:M624" si="127">40/11</f>
        <v>3.6363636363636362</v>
      </c>
      <c r="E624" s="327">
        <f t="shared" si="127"/>
        <v>3.6363636363636362</v>
      </c>
      <c r="F624" s="327">
        <f t="shared" si="127"/>
        <v>3.6363636363636362</v>
      </c>
      <c r="G624" s="327">
        <f t="shared" si="127"/>
        <v>3.6363636363636362</v>
      </c>
      <c r="H624" s="327">
        <f t="shared" si="127"/>
        <v>3.6363636363636362</v>
      </c>
      <c r="I624" s="327">
        <f t="shared" si="127"/>
        <v>3.6363636363636362</v>
      </c>
      <c r="J624" s="327">
        <f t="shared" si="127"/>
        <v>3.6363636363636362</v>
      </c>
      <c r="K624" s="327">
        <f t="shared" si="127"/>
        <v>3.6363636363636362</v>
      </c>
      <c r="L624" s="327">
        <f t="shared" si="127"/>
        <v>3.6363636363636362</v>
      </c>
      <c r="M624" s="327">
        <f t="shared" si="127"/>
        <v>3.6363636363636362</v>
      </c>
      <c r="N624" s="327"/>
      <c r="O624" s="327"/>
      <c r="P624" s="327">
        <v>20</v>
      </c>
    </row>
    <row r="625" spans="2:19">
      <c r="B625" s="50" t="s">
        <v>148</v>
      </c>
      <c r="C625" s="51">
        <f t="shared" ref="C625:P625" si="128">C623-C624</f>
        <v>5476.3736363636363</v>
      </c>
      <c r="D625" s="51">
        <f t="shared" si="128"/>
        <v>4457.2307706321735</v>
      </c>
      <c r="E625" s="51">
        <f t="shared" si="128"/>
        <v>4457.2307706321735</v>
      </c>
      <c r="F625" s="51">
        <f t="shared" si="128"/>
        <v>11420.683636363636</v>
      </c>
      <c r="G625" s="51">
        <f t="shared" si="128"/>
        <v>2409.1404499908908</v>
      </c>
      <c r="H625" s="51">
        <f t="shared" si="128"/>
        <v>8454.9136363636353</v>
      </c>
      <c r="I625" s="51">
        <f t="shared" si="128"/>
        <v>6656.9618527965013</v>
      </c>
      <c r="J625" s="51">
        <f t="shared" si="128"/>
        <v>13136.573636363635</v>
      </c>
      <c r="K625" s="51">
        <f t="shared" si="128"/>
        <v>3065.2056203315724</v>
      </c>
      <c r="L625" s="51">
        <f t="shared" si="128"/>
        <v>13521.183636363636</v>
      </c>
      <c r="M625" s="51">
        <f t="shared" si="128"/>
        <v>2714.8806704317726</v>
      </c>
      <c r="N625" s="51"/>
      <c r="O625" s="51"/>
      <c r="P625" s="51">
        <f t="shared" si="128"/>
        <v>5200.7466933867736</v>
      </c>
    </row>
    <row r="626" spans="2:19">
      <c r="B626" s="15" t="s">
        <v>150</v>
      </c>
      <c r="C626" s="248">
        <v>3421.04</v>
      </c>
      <c r="D626" s="34"/>
      <c r="F626" s="248">
        <v>6675.01</v>
      </c>
      <c r="G626" s="34"/>
      <c r="H626" s="430">
        <v>5064.47</v>
      </c>
      <c r="I626" s="432"/>
      <c r="J626" s="430">
        <v>7573.9</v>
      </c>
      <c r="L626" s="430">
        <v>7109.7</v>
      </c>
    </row>
    <row r="627" spans="2:19">
      <c r="B627" s="15" t="s">
        <v>99</v>
      </c>
      <c r="C627" s="34">
        <f>135</f>
        <v>135</v>
      </c>
      <c r="D627" s="34">
        <f>135</f>
        <v>135</v>
      </c>
      <c r="E627" s="34">
        <f>135</f>
        <v>135</v>
      </c>
      <c r="F627" s="34">
        <f>135</f>
        <v>135</v>
      </c>
      <c r="G627" s="34">
        <f>135</f>
        <v>135</v>
      </c>
      <c r="H627" s="34">
        <f>135</f>
        <v>135</v>
      </c>
      <c r="I627" s="34">
        <f>135</f>
        <v>135</v>
      </c>
      <c r="J627" s="34">
        <f>135</f>
        <v>135</v>
      </c>
      <c r="K627" s="34">
        <f>135</f>
        <v>135</v>
      </c>
      <c r="L627" s="34">
        <f>135</f>
        <v>135</v>
      </c>
      <c r="M627" s="34">
        <f>135</f>
        <v>135</v>
      </c>
      <c r="N627" s="34"/>
      <c r="O627" s="34"/>
      <c r="P627" s="34">
        <f>135</f>
        <v>135</v>
      </c>
    </row>
    <row r="628" spans="2:19">
      <c r="B628" s="47" t="s">
        <v>109</v>
      </c>
      <c r="C628" s="48">
        <f t="shared" ref="C628:P628" si="129">C625-C626-C627</f>
        <v>1920.3336363636363</v>
      </c>
      <c r="D628" s="48">
        <f t="shared" si="129"/>
        <v>4322.2307706321735</v>
      </c>
      <c r="E628" s="48">
        <f t="shared" si="129"/>
        <v>4322.2307706321735</v>
      </c>
      <c r="F628" s="48">
        <f t="shared" si="129"/>
        <v>4610.6736363636355</v>
      </c>
      <c r="G628" s="48">
        <f t="shared" si="129"/>
        <v>2274.1404499908908</v>
      </c>
      <c r="H628" s="48">
        <f t="shared" si="129"/>
        <v>3255.4436363636351</v>
      </c>
      <c r="I628" s="48">
        <f t="shared" si="129"/>
        <v>6521.9618527965013</v>
      </c>
      <c r="J628" s="48">
        <f t="shared" si="129"/>
        <v>5427.6736363636355</v>
      </c>
      <c r="K628" s="48">
        <f t="shared" si="129"/>
        <v>2930.2056203315724</v>
      </c>
      <c r="L628" s="48">
        <f t="shared" si="129"/>
        <v>6276.4836363636359</v>
      </c>
      <c r="M628" s="48">
        <f t="shared" si="129"/>
        <v>2579.8806704317726</v>
      </c>
      <c r="N628" s="48"/>
      <c r="O628" s="48"/>
      <c r="P628" s="48">
        <f t="shared" si="129"/>
        <v>5065.7466933867736</v>
      </c>
    </row>
    <row r="629" spans="2:19">
      <c r="B629" s="11" t="s">
        <v>153</v>
      </c>
      <c r="C629" s="34">
        <v>495</v>
      </c>
      <c r="D629" s="34">
        <f>$C$629</f>
        <v>495</v>
      </c>
      <c r="E629" s="34">
        <f t="shared" ref="E629:P629" si="130">$C$629</f>
        <v>495</v>
      </c>
      <c r="F629" s="34">
        <f t="shared" si="130"/>
        <v>495</v>
      </c>
      <c r="G629" s="34">
        <f t="shared" si="130"/>
        <v>495</v>
      </c>
      <c r="H629" s="34">
        <f t="shared" si="130"/>
        <v>495</v>
      </c>
      <c r="I629" s="34">
        <f t="shared" si="130"/>
        <v>495</v>
      </c>
      <c r="J629" s="34">
        <f t="shared" si="130"/>
        <v>495</v>
      </c>
      <c r="K629" s="34">
        <f t="shared" si="130"/>
        <v>495</v>
      </c>
      <c r="L629" s="34">
        <f t="shared" si="130"/>
        <v>495</v>
      </c>
      <c r="M629" s="34">
        <f t="shared" si="130"/>
        <v>495</v>
      </c>
      <c r="N629" s="34"/>
      <c r="O629" s="34"/>
      <c r="P629" s="34">
        <f t="shared" si="130"/>
        <v>495</v>
      </c>
    </row>
    <row r="630" spans="2:19">
      <c r="B630" s="47" t="s">
        <v>100</v>
      </c>
      <c r="C630" s="34">
        <f t="shared" ref="C630:M630" si="131">C629*C628</f>
        <v>950565.14999999991</v>
      </c>
      <c r="D630" s="34">
        <f t="shared" si="131"/>
        <v>2139504.2314629257</v>
      </c>
      <c r="E630" s="34">
        <f t="shared" si="131"/>
        <v>2139504.2314629257</v>
      </c>
      <c r="F630" s="34">
        <f t="shared" si="131"/>
        <v>2282283.4499999997</v>
      </c>
      <c r="G630" s="34">
        <f t="shared" si="131"/>
        <v>1125699.522745491</v>
      </c>
      <c r="H630" s="34">
        <f t="shared" si="131"/>
        <v>1611444.5999999994</v>
      </c>
      <c r="I630" s="34">
        <f t="shared" si="131"/>
        <v>3228371.1171342679</v>
      </c>
      <c r="J630" s="34">
        <f t="shared" si="131"/>
        <v>2686698.4499999997</v>
      </c>
      <c r="K630" s="34">
        <f t="shared" si="131"/>
        <v>1450451.7820641284</v>
      </c>
      <c r="L630" s="34">
        <f t="shared" si="131"/>
        <v>3106859.4</v>
      </c>
      <c r="M630" s="34">
        <f t="shared" si="131"/>
        <v>1277040.9318637275</v>
      </c>
      <c r="N630" s="34"/>
      <c r="O630" s="34"/>
      <c r="P630" s="34"/>
      <c r="R630" s="29">
        <f>SUM(C630:M630)</f>
        <v>21998422.866733465</v>
      </c>
      <c r="S630" s="29">
        <f>R630/P629</f>
        <v>44441.258316633262</v>
      </c>
    </row>
    <row r="631" spans="2:19">
      <c r="B631" s="15" t="s">
        <v>151</v>
      </c>
      <c r="C631" s="34">
        <v>0</v>
      </c>
      <c r="D631" s="54">
        <v>1409287.55</v>
      </c>
      <c r="E631" s="54">
        <v>1409287.55</v>
      </c>
      <c r="F631" s="34">
        <v>0</v>
      </c>
      <c r="G631" s="54">
        <v>786551.54</v>
      </c>
      <c r="H631" s="427">
        <v>0</v>
      </c>
      <c r="I631" s="54">
        <v>2039964.9</v>
      </c>
      <c r="J631" s="427">
        <v>0</v>
      </c>
      <c r="K631" s="54">
        <v>0</v>
      </c>
      <c r="L631" s="427">
        <v>0</v>
      </c>
      <c r="M631" s="54">
        <v>885500.1</v>
      </c>
      <c r="N631" s="54"/>
      <c r="O631" s="54"/>
      <c r="P631" s="54">
        <v>1630047.65</v>
      </c>
    </row>
    <row r="632" spans="2:19">
      <c r="B632" s="12" t="s">
        <v>152</v>
      </c>
      <c r="C632" s="34">
        <f t="shared" ref="C632:P632" si="132">C630-C631</f>
        <v>950565.14999999991</v>
      </c>
      <c r="D632" s="34">
        <f t="shared" si="132"/>
        <v>730216.68146292563</v>
      </c>
      <c r="E632" s="34">
        <f t="shared" si="132"/>
        <v>730216.68146292563</v>
      </c>
      <c r="F632" s="34">
        <f t="shared" si="132"/>
        <v>2282283.4499999997</v>
      </c>
      <c r="G632" s="34">
        <f t="shared" si="132"/>
        <v>339147.98274549097</v>
      </c>
      <c r="H632" s="427">
        <f t="shared" si="132"/>
        <v>1611444.5999999994</v>
      </c>
      <c r="I632" s="427">
        <f t="shared" si="132"/>
        <v>1188406.217134268</v>
      </c>
      <c r="J632" s="427">
        <f t="shared" si="132"/>
        <v>2686698.4499999997</v>
      </c>
      <c r="K632" s="427">
        <f t="shared" si="132"/>
        <v>1450451.7820641284</v>
      </c>
      <c r="L632" s="427">
        <f t="shared" si="132"/>
        <v>3106859.4</v>
      </c>
      <c r="M632" s="427">
        <f t="shared" si="132"/>
        <v>391540.83186372754</v>
      </c>
      <c r="N632" s="427"/>
      <c r="O632" s="427"/>
      <c r="P632" s="427">
        <f t="shared" si="132"/>
        <v>-1630047.65</v>
      </c>
    </row>
    <row r="635" spans="2:19">
      <c r="C635" s="600" t="s">
        <v>1193</v>
      </c>
      <c r="D635" s="600"/>
      <c r="E635" s="600"/>
    </row>
    <row r="637" spans="2:19">
      <c r="B637" s="11" t="s">
        <v>178</v>
      </c>
      <c r="C637" s="476">
        <v>198</v>
      </c>
      <c r="D637" s="476">
        <v>199</v>
      </c>
      <c r="E637" s="476">
        <v>196</v>
      </c>
      <c r="F637" s="46"/>
      <c r="G637" s="55" t="s">
        <v>334</v>
      </c>
      <c r="H637" s="55" t="s">
        <v>335</v>
      </c>
      <c r="I637" s="50" t="s">
        <v>336</v>
      </c>
    </row>
    <row r="638" spans="2:19">
      <c r="B638" s="11" t="s">
        <v>110</v>
      </c>
      <c r="C638" s="477">
        <v>499</v>
      </c>
      <c r="D638" s="477">
        <v>499</v>
      </c>
      <c r="E638" s="477">
        <v>499</v>
      </c>
      <c r="F638" s="46"/>
      <c r="G638" s="32">
        <f>'FLUJO CAJA OCTUBRE 2025'!E15+'FLUJO CAJA OCTUBRE 2025'!E17+'FLUJO CAJA OCTUBRE 2025'!E18</f>
        <v>31574.02</v>
      </c>
      <c r="H638" s="29">
        <f>SUM(C642:D642)</f>
        <v>29145.510000000002</v>
      </c>
      <c r="I638" s="247">
        <f>H638-G638</f>
        <v>-2428.5099999999984</v>
      </c>
    </row>
    <row r="639" spans="2:19">
      <c r="C639" s="386" t="s">
        <v>1075</v>
      </c>
      <c r="D639" s="386" t="s">
        <v>1118</v>
      </c>
      <c r="E639" s="386" t="s">
        <v>1119</v>
      </c>
    </row>
    <row r="640" spans="2:19">
      <c r="B640" s="15" t="s">
        <v>96</v>
      </c>
      <c r="C640" s="315">
        <v>11503.49</v>
      </c>
      <c r="D640" s="315">
        <v>17642.02</v>
      </c>
      <c r="E640" s="315">
        <v>2428.5100000000002</v>
      </c>
    </row>
    <row r="641" spans="2:19">
      <c r="B641" s="11" t="s">
        <v>147</v>
      </c>
      <c r="C641" s="34"/>
      <c r="D641" s="34"/>
      <c r="E641" s="34"/>
    </row>
    <row r="642" spans="2:19">
      <c r="B642" s="50" t="s">
        <v>362</v>
      </c>
      <c r="C642" s="85">
        <f>C640-C641</f>
        <v>11503.49</v>
      </c>
      <c r="D642" s="85">
        <f>D640-D641</f>
        <v>17642.02</v>
      </c>
      <c r="E642" s="85">
        <f>E640-E641</f>
        <v>2428.5100000000002</v>
      </c>
    </row>
    <row r="643" spans="2:19">
      <c r="B643" s="15" t="s">
        <v>97</v>
      </c>
      <c r="C643" s="327">
        <v>20</v>
      </c>
      <c r="D643" s="327">
        <v>26.46</v>
      </c>
      <c r="E643" s="327">
        <v>20</v>
      </c>
    </row>
    <row r="644" spans="2:19">
      <c r="B644" s="50" t="s">
        <v>148</v>
      </c>
      <c r="C644" s="51">
        <f>C642-C643</f>
        <v>11483.49</v>
      </c>
      <c r="D644" s="51">
        <f>D642-D643</f>
        <v>17615.560000000001</v>
      </c>
      <c r="E644" s="51">
        <f>E642-E643</f>
        <v>2408.5100000000002</v>
      </c>
    </row>
    <row r="645" spans="2:19">
      <c r="B645" s="15" t="s">
        <v>150</v>
      </c>
      <c r="C645" s="248">
        <v>4734.88</v>
      </c>
      <c r="D645" s="468">
        <v>0</v>
      </c>
      <c r="E645" s="248">
        <v>1834.83</v>
      </c>
    </row>
    <row r="646" spans="2:19">
      <c r="B646" s="15" t="s">
        <v>99</v>
      </c>
      <c r="C646" s="34">
        <f>135</f>
        <v>135</v>
      </c>
      <c r="D646" s="34">
        <f>135</f>
        <v>135</v>
      </c>
      <c r="E646" s="34">
        <f>135</f>
        <v>135</v>
      </c>
    </row>
    <row r="647" spans="2:19">
      <c r="B647" s="47" t="s">
        <v>109</v>
      </c>
      <c r="C647" s="48">
        <f>C644-C645-C646</f>
        <v>6613.61</v>
      </c>
      <c r="D647" s="48">
        <f>D644-D645-D646</f>
        <v>17480.560000000001</v>
      </c>
      <c r="E647" s="48">
        <f>E644-E645-E646</f>
        <v>438.68000000000029</v>
      </c>
    </row>
    <row r="648" spans="2:19">
      <c r="B648" s="11" t="s">
        <v>153</v>
      </c>
      <c r="C648" s="34">
        <v>495</v>
      </c>
      <c r="D648" s="34">
        <f>$C$648</f>
        <v>495</v>
      </c>
      <c r="E648" s="34">
        <f>$C$648</f>
        <v>495</v>
      </c>
    </row>
    <row r="649" spans="2:19">
      <c r="B649" s="47" t="s">
        <v>100</v>
      </c>
      <c r="C649" s="34">
        <f>C648*C647</f>
        <v>3273736.9499999997</v>
      </c>
      <c r="D649" s="34">
        <f>D648*D647</f>
        <v>8652877.2000000011</v>
      </c>
      <c r="E649" s="34">
        <f>E648*E647</f>
        <v>217146.60000000015</v>
      </c>
      <c r="G649" s="29">
        <f>SUM(C649:E649)</f>
        <v>12143760.75</v>
      </c>
      <c r="H649" s="29">
        <f>G649/E648</f>
        <v>24532.85</v>
      </c>
    </row>
    <row r="650" spans="2:19">
      <c r="B650" s="15" t="s">
        <v>151</v>
      </c>
      <c r="C650" s="34">
        <v>0</v>
      </c>
      <c r="D650" s="54">
        <v>4641955.3099999996</v>
      </c>
      <c r="E650" s="34">
        <v>0</v>
      </c>
    </row>
    <row r="651" spans="2:19">
      <c r="B651" s="12" t="s">
        <v>152</v>
      </c>
      <c r="C651" s="34">
        <f>C649-C650</f>
        <v>3273736.9499999997</v>
      </c>
      <c r="D651" s="34">
        <f>D649-D650</f>
        <v>4010921.8900000015</v>
      </c>
      <c r="E651" s="34">
        <f>E649-E650</f>
        <v>217146.60000000015</v>
      </c>
      <c r="H651" s="29">
        <f>S630+H649</f>
        <v>68974.108316633268</v>
      </c>
    </row>
    <row r="652" spans="2:19">
      <c r="G652" s="11" t="s">
        <v>1211</v>
      </c>
      <c r="H652" s="29">
        <v>69000</v>
      </c>
      <c r="J652" s="29">
        <f>H652*495</f>
        <v>34155000</v>
      </c>
    </row>
    <row r="654" spans="2:19">
      <c r="B654" s="601" t="s">
        <v>1247</v>
      </c>
      <c r="C654" s="601"/>
      <c r="D654" s="601"/>
      <c r="E654" s="601"/>
      <c r="F654" s="601"/>
      <c r="G654" s="601"/>
      <c r="H654" s="601"/>
      <c r="I654" s="601"/>
      <c r="J654" s="601"/>
      <c r="K654" s="601"/>
      <c r="L654" s="601"/>
    </row>
    <row r="655" spans="2:19">
      <c r="B655" s="484"/>
      <c r="C655" s="484"/>
      <c r="D655" s="484"/>
      <c r="E655" s="484"/>
      <c r="F655" s="484"/>
      <c r="G655" s="484"/>
      <c r="H655" s="484"/>
      <c r="I655" s="484"/>
      <c r="J655" s="484"/>
      <c r="K655" s="484"/>
      <c r="L655" s="484"/>
    </row>
    <row r="656" spans="2:19">
      <c r="B656" s="11" t="s">
        <v>178</v>
      </c>
      <c r="C656" s="391">
        <v>204</v>
      </c>
      <c r="D656" s="391">
        <v>204</v>
      </c>
      <c r="E656" s="391">
        <v>204</v>
      </c>
      <c r="F656" s="391">
        <v>204</v>
      </c>
      <c r="G656" s="391">
        <v>204</v>
      </c>
      <c r="H656" s="391">
        <v>204</v>
      </c>
      <c r="I656" s="391">
        <v>204</v>
      </c>
      <c r="J656" s="391">
        <v>204</v>
      </c>
      <c r="K656" s="391">
        <v>204</v>
      </c>
      <c r="L656" s="391">
        <v>204</v>
      </c>
      <c r="Q656" s="55" t="s">
        <v>334</v>
      </c>
      <c r="R656" s="55" t="s">
        <v>335</v>
      </c>
      <c r="S656" s="50" t="s">
        <v>336</v>
      </c>
    </row>
    <row r="657" spans="2:19">
      <c r="B657" s="11" t="s">
        <v>110</v>
      </c>
      <c r="C657" s="11">
        <v>490</v>
      </c>
      <c r="D657" s="11">
        <v>490</v>
      </c>
      <c r="E657" s="11">
        <v>490</v>
      </c>
      <c r="F657" s="11">
        <v>490</v>
      </c>
      <c r="G657" s="11">
        <v>490</v>
      </c>
      <c r="H657" s="11">
        <v>490</v>
      </c>
      <c r="I657" s="11">
        <v>490</v>
      </c>
      <c r="J657" s="11">
        <v>490</v>
      </c>
      <c r="K657" s="11">
        <v>490</v>
      </c>
      <c r="L657" s="11">
        <v>490</v>
      </c>
      <c r="Q657" s="32">
        <f>'FLUJO CAJA NOVIEMBRE 2025'!E18</f>
        <v>108962.09</v>
      </c>
      <c r="R657" s="29">
        <f>SUM(C659:L659)</f>
        <v>108743.75289795917</v>
      </c>
      <c r="S657" s="247">
        <f>R657-Q657</f>
        <v>-218.33710204082308</v>
      </c>
    </row>
    <row r="658" spans="2:19" ht="24">
      <c r="C658" s="415" t="s">
        <v>107</v>
      </c>
      <c r="D658" s="415" t="s">
        <v>179</v>
      </c>
      <c r="E658" s="415" t="s">
        <v>202</v>
      </c>
      <c r="F658" s="415" t="s">
        <v>181</v>
      </c>
      <c r="G658" s="415" t="s">
        <v>337</v>
      </c>
      <c r="H658" s="386" t="s">
        <v>744</v>
      </c>
      <c r="I658" s="386" t="s">
        <v>946</v>
      </c>
      <c r="J658" s="386" t="s">
        <v>947</v>
      </c>
      <c r="K658" s="386" t="s">
        <v>1006</v>
      </c>
      <c r="L658" s="386" t="s">
        <v>1123</v>
      </c>
    </row>
    <row r="659" spans="2:19">
      <c r="B659" s="15" t="s">
        <v>96</v>
      </c>
      <c r="C659" s="315">
        <v>9511.82</v>
      </c>
      <c r="D659" s="315">
        <v>7835.4748979591841</v>
      </c>
      <c r="E659" s="315">
        <v>7835.4748979591841</v>
      </c>
      <c r="F659" s="315">
        <v>21034.989999999998</v>
      </c>
      <c r="G659" s="314">
        <v>4116.0951632653059</v>
      </c>
      <c r="H659" s="355">
        <v>13281.880000000001</v>
      </c>
      <c r="I659" s="355">
        <v>8805.5136530612235</v>
      </c>
      <c r="J659" s="355">
        <v>18388.22</v>
      </c>
      <c r="K659" s="315">
        <v>14793.57</v>
      </c>
      <c r="L659" s="315">
        <v>3140.7142857142858</v>
      </c>
    </row>
    <row r="660" spans="2:19">
      <c r="B660" s="11" t="s">
        <v>147</v>
      </c>
      <c r="C660" s="34"/>
      <c r="D660" s="34"/>
      <c r="E660" s="34"/>
      <c r="F660" s="34"/>
      <c r="G660" s="34"/>
      <c r="H660" s="427"/>
      <c r="I660" s="427"/>
      <c r="J660" s="427"/>
    </row>
    <row r="661" spans="2:19">
      <c r="B661" s="50" t="s">
        <v>362</v>
      </c>
      <c r="C661" s="85">
        <f>C659-C660</f>
        <v>9511.82</v>
      </c>
      <c r="D661" s="85">
        <f>D659-D660</f>
        <v>7835.4748979591841</v>
      </c>
      <c r="E661" s="85">
        <f t="shared" ref="E661:L661" si="133">E659-E660</f>
        <v>7835.4748979591841</v>
      </c>
      <c r="F661" s="85">
        <f t="shared" si="133"/>
        <v>21034.989999999998</v>
      </c>
      <c r="G661" s="85">
        <f t="shared" si="133"/>
        <v>4116.0951632653059</v>
      </c>
      <c r="H661" s="428">
        <f t="shared" si="133"/>
        <v>13281.880000000001</v>
      </c>
      <c r="I661" s="428">
        <f t="shared" si="133"/>
        <v>8805.5136530612235</v>
      </c>
      <c r="J661" s="428">
        <f t="shared" si="133"/>
        <v>18388.22</v>
      </c>
      <c r="K661" s="428">
        <f t="shared" si="133"/>
        <v>14793.57</v>
      </c>
      <c r="L661" s="428">
        <f t="shared" si="133"/>
        <v>3140.7142857142858</v>
      </c>
    </row>
    <row r="662" spans="2:19">
      <c r="B662" s="15" t="s">
        <v>97</v>
      </c>
      <c r="C662" s="327">
        <f>40/10</f>
        <v>4</v>
      </c>
      <c r="D662" s="327">
        <f t="shared" ref="D662:L662" si="134">40/10</f>
        <v>4</v>
      </c>
      <c r="E662" s="327">
        <f t="shared" si="134"/>
        <v>4</v>
      </c>
      <c r="F662" s="327">
        <f t="shared" si="134"/>
        <v>4</v>
      </c>
      <c r="G662" s="327">
        <f t="shared" si="134"/>
        <v>4</v>
      </c>
      <c r="H662" s="327">
        <f t="shared" si="134"/>
        <v>4</v>
      </c>
      <c r="I662" s="327">
        <f t="shared" si="134"/>
        <v>4</v>
      </c>
      <c r="J662" s="327">
        <f t="shared" si="134"/>
        <v>4</v>
      </c>
      <c r="K662" s="327">
        <f t="shared" si="134"/>
        <v>4</v>
      </c>
      <c r="L662" s="327">
        <f t="shared" si="134"/>
        <v>4</v>
      </c>
      <c r="P662" s="29">
        <f>SUM(C662:L662)</f>
        <v>40</v>
      </c>
    </row>
    <row r="663" spans="2:19">
      <c r="B663" s="50" t="s">
        <v>148</v>
      </c>
      <c r="C663" s="51">
        <f t="shared" ref="C663:L663" si="135">C661-C662</f>
        <v>9507.82</v>
      </c>
      <c r="D663" s="51">
        <f t="shared" si="135"/>
        <v>7831.4748979591841</v>
      </c>
      <c r="E663" s="51">
        <f t="shared" si="135"/>
        <v>7831.4748979591841</v>
      </c>
      <c r="F663" s="51">
        <f t="shared" si="135"/>
        <v>21030.989999999998</v>
      </c>
      <c r="G663" s="51">
        <f t="shared" si="135"/>
        <v>4112.0951632653059</v>
      </c>
      <c r="H663" s="51">
        <f t="shared" si="135"/>
        <v>13277.880000000001</v>
      </c>
      <c r="I663" s="51">
        <f t="shared" si="135"/>
        <v>8801.5136530612235</v>
      </c>
      <c r="J663" s="51">
        <f t="shared" si="135"/>
        <v>18384.22</v>
      </c>
      <c r="K663" s="51">
        <f t="shared" si="135"/>
        <v>14789.57</v>
      </c>
      <c r="L663" s="51">
        <f t="shared" si="135"/>
        <v>3136.7142857142858</v>
      </c>
    </row>
    <row r="664" spans="2:19">
      <c r="B664" s="15" t="s">
        <v>150</v>
      </c>
      <c r="C664" s="248">
        <v>3419.4099999999989</v>
      </c>
      <c r="D664" s="34"/>
      <c r="F664" s="248">
        <v>6672.199999999998</v>
      </c>
      <c r="G664" s="34"/>
      <c r="H664" s="430">
        <v>5061.66</v>
      </c>
      <c r="I664" s="432"/>
      <c r="J664" s="430">
        <v>0</v>
      </c>
      <c r="K664" s="430">
        <v>7106.8899999999994</v>
      </c>
    </row>
    <row r="665" spans="2:19">
      <c r="B665" s="15" t="s">
        <v>99</v>
      </c>
      <c r="C665" s="34">
        <f>135</f>
        <v>135</v>
      </c>
      <c r="D665" s="34">
        <f>135</f>
        <v>135</v>
      </c>
      <c r="E665" s="34">
        <f>135</f>
        <v>135</v>
      </c>
      <c r="F665" s="34">
        <f>135</f>
        <v>135</v>
      </c>
      <c r="G665" s="34">
        <f>135</f>
        <v>135</v>
      </c>
      <c r="H665" s="34">
        <f>135</f>
        <v>135</v>
      </c>
      <c r="I665" s="34">
        <f>135</f>
        <v>135</v>
      </c>
      <c r="J665" s="34">
        <f>135</f>
        <v>135</v>
      </c>
      <c r="K665" s="34">
        <f>135</f>
        <v>135</v>
      </c>
      <c r="L665" s="34">
        <f>135</f>
        <v>135</v>
      </c>
    </row>
    <row r="666" spans="2:19">
      <c r="B666" s="47" t="s">
        <v>109</v>
      </c>
      <c r="C666" s="48">
        <f t="shared" ref="C666:L666" si="136">C663-C664-C665</f>
        <v>5953.4100000000008</v>
      </c>
      <c r="D666" s="48">
        <f t="shared" si="136"/>
        <v>7696.4748979591841</v>
      </c>
      <c r="E666" s="48">
        <f t="shared" si="136"/>
        <v>7696.4748979591841</v>
      </c>
      <c r="F666" s="48">
        <f t="shared" si="136"/>
        <v>14223.79</v>
      </c>
      <c r="G666" s="48">
        <f t="shared" si="136"/>
        <v>3977.0951632653059</v>
      </c>
      <c r="H666" s="48">
        <f t="shared" si="136"/>
        <v>8081.2200000000012</v>
      </c>
      <c r="I666" s="48">
        <f t="shared" si="136"/>
        <v>8666.5136530612235</v>
      </c>
      <c r="J666" s="48">
        <f t="shared" si="136"/>
        <v>18249.22</v>
      </c>
      <c r="K666" s="48">
        <f t="shared" si="136"/>
        <v>7547.68</v>
      </c>
      <c r="L666" s="48">
        <f t="shared" si="136"/>
        <v>3001.7142857142858</v>
      </c>
    </row>
    <row r="667" spans="2:19">
      <c r="B667" s="11" t="s">
        <v>153</v>
      </c>
      <c r="C667" s="34">
        <v>486</v>
      </c>
      <c r="D667" s="34">
        <f t="shared" ref="D667:L667" si="137">$C$667</f>
        <v>486</v>
      </c>
      <c r="E667" s="34">
        <f t="shared" si="137"/>
        <v>486</v>
      </c>
      <c r="F667" s="34">
        <f t="shared" si="137"/>
        <v>486</v>
      </c>
      <c r="G667" s="34">
        <f t="shared" si="137"/>
        <v>486</v>
      </c>
      <c r="H667" s="34">
        <f t="shared" si="137"/>
        <v>486</v>
      </c>
      <c r="I667" s="34">
        <f t="shared" si="137"/>
        <v>486</v>
      </c>
      <c r="J667" s="34">
        <f t="shared" si="137"/>
        <v>486</v>
      </c>
      <c r="K667" s="34">
        <f t="shared" si="137"/>
        <v>486</v>
      </c>
      <c r="L667" s="34">
        <f t="shared" si="137"/>
        <v>486</v>
      </c>
    </row>
    <row r="668" spans="2:19">
      <c r="B668" s="47" t="s">
        <v>100</v>
      </c>
      <c r="C668" s="34">
        <f t="shared" ref="C668:L668" si="138">C667*C666</f>
        <v>2893357.2600000002</v>
      </c>
      <c r="D668" s="34">
        <f t="shared" si="138"/>
        <v>3740486.8004081636</v>
      </c>
      <c r="E668" s="34">
        <f t="shared" si="138"/>
        <v>3740486.8004081636</v>
      </c>
      <c r="F668" s="34">
        <f t="shared" si="138"/>
        <v>6912761.9400000004</v>
      </c>
      <c r="G668" s="34">
        <f t="shared" si="138"/>
        <v>1932868.2493469387</v>
      </c>
      <c r="H668" s="34">
        <f t="shared" si="138"/>
        <v>3927472.9200000004</v>
      </c>
      <c r="I668" s="34">
        <f t="shared" si="138"/>
        <v>4211925.635387755</v>
      </c>
      <c r="J668" s="34">
        <f t="shared" si="138"/>
        <v>8869120.9199999999</v>
      </c>
      <c r="K668" s="34">
        <f t="shared" si="138"/>
        <v>3668172.48</v>
      </c>
      <c r="L668" s="34">
        <f t="shared" si="138"/>
        <v>1458833.142857143</v>
      </c>
      <c r="P668" s="29">
        <f>SUM(C668:L668)</f>
        <v>41355486.14840816</v>
      </c>
      <c r="Q668" s="29" t="e">
        <f>P668/#REF!</f>
        <v>#REF!</v>
      </c>
    </row>
    <row r="669" spans="2:19">
      <c r="B669" s="15" t="s">
        <v>151</v>
      </c>
      <c r="C669" s="34">
        <v>0</v>
      </c>
      <c r="D669" s="54">
        <v>1409287.55</v>
      </c>
      <c r="E669" s="54">
        <v>1409287.55</v>
      </c>
      <c r="F669" s="34">
        <v>0</v>
      </c>
      <c r="G669" s="54">
        <v>786551.54</v>
      </c>
      <c r="H669" s="427">
        <v>0</v>
      </c>
      <c r="I669" s="54">
        <v>2039964.8099999998</v>
      </c>
      <c r="J669" s="427">
        <v>0</v>
      </c>
      <c r="K669" s="427">
        <v>0</v>
      </c>
      <c r="L669" s="54">
        <v>885500.1</v>
      </c>
    </row>
    <row r="670" spans="2:19">
      <c r="B670" s="12" t="s">
        <v>152</v>
      </c>
      <c r="C670" s="34">
        <f t="shared" ref="C670:L670" si="139">C668-C669</f>
        <v>2893357.2600000002</v>
      </c>
      <c r="D670" s="34">
        <f t="shared" si="139"/>
        <v>2331199.2504081633</v>
      </c>
      <c r="E670" s="34">
        <f t="shared" si="139"/>
        <v>2331199.2504081633</v>
      </c>
      <c r="F670" s="34">
        <f t="shared" si="139"/>
        <v>6912761.9400000004</v>
      </c>
      <c r="G670" s="34">
        <f t="shared" si="139"/>
        <v>1146316.7093469386</v>
      </c>
      <c r="H670" s="427">
        <f t="shared" si="139"/>
        <v>3927472.9200000004</v>
      </c>
      <c r="I670" s="427">
        <f t="shared" si="139"/>
        <v>2171960.8253877554</v>
      </c>
      <c r="J670" s="427">
        <f t="shared" si="139"/>
        <v>8869120.9199999999</v>
      </c>
      <c r="K670" s="427">
        <f t="shared" si="139"/>
        <v>3668172.48</v>
      </c>
      <c r="L670" s="427">
        <f t="shared" si="139"/>
        <v>573333.04285714298</v>
      </c>
    </row>
    <row r="673" spans="2:12">
      <c r="B673" s="601" t="s">
        <v>1247</v>
      </c>
      <c r="C673" s="601"/>
      <c r="D673" s="601"/>
      <c r="E673" s="601"/>
      <c r="F673" s="601"/>
      <c r="G673" s="601"/>
      <c r="H673" s="601"/>
      <c r="I673" s="601"/>
      <c r="J673" s="601"/>
      <c r="K673" s="601"/>
      <c r="L673" s="601"/>
    </row>
    <row r="674" spans="2:12">
      <c r="B674" s="11" t="s">
        <v>178</v>
      </c>
      <c r="C674" s="391">
        <v>205</v>
      </c>
      <c r="F674" s="55" t="s">
        <v>334</v>
      </c>
      <c r="G674" s="55" t="s">
        <v>335</v>
      </c>
      <c r="H674" s="50" t="s">
        <v>336</v>
      </c>
    </row>
    <row r="675" spans="2:12">
      <c r="B675" s="11" t="s">
        <v>110</v>
      </c>
      <c r="C675" s="11">
        <v>490</v>
      </c>
      <c r="F675" s="34">
        <f>'DIFERENCIA CAMBI'!$G$167</f>
        <v>4044.8</v>
      </c>
      <c r="G675" s="29">
        <v>4044.8</v>
      </c>
      <c r="H675" s="247">
        <f>F675-G675</f>
        <v>0</v>
      </c>
    </row>
    <row r="676" spans="2:12" ht="36">
      <c r="C676" s="386" t="s">
        <v>1192</v>
      </c>
    </row>
    <row r="677" spans="2:12">
      <c r="B677" s="15" t="s">
        <v>96</v>
      </c>
      <c r="C677" s="315">
        <v>4044.8</v>
      </c>
    </row>
    <row r="678" spans="2:12">
      <c r="B678" s="11" t="s">
        <v>147</v>
      </c>
    </row>
    <row r="679" spans="2:12">
      <c r="B679" s="50" t="s">
        <v>362</v>
      </c>
      <c r="C679" s="428">
        <f>C677-C678</f>
        <v>4044.8</v>
      </c>
    </row>
    <row r="680" spans="2:12">
      <c r="B680" s="15" t="s">
        <v>97</v>
      </c>
      <c r="C680" s="327">
        <v>20</v>
      </c>
    </row>
    <row r="681" spans="2:12">
      <c r="B681" s="50" t="s">
        <v>148</v>
      </c>
      <c r="C681" s="51">
        <f>C679-C680</f>
        <v>4024.8</v>
      </c>
    </row>
    <row r="682" spans="2:12">
      <c r="B682" s="15" t="s">
        <v>150</v>
      </c>
    </row>
    <row r="683" spans="2:12">
      <c r="B683" s="15" t="s">
        <v>99</v>
      </c>
      <c r="C683" s="34">
        <f>135</f>
        <v>135</v>
      </c>
    </row>
    <row r="684" spans="2:12">
      <c r="B684" s="47" t="s">
        <v>109</v>
      </c>
      <c r="C684" s="48">
        <f>C681-C682-C683</f>
        <v>3889.8</v>
      </c>
    </row>
    <row r="685" spans="2:12">
      <c r="B685" s="11" t="s">
        <v>153</v>
      </c>
      <c r="C685" s="34">
        <f>$C$667</f>
        <v>486</v>
      </c>
    </row>
    <row r="686" spans="2:12">
      <c r="B686" s="47" t="s">
        <v>100</v>
      </c>
      <c r="C686" s="34">
        <f>C684*C685</f>
        <v>1890442.8</v>
      </c>
      <c r="E686" s="29"/>
      <c r="F686" s="29"/>
    </row>
    <row r="687" spans="2:12">
      <c r="B687" s="15" t="s">
        <v>151</v>
      </c>
      <c r="C687" s="54">
        <v>0</v>
      </c>
    </row>
    <row r="688" spans="2:12">
      <c r="B688" s="12" t="s">
        <v>152</v>
      </c>
      <c r="C688" s="427">
        <f>C686-C687</f>
        <v>1890442.8</v>
      </c>
    </row>
    <row r="690" spans="2:9">
      <c r="C690" s="600" t="s">
        <v>1248</v>
      </c>
      <c r="D690" s="600"/>
      <c r="E690" s="600"/>
    </row>
    <row r="692" spans="2:9">
      <c r="B692" s="11" t="s">
        <v>178</v>
      </c>
      <c r="C692" s="483">
        <v>201</v>
      </c>
      <c r="D692" s="483">
        <v>202</v>
      </c>
      <c r="E692" s="483">
        <v>203</v>
      </c>
      <c r="F692" s="46"/>
      <c r="G692" s="55" t="s">
        <v>334</v>
      </c>
      <c r="H692" s="55" t="s">
        <v>335</v>
      </c>
      <c r="I692" s="50" t="s">
        <v>336</v>
      </c>
    </row>
    <row r="693" spans="2:9">
      <c r="B693" s="11" t="s">
        <v>110</v>
      </c>
      <c r="C693" s="485">
        <v>490</v>
      </c>
      <c r="D693" s="485">
        <v>490</v>
      </c>
      <c r="E693" s="485">
        <v>490</v>
      </c>
      <c r="F693" s="46"/>
      <c r="G693" s="32">
        <f>'FLUJO CAJA OCTUBRE 2025'!E70+'FLUJO CAJA OCTUBRE 2025'!E72+'FLUJO CAJA OCTUBRE 2025'!E73</f>
        <v>0</v>
      </c>
      <c r="H693" s="29">
        <f>SUM(C697:D697)</f>
        <v>28517.25</v>
      </c>
      <c r="I693" s="247">
        <f>H693-G693</f>
        <v>28517.25</v>
      </c>
    </row>
    <row r="694" spans="2:9">
      <c r="C694" s="386" t="s">
        <v>1075</v>
      </c>
      <c r="D694" s="386" t="s">
        <v>1118</v>
      </c>
      <c r="E694" s="386" t="s">
        <v>1119</v>
      </c>
    </row>
    <row r="695" spans="2:9">
      <c r="B695" s="15" t="s">
        <v>96</v>
      </c>
      <c r="C695" s="315">
        <v>8361</v>
      </c>
      <c r="D695" s="315">
        <v>20156.25</v>
      </c>
      <c r="E695" s="315">
        <v>4053.1</v>
      </c>
    </row>
    <row r="696" spans="2:9">
      <c r="B696" s="11" t="s">
        <v>147</v>
      </c>
      <c r="C696" s="34"/>
      <c r="D696" s="34"/>
      <c r="E696" s="34"/>
    </row>
    <row r="697" spans="2:9">
      <c r="B697" s="50" t="s">
        <v>362</v>
      </c>
      <c r="C697" s="85">
        <f>C695-C696</f>
        <v>8361</v>
      </c>
      <c r="D697" s="85">
        <f>D695-D696</f>
        <v>20156.25</v>
      </c>
      <c r="E697" s="85">
        <f>E695-E696</f>
        <v>4053.1</v>
      </c>
    </row>
    <row r="698" spans="2:9">
      <c r="B698" s="15" t="s">
        <v>97</v>
      </c>
      <c r="C698" s="327">
        <v>20</v>
      </c>
      <c r="D698" s="327">
        <v>30.23</v>
      </c>
      <c r="E698" s="327">
        <v>20</v>
      </c>
    </row>
    <row r="699" spans="2:9">
      <c r="B699" s="50" t="s">
        <v>148</v>
      </c>
      <c r="C699" s="51">
        <f>C697-C698</f>
        <v>8341</v>
      </c>
      <c r="D699" s="51">
        <f>D697-D698</f>
        <v>20126.02</v>
      </c>
      <c r="E699" s="51">
        <f>E697-E698</f>
        <v>4033.1</v>
      </c>
    </row>
    <row r="700" spans="2:9">
      <c r="B700" s="15" t="s">
        <v>150</v>
      </c>
      <c r="C700" s="248">
        <v>4735.8099999999995</v>
      </c>
      <c r="D700" s="468">
        <v>0</v>
      </c>
      <c r="E700" s="248">
        <v>2354.13</v>
      </c>
    </row>
    <row r="701" spans="2:9">
      <c r="B701" s="15" t="s">
        <v>99</v>
      </c>
      <c r="C701" s="34">
        <f>135</f>
        <v>135</v>
      </c>
      <c r="D701" s="34">
        <f>135</f>
        <v>135</v>
      </c>
      <c r="E701" s="34">
        <f>135</f>
        <v>135</v>
      </c>
    </row>
    <row r="702" spans="2:9">
      <c r="B702" s="47" t="s">
        <v>109</v>
      </c>
      <c r="C702" s="48">
        <f>C699-C700-C701</f>
        <v>3470.1900000000005</v>
      </c>
      <c r="D702" s="48">
        <f>D699-D700-D701</f>
        <v>19991.02</v>
      </c>
      <c r="E702" s="48">
        <f>E699-E700-E701</f>
        <v>1543.9699999999998</v>
      </c>
    </row>
    <row r="703" spans="2:9">
      <c r="B703" s="11" t="s">
        <v>153</v>
      </c>
      <c r="C703" s="34">
        <v>486</v>
      </c>
      <c r="D703" s="34">
        <f>$C$703</f>
        <v>486</v>
      </c>
      <c r="E703" s="34"/>
    </row>
    <row r="704" spans="2:9">
      <c r="B704" s="47" t="s">
        <v>100</v>
      </c>
      <c r="C704" s="34">
        <f>C703*C702</f>
        <v>1686512.3400000003</v>
      </c>
      <c r="D704" s="34">
        <f>D703*D702</f>
        <v>9715635.7200000007</v>
      </c>
      <c r="E704" s="34">
        <f>E703*E702</f>
        <v>0</v>
      </c>
      <c r="G704" s="29">
        <f>SUM(C704:D704)</f>
        <v>11402148.060000001</v>
      </c>
      <c r="H704" s="29">
        <f>G704/C703</f>
        <v>23461.210000000003</v>
      </c>
    </row>
    <row r="705" spans="2:19">
      <c r="B705" s="15" t="s">
        <v>151</v>
      </c>
      <c r="C705" s="34">
        <v>0</v>
      </c>
      <c r="D705" s="54">
        <v>4803155.3099999996</v>
      </c>
      <c r="E705" s="34">
        <v>0</v>
      </c>
      <c r="G705" s="29"/>
      <c r="H705" s="29"/>
    </row>
    <row r="706" spans="2:19">
      <c r="B706" s="12" t="s">
        <v>152</v>
      </c>
      <c r="C706" s="34">
        <f>C704-C705</f>
        <v>1686512.3400000003</v>
      </c>
      <c r="D706" s="34">
        <f>D704-D705</f>
        <v>4912480.4100000011</v>
      </c>
      <c r="E706" s="34">
        <f>E704-E705</f>
        <v>0</v>
      </c>
      <c r="H706" s="29"/>
    </row>
    <row r="709" spans="2:19">
      <c r="B709" s="601" t="s">
        <v>1347</v>
      </c>
      <c r="C709" s="601"/>
      <c r="D709" s="601"/>
      <c r="E709" s="601"/>
      <c r="F709" s="601"/>
      <c r="G709" s="601"/>
      <c r="H709" s="601"/>
      <c r="I709" s="601"/>
      <c r="J709" s="601"/>
      <c r="K709" s="601"/>
      <c r="L709" s="601"/>
    </row>
    <row r="710" spans="2:19">
      <c r="B710" s="503"/>
      <c r="C710" s="503"/>
      <c r="D710" s="503"/>
      <c r="E710" s="503"/>
      <c r="F710" s="503"/>
      <c r="G710" s="503"/>
      <c r="H710" s="503"/>
      <c r="I710" s="503"/>
      <c r="J710" s="503"/>
      <c r="K710" s="503"/>
      <c r="L710" s="503"/>
    </row>
    <row r="711" spans="2:19">
      <c r="B711" s="11" t="s">
        <v>178</v>
      </c>
      <c r="C711" s="391">
        <v>207</v>
      </c>
      <c r="D711" s="391">
        <v>207</v>
      </c>
      <c r="E711" s="391">
        <v>207</v>
      </c>
      <c r="F711" s="391">
        <v>207</v>
      </c>
      <c r="G711" s="391">
        <v>207</v>
      </c>
      <c r="H711" s="391">
        <v>207</v>
      </c>
      <c r="I711" s="391">
        <v>207</v>
      </c>
      <c r="J711" s="391">
        <v>207</v>
      </c>
      <c r="K711" s="391">
        <v>207</v>
      </c>
      <c r="L711" s="391">
        <v>207</v>
      </c>
      <c r="Q711" s="55" t="s">
        <v>334</v>
      </c>
      <c r="R711" s="55" t="s">
        <v>335</v>
      </c>
      <c r="S711" s="50" t="s">
        <v>336</v>
      </c>
    </row>
    <row r="712" spans="2:19">
      <c r="B712" s="11" t="s">
        <v>110</v>
      </c>
      <c r="C712" s="11">
        <v>478</v>
      </c>
      <c r="D712" s="11">
        <v>478</v>
      </c>
      <c r="E712" s="11">
        <v>478</v>
      </c>
      <c r="F712" s="11">
        <v>478</v>
      </c>
      <c r="G712" s="11">
        <v>478</v>
      </c>
      <c r="H712" s="11">
        <v>478</v>
      </c>
      <c r="I712" s="11">
        <v>478</v>
      </c>
      <c r="J712" s="11">
        <v>478</v>
      </c>
      <c r="K712" s="11">
        <v>478</v>
      </c>
      <c r="L712" s="11">
        <v>478</v>
      </c>
      <c r="Q712" s="29">
        <f>SUM($C$714:$L$714)</f>
        <v>87494.373976638773</v>
      </c>
      <c r="R712" s="32">
        <f>'FLUJO CAJA DICIEMBRE 2025'!$E$14</f>
        <v>87494.37</v>
      </c>
      <c r="S712" s="247">
        <f>R712-Q712</f>
        <v>-3.9766387781128287E-3</v>
      </c>
    </row>
    <row r="713" spans="2:19" ht="24">
      <c r="C713" s="415" t="s">
        <v>107</v>
      </c>
      <c r="D713" s="415" t="s">
        <v>179</v>
      </c>
      <c r="E713" s="415" t="s">
        <v>202</v>
      </c>
      <c r="F713" s="415" t="s">
        <v>181</v>
      </c>
      <c r="G713" s="415" t="s">
        <v>337</v>
      </c>
      <c r="H713" s="386" t="s">
        <v>744</v>
      </c>
      <c r="I713" s="386" t="s">
        <v>946</v>
      </c>
      <c r="J713" s="386" t="s">
        <v>947</v>
      </c>
      <c r="K713" s="386" t="s">
        <v>1006</v>
      </c>
      <c r="L713" s="386" t="s">
        <v>1123</v>
      </c>
    </row>
    <row r="714" spans="2:19">
      <c r="B714" s="15" t="s">
        <v>96</v>
      </c>
      <c r="C714" s="315">
        <v>5827.26</v>
      </c>
      <c r="D714" s="315">
        <v>4942.878730822873</v>
      </c>
      <c r="E714" s="315">
        <v>4942.878730822873</v>
      </c>
      <c r="F714" s="315">
        <v>12159.57</v>
      </c>
      <c r="G714" s="314">
        <v>2665.2525383542538</v>
      </c>
      <c r="H714" s="355">
        <v>14440.35</v>
      </c>
      <c r="I714" s="355">
        <v>7389.1402248953973</v>
      </c>
      <c r="J714" s="355">
        <v>13987.46</v>
      </c>
      <c r="K714" s="315">
        <v>18112.440000000002</v>
      </c>
      <c r="L714" s="315">
        <v>3027.1437517433751</v>
      </c>
      <c r="R714" s="29"/>
    </row>
    <row r="715" spans="2:19">
      <c r="B715" s="11" t="s">
        <v>147</v>
      </c>
      <c r="C715" s="34"/>
      <c r="D715" s="34"/>
      <c r="E715" s="34"/>
      <c r="F715" s="34"/>
      <c r="G715" s="34"/>
      <c r="H715" s="427"/>
      <c r="I715" s="427"/>
      <c r="J715" s="427"/>
    </row>
    <row r="716" spans="2:19">
      <c r="B716" s="50" t="s">
        <v>362</v>
      </c>
      <c r="C716" s="85">
        <f>C714-C715</f>
        <v>5827.26</v>
      </c>
      <c r="D716" s="85">
        <f>D714-D715</f>
        <v>4942.878730822873</v>
      </c>
      <c r="E716" s="85">
        <f t="shared" ref="E716:L716" si="140">E714-E715</f>
        <v>4942.878730822873</v>
      </c>
      <c r="F716" s="85">
        <f t="shared" si="140"/>
        <v>12159.57</v>
      </c>
      <c r="G716" s="85">
        <f t="shared" si="140"/>
        <v>2665.2525383542538</v>
      </c>
      <c r="H716" s="428">
        <f t="shared" si="140"/>
        <v>14440.35</v>
      </c>
      <c r="I716" s="428">
        <f t="shared" si="140"/>
        <v>7389.1402248953973</v>
      </c>
      <c r="J716" s="428">
        <f t="shared" si="140"/>
        <v>13987.46</v>
      </c>
      <c r="K716" s="428">
        <f t="shared" si="140"/>
        <v>18112.440000000002</v>
      </c>
      <c r="L716" s="428">
        <f t="shared" si="140"/>
        <v>3027.1437517433751</v>
      </c>
    </row>
    <row r="717" spans="2:19">
      <c r="B717" s="15" t="s">
        <v>97</v>
      </c>
      <c r="C717" s="327">
        <f t="shared" ref="C717:L717" si="141">60/10</f>
        <v>6</v>
      </c>
      <c r="D717" s="327">
        <f t="shared" si="141"/>
        <v>6</v>
      </c>
      <c r="E717" s="327">
        <f t="shared" si="141"/>
        <v>6</v>
      </c>
      <c r="F717" s="327">
        <f t="shared" si="141"/>
        <v>6</v>
      </c>
      <c r="G717" s="327">
        <f t="shared" si="141"/>
        <v>6</v>
      </c>
      <c r="H717" s="327">
        <f t="shared" si="141"/>
        <v>6</v>
      </c>
      <c r="I717" s="327">
        <f t="shared" si="141"/>
        <v>6</v>
      </c>
      <c r="J717" s="327">
        <f t="shared" si="141"/>
        <v>6</v>
      </c>
      <c r="K717" s="327">
        <f t="shared" si="141"/>
        <v>6</v>
      </c>
      <c r="L717" s="327">
        <f t="shared" si="141"/>
        <v>6</v>
      </c>
      <c r="P717" s="29">
        <f>SUM(C717:L717)</f>
        <v>60</v>
      </c>
    </row>
    <row r="718" spans="2:19">
      <c r="B718" s="50" t="s">
        <v>148</v>
      </c>
      <c r="C718" s="51">
        <f t="shared" ref="C718:L718" si="142">C716-C717</f>
        <v>5821.26</v>
      </c>
      <c r="D718" s="51">
        <f t="shared" si="142"/>
        <v>4936.878730822873</v>
      </c>
      <c r="E718" s="51">
        <f t="shared" si="142"/>
        <v>4936.878730822873</v>
      </c>
      <c r="F718" s="51">
        <f t="shared" si="142"/>
        <v>12153.57</v>
      </c>
      <c r="G718" s="51">
        <f t="shared" si="142"/>
        <v>2659.2525383542538</v>
      </c>
      <c r="H718" s="51">
        <f t="shared" si="142"/>
        <v>14434.35</v>
      </c>
      <c r="I718" s="51">
        <f t="shared" si="142"/>
        <v>7383.1402248953973</v>
      </c>
      <c r="J718" s="51">
        <f t="shared" si="142"/>
        <v>13981.46</v>
      </c>
      <c r="K718" s="51">
        <f t="shared" si="142"/>
        <v>18106.440000000002</v>
      </c>
      <c r="L718" s="51">
        <f t="shared" si="142"/>
        <v>3021.1437517433751</v>
      </c>
    </row>
    <row r="719" spans="2:19">
      <c r="B719" s="15" t="s">
        <v>150</v>
      </c>
      <c r="C719" s="248">
        <v>3419.41</v>
      </c>
      <c r="D719" s="34"/>
      <c r="F719" s="248">
        <v>6672.2</v>
      </c>
      <c r="G719" s="34"/>
      <c r="H719" s="430">
        <v>7782.92</v>
      </c>
      <c r="I719" s="432"/>
      <c r="J719" s="430">
        <v>7568.7</v>
      </c>
      <c r="K719" s="430">
        <v>9519.84</v>
      </c>
      <c r="P719" s="29">
        <f>SUM(C719:L719)</f>
        <v>34963.07</v>
      </c>
    </row>
    <row r="720" spans="2:19">
      <c r="B720" s="15" t="s">
        <v>99</v>
      </c>
      <c r="C720" s="34">
        <f>135</f>
        <v>135</v>
      </c>
      <c r="D720" s="34">
        <f>135</f>
        <v>135</v>
      </c>
      <c r="E720" s="34">
        <f>135</f>
        <v>135</v>
      </c>
      <c r="F720" s="34">
        <f>135</f>
        <v>135</v>
      </c>
      <c r="G720" s="34">
        <f>135</f>
        <v>135</v>
      </c>
      <c r="H720" s="34">
        <f>135</f>
        <v>135</v>
      </c>
      <c r="I720" s="34">
        <f>135</f>
        <v>135</v>
      </c>
      <c r="J720" s="34">
        <f>135</f>
        <v>135</v>
      </c>
      <c r="K720" s="34">
        <f>135</f>
        <v>135</v>
      </c>
      <c r="L720" s="34">
        <f>135</f>
        <v>135</v>
      </c>
    </row>
    <row r="721" spans="2:17">
      <c r="B721" s="47" t="s">
        <v>109</v>
      </c>
      <c r="C721" s="48">
        <f t="shared" ref="C721:L721" si="143">C718-C719-C720</f>
        <v>2266.8500000000004</v>
      </c>
      <c r="D721" s="48">
        <f t="shared" si="143"/>
        <v>4801.878730822873</v>
      </c>
      <c r="E721" s="48">
        <f t="shared" si="143"/>
        <v>4801.878730822873</v>
      </c>
      <c r="F721" s="48">
        <f t="shared" si="143"/>
        <v>5346.37</v>
      </c>
      <c r="G721" s="48">
        <f t="shared" si="143"/>
        <v>2524.2525383542538</v>
      </c>
      <c r="H721" s="48">
        <f t="shared" si="143"/>
        <v>6516.43</v>
      </c>
      <c r="I721" s="48">
        <f t="shared" si="143"/>
        <v>7248.1402248953973</v>
      </c>
      <c r="J721" s="48">
        <f t="shared" si="143"/>
        <v>6277.7599999999993</v>
      </c>
      <c r="K721" s="48">
        <f t="shared" si="143"/>
        <v>8451.6000000000022</v>
      </c>
      <c r="L721" s="48">
        <f t="shared" si="143"/>
        <v>2886.1437517433751</v>
      </c>
    </row>
    <row r="722" spans="2:17">
      <c r="B722" s="11" t="s">
        <v>153</v>
      </c>
      <c r="C722" s="34">
        <v>491</v>
      </c>
      <c r="D722" s="34">
        <f>$C$722</f>
        <v>491</v>
      </c>
      <c r="E722" s="34">
        <f t="shared" ref="E722:L722" si="144">$C$722</f>
        <v>491</v>
      </c>
      <c r="F722" s="34">
        <f t="shared" si="144"/>
        <v>491</v>
      </c>
      <c r="G722" s="34">
        <f t="shared" si="144"/>
        <v>491</v>
      </c>
      <c r="H722" s="34">
        <f t="shared" si="144"/>
        <v>491</v>
      </c>
      <c r="I722" s="34">
        <f t="shared" si="144"/>
        <v>491</v>
      </c>
      <c r="J722" s="34">
        <f t="shared" si="144"/>
        <v>491</v>
      </c>
      <c r="K722" s="34">
        <f t="shared" si="144"/>
        <v>491</v>
      </c>
      <c r="L722" s="34">
        <f t="shared" si="144"/>
        <v>491</v>
      </c>
    </row>
    <row r="723" spans="2:17">
      <c r="B723" s="47" t="s">
        <v>100</v>
      </c>
      <c r="C723" s="34">
        <f t="shared" ref="C723:L723" si="145">C722*C721</f>
        <v>1113023.3500000001</v>
      </c>
      <c r="D723" s="34">
        <f t="shared" si="145"/>
        <v>2357722.4568340308</v>
      </c>
      <c r="E723" s="34">
        <f t="shared" si="145"/>
        <v>2357722.4568340308</v>
      </c>
      <c r="F723" s="34">
        <f t="shared" si="145"/>
        <v>2625067.67</v>
      </c>
      <c r="G723" s="34">
        <f t="shared" si="145"/>
        <v>1239407.9963319385</v>
      </c>
      <c r="H723" s="34">
        <f t="shared" si="145"/>
        <v>3199567.1300000004</v>
      </c>
      <c r="I723" s="34">
        <f t="shared" si="145"/>
        <v>3558836.8504236401</v>
      </c>
      <c r="J723" s="34">
        <f t="shared" si="145"/>
        <v>3082380.1599999997</v>
      </c>
      <c r="K723" s="34">
        <f t="shared" si="145"/>
        <v>4149735.600000001</v>
      </c>
      <c r="L723" s="34">
        <f t="shared" si="145"/>
        <v>1417096.5821059973</v>
      </c>
      <c r="P723" s="29">
        <f>SUM(C723:L723)</f>
        <v>25100560.25252964</v>
      </c>
      <c r="Q723" s="29"/>
    </row>
    <row r="724" spans="2:17">
      <c r="B724" s="15" t="s">
        <v>151</v>
      </c>
      <c r="C724" s="34">
        <v>0</v>
      </c>
      <c r="D724" s="54">
        <v>1409287.55</v>
      </c>
      <c r="E724" s="54">
        <v>1409287.55</v>
      </c>
      <c r="F724" s="34">
        <v>0</v>
      </c>
      <c r="G724" s="54">
        <v>786551.54</v>
      </c>
      <c r="H724" s="427">
        <v>0</v>
      </c>
      <c r="I724" s="54">
        <v>2039964.81</v>
      </c>
      <c r="J724" s="427">
        <v>0</v>
      </c>
      <c r="K724" s="427">
        <v>0</v>
      </c>
      <c r="L724" s="54">
        <v>891602.12</v>
      </c>
    </row>
    <row r="725" spans="2:17">
      <c r="B725" s="12" t="s">
        <v>152</v>
      </c>
      <c r="C725" s="34">
        <f t="shared" ref="C725:L725" si="146">C723-C724</f>
        <v>1113023.3500000001</v>
      </c>
      <c r="D725" s="34">
        <f t="shared" si="146"/>
        <v>948434.90683403076</v>
      </c>
      <c r="E725" s="34">
        <f t="shared" si="146"/>
        <v>948434.90683403076</v>
      </c>
      <c r="F725" s="34">
        <f t="shared" si="146"/>
        <v>2625067.67</v>
      </c>
      <c r="G725" s="34">
        <f t="shared" si="146"/>
        <v>452856.45633193851</v>
      </c>
      <c r="H725" s="427">
        <f t="shared" si="146"/>
        <v>3199567.1300000004</v>
      </c>
      <c r="I725" s="427">
        <f t="shared" si="146"/>
        <v>1518872.04042364</v>
      </c>
      <c r="J725" s="427">
        <f t="shared" si="146"/>
        <v>3082380.1599999997</v>
      </c>
      <c r="K725" s="427">
        <f t="shared" si="146"/>
        <v>4149735.600000001</v>
      </c>
      <c r="L725" s="427">
        <f t="shared" si="146"/>
        <v>525494.46210599726</v>
      </c>
    </row>
    <row r="728" spans="2:17">
      <c r="C728" s="600" t="s">
        <v>1348</v>
      </c>
      <c r="D728" s="600"/>
      <c r="E728" s="600"/>
    </row>
    <row r="730" spans="2:17">
      <c r="B730" s="11" t="s">
        <v>178</v>
      </c>
      <c r="C730" s="504">
        <v>208</v>
      </c>
      <c r="D730" s="504">
        <v>209</v>
      </c>
      <c r="E730" s="504">
        <v>210</v>
      </c>
    </row>
    <row r="731" spans="2:17">
      <c r="B731" s="11" t="s">
        <v>110</v>
      </c>
      <c r="C731" s="505">
        <v>478</v>
      </c>
      <c r="D731" s="505">
        <v>478</v>
      </c>
      <c r="E731" s="505">
        <v>478</v>
      </c>
    </row>
    <row r="732" spans="2:17" ht="24">
      <c r="C732" s="386" t="s">
        <v>1351</v>
      </c>
      <c r="D732" s="386" t="s">
        <v>1350</v>
      </c>
      <c r="E732" s="386" t="s">
        <v>1349</v>
      </c>
    </row>
    <row r="733" spans="2:17">
      <c r="B733" s="15" t="s">
        <v>96</v>
      </c>
      <c r="C733" s="315">
        <v>8562.5499999999993</v>
      </c>
      <c r="D733" s="315">
        <v>3493.93</v>
      </c>
      <c r="E733" s="315">
        <v>19871.14</v>
      </c>
    </row>
    <row r="734" spans="2:17">
      <c r="B734" s="11" t="s">
        <v>147</v>
      </c>
      <c r="C734" s="34"/>
      <c r="D734" s="34"/>
      <c r="E734" s="34"/>
    </row>
    <row r="735" spans="2:17">
      <c r="B735" s="50" t="s">
        <v>362</v>
      </c>
      <c r="C735" s="85">
        <f>C733-C734</f>
        <v>8562.5499999999993</v>
      </c>
      <c r="D735" s="85">
        <f>D733-D734</f>
        <v>3493.93</v>
      </c>
      <c r="E735" s="85">
        <f>E733-E734</f>
        <v>19871.14</v>
      </c>
    </row>
    <row r="736" spans="2:17">
      <c r="B736" s="15" t="s">
        <v>97</v>
      </c>
      <c r="C736" s="327">
        <v>20</v>
      </c>
      <c r="D736" s="327">
        <v>20</v>
      </c>
      <c r="E736" s="327">
        <v>29.81</v>
      </c>
    </row>
    <row r="737" spans="2:19">
      <c r="B737" s="50" t="s">
        <v>148</v>
      </c>
      <c r="C737" s="51">
        <f>C735-C736</f>
        <v>8542.5499999999993</v>
      </c>
      <c r="D737" s="51">
        <f>D735-D736</f>
        <v>3473.93</v>
      </c>
      <c r="E737" s="51">
        <f>E735-E736</f>
        <v>19841.329999999998</v>
      </c>
    </row>
    <row r="738" spans="2:19">
      <c r="B738" s="15" t="s">
        <v>150</v>
      </c>
      <c r="C738" s="248">
        <v>4735.8100000000004</v>
      </c>
      <c r="D738" s="248">
        <v>2128.54</v>
      </c>
      <c r="E738" s="468">
        <v>0</v>
      </c>
      <c r="G738" s="29">
        <f>SUM(C738:E738)</f>
        <v>6864.35</v>
      </c>
      <c r="H738" s="29">
        <f>+P719+G738</f>
        <v>41827.42</v>
      </c>
    </row>
    <row r="739" spans="2:19">
      <c r="B739" s="15" t="s">
        <v>99</v>
      </c>
      <c r="C739" s="34">
        <f>135</f>
        <v>135</v>
      </c>
      <c r="D739" s="34">
        <f>135</f>
        <v>135</v>
      </c>
      <c r="E739" s="34">
        <f>135</f>
        <v>135</v>
      </c>
    </row>
    <row r="740" spans="2:19">
      <c r="B740" s="47" t="s">
        <v>109</v>
      </c>
      <c r="C740" s="48">
        <f>C737-C738-C739</f>
        <v>3671.7399999999989</v>
      </c>
      <c r="D740" s="48">
        <f>D737-D738-D739</f>
        <v>1210.3899999999999</v>
      </c>
      <c r="E740" s="48">
        <f>E737-E738-E739</f>
        <v>19706.329999999998</v>
      </c>
    </row>
    <row r="741" spans="2:19">
      <c r="B741" s="11" t="s">
        <v>153</v>
      </c>
      <c r="C741" s="34">
        <v>491</v>
      </c>
      <c r="D741" s="34">
        <f>$C$741</f>
        <v>491</v>
      </c>
      <c r="E741" s="34">
        <f>$C$741</f>
        <v>491</v>
      </c>
    </row>
    <row r="742" spans="2:19">
      <c r="B742" s="47" t="s">
        <v>100</v>
      </c>
      <c r="C742" s="34">
        <f>C741*C740</f>
        <v>1802824.3399999994</v>
      </c>
      <c r="D742" s="34">
        <f>D741*D740</f>
        <v>594301.49</v>
      </c>
      <c r="E742" s="34">
        <f>E741*E740</f>
        <v>9675808.0299999993</v>
      </c>
      <c r="G742" s="29">
        <f>SUM(C742:E742)</f>
        <v>12072933.859999999</v>
      </c>
      <c r="I742" s="29">
        <f>P723+G742</f>
        <v>37173494.112529635</v>
      </c>
      <c r="J742" s="48">
        <f>I742/C741</f>
        <v>75709.763976638773</v>
      </c>
    </row>
    <row r="743" spans="2:19">
      <c r="B743" s="15" t="s">
        <v>151</v>
      </c>
      <c r="C743" s="34">
        <v>0</v>
      </c>
      <c r="D743" s="34">
        <v>0</v>
      </c>
      <c r="E743" s="54">
        <v>4735945.3099999996</v>
      </c>
    </row>
    <row r="744" spans="2:19">
      <c r="B744" s="12" t="s">
        <v>152</v>
      </c>
      <c r="C744" s="34">
        <f>C742-C743</f>
        <v>1802824.3399999994</v>
      </c>
      <c r="D744" s="34">
        <f>D742-D743</f>
        <v>594301.49</v>
      </c>
      <c r="E744" s="34">
        <f>E742-E743</f>
        <v>4939862.72</v>
      </c>
    </row>
    <row r="747" spans="2:19">
      <c r="B747" s="11" t="s">
        <v>1387</v>
      </c>
      <c r="C747" s="536"/>
      <c r="D747" s="536"/>
      <c r="E747" s="536"/>
    </row>
    <row r="750" spans="2:19">
      <c r="B750" s="601" t="s">
        <v>1394</v>
      </c>
      <c r="C750" s="601"/>
      <c r="D750" s="601"/>
      <c r="E750" s="601"/>
      <c r="F750" s="601"/>
      <c r="G750" s="601"/>
      <c r="H750" s="601"/>
      <c r="I750" s="601"/>
      <c r="J750" s="601"/>
      <c r="K750" s="601"/>
      <c r="L750" s="601"/>
    </row>
    <row r="751" spans="2:19">
      <c r="B751" s="533"/>
      <c r="C751" s="533"/>
      <c r="D751" s="533"/>
      <c r="E751" s="533"/>
      <c r="F751" s="533"/>
      <c r="G751" s="533"/>
      <c r="H751" s="533"/>
      <c r="I751" s="533"/>
      <c r="J751" s="533"/>
      <c r="K751" s="533"/>
      <c r="L751" s="533"/>
    </row>
    <row r="752" spans="2:19">
      <c r="B752" s="11" t="s">
        <v>178</v>
      </c>
      <c r="C752" s="391">
        <v>212</v>
      </c>
      <c r="D752" s="391">
        <v>212</v>
      </c>
      <c r="E752" s="391">
        <v>212</v>
      </c>
      <c r="F752" s="391">
        <v>212</v>
      </c>
      <c r="G752" s="391">
        <v>212</v>
      </c>
      <c r="H752" s="391">
        <v>212</v>
      </c>
      <c r="I752" s="391">
        <v>212</v>
      </c>
      <c r="J752" s="391">
        <v>212</v>
      </c>
      <c r="K752" s="391">
        <v>212</v>
      </c>
      <c r="L752" s="391">
        <v>212</v>
      </c>
      <c r="Q752" s="55" t="s">
        <v>334</v>
      </c>
      <c r="R752" s="55" t="s">
        <v>335</v>
      </c>
      <c r="S752" s="50" t="s">
        <v>336</v>
      </c>
    </row>
    <row r="753" spans="2:19">
      <c r="B753" s="11" t="s">
        <v>110</v>
      </c>
      <c r="C753" s="11">
        <v>491</v>
      </c>
      <c r="D753" s="11">
        <v>491</v>
      </c>
      <c r="E753" s="11">
        <v>491</v>
      </c>
      <c r="F753" s="11">
        <v>491</v>
      </c>
      <c r="G753" s="11">
        <v>491</v>
      </c>
      <c r="H753" s="11">
        <v>491</v>
      </c>
      <c r="I753" s="11">
        <v>491</v>
      </c>
      <c r="J753" s="11">
        <v>491</v>
      </c>
      <c r="K753" s="11">
        <v>491</v>
      </c>
      <c r="L753" s="11">
        <v>491</v>
      </c>
      <c r="Q753" s="29">
        <f>SUM(C755:L755)</f>
        <v>80955.41</v>
      </c>
      <c r="R753" s="32">
        <f>'BAC SAN JOSE USD'!E514</f>
        <v>80955.41</v>
      </c>
      <c r="S753" s="247">
        <f>Q753-R753</f>
        <v>0</v>
      </c>
    </row>
    <row r="754" spans="2:19" ht="24">
      <c r="C754" s="415" t="s">
        <v>107</v>
      </c>
      <c r="D754" s="415" t="s">
        <v>179</v>
      </c>
      <c r="E754" s="415" t="s">
        <v>202</v>
      </c>
      <c r="F754" s="415" t="s">
        <v>181</v>
      </c>
      <c r="G754" s="415" t="s">
        <v>337</v>
      </c>
      <c r="H754" s="386" t="s">
        <v>744</v>
      </c>
      <c r="I754" s="386" t="s">
        <v>946</v>
      </c>
      <c r="J754" s="386" t="s">
        <v>947</v>
      </c>
      <c r="K754" s="386" t="s">
        <v>1006</v>
      </c>
      <c r="L754" s="386" t="s">
        <v>1123</v>
      </c>
    </row>
    <row r="755" spans="2:19">
      <c r="B755" s="15" t="s">
        <v>96</v>
      </c>
      <c r="C755" s="315">
        <v>6181.18</v>
      </c>
      <c r="D755" s="315">
        <v>5107.0200000000004</v>
      </c>
      <c r="E755" s="315">
        <v>5107.0200000000004</v>
      </c>
      <c r="F755" s="315">
        <v>12908.94</v>
      </c>
      <c r="G755" s="314">
        <v>2751.23</v>
      </c>
      <c r="H755" s="355">
        <v>9552.2800000000007</v>
      </c>
      <c r="I755" s="355">
        <v>7637.24</v>
      </c>
      <c r="J755" s="355">
        <v>14850.98</v>
      </c>
      <c r="K755" s="315">
        <v>13756.61</v>
      </c>
      <c r="L755" s="315">
        <v>3102.91</v>
      </c>
    </row>
    <row r="756" spans="2:19">
      <c r="B756" s="11" t="s">
        <v>147</v>
      </c>
      <c r="C756" s="34"/>
      <c r="D756" s="34"/>
      <c r="E756" s="34"/>
      <c r="F756" s="34"/>
      <c r="G756" s="34"/>
      <c r="H756" s="427"/>
      <c r="I756" s="427"/>
      <c r="J756" s="427"/>
    </row>
    <row r="757" spans="2:19">
      <c r="B757" s="50" t="s">
        <v>362</v>
      </c>
      <c r="C757" s="85">
        <f>C755-C756</f>
        <v>6181.18</v>
      </c>
      <c r="D757" s="85">
        <f>D755-D756</f>
        <v>5107.0200000000004</v>
      </c>
      <c r="E757" s="85">
        <f t="shared" ref="E757:L757" si="147">E755-E756</f>
        <v>5107.0200000000004</v>
      </c>
      <c r="F757" s="85">
        <f t="shared" si="147"/>
        <v>12908.94</v>
      </c>
      <c r="G757" s="85">
        <f t="shared" si="147"/>
        <v>2751.23</v>
      </c>
      <c r="H757" s="428">
        <f t="shared" si="147"/>
        <v>9552.2800000000007</v>
      </c>
      <c r="I757" s="428">
        <f t="shared" si="147"/>
        <v>7637.24</v>
      </c>
      <c r="J757" s="428">
        <f t="shared" si="147"/>
        <v>14850.98</v>
      </c>
      <c r="K757" s="428">
        <f t="shared" si="147"/>
        <v>13756.61</v>
      </c>
      <c r="L757" s="428">
        <f t="shared" si="147"/>
        <v>3102.91</v>
      </c>
    </row>
    <row r="758" spans="2:19">
      <c r="B758" s="15" t="s">
        <v>97</v>
      </c>
      <c r="C758" s="327">
        <f>40/10</f>
        <v>4</v>
      </c>
      <c r="D758" s="327">
        <f t="shared" ref="D758:L758" si="148">40/10</f>
        <v>4</v>
      </c>
      <c r="E758" s="327">
        <f t="shared" si="148"/>
        <v>4</v>
      </c>
      <c r="F758" s="327">
        <f t="shared" si="148"/>
        <v>4</v>
      </c>
      <c r="G758" s="327">
        <f t="shared" si="148"/>
        <v>4</v>
      </c>
      <c r="H758" s="327">
        <f t="shared" si="148"/>
        <v>4</v>
      </c>
      <c r="I758" s="327">
        <f t="shared" si="148"/>
        <v>4</v>
      </c>
      <c r="J758" s="327">
        <f t="shared" si="148"/>
        <v>4</v>
      </c>
      <c r="K758" s="327">
        <f t="shared" si="148"/>
        <v>4</v>
      </c>
      <c r="L758" s="327">
        <f t="shared" si="148"/>
        <v>4</v>
      </c>
      <c r="P758" s="29">
        <f>SUM(C758:L758)</f>
        <v>40</v>
      </c>
    </row>
    <row r="759" spans="2:19">
      <c r="B759" s="50" t="s">
        <v>148</v>
      </c>
      <c r="C759" s="51">
        <f t="shared" ref="C759:L759" si="149">C757-C758</f>
        <v>6177.18</v>
      </c>
      <c r="D759" s="51">
        <f t="shared" si="149"/>
        <v>5103.0200000000004</v>
      </c>
      <c r="E759" s="51">
        <f t="shared" si="149"/>
        <v>5103.0200000000004</v>
      </c>
      <c r="F759" s="51">
        <f t="shared" si="149"/>
        <v>12904.94</v>
      </c>
      <c r="G759" s="51">
        <f t="shared" si="149"/>
        <v>2747.23</v>
      </c>
      <c r="H759" s="51">
        <f t="shared" si="149"/>
        <v>9548.2800000000007</v>
      </c>
      <c r="I759" s="51">
        <f t="shared" si="149"/>
        <v>7633.24</v>
      </c>
      <c r="J759" s="51">
        <f t="shared" si="149"/>
        <v>14846.98</v>
      </c>
      <c r="K759" s="51">
        <f t="shared" si="149"/>
        <v>13752.61</v>
      </c>
      <c r="L759" s="51">
        <f t="shared" si="149"/>
        <v>3098.91</v>
      </c>
    </row>
    <row r="760" spans="2:19">
      <c r="B760" s="15" t="s">
        <v>150</v>
      </c>
      <c r="C760" s="248">
        <v>3411.45</v>
      </c>
      <c r="D760" s="34"/>
      <c r="F760" s="248">
        <v>6655.89</v>
      </c>
      <c r="G760" s="34"/>
      <c r="H760" s="430">
        <v>5049.07</v>
      </c>
      <c r="I760" s="432"/>
      <c r="J760" s="430">
        <v>7548.45</v>
      </c>
      <c r="K760" s="430">
        <v>7088.35</v>
      </c>
      <c r="P760" s="29">
        <f>SUM(C760:L760)</f>
        <v>29753.21</v>
      </c>
    </row>
    <row r="761" spans="2:19">
      <c r="B761" s="15" t="s">
        <v>99</v>
      </c>
      <c r="C761" s="34">
        <f>135</f>
        <v>135</v>
      </c>
      <c r="D761" s="34">
        <f>135</f>
        <v>135</v>
      </c>
      <c r="E761" s="34">
        <f>135</f>
        <v>135</v>
      </c>
      <c r="F761" s="34">
        <f>135</f>
        <v>135</v>
      </c>
      <c r="G761" s="34">
        <f>135</f>
        <v>135</v>
      </c>
      <c r="H761" s="34">
        <f>135</f>
        <v>135</v>
      </c>
      <c r="I761" s="34">
        <f>135</f>
        <v>135</v>
      </c>
      <c r="J761" s="34">
        <f>135</f>
        <v>135</v>
      </c>
      <c r="K761" s="34">
        <f>135</f>
        <v>135</v>
      </c>
      <c r="L761" s="34">
        <f>135</f>
        <v>135</v>
      </c>
    </row>
    <row r="762" spans="2:19">
      <c r="B762" s="47" t="s">
        <v>109</v>
      </c>
      <c r="C762" s="48">
        <f t="shared" ref="C762:L762" si="150">C759-C760-C761</f>
        <v>2630.7300000000005</v>
      </c>
      <c r="D762" s="48">
        <f t="shared" si="150"/>
        <v>4968.0200000000004</v>
      </c>
      <c r="E762" s="48">
        <f t="shared" si="150"/>
        <v>4968.0200000000004</v>
      </c>
      <c r="F762" s="48">
        <f t="shared" si="150"/>
        <v>6114.05</v>
      </c>
      <c r="G762" s="48">
        <f t="shared" si="150"/>
        <v>2612.23</v>
      </c>
      <c r="H762" s="48">
        <f t="shared" si="150"/>
        <v>4364.2100000000009</v>
      </c>
      <c r="I762" s="48">
        <f t="shared" si="150"/>
        <v>7498.24</v>
      </c>
      <c r="J762" s="48">
        <f t="shared" si="150"/>
        <v>7163.53</v>
      </c>
      <c r="K762" s="48">
        <f t="shared" si="150"/>
        <v>6529.26</v>
      </c>
      <c r="L762" s="48">
        <f t="shared" si="150"/>
        <v>2963.91</v>
      </c>
      <c r="P762" s="29">
        <f>SUM(C762:L762)</f>
        <v>49812.2</v>
      </c>
      <c r="Q762" s="29"/>
    </row>
    <row r="763" spans="2:19">
      <c r="B763" s="11" t="s">
        <v>153</v>
      </c>
      <c r="C763" s="34">
        <v>486</v>
      </c>
      <c r="D763" s="34">
        <f>$C$763</f>
        <v>486</v>
      </c>
      <c r="E763" s="34">
        <f t="shared" ref="E763:L763" si="151">$C$763</f>
        <v>486</v>
      </c>
      <c r="F763" s="34">
        <f t="shared" si="151"/>
        <v>486</v>
      </c>
      <c r="G763" s="34">
        <f t="shared" si="151"/>
        <v>486</v>
      </c>
      <c r="H763" s="34">
        <f t="shared" si="151"/>
        <v>486</v>
      </c>
      <c r="I763" s="34">
        <f t="shared" si="151"/>
        <v>486</v>
      </c>
      <c r="J763" s="34">
        <f t="shared" si="151"/>
        <v>486</v>
      </c>
      <c r="K763" s="34">
        <f t="shared" si="151"/>
        <v>486</v>
      </c>
      <c r="L763" s="34">
        <f t="shared" si="151"/>
        <v>486</v>
      </c>
    </row>
    <row r="764" spans="2:19">
      <c r="B764" s="47" t="s">
        <v>100</v>
      </c>
      <c r="C764" s="34">
        <f t="shared" ref="C764:L764" si="152">C763*C762</f>
        <v>1278534.7800000003</v>
      </c>
      <c r="D764" s="34">
        <f>D763*D762</f>
        <v>2414457.7200000002</v>
      </c>
      <c r="E764" s="34">
        <f t="shared" si="152"/>
        <v>2414457.7200000002</v>
      </c>
      <c r="F764" s="34">
        <f t="shared" si="152"/>
        <v>2971428.3000000003</v>
      </c>
      <c r="G764" s="34">
        <f t="shared" si="152"/>
        <v>1269543.78</v>
      </c>
      <c r="H764" s="34">
        <f t="shared" si="152"/>
        <v>2121006.0600000005</v>
      </c>
      <c r="I764" s="34">
        <f t="shared" si="152"/>
        <v>3644144.6399999997</v>
      </c>
      <c r="J764" s="34">
        <f t="shared" si="152"/>
        <v>3481475.58</v>
      </c>
      <c r="K764" s="34">
        <f t="shared" si="152"/>
        <v>3173220.3600000003</v>
      </c>
      <c r="L764" s="34">
        <f t="shared" si="152"/>
        <v>1440460.26</v>
      </c>
      <c r="P764" s="29">
        <f>SUM(C764:L764)</f>
        <v>24208729.199999999</v>
      </c>
      <c r="Q764" s="29"/>
    </row>
    <row r="765" spans="2:19">
      <c r="B765" s="15" t="s">
        <v>151</v>
      </c>
      <c r="C765" s="34">
        <v>0</v>
      </c>
      <c r="D765" s="54">
        <v>1405947.8</v>
      </c>
      <c r="E765" s="54">
        <v>1405947.8</v>
      </c>
      <c r="F765" s="34">
        <v>0</v>
      </c>
      <c r="G765" s="54">
        <v>785142.74</v>
      </c>
      <c r="H765" s="427">
        <v>0</v>
      </c>
      <c r="I765" s="54">
        <v>2034799.39</v>
      </c>
      <c r="J765" s="427">
        <v>0</v>
      </c>
      <c r="K765" s="427">
        <v>0</v>
      </c>
      <c r="L765" s="54">
        <v>883500</v>
      </c>
    </row>
    <row r="766" spans="2:19">
      <c r="B766" s="12" t="s">
        <v>152</v>
      </c>
      <c r="C766" s="34">
        <f t="shared" ref="C766:L766" si="153">C764-C765</f>
        <v>1278534.7800000003</v>
      </c>
      <c r="D766" s="34">
        <f t="shared" si="153"/>
        <v>1008509.9200000002</v>
      </c>
      <c r="E766" s="34">
        <f t="shared" si="153"/>
        <v>1008509.9200000002</v>
      </c>
      <c r="F766" s="34">
        <f t="shared" si="153"/>
        <v>2971428.3000000003</v>
      </c>
      <c r="G766" s="34">
        <f t="shared" si="153"/>
        <v>484401.04000000004</v>
      </c>
      <c r="H766" s="427">
        <f t="shared" si="153"/>
        <v>2121006.0600000005</v>
      </c>
      <c r="I766" s="427">
        <f t="shared" si="153"/>
        <v>1609345.2499999998</v>
      </c>
      <c r="J766" s="427">
        <f t="shared" si="153"/>
        <v>3481475.58</v>
      </c>
      <c r="K766" s="427">
        <f t="shared" si="153"/>
        <v>3173220.3600000003</v>
      </c>
      <c r="L766" s="427">
        <f t="shared" si="153"/>
        <v>556960.26</v>
      </c>
    </row>
    <row r="769" spans="2:19">
      <c r="C769" s="600" t="s">
        <v>1395</v>
      </c>
      <c r="D769" s="600"/>
      <c r="E769" s="600"/>
    </row>
    <row r="770" spans="2:19">
      <c r="Q770" s="55" t="s">
        <v>334</v>
      </c>
      <c r="R770" s="55" t="s">
        <v>335</v>
      </c>
      <c r="S770" s="50" t="s">
        <v>336</v>
      </c>
    </row>
    <row r="771" spans="2:19">
      <c r="B771" s="11" t="s">
        <v>178</v>
      </c>
      <c r="C771" s="534">
        <v>213</v>
      </c>
      <c r="D771" s="534">
        <v>210</v>
      </c>
      <c r="E771" s="534">
        <v>216</v>
      </c>
      <c r="Q771" s="29">
        <f>SUM(C774:E774)</f>
        <v>31478.229999999996</v>
      </c>
      <c r="R771" s="29">
        <f>'BAC SAN JOSE USD'!$E$512+'BAC SAN JOSE USD'!$E$510+'BAC SAN JOSE USD'!$E$519</f>
        <v>31478.229999999996</v>
      </c>
      <c r="S771" s="247">
        <f>Q771-R771</f>
        <v>0</v>
      </c>
    </row>
    <row r="772" spans="2:19">
      <c r="B772" s="11" t="s">
        <v>110</v>
      </c>
      <c r="C772" s="535">
        <v>491</v>
      </c>
      <c r="D772" s="535">
        <v>491</v>
      </c>
      <c r="E772" s="535">
        <v>491</v>
      </c>
    </row>
    <row r="773" spans="2:19" ht="24">
      <c r="C773" s="386" t="s">
        <v>1351</v>
      </c>
      <c r="D773" s="386" t="s">
        <v>1349</v>
      </c>
      <c r="E773" s="386" t="s">
        <v>1350</v>
      </c>
    </row>
    <row r="774" spans="2:19">
      <c r="B774" s="15" t="s">
        <v>96</v>
      </c>
      <c r="C774" s="315">
        <v>8370.65</v>
      </c>
      <c r="D774" s="315">
        <v>18775.3</v>
      </c>
      <c r="E774" s="315">
        <v>4332.28</v>
      </c>
    </row>
    <row r="775" spans="2:19">
      <c r="B775" s="11" t="s">
        <v>147</v>
      </c>
      <c r="C775" s="34"/>
      <c r="D775" s="34"/>
      <c r="E775" s="34"/>
    </row>
    <row r="776" spans="2:19">
      <c r="B776" s="50" t="s">
        <v>362</v>
      </c>
      <c r="C776" s="85">
        <f>C774-C775</f>
        <v>8370.65</v>
      </c>
      <c r="D776" s="85">
        <f>D774-D775</f>
        <v>18775.3</v>
      </c>
      <c r="E776" s="85">
        <f>E774-E775</f>
        <v>4332.28</v>
      </c>
    </row>
    <row r="777" spans="2:19">
      <c r="B777" s="15" t="s">
        <v>97</v>
      </c>
      <c r="C777" s="327">
        <v>20</v>
      </c>
      <c r="D777" s="327">
        <v>28.16</v>
      </c>
      <c r="E777" s="327">
        <v>20</v>
      </c>
      <c r="G777" s="29">
        <f>SUM(C777:E777)</f>
        <v>68.16</v>
      </c>
    </row>
    <row r="778" spans="2:19">
      <c r="B778" s="50" t="s">
        <v>148</v>
      </c>
      <c r="C778" s="51">
        <f>C776-C777</f>
        <v>8350.65</v>
      </c>
      <c r="D778" s="51">
        <f>D776-D777</f>
        <v>18747.14</v>
      </c>
      <c r="E778" s="51">
        <f>E776-E777</f>
        <v>4312.28</v>
      </c>
    </row>
    <row r="779" spans="2:19">
      <c r="B779" s="15" t="s">
        <v>150</v>
      </c>
      <c r="C779" s="248">
        <v>4723.97</v>
      </c>
      <c r="D779" s="468">
        <v>0</v>
      </c>
      <c r="E779" s="248">
        <v>2542.5300000000002</v>
      </c>
      <c r="G779" s="29">
        <f>SUM(C779:E779)</f>
        <v>7266.5</v>
      </c>
      <c r="H779" s="29"/>
      <c r="I779" s="29"/>
    </row>
    <row r="780" spans="2:19">
      <c r="B780" s="15" t="s">
        <v>99</v>
      </c>
      <c r="C780" s="34">
        <f>135</f>
        <v>135</v>
      </c>
      <c r="D780" s="34">
        <f>135</f>
        <v>135</v>
      </c>
      <c r="E780" s="34">
        <f>135</f>
        <v>135</v>
      </c>
    </row>
    <row r="781" spans="2:19">
      <c r="B781" s="47" t="s">
        <v>109</v>
      </c>
      <c r="C781" s="48">
        <f>C778-C779-C780</f>
        <v>3491.6799999999994</v>
      </c>
      <c r="D781" s="48">
        <f>D778-D779-D780</f>
        <v>18612.14</v>
      </c>
      <c r="E781" s="48">
        <f>E778-E779-E780</f>
        <v>1634.7499999999995</v>
      </c>
      <c r="G781" s="29">
        <f>SUM(C781:E781)</f>
        <v>23738.57</v>
      </c>
    </row>
    <row r="782" spans="2:19">
      <c r="B782" s="11" t="s">
        <v>153</v>
      </c>
      <c r="C782" s="34">
        <v>486</v>
      </c>
      <c r="D782" s="34">
        <f>$C$782</f>
        <v>486</v>
      </c>
      <c r="E782" s="34">
        <f>$C$782</f>
        <v>486</v>
      </c>
    </row>
    <row r="783" spans="2:19">
      <c r="B783" s="47" t="s">
        <v>100</v>
      </c>
      <c r="C783" s="34">
        <f>C782*C781</f>
        <v>1696956.4799999997</v>
      </c>
      <c r="D783" s="34">
        <f>D782*D781</f>
        <v>9045500.0399999991</v>
      </c>
      <c r="E783" s="34">
        <f>E782*E781</f>
        <v>794488.49999999977</v>
      </c>
      <c r="G783" s="29">
        <f>SUM(C783:E783)</f>
        <v>11536945.02</v>
      </c>
      <c r="H783" s="29"/>
      <c r="J783" s="29"/>
      <c r="K783" s="48"/>
    </row>
    <row r="784" spans="2:19">
      <c r="B784" s="15" t="s">
        <v>151</v>
      </c>
      <c r="C784" s="34">
        <v>0</v>
      </c>
      <c r="D784" s="54">
        <v>4821182.5</v>
      </c>
      <c r="E784" s="34">
        <v>0</v>
      </c>
    </row>
    <row r="785" spans="2:10">
      <c r="B785" s="12" t="s">
        <v>152</v>
      </c>
      <c r="C785" s="34">
        <f>C783-C784</f>
        <v>1696956.4799999997</v>
      </c>
      <c r="D785" s="34">
        <f>D783-D784</f>
        <v>4224317.5399999991</v>
      </c>
      <c r="E785" s="34">
        <f>E783-E784</f>
        <v>794488.49999999977</v>
      </c>
    </row>
    <row r="787" spans="2:10">
      <c r="C787" s="600" t="s">
        <v>1399</v>
      </c>
      <c r="D787" s="600"/>
      <c r="E787" s="600"/>
    </row>
    <row r="789" spans="2:10">
      <c r="B789" s="11" t="s">
        <v>178</v>
      </c>
      <c r="C789" s="534">
        <v>215</v>
      </c>
      <c r="D789" s="534">
        <v>215</v>
      </c>
      <c r="E789" s="534">
        <v>215</v>
      </c>
      <c r="F789" s="534">
        <v>215</v>
      </c>
    </row>
    <row r="790" spans="2:10">
      <c r="B790" s="11" t="s">
        <v>110</v>
      </c>
      <c r="C790" s="535">
        <v>478</v>
      </c>
      <c r="D790" s="535">
        <v>478</v>
      </c>
      <c r="E790" s="535">
        <v>478</v>
      </c>
      <c r="F790" s="535">
        <v>478</v>
      </c>
      <c r="H790" s="55" t="s">
        <v>334</v>
      </c>
      <c r="I790" s="55" t="s">
        <v>335</v>
      </c>
      <c r="J790" s="50" t="s">
        <v>336</v>
      </c>
    </row>
    <row r="791" spans="2:10" ht="24">
      <c r="C791" s="386" t="s">
        <v>1400</v>
      </c>
      <c r="D791" s="386" t="s">
        <v>1401</v>
      </c>
      <c r="E791" s="386" t="s">
        <v>1402</v>
      </c>
      <c r="F791" s="386" t="s">
        <v>1403</v>
      </c>
      <c r="H791" s="29">
        <f>SUM(C792:F792)</f>
        <v>23055.799999999996</v>
      </c>
      <c r="I791" s="19">
        <f>'BAC SAN JOSE USD'!$E$516</f>
        <v>23035.8</v>
      </c>
      <c r="J791" s="247">
        <f>H791-I791</f>
        <v>19.999999999996362</v>
      </c>
    </row>
    <row r="792" spans="2:10">
      <c r="B792" s="15" t="s">
        <v>96</v>
      </c>
      <c r="C792" s="315">
        <v>8495.67</v>
      </c>
      <c r="D792" s="315">
        <v>4904.95</v>
      </c>
      <c r="E792" s="315">
        <v>4282.6499999999996</v>
      </c>
      <c r="F792" s="315">
        <v>5372.53</v>
      </c>
    </row>
    <row r="793" spans="2:10">
      <c r="B793" s="11" t="s">
        <v>147</v>
      </c>
      <c r="C793" s="34"/>
      <c r="D793" s="34"/>
      <c r="E793" s="34"/>
      <c r="F793" s="34"/>
    </row>
    <row r="794" spans="2:10">
      <c r="B794" s="50" t="s">
        <v>362</v>
      </c>
      <c r="C794" s="85">
        <f>C792-C793</f>
        <v>8495.67</v>
      </c>
      <c r="D794" s="85">
        <f>D792-D793</f>
        <v>4904.95</v>
      </c>
      <c r="E794" s="85">
        <f>E792-E793</f>
        <v>4282.6499999999996</v>
      </c>
      <c r="F794" s="85">
        <f>F792-F793</f>
        <v>5372.53</v>
      </c>
    </row>
    <row r="795" spans="2:10">
      <c r="B795" s="15" t="s">
        <v>97</v>
      </c>
      <c r="C795" s="327">
        <f>34.55/4</f>
        <v>8.6374999999999993</v>
      </c>
      <c r="D795" s="327">
        <f>34.55/4</f>
        <v>8.6374999999999993</v>
      </c>
      <c r="E795" s="327">
        <f>34.55/4</f>
        <v>8.6374999999999993</v>
      </c>
      <c r="F795" s="327">
        <f>34.55/4</f>
        <v>8.6374999999999993</v>
      </c>
      <c r="H795" s="29">
        <f>SUM(C795:F795)</f>
        <v>34.549999999999997</v>
      </c>
    </row>
    <row r="796" spans="2:10">
      <c r="B796" s="50" t="s">
        <v>148</v>
      </c>
      <c r="C796" s="51">
        <f>C794-C795</f>
        <v>8487.0324999999993</v>
      </c>
      <c r="D796" s="51">
        <f>D794-D795</f>
        <v>4896.3125</v>
      </c>
      <c r="E796" s="51">
        <f>E794-E795</f>
        <v>4274.0124999999998</v>
      </c>
      <c r="F796" s="51">
        <f>F794-F795</f>
        <v>5363.8924999999999</v>
      </c>
    </row>
    <row r="797" spans="2:10">
      <c r="B797" s="15" t="s">
        <v>150</v>
      </c>
      <c r="C797" s="537">
        <v>0</v>
      </c>
      <c r="D797" s="537">
        <v>0</v>
      </c>
      <c r="E797" s="537">
        <v>0</v>
      </c>
      <c r="F797" s="537">
        <v>0</v>
      </c>
      <c r="H797" s="29">
        <f>SUM(C797:F797)</f>
        <v>0</v>
      </c>
    </row>
    <row r="798" spans="2:10">
      <c r="B798" s="15" t="s">
        <v>99</v>
      </c>
      <c r="C798" s="34">
        <v>200</v>
      </c>
      <c r="D798" s="34">
        <v>200</v>
      </c>
      <c r="E798" s="34">
        <v>200</v>
      </c>
      <c r="F798" s="34">
        <v>200</v>
      </c>
    </row>
    <row r="799" spans="2:10">
      <c r="B799" s="47" t="s">
        <v>109</v>
      </c>
      <c r="C799" s="48">
        <f>C796-C797-C798</f>
        <v>8287.0324999999993</v>
      </c>
      <c r="D799" s="48">
        <f>D796-D797-D798</f>
        <v>4696.3125</v>
      </c>
      <c r="E799" s="48">
        <f>E796-E797-E798</f>
        <v>4074.0124999999998</v>
      </c>
      <c r="F799" s="48">
        <f>F796-F797-F798</f>
        <v>5163.8924999999999</v>
      </c>
      <c r="H799" s="29">
        <f>SUM(C799:F799)</f>
        <v>22221.25</v>
      </c>
    </row>
    <row r="800" spans="2:10">
      <c r="B800" s="11" t="s">
        <v>153</v>
      </c>
      <c r="C800" s="34">
        <v>486</v>
      </c>
      <c r="D800" s="34">
        <v>486</v>
      </c>
      <c r="E800" s="34">
        <v>486</v>
      </c>
      <c r="F800" s="34">
        <v>486</v>
      </c>
    </row>
    <row r="801" spans="2:19">
      <c r="B801" s="47" t="s">
        <v>100</v>
      </c>
      <c r="C801" s="34">
        <f>C800*C799</f>
        <v>4027497.7949999995</v>
      </c>
      <c r="D801" s="34">
        <f>D800*D799</f>
        <v>2282407.875</v>
      </c>
      <c r="E801" s="34">
        <f>E800*E799</f>
        <v>1979970.075</v>
      </c>
      <c r="F801" s="34">
        <f>F800*F799</f>
        <v>2509651.7549999999</v>
      </c>
      <c r="H801" s="29">
        <f>SUM(C801:F801)</f>
        <v>10799527.5</v>
      </c>
    </row>
    <row r="802" spans="2:19">
      <c r="B802" s="15" t="s">
        <v>151</v>
      </c>
      <c r="C802" s="54">
        <v>2259070.75</v>
      </c>
      <c r="D802" s="54">
        <v>1323767.44</v>
      </c>
      <c r="E802" s="54">
        <v>1157269.8600000001</v>
      </c>
      <c r="F802" s="54">
        <v>1409507.96</v>
      </c>
      <c r="H802" s="29"/>
    </row>
    <row r="803" spans="2:19">
      <c r="B803" s="12" t="s">
        <v>152</v>
      </c>
      <c r="C803" s="34">
        <f>C801-C802</f>
        <v>1768427.0449999995</v>
      </c>
      <c r="D803" s="34">
        <f>D801-D802</f>
        <v>958640.43500000006</v>
      </c>
      <c r="E803" s="34">
        <f>E801-E802</f>
        <v>822700.21499999985</v>
      </c>
      <c r="F803" s="34">
        <f>F801-F802</f>
        <v>1100143.7949999999</v>
      </c>
      <c r="G803" s="541"/>
      <c r="H803" s="541"/>
    </row>
    <row r="804" spans="2:19">
      <c r="G804" s="542" t="s">
        <v>1412</v>
      </c>
      <c r="H804" s="267">
        <f>$P$764+$G$783+$H$801</f>
        <v>46545201.719999999</v>
      </c>
    </row>
    <row r="805" spans="2:19">
      <c r="G805" s="543" t="s">
        <v>1414</v>
      </c>
      <c r="H805" s="249">
        <f>P762+G781+H799</f>
        <v>95772.01999999999</v>
      </c>
      <c r="I805" s="29"/>
    </row>
    <row r="807" spans="2:19">
      <c r="C807" s="600" t="s">
        <v>1451</v>
      </c>
      <c r="D807" s="600"/>
      <c r="E807" s="600"/>
    </row>
    <row r="808" spans="2:19">
      <c r="Q808" s="55" t="s">
        <v>334</v>
      </c>
      <c r="R808" s="55" t="s">
        <v>335</v>
      </c>
      <c r="S808" s="50" t="s">
        <v>336</v>
      </c>
    </row>
    <row r="809" spans="2:19">
      <c r="B809" s="11" t="s">
        <v>178</v>
      </c>
      <c r="C809" s="550">
        <v>219</v>
      </c>
      <c r="D809" s="550">
        <v>218</v>
      </c>
      <c r="E809" s="550">
        <v>221</v>
      </c>
      <c r="Q809" s="29">
        <f>SUM(C812:E812)</f>
        <v>31728.44</v>
      </c>
      <c r="R809" s="29">
        <f>'BAC SAN JOSE USD'!$E$537+'BAC SAN JOSE USD'!$E$539+'BAC SAN JOSE USD'!$E$547</f>
        <v>31728.44</v>
      </c>
      <c r="S809" s="247">
        <f>Q809-R809</f>
        <v>0</v>
      </c>
    </row>
    <row r="810" spans="2:19">
      <c r="B810" s="11" t="s">
        <v>110</v>
      </c>
      <c r="C810" s="551">
        <v>489</v>
      </c>
      <c r="D810" s="551">
        <v>489</v>
      </c>
      <c r="E810" s="551">
        <v>489</v>
      </c>
    </row>
    <row r="811" spans="2:19" ht="24">
      <c r="C811" s="386" t="s">
        <v>1351</v>
      </c>
      <c r="D811" s="386" t="s">
        <v>1349</v>
      </c>
      <c r="E811" s="386" t="s">
        <v>1350</v>
      </c>
    </row>
    <row r="812" spans="2:19">
      <c r="B812" s="15" t="s">
        <v>96</v>
      </c>
      <c r="C812" s="315">
        <v>9779.81</v>
      </c>
      <c r="D812" s="315">
        <v>18784.400000000001</v>
      </c>
      <c r="E812" s="315">
        <v>3164.23</v>
      </c>
    </row>
    <row r="813" spans="2:19">
      <c r="B813" s="11" t="s">
        <v>147</v>
      </c>
      <c r="C813" s="34"/>
      <c r="D813" s="34"/>
      <c r="E813" s="34"/>
    </row>
    <row r="814" spans="2:19">
      <c r="B814" s="50" t="s">
        <v>362</v>
      </c>
      <c r="C814" s="85">
        <f>C812-C813</f>
        <v>9779.81</v>
      </c>
      <c r="D814" s="85">
        <f>D812-D813</f>
        <v>18784.400000000001</v>
      </c>
      <c r="E814" s="85">
        <f>E812-E813</f>
        <v>3164.23</v>
      </c>
    </row>
    <row r="815" spans="2:19">
      <c r="B815" s="15" t="s">
        <v>97</v>
      </c>
      <c r="C815" s="327">
        <v>20</v>
      </c>
      <c r="D815" s="327">
        <v>28.18</v>
      </c>
      <c r="E815" s="327">
        <v>20</v>
      </c>
      <c r="G815" s="29"/>
    </row>
    <row r="816" spans="2:19">
      <c r="B816" s="50" t="s">
        <v>148</v>
      </c>
      <c r="C816" s="51">
        <f>C814-C815</f>
        <v>9759.81</v>
      </c>
      <c r="D816" s="51">
        <f>D814-D815</f>
        <v>18756.22</v>
      </c>
      <c r="E816" s="51">
        <f>E814-E815</f>
        <v>3144.23</v>
      </c>
    </row>
    <row r="817" spans="2:22">
      <c r="B817" s="15" t="s">
        <v>150</v>
      </c>
      <c r="C817" s="248">
        <v>5518.04</v>
      </c>
      <c r="D817" s="468">
        <v>0</v>
      </c>
      <c r="E817" s="248">
        <v>1936.29</v>
      </c>
      <c r="G817" s="247">
        <f>SUM(C817:E817)</f>
        <v>7454.33</v>
      </c>
      <c r="H817" s="56" t="s">
        <v>1487</v>
      </c>
      <c r="I817" s="29"/>
    </row>
    <row r="818" spans="2:22">
      <c r="B818" s="15" t="s">
        <v>99</v>
      </c>
      <c r="C818" s="34">
        <f>135</f>
        <v>135</v>
      </c>
      <c r="D818" s="34">
        <f>135</f>
        <v>135</v>
      </c>
      <c r="E818" s="34">
        <f>135</f>
        <v>135</v>
      </c>
    </row>
    <row r="819" spans="2:22">
      <c r="B819" s="47" t="s">
        <v>109</v>
      </c>
      <c r="C819" s="48">
        <f>C816-C817-C818</f>
        <v>4106.7699999999995</v>
      </c>
      <c r="D819" s="48">
        <f>D816-D817-D818</f>
        <v>18621.22</v>
      </c>
      <c r="E819" s="48">
        <f>E816-E817-E818</f>
        <v>1072.94</v>
      </c>
      <c r="G819" s="29"/>
    </row>
    <row r="820" spans="2:22">
      <c r="B820" s="11" t="s">
        <v>153</v>
      </c>
      <c r="C820" s="34">
        <v>466</v>
      </c>
      <c r="D820" s="34">
        <f>$C$820</f>
        <v>466</v>
      </c>
      <c r="E820" s="34">
        <f>$C$820</f>
        <v>466</v>
      </c>
    </row>
    <row r="821" spans="2:22">
      <c r="B821" s="47" t="s">
        <v>100</v>
      </c>
      <c r="C821" s="34">
        <f>C820*C819</f>
        <v>1913754.8199999998</v>
      </c>
      <c r="D821" s="34">
        <f>D820*D819</f>
        <v>8677488.5200000014</v>
      </c>
      <c r="E821" s="34">
        <f>E820*E819</f>
        <v>499990.04000000004</v>
      </c>
      <c r="G821" s="557">
        <f>SUM(C821:E821)</f>
        <v>11091233.380000003</v>
      </c>
      <c r="H821" s="557" t="s">
        <v>1488</v>
      </c>
      <c r="J821" s="29"/>
      <c r="K821" s="48"/>
    </row>
    <row r="822" spans="2:22">
      <c r="B822" s="15" t="s">
        <v>151</v>
      </c>
      <c r="C822" s="34">
        <v>0</v>
      </c>
      <c r="D822" s="54">
        <v>4805732.09</v>
      </c>
      <c r="E822" s="34">
        <v>0</v>
      </c>
    </row>
    <row r="823" spans="2:22">
      <c r="B823" s="12" t="s">
        <v>152</v>
      </c>
      <c r="C823" s="34">
        <f>C821-C822</f>
        <v>1913754.8199999998</v>
      </c>
      <c r="D823" s="34">
        <f>D821-D822</f>
        <v>3871756.4300000016</v>
      </c>
      <c r="E823" s="34">
        <f>E821-E822</f>
        <v>499990.04000000004</v>
      </c>
    </row>
    <row r="825" spans="2:22">
      <c r="B825" s="601" t="s">
        <v>1455</v>
      </c>
      <c r="C825" s="601"/>
      <c r="D825" s="601"/>
      <c r="E825" s="601"/>
      <c r="F825" s="601"/>
      <c r="G825" s="601"/>
      <c r="H825" s="601"/>
      <c r="I825" s="601"/>
      <c r="J825" s="601"/>
      <c r="K825" s="601"/>
      <c r="L825" s="601"/>
    </row>
    <row r="826" spans="2:22">
      <c r="B826" s="549"/>
      <c r="C826" s="549"/>
      <c r="D826" s="549"/>
      <c r="E826" s="549"/>
      <c r="F826" s="549"/>
      <c r="G826" s="549"/>
      <c r="H826" s="549"/>
      <c r="I826" s="549"/>
      <c r="J826" s="549"/>
      <c r="K826" s="549"/>
      <c r="L826" s="549"/>
    </row>
    <row r="827" spans="2:22">
      <c r="B827" s="11" t="s">
        <v>178</v>
      </c>
      <c r="C827" s="391">
        <v>220</v>
      </c>
      <c r="D827" s="391">
        <v>220</v>
      </c>
      <c r="E827" s="391">
        <v>220</v>
      </c>
      <c r="F827" s="391">
        <v>220</v>
      </c>
      <c r="G827" s="391">
        <v>220</v>
      </c>
      <c r="H827" s="391">
        <v>220</v>
      </c>
      <c r="I827" s="391">
        <v>220</v>
      </c>
      <c r="J827" s="391">
        <v>220</v>
      </c>
      <c r="K827" s="391">
        <v>220</v>
      </c>
      <c r="L827" s="391">
        <v>220</v>
      </c>
      <c r="M827" s="391">
        <v>220</v>
      </c>
      <c r="N827" s="391">
        <v>220</v>
      </c>
      <c r="Q827" s="55" t="s">
        <v>334</v>
      </c>
      <c r="R827" s="55" t="s">
        <v>335</v>
      </c>
      <c r="S827" s="50" t="s">
        <v>336</v>
      </c>
    </row>
    <row r="828" spans="2:22">
      <c r="B828" s="11" t="s">
        <v>110</v>
      </c>
      <c r="C828" s="11">
        <v>489</v>
      </c>
      <c r="D828" s="11">
        <v>489</v>
      </c>
      <c r="E828" s="11">
        <v>489</v>
      </c>
      <c r="F828" s="11">
        <v>489</v>
      </c>
      <c r="G828" s="11">
        <v>489</v>
      </c>
      <c r="H828" s="11">
        <v>489</v>
      </c>
      <c r="I828" s="11">
        <v>489</v>
      </c>
      <c r="J828" s="11">
        <v>489</v>
      </c>
      <c r="K828" s="11">
        <v>489</v>
      </c>
      <c r="L828" s="11">
        <v>489</v>
      </c>
      <c r="M828" s="11">
        <v>489</v>
      </c>
      <c r="N828" s="11">
        <v>489</v>
      </c>
      <c r="Q828" s="29">
        <f>SUM(C830:N830)</f>
        <v>76924.39</v>
      </c>
      <c r="R828" s="32">
        <f>'BAC SAN JOSE USD'!E545</f>
        <v>76924.39</v>
      </c>
      <c r="S828" s="247">
        <f>Q828-R828</f>
        <v>0</v>
      </c>
      <c r="U828" s="29">
        <f>R828*481</f>
        <v>37000631.589999996</v>
      </c>
    </row>
    <row r="829" spans="2:22" ht="36">
      <c r="C829" s="415" t="s">
        <v>107</v>
      </c>
      <c r="D829" s="415" t="s">
        <v>179</v>
      </c>
      <c r="E829" s="415" t="s">
        <v>202</v>
      </c>
      <c r="F829" s="415" t="s">
        <v>181</v>
      </c>
      <c r="G829" s="415" t="s">
        <v>337</v>
      </c>
      <c r="H829" s="386" t="s">
        <v>744</v>
      </c>
      <c r="I829" s="386" t="s">
        <v>946</v>
      </c>
      <c r="J829" s="386" t="s">
        <v>947</v>
      </c>
      <c r="K829" s="386" t="s">
        <v>1006</v>
      </c>
      <c r="L829" s="386" t="s">
        <v>1123</v>
      </c>
      <c r="M829" s="386" t="s">
        <v>1456</v>
      </c>
      <c r="N829" s="386" t="s">
        <v>1457</v>
      </c>
      <c r="R829" s="29">
        <f>R828-P835-P836</f>
        <v>44941.1</v>
      </c>
      <c r="U829" s="29">
        <f>R829*481</f>
        <v>21616669.099999998</v>
      </c>
      <c r="V829" s="11">
        <f>R829/R828</f>
        <v>0.58422432729073315</v>
      </c>
    </row>
    <row r="830" spans="2:22">
      <c r="B830" s="15" t="s">
        <v>96</v>
      </c>
      <c r="C830" s="315">
        <v>5486.68</v>
      </c>
      <c r="D830" s="315">
        <v>4554.32</v>
      </c>
      <c r="E830" s="315">
        <v>4604.32</v>
      </c>
      <c r="F830" s="315">
        <v>11438.44</v>
      </c>
      <c r="G830" s="314">
        <v>2461.73</v>
      </c>
      <c r="H830" s="355">
        <v>8468.9500000000007</v>
      </c>
      <c r="I830" s="355">
        <v>6801.85</v>
      </c>
      <c r="J830" s="355">
        <v>13855.31</v>
      </c>
      <c r="K830" s="315">
        <v>12893.99</v>
      </c>
      <c r="L830" s="315">
        <v>2795.53</v>
      </c>
      <c r="M830" s="315">
        <v>1382.96</v>
      </c>
      <c r="N830" s="315">
        <v>2180.31</v>
      </c>
    </row>
    <row r="831" spans="2:22">
      <c r="B831" s="11" t="s">
        <v>147</v>
      </c>
      <c r="C831" s="34"/>
      <c r="D831" s="34"/>
      <c r="E831" s="34"/>
      <c r="F831" s="34"/>
      <c r="G831" s="34"/>
      <c r="H831" s="427"/>
      <c r="I831" s="427"/>
      <c r="J831" s="427"/>
      <c r="R831" s="29"/>
      <c r="U831" s="29">
        <f>$R$829*467</f>
        <v>20987493.699999999</v>
      </c>
    </row>
    <row r="832" spans="2:22">
      <c r="B832" s="50" t="s">
        <v>362</v>
      </c>
      <c r="C832" s="85">
        <f>C830-C831</f>
        <v>5486.68</v>
      </c>
      <c r="D832" s="85">
        <f>D830-D831</f>
        <v>4554.32</v>
      </c>
      <c r="E832" s="85">
        <f t="shared" ref="E832:L832" si="154">E830-E831</f>
        <v>4604.32</v>
      </c>
      <c r="F832" s="85">
        <f t="shared" si="154"/>
        <v>11438.44</v>
      </c>
      <c r="G832" s="85">
        <f t="shared" si="154"/>
        <v>2461.73</v>
      </c>
      <c r="H832" s="428">
        <f t="shared" si="154"/>
        <v>8468.9500000000007</v>
      </c>
      <c r="I832" s="428">
        <f t="shared" si="154"/>
        <v>6801.85</v>
      </c>
      <c r="J832" s="428">
        <f t="shared" si="154"/>
        <v>13855.31</v>
      </c>
      <c r="K832" s="428">
        <f t="shared" si="154"/>
        <v>12893.99</v>
      </c>
      <c r="L832" s="428">
        <f t="shared" si="154"/>
        <v>2795.53</v>
      </c>
      <c r="M832" s="428">
        <f>M830-M831</f>
        <v>1382.96</v>
      </c>
      <c r="N832" s="428">
        <f>N830-N831</f>
        <v>2180.31</v>
      </c>
      <c r="R832" s="29"/>
    </row>
    <row r="833" spans="2:22">
      <c r="B833" s="15" t="s">
        <v>97</v>
      </c>
      <c r="C833" s="327">
        <f>40/12</f>
        <v>3.3333333333333335</v>
      </c>
      <c r="D833" s="327">
        <f t="shared" ref="D833:N833" si="155">40/12</f>
        <v>3.3333333333333335</v>
      </c>
      <c r="E833" s="327">
        <f t="shared" si="155"/>
        <v>3.3333333333333335</v>
      </c>
      <c r="F833" s="327">
        <f t="shared" si="155"/>
        <v>3.3333333333333335</v>
      </c>
      <c r="G833" s="327">
        <f t="shared" si="155"/>
        <v>3.3333333333333335</v>
      </c>
      <c r="H833" s="327">
        <f t="shared" si="155"/>
        <v>3.3333333333333335</v>
      </c>
      <c r="I833" s="327">
        <f t="shared" si="155"/>
        <v>3.3333333333333335</v>
      </c>
      <c r="J833" s="327">
        <f t="shared" si="155"/>
        <v>3.3333333333333335</v>
      </c>
      <c r="K833" s="327">
        <f t="shared" si="155"/>
        <v>3.3333333333333335</v>
      </c>
      <c r="L833" s="327">
        <f t="shared" si="155"/>
        <v>3.3333333333333335</v>
      </c>
      <c r="M833" s="327">
        <f t="shared" si="155"/>
        <v>3.3333333333333335</v>
      </c>
      <c r="N833" s="327">
        <f t="shared" si="155"/>
        <v>3.3333333333333335</v>
      </c>
      <c r="P833" s="29">
        <f>SUM(C833:N833)</f>
        <v>40</v>
      </c>
      <c r="R833" s="29"/>
      <c r="S833" s="29"/>
      <c r="U833" s="29">
        <f>+U829-U831</f>
        <v>629175.39999999851</v>
      </c>
      <c r="V833" s="29">
        <f>U833/481</f>
        <v>1308.0569646569616</v>
      </c>
    </row>
    <row r="834" spans="2:22">
      <c r="B834" s="50" t="s">
        <v>148</v>
      </c>
      <c r="C834" s="51">
        <f t="shared" ref="C834:L834" si="156">C832-C833</f>
        <v>5483.3466666666673</v>
      </c>
      <c r="D834" s="51">
        <f t="shared" si="156"/>
        <v>4550.9866666666667</v>
      </c>
      <c r="E834" s="51">
        <f t="shared" si="156"/>
        <v>4600.9866666666667</v>
      </c>
      <c r="F834" s="51">
        <f t="shared" si="156"/>
        <v>11435.106666666667</v>
      </c>
      <c r="G834" s="51">
        <f t="shared" si="156"/>
        <v>2458.3966666666665</v>
      </c>
      <c r="H834" s="51">
        <f t="shared" si="156"/>
        <v>8465.6166666666668</v>
      </c>
      <c r="I834" s="51">
        <f t="shared" si="156"/>
        <v>6798.5166666666673</v>
      </c>
      <c r="J834" s="51">
        <f t="shared" si="156"/>
        <v>13851.976666666666</v>
      </c>
      <c r="K834" s="51">
        <f t="shared" si="156"/>
        <v>12890.656666666666</v>
      </c>
      <c r="L834" s="51">
        <f t="shared" si="156"/>
        <v>2792.1966666666667</v>
      </c>
      <c r="M834" s="51">
        <f>M832-M833</f>
        <v>1379.6266666666668</v>
      </c>
      <c r="N834" s="51">
        <f>N832-N833</f>
        <v>2176.9766666666665</v>
      </c>
    </row>
    <row r="835" spans="2:22">
      <c r="B835" s="15" t="s">
        <v>150</v>
      </c>
      <c r="C835" s="248">
        <v>3411.45</v>
      </c>
      <c r="D835" s="34"/>
      <c r="F835" s="248">
        <v>6655.89</v>
      </c>
      <c r="G835" s="34"/>
      <c r="H835" s="430">
        <v>5049.07</v>
      </c>
      <c r="I835" s="432"/>
      <c r="J835" s="430">
        <v>7877.79</v>
      </c>
      <c r="K835" s="430">
        <v>7369.09</v>
      </c>
      <c r="P835" s="247">
        <f>SUM(C835:N835)</f>
        <v>30363.29</v>
      </c>
      <c r="Q835" s="56" t="s">
        <v>1487</v>
      </c>
    </row>
    <row r="836" spans="2:22">
      <c r="B836" s="15" t="s">
        <v>99</v>
      </c>
      <c r="C836" s="34">
        <f>135</f>
        <v>135</v>
      </c>
      <c r="D836" s="34">
        <f>135</f>
        <v>135</v>
      </c>
      <c r="E836" s="34">
        <f>135</f>
        <v>135</v>
      </c>
      <c r="F836" s="34">
        <f>135</f>
        <v>135</v>
      </c>
      <c r="G836" s="34">
        <f>135</f>
        <v>135</v>
      </c>
      <c r="H836" s="34">
        <f>135</f>
        <v>135</v>
      </c>
      <c r="I836" s="34">
        <f>135</f>
        <v>135</v>
      </c>
      <c r="J836" s="34">
        <f>135</f>
        <v>135</v>
      </c>
      <c r="K836" s="34">
        <f>135</f>
        <v>135</v>
      </c>
      <c r="L836" s="34">
        <f>135</f>
        <v>135</v>
      </c>
      <c r="M836" s="34">
        <f>135</f>
        <v>135</v>
      </c>
      <c r="N836" s="34">
        <f>135</f>
        <v>135</v>
      </c>
      <c r="P836" s="29">
        <f>SUM(C836:N836)</f>
        <v>1620</v>
      </c>
    </row>
    <row r="837" spans="2:22">
      <c r="B837" s="47" t="s">
        <v>109</v>
      </c>
      <c r="C837" s="48">
        <f t="shared" ref="C837:L837" si="157">C834-C835-C836</f>
        <v>1936.8966666666674</v>
      </c>
      <c r="D837" s="48">
        <f t="shared" si="157"/>
        <v>4415.9866666666667</v>
      </c>
      <c r="E837" s="48">
        <f t="shared" si="157"/>
        <v>4465.9866666666667</v>
      </c>
      <c r="F837" s="48">
        <f t="shared" si="157"/>
        <v>4644.2166666666662</v>
      </c>
      <c r="G837" s="48">
        <f t="shared" si="157"/>
        <v>2323.3966666666665</v>
      </c>
      <c r="H837" s="48">
        <f t="shared" si="157"/>
        <v>3281.5466666666671</v>
      </c>
      <c r="I837" s="48">
        <f t="shared" si="157"/>
        <v>6663.5166666666673</v>
      </c>
      <c r="J837" s="48">
        <f t="shared" si="157"/>
        <v>5839.1866666666656</v>
      </c>
      <c r="K837" s="48">
        <f t="shared" si="157"/>
        <v>5386.5666666666657</v>
      </c>
      <c r="L837" s="48">
        <f t="shared" si="157"/>
        <v>2657.1966666666667</v>
      </c>
      <c r="M837" s="48">
        <f>M834-M835-M836</f>
        <v>1244.6266666666668</v>
      </c>
      <c r="N837" s="48">
        <f>N834-N835-N836</f>
        <v>2041.9766666666665</v>
      </c>
      <c r="P837" s="29"/>
      <c r="Q837" s="29"/>
    </row>
    <row r="838" spans="2:22">
      <c r="B838" s="11" t="s">
        <v>153</v>
      </c>
      <c r="C838" s="34">
        <v>466</v>
      </c>
      <c r="D838" s="34">
        <f t="shared" ref="D838:N838" si="158">$C$838</f>
        <v>466</v>
      </c>
      <c r="E838" s="34">
        <f t="shared" si="158"/>
        <v>466</v>
      </c>
      <c r="F838" s="34">
        <f t="shared" si="158"/>
        <v>466</v>
      </c>
      <c r="G838" s="34">
        <f t="shared" si="158"/>
        <v>466</v>
      </c>
      <c r="H838" s="34">
        <f t="shared" si="158"/>
        <v>466</v>
      </c>
      <c r="I838" s="34">
        <f t="shared" si="158"/>
        <v>466</v>
      </c>
      <c r="J838" s="34">
        <f t="shared" si="158"/>
        <v>466</v>
      </c>
      <c r="K838" s="34">
        <f t="shared" si="158"/>
        <v>466</v>
      </c>
      <c r="L838" s="34">
        <f t="shared" si="158"/>
        <v>466</v>
      </c>
      <c r="M838" s="34">
        <f t="shared" si="158"/>
        <v>466</v>
      </c>
      <c r="N838" s="34">
        <f t="shared" si="158"/>
        <v>466</v>
      </c>
    </row>
    <row r="839" spans="2:22">
      <c r="B839" s="47" t="s">
        <v>100</v>
      </c>
      <c r="C839" s="34">
        <f>C838*C837</f>
        <v>902593.84666666703</v>
      </c>
      <c r="D839" s="34">
        <f>D838*D837</f>
        <v>2057849.7866666666</v>
      </c>
      <c r="E839" s="34">
        <f t="shared" ref="E839:L839" si="159">E838*E837</f>
        <v>2081149.7866666666</v>
      </c>
      <c r="F839" s="34">
        <f t="shared" si="159"/>
        <v>2164204.9666666663</v>
      </c>
      <c r="G839" s="34">
        <f t="shared" si="159"/>
        <v>1082702.8466666667</v>
      </c>
      <c r="H839" s="34">
        <f t="shared" si="159"/>
        <v>1529200.7466666668</v>
      </c>
      <c r="I839" s="34">
        <f t="shared" si="159"/>
        <v>3105198.7666666671</v>
      </c>
      <c r="J839" s="34">
        <f t="shared" si="159"/>
        <v>2721060.9866666663</v>
      </c>
      <c r="K839" s="34">
        <f t="shared" si="159"/>
        <v>2510140.0666666664</v>
      </c>
      <c r="L839" s="34">
        <f t="shared" si="159"/>
        <v>1238253.6466666667</v>
      </c>
      <c r="M839" s="34">
        <f>M838*M837</f>
        <v>579996.02666666673</v>
      </c>
      <c r="N839" s="34">
        <f>N838*N837</f>
        <v>951561.12666666659</v>
      </c>
      <c r="P839" s="557">
        <f>SUM(C839:N839)</f>
        <v>20923912.600000001</v>
      </c>
      <c r="Q839" s="557" t="s">
        <v>1488</v>
      </c>
    </row>
    <row r="840" spans="2:22">
      <c r="B840" s="15" t="s">
        <v>151</v>
      </c>
      <c r="C840" s="34">
        <v>0</v>
      </c>
      <c r="D840" s="54">
        <v>1405947.8</v>
      </c>
      <c r="E840" s="54">
        <v>1405947.8</v>
      </c>
      <c r="F840" s="34">
        <v>0</v>
      </c>
      <c r="G840" s="54">
        <v>785142.74</v>
      </c>
      <c r="H840" s="427">
        <v>0</v>
      </c>
      <c r="I840" s="54">
        <v>2034799.48</v>
      </c>
      <c r="J840" s="427">
        <v>0</v>
      </c>
      <c r="K840" s="427">
        <v>0</v>
      </c>
      <c r="L840" s="54">
        <v>889589.73</v>
      </c>
      <c r="M840" s="54">
        <v>391634.64</v>
      </c>
      <c r="N840" s="54">
        <v>646971.22</v>
      </c>
    </row>
    <row r="841" spans="2:22">
      <c r="B841" s="12" t="s">
        <v>152</v>
      </c>
      <c r="C841" s="34">
        <f t="shared" ref="C841:L841" si="160">C839-C840</f>
        <v>902593.84666666703</v>
      </c>
      <c r="D841" s="34">
        <f t="shared" si="160"/>
        <v>651901.98666666658</v>
      </c>
      <c r="E841" s="34">
        <f t="shared" si="160"/>
        <v>675201.98666666658</v>
      </c>
      <c r="F841" s="34">
        <f t="shared" si="160"/>
        <v>2164204.9666666663</v>
      </c>
      <c r="G841" s="34">
        <f t="shared" si="160"/>
        <v>297560.10666666669</v>
      </c>
      <c r="H841" s="427">
        <f t="shared" si="160"/>
        <v>1529200.7466666668</v>
      </c>
      <c r="I841" s="427">
        <f t="shared" si="160"/>
        <v>1070399.2866666671</v>
      </c>
      <c r="J841" s="427">
        <f t="shared" si="160"/>
        <v>2721060.9866666663</v>
      </c>
      <c r="K841" s="427">
        <f t="shared" si="160"/>
        <v>2510140.0666666664</v>
      </c>
      <c r="L841" s="427">
        <f t="shared" si="160"/>
        <v>348663.91666666674</v>
      </c>
      <c r="M841" s="427">
        <f>M839-M840</f>
        <v>188361.38666666672</v>
      </c>
      <c r="N841" s="427">
        <f>N839-N840</f>
        <v>304589.90666666662</v>
      </c>
    </row>
    <row r="843" spans="2:22">
      <c r="C843" s="600" t="s">
        <v>1458</v>
      </c>
      <c r="D843" s="600"/>
      <c r="E843" s="600"/>
    </row>
    <row r="845" spans="2:22">
      <c r="B845" s="11" t="s">
        <v>178</v>
      </c>
      <c r="C845" s="550">
        <v>222</v>
      </c>
      <c r="F845" s="55" t="s">
        <v>334</v>
      </c>
      <c r="G845" s="55" t="s">
        <v>335</v>
      </c>
      <c r="H845" s="50" t="s">
        <v>336</v>
      </c>
    </row>
    <row r="846" spans="2:22">
      <c r="B846" s="11" t="s">
        <v>110</v>
      </c>
      <c r="C846" s="551">
        <v>489</v>
      </c>
      <c r="F846" s="29">
        <f>C848</f>
        <v>1813.7</v>
      </c>
      <c r="G846" s="32">
        <f>'BAC SAN JOSE USD'!E551</f>
        <v>1773.7</v>
      </c>
      <c r="H846" s="247">
        <f>F846-G846</f>
        <v>40</v>
      </c>
    </row>
    <row r="847" spans="2:22" ht="24">
      <c r="C847" s="386" t="s">
        <v>1459</v>
      </c>
    </row>
    <row r="848" spans="2:22">
      <c r="B848" s="15" t="s">
        <v>96</v>
      </c>
      <c r="C848" s="315">
        <v>1813.7</v>
      </c>
    </row>
    <row r="849" spans="2:7">
      <c r="B849" s="11" t="s">
        <v>147</v>
      </c>
      <c r="C849" s="34"/>
    </row>
    <row r="850" spans="2:7">
      <c r="B850" s="50" t="s">
        <v>362</v>
      </c>
      <c r="C850" s="85">
        <f>C848-C849</f>
        <v>1813.7</v>
      </c>
    </row>
    <row r="851" spans="2:7">
      <c r="B851" s="15" t="s">
        <v>97</v>
      </c>
      <c r="C851" s="327">
        <v>20</v>
      </c>
    </row>
    <row r="852" spans="2:7">
      <c r="B852" s="50" t="s">
        <v>148</v>
      </c>
      <c r="C852" s="51">
        <f>C850-C851</f>
        <v>1793.7</v>
      </c>
    </row>
    <row r="853" spans="2:7">
      <c r="B853" s="15" t="s">
        <v>150</v>
      </c>
      <c r="C853" s="248">
        <v>1070.04</v>
      </c>
      <c r="E853" s="247">
        <f>SUM(C853)</f>
        <v>1070.04</v>
      </c>
      <c r="F853" s="56" t="s">
        <v>1487</v>
      </c>
    </row>
    <row r="854" spans="2:7">
      <c r="B854" s="15" t="s">
        <v>99</v>
      </c>
      <c r="C854" s="34">
        <v>179.74</v>
      </c>
    </row>
    <row r="855" spans="2:7">
      <c r="B855" s="47" t="s">
        <v>109</v>
      </c>
      <c r="C855" s="48">
        <f>C852-C853-C854</f>
        <v>543.92000000000007</v>
      </c>
    </row>
    <row r="856" spans="2:7">
      <c r="B856" s="11" t="s">
        <v>153</v>
      </c>
      <c r="C856" s="34">
        <v>466</v>
      </c>
    </row>
    <row r="857" spans="2:7">
      <c r="B857" s="47" t="s">
        <v>100</v>
      </c>
      <c r="C857" s="34">
        <f>C856*C855</f>
        <v>253466.72000000003</v>
      </c>
    </row>
    <row r="858" spans="2:7">
      <c r="B858" s="15" t="s">
        <v>151</v>
      </c>
      <c r="C858" s="34">
        <v>0</v>
      </c>
    </row>
    <row r="859" spans="2:7">
      <c r="B859" s="12" t="s">
        <v>152</v>
      </c>
      <c r="C859" s="34">
        <f>C857-C858</f>
        <v>253466.72000000003</v>
      </c>
    </row>
    <row r="862" spans="2:7">
      <c r="C862" s="600" t="s">
        <v>1489</v>
      </c>
      <c r="D862" s="600"/>
      <c r="E862" s="600"/>
    </row>
    <row r="864" spans="2:7">
      <c r="B864" s="11" t="s">
        <v>178</v>
      </c>
      <c r="C864" s="554">
        <v>223</v>
      </c>
      <c r="D864" s="554">
        <v>223</v>
      </c>
      <c r="E864" s="554">
        <v>223</v>
      </c>
      <c r="F864" s="554">
        <v>223</v>
      </c>
      <c r="G864" s="554">
        <v>223</v>
      </c>
    </row>
    <row r="865" spans="2:11">
      <c r="B865" s="11" t="s">
        <v>110</v>
      </c>
      <c r="C865" s="555">
        <v>478</v>
      </c>
      <c r="D865" s="555">
        <v>478</v>
      </c>
      <c r="E865" s="555">
        <v>478</v>
      </c>
      <c r="F865" s="555">
        <v>478</v>
      </c>
      <c r="G865" s="555">
        <v>478</v>
      </c>
      <c r="I865" s="55" t="s">
        <v>334</v>
      </c>
      <c r="J865" s="55" t="s">
        <v>335</v>
      </c>
      <c r="K865" s="50" t="s">
        <v>336</v>
      </c>
    </row>
    <row r="866" spans="2:11" ht="24">
      <c r="C866" s="386" t="s">
        <v>1400</v>
      </c>
      <c r="D866" s="386" t="s">
        <v>1401</v>
      </c>
      <c r="E866" s="386" t="s">
        <v>1491</v>
      </c>
      <c r="F866" s="386" t="s">
        <v>1403</v>
      </c>
      <c r="G866" s="386" t="s">
        <v>1490</v>
      </c>
      <c r="I866" s="29">
        <f>SUM(C867:G867)</f>
        <v>24382.95</v>
      </c>
      <c r="J866" s="19">
        <f>'BAC SAN JOSE USD'!E543</f>
        <v>24342.95</v>
      </c>
      <c r="K866" s="247">
        <f>I866-J866</f>
        <v>40</v>
      </c>
    </row>
    <row r="867" spans="2:11">
      <c r="B867" s="15" t="s">
        <v>96</v>
      </c>
      <c r="C867" s="315">
        <v>8438.0300000000007</v>
      </c>
      <c r="D867" s="315">
        <v>4749.1099999999997</v>
      </c>
      <c r="E867" s="315">
        <v>4102.54</v>
      </c>
      <c r="F867" s="315">
        <v>5034.8</v>
      </c>
      <c r="G867" s="315">
        <v>2058.4700000000003</v>
      </c>
    </row>
    <row r="868" spans="2:11">
      <c r="B868" s="11" t="s">
        <v>147</v>
      </c>
      <c r="C868" s="34"/>
      <c r="D868" s="34"/>
      <c r="E868" s="34"/>
      <c r="F868" s="34"/>
      <c r="G868" s="34"/>
    </row>
    <row r="869" spans="2:11">
      <c r="B869" s="50" t="s">
        <v>362</v>
      </c>
      <c r="C869" s="85">
        <f>C867-C868</f>
        <v>8438.0300000000007</v>
      </c>
      <c r="D869" s="85">
        <f>D867-D868</f>
        <v>4749.1099999999997</v>
      </c>
      <c r="E869" s="85">
        <f>E867-E868</f>
        <v>4102.54</v>
      </c>
      <c r="F869" s="85">
        <f>F867-F868</f>
        <v>5034.8</v>
      </c>
      <c r="G869" s="85">
        <f>G867-G868</f>
        <v>2058.4700000000003</v>
      </c>
    </row>
    <row r="870" spans="2:11">
      <c r="B870" s="15" t="s">
        <v>97</v>
      </c>
      <c r="C870" s="327">
        <f>36.51/5</f>
        <v>7.3019999999999996</v>
      </c>
      <c r="D870" s="327">
        <f>36.51/5</f>
        <v>7.3019999999999996</v>
      </c>
      <c r="E870" s="327">
        <f>36.51/5</f>
        <v>7.3019999999999996</v>
      </c>
      <c r="F870" s="327">
        <f>36.51/5</f>
        <v>7.3019999999999996</v>
      </c>
      <c r="G870" s="327">
        <f>36.51/5</f>
        <v>7.3019999999999996</v>
      </c>
      <c r="H870" s="29">
        <f>SUM(C870:G870)</f>
        <v>36.51</v>
      </c>
    </row>
    <row r="871" spans="2:11">
      <c r="B871" s="50" t="s">
        <v>148</v>
      </c>
      <c r="C871" s="51">
        <f>C869-C870</f>
        <v>8430.728000000001</v>
      </c>
      <c r="D871" s="51">
        <f>D869-D870</f>
        <v>4741.808</v>
      </c>
      <c r="E871" s="51">
        <f>E869-E870</f>
        <v>4095.2379999999998</v>
      </c>
      <c r="F871" s="51">
        <f>F869-F870</f>
        <v>5027.4980000000005</v>
      </c>
      <c r="G871" s="51">
        <f>G869-G870</f>
        <v>2051.1680000000001</v>
      </c>
    </row>
    <row r="872" spans="2:11">
      <c r="B872" s="15" t="s">
        <v>150</v>
      </c>
      <c r="C872" s="537">
        <v>0</v>
      </c>
      <c r="D872" s="537">
        <v>0</v>
      </c>
      <c r="E872" s="537">
        <v>0</v>
      </c>
      <c r="F872" s="537">
        <v>0</v>
      </c>
      <c r="G872" s="537">
        <v>0</v>
      </c>
      <c r="H872" s="29">
        <f>SUM(C872:F872)</f>
        <v>0</v>
      </c>
    </row>
    <row r="873" spans="2:11">
      <c r="B873" s="15" t="s">
        <v>99</v>
      </c>
      <c r="C873" s="34">
        <v>200</v>
      </c>
      <c r="D873" s="34">
        <v>200</v>
      </c>
      <c r="E873" s="34">
        <v>200</v>
      </c>
      <c r="F873" s="34">
        <v>200</v>
      </c>
      <c r="G873" s="34">
        <v>200</v>
      </c>
    </row>
    <row r="874" spans="2:11">
      <c r="B874" s="47" t="s">
        <v>109</v>
      </c>
      <c r="C874" s="48">
        <f>C871-C872-C873</f>
        <v>8230.728000000001</v>
      </c>
      <c r="D874" s="48">
        <f>D871-D872-D873</f>
        <v>4541.808</v>
      </c>
      <c r="E874" s="48">
        <f>E871-E872-E873</f>
        <v>3895.2379999999998</v>
      </c>
      <c r="F874" s="48">
        <f>F871-F872-F873</f>
        <v>4827.4980000000005</v>
      </c>
      <c r="G874" s="48">
        <f>G871-G872-G873</f>
        <v>1851.1680000000001</v>
      </c>
      <c r="H874" s="29">
        <f>SUM(C874:F874)</f>
        <v>21495.272000000001</v>
      </c>
    </row>
    <row r="875" spans="2:11">
      <c r="B875" s="11" t="s">
        <v>153</v>
      </c>
      <c r="C875" s="34">
        <v>466</v>
      </c>
      <c r="D875" s="34">
        <v>466</v>
      </c>
      <c r="E875" s="34">
        <v>466</v>
      </c>
      <c r="F875" s="34">
        <v>466</v>
      </c>
      <c r="G875" s="34">
        <v>466</v>
      </c>
    </row>
    <row r="876" spans="2:11">
      <c r="B876" s="47" t="s">
        <v>100</v>
      </c>
      <c r="C876" s="34">
        <f>C875*C874</f>
        <v>3835519.2480000006</v>
      </c>
      <c r="D876" s="34">
        <f>D875*D874</f>
        <v>2116482.5279999999</v>
      </c>
      <c r="E876" s="34">
        <f>E875*E874</f>
        <v>1815180.9079999998</v>
      </c>
      <c r="F876" s="34">
        <f>F875*F874</f>
        <v>2249614.0680000004</v>
      </c>
      <c r="G876" s="34">
        <f>G875*G874</f>
        <v>862644.28800000006</v>
      </c>
      <c r="H876" s="557">
        <f>SUM(C876:G876)</f>
        <v>10879441.040000001</v>
      </c>
      <c r="I876" s="557" t="s">
        <v>1488</v>
      </c>
    </row>
    <row r="877" spans="2:11">
      <c r="B877" s="15" t="s">
        <v>151</v>
      </c>
      <c r="C877" s="54">
        <v>2239288.13</v>
      </c>
      <c r="D877" s="54">
        <v>1306411.6599999999</v>
      </c>
      <c r="E877" s="54">
        <v>1132568.82</v>
      </c>
      <c r="F877" s="54">
        <v>1382510.08</v>
      </c>
      <c r="G877" s="54">
        <v>535020</v>
      </c>
      <c r="H877" s="29"/>
    </row>
    <row r="878" spans="2:11">
      <c r="B878" s="12" t="s">
        <v>152</v>
      </c>
      <c r="C878" s="34">
        <f>C876-C877</f>
        <v>1596231.1180000007</v>
      </c>
      <c r="D878" s="34">
        <f>D876-D877</f>
        <v>810070.86800000002</v>
      </c>
      <c r="E878" s="34">
        <f>E876-E877</f>
        <v>682612.08799999976</v>
      </c>
      <c r="F878" s="34">
        <f>F876-F877</f>
        <v>867103.98800000036</v>
      </c>
      <c r="G878" s="34">
        <f>G876-G877</f>
        <v>327624.28800000006</v>
      </c>
      <c r="H878" s="541"/>
    </row>
    <row r="881" spans="2:22">
      <c r="H881" s="543" t="s">
        <v>1492</v>
      </c>
      <c r="I881" s="249">
        <f>G821+P839+C857+H876</f>
        <v>43148053.740000002</v>
      </c>
    </row>
    <row r="882" spans="2:22">
      <c r="H882" s="542" t="s">
        <v>1493</v>
      </c>
      <c r="I882" s="267">
        <f>G817+P835+E853</f>
        <v>38887.660000000003</v>
      </c>
    </row>
    <row r="884" spans="2:22">
      <c r="B884" s="601" t="s">
        <v>1517</v>
      </c>
      <c r="C884" s="601"/>
      <c r="D884" s="601"/>
      <c r="E884" s="601"/>
      <c r="F884" s="601"/>
      <c r="G884" s="601"/>
      <c r="H884" s="601"/>
      <c r="I884" s="601"/>
      <c r="J884" s="601"/>
      <c r="K884" s="601"/>
      <c r="L884" s="601"/>
    </row>
    <row r="885" spans="2:22">
      <c r="B885" s="563"/>
      <c r="C885" s="563"/>
      <c r="D885" s="563"/>
      <c r="E885" s="563"/>
      <c r="F885" s="563"/>
      <c r="G885" s="563"/>
      <c r="H885" s="563"/>
      <c r="I885" s="563"/>
      <c r="J885" s="563"/>
      <c r="K885" s="563"/>
      <c r="L885" s="563"/>
    </row>
    <row r="886" spans="2:22">
      <c r="B886" s="11" t="s">
        <v>178</v>
      </c>
      <c r="C886" s="391">
        <v>224</v>
      </c>
      <c r="D886" s="391">
        <v>224</v>
      </c>
      <c r="E886" s="391">
        <v>224</v>
      </c>
      <c r="F886" s="391">
        <v>224</v>
      </c>
      <c r="G886" s="391">
        <v>224</v>
      </c>
      <c r="H886" s="391">
        <v>224</v>
      </c>
      <c r="I886" s="391">
        <v>224</v>
      </c>
      <c r="J886" s="391">
        <v>224</v>
      </c>
      <c r="K886" s="391">
        <v>224</v>
      </c>
      <c r="L886" s="391">
        <v>224</v>
      </c>
      <c r="M886" s="391">
        <v>224</v>
      </c>
      <c r="N886" s="391">
        <v>224</v>
      </c>
      <c r="O886" s="391">
        <v>224</v>
      </c>
      <c r="Q886" s="55" t="s">
        <v>334</v>
      </c>
      <c r="R886" s="55" t="s">
        <v>335</v>
      </c>
      <c r="S886" s="50" t="s">
        <v>336</v>
      </c>
    </row>
    <row r="887" spans="2:22">
      <c r="B887" s="11" t="s">
        <v>110</v>
      </c>
      <c r="C887" s="11">
        <v>460</v>
      </c>
      <c r="D887" s="11">
        <v>460</v>
      </c>
      <c r="E887" s="11">
        <v>460</v>
      </c>
      <c r="F887" s="11">
        <v>460</v>
      </c>
      <c r="G887" s="11">
        <v>460</v>
      </c>
      <c r="H887" s="11">
        <v>460</v>
      </c>
      <c r="I887" s="11">
        <v>460</v>
      </c>
      <c r="J887" s="11">
        <v>460</v>
      </c>
      <c r="K887" s="11">
        <v>460</v>
      </c>
      <c r="L887" s="11">
        <v>460</v>
      </c>
      <c r="M887" s="11">
        <v>460</v>
      </c>
      <c r="N887" s="11">
        <v>460</v>
      </c>
      <c r="O887" s="11">
        <v>460</v>
      </c>
      <c r="Q887" s="29">
        <f>SUM(C889:O889)</f>
        <v>88387.19</v>
      </c>
      <c r="R887" s="32">
        <f>'BAC SAN JOSE USD'!E604</f>
        <v>0</v>
      </c>
      <c r="S887" s="247">
        <f>Q887-R887</f>
        <v>88387.19</v>
      </c>
      <c r="U887" s="29"/>
    </row>
    <row r="888" spans="2:22" ht="36">
      <c r="C888" s="415" t="s">
        <v>107</v>
      </c>
      <c r="D888" s="415" t="s">
        <v>179</v>
      </c>
      <c r="E888" s="415" t="s">
        <v>202</v>
      </c>
      <c r="F888" s="415" t="s">
        <v>181</v>
      </c>
      <c r="G888" s="415" t="s">
        <v>337</v>
      </c>
      <c r="H888" s="386" t="s">
        <v>744</v>
      </c>
      <c r="I888" s="386" t="s">
        <v>946</v>
      </c>
      <c r="J888" s="386" t="s">
        <v>947</v>
      </c>
      <c r="K888" s="386" t="s">
        <v>1006</v>
      </c>
      <c r="L888" s="386" t="s">
        <v>1123</v>
      </c>
      <c r="M888" s="386" t="s">
        <v>1456</v>
      </c>
      <c r="N888" s="386" t="s">
        <v>1457</v>
      </c>
      <c r="O888" s="386" t="s">
        <v>1518</v>
      </c>
      <c r="R888" s="29"/>
      <c r="U888" s="29"/>
    </row>
    <row r="889" spans="2:22">
      <c r="B889" s="15" t="s">
        <v>96</v>
      </c>
      <c r="C889" s="315">
        <v>5833.93</v>
      </c>
      <c r="D889" s="315">
        <v>5135.88</v>
      </c>
      <c r="E889" s="315">
        <v>5329.36</v>
      </c>
      <c r="F889" s="315">
        <v>12173.69</v>
      </c>
      <c r="G889" s="314">
        <v>2766.35</v>
      </c>
      <c r="H889" s="355">
        <v>9010.6200000000008</v>
      </c>
      <c r="I889" s="355">
        <v>7680.86</v>
      </c>
      <c r="J889" s="355">
        <v>14003.73</v>
      </c>
      <c r="K889" s="315">
        <v>13623.83</v>
      </c>
      <c r="L889" s="315">
        <v>3120.07</v>
      </c>
      <c r="M889" s="315">
        <v>2760.13</v>
      </c>
      <c r="N889" s="315">
        <v>3088.65</v>
      </c>
      <c r="O889" s="315">
        <v>3860.09</v>
      </c>
    </row>
    <row r="890" spans="2:22">
      <c r="B890" s="11" t="s">
        <v>147</v>
      </c>
      <c r="C890" s="34"/>
      <c r="D890" s="34"/>
      <c r="E890" s="34"/>
      <c r="F890" s="34"/>
      <c r="G890" s="34"/>
      <c r="H890" s="427"/>
      <c r="I890" s="427"/>
      <c r="J890" s="427"/>
      <c r="R890" s="29"/>
      <c r="U890" s="29"/>
    </row>
    <row r="891" spans="2:22">
      <c r="B891" s="50" t="s">
        <v>362</v>
      </c>
      <c r="C891" s="85">
        <f>C889-C890</f>
        <v>5833.93</v>
      </c>
      <c r="D891" s="85">
        <f>D889-D890</f>
        <v>5135.88</v>
      </c>
      <c r="E891" s="85">
        <f t="shared" ref="E891:L891" si="161">E889-E890</f>
        <v>5329.36</v>
      </c>
      <c r="F891" s="85">
        <f t="shared" si="161"/>
        <v>12173.69</v>
      </c>
      <c r="G891" s="85">
        <f t="shared" si="161"/>
        <v>2766.35</v>
      </c>
      <c r="H891" s="428">
        <f t="shared" si="161"/>
        <v>9010.6200000000008</v>
      </c>
      <c r="I891" s="428">
        <f t="shared" si="161"/>
        <v>7680.86</v>
      </c>
      <c r="J891" s="428">
        <f t="shared" si="161"/>
        <v>14003.73</v>
      </c>
      <c r="K891" s="428">
        <f t="shared" si="161"/>
        <v>13623.83</v>
      </c>
      <c r="L891" s="428">
        <f t="shared" si="161"/>
        <v>3120.07</v>
      </c>
      <c r="M891" s="428">
        <f>M889-M890</f>
        <v>2760.13</v>
      </c>
      <c r="N891" s="428">
        <f>N889-N890</f>
        <v>3088.65</v>
      </c>
      <c r="O891" s="428">
        <f>O889-O890</f>
        <v>3860.09</v>
      </c>
      <c r="R891" s="29"/>
    </row>
    <row r="892" spans="2:22">
      <c r="B892" s="15" t="s">
        <v>97</v>
      </c>
      <c r="C892" s="327"/>
      <c r="D892" s="327"/>
      <c r="E892" s="327"/>
      <c r="F892" s="327"/>
      <c r="G892" s="327"/>
      <c r="H892" s="327"/>
      <c r="I892" s="327"/>
      <c r="J892" s="327"/>
      <c r="K892" s="327"/>
      <c r="L892" s="327"/>
      <c r="M892" s="327"/>
      <c r="N892" s="327"/>
      <c r="O892" s="327"/>
      <c r="P892" s="29">
        <f>SUM(C892:N892)</f>
        <v>0</v>
      </c>
      <c r="R892" s="29"/>
      <c r="S892" s="29"/>
      <c r="U892" s="29"/>
      <c r="V892" s="29"/>
    </row>
    <row r="893" spans="2:22">
      <c r="B893" s="50" t="s">
        <v>148</v>
      </c>
      <c r="C893" s="51">
        <f t="shared" ref="C893:L893" si="162">C891-C892</f>
        <v>5833.93</v>
      </c>
      <c r="D893" s="51">
        <f t="shared" si="162"/>
        <v>5135.88</v>
      </c>
      <c r="E893" s="51">
        <f t="shared" si="162"/>
        <v>5329.36</v>
      </c>
      <c r="F893" s="51">
        <f t="shared" si="162"/>
        <v>12173.69</v>
      </c>
      <c r="G893" s="51">
        <f t="shared" si="162"/>
        <v>2766.35</v>
      </c>
      <c r="H893" s="51">
        <f t="shared" si="162"/>
        <v>9010.6200000000008</v>
      </c>
      <c r="I893" s="51">
        <f t="shared" si="162"/>
        <v>7680.86</v>
      </c>
      <c r="J893" s="51">
        <f t="shared" si="162"/>
        <v>14003.73</v>
      </c>
      <c r="K893" s="51">
        <f t="shared" si="162"/>
        <v>13623.83</v>
      </c>
      <c r="L893" s="51">
        <f t="shared" si="162"/>
        <v>3120.07</v>
      </c>
      <c r="M893" s="51">
        <f>M891-M892</f>
        <v>2760.13</v>
      </c>
      <c r="N893" s="51">
        <f>N891-N892</f>
        <v>3088.65</v>
      </c>
      <c r="O893" s="51">
        <f>O891-O892</f>
        <v>3860.09</v>
      </c>
    </row>
    <row r="894" spans="2:22">
      <c r="B894" s="15" t="s">
        <v>150</v>
      </c>
      <c r="C894" s="248">
        <v>3464.17</v>
      </c>
      <c r="D894" s="34"/>
      <c r="F894" s="248">
        <v>6705.81</v>
      </c>
      <c r="G894" s="34"/>
      <c r="H894" s="430">
        <v>5098.9799999999996</v>
      </c>
      <c r="I894" s="432"/>
      <c r="J894" s="430">
        <v>7635.44</v>
      </c>
      <c r="K894" s="430">
        <v>7442.47</v>
      </c>
      <c r="P894" s="247">
        <f>SUM(C894:O894)</f>
        <v>30346.87</v>
      </c>
      <c r="Q894" s="56" t="s">
        <v>1487</v>
      </c>
    </row>
    <row r="895" spans="2:22">
      <c r="B895" s="15" t="s">
        <v>99</v>
      </c>
      <c r="C895" s="34">
        <f>135</f>
        <v>135</v>
      </c>
      <c r="D895" s="34">
        <f>135</f>
        <v>135</v>
      </c>
      <c r="E895" s="34">
        <f>135</f>
        <v>135</v>
      </c>
      <c r="F895" s="34">
        <f>135</f>
        <v>135</v>
      </c>
      <c r="G895" s="34">
        <f>135</f>
        <v>135</v>
      </c>
      <c r="H895" s="34">
        <f>135</f>
        <v>135</v>
      </c>
      <c r="I895" s="34">
        <f>135</f>
        <v>135</v>
      </c>
      <c r="J895" s="34">
        <f>135</f>
        <v>135</v>
      </c>
      <c r="K895" s="34">
        <f>135</f>
        <v>135</v>
      </c>
      <c r="L895" s="34">
        <f>135</f>
        <v>135</v>
      </c>
      <c r="M895" s="34">
        <f>135</f>
        <v>135</v>
      </c>
      <c r="N895" s="34">
        <f>135</f>
        <v>135</v>
      </c>
      <c r="O895" s="34">
        <f>135</f>
        <v>135</v>
      </c>
      <c r="P895" s="29">
        <f>SUM(C895:O895)</f>
        <v>1755</v>
      </c>
    </row>
    <row r="896" spans="2:22">
      <c r="B896" s="47" t="s">
        <v>109</v>
      </c>
      <c r="C896" s="48">
        <f t="shared" ref="C896:L896" si="163">C893-C894-C895</f>
        <v>2234.7600000000002</v>
      </c>
      <c r="D896" s="48">
        <f t="shared" si="163"/>
        <v>5000.88</v>
      </c>
      <c r="E896" s="48">
        <f t="shared" si="163"/>
        <v>5194.3599999999997</v>
      </c>
      <c r="F896" s="48">
        <f t="shared" si="163"/>
        <v>5332.88</v>
      </c>
      <c r="G896" s="48">
        <f t="shared" si="163"/>
        <v>2631.35</v>
      </c>
      <c r="H896" s="48">
        <f t="shared" si="163"/>
        <v>3776.6400000000012</v>
      </c>
      <c r="I896" s="48">
        <f t="shared" si="163"/>
        <v>7545.86</v>
      </c>
      <c r="J896" s="48">
        <f t="shared" si="163"/>
        <v>6233.29</v>
      </c>
      <c r="K896" s="48">
        <f t="shared" si="163"/>
        <v>6046.36</v>
      </c>
      <c r="L896" s="48">
        <f t="shared" si="163"/>
        <v>2985.07</v>
      </c>
      <c r="M896" s="48">
        <f>M893-M894-M895</f>
        <v>2625.13</v>
      </c>
      <c r="N896" s="48">
        <f>N893-N894-N895</f>
        <v>2953.65</v>
      </c>
      <c r="O896" s="48">
        <f>O893-O894-O895</f>
        <v>3725.09</v>
      </c>
      <c r="P896" s="29"/>
      <c r="Q896" s="29"/>
    </row>
    <row r="897" spans="2:17">
      <c r="B897" s="11" t="s">
        <v>153</v>
      </c>
      <c r="C897" s="34">
        <v>458</v>
      </c>
      <c r="D897" s="34">
        <f>$C$897</f>
        <v>458</v>
      </c>
      <c r="E897" s="34">
        <f t="shared" ref="E897:O897" si="164">$C$897</f>
        <v>458</v>
      </c>
      <c r="F897" s="34">
        <f t="shared" si="164"/>
        <v>458</v>
      </c>
      <c r="G897" s="34">
        <f t="shared" si="164"/>
        <v>458</v>
      </c>
      <c r="H897" s="34">
        <f t="shared" si="164"/>
        <v>458</v>
      </c>
      <c r="I897" s="34">
        <f t="shared" si="164"/>
        <v>458</v>
      </c>
      <c r="J897" s="34">
        <f t="shared" si="164"/>
        <v>458</v>
      </c>
      <c r="K897" s="34">
        <f t="shared" si="164"/>
        <v>458</v>
      </c>
      <c r="L897" s="34">
        <f t="shared" si="164"/>
        <v>458</v>
      </c>
      <c r="M897" s="34">
        <f t="shared" si="164"/>
        <v>458</v>
      </c>
      <c r="N897" s="34">
        <f t="shared" si="164"/>
        <v>458</v>
      </c>
      <c r="O897" s="34">
        <f t="shared" si="164"/>
        <v>458</v>
      </c>
    </row>
    <row r="898" spans="2:17">
      <c r="B898" s="47" t="s">
        <v>100</v>
      </c>
      <c r="C898" s="34">
        <f>C897*C896</f>
        <v>1023520.0800000001</v>
      </c>
      <c r="D898" s="34">
        <f>D897*D896</f>
        <v>2290403.04</v>
      </c>
      <c r="E898" s="34">
        <f t="shared" ref="E898:L898" si="165">E897*E896</f>
        <v>2379016.88</v>
      </c>
      <c r="F898" s="34">
        <f t="shared" si="165"/>
        <v>2442459.04</v>
      </c>
      <c r="G898" s="34">
        <f t="shared" si="165"/>
        <v>1205158.3</v>
      </c>
      <c r="H898" s="34">
        <f t="shared" si="165"/>
        <v>1729701.1200000006</v>
      </c>
      <c r="I898" s="34">
        <f t="shared" si="165"/>
        <v>3456003.88</v>
      </c>
      <c r="J898" s="34">
        <f t="shared" si="165"/>
        <v>2854846.82</v>
      </c>
      <c r="K898" s="34">
        <f t="shared" si="165"/>
        <v>2769232.88</v>
      </c>
      <c r="L898" s="34">
        <f t="shared" si="165"/>
        <v>1367162.06</v>
      </c>
      <c r="M898" s="34">
        <f>M897*M896</f>
        <v>1202309.54</v>
      </c>
      <c r="N898" s="34">
        <f>N897*N896</f>
        <v>1352771.7</v>
      </c>
      <c r="O898" s="34">
        <f>O897*O896</f>
        <v>1706091.22</v>
      </c>
      <c r="P898" s="557">
        <f>SUM(C898:O898)</f>
        <v>25778676.559999995</v>
      </c>
      <c r="Q898" s="557" t="s">
        <v>1488</v>
      </c>
    </row>
    <row r="899" spans="2:17">
      <c r="B899" s="15" t="s">
        <v>151</v>
      </c>
      <c r="C899" s="34">
        <v>0</v>
      </c>
      <c r="D899" s="54">
        <v>1405947.8</v>
      </c>
      <c r="E899" s="54">
        <v>1405947.8</v>
      </c>
      <c r="F899" s="34">
        <v>0</v>
      </c>
      <c r="G899" s="54">
        <v>785142.74</v>
      </c>
      <c r="H899" s="427"/>
      <c r="I899" s="54">
        <v>2034799.48</v>
      </c>
      <c r="J899" s="427">
        <v>0</v>
      </c>
      <c r="K899" s="427">
        <v>0</v>
      </c>
      <c r="L899" s="54">
        <v>883500</v>
      </c>
      <c r="M899" s="54">
        <v>783269.28</v>
      </c>
      <c r="N899" s="54">
        <v>875095.31</v>
      </c>
      <c r="O899" s="54">
        <v>1081425</v>
      </c>
      <c r="P899" s="571">
        <f>SUM(C899:O899)</f>
        <v>9255127.4100000001</v>
      </c>
      <c r="Q899" s="572" t="s">
        <v>923</v>
      </c>
    </row>
    <row r="900" spans="2:17">
      <c r="B900" s="12" t="s">
        <v>152</v>
      </c>
      <c r="C900" s="34">
        <f t="shared" ref="C900:L900" si="166">C898-C899</f>
        <v>1023520.0800000001</v>
      </c>
      <c r="D900" s="34">
        <f t="shared" si="166"/>
        <v>884455.24</v>
      </c>
      <c r="E900" s="34">
        <f t="shared" si="166"/>
        <v>973069.07999999984</v>
      </c>
      <c r="F900" s="34">
        <f t="shared" si="166"/>
        <v>2442459.04</v>
      </c>
      <c r="G900" s="34">
        <f t="shared" si="166"/>
        <v>420015.56000000006</v>
      </c>
      <c r="H900" s="427">
        <f t="shared" si="166"/>
        <v>1729701.1200000006</v>
      </c>
      <c r="I900" s="427">
        <f t="shared" si="166"/>
        <v>1421204.4</v>
      </c>
      <c r="J900" s="427">
        <f t="shared" si="166"/>
        <v>2854846.82</v>
      </c>
      <c r="K900" s="427">
        <f t="shared" si="166"/>
        <v>2769232.88</v>
      </c>
      <c r="L900" s="427">
        <f t="shared" si="166"/>
        <v>483662.06000000006</v>
      </c>
      <c r="M900" s="427">
        <f>M898-M899</f>
        <v>419040.26</v>
      </c>
      <c r="N900" s="427">
        <f>N898-N899</f>
        <v>477676.3899999999</v>
      </c>
      <c r="O900" s="427">
        <f>O898-O899</f>
        <v>624666.22</v>
      </c>
    </row>
    <row r="901" spans="2:17">
      <c r="P901" s="574">
        <f>P898-P899</f>
        <v>16523549.149999995</v>
      </c>
      <c r="Q901" s="575" t="s">
        <v>1584</v>
      </c>
    </row>
    <row r="902" spans="2:17">
      <c r="C902" s="600" t="s">
        <v>1520</v>
      </c>
      <c r="D902" s="600"/>
      <c r="E902" s="600"/>
    </row>
    <row r="904" spans="2:17">
      <c r="B904" s="11" t="s">
        <v>178</v>
      </c>
      <c r="C904" s="564">
        <v>225</v>
      </c>
      <c r="D904" s="569">
        <v>225</v>
      </c>
      <c r="E904" s="569">
        <v>225</v>
      </c>
      <c r="F904" s="569">
        <v>225</v>
      </c>
      <c r="G904" s="569">
        <v>225</v>
      </c>
    </row>
    <row r="905" spans="2:17">
      <c r="B905" s="11" t="s">
        <v>110</v>
      </c>
      <c r="C905" s="565">
        <v>460</v>
      </c>
      <c r="D905" s="570">
        <v>460</v>
      </c>
      <c r="E905" s="570">
        <v>460</v>
      </c>
      <c r="F905" s="570">
        <v>460</v>
      </c>
      <c r="G905" s="570">
        <v>460</v>
      </c>
      <c r="I905" s="55" t="s">
        <v>334</v>
      </c>
      <c r="J905" s="55" t="s">
        <v>335</v>
      </c>
      <c r="K905" s="50" t="s">
        <v>336</v>
      </c>
    </row>
    <row r="906" spans="2:17" ht="24">
      <c r="C906" s="386" t="s">
        <v>1400</v>
      </c>
      <c r="D906" s="386" t="s">
        <v>1401</v>
      </c>
      <c r="E906" s="386" t="s">
        <v>1491</v>
      </c>
      <c r="F906" s="386" t="s">
        <v>1403</v>
      </c>
      <c r="G906" s="386" t="s">
        <v>1490</v>
      </c>
      <c r="I906" s="29">
        <f>SUM(C907:G907)</f>
        <v>27303.03</v>
      </c>
      <c r="J906" s="32">
        <f>'BAC SAN JOSE USD'!E568</f>
        <v>27263.03</v>
      </c>
      <c r="K906" s="247">
        <f>I906-J906</f>
        <v>40</v>
      </c>
    </row>
    <row r="907" spans="2:17">
      <c r="B907" s="15" t="s">
        <v>96</v>
      </c>
      <c r="C907" s="315">
        <v>8832.32</v>
      </c>
      <c r="D907" s="315">
        <v>4849.1000000000004</v>
      </c>
      <c r="E907" s="315">
        <v>4257.01</v>
      </c>
      <c r="F907" s="315">
        <v>5215.84</v>
      </c>
      <c r="G907" s="315">
        <v>4148.76</v>
      </c>
    </row>
    <row r="908" spans="2:17">
      <c r="B908" s="11" t="s">
        <v>147</v>
      </c>
      <c r="C908" s="34"/>
      <c r="D908" s="34"/>
      <c r="E908" s="34"/>
      <c r="F908" s="34"/>
      <c r="G908" s="34"/>
    </row>
    <row r="909" spans="2:17">
      <c r="B909" s="50" t="s">
        <v>362</v>
      </c>
      <c r="C909" s="85">
        <f>C907-C908</f>
        <v>8832.32</v>
      </c>
      <c r="D909" s="85">
        <f>D907-D908</f>
        <v>4849.1000000000004</v>
      </c>
      <c r="E909" s="85">
        <f>E907-E908</f>
        <v>4257.01</v>
      </c>
      <c r="F909" s="85">
        <f>F907-F908</f>
        <v>5215.84</v>
      </c>
      <c r="G909" s="85">
        <f>G907-G908</f>
        <v>4148.76</v>
      </c>
    </row>
    <row r="910" spans="2:17">
      <c r="B910" s="15" t="s">
        <v>97</v>
      </c>
      <c r="C910" s="327">
        <f>40/5</f>
        <v>8</v>
      </c>
      <c r="D910" s="327">
        <f>40/5</f>
        <v>8</v>
      </c>
      <c r="E910" s="327">
        <f>40/5</f>
        <v>8</v>
      </c>
      <c r="F910" s="327">
        <f>40/5</f>
        <v>8</v>
      </c>
      <c r="G910" s="327">
        <f>40/5</f>
        <v>8</v>
      </c>
      <c r="H910" s="29">
        <f>SUM(C910:G910)</f>
        <v>40</v>
      </c>
      <c r="L910" s="29"/>
    </row>
    <row r="911" spans="2:17">
      <c r="B911" s="50" t="s">
        <v>148</v>
      </c>
      <c r="C911" s="51">
        <f>C909-C910</f>
        <v>8824.32</v>
      </c>
      <c r="D911" s="51">
        <f>D909-D910</f>
        <v>4841.1000000000004</v>
      </c>
      <c r="E911" s="51">
        <f>E909-E910</f>
        <v>4249.01</v>
      </c>
      <c r="F911" s="51">
        <f>F909-F910</f>
        <v>5207.84</v>
      </c>
      <c r="G911" s="51">
        <f>G909-G910</f>
        <v>4140.76</v>
      </c>
    </row>
    <row r="912" spans="2:17">
      <c r="B912" s="15" t="s">
        <v>150</v>
      </c>
      <c r="C912" s="537">
        <v>0</v>
      </c>
      <c r="D912" s="537">
        <v>0</v>
      </c>
      <c r="E912" s="537">
        <v>0</v>
      </c>
      <c r="F912" s="537">
        <v>0</v>
      </c>
      <c r="G912" s="537">
        <v>0</v>
      </c>
      <c r="H912" s="29">
        <f>SUM(C912:F912)</f>
        <v>0</v>
      </c>
    </row>
    <row r="913" spans="2:9">
      <c r="B913" s="15" t="s">
        <v>99</v>
      </c>
      <c r="C913" s="34">
        <v>200</v>
      </c>
      <c r="D913" s="34">
        <v>200</v>
      </c>
      <c r="E913" s="34">
        <v>200</v>
      </c>
      <c r="F913" s="34">
        <v>200</v>
      </c>
      <c r="G913" s="34">
        <v>200</v>
      </c>
    </row>
    <row r="914" spans="2:9">
      <c r="B914" s="47" t="s">
        <v>109</v>
      </c>
      <c r="C914" s="48">
        <f>C911-C912-C913</f>
        <v>8624.32</v>
      </c>
      <c r="D914" s="48">
        <f>D911-D912-D913</f>
        <v>4641.1000000000004</v>
      </c>
      <c r="E914" s="48">
        <f>E911-E912-E913</f>
        <v>4049.01</v>
      </c>
      <c r="F914" s="48">
        <f>F911-F912-F913</f>
        <v>5007.84</v>
      </c>
      <c r="G914" s="48">
        <f>G911-G912-G913</f>
        <v>3940.76</v>
      </c>
      <c r="H914" s="29">
        <f>SUM(C914:F914)</f>
        <v>22322.27</v>
      </c>
    </row>
    <row r="915" spans="2:9">
      <c r="B915" s="11" t="s">
        <v>153</v>
      </c>
      <c r="C915" s="34">
        <v>458</v>
      </c>
      <c r="D915" s="34">
        <f>$C$915</f>
        <v>458</v>
      </c>
      <c r="E915" s="34">
        <f>$C$915</f>
        <v>458</v>
      </c>
      <c r="F915" s="34">
        <f>$C$915</f>
        <v>458</v>
      </c>
      <c r="G915" s="34">
        <f>$C$915</f>
        <v>458</v>
      </c>
    </row>
    <row r="916" spans="2:9">
      <c r="B916" s="47" t="s">
        <v>100</v>
      </c>
      <c r="C916" s="34">
        <f>C915*C914</f>
        <v>3949938.56</v>
      </c>
      <c r="D916" s="34">
        <f>D915*D914</f>
        <v>2125623.8000000003</v>
      </c>
      <c r="E916" s="34">
        <f>E915*E914</f>
        <v>1854446.58</v>
      </c>
      <c r="F916" s="34">
        <f>F915*F914</f>
        <v>2293590.7200000002</v>
      </c>
      <c r="G916" s="34">
        <f>G915*G914</f>
        <v>1804868.08</v>
      </c>
      <c r="H916" s="557">
        <f>SUM(C916:G916)</f>
        <v>12028467.74</v>
      </c>
      <c r="I916" s="557" t="s">
        <v>1488</v>
      </c>
    </row>
    <row r="917" spans="2:9">
      <c r="B917" s="15" t="s">
        <v>151</v>
      </c>
      <c r="C917" s="54">
        <v>2251877.06</v>
      </c>
      <c r="D917" s="54">
        <v>1279413.78</v>
      </c>
      <c r="E917" s="54">
        <v>1134627.24</v>
      </c>
      <c r="F917" s="54">
        <v>1382510.08</v>
      </c>
      <c r="G917" s="54">
        <v>1054190.52</v>
      </c>
      <c r="H917" s="571">
        <f>SUM(C917:G917)</f>
        <v>7102618.6799999997</v>
      </c>
      <c r="I917" s="572" t="s">
        <v>923</v>
      </c>
    </row>
    <row r="918" spans="2:9">
      <c r="B918" s="12" t="s">
        <v>152</v>
      </c>
      <c r="C918" s="34">
        <f>C916-C917</f>
        <v>1698061.5</v>
      </c>
      <c r="D918" s="34">
        <f>D916-D917</f>
        <v>846210.02000000025</v>
      </c>
      <c r="E918" s="34">
        <f>E916-E917</f>
        <v>719819.34000000008</v>
      </c>
      <c r="F918" s="34">
        <f>F916-F917</f>
        <v>911080.64000000013</v>
      </c>
      <c r="G918" s="34">
        <f>G916-G917</f>
        <v>750677.56</v>
      </c>
      <c r="H918" s="541"/>
    </row>
    <row r="919" spans="2:9">
      <c r="H919" s="574">
        <f>H916-H917</f>
        <v>4925849.0600000005</v>
      </c>
      <c r="I919" s="575" t="s">
        <v>1584</v>
      </c>
    </row>
    <row r="920" spans="2:9">
      <c r="C920" s="600" t="s">
        <v>1526</v>
      </c>
      <c r="D920" s="600"/>
      <c r="E920" s="600"/>
    </row>
    <row r="922" spans="2:9">
      <c r="B922" s="11" t="s">
        <v>178</v>
      </c>
      <c r="C922" s="564">
        <v>228</v>
      </c>
      <c r="F922" s="55" t="s">
        <v>334</v>
      </c>
      <c r="G922" s="55" t="s">
        <v>335</v>
      </c>
      <c r="H922" s="50" t="s">
        <v>336</v>
      </c>
    </row>
    <row r="923" spans="2:9">
      <c r="B923" s="11" t="s">
        <v>110</v>
      </c>
      <c r="C923" s="565">
        <v>460</v>
      </c>
      <c r="F923" s="29">
        <f>C925</f>
        <v>1793.96</v>
      </c>
      <c r="G923" s="32">
        <f>'BAC SAN JOSE USD'!E592</f>
        <v>1773.96</v>
      </c>
      <c r="H923" s="247">
        <f>F923-G923</f>
        <v>20</v>
      </c>
    </row>
    <row r="924" spans="2:9" ht="24">
      <c r="C924" s="386" t="s">
        <v>1459</v>
      </c>
    </row>
    <row r="925" spans="2:9">
      <c r="B925" s="15" t="s">
        <v>96</v>
      </c>
      <c r="C925" s="315">
        <v>1793.96</v>
      </c>
    </row>
    <row r="926" spans="2:9">
      <c r="B926" s="11" t="s">
        <v>147</v>
      </c>
      <c r="C926" s="34"/>
    </row>
    <row r="927" spans="2:9">
      <c r="B927" s="50" t="s">
        <v>362</v>
      </c>
      <c r="C927" s="85">
        <f>C925-C926</f>
        <v>1793.96</v>
      </c>
    </row>
    <row r="928" spans="2:9">
      <c r="B928" s="15" t="s">
        <v>97</v>
      </c>
      <c r="C928" s="327">
        <v>20</v>
      </c>
    </row>
    <row r="929" spans="2:9">
      <c r="B929" s="50" t="s">
        <v>148</v>
      </c>
      <c r="C929" s="51">
        <f>C927-C928</f>
        <v>1773.96</v>
      </c>
    </row>
    <row r="930" spans="2:9">
      <c r="B930" s="15" t="s">
        <v>150</v>
      </c>
      <c r="C930" s="248">
        <v>1070.04</v>
      </c>
      <c r="E930" s="247">
        <f>SUM(C930)</f>
        <v>1070.04</v>
      </c>
      <c r="F930" s="56" t="s">
        <v>1487</v>
      </c>
    </row>
    <row r="931" spans="2:9">
      <c r="B931" s="15" t="s">
        <v>99</v>
      </c>
      <c r="C931" s="34">
        <v>179.74</v>
      </c>
    </row>
    <row r="932" spans="2:9">
      <c r="B932" s="47" t="s">
        <v>109</v>
      </c>
      <c r="C932" s="48">
        <f>C929-C930-C931</f>
        <v>524.18000000000006</v>
      </c>
    </row>
    <row r="933" spans="2:9">
      <c r="B933" s="11" t="s">
        <v>153</v>
      </c>
      <c r="C933" s="34">
        <v>458</v>
      </c>
    </row>
    <row r="934" spans="2:9">
      <c r="B934" s="47" t="s">
        <v>100</v>
      </c>
      <c r="C934" s="34">
        <f>C933*C932</f>
        <v>240074.44000000003</v>
      </c>
      <c r="H934" s="557">
        <f>SUM(C934:G934)</f>
        <v>240074.44000000003</v>
      </c>
      <c r="I934" s="557" t="s">
        <v>1488</v>
      </c>
    </row>
    <row r="935" spans="2:9">
      <c r="B935" s="15" t="s">
        <v>151</v>
      </c>
      <c r="C935" s="34">
        <v>0</v>
      </c>
      <c r="E935" s="571">
        <f>SUM(C935:D935)</f>
        <v>0</v>
      </c>
      <c r="F935" s="572" t="s">
        <v>923</v>
      </c>
      <c r="H935" s="574">
        <f>H934</f>
        <v>240074.44000000003</v>
      </c>
      <c r="I935" s="575" t="s">
        <v>1585</v>
      </c>
    </row>
    <row r="936" spans="2:9">
      <c r="B936" s="12" t="s">
        <v>152</v>
      </c>
      <c r="C936" s="34">
        <f>C934-C935</f>
        <v>240074.44000000003</v>
      </c>
    </row>
    <row r="938" spans="2:9">
      <c r="C938" s="600" t="s">
        <v>1529</v>
      </c>
      <c r="D938" s="600"/>
      <c r="E938" s="600"/>
    </row>
    <row r="940" spans="2:9">
      <c r="B940" s="11" t="s">
        <v>178</v>
      </c>
      <c r="C940" s="566">
        <v>229</v>
      </c>
      <c r="D940" s="566">
        <v>231</v>
      </c>
      <c r="E940" s="566">
        <v>230</v>
      </c>
    </row>
    <row r="941" spans="2:9">
      <c r="B941" s="11" t="s">
        <v>110</v>
      </c>
      <c r="C941" s="567">
        <v>460</v>
      </c>
      <c r="D941" s="567">
        <v>469</v>
      </c>
      <c r="E941" s="567">
        <v>460</v>
      </c>
    </row>
    <row r="942" spans="2:9" ht="24">
      <c r="C942" s="386" t="s">
        <v>1351</v>
      </c>
      <c r="D942" s="386" t="s">
        <v>1349</v>
      </c>
      <c r="E942" s="386" t="s">
        <v>1350</v>
      </c>
    </row>
    <row r="943" spans="2:9">
      <c r="B943" s="15" t="s">
        <v>96</v>
      </c>
      <c r="C943" s="315">
        <v>8370.65</v>
      </c>
      <c r="D943" s="315">
        <v>22914.19</v>
      </c>
      <c r="E943" s="315">
        <v>2992.19</v>
      </c>
    </row>
    <row r="944" spans="2:9">
      <c r="B944" s="11" t="s">
        <v>147</v>
      </c>
      <c r="C944" s="34"/>
      <c r="D944" s="34"/>
      <c r="E944" s="34"/>
    </row>
    <row r="945" spans="2:12">
      <c r="B945" s="50" t="s">
        <v>362</v>
      </c>
      <c r="C945" s="85">
        <f>C943-C944</f>
        <v>8370.65</v>
      </c>
      <c r="D945" s="85">
        <f>D943-D944</f>
        <v>22914.19</v>
      </c>
      <c r="E945" s="85">
        <f>E943-E944</f>
        <v>2992.19</v>
      </c>
    </row>
    <row r="946" spans="2:12">
      <c r="B946" s="15" t="s">
        <v>97</v>
      </c>
      <c r="C946" s="327">
        <v>20</v>
      </c>
      <c r="D946" s="327">
        <v>34.369999999999997</v>
      </c>
      <c r="E946" s="327">
        <v>20</v>
      </c>
    </row>
    <row r="947" spans="2:12">
      <c r="B947" s="50" t="s">
        <v>148</v>
      </c>
      <c r="C947" s="51">
        <f>C945-C946</f>
        <v>8350.65</v>
      </c>
      <c r="D947" s="51">
        <f>D945-D946</f>
        <v>22879.82</v>
      </c>
      <c r="E947" s="51">
        <f>E945-E946</f>
        <v>2972.19</v>
      </c>
    </row>
    <row r="948" spans="2:12">
      <c r="B948" s="15" t="s">
        <v>150</v>
      </c>
      <c r="C948" s="248">
        <v>4773.8900000000003</v>
      </c>
      <c r="D948" s="468">
        <v>0</v>
      </c>
      <c r="E948" s="248">
        <v>1846.31</v>
      </c>
    </row>
    <row r="949" spans="2:12">
      <c r="B949" s="15" t="s">
        <v>99</v>
      </c>
      <c r="C949" s="34">
        <f>135</f>
        <v>135</v>
      </c>
      <c r="D949" s="34">
        <f>135</f>
        <v>135</v>
      </c>
      <c r="E949" s="34">
        <f>135</f>
        <v>135</v>
      </c>
    </row>
    <row r="950" spans="2:12">
      <c r="B950" s="47" t="s">
        <v>109</v>
      </c>
      <c r="C950" s="48">
        <f>C947-C948-C949</f>
        <v>3441.7599999999993</v>
      </c>
      <c r="D950" s="48">
        <f>D947-D948-D949</f>
        <v>22744.82</v>
      </c>
      <c r="E950" s="48">
        <f>E947-E948-E949</f>
        <v>990.88000000000011</v>
      </c>
    </row>
    <row r="951" spans="2:12">
      <c r="B951" s="11" t="s">
        <v>153</v>
      </c>
      <c r="C951" s="34">
        <v>458</v>
      </c>
      <c r="D951" s="34">
        <f>$C$951</f>
        <v>458</v>
      </c>
      <c r="E951" s="34">
        <f>$C$951</f>
        <v>458</v>
      </c>
    </row>
    <row r="952" spans="2:12">
      <c r="B952" s="47" t="s">
        <v>100</v>
      </c>
      <c r="C952" s="34">
        <f>C951*C950</f>
        <v>1576326.0799999996</v>
      </c>
      <c r="D952" s="34">
        <f>D951*D950</f>
        <v>10417127.560000001</v>
      </c>
      <c r="E952" s="34">
        <f>E951*E950</f>
        <v>453823.04000000004</v>
      </c>
      <c r="H952" s="557">
        <f>SUM(C952:G952)</f>
        <v>12447276.68</v>
      </c>
      <c r="I952" s="557" t="s">
        <v>1488</v>
      </c>
      <c r="K952" s="574">
        <f>H952-H953</f>
        <v>7109184.29</v>
      </c>
      <c r="L952" s="575" t="s">
        <v>1584</v>
      </c>
    </row>
    <row r="953" spans="2:12">
      <c r="B953" s="15" t="s">
        <v>151</v>
      </c>
      <c r="C953" s="34">
        <v>0</v>
      </c>
      <c r="D953" s="54">
        <v>5338092.3899999997</v>
      </c>
      <c r="E953" s="34">
        <v>0</v>
      </c>
      <c r="H953" s="571">
        <f>SUM(C953:E953)</f>
        <v>5338092.3899999997</v>
      </c>
      <c r="I953" s="572" t="s">
        <v>923</v>
      </c>
    </row>
    <row r="954" spans="2:12">
      <c r="B954" s="12" t="s">
        <v>152</v>
      </c>
      <c r="C954" s="34">
        <f>C952-C953</f>
        <v>1576326.0799999996</v>
      </c>
      <c r="D954" s="34">
        <f>D952-D953</f>
        <v>5079035.1700000009</v>
      </c>
      <c r="E954" s="34">
        <f>E952-E953</f>
        <v>453823.04000000004</v>
      </c>
      <c r="K954" s="574">
        <f>P901+H919+H935+K952</f>
        <v>28798656.939999994</v>
      </c>
      <c r="L954" s="574">
        <f>K954/458</f>
        <v>62879.163624454137</v>
      </c>
    </row>
    <row r="956" spans="2:12">
      <c r="H956" s="247">
        <f>P898+H916+H934+H952</f>
        <v>50494495.419999994</v>
      </c>
      <c r="I956" s="56" t="s">
        <v>1560</v>
      </c>
      <c r="J956" s="56"/>
    </row>
    <row r="957" spans="2:12">
      <c r="H957" s="267">
        <f>H956/457</f>
        <v>110491.2372428884</v>
      </c>
      <c r="I957" s="542" t="s">
        <v>1561</v>
      </c>
      <c r="K957" s="573">
        <v>115730.35</v>
      </c>
      <c r="L957" s="11" t="s">
        <v>1562</v>
      </c>
    </row>
    <row r="960" spans="2:12">
      <c r="H960" s="29">
        <f>P899+H917+E935+H953</f>
        <v>21695838.48</v>
      </c>
      <c r="I960" s="11" t="s">
        <v>1563</v>
      </c>
    </row>
    <row r="961" spans="8:12">
      <c r="H961" s="29">
        <f>'BAC SAN JOSE COLONES  '!G599</f>
        <v>18733952.845670037</v>
      </c>
      <c r="I961" s="11" t="s">
        <v>1564</v>
      </c>
    </row>
    <row r="962" spans="8:12">
      <c r="H962" s="29">
        <f>H960-H961</f>
        <v>2961885.6343299635</v>
      </c>
      <c r="I962" s="11" t="s">
        <v>1565</v>
      </c>
    </row>
    <row r="963" spans="8:12">
      <c r="H963" s="29">
        <f>H962/457</f>
        <v>6481.1501845294606</v>
      </c>
      <c r="I963" s="11" t="s">
        <v>1566</v>
      </c>
      <c r="K963" s="29">
        <f>K957-H963</f>
        <v>109249.19981547055</v>
      </c>
      <c r="L963" s="29">
        <f>+H957-K963</f>
        <v>1242.0374274178466</v>
      </c>
    </row>
    <row r="964" spans="8:12">
      <c r="H964" s="29">
        <v>200</v>
      </c>
      <c r="I964" s="11" t="s">
        <v>1568</v>
      </c>
    </row>
    <row r="965" spans="8:12">
      <c r="H965" s="29">
        <f>+H963+H964</f>
        <v>6681.1501845294606</v>
      </c>
    </row>
    <row r="968" spans="8:12">
      <c r="H968" s="29">
        <f>H965-1200</f>
        <v>5481.1501845294606</v>
      </c>
    </row>
  </sheetData>
  <mergeCells count="80">
    <mergeCell ref="B884:L884"/>
    <mergeCell ref="C902:E902"/>
    <mergeCell ref="C920:E920"/>
    <mergeCell ref="C862:E862"/>
    <mergeCell ref="C769:E769"/>
    <mergeCell ref="C787:E787"/>
    <mergeCell ref="C807:E807"/>
    <mergeCell ref="B825:L825"/>
    <mergeCell ref="C843:E843"/>
    <mergeCell ref="B709:L709"/>
    <mergeCell ref="C728:E728"/>
    <mergeCell ref="B654:L654"/>
    <mergeCell ref="B673:L673"/>
    <mergeCell ref="C690:E690"/>
    <mergeCell ref="B750:L750"/>
    <mergeCell ref="B207:L207"/>
    <mergeCell ref="F267:G267"/>
    <mergeCell ref="F190:G190"/>
    <mergeCell ref="B226:L226"/>
    <mergeCell ref="B189:L189"/>
    <mergeCell ref="D385:E385"/>
    <mergeCell ref="C267:E267"/>
    <mergeCell ref="B266:L266"/>
    <mergeCell ref="F385:G385"/>
    <mergeCell ref="B366:L366"/>
    <mergeCell ref="F135:G135"/>
    <mergeCell ref="C190:E190"/>
    <mergeCell ref="B171:L171"/>
    <mergeCell ref="F172:G172"/>
    <mergeCell ref="C172:E172"/>
    <mergeCell ref="B153:L153"/>
    <mergeCell ref="B98:L98"/>
    <mergeCell ref="E65:F65"/>
    <mergeCell ref="C117:E117"/>
    <mergeCell ref="B134:L134"/>
    <mergeCell ref="B64:L64"/>
    <mergeCell ref="B81:L81"/>
    <mergeCell ref="C65:D65"/>
    <mergeCell ref="E82:F82"/>
    <mergeCell ref="B116:L116"/>
    <mergeCell ref="F117:G117"/>
    <mergeCell ref="B2:L2"/>
    <mergeCell ref="B27:L27"/>
    <mergeCell ref="B46:L46"/>
    <mergeCell ref="C47:D47"/>
    <mergeCell ref="E47:F47"/>
    <mergeCell ref="C82:D82"/>
    <mergeCell ref="C99:D99"/>
    <mergeCell ref="E99:F99"/>
    <mergeCell ref="F208:G208"/>
    <mergeCell ref="C208:E208"/>
    <mergeCell ref="B307:L307"/>
    <mergeCell ref="C154:E154"/>
    <mergeCell ref="F154:G154"/>
    <mergeCell ref="C227:E227"/>
    <mergeCell ref="F227:G227"/>
    <mergeCell ref="C135:E135"/>
    <mergeCell ref="B285:L285"/>
    <mergeCell ref="F308:G308"/>
    <mergeCell ref="C308:E308"/>
    <mergeCell ref="B384:L384"/>
    <mergeCell ref="F286:G286"/>
    <mergeCell ref="C286:E286"/>
    <mergeCell ref="B329:L329"/>
    <mergeCell ref="B508:L508"/>
    <mergeCell ref="B489:L489"/>
    <mergeCell ref="B401:L401"/>
    <mergeCell ref="B418:L418"/>
    <mergeCell ref="B348:L348"/>
    <mergeCell ref="C349:E349"/>
    <mergeCell ref="C938:E938"/>
    <mergeCell ref="B617:L617"/>
    <mergeCell ref="C635:E635"/>
    <mergeCell ref="F349:G349"/>
    <mergeCell ref="C579:E579"/>
    <mergeCell ref="B542:L542"/>
    <mergeCell ref="B471:L471"/>
    <mergeCell ref="B436:L436"/>
    <mergeCell ref="C561:E561"/>
    <mergeCell ref="B598:L598"/>
  </mergeCells>
  <dataValidations disablePrompts="1" count="1">
    <dataValidation type="list" allowBlank="1" showInputMessage="1" showErrorMessage="1" sqref="K11" xr:uid="{E72AFE7A-7892-4C4F-8B0A-17249EB9E0BD}">
      <formula1>"0,1"</formula1>
    </dataValidation>
  </dataValidations>
  <pageMargins left="0.7" right="0.7" top="0.75" bottom="0.75" header="0.3" footer="0.3"/>
  <pageSetup orientation="portrait" r:id="rId1"/>
  <ignoredErrors>
    <ignoredError sqref="E53:H53 C87:I88 C105 D105:G105 C123:I123 C160:I160 C178:I178 C197:J197 C199:J199 C198:D198 I198 F198:G198 C202:I202 D201:I201 D200:J200 C204:J204 E203 H203 J203 C196:I196 C205:I205 C214:I214 C234:J234 C237:J237 J236 J233 C235:D235 F235:G235 I235 C239:J239 J238 J240 C273 D273:I273 C292:I292 C314:J314 C355:J355 K391 C478 C497 E497 H497:I497 F498:I498 C515:J515 C558:J558 C553 D552:E552 I552 G552 C554 C556 C557 J557 H557 F557 D551:J551 C550:L550 C532 C606:M606 C624:M624 C662:L662 C717 D717:L717 C758:L758 C795:F795 C833:N833 C870:G870 C911:H911 H910 C910:G910 C912:G912" formula="1"/>
    <ignoredError sqref="K139:K140 K148 K142 P193:Q193 K353:K357 M193" formulaRange="1"/>
    <ignoredError sqref="H912" formula="1" formulaRange="1"/>
  </ignoredErrors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1A2A-AB40-433F-8A16-E72285CFB9A8}">
  <dimension ref="B2:D8"/>
  <sheetViews>
    <sheetView showGridLines="0" workbookViewId="0">
      <selection activeCell="G18" sqref="G18"/>
    </sheetView>
  </sheetViews>
  <sheetFormatPr baseColWidth="10" defaultRowHeight="14.4"/>
  <cols>
    <col min="1" max="1" width="1.44140625" customWidth="1"/>
    <col min="2" max="2" width="11.5546875" customWidth="1"/>
    <col min="3" max="3" width="38" bestFit="1" customWidth="1"/>
    <col min="4" max="4" width="14.6640625" bestFit="1" customWidth="1"/>
  </cols>
  <sheetData>
    <row r="2" spans="2:4">
      <c r="B2" s="378" t="s">
        <v>769</v>
      </c>
      <c r="C2" s="378" t="s">
        <v>768</v>
      </c>
      <c r="D2" s="378" t="s">
        <v>770</v>
      </c>
    </row>
    <row r="3" spans="2:4">
      <c r="B3" s="377">
        <v>45709</v>
      </c>
      <c r="C3" t="s">
        <v>767</v>
      </c>
      <c r="D3" s="170">
        <v>110000</v>
      </c>
    </row>
    <row r="4" spans="2:4" ht="6" customHeight="1">
      <c r="B4" s="377"/>
      <c r="D4" s="170"/>
    </row>
    <row r="5" spans="2:4">
      <c r="B5" s="377">
        <v>45739</v>
      </c>
      <c r="C5" t="s">
        <v>771</v>
      </c>
      <c r="D5" s="170">
        <v>65728</v>
      </c>
    </row>
    <row r="6" spans="2:4">
      <c r="B6" s="377">
        <v>45762</v>
      </c>
      <c r="C6" t="s">
        <v>800</v>
      </c>
      <c r="D6" s="170">
        <v>65728</v>
      </c>
    </row>
    <row r="7" spans="2:4">
      <c r="B7" s="604" t="s">
        <v>801</v>
      </c>
      <c r="C7" s="604"/>
      <c r="D7" s="194">
        <f>SUM(D5:D6)-D3</f>
        <v>21456</v>
      </c>
    </row>
    <row r="8" spans="2:4">
      <c r="D8" s="170"/>
    </row>
  </sheetData>
  <mergeCells count="1">
    <mergeCell ref="B7:C7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4048-4C2C-4565-9C7F-969CCFC5CDE2}">
  <dimension ref="A1"/>
  <sheetViews>
    <sheetView topLeftCell="A7" workbookViewId="0">
      <selection activeCell="A16" sqref="A16"/>
    </sheetView>
  </sheetViews>
  <sheetFormatPr baseColWidth="10" defaultRowHeight="14.4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D860-28BF-4310-8E8F-5437CF728B52}">
  <dimension ref="A2:D43"/>
  <sheetViews>
    <sheetView topLeftCell="A24" workbookViewId="0">
      <selection activeCell="A44" sqref="A44"/>
    </sheetView>
  </sheetViews>
  <sheetFormatPr baseColWidth="10" defaultColWidth="9.109375" defaultRowHeight="14.4"/>
  <cols>
    <col min="1" max="1" width="20.33203125" style="163" bestFit="1" customWidth="1"/>
    <col min="2" max="16384" width="9.109375" style="163"/>
  </cols>
  <sheetData>
    <row r="2" spans="1:1">
      <c r="A2" s="162" t="s">
        <v>241</v>
      </c>
    </row>
    <row r="3" spans="1:1">
      <c r="A3" s="164">
        <v>45292</v>
      </c>
    </row>
    <row r="4" spans="1:1">
      <c r="A4" s="164">
        <v>45379</v>
      </c>
    </row>
    <row r="5" spans="1:1">
      <c r="A5" s="164">
        <v>45380</v>
      </c>
    </row>
    <row r="6" spans="1:1">
      <c r="A6" s="164">
        <v>45381</v>
      </c>
    </row>
    <row r="7" spans="1:1">
      <c r="A7" s="164">
        <v>45393</v>
      </c>
    </row>
    <row r="8" spans="1:1">
      <c r="A8" s="164">
        <v>45413</v>
      </c>
    </row>
    <row r="9" spans="1:1">
      <c r="A9" s="164">
        <v>45498</v>
      </c>
    </row>
    <row r="10" spans="1:1">
      <c r="A10" s="164">
        <v>45506</v>
      </c>
    </row>
    <row r="11" spans="1:1">
      <c r="A11" s="164">
        <v>45519</v>
      </c>
    </row>
    <row r="12" spans="1:1">
      <c r="A12" s="164">
        <v>45550</v>
      </c>
    </row>
    <row r="13" spans="1:1">
      <c r="A13" s="164">
        <v>45577</v>
      </c>
    </row>
    <row r="14" spans="1:1">
      <c r="A14" s="164">
        <v>45651</v>
      </c>
    </row>
    <row r="15" spans="1:1">
      <c r="A15" s="164">
        <v>45657</v>
      </c>
    </row>
    <row r="16" spans="1:1">
      <c r="A16" s="164">
        <v>45658</v>
      </c>
    </row>
    <row r="17" spans="1:4">
      <c r="A17" s="164">
        <v>45758</v>
      </c>
      <c r="C17" s="164"/>
    </row>
    <row r="18" spans="1:4">
      <c r="A18" s="164">
        <v>45764</v>
      </c>
      <c r="C18" s="164"/>
    </row>
    <row r="19" spans="1:4">
      <c r="A19" s="164">
        <v>45765</v>
      </c>
      <c r="C19" s="164"/>
    </row>
    <row r="20" spans="1:4">
      <c r="A20" s="165">
        <v>45766</v>
      </c>
      <c r="C20" s="165"/>
    </row>
    <row r="21" spans="1:4">
      <c r="A21" s="165">
        <v>45778</v>
      </c>
      <c r="C21" s="165"/>
      <c r="D21" s="166"/>
    </row>
    <row r="22" spans="1:4">
      <c r="A22" s="165">
        <v>45863</v>
      </c>
      <c r="C22" s="165"/>
      <c r="D22" s="166"/>
    </row>
    <row r="23" spans="1:4">
      <c r="A23" s="165">
        <v>45871</v>
      </c>
      <c r="C23" s="165"/>
      <c r="D23" s="166"/>
    </row>
    <row r="24" spans="1:4">
      <c r="A24" s="165">
        <v>45884</v>
      </c>
      <c r="C24" s="165"/>
      <c r="D24" s="166"/>
    </row>
    <row r="25" spans="1:4">
      <c r="A25" s="165">
        <v>45900</v>
      </c>
      <c r="C25" s="165"/>
      <c r="D25" s="166"/>
    </row>
    <row r="26" spans="1:4">
      <c r="A26" s="165">
        <v>45915</v>
      </c>
      <c r="C26" s="165"/>
      <c r="D26" s="166"/>
    </row>
    <row r="27" spans="1:4">
      <c r="A27" s="165">
        <v>45992</v>
      </c>
      <c r="C27" s="165"/>
      <c r="D27" s="166"/>
    </row>
    <row r="28" spans="1:4">
      <c r="A28" s="165">
        <v>46016</v>
      </c>
      <c r="C28" s="165"/>
      <c r="D28" s="166"/>
    </row>
    <row r="29" spans="1:4">
      <c r="A29" s="165">
        <v>46022</v>
      </c>
      <c r="C29" s="165"/>
      <c r="D29" s="166"/>
    </row>
    <row r="30" spans="1:4">
      <c r="A30" s="532">
        <v>46023</v>
      </c>
      <c r="C30" s="165"/>
      <c r="D30" s="166"/>
    </row>
    <row r="31" spans="1:4">
      <c r="A31" s="165">
        <v>46114</v>
      </c>
      <c r="C31" s="165"/>
      <c r="D31" s="166"/>
    </row>
    <row r="32" spans="1:4">
      <c r="A32" s="165">
        <v>46115</v>
      </c>
      <c r="C32" s="165"/>
      <c r="D32" s="166"/>
    </row>
    <row r="33" spans="1:4">
      <c r="A33" s="165">
        <v>46116</v>
      </c>
      <c r="C33" s="165"/>
      <c r="D33" s="166"/>
    </row>
    <row r="34" spans="1:4">
      <c r="A34" s="165">
        <v>46123</v>
      </c>
      <c r="C34" s="165"/>
      <c r="D34" s="166"/>
    </row>
    <row r="35" spans="1:4">
      <c r="A35" s="165">
        <v>46143</v>
      </c>
      <c r="C35" s="165"/>
      <c r="D35" s="166"/>
    </row>
    <row r="36" spans="1:4">
      <c r="A36" s="165">
        <v>46228</v>
      </c>
    </row>
    <row r="37" spans="1:4">
      <c r="A37" s="165">
        <v>46236</v>
      </c>
    </row>
    <row r="38" spans="1:4">
      <c r="A38" s="165">
        <v>46249</v>
      </c>
    </row>
    <row r="39" spans="1:4">
      <c r="A39" s="165">
        <v>46265</v>
      </c>
    </row>
    <row r="40" spans="1:4">
      <c r="A40" s="165">
        <v>46280</v>
      </c>
    </row>
    <row r="41" spans="1:4">
      <c r="A41" s="165">
        <v>46357</v>
      </c>
    </row>
    <row r="42" spans="1:4">
      <c r="A42" s="165">
        <v>46381</v>
      </c>
    </row>
    <row r="43" spans="1:4">
      <c r="A43" s="165">
        <v>46387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CCFA-D7C5-4FD0-8DBC-68FF8A30BE16}">
  <dimension ref="B2:I18"/>
  <sheetViews>
    <sheetView showGridLines="0" topLeftCell="A2" workbookViewId="0">
      <selection activeCell="I16" sqref="I16"/>
    </sheetView>
  </sheetViews>
  <sheetFormatPr baseColWidth="10" defaultRowHeight="14.4"/>
  <cols>
    <col min="1" max="1" width="11.5546875" customWidth="1"/>
    <col min="2" max="2" width="2.88671875" bestFit="1" customWidth="1"/>
    <col min="3" max="3" width="7.88671875" bestFit="1" customWidth="1"/>
    <col min="4" max="4" width="11.5546875" customWidth="1"/>
    <col min="5" max="5" width="13.109375" bestFit="1" customWidth="1"/>
    <col min="6" max="6" width="0" hidden="1" customWidth="1"/>
    <col min="7" max="7" width="11.5546875" customWidth="1"/>
    <col min="8" max="8" width="13.33203125" bestFit="1" customWidth="1"/>
    <col min="9" max="9" width="31" bestFit="1" customWidth="1"/>
  </cols>
  <sheetData>
    <row r="2" spans="2:9" ht="15" thickBot="1"/>
    <row r="3" spans="2:9" ht="29.4" thickBot="1">
      <c r="B3" s="61" t="s">
        <v>187</v>
      </c>
      <c r="C3" s="62" t="s">
        <v>188</v>
      </c>
      <c r="D3" s="62" t="s">
        <v>189</v>
      </c>
      <c r="E3" s="62" t="s">
        <v>190</v>
      </c>
      <c r="F3" s="62"/>
      <c r="G3" s="63" t="s">
        <v>191</v>
      </c>
      <c r="H3" s="62" t="s">
        <v>192</v>
      </c>
    </row>
    <row r="4" spans="2:9">
      <c r="B4" s="64">
        <v>1</v>
      </c>
      <c r="C4" s="65">
        <v>113</v>
      </c>
      <c r="D4" s="65" t="s">
        <v>193</v>
      </c>
      <c r="E4" s="66">
        <v>19878.47</v>
      </c>
      <c r="F4" s="67">
        <f>E4/$E$10</f>
        <v>0.52264848579341017</v>
      </c>
      <c r="G4" s="66">
        <f>$F$10*F4</f>
        <v>26.13242428967051</v>
      </c>
      <c r="H4" s="68">
        <f>E4-G4</f>
        <v>19852.337575710331</v>
      </c>
      <c r="I4" t="s">
        <v>194</v>
      </c>
    </row>
    <row r="5" spans="2:9">
      <c r="B5" s="69">
        <v>2</v>
      </c>
      <c r="C5" s="70">
        <v>114</v>
      </c>
      <c r="D5" s="70" t="s">
        <v>195</v>
      </c>
      <c r="E5" s="71">
        <v>4441.37</v>
      </c>
      <c r="F5" s="72">
        <f>E5/$E$10</f>
        <v>0.11677333845855732</v>
      </c>
      <c r="G5" s="71">
        <f>$F$10*F5</f>
        <v>5.8386669229278665</v>
      </c>
      <c r="H5" s="73">
        <f>E5-G5</f>
        <v>4435.5313330770723</v>
      </c>
      <c r="I5" t="s">
        <v>179</v>
      </c>
    </row>
    <row r="6" spans="2:9">
      <c r="B6" s="69">
        <v>3</v>
      </c>
      <c r="C6" s="70">
        <v>115</v>
      </c>
      <c r="D6" s="70" t="s">
        <v>196</v>
      </c>
      <c r="E6" s="71">
        <v>2470.81</v>
      </c>
      <c r="F6" s="72">
        <f>E6/$E$10</f>
        <v>6.4963002946565596E-2</v>
      </c>
      <c r="G6" s="71">
        <f>$F$10*F6</f>
        <v>3.2481501473282797</v>
      </c>
      <c r="H6" s="73">
        <f>E6-G6</f>
        <v>2467.5618498526715</v>
      </c>
      <c r="I6" t="s">
        <v>180</v>
      </c>
    </row>
    <row r="7" spans="2:9" ht="15" thickBot="1">
      <c r="B7" s="74">
        <v>4</v>
      </c>
      <c r="C7" s="75">
        <v>117</v>
      </c>
      <c r="D7" s="75" t="s">
        <v>197</v>
      </c>
      <c r="E7" s="76">
        <v>11243.46</v>
      </c>
      <c r="F7" s="77">
        <f>E7/$E$10</f>
        <v>0.29561517280146687</v>
      </c>
      <c r="G7" s="76">
        <f>$F$10*F7</f>
        <v>14.780758640073344</v>
      </c>
      <c r="H7" s="78">
        <f>E7-G7</f>
        <v>11228.679241359925</v>
      </c>
      <c r="I7" t="s">
        <v>181</v>
      </c>
    </row>
    <row r="8" spans="2:9" ht="15" thickBot="1">
      <c r="B8" s="605" t="s">
        <v>198</v>
      </c>
      <c r="C8" s="605"/>
      <c r="D8" s="605"/>
      <c r="E8" s="605"/>
      <c r="F8" s="79">
        <f>SUM(F4:F7)</f>
        <v>1</v>
      </c>
      <c r="G8" s="80">
        <f>SUM(G4:G7)</f>
        <v>50</v>
      </c>
    </row>
    <row r="9" spans="2:9">
      <c r="E9" s="81"/>
    </row>
    <row r="10" spans="2:9">
      <c r="E10" s="81">
        <f>SUM($E$4:$E$7)</f>
        <v>38034.11</v>
      </c>
      <c r="F10" s="82">
        <f>E10-E12</f>
        <v>50</v>
      </c>
      <c r="H10" s="81">
        <f>SUM($H$4:$H$7)</f>
        <v>37984.11</v>
      </c>
    </row>
    <row r="11" spans="2:9">
      <c r="E11" s="82"/>
    </row>
    <row r="12" spans="2:9">
      <c r="E12" s="82">
        <v>37984.11</v>
      </c>
    </row>
    <row r="16" spans="2:9">
      <c r="D16" t="s">
        <v>199</v>
      </c>
      <c r="E16" s="82">
        <v>14750.13</v>
      </c>
      <c r="G16" s="83">
        <f>E16/$E$18</f>
        <v>0.7420153563126336</v>
      </c>
      <c r="H16" s="82">
        <f>$G$4*G16</f>
        <v>19.390660120612786</v>
      </c>
      <c r="I16" s="82">
        <f>E16-H16</f>
        <v>14730.739339879387</v>
      </c>
    </row>
    <row r="17" spans="4:9">
      <c r="D17" t="s">
        <v>149</v>
      </c>
      <c r="E17" s="82">
        <v>5128.34</v>
      </c>
      <c r="G17" s="83">
        <f>E17/$E$18</f>
        <v>0.25798464368736629</v>
      </c>
      <c r="H17" s="82">
        <f>$G$4*G17</f>
        <v>6.7417641690577224</v>
      </c>
      <c r="I17" s="82">
        <f>E17-H17</f>
        <v>5121.598235830942</v>
      </c>
    </row>
    <row r="18" spans="4:9">
      <c r="E18" s="81">
        <f>SUM(E16:E17)</f>
        <v>19878.47</v>
      </c>
      <c r="G18" s="84">
        <f>SUM(G16:G17)</f>
        <v>0.99999999999999989</v>
      </c>
      <c r="H18" s="81">
        <f>SUM(H16:H17)</f>
        <v>26.13242428967051</v>
      </c>
      <c r="I18" s="81">
        <f>SUM(I16:I17)</f>
        <v>19852.337575710328</v>
      </c>
    </row>
  </sheetData>
  <mergeCells count="1"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BAC SAN JOSE COLONES  </vt:lpstr>
      <vt:lpstr>BAC SAN JOSE USD</vt:lpstr>
      <vt:lpstr>FLUJO CAJA ABRIL</vt:lpstr>
      <vt:lpstr>FLUJO CAJA MAYO</vt:lpstr>
      <vt:lpstr>FLUJO CAJA JUNIO </vt:lpstr>
      <vt:lpstr>FLUJO CAJA JULIO </vt:lpstr>
      <vt:lpstr>FLUJO CAJA AGOSTO</vt:lpstr>
      <vt:lpstr>FLUJO CAJA SEPTIEMBRE</vt:lpstr>
      <vt:lpstr>FLUJO CAJA OCTUBRE </vt:lpstr>
      <vt:lpstr>FLUJO CAJA NOVIEMBRE</vt:lpstr>
      <vt:lpstr>FLUJO CAJA DICIEMBRE</vt:lpstr>
      <vt:lpstr>FLUJO CAJA ENERO</vt:lpstr>
      <vt:lpstr>FLUJO CAJA FEBRERO</vt:lpstr>
      <vt:lpstr>FLUJO CAJA MARZO</vt:lpstr>
      <vt:lpstr>FLUJO CAJA ABRIL 2025</vt:lpstr>
      <vt:lpstr>FLUJO CAJA MAYO 2025</vt:lpstr>
      <vt:lpstr>FLUJO CAJA JUNIO 2025 </vt:lpstr>
      <vt:lpstr>FLUJO CAJA JULIO 2025</vt:lpstr>
      <vt:lpstr>FLUJO CAJA AGOSTO 2025</vt:lpstr>
      <vt:lpstr>FLUJO CAJA SEPTIEMBRE 2025</vt:lpstr>
      <vt:lpstr>FLUJO CAJA OCTUBRE 2025</vt:lpstr>
      <vt:lpstr>FLUJO CAJA NOVIEMBRE 2025</vt:lpstr>
      <vt:lpstr>FLUJO CAJA DICIEMBRE 2025</vt:lpstr>
      <vt:lpstr>FLUJO CAJA ENERO 2026</vt:lpstr>
      <vt:lpstr>FLUJO CAJA FEBRERO 2026</vt:lpstr>
      <vt:lpstr>FLUJO CAJA MARZO 2026 </vt:lpstr>
      <vt:lpstr>FLUJO CAJA ABRIL 2026</vt:lpstr>
      <vt:lpstr>DIFERENCIA CAMBI</vt:lpstr>
      <vt:lpstr>CONVERSIONES</vt:lpstr>
      <vt:lpstr>CRUCE CTAS</vt:lpstr>
      <vt:lpstr>Facturación Alejo 2025</vt:lpstr>
      <vt:lpstr>Festivos CR</vt:lpstr>
      <vt:lpstr>Calculos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Yiseth P. Tovar</dc:creator>
  <cp:lastModifiedBy>Cristian Parada</cp:lastModifiedBy>
  <cp:lastPrinted>2026-04-08T13:20:39Z</cp:lastPrinted>
  <dcterms:created xsi:type="dcterms:W3CDTF">2014-03-13T14:38:55Z</dcterms:created>
  <dcterms:modified xsi:type="dcterms:W3CDTF">2026-04-27T17:15:37Z</dcterms:modified>
</cp:coreProperties>
</file>
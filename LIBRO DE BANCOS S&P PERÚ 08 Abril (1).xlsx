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ristian\Documents\SYP\Documentos automatizacion 2\TESORERIA\Flujo de caja\"/>
    </mc:Choice>
  </mc:AlternateContent>
  <xr:revisionPtr revIDLastSave="0" documentId="8_{D640CC8C-21D0-4DF4-AD34-901D78C01534}" xr6:coauthVersionLast="47" xr6:coauthVersionMax="47" xr10:uidLastSave="{00000000-0000-0000-0000-000000000000}"/>
  <bookViews>
    <workbookView xWindow="-108" yWindow="-108" windowWidth="23256" windowHeight="12456" firstSheet="16" activeTab="18" xr2:uid="{F8B25BAD-5233-4F0F-A768-F4E114A59D5E}"/>
  </bookViews>
  <sheets>
    <sheet name="BBVA SOLES" sheetId="36" r:id="rId1"/>
    <sheet name="BBVA USD" sheetId="37" r:id="rId2"/>
    <sheet name="BCP SOLES BCP" sheetId="1" r:id="rId3"/>
    <sheet name="BCP USD BCP" sheetId="7" r:id="rId4"/>
    <sheet name="GASTOS SUCURSAL PERÚ" sheetId="24" state="hidden" r:id="rId5"/>
    <sheet name="FLUJO CAJA MARZO" sheetId="25" state="hidden" r:id="rId6"/>
    <sheet name="FLUJO CAJA ABRIL" sheetId="27" state="hidden" r:id="rId7"/>
    <sheet name="FLUJO CAJA MAYO" sheetId="28" state="hidden" r:id="rId8"/>
    <sheet name="FLUJO CAJA JUNIO" sheetId="29" state="hidden" r:id="rId9"/>
    <sheet name="FLUJO CAJA JULIO" sheetId="30" state="hidden" r:id="rId10"/>
    <sheet name="FLUJO CAJA AGOSTO" sheetId="31" state="hidden" r:id="rId11"/>
    <sheet name="FLUJO CAJA SEPTIEMBRE" sheetId="32" state="hidden" r:id="rId12"/>
    <sheet name="FLUJO CAJA OCTUBRE 2025" sheetId="34" state="hidden" r:id="rId13"/>
    <sheet name="FLUJO CAJA NOVIEMBRE" sheetId="35" state="hidden" r:id="rId14"/>
    <sheet name="FLUJO CAJA DICIEMBRE" sheetId="38" state="hidden" r:id="rId15"/>
    <sheet name="FLUJO CAJA ENERO 2026" sheetId="39" r:id="rId16"/>
    <sheet name="FLUJO CAJA FEBRERO 2026" sheetId="40" r:id="rId17"/>
    <sheet name="FLUJO CAJA MARZO 2026" sheetId="41" r:id="rId18"/>
    <sheet name="FLUJO CAJA ABRIL 2026 " sheetId="42" r:id="rId19"/>
    <sheet name="Diferencia Cambio S&amp;P" sheetId="23" r:id="rId20"/>
    <sheet name="Diferencia Cambio Global" sheetId="33" r:id="rId21"/>
    <sheet name="FestivosPerú" sheetId="26" state="hidden" r:id="rId22"/>
  </sheets>
  <definedNames>
    <definedName name="_xlnm._FilterDatabase" localSheetId="0" hidden="1">'BBVA SOLES'!$A$245:$N$400</definedName>
    <definedName name="_xlnm._FilterDatabase" localSheetId="1" hidden="1">'BBVA USD'!$A$4:$N$4</definedName>
    <definedName name="_xlnm._FilterDatabase" localSheetId="2" hidden="1">'BCP SOLES BCP'!$A$4:$G$815</definedName>
    <definedName name="_xlnm._FilterDatabase" localSheetId="3" hidden="1">'BCP USD BCP'!$A$4:$N$4</definedName>
    <definedName name="_xlnm._FilterDatabase" localSheetId="20" hidden="1">'Diferencia Cambio Global'!$A$4:$AE$23</definedName>
    <definedName name="_xlnm._FilterDatabase" localSheetId="19" hidden="1">'Diferencia Cambio S&amp;P'!$A$4:$AE$45</definedName>
    <definedName name="_xlnm._FilterDatabase" localSheetId="6" hidden="1">'FLUJO CAJA ABRIL'!$A$20:$S$46</definedName>
    <definedName name="_xlnm._FilterDatabase" localSheetId="18" hidden="1">'FLUJO CAJA ABRIL 2026 '!$A$23:$S$118</definedName>
    <definedName name="_xlnm._FilterDatabase" localSheetId="10" hidden="1">'FLUJO CAJA AGOSTO'!$A$25:$S$94</definedName>
    <definedName name="_xlnm._FilterDatabase" localSheetId="14" hidden="1">'FLUJO CAJA DICIEMBRE'!$A$25:$S$134</definedName>
    <definedName name="_xlnm._FilterDatabase" localSheetId="15" hidden="1">'FLUJO CAJA ENERO 2026'!$A$24:$S$117</definedName>
    <definedName name="_xlnm._FilterDatabase" localSheetId="16" hidden="1">'FLUJO CAJA FEBRERO 2026'!$A$31:$S$124</definedName>
    <definedName name="_xlnm._FilterDatabase" localSheetId="9" hidden="1">'FLUJO CAJA JULIO'!$A$23:$S$73</definedName>
    <definedName name="_xlnm._FilterDatabase" localSheetId="8" hidden="1">'FLUJO CAJA JUNIO'!$A$18:$S$52</definedName>
    <definedName name="_xlnm._FilterDatabase" localSheetId="5" hidden="1">'FLUJO CAJA MARZO'!$A$20:$S$47</definedName>
    <definedName name="_xlnm._FilterDatabase" localSheetId="17" hidden="1">'FLUJO CAJA MARZO 2026'!$A$28:$S$127</definedName>
    <definedName name="_xlnm._FilterDatabase" localSheetId="7" hidden="1">'FLUJO CAJA MAYO'!$B$18:$J$58</definedName>
    <definedName name="_xlnm._FilterDatabase" localSheetId="13" hidden="1">'FLUJO CAJA NOVIEMBRE'!$A$28:$S$146</definedName>
    <definedName name="_xlnm._FilterDatabase" localSheetId="12" hidden="1">'FLUJO CAJA OCTUBRE 2025'!$A$22:$S$99</definedName>
    <definedName name="_xlnm._FilterDatabase" localSheetId="11" hidden="1">'FLUJO CAJA SEPTIEMBRE'!$A$26:$S$108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69" i="1" l="1"/>
  <c r="I67" i="42"/>
  <c r="H67" i="42"/>
  <c r="J67" i="42"/>
  <c r="E67" i="42"/>
  <c r="F1064" i="1"/>
  <c r="F1063" i="1"/>
  <c r="G1063" i="1"/>
  <c r="G1064" i="1"/>
  <c r="G1065" i="1"/>
  <c r="G1066" i="1"/>
  <c r="G1067" i="1"/>
  <c r="G1068" i="1"/>
  <c r="D76" i="42"/>
  <c r="F94" i="36"/>
  <c r="D75" i="42"/>
  <c r="E137" i="42"/>
  <c r="D74" i="42"/>
  <c r="F92" i="36"/>
  <c r="D73" i="42"/>
  <c r="F91" i="36"/>
  <c r="G91" i="36"/>
  <c r="G92" i="36"/>
  <c r="G93" i="36"/>
  <c r="G94" i="36"/>
  <c r="G95" i="36"/>
  <c r="G96" i="36"/>
  <c r="G97" i="36"/>
  <c r="G98" i="36"/>
  <c r="G99" i="36"/>
  <c r="G100" i="36"/>
  <c r="D105" i="42"/>
  <c r="D86" i="42"/>
  <c r="I105" i="42"/>
  <c r="H105" i="42"/>
  <c r="J105" i="42"/>
  <c r="D27" i="42"/>
  <c r="D25" i="42"/>
  <c r="D26" i="42"/>
  <c r="D30" i="42"/>
  <c r="D29" i="42"/>
  <c r="D79" i="42"/>
  <c r="E79" i="42"/>
  <c r="D78" i="42"/>
  <c r="G470" i="7"/>
  <c r="G469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E74" i="42"/>
  <c r="D36" i="42"/>
  <c r="E36" i="42"/>
  <c r="D35" i="42"/>
  <c r="E35" i="42"/>
  <c r="F136" i="42"/>
  <c r="D34" i="42"/>
  <c r="D33" i="42"/>
  <c r="D32" i="42"/>
  <c r="E30" i="42"/>
  <c r="E26" i="42"/>
  <c r="E25" i="42"/>
  <c r="D13" i="42"/>
  <c r="E11" i="42"/>
  <c r="D11" i="42"/>
  <c r="D9" i="42"/>
  <c r="D10" i="42"/>
  <c r="E124" i="42"/>
  <c r="I114" i="42"/>
  <c r="H114" i="42"/>
  <c r="J114" i="42"/>
  <c r="E114" i="42"/>
  <c r="D113" i="42"/>
  <c r="I112" i="42"/>
  <c r="H112" i="42"/>
  <c r="J112" i="42"/>
  <c r="E112" i="42"/>
  <c r="I111" i="42"/>
  <c r="H111" i="42"/>
  <c r="J111" i="42"/>
  <c r="E111" i="42"/>
  <c r="I110" i="42"/>
  <c r="H110" i="42"/>
  <c r="J110" i="42"/>
  <c r="E110" i="42"/>
  <c r="E106" i="42"/>
  <c r="I109" i="42"/>
  <c r="H109" i="42"/>
  <c r="J109" i="42"/>
  <c r="D109" i="42"/>
  <c r="I108" i="42"/>
  <c r="H108" i="42"/>
  <c r="J108" i="42"/>
  <c r="D108" i="42"/>
  <c r="E125" i="42"/>
  <c r="I107" i="42"/>
  <c r="H107" i="42"/>
  <c r="J107" i="42"/>
  <c r="D107" i="42"/>
  <c r="I104" i="42"/>
  <c r="H104" i="42"/>
  <c r="J104" i="42"/>
  <c r="E104" i="42"/>
  <c r="I103" i="42"/>
  <c r="H103" i="42"/>
  <c r="J103" i="42"/>
  <c r="E103" i="42"/>
  <c r="I102" i="42"/>
  <c r="H102" i="42"/>
  <c r="J102" i="42"/>
  <c r="E102" i="42"/>
  <c r="I101" i="42"/>
  <c r="H101" i="42"/>
  <c r="J101" i="42"/>
  <c r="E101" i="42"/>
  <c r="I100" i="42"/>
  <c r="H100" i="42"/>
  <c r="J100" i="42"/>
  <c r="E100" i="42"/>
  <c r="N100" i="42"/>
  <c r="I99" i="42"/>
  <c r="H99" i="42"/>
  <c r="J99" i="42"/>
  <c r="E99" i="42"/>
  <c r="I98" i="42"/>
  <c r="H98" i="42"/>
  <c r="J98" i="42"/>
  <c r="E98" i="42"/>
  <c r="I97" i="42"/>
  <c r="H97" i="42"/>
  <c r="J97" i="42"/>
  <c r="E97" i="42"/>
  <c r="I96" i="42"/>
  <c r="H96" i="42"/>
  <c r="J96" i="42"/>
  <c r="E96" i="42"/>
  <c r="I95" i="42"/>
  <c r="H95" i="42"/>
  <c r="J95" i="42"/>
  <c r="E95" i="42"/>
  <c r="I94" i="42"/>
  <c r="H94" i="42"/>
  <c r="J94" i="42"/>
  <c r="E94" i="42"/>
  <c r="I93" i="42"/>
  <c r="H93" i="42"/>
  <c r="J93" i="42"/>
  <c r="E93" i="42"/>
  <c r="I92" i="42"/>
  <c r="H92" i="42"/>
  <c r="J92" i="42"/>
  <c r="E92" i="42"/>
  <c r="I91" i="42"/>
  <c r="H91" i="42"/>
  <c r="J91" i="42"/>
  <c r="E91" i="42"/>
  <c r="I90" i="42"/>
  <c r="H90" i="42"/>
  <c r="J90" i="42"/>
  <c r="E90" i="42"/>
  <c r="I89" i="42"/>
  <c r="H89" i="42"/>
  <c r="J89" i="42"/>
  <c r="E89" i="42"/>
  <c r="I88" i="42"/>
  <c r="H88" i="42"/>
  <c r="J88" i="42"/>
  <c r="E88" i="42"/>
  <c r="E86" i="42"/>
  <c r="I87" i="42"/>
  <c r="H87" i="42"/>
  <c r="J87" i="42"/>
  <c r="E87" i="42"/>
  <c r="I85" i="42"/>
  <c r="H85" i="42"/>
  <c r="J85" i="42"/>
  <c r="E85" i="42"/>
  <c r="I84" i="42"/>
  <c r="H84" i="42"/>
  <c r="J84" i="42"/>
  <c r="E84" i="42"/>
  <c r="I83" i="42"/>
  <c r="H83" i="42"/>
  <c r="J83" i="42"/>
  <c r="E83" i="42"/>
  <c r="I82" i="42"/>
  <c r="H82" i="42"/>
  <c r="J82" i="42"/>
  <c r="E82" i="42"/>
  <c r="I81" i="42"/>
  <c r="H81" i="42"/>
  <c r="J81" i="42"/>
  <c r="E81" i="42"/>
  <c r="E80" i="42"/>
  <c r="D80" i="42"/>
  <c r="I79" i="42"/>
  <c r="H79" i="42"/>
  <c r="J79" i="42"/>
  <c r="I78" i="42"/>
  <c r="H78" i="42"/>
  <c r="J78" i="42"/>
  <c r="E78" i="42"/>
  <c r="J77" i="42"/>
  <c r="D77" i="42"/>
  <c r="I76" i="42"/>
  <c r="H76" i="42"/>
  <c r="J76" i="42"/>
  <c r="I75" i="42"/>
  <c r="H75" i="42"/>
  <c r="J75" i="42"/>
  <c r="I74" i="42"/>
  <c r="H74" i="42"/>
  <c r="J74" i="42"/>
  <c r="I73" i="42"/>
  <c r="H73" i="42"/>
  <c r="J73" i="42"/>
  <c r="I71" i="42"/>
  <c r="H71" i="42"/>
  <c r="J71" i="42"/>
  <c r="E71" i="42"/>
  <c r="I70" i="42"/>
  <c r="H70" i="42"/>
  <c r="J70" i="42"/>
  <c r="E70" i="42"/>
  <c r="E69" i="42"/>
  <c r="D69" i="42"/>
  <c r="I68" i="42"/>
  <c r="H68" i="42"/>
  <c r="J68" i="42"/>
  <c r="E68" i="42"/>
  <c r="I66" i="42"/>
  <c r="H66" i="42"/>
  <c r="J66" i="42"/>
  <c r="E66" i="42"/>
  <c r="I65" i="42"/>
  <c r="H65" i="42"/>
  <c r="J65" i="42"/>
  <c r="E65" i="42"/>
  <c r="E64" i="42"/>
  <c r="D64" i="42"/>
  <c r="I63" i="42"/>
  <c r="H63" i="42"/>
  <c r="J63" i="42"/>
  <c r="E63" i="42"/>
  <c r="I62" i="42"/>
  <c r="H62" i="42"/>
  <c r="J62" i="42"/>
  <c r="E62" i="42"/>
  <c r="I61" i="42"/>
  <c r="H61" i="42"/>
  <c r="J61" i="42"/>
  <c r="E61" i="42"/>
  <c r="I60" i="42"/>
  <c r="H60" i="42"/>
  <c r="J60" i="42"/>
  <c r="E60" i="42"/>
  <c r="I59" i="42"/>
  <c r="H59" i="42"/>
  <c r="J59" i="42"/>
  <c r="E59" i="42"/>
  <c r="D58" i="42"/>
  <c r="I57" i="42"/>
  <c r="H57" i="42"/>
  <c r="J57" i="42"/>
  <c r="E57" i="42"/>
  <c r="I56" i="42"/>
  <c r="H56" i="42"/>
  <c r="J56" i="42"/>
  <c r="E56" i="42"/>
  <c r="I55" i="42"/>
  <c r="H55" i="42"/>
  <c r="J55" i="42"/>
  <c r="E55" i="42"/>
  <c r="I54" i="42"/>
  <c r="H54" i="42"/>
  <c r="J54" i="42"/>
  <c r="E54" i="42"/>
  <c r="I53" i="42"/>
  <c r="H53" i="42"/>
  <c r="J53" i="42"/>
  <c r="E53" i="42"/>
  <c r="F125" i="42"/>
  <c r="I52" i="42"/>
  <c r="H52" i="42"/>
  <c r="J52" i="42"/>
  <c r="E52" i="42"/>
  <c r="I51" i="42"/>
  <c r="H51" i="42"/>
  <c r="J51" i="42"/>
  <c r="E51" i="42"/>
  <c r="I50" i="42"/>
  <c r="H50" i="42"/>
  <c r="J50" i="42"/>
  <c r="E50" i="42"/>
  <c r="I49" i="42"/>
  <c r="H49" i="42"/>
  <c r="J49" i="42"/>
  <c r="E49" i="42"/>
  <c r="E48" i="42"/>
  <c r="D48" i="42"/>
  <c r="I47" i="42"/>
  <c r="H47" i="42"/>
  <c r="J47" i="42"/>
  <c r="E47" i="42"/>
  <c r="I46" i="42"/>
  <c r="H46" i="42"/>
  <c r="J46" i="42"/>
  <c r="E46" i="42"/>
  <c r="D45" i="42"/>
  <c r="I44" i="42"/>
  <c r="H44" i="42"/>
  <c r="J44" i="42"/>
  <c r="E44" i="42"/>
  <c r="I43" i="42"/>
  <c r="H43" i="42"/>
  <c r="J43" i="42"/>
  <c r="E43" i="42"/>
  <c r="I42" i="42"/>
  <c r="H42" i="42"/>
  <c r="J42" i="42"/>
  <c r="E42" i="42"/>
  <c r="E37" i="42"/>
  <c r="I41" i="42"/>
  <c r="H41" i="42"/>
  <c r="J41" i="42"/>
  <c r="E41" i="42"/>
  <c r="F124" i="42"/>
  <c r="I40" i="42"/>
  <c r="H40" i="42"/>
  <c r="J40" i="42"/>
  <c r="E40" i="42"/>
  <c r="I39" i="42"/>
  <c r="H39" i="42"/>
  <c r="J39" i="42"/>
  <c r="E39" i="42"/>
  <c r="I38" i="42"/>
  <c r="H38" i="42"/>
  <c r="J38" i="42"/>
  <c r="E38" i="42"/>
  <c r="D37" i="42"/>
  <c r="I36" i="42"/>
  <c r="H36" i="42"/>
  <c r="J36" i="42"/>
  <c r="I35" i="42"/>
  <c r="H35" i="42"/>
  <c r="J35" i="42"/>
  <c r="I34" i="42"/>
  <c r="H34" i="42"/>
  <c r="J34" i="42"/>
  <c r="E34" i="42"/>
  <c r="I33" i="42"/>
  <c r="H33" i="42"/>
  <c r="J33" i="42"/>
  <c r="E33" i="42"/>
  <c r="F123" i="42"/>
  <c r="F133" i="42"/>
  <c r="I32" i="42"/>
  <c r="H32" i="42"/>
  <c r="J32" i="42"/>
  <c r="E32" i="42"/>
  <c r="J31" i="42"/>
  <c r="I30" i="42"/>
  <c r="H30" i="42"/>
  <c r="J30" i="42"/>
  <c r="I29" i="42"/>
  <c r="H29" i="42"/>
  <c r="J29" i="42"/>
  <c r="J28" i="42"/>
  <c r="I27" i="42"/>
  <c r="H27" i="42"/>
  <c r="J27" i="42"/>
  <c r="E27" i="42"/>
  <c r="E24" i="42"/>
  <c r="I26" i="42"/>
  <c r="H26" i="42"/>
  <c r="J26" i="42"/>
  <c r="I25" i="42"/>
  <c r="H25" i="42"/>
  <c r="J25" i="42"/>
  <c r="D18" i="42"/>
  <c r="E17" i="42"/>
  <c r="E16" i="42"/>
  <c r="D16" i="42"/>
  <c r="D14" i="42"/>
  <c r="D12" i="42"/>
  <c r="D19" i="42"/>
  <c r="E13" i="42"/>
  <c r="E12" i="42"/>
  <c r="E10" i="42"/>
  <c r="E9" i="42"/>
  <c r="E19" i="42"/>
  <c r="D10" i="41"/>
  <c r="E11" i="41"/>
  <c r="F150" i="41"/>
  <c r="E150" i="41"/>
  <c r="E139" i="41"/>
  <c r="F139" i="41"/>
  <c r="D93" i="41"/>
  <c r="I114" i="41"/>
  <c r="H114" i="41"/>
  <c r="J114" i="41"/>
  <c r="E114" i="41"/>
  <c r="F87" i="36"/>
  <c r="I113" i="41"/>
  <c r="H113" i="41"/>
  <c r="J113" i="41"/>
  <c r="E113" i="41"/>
  <c r="N22" i="33"/>
  <c r="M22" i="33"/>
  <c r="L22" i="33"/>
  <c r="D45" i="41"/>
  <c r="I52" i="41"/>
  <c r="H52" i="41"/>
  <c r="J52" i="41"/>
  <c r="E52" i="41"/>
  <c r="N23" i="33"/>
  <c r="L23" i="33"/>
  <c r="J23" i="33"/>
  <c r="D23" i="41"/>
  <c r="G23" i="33"/>
  <c r="G22" i="33"/>
  <c r="E23" i="33"/>
  <c r="D44" i="41"/>
  <c r="I44" i="41"/>
  <c r="H44" i="41"/>
  <c r="J44" i="41"/>
  <c r="I39" i="41"/>
  <c r="H39" i="41"/>
  <c r="J39" i="41"/>
  <c r="E39" i="41"/>
  <c r="D43" i="41"/>
  <c r="E43" i="41"/>
  <c r="D42" i="41"/>
  <c r="E42" i="41"/>
  <c r="D41" i="41"/>
  <c r="E41" i="41"/>
  <c r="D40" i="41"/>
  <c r="E40" i="41"/>
  <c r="D87" i="41"/>
  <c r="I92" i="41"/>
  <c r="H92" i="41"/>
  <c r="J92" i="41"/>
  <c r="E92" i="41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24" i="7"/>
  <c r="F1017" i="1"/>
  <c r="I70" i="41"/>
  <c r="H70" i="41"/>
  <c r="J70" i="41"/>
  <c r="E70" i="41"/>
  <c r="I69" i="41"/>
  <c r="H69" i="41"/>
  <c r="J69" i="41"/>
  <c r="E69" i="41"/>
  <c r="I118" i="41"/>
  <c r="H118" i="41"/>
  <c r="J118" i="41"/>
  <c r="D118" i="41"/>
  <c r="D72" i="41"/>
  <c r="I75" i="41"/>
  <c r="H75" i="41"/>
  <c r="J75" i="41"/>
  <c r="E75" i="41"/>
  <c r="I74" i="41"/>
  <c r="H74" i="41"/>
  <c r="J74" i="41"/>
  <c r="E74" i="41"/>
  <c r="L57" i="23"/>
  <c r="M57" i="23"/>
  <c r="N57" i="23"/>
  <c r="L55" i="23"/>
  <c r="M55" i="23"/>
  <c r="N55" i="23"/>
  <c r="E20" i="41"/>
  <c r="G20" i="41"/>
  <c r="J63" i="23"/>
  <c r="M56" i="23"/>
  <c r="N56" i="23"/>
  <c r="J56" i="23"/>
  <c r="K56" i="23"/>
  <c r="N58" i="23"/>
  <c r="M58" i="23"/>
  <c r="J58" i="23"/>
  <c r="D17" i="41"/>
  <c r="E17" i="41"/>
  <c r="L21" i="33"/>
  <c r="M21" i="33"/>
  <c r="N21" i="33"/>
  <c r="I111" i="41"/>
  <c r="H111" i="41"/>
  <c r="J111" i="41"/>
  <c r="E111" i="41"/>
  <c r="D16" i="41"/>
  <c r="E16" i="41"/>
  <c r="G19" i="41"/>
  <c r="I49" i="41"/>
  <c r="H49" i="41"/>
  <c r="J49" i="41"/>
  <c r="E49" i="41"/>
  <c r="E21" i="41"/>
  <c r="E58" i="23"/>
  <c r="L20" i="33"/>
  <c r="G21" i="33"/>
  <c r="D22" i="41"/>
  <c r="F22" i="41"/>
  <c r="G22" i="41"/>
  <c r="F992" i="1"/>
  <c r="M92" i="40"/>
  <c r="F989" i="1"/>
  <c r="F988" i="1"/>
  <c r="G988" i="1"/>
  <c r="G59" i="23"/>
  <c r="E59" i="23"/>
  <c r="U59" i="23"/>
  <c r="G57" i="23"/>
  <c r="G56" i="23"/>
  <c r="G55" i="23"/>
  <c r="D18" i="41"/>
  <c r="L19" i="33"/>
  <c r="L18" i="33"/>
  <c r="L53" i="23"/>
  <c r="L52" i="23"/>
  <c r="J51" i="23"/>
  <c r="G20" i="33"/>
  <c r="M20" i="33"/>
  <c r="N20" i="33"/>
  <c r="D13" i="41"/>
  <c r="D15" i="41"/>
  <c r="D12" i="41"/>
  <c r="E85" i="41"/>
  <c r="D10" i="40"/>
  <c r="E78" i="40"/>
  <c r="D77" i="40"/>
  <c r="E55" i="40"/>
  <c r="D55" i="40"/>
  <c r="D54" i="40"/>
  <c r="D83" i="41"/>
  <c r="E83" i="41"/>
  <c r="D82" i="41"/>
  <c r="D81" i="41"/>
  <c r="E81" i="41"/>
  <c r="D80" i="41"/>
  <c r="D79" i="41"/>
  <c r="E78" i="41"/>
  <c r="I73" i="41"/>
  <c r="H73" i="41"/>
  <c r="J73" i="41"/>
  <c r="E55" i="41"/>
  <c r="E54" i="41"/>
  <c r="E34" i="41"/>
  <c r="I31" i="41"/>
  <c r="H31" i="41"/>
  <c r="J31" i="41"/>
  <c r="I30" i="41"/>
  <c r="H30" i="41"/>
  <c r="J30" i="41"/>
  <c r="E133" i="41"/>
  <c r="F132" i="41"/>
  <c r="E132" i="41"/>
  <c r="F130" i="41"/>
  <c r="E130" i="41"/>
  <c r="I123" i="41"/>
  <c r="H123" i="41"/>
  <c r="J123" i="41"/>
  <c r="E123" i="41"/>
  <c r="E122" i="41"/>
  <c r="I121" i="41"/>
  <c r="H121" i="41"/>
  <c r="J121" i="41"/>
  <c r="E121" i="41"/>
  <c r="I120" i="41"/>
  <c r="H120" i="41"/>
  <c r="J120" i="41"/>
  <c r="E120" i="41"/>
  <c r="I119" i="41"/>
  <c r="H119" i="41"/>
  <c r="J119" i="41"/>
  <c r="E119" i="41"/>
  <c r="I117" i="41"/>
  <c r="H117" i="41"/>
  <c r="J117" i="41"/>
  <c r="D117" i="41"/>
  <c r="I116" i="41"/>
  <c r="H116" i="41"/>
  <c r="J116" i="41"/>
  <c r="D116" i="41"/>
  <c r="I112" i="41"/>
  <c r="H112" i="41"/>
  <c r="J112" i="41"/>
  <c r="E112" i="41"/>
  <c r="I110" i="41"/>
  <c r="H110" i="41"/>
  <c r="J110" i="41"/>
  <c r="E110" i="41"/>
  <c r="I109" i="41"/>
  <c r="H109" i="41"/>
  <c r="J109" i="41"/>
  <c r="E109" i="41"/>
  <c r="I108" i="41"/>
  <c r="H108" i="41"/>
  <c r="J108" i="41"/>
  <c r="E108" i="41"/>
  <c r="N108" i="41"/>
  <c r="I107" i="41"/>
  <c r="H107" i="41"/>
  <c r="J107" i="41"/>
  <c r="E107" i="41"/>
  <c r="I106" i="41"/>
  <c r="H106" i="41"/>
  <c r="J106" i="41"/>
  <c r="E106" i="41"/>
  <c r="I105" i="41"/>
  <c r="H105" i="41"/>
  <c r="J105" i="41"/>
  <c r="E105" i="41"/>
  <c r="I104" i="41"/>
  <c r="H104" i="41"/>
  <c r="J104" i="41"/>
  <c r="E104" i="41"/>
  <c r="I103" i="41"/>
  <c r="H103" i="41"/>
  <c r="J103" i="41"/>
  <c r="E103" i="41"/>
  <c r="I102" i="41"/>
  <c r="H102" i="41"/>
  <c r="J102" i="41"/>
  <c r="E102" i="41"/>
  <c r="I101" i="41"/>
  <c r="H101" i="41"/>
  <c r="J101" i="41"/>
  <c r="E101" i="41"/>
  <c r="I100" i="41"/>
  <c r="H100" i="41"/>
  <c r="J100" i="41"/>
  <c r="E100" i="41"/>
  <c r="I99" i="41"/>
  <c r="H99" i="41"/>
  <c r="J99" i="41"/>
  <c r="E99" i="41"/>
  <c r="I98" i="41"/>
  <c r="H98" i="41"/>
  <c r="J98" i="41"/>
  <c r="E98" i="41"/>
  <c r="I97" i="41"/>
  <c r="H97" i="41"/>
  <c r="J97" i="41"/>
  <c r="E97" i="41"/>
  <c r="I96" i="41"/>
  <c r="H96" i="41"/>
  <c r="J96" i="41"/>
  <c r="I95" i="41"/>
  <c r="H95" i="41"/>
  <c r="J95" i="41"/>
  <c r="E95" i="41"/>
  <c r="I94" i="41"/>
  <c r="H94" i="41"/>
  <c r="J94" i="41"/>
  <c r="E94" i="41"/>
  <c r="I91" i="41"/>
  <c r="H91" i="41"/>
  <c r="J91" i="41"/>
  <c r="E91" i="41"/>
  <c r="I90" i="41"/>
  <c r="H90" i="41"/>
  <c r="J90" i="41"/>
  <c r="E90" i="41"/>
  <c r="I89" i="41"/>
  <c r="H89" i="41"/>
  <c r="J89" i="41"/>
  <c r="E89" i="41"/>
  <c r="I88" i="41"/>
  <c r="H88" i="41"/>
  <c r="J88" i="41"/>
  <c r="E88" i="41"/>
  <c r="I86" i="41"/>
  <c r="H86" i="41"/>
  <c r="J86" i="41"/>
  <c r="E86" i="41"/>
  <c r="I85" i="41"/>
  <c r="H85" i="41"/>
  <c r="J85" i="41"/>
  <c r="J84" i="41"/>
  <c r="I83" i="41"/>
  <c r="H83" i="41"/>
  <c r="J83" i="41"/>
  <c r="I82" i="41"/>
  <c r="H82" i="41"/>
  <c r="J82" i="41"/>
  <c r="I81" i="41"/>
  <c r="H81" i="41"/>
  <c r="J81" i="41"/>
  <c r="I80" i="41"/>
  <c r="H80" i="41"/>
  <c r="J80" i="41"/>
  <c r="I78" i="41"/>
  <c r="H78" i="41"/>
  <c r="J78" i="41"/>
  <c r="D76" i="41"/>
  <c r="I77" i="41"/>
  <c r="H77" i="41"/>
  <c r="J77" i="41"/>
  <c r="E77" i="41"/>
  <c r="E73" i="41"/>
  <c r="I71" i="41"/>
  <c r="H71" i="41"/>
  <c r="J71" i="41"/>
  <c r="E71" i="41"/>
  <c r="I68" i="41"/>
  <c r="H68" i="41"/>
  <c r="J68" i="41"/>
  <c r="E68" i="41"/>
  <c r="I67" i="41"/>
  <c r="H67" i="41"/>
  <c r="J67" i="41"/>
  <c r="E67" i="41"/>
  <c r="D66" i="41"/>
  <c r="I63" i="41"/>
  <c r="H63" i="41"/>
  <c r="J63" i="41"/>
  <c r="D56" i="41"/>
  <c r="I65" i="41"/>
  <c r="H65" i="41"/>
  <c r="J65" i="41"/>
  <c r="E65" i="41"/>
  <c r="I64" i="41"/>
  <c r="H64" i="41"/>
  <c r="J64" i="41"/>
  <c r="E64" i="41"/>
  <c r="I62" i="41"/>
  <c r="H62" i="41"/>
  <c r="J62" i="41"/>
  <c r="E62" i="41"/>
  <c r="I61" i="41"/>
  <c r="H61" i="41"/>
  <c r="J61" i="41"/>
  <c r="E61" i="41"/>
  <c r="I60" i="41"/>
  <c r="H60" i="41"/>
  <c r="J60" i="41"/>
  <c r="E60" i="41"/>
  <c r="I59" i="41"/>
  <c r="H59" i="41"/>
  <c r="J59" i="41"/>
  <c r="E59" i="41"/>
  <c r="I58" i="41"/>
  <c r="H58" i="41"/>
  <c r="J58" i="41"/>
  <c r="E58" i="41"/>
  <c r="I57" i="41"/>
  <c r="H57" i="41"/>
  <c r="J57" i="41"/>
  <c r="E57" i="41"/>
  <c r="I55" i="41"/>
  <c r="H55" i="41"/>
  <c r="J55" i="41"/>
  <c r="I54" i="41"/>
  <c r="H54" i="41"/>
  <c r="J54" i="41"/>
  <c r="D53" i="41"/>
  <c r="I51" i="41"/>
  <c r="H51" i="41"/>
  <c r="J51" i="41"/>
  <c r="E51" i="41"/>
  <c r="I50" i="41"/>
  <c r="H50" i="41"/>
  <c r="J50" i="41"/>
  <c r="E50" i="41"/>
  <c r="I48" i="41"/>
  <c r="H48" i="41"/>
  <c r="J48" i="41"/>
  <c r="E48" i="41"/>
  <c r="I47" i="41"/>
  <c r="H47" i="41"/>
  <c r="J47" i="41"/>
  <c r="E47" i="41"/>
  <c r="I46" i="41"/>
  <c r="H46" i="41"/>
  <c r="J46" i="41"/>
  <c r="E46" i="41"/>
  <c r="I42" i="41"/>
  <c r="H42" i="41"/>
  <c r="J42" i="41"/>
  <c r="I41" i="41"/>
  <c r="H41" i="41"/>
  <c r="J41" i="41"/>
  <c r="I40" i="41"/>
  <c r="H40" i="41"/>
  <c r="J40" i="41"/>
  <c r="I43" i="41"/>
  <c r="H43" i="41"/>
  <c r="J43" i="41"/>
  <c r="I38" i="41"/>
  <c r="H38" i="41"/>
  <c r="J38" i="41"/>
  <c r="E38" i="41"/>
  <c r="I37" i="41"/>
  <c r="H37" i="41"/>
  <c r="J37" i="41"/>
  <c r="E37" i="41"/>
  <c r="J36" i="41"/>
  <c r="I35" i="41"/>
  <c r="H35" i="41"/>
  <c r="J35" i="41"/>
  <c r="E35" i="41"/>
  <c r="F135" i="41"/>
  <c r="I34" i="41"/>
  <c r="H34" i="41"/>
  <c r="J34" i="41"/>
  <c r="J33" i="41"/>
  <c r="I32" i="41"/>
  <c r="H32" i="41"/>
  <c r="J32" i="41"/>
  <c r="E32" i="41"/>
  <c r="E31" i="41"/>
  <c r="E131" i="41"/>
  <c r="D84" i="41"/>
  <c r="D33" i="41"/>
  <c r="E135" i="41"/>
  <c r="D122" i="41"/>
  <c r="D29" i="41"/>
  <c r="E30" i="41"/>
  <c r="F127" i="40"/>
  <c r="E127" i="40"/>
  <c r="D15" i="40"/>
  <c r="G15" i="40"/>
  <c r="G25" i="40"/>
  <c r="J25" i="40"/>
  <c r="M25" i="40"/>
  <c r="D25" i="40"/>
  <c r="I971" i="1"/>
  <c r="I75" i="40"/>
  <c r="H75" i="40"/>
  <c r="J75" i="40"/>
  <c r="E75" i="40"/>
  <c r="D74" i="40"/>
  <c r="F76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F30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F51" i="36"/>
  <c r="G51" i="36"/>
  <c r="F52" i="36"/>
  <c r="G52" i="36"/>
  <c r="F53" i="36"/>
  <c r="G53" i="36"/>
  <c r="F54" i="36"/>
  <c r="G54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F71" i="36"/>
  <c r="F72" i="36"/>
  <c r="F73" i="36"/>
  <c r="F74" i="36"/>
  <c r="G6" i="37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20" i="37"/>
  <c r="G21" i="37"/>
  <c r="G22" i="37"/>
  <c r="G23" i="37"/>
  <c r="G24" i="37"/>
  <c r="G25" i="37"/>
  <c r="G26" i="37"/>
  <c r="G27" i="37"/>
  <c r="G28" i="37"/>
  <c r="G29" i="37"/>
  <c r="G30" i="37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F45" i="1"/>
  <c r="G45" i="1"/>
  <c r="G46" i="1"/>
  <c r="G47" i="1"/>
  <c r="G48" i="1"/>
  <c r="G49" i="1"/>
  <c r="G50" i="1"/>
  <c r="G51" i="1"/>
  <c r="G52" i="1"/>
  <c r="G53" i="1"/>
  <c r="F54" i="1"/>
  <c r="G54" i="1"/>
  <c r="G55" i="1"/>
  <c r="G56" i="1"/>
  <c r="G57" i="1"/>
  <c r="F58" i="1"/>
  <c r="G58" i="1"/>
  <c r="G59" i="1"/>
  <c r="F60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F77" i="1"/>
  <c r="G77" i="1"/>
  <c r="G78" i="1"/>
  <c r="G79" i="1"/>
  <c r="G80" i="1"/>
  <c r="G81" i="1"/>
  <c r="G82" i="1"/>
  <c r="G83" i="1"/>
  <c r="F84" i="1"/>
  <c r="G84" i="1"/>
  <c r="G85" i="1"/>
  <c r="F86" i="1"/>
  <c r="G86" i="1"/>
  <c r="G87" i="1"/>
  <c r="G88" i="1"/>
  <c r="G89" i="1"/>
  <c r="G90" i="1"/>
  <c r="G91" i="1"/>
  <c r="G92" i="1"/>
  <c r="G93" i="1"/>
  <c r="G94" i="1"/>
  <c r="F95" i="1"/>
  <c r="G95" i="1"/>
  <c r="F96" i="1"/>
  <c r="G96" i="1"/>
  <c r="F97" i="1"/>
  <c r="G97" i="1"/>
  <c r="G98" i="1"/>
  <c r="H98" i="1"/>
  <c r="G99" i="1"/>
  <c r="G100" i="1"/>
  <c r="G101" i="1"/>
  <c r="G102" i="1"/>
  <c r="F103" i="1"/>
  <c r="G103" i="1"/>
  <c r="G104" i="1"/>
  <c r="G105" i="1"/>
  <c r="H105" i="1"/>
  <c r="G106" i="1"/>
  <c r="G107" i="1"/>
  <c r="G108" i="1"/>
  <c r="H108" i="1"/>
  <c r="G109" i="1"/>
  <c r="G110" i="1"/>
  <c r="G111" i="1"/>
  <c r="G112" i="1"/>
  <c r="G113" i="1"/>
  <c r="H113" i="1"/>
  <c r="G114" i="1"/>
  <c r="F115" i="1"/>
  <c r="G115" i="1"/>
  <c r="G116" i="1"/>
  <c r="F117" i="1"/>
  <c r="G117" i="1"/>
  <c r="H117" i="1"/>
  <c r="G118" i="1"/>
  <c r="G119" i="1"/>
  <c r="F120" i="1"/>
  <c r="G120" i="1"/>
  <c r="G121" i="1"/>
  <c r="G122" i="1"/>
  <c r="H122" i="1"/>
  <c r="G123" i="1"/>
  <c r="G124" i="1"/>
  <c r="H124" i="1"/>
  <c r="G125" i="1"/>
  <c r="G126" i="1"/>
  <c r="G127" i="1"/>
  <c r="H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H190" i="1"/>
  <c r="G191" i="1"/>
  <c r="G192" i="1"/>
  <c r="H192" i="1"/>
  <c r="G193" i="1"/>
  <c r="G194" i="1"/>
  <c r="G195" i="1"/>
  <c r="F196" i="1"/>
  <c r="G196" i="1"/>
  <c r="H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F214" i="1"/>
  <c r="G214" i="1"/>
  <c r="G215" i="1"/>
  <c r="G216" i="1"/>
  <c r="G217" i="1"/>
  <c r="H217" i="1"/>
  <c r="G218" i="1"/>
  <c r="G219" i="1"/>
  <c r="G220" i="1"/>
  <c r="H220" i="1"/>
  <c r="G221" i="1"/>
  <c r="G222" i="1"/>
  <c r="G223" i="1"/>
  <c r="G224" i="1"/>
  <c r="G225" i="1"/>
  <c r="F226" i="1"/>
  <c r="G226" i="1"/>
  <c r="G227" i="1"/>
  <c r="G228" i="1"/>
  <c r="G229" i="1"/>
  <c r="G230" i="1"/>
  <c r="G231" i="1"/>
  <c r="G232" i="1"/>
  <c r="G233" i="1"/>
  <c r="F234" i="1"/>
  <c r="G234" i="1"/>
  <c r="G235" i="1"/>
  <c r="F236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K260" i="1"/>
  <c r="G261" i="1"/>
  <c r="K261" i="1"/>
  <c r="G262" i="1"/>
  <c r="M262" i="1"/>
  <c r="G263" i="1"/>
  <c r="K263" i="1"/>
  <c r="G264" i="1"/>
  <c r="K264" i="1"/>
  <c r="G265" i="1"/>
  <c r="K265" i="1"/>
  <c r="G266" i="1"/>
  <c r="G267" i="1"/>
  <c r="K267" i="1"/>
  <c r="G268" i="1"/>
  <c r="K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F285" i="1"/>
  <c r="G285" i="1"/>
  <c r="G286" i="1"/>
  <c r="G287" i="1"/>
  <c r="G288" i="1"/>
  <c r="G289" i="1"/>
  <c r="J289" i="1"/>
  <c r="G290" i="1"/>
  <c r="J290" i="1"/>
  <c r="G291" i="1"/>
  <c r="G292" i="1"/>
  <c r="G293" i="1"/>
  <c r="G294" i="1"/>
  <c r="G295" i="1"/>
  <c r="G296" i="1"/>
  <c r="G297" i="1"/>
  <c r="F298" i="1"/>
  <c r="G298" i="1"/>
  <c r="F299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J312" i="1"/>
  <c r="G313" i="1"/>
  <c r="J313" i="1"/>
  <c r="G314" i="1"/>
  <c r="G315" i="1"/>
  <c r="G316" i="1"/>
  <c r="F317" i="1"/>
  <c r="G317" i="1"/>
  <c r="F318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I362" i="1"/>
  <c r="J362" i="1"/>
  <c r="J363" i="1"/>
  <c r="K363" i="1"/>
  <c r="F363" i="1"/>
  <c r="G363" i="1"/>
  <c r="I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F393" i="1"/>
  <c r="G393" i="1"/>
  <c r="G394" i="1"/>
  <c r="G395" i="1"/>
  <c r="G396" i="1"/>
  <c r="G397" i="1"/>
  <c r="G398" i="1"/>
  <c r="G399" i="1"/>
  <c r="G400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F486" i="1"/>
  <c r="G486" i="1"/>
  <c r="G487" i="1"/>
  <c r="F488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H516" i="1"/>
  <c r="G517" i="1"/>
  <c r="G518" i="1"/>
  <c r="G519" i="1"/>
  <c r="G520" i="1"/>
  <c r="E521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F576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F614" i="1"/>
  <c r="G614" i="1"/>
  <c r="F615" i="1"/>
  <c r="G615" i="1"/>
  <c r="F616" i="1"/>
  <c r="G616" i="1"/>
  <c r="F617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F629" i="1"/>
  <c r="G629" i="1"/>
  <c r="G630" i="1"/>
  <c r="I630" i="1"/>
  <c r="F631" i="1"/>
  <c r="G631" i="1"/>
  <c r="G632" i="1"/>
  <c r="G633" i="1"/>
  <c r="I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F689" i="1"/>
  <c r="G689" i="1"/>
  <c r="G690" i="1"/>
  <c r="G691" i="1"/>
  <c r="F692" i="1"/>
  <c r="G692" i="1"/>
  <c r="G693" i="1"/>
  <c r="G694" i="1"/>
  <c r="G695" i="1"/>
  <c r="G696" i="1"/>
  <c r="G697" i="1"/>
  <c r="G698" i="1"/>
  <c r="F699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F724" i="1"/>
  <c r="G724" i="1"/>
  <c r="F725" i="1"/>
  <c r="G725" i="1"/>
  <c r="F726" i="1"/>
  <c r="G726" i="1"/>
  <c r="F727" i="1"/>
  <c r="G727" i="1"/>
  <c r="F728" i="1"/>
  <c r="G728" i="1"/>
  <c r="F729" i="1"/>
  <c r="G729" i="1"/>
  <c r="F730" i="1"/>
  <c r="G730" i="1"/>
  <c r="F731" i="1"/>
  <c r="G731" i="1"/>
  <c r="F732" i="1"/>
  <c r="G732" i="1"/>
  <c r="F733" i="1"/>
  <c r="G733" i="1"/>
  <c r="F734" i="1"/>
  <c r="G734" i="1"/>
  <c r="F735" i="1"/>
  <c r="G735" i="1"/>
  <c r="F736" i="1"/>
  <c r="G736" i="1"/>
  <c r="F737" i="1"/>
  <c r="G737" i="1"/>
  <c r="F738" i="1"/>
  <c r="G738" i="1"/>
  <c r="G739" i="1"/>
  <c r="G740" i="1"/>
  <c r="G741" i="1"/>
  <c r="G742" i="1"/>
  <c r="G743" i="1"/>
  <c r="G744" i="1"/>
  <c r="F745" i="1"/>
  <c r="G745" i="1"/>
  <c r="F746" i="1"/>
  <c r="G746" i="1"/>
  <c r="F747" i="1"/>
  <c r="G747" i="1"/>
  <c r="F748" i="1"/>
  <c r="G748" i="1"/>
  <c r="F749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F765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F809" i="1"/>
  <c r="G809" i="1"/>
  <c r="F810" i="1"/>
  <c r="G810" i="1"/>
  <c r="F811" i="1"/>
  <c r="G811" i="1"/>
  <c r="F812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I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E867" i="1"/>
  <c r="G867" i="1"/>
  <c r="G868" i="1"/>
  <c r="G869" i="1"/>
  <c r="G870" i="1"/>
  <c r="G871" i="1"/>
  <c r="G872" i="1"/>
  <c r="G873" i="1"/>
  <c r="F874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F887" i="1"/>
  <c r="G887" i="1"/>
  <c r="F888" i="1"/>
  <c r="G888" i="1"/>
  <c r="F889" i="1"/>
  <c r="G889" i="1"/>
  <c r="F890" i="1"/>
  <c r="G890" i="1"/>
  <c r="F891" i="1"/>
  <c r="G891" i="1"/>
  <c r="G892" i="1"/>
  <c r="F893" i="1"/>
  <c r="G893" i="1"/>
  <c r="F894" i="1"/>
  <c r="G894" i="1"/>
  <c r="F895" i="1"/>
  <c r="G895" i="1"/>
  <c r="F896" i="1"/>
  <c r="G896" i="1"/>
  <c r="F897" i="1"/>
  <c r="G897" i="1"/>
  <c r="G898" i="1"/>
  <c r="F899" i="1"/>
  <c r="G899" i="1"/>
  <c r="F900" i="1"/>
  <c r="G900" i="1"/>
  <c r="F901" i="1"/>
  <c r="G901" i="1"/>
  <c r="G902" i="1"/>
  <c r="G903" i="1"/>
  <c r="G904" i="1"/>
  <c r="G905" i="1"/>
  <c r="G906" i="1"/>
  <c r="G907" i="1"/>
  <c r="G908" i="1"/>
  <c r="G909" i="1"/>
  <c r="G910" i="1"/>
  <c r="F912" i="1"/>
  <c r="F925" i="1"/>
  <c r="F943" i="1"/>
  <c r="F944" i="1"/>
  <c r="F946" i="1"/>
  <c r="F948" i="1"/>
  <c r="F949" i="1"/>
  <c r="F951" i="1"/>
  <c r="F954" i="1"/>
  <c r="F955" i="1"/>
  <c r="F956" i="1"/>
  <c r="F957" i="1"/>
  <c r="F959" i="1"/>
  <c r="F960" i="1"/>
  <c r="F961" i="1"/>
  <c r="F962" i="1"/>
  <c r="F964" i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F60" i="7"/>
  <c r="I100" i="7"/>
  <c r="J100" i="7"/>
  <c r="J130" i="7"/>
  <c r="K130" i="7"/>
  <c r="J131" i="7"/>
  <c r="K131" i="7"/>
  <c r="J152" i="7"/>
  <c r="K152" i="7"/>
  <c r="J155" i="7"/>
  <c r="K155" i="7"/>
  <c r="J158" i="7"/>
  <c r="K158" i="7"/>
  <c r="I181" i="7"/>
  <c r="F183" i="7"/>
  <c r="F194" i="7"/>
  <c r="D47" i="32"/>
  <c r="F229" i="7"/>
  <c r="F230" i="7"/>
  <c r="F233" i="7"/>
  <c r="F234" i="7"/>
  <c r="F246" i="7"/>
  <c r="E248" i="7"/>
  <c r="F251" i="7"/>
  <c r="D41" i="34"/>
  <c r="F292" i="7"/>
  <c r="F295" i="7"/>
  <c r="K363" i="7"/>
  <c r="I391" i="7"/>
  <c r="I393" i="7"/>
  <c r="F392" i="7"/>
  <c r="I392" i="7"/>
  <c r="D12" i="24"/>
  <c r="D13" i="24"/>
  <c r="D23" i="24"/>
  <c r="D14" i="24"/>
  <c r="D15" i="24"/>
  <c r="D16" i="24"/>
  <c r="D17" i="24"/>
  <c r="D19" i="24"/>
  <c r="D20" i="24"/>
  <c r="D21" i="24"/>
  <c r="D22" i="24"/>
  <c r="J8" i="25"/>
  <c r="D10" i="25"/>
  <c r="E10" i="25"/>
  <c r="D12" i="25"/>
  <c r="E12" i="25"/>
  <c r="D13" i="25"/>
  <c r="E13" i="25"/>
  <c r="F13" i="25"/>
  <c r="G13" i="25"/>
  <c r="J13" i="25"/>
  <c r="D14" i="25"/>
  <c r="D15" i="25"/>
  <c r="G15" i="25"/>
  <c r="D21" i="25"/>
  <c r="E21" i="25"/>
  <c r="E22" i="25"/>
  <c r="H22" i="25"/>
  <c r="I22" i="25"/>
  <c r="J22" i="25"/>
  <c r="E23" i="25"/>
  <c r="H23" i="25"/>
  <c r="I23" i="25"/>
  <c r="J23" i="25"/>
  <c r="E24" i="25"/>
  <c r="H24" i="25"/>
  <c r="I24" i="25"/>
  <c r="J24" i="25"/>
  <c r="D25" i="25"/>
  <c r="E25" i="25"/>
  <c r="J25" i="25"/>
  <c r="E26" i="25"/>
  <c r="H26" i="25"/>
  <c r="I26" i="25"/>
  <c r="J26" i="25"/>
  <c r="E27" i="25"/>
  <c r="H27" i="25"/>
  <c r="I27" i="25"/>
  <c r="J27" i="25"/>
  <c r="D28" i="25"/>
  <c r="E28" i="25"/>
  <c r="J28" i="25"/>
  <c r="D29" i="25"/>
  <c r="H29" i="25"/>
  <c r="I29" i="25"/>
  <c r="J29" i="25"/>
  <c r="D30" i="25"/>
  <c r="E30" i="25"/>
  <c r="E31" i="25"/>
  <c r="H31" i="25"/>
  <c r="I31" i="25"/>
  <c r="J31" i="25"/>
  <c r="D33" i="25"/>
  <c r="E33" i="25"/>
  <c r="H33" i="25"/>
  <c r="I33" i="25"/>
  <c r="J33" i="25"/>
  <c r="D34" i="25"/>
  <c r="E34" i="25"/>
  <c r="E35" i="25"/>
  <c r="H35" i="25"/>
  <c r="I35" i="25"/>
  <c r="J35" i="25"/>
  <c r="E36" i="25"/>
  <c r="H36" i="25"/>
  <c r="I36" i="25"/>
  <c r="J36" i="25"/>
  <c r="E37" i="25"/>
  <c r="H37" i="25"/>
  <c r="I37" i="25"/>
  <c r="J37" i="25"/>
  <c r="E38" i="25"/>
  <c r="H38" i="25"/>
  <c r="I38" i="25"/>
  <c r="J38" i="25"/>
  <c r="D39" i="25"/>
  <c r="E39" i="25"/>
  <c r="E40" i="25"/>
  <c r="H40" i="25"/>
  <c r="I40" i="25"/>
  <c r="J40" i="25"/>
  <c r="E41" i="25"/>
  <c r="H41" i="25"/>
  <c r="I41" i="25"/>
  <c r="J41" i="25"/>
  <c r="E42" i="25"/>
  <c r="H42" i="25"/>
  <c r="I42" i="25"/>
  <c r="J42" i="25"/>
  <c r="D43" i="25"/>
  <c r="E43" i="25"/>
  <c r="E44" i="25"/>
  <c r="H44" i="25"/>
  <c r="I44" i="25"/>
  <c r="J44" i="25"/>
  <c r="E45" i="25"/>
  <c r="H45" i="25"/>
  <c r="I45" i="25"/>
  <c r="J45" i="25"/>
  <c r="H46" i="25"/>
  <c r="I46" i="25"/>
  <c r="J46" i="25"/>
  <c r="E47" i="25"/>
  <c r="H47" i="25"/>
  <c r="I47" i="25"/>
  <c r="J47" i="25"/>
  <c r="E56" i="25"/>
  <c r="F56" i="25"/>
  <c r="E57" i="25"/>
  <c r="E60" i="25"/>
  <c r="F57" i="25"/>
  <c r="E58" i="25"/>
  <c r="F58" i="25"/>
  <c r="E59" i="25"/>
  <c r="F59" i="25"/>
  <c r="F64" i="25"/>
  <c r="F65" i="25"/>
  <c r="E69" i="25"/>
  <c r="F69" i="25"/>
  <c r="E75" i="25"/>
  <c r="D10" i="27"/>
  <c r="E10" i="27"/>
  <c r="D12" i="27"/>
  <c r="E12" i="27"/>
  <c r="E13" i="27"/>
  <c r="E14" i="27"/>
  <c r="D15" i="27"/>
  <c r="D21" i="27"/>
  <c r="E21" i="27"/>
  <c r="E22" i="27"/>
  <c r="H22" i="27"/>
  <c r="I22" i="27"/>
  <c r="J22" i="27"/>
  <c r="E23" i="27"/>
  <c r="H23" i="27"/>
  <c r="I23" i="27"/>
  <c r="J23" i="27"/>
  <c r="E24" i="27"/>
  <c r="H24" i="27"/>
  <c r="I24" i="27"/>
  <c r="J24" i="27"/>
  <c r="D25" i="27"/>
  <c r="E25" i="27"/>
  <c r="J25" i="27"/>
  <c r="E26" i="27"/>
  <c r="H26" i="27"/>
  <c r="I26" i="27"/>
  <c r="J26" i="27"/>
  <c r="E27" i="27"/>
  <c r="H27" i="27"/>
  <c r="I27" i="27"/>
  <c r="J27" i="27"/>
  <c r="D28" i="27"/>
  <c r="E28" i="27"/>
  <c r="J28" i="27"/>
  <c r="D29" i="27"/>
  <c r="H29" i="27"/>
  <c r="I29" i="27"/>
  <c r="J29" i="27"/>
  <c r="D30" i="27"/>
  <c r="E30" i="27"/>
  <c r="E31" i="27"/>
  <c r="H31" i="27"/>
  <c r="I31" i="27"/>
  <c r="J31" i="27"/>
  <c r="E32" i="27"/>
  <c r="H32" i="27"/>
  <c r="I32" i="27"/>
  <c r="J32" i="27"/>
  <c r="E33" i="27"/>
  <c r="H33" i="27"/>
  <c r="I33" i="27"/>
  <c r="J33" i="27"/>
  <c r="E34" i="27"/>
  <c r="H34" i="27"/>
  <c r="I34" i="27"/>
  <c r="J34" i="27"/>
  <c r="D35" i="27"/>
  <c r="E35" i="27"/>
  <c r="E36" i="27"/>
  <c r="H36" i="27"/>
  <c r="I36" i="27"/>
  <c r="J36" i="27"/>
  <c r="D37" i="27"/>
  <c r="E37" i="27"/>
  <c r="E38" i="27"/>
  <c r="H38" i="27"/>
  <c r="I38" i="27"/>
  <c r="J38" i="27"/>
  <c r="E39" i="27"/>
  <c r="H39" i="27"/>
  <c r="I39" i="27"/>
  <c r="J39" i="27"/>
  <c r="E40" i="27"/>
  <c r="H40" i="27"/>
  <c r="I40" i="27"/>
  <c r="J40" i="27"/>
  <c r="E41" i="27"/>
  <c r="H41" i="27"/>
  <c r="I41" i="27"/>
  <c r="J41" i="27"/>
  <c r="D42" i="27"/>
  <c r="E42" i="27"/>
  <c r="E43" i="27"/>
  <c r="H43" i="27"/>
  <c r="I43" i="27"/>
  <c r="J43" i="27"/>
  <c r="E44" i="27"/>
  <c r="H44" i="27"/>
  <c r="I44" i="27"/>
  <c r="J44" i="27"/>
  <c r="D45" i="27"/>
  <c r="E45" i="27"/>
  <c r="E46" i="27"/>
  <c r="H46" i="27"/>
  <c r="I46" i="27"/>
  <c r="J46" i="27"/>
  <c r="D47" i="27"/>
  <c r="E47" i="27"/>
  <c r="E56" i="27"/>
  <c r="F56" i="27"/>
  <c r="E57" i="27"/>
  <c r="F57" i="27"/>
  <c r="E58" i="27"/>
  <c r="E60" i="27"/>
  <c r="F58" i="27"/>
  <c r="E59" i="27"/>
  <c r="E66" i="27"/>
  <c r="F59" i="27"/>
  <c r="F66" i="27"/>
  <c r="E69" i="27"/>
  <c r="E72" i="27"/>
  <c r="E73" i="27"/>
  <c r="F69" i="27"/>
  <c r="E70" i="27"/>
  <c r="F70" i="27"/>
  <c r="F72" i="27"/>
  <c r="F73" i="27"/>
  <c r="D10" i="28"/>
  <c r="E10" i="28"/>
  <c r="E13" i="28"/>
  <c r="E12" i="28"/>
  <c r="D19" i="28"/>
  <c r="E19" i="28"/>
  <c r="E20" i="28"/>
  <c r="H20" i="28"/>
  <c r="I20" i="28"/>
  <c r="J20" i="28"/>
  <c r="E21" i="28"/>
  <c r="H21" i="28"/>
  <c r="I21" i="28"/>
  <c r="J21" i="28"/>
  <c r="E22" i="28"/>
  <c r="H22" i="28"/>
  <c r="I22" i="28"/>
  <c r="J22" i="28"/>
  <c r="D23" i="28"/>
  <c r="E23" i="28"/>
  <c r="J23" i="28"/>
  <c r="E24" i="28"/>
  <c r="H24" i="28"/>
  <c r="I24" i="28"/>
  <c r="J24" i="28"/>
  <c r="E25" i="28"/>
  <c r="H25" i="28"/>
  <c r="I25" i="28"/>
  <c r="J25" i="28"/>
  <c r="D26" i="28"/>
  <c r="E26" i="28"/>
  <c r="J26" i="28"/>
  <c r="D27" i="28"/>
  <c r="H27" i="28"/>
  <c r="I27" i="28"/>
  <c r="J27" i="28"/>
  <c r="D28" i="28"/>
  <c r="H28" i="28"/>
  <c r="I28" i="28"/>
  <c r="J28" i="28"/>
  <c r="D29" i="28"/>
  <c r="E29" i="28"/>
  <c r="H29" i="28"/>
  <c r="I29" i="28"/>
  <c r="J29" i="28"/>
  <c r="D30" i="28"/>
  <c r="E30" i="28"/>
  <c r="H30" i="28"/>
  <c r="I30" i="28"/>
  <c r="J30" i="28"/>
  <c r="D31" i="28"/>
  <c r="E31" i="28"/>
  <c r="H31" i="28"/>
  <c r="I31" i="28"/>
  <c r="J31" i="28"/>
  <c r="D32" i="28"/>
  <c r="E32" i="28"/>
  <c r="E33" i="28"/>
  <c r="H33" i="28"/>
  <c r="I33" i="28"/>
  <c r="J33" i="28"/>
  <c r="E34" i="28"/>
  <c r="H34" i="28"/>
  <c r="I34" i="28"/>
  <c r="J34" i="28"/>
  <c r="E35" i="28"/>
  <c r="H35" i="28"/>
  <c r="I35" i="28"/>
  <c r="J35" i="28"/>
  <c r="E36" i="28"/>
  <c r="H36" i="28"/>
  <c r="I36" i="28"/>
  <c r="J36" i="28"/>
  <c r="D37" i="28"/>
  <c r="E37" i="28"/>
  <c r="H37" i="28"/>
  <c r="I37" i="28"/>
  <c r="J37" i="28"/>
  <c r="D38" i="28"/>
  <c r="E38" i="28"/>
  <c r="H38" i="28"/>
  <c r="I38" i="28"/>
  <c r="J38" i="28"/>
  <c r="D39" i="28"/>
  <c r="E39" i="28"/>
  <c r="H39" i="28"/>
  <c r="I39" i="28"/>
  <c r="J39" i="28"/>
  <c r="D40" i="28"/>
  <c r="E40" i="28"/>
  <c r="H40" i="28"/>
  <c r="I40" i="28"/>
  <c r="J40" i="28"/>
  <c r="D41" i="28"/>
  <c r="E41" i="28"/>
  <c r="H41" i="28"/>
  <c r="I41" i="28"/>
  <c r="J41" i="28"/>
  <c r="D43" i="28"/>
  <c r="E79" i="28"/>
  <c r="E43" i="28"/>
  <c r="F79" i="28"/>
  <c r="H43" i="28"/>
  <c r="I43" i="28"/>
  <c r="J43" i="28"/>
  <c r="D44" i="28"/>
  <c r="E44" i="28"/>
  <c r="E45" i="28"/>
  <c r="H45" i="28"/>
  <c r="I45" i="28"/>
  <c r="J45" i="28"/>
  <c r="E46" i="28"/>
  <c r="H46" i="28"/>
  <c r="I46" i="28"/>
  <c r="J46" i="28"/>
  <c r="E47" i="28"/>
  <c r="H47" i="28"/>
  <c r="I47" i="28"/>
  <c r="J47" i="28"/>
  <c r="D48" i="28"/>
  <c r="E48" i="28"/>
  <c r="E49" i="28"/>
  <c r="H49" i="28"/>
  <c r="I49" i="28"/>
  <c r="J49" i="28"/>
  <c r="E50" i="28"/>
  <c r="H50" i="28"/>
  <c r="I50" i="28"/>
  <c r="J50" i="28"/>
  <c r="D51" i="28"/>
  <c r="E51" i="28"/>
  <c r="E52" i="28"/>
  <c r="H52" i="28"/>
  <c r="I52" i="28"/>
  <c r="J52" i="28"/>
  <c r="E53" i="28"/>
  <c r="H53" i="28"/>
  <c r="I53" i="28"/>
  <c r="J53" i="28"/>
  <c r="D54" i="28"/>
  <c r="E54" i="28"/>
  <c r="H54" i="28"/>
  <c r="I54" i="28"/>
  <c r="J54" i="28"/>
  <c r="D55" i="28"/>
  <c r="E55" i="28"/>
  <c r="H55" i="28"/>
  <c r="I55" i="28"/>
  <c r="J55" i="28"/>
  <c r="E63" i="28"/>
  <c r="E75" i="28"/>
  <c r="F63" i="28"/>
  <c r="E64" i="28"/>
  <c r="F64" i="28"/>
  <c r="F75" i="28"/>
  <c r="E65" i="28"/>
  <c r="F65" i="28"/>
  <c r="E66" i="28"/>
  <c r="F66" i="28"/>
  <c r="E67" i="28"/>
  <c r="F67" i="28"/>
  <c r="E68" i="28"/>
  <c r="F68" i="28"/>
  <c r="E80" i="28"/>
  <c r="F80" i="28"/>
  <c r="D10" i="29"/>
  <c r="E10" i="29"/>
  <c r="D19" i="29"/>
  <c r="E19" i="29"/>
  <c r="D20" i="29"/>
  <c r="E20" i="29"/>
  <c r="H20" i="29"/>
  <c r="I20" i="29"/>
  <c r="J20" i="29"/>
  <c r="E21" i="29"/>
  <c r="H21" i="29"/>
  <c r="I21" i="29"/>
  <c r="J21" i="29"/>
  <c r="D22" i="29"/>
  <c r="E22" i="29"/>
  <c r="J22" i="29"/>
  <c r="E23" i="29"/>
  <c r="H23" i="29"/>
  <c r="I23" i="29"/>
  <c r="J23" i="29"/>
  <c r="E24" i="29"/>
  <c r="H24" i="29"/>
  <c r="I24" i="29"/>
  <c r="J24" i="29"/>
  <c r="D25" i="29"/>
  <c r="E25" i="29"/>
  <c r="J25" i="29"/>
  <c r="D26" i="29"/>
  <c r="E26" i="29"/>
  <c r="H26" i="29"/>
  <c r="I26" i="29"/>
  <c r="J26" i="29"/>
  <c r="D27" i="29"/>
  <c r="H27" i="29"/>
  <c r="I27" i="29"/>
  <c r="J27" i="29"/>
  <c r="E28" i="29"/>
  <c r="H28" i="29"/>
  <c r="I28" i="29"/>
  <c r="J28" i="29"/>
  <c r="D29" i="29"/>
  <c r="E29" i="29"/>
  <c r="D30" i="29"/>
  <c r="E30" i="29"/>
  <c r="H30" i="29"/>
  <c r="I30" i="29"/>
  <c r="J30" i="29"/>
  <c r="D31" i="29"/>
  <c r="E31" i="29"/>
  <c r="H31" i="29"/>
  <c r="I31" i="29"/>
  <c r="J31" i="29"/>
  <c r="D32" i="29"/>
  <c r="E32" i="29"/>
  <c r="H32" i="29"/>
  <c r="I32" i="29"/>
  <c r="J32" i="29"/>
  <c r="D33" i="29"/>
  <c r="E33" i="29"/>
  <c r="H33" i="29"/>
  <c r="I33" i="29"/>
  <c r="J33" i="29"/>
  <c r="E34" i="29"/>
  <c r="H34" i="29"/>
  <c r="I34" i="29"/>
  <c r="J34" i="29"/>
  <c r="D36" i="29"/>
  <c r="E36" i="29"/>
  <c r="H36" i="29"/>
  <c r="I36" i="29"/>
  <c r="J36" i="29"/>
  <c r="D37" i="29"/>
  <c r="E37" i="29"/>
  <c r="E38" i="29"/>
  <c r="H38" i="29"/>
  <c r="I38" i="29"/>
  <c r="J38" i="29"/>
  <c r="E39" i="29"/>
  <c r="H39" i="29"/>
  <c r="I39" i="29"/>
  <c r="J39" i="29"/>
  <c r="E40" i="29"/>
  <c r="H40" i="29"/>
  <c r="I40" i="29"/>
  <c r="J40" i="29"/>
  <c r="D41" i="29"/>
  <c r="E41" i="29"/>
  <c r="E42" i="29"/>
  <c r="H42" i="29"/>
  <c r="I42" i="29"/>
  <c r="J42" i="29"/>
  <c r="E43" i="29"/>
  <c r="H43" i="29"/>
  <c r="I43" i="29"/>
  <c r="J43" i="29"/>
  <c r="E44" i="29"/>
  <c r="H44" i="29"/>
  <c r="I44" i="29"/>
  <c r="J44" i="29"/>
  <c r="E46" i="29"/>
  <c r="E45" i="29"/>
  <c r="H46" i="29"/>
  <c r="I46" i="29"/>
  <c r="J46" i="29"/>
  <c r="E47" i="29"/>
  <c r="H47" i="29"/>
  <c r="I47" i="29"/>
  <c r="J47" i="29"/>
  <c r="D48" i="29"/>
  <c r="E48" i="29"/>
  <c r="H48" i="29"/>
  <c r="I48" i="29"/>
  <c r="J48" i="29"/>
  <c r="E56" i="29"/>
  <c r="F56" i="29"/>
  <c r="E57" i="29"/>
  <c r="F57" i="29"/>
  <c r="F60" i="29"/>
  <c r="E58" i="29"/>
  <c r="F58" i="29"/>
  <c r="E59" i="29"/>
  <c r="E60" i="29"/>
  <c r="F59" i="29"/>
  <c r="E71" i="29"/>
  <c r="F71" i="29"/>
  <c r="D10" i="30"/>
  <c r="E10" i="30"/>
  <c r="D12" i="30"/>
  <c r="D14" i="30"/>
  <c r="E14" i="30"/>
  <c r="E15" i="30"/>
  <c r="D15" i="30"/>
  <c r="D16" i="30"/>
  <c r="E16" i="30"/>
  <c r="E17" i="30"/>
  <c r="D18" i="30"/>
  <c r="E18" i="30"/>
  <c r="D24" i="30"/>
  <c r="E24" i="30"/>
  <c r="E25" i="30"/>
  <c r="H25" i="30"/>
  <c r="I25" i="30"/>
  <c r="J25" i="30"/>
  <c r="E26" i="30"/>
  <c r="H26" i="30"/>
  <c r="I26" i="30"/>
  <c r="J26" i="30"/>
  <c r="D27" i="30"/>
  <c r="E27" i="30"/>
  <c r="J27" i="30"/>
  <c r="E28" i="30"/>
  <c r="H28" i="30"/>
  <c r="I28" i="30"/>
  <c r="J28" i="30"/>
  <c r="E29" i="30"/>
  <c r="H29" i="30"/>
  <c r="I29" i="30"/>
  <c r="J29" i="30"/>
  <c r="D30" i="30"/>
  <c r="E30" i="30"/>
  <c r="J30" i="30"/>
  <c r="E31" i="30"/>
  <c r="H31" i="30"/>
  <c r="I31" i="30"/>
  <c r="J31" i="30"/>
  <c r="E32" i="30"/>
  <c r="H32" i="30"/>
  <c r="I32" i="30"/>
  <c r="J32" i="30"/>
  <c r="E33" i="30"/>
  <c r="H33" i="30"/>
  <c r="I33" i="30"/>
  <c r="J33" i="30"/>
  <c r="E34" i="30"/>
  <c r="H34" i="30"/>
  <c r="I34" i="30"/>
  <c r="J34" i="30"/>
  <c r="D35" i="30"/>
  <c r="E35" i="30"/>
  <c r="E36" i="30"/>
  <c r="H36" i="30"/>
  <c r="I36" i="30"/>
  <c r="J36" i="30"/>
  <c r="D37" i="30"/>
  <c r="E37" i="30"/>
  <c r="H37" i="30"/>
  <c r="I37" i="30"/>
  <c r="J37" i="30"/>
  <c r="D38" i="30"/>
  <c r="E38" i="30"/>
  <c r="H38" i="30"/>
  <c r="I38" i="30"/>
  <c r="J38" i="30"/>
  <c r="D39" i="30"/>
  <c r="E39" i="30"/>
  <c r="H39" i="30"/>
  <c r="I39" i="30"/>
  <c r="J39" i="30"/>
  <c r="E40" i="30"/>
  <c r="H40" i="30"/>
  <c r="I40" i="30"/>
  <c r="J40" i="30"/>
  <c r="E41" i="30"/>
  <c r="H41" i="30"/>
  <c r="I41" i="30"/>
  <c r="J41" i="30"/>
  <c r="D42" i="30"/>
  <c r="E42" i="30"/>
  <c r="H42" i="30"/>
  <c r="I42" i="30"/>
  <c r="J42" i="30"/>
  <c r="D43" i="30"/>
  <c r="E43" i="30"/>
  <c r="H43" i="30"/>
  <c r="I43" i="30"/>
  <c r="J43" i="30"/>
  <c r="D44" i="30"/>
  <c r="E44" i="30"/>
  <c r="H44" i="30"/>
  <c r="I44" i="30"/>
  <c r="J44" i="30"/>
  <c r="E45" i="30"/>
  <c r="H45" i="30"/>
  <c r="I45" i="30"/>
  <c r="J45" i="30"/>
  <c r="D46" i="30"/>
  <c r="D70" i="30"/>
  <c r="D47" i="30"/>
  <c r="E93" i="30"/>
  <c r="E95" i="30"/>
  <c r="E47" i="30"/>
  <c r="E46" i="30"/>
  <c r="E70" i="30"/>
  <c r="H47" i="30"/>
  <c r="I47" i="30"/>
  <c r="J47" i="30"/>
  <c r="D48" i="30"/>
  <c r="E48" i="30"/>
  <c r="E49" i="30"/>
  <c r="H49" i="30"/>
  <c r="I49" i="30"/>
  <c r="J49" i="30"/>
  <c r="E50" i="30"/>
  <c r="H50" i="30"/>
  <c r="I50" i="30"/>
  <c r="J50" i="30"/>
  <c r="E51" i="30"/>
  <c r="H51" i="30"/>
  <c r="I51" i="30"/>
  <c r="J51" i="30"/>
  <c r="E52" i="30"/>
  <c r="H52" i="30"/>
  <c r="I52" i="30"/>
  <c r="J52" i="30"/>
  <c r="E53" i="30"/>
  <c r="H53" i="30"/>
  <c r="I53" i="30"/>
  <c r="J53" i="30"/>
  <c r="E54" i="30"/>
  <c r="H54" i="30"/>
  <c r="I54" i="30"/>
  <c r="J54" i="30"/>
  <c r="E55" i="30"/>
  <c r="H55" i="30"/>
  <c r="I55" i="30"/>
  <c r="J55" i="30"/>
  <c r="D56" i="30"/>
  <c r="H56" i="30"/>
  <c r="I56" i="30"/>
  <c r="J56" i="30"/>
  <c r="D57" i="30"/>
  <c r="E57" i="30"/>
  <c r="E58" i="30"/>
  <c r="H58" i="30"/>
  <c r="I58" i="30"/>
  <c r="J58" i="30"/>
  <c r="E59" i="30"/>
  <c r="H59" i="30"/>
  <c r="I59" i="30"/>
  <c r="J59" i="30"/>
  <c r="E60" i="30"/>
  <c r="H60" i="30"/>
  <c r="I60" i="30"/>
  <c r="J60" i="30"/>
  <c r="E61" i="30"/>
  <c r="H61" i="30"/>
  <c r="I61" i="30"/>
  <c r="J61" i="30"/>
  <c r="D62" i="30"/>
  <c r="E62" i="30"/>
  <c r="E63" i="30"/>
  <c r="H63" i="30"/>
  <c r="I63" i="30"/>
  <c r="J63" i="30"/>
  <c r="D64" i="30"/>
  <c r="E64" i="30"/>
  <c r="D65" i="30"/>
  <c r="E65" i="30"/>
  <c r="D66" i="30"/>
  <c r="E66" i="30"/>
  <c r="D67" i="30"/>
  <c r="E67" i="30"/>
  <c r="D68" i="30"/>
  <c r="E68" i="30"/>
  <c r="D69" i="30"/>
  <c r="E69" i="30"/>
  <c r="E77" i="30"/>
  <c r="F77" i="30"/>
  <c r="E78" i="30"/>
  <c r="F78" i="30"/>
  <c r="E79" i="30"/>
  <c r="F79" i="30"/>
  <c r="J86" i="30"/>
  <c r="E80" i="30"/>
  <c r="F80" i="30"/>
  <c r="E81" i="30"/>
  <c r="F81" i="30"/>
  <c r="E82" i="30"/>
  <c r="F82" i="30"/>
  <c r="E94" i="30"/>
  <c r="F94" i="30"/>
  <c r="D131" i="30"/>
  <c r="E131" i="30"/>
  <c r="D132" i="30"/>
  <c r="E132" i="30"/>
  <c r="D133" i="30"/>
  <c r="E133" i="30"/>
  <c r="D134" i="30"/>
  <c r="E134" i="30"/>
  <c r="D135" i="30"/>
  <c r="E135" i="30"/>
  <c r="D137" i="30"/>
  <c r="E137" i="30"/>
  <c r="E140" i="30"/>
  <c r="D139" i="30"/>
  <c r="D10" i="31"/>
  <c r="E10" i="31"/>
  <c r="D12" i="31"/>
  <c r="E13" i="31"/>
  <c r="D14" i="31"/>
  <c r="E14" i="31"/>
  <c r="G14" i="31"/>
  <c r="D15" i="31"/>
  <c r="D16" i="31"/>
  <c r="D17" i="31"/>
  <c r="E17" i="31"/>
  <c r="D18" i="31"/>
  <c r="D13" i="31"/>
  <c r="D19" i="31"/>
  <c r="D20" i="31"/>
  <c r="D26" i="31"/>
  <c r="E26" i="31"/>
  <c r="D27" i="31"/>
  <c r="E27" i="31"/>
  <c r="H27" i="31"/>
  <c r="I27" i="31"/>
  <c r="J27" i="31"/>
  <c r="D28" i="31"/>
  <c r="E28" i="31"/>
  <c r="H28" i="31"/>
  <c r="I28" i="31"/>
  <c r="J28" i="31"/>
  <c r="D29" i="31"/>
  <c r="E29" i="31"/>
  <c r="H29" i="31"/>
  <c r="I29" i="31"/>
  <c r="J29" i="31"/>
  <c r="D30" i="31"/>
  <c r="E30" i="31"/>
  <c r="J30" i="31"/>
  <c r="E31" i="31"/>
  <c r="H31" i="31"/>
  <c r="I31" i="31"/>
  <c r="J31" i="31"/>
  <c r="E32" i="31"/>
  <c r="H32" i="31"/>
  <c r="I32" i="31"/>
  <c r="J32" i="31"/>
  <c r="D33" i="31"/>
  <c r="E33" i="31"/>
  <c r="J33" i="31"/>
  <c r="E34" i="31"/>
  <c r="H34" i="31"/>
  <c r="I34" i="31"/>
  <c r="J34" i="31"/>
  <c r="E35" i="31"/>
  <c r="H35" i="31"/>
  <c r="I35" i="31"/>
  <c r="J35" i="31"/>
  <c r="E36" i="31"/>
  <c r="H36" i="31"/>
  <c r="I36" i="31"/>
  <c r="J36" i="31"/>
  <c r="D37" i="31"/>
  <c r="E37" i="31"/>
  <c r="E38" i="31"/>
  <c r="H38" i="31"/>
  <c r="I38" i="31"/>
  <c r="J38" i="31"/>
  <c r="D39" i="31"/>
  <c r="E39" i="31"/>
  <c r="H39" i="31"/>
  <c r="I39" i="31"/>
  <c r="J39" i="31"/>
  <c r="D40" i="31"/>
  <c r="E40" i="31"/>
  <c r="H40" i="31"/>
  <c r="I40" i="31"/>
  <c r="J40" i="31"/>
  <c r="D41" i="31"/>
  <c r="E41" i="31"/>
  <c r="H41" i="31"/>
  <c r="I41" i="31"/>
  <c r="J41" i="31"/>
  <c r="E42" i="31"/>
  <c r="H42" i="31"/>
  <c r="I42" i="31"/>
  <c r="J42" i="31"/>
  <c r="E43" i="31"/>
  <c r="H43" i="31"/>
  <c r="I43" i="31"/>
  <c r="J43" i="31"/>
  <c r="E44" i="31"/>
  <c r="H44" i="31"/>
  <c r="I44" i="31"/>
  <c r="J44" i="31"/>
  <c r="D45" i="31"/>
  <c r="E45" i="31"/>
  <c r="H45" i="31"/>
  <c r="I45" i="31"/>
  <c r="J45" i="31"/>
  <c r="D46" i="31"/>
  <c r="E46" i="31"/>
  <c r="H46" i="31"/>
  <c r="I46" i="31"/>
  <c r="J46" i="31"/>
  <c r="D47" i="31"/>
  <c r="E47" i="31"/>
  <c r="H47" i="31"/>
  <c r="I47" i="31"/>
  <c r="J47" i="31"/>
  <c r="E48" i="31"/>
  <c r="H48" i="31"/>
  <c r="I48" i="31"/>
  <c r="J48" i="31"/>
  <c r="E49" i="31"/>
  <c r="H49" i="31"/>
  <c r="I49" i="31"/>
  <c r="J49" i="31"/>
  <c r="E50" i="31"/>
  <c r="H50" i="31"/>
  <c r="I50" i="31"/>
  <c r="J50" i="31"/>
  <c r="E51" i="31"/>
  <c r="H51" i="31"/>
  <c r="I51" i="31"/>
  <c r="J51" i="31"/>
  <c r="D53" i="31"/>
  <c r="D52" i="31"/>
  <c r="E53" i="31"/>
  <c r="F118" i="31"/>
  <c r="H53" i="31"/>
  <c r="I53" i="31"/>
  <c r="J53" i="31"/>
  <c r="D54" i="31"/>
  <c r="E54" i="31"/>
  <c r="E55" i="31"/>
  <c r="H55" i="31"/>
  <c r="I55" i="31"/>
  <c r="J55" i="31"/>
  <c r="E56" i="31"/>
  <c r="H56" i="31"/>
  <c r="I56" i="31"/>
  <c r="J56" i="31"/>
  <c r="E57" i="31"/>
  <c r="H57" i="31"/>
  <c r="I57" i="31"/>
  <c r="J57" i="31"/>
  <c r="M57" i="31"/>
  <c r="E58" i="31"/>
  <c r="H58" i="31"/>
  <c r="I58" i="31"/>
  <c r="J58" i="31"/>
  <c r="D59" i="31"/>
  <c r="H59" i="31"/>
  <c r="I59" i="31"/>
  <c r="J59" i="31"/>
  <c r="D60" i="31"/>
  <c r="E60" i="31"/>
  <c r="E61" i="31"/>
  <c r="H61" i="31"/>
  <c r="I61" i="31"/>
  <c r="J61" i="31"/>
  <c r="E62" i="31"/>
  <c r="H62" i="31"/>
  <c r="I62" i="31"/>
  <c r="J62" i="31"/>
  <c r="E63" i="31"/>
  <c r="H63" i="31"/>
  <c r="I63" i="31"/>
  <c r="J63" i="31"/>
  <c r="D64" i="31"/>
  <c r="E64" i="31"/>
  <c r="D65" i="31"/>
  <c r="H65" i="31"/>
  <c r="I65" i="31"/>
  <c r="J65" i="31"/>
  <c r="E66" i="31"/>
  <c r="H66" i="31"/>
  <c r="I66" i="31"/>
  <c r="J66" i="31"/>
  <c r="E67" i="31"/>
  <c r="H67" i="31"/>
  <c r="I67" i="31"/>
  <c r="J67" i="31"/>
  <c r="D68" i="31"/>
  <c r="E68" i="31"/>
  <c r="H68" i="31"/>
  <c r="I68" i="31"/>
  <c r="J68" i="31"/>
  <c r="D70" i="31"/>
  <c r="E70" i="31"/>
  <c r="H70" i="31"/>
  <c r="I70" i="31"/>
  <c r="J70" i="31"/>
  <c r="D71" i="31"/>
  <c r="E71" i="31"/>
  <c r="D72" i="31"/>
  <c r="E72" i="31"/>
  <c r="H72" i="31"/>
  <c r="I72" i="31"/>
  <c r="J72" i="31"/>
  <c r="D73" i="31"/>
  <c r="E73" i="31"/>
  <c r="H73" i="31"/>
  <c r="I73" i="31"/>
  <c r="J73" i="31"/>
  <c r="E74" i="31"/>
  <c r="H74" i="31"/>
  <c r="I74" i="31"/>
  <c r="J74" i="31"/>
  <c r="E75" i="31"/>
  <c r="H75" i="31"/>
  <c r="I75" i="31"/>
  <c r="J75" i="31"/>
  <c r="E76" i="31"/>
  <c r="H76" i="31"/>
  <c r="I76" i="31"/>
  <c r="J76" i="31"/>
  <c r="E77" i="31"/>
  <c r="H77" i="31"/>
  <c r="I77" i="31"/>
  <c r="J77" i="31"/>
  <c r="E78" i="31"/>
  <c r="H78" i="31"/>
  <c r="I78" i="31"/>
  <c r="J78" i="31"/>
  <c r="E79" i="31"/>
  <c r="H79" i="31"/>
  <c r="I79" i="31"/>
  <c r="J79" i="31"/>
  <c r="E80" i="31"/>
  <c r="H80" i="31"/>
  <c r="I80" i="31"/>
  <c r="J80" i="31"/>
  <c r="E81" i="31"/>
  <c r="H81" i="31"/>
  <c r="I81" i="31"/>
  <c r="J81" i="31"/>
  <c r="E82" i="31"/>
  <c r="H82" i="31"/>
  <c r="I82" i="31"/>
  <c r="J82" i="31"/>
  <c r="E83" i="31"/>
  <c r="H83" i="31"/>
  <c r="I83" i="31"/>
  <c r="J83" i="31"/>
  <c r="D84" i="31"/>
  <c r="E84" i="31"/>
  <c r="E85" i="31"/>
  <c r="H85" i="31"/>
  <c r="I85" i="31"/>
  <c r="J85" i="31"/>
  <c r="E86" i="31"/>
  <c r="H86" i="31"/>
  <c r="I86" i="31"/>
  <c r="J86" i="31"/>
  <c r="E87" i="31"/>
  <c r="H87" i="31"/>
  <c r="I87" i="31"/>
  <c r="J87" i="31"/>
  <c r="E88" i="31"/>
  <c r="H88" i="31"/>
  <c r="I88" i="31"/>
  <c r="J88" i="31"/>
  <c r="E89" i="31"/>
  <c r="H89" i="31"/>
  <c r="I89" i="31"/>
  <c r="J89" i="31"/>
  <c r="E90" i="31"/>
  <c r="H90" i="31"/>
  <c r="I90" i="31"/>
  <c r="J90" i="31"/>
  <c r="E97" i="31"/>
  <c r="E98" i="31"/>
  <c r="F98" i="31"/>
  <c r="E99" i="31"/>
  <c r="F99" i="31"/>
  <c r="E100" i="31"/>
  <c r="F100" i="31"/>
  <c r="E101" i="31"/>
  <c r="F101" i="31"/>
  <c r="E102" i="31"/>
  <c r="F102" i="31"/>
  <c r="E103" i="31"/>
  <c r="F103" i="31"/>
  <c r="E104" i="31"/>
  <c r="F104" i="31"/>
  <c r="E105" i="31"/>
  <c r="F105" i="31"/>
  <c r="E107" i="31"/>
  <c r="F107" i="31"/>
  <c r="E118" i="31"/>
  <c r="D152" i="31"/>
  <c r="E152" i="31"/>
  <c r="D153" i="31"/>
  <c r="E153" i="31"/>
  <c r="D154" i="31"/>
  <c r="E154" i="31"/>
  <c r="D155" i="31"/>
  <c r="E155" i="31"/>
  <c r="D156" i="31"/>
  <c r="E156" i="31"/>
  <c r="D158" i="31"/>
  <c r="E158" i="31"/>
  <c r="E161" i="31"/>
  <c r="D159" i="31"/>
  <c r="E159" i="31"/>
  <c r="F160" i="31"/>
  <c r="D160" i="31"/>
  <c r="D161" i="31"/>
  <c r="D10" i="32"/>
  <c r="E10" i="32"/>
  <c r="E12" i="32"/>
  <c r="D13" i="32"/>
  <c r="E13" i="32"/>
  <c r="D14" i="32"/>
  <c r="D15" i="32"/>
  <c r="M15" i="32"/>
  <c r="N15" i="32"/>
  <c r="D16" i="32"/>
  <c r="D17" i="32"/>
  <c r="O17" i="32"/>
  <c r="D18" i="32"/>
  <c r="D19" i="32"/>
  <c r="M19" i="32"/>
  <c r="D20" i="32"/>
  <c r="D21" i="32"/>
  <c r="D27" i="32"/>
  <c r="E27" i="32"/>
  <c r="D28" i="32"/>
  <c r="E28" i="32"/>
  <c r="H28" i="32"/>
  <c r="I28" i="32"/>
  <c r="J28" i="32"/>
  <c r="E29" i="32"/>
  <c r="H29" i="32"/>
  <c r="I29" i="32"/>
  <c r="J29" i="32"/>
  <c r="E30" i="32"/>
  <c r="H30" i="32"/>
  <c r="I30" i="32"/>
  <c r="J30" i="32"/>
  <c r="D31" i="32"/>
  <c r="E31" i="32"/>
  <c r="J31" i="32"/>
  <c r="E32" i="32"/>
  <c r="H32" i="32"/>
  <c r="I32" i="32"/>
  <c r="J32" i="32"/>
  <c r="E33" i="32"/>
  <c r="H33" i="32"/>
  <c r="I33" i="32"/>
  <c r="J33" i="32"/>
  <c r="D34" i="32"/>
  <c r="E34" i="32"/>
  <c r="J34" i="32"/>
  <c r="E35" i="32"/>
  <c r="H35" i="32"/>
  <c r="I35" i="32"/>
  <c r="J35" i="32"/>
  <c r="E36" i="32"/>
  <c r="H36" i="32"/>
  <c r="I36" i="32"/>
  <c r="J36" i="32"/>
  <c r="D37" i="32"/>
  <c r="E37" i="32"/>
  <c r="E38" i="32"/>
  <c r="H38" i="32"/>
  <c r="I38" i="32"/>
  <c r="E39" i="32"/>
  <c r="H39" i="32"/>
  <c r="I39" i="32"/>
  <c r="J39" i="32"/>
  <c r="E40" i="32"/>
  <c r="H40" i="32"/>
  <c r="I40" i="32"/>
  <c r="J40" i="32"/>
  <c r="E41" i="32"/>
  <c r="H41" i="32"/>
  <c r="I41" i="32"/>
  <c r="J41" i="32"/>
  <c r="E42" i="32"/>
  <c r="H42" i="32"/>
  <c r="I42" i="32"/>
  <c r="J42" i="32"/>
  <c r="D43" i="32"/>
  <c r="E43" i="32"/>
  <c r="H43" i="32"/>
  <c r="I43" i="32"/>
  <c r="J43" i="32"/>
  <c r="E44" i="32"/>
  <c r="H44" i="32"/>
  <c r="I44" i="32"/>
  <c r="J44" i="32"/>
  <c r="E45" i="32"/>
  <c r="H45" i="32"/>
  <c r="I45" i="32"/>
  <c r="J45" i="32"/>
  <c r="H47" i="32"/>
  <c r="I47" i="32"/>
  <c r="J47" i="32"/>
  <c r="D48" i="32"/>
  <c r="E48" i="32"/>
  <c r="E49" i="32"/>
  <c r="H49" i="32"/>
  <c r="I49" i="32"/>
  <c r="J49" i="32"/>
  <c r="E50" i="32"/>
  <c r="H50" i="32"/>
  <c r="I50" i="32"/>
  <c r="J50" i="32"/>
  <c r="E51" i="32"/>
  <c r="H51" i="32"/>
  <c r="I51" i="32"/>
  <c r="J51" i="32"/>
  <c r="E52" i="32"/>
  <c r="H52" i="32"/>
  <c r="I52" i="32"/>
  <c r="J52" i="32"/>
  <c r="E53" i="32"/>
  <c r="H53" i="32"/>
  <c r="I53" i="32"/>
  <c r="J53" i="32"/>
  <c r="D54" i="32"/>
  <c r="H54" i="32"/>
  <c r="I54" i="32"/>
  <c r="J54" i="32"/>
  <c r="D55" i="32"/>
  <c r="E55" i="32"/>
  <c r="E56" i="32"/>
  <c r="H56" i="32"/>
  <c r="I56" i="32"/>
  <c r="J56" i="32"/>
  <c r="E57" i="32"/>
  <c r="H57" i="32"/>
  <c r="I57" i="32"/>
  <c r="J57" i="32"/>
  <c r="E58" i="32"/>
  <c r="H58" i="32"/>
  <c r="I58" i="32"/>
  <c r="J58" i="32"/>
  <c r="E59" i="32"/>
  <c r="H59" i="32"/>
  <c r="I59" i="32"/>
  <c r="J59" i="32"/>
  <c r="D60" i="32"/>
  <c r="E60" i="32"/>
  <c r="E61" i="32"/>
  <c r="H61" i="32"/>
  <c r="I61" i="32"/>
  <c r="J61" i="32"/>
  <c r="D62" i="32"/>
  <c r="H62" i="32"/>
  <c r="I62" i="32"/>
  <c r="J62" i="32"/>
  <c r="D63" i="32"/>
  <c r="E63" i="32"/>
  <c r="H63" i="32"/>
  <c r="I63" i="32"/>
  <c r="J63" i="32"/>
  <c r="D64" i="32"/>
  <c r="E64" i="32"/>
  <c r="D65" i="32"/>
  <c r="E65" i="32"/>
  <c r="H65" i="32"/>
  <c r="I65" i="32"/>
  <c r="J65" i="32"/>
  <c r="D66" i="32"/>
  <c r="E66" i="32"/>
  <c r="E67" i="32"/>
  <c r="H67" i="32"/>
  <c r="I67" i="32"/>
  <c r="J67" i="32"/>
  <c r="E68" i="32"/>
  <c r="H68" i="32"/>
  <c r="I68" i="32"/>
  <c r="J68" i="32"/>
  <c r="E69" i="32"/>
  <c r="H69" i="32"/>
  <c r="I69" i="32"/>
  <c r="J69" i="32"/>
  <c r="M69" i="32"/>
  <c r="E70" i="32"/>
  <c r="H70" i="32"/>
  <c r="I70" i="32"/>
  <c r="J70" i="32"/>
  <c r="E71" i="32"/>
  <c r="H71" i="32"/>
  <c r="I71" i="32"/>
  <c r="J71" i="32"/>
  <c r="E72" i="32"/>
  <c r="H72" i="32"/>
  <c r="I72" i="32"/>
  <c r="J72" i="32"/>
  <c r="E73" i="32"/>
  <c r="H73" i="32"/>
  <c r="I73" i="32"/>
  <c r="J73" i="32"/>
  <c r="E74" i="32"/>
  <c r="H74" i="32"/>
  <c r="I74" i="32"/>
  <c r="J74" i="32"/>
  <c r="E75" i="32"/>
  <c r="H75" i="32"/>
  <c r="I75" i="32"/>
  <c r="J75" i="32"/>
  <c r="E76" i="32"/>
  <c r="H76" i="32"/>
  <c r="I76" i="32"/>
  <c r="J76" i="32"/>
  <c r="E77" i="32"/>
  <c r="H77" i="32"/>
  <c r="I77" i="32"/>
  <c r="J77" i="32"/>
  <c r="E78" i="32"/>
  <c r="H78" i="32"/>
  <c r="I78" i="32"/>
  <c r="J78" i="32"/>
  <c r="E79" i="32"/>
  <c r="H79" i="32"/>
  <c r="I79" i="32"/>
  <c r="J79" i="32"/>
  <c r="E80" i="32"/>
  <c r="H80" i="32"/>
  <c r="I80" i="32"/>
  <c r="J80" i="32"/>
  <c r="E81" i="32"/>
  <c r="H81" i="32"/>
  <c r="I81" i="32"/>
  <c r="J81" i="32"/>
  <c r="D82" i="32"/>
  <c r="E82" i="32"/>
  <c r="H82" i="32"/>
  <c r="I82" i="32"/>
  <c r="J82" i="32"/>
  <c r="E83" i="32"/>
  <c r="H83" i="32"/>
  <c r="I83" i="32"/>
  <c r="J83" i="32"/>
  <c r="E84" i="32"/>
  <c r="H84" i="32"/>
  <c r="I84" i="32"/>
  <c r="J84" i="32"/>
  <c r="E85" i="32"/>
  <c r="H85" i="32"/>
  <c r="I85" i="32"/>
  <c r="J85" i="32"/>
  <c r="E86" i="32"/>
  <c r="H86" i="32"/>
  <c r="I86" i="32"/>
  <c r="J86" i="32"/>
  <c r="E87" i="32"/>
  <c r="H87" i="32"/>
  <c r="I87" i="32"/>
  <c r="J87" i="32"/>
  <c r="E88" i="32"/>
  <c r="H88" i="32"/>
  <c r="I88" i="32"/>
  <c r="J88" i="32"/>
  <c r="D89" i="32"/>
  <c r="E89" i="32"/>
  <c r="E90" i="32"/>
  <c r="H90" i="32"/>
  <c r="I90" i="32"/>
  <c r="J90" i="32"/>
  <c r="E91" i="32"/>
  <c r="H91" i="32"/>
  <c r="I91" i="32"/>
  <c r="J91" i="32"/>
  <c r="E92" i="32"/>
  <c r="H92" i="32"/>
  <c r="I92" i="32"/>
  <c r="J92" i="32"/>
  <c r="E93" i="32"/>
  <c r="H93" i="32"/>
  <c r="I93" i="32"/>
  <c r="J93" i="32"/>
  <c r="E94" i="32"/>
  <c r="H94" i="32"/>
  <c r="I94" i="32"/>
  <c r="J94" i="32"/>
  <c r="E95" i="32"/>
  <c r="H95" i="32"/>
  <c r="I95" i="32"/>
  <c r="J95" i="32"/>
  <c r="E96" i="32"/>
  <c r="H96" i="32"/>
  <c r="I96" i="32"/>
  <c r="J96" i="32"/>
  <c r="E97" i="32"/>
  <c r="H97" i="32"/>
  <c r="I97" i="32"/>
  <c r="J97" i="32"/>
  <c r="E98" i="32"/>
  <c r="H98" i="32"/>
  <c r="I98" i="32"/>
  <c r="J98" i="32"/>
  <c r="E99" i="32"/>
  <c r="H99" i="32"/>
  <c r="I99" i="32"/>
  <c r="J99" i="32"/>
  <c r="E100" i="32"/>
  <c r="H100" i="32"/>
  <c r="I100" i="32"/>
  <c r="J100" i="32"/>
  <c r="E101" i="32"/>
  <c r="H101" i="32"/>
  <c r="I101" i="32"/>
  <c r="J101" i="32"/>
  <c r="D102" i="32"/>
  <c r="E102" i="32"/>
  <c r="E103" i="32"/>
  <c r="H103" i="32"/>
  <c r="I103" i="32"/>
  <c r="J103" i="32"/>
  <c r="E104" i="32"/>
  <c r="H104" i="32"/>
  <c r="I104" i="32"/>
  <c r="J104" i="32"/>
  <c r="E111" i="32"/>
  <c r="F111" i="32"/>
  <c r="E112" i="32"/>
  <c r="F112" i="32"/>
  <c r="E113" i="32"/>
  <c r="F113" i="32"/>
  <c r="E114" i="32"/>
  <c r="F114" i="32"/>
  <c r="E115" i="32"/>
  <c r="F115" i="32"/>
  <c r="E116" i="32"/>
  <c r="F116" i="32"/>
  <c r="O116" i="32"/>
  <c r="E117" i="32"/>
  <c r="F117" i="32"/>
  <c r="E118" i="32"/>
  <c r="F118" i="32"/>
  <c r="E119" i="32"/>
  <c r="F119" i="32"/>
  <c r="E120" i="32"/>
  <c r="F120" i="32"/>
  <c r="E135" i="32"/>
  <c r="F135" i="32"/>
  <c r="D163" i="32"/>
  <c r="E163" i="32"/>
  <c r="D164" i="32"/>
  <c r="E164" i="32"/>
  <c r="D165" i="32"/>
  <c r="E165" i="32"/>
  <c r="D166" i="32"/>
  <c r="E166" i="32"/>
  <c r="D167" i="32"/>
  <c r="E167" i="32"/>
  <c r="D169" i="32"/>
  <c r="E169" i="32"/>
  <c r="E172" i="32"/>
  <c r="D170" i="32"/>
  <c r="E170" i="32"/>
  <c r="F171" i="32"/>
  <c r="D171" i="32"/>
  <c r="D172" i="32"/>
  <c r="D10" i="34"/>
  <c r="E10" i="34"/>
  <c r="D13" i="34"/>
  <c r="E13" i="34"/>
  <c r="E14" i="34"/>
  <c r="D14" i="34"/>
  <c r="G14" i="34"/>
  <c r="D15" i="34"/>
  <c r="E15" i="34"/>
  <c r="G15" i="34"/>
  <c r="E16" i="34"/>
  <c r="E17" i="34"/>
  <c r="D17" i="34"/>
  <c r="D23" i="34"/>
  <c r="E23" i="34"/>
  <c r="E24" i="34"/>
  <c r="H24" i="34"/>
  <c r="I24" i="34"/>
  <c r="J24" i="34"/>
  <c r="Q24" i="34"/>
  <c r="R24" i="34"/>
  <c r="S24" i="34"/>
  <c r="E25" i="34"/>
  <c r="H25" i="34"/>
  <c r="I25" i="34"/>
  <c r="J25" i="34"/>
  <c r="R25" i="34"/>
  <c r="S25" i="34"/>
  <c r="E26" i="34"/>
  <c r="H26" i="34"/>
  <c r="I26" i="34"/>
  <c r="J26" i="34"/>
  <c r="R26" i="34"/>
  <c r="S26" i="34"/>
  <c r="D27" i="34"/>
  <c r="E27" i="34"/>
  <c r="H27" i="34"/>
  <c r="J27" i="34"/>
  <c r="Q27" i="34"/>
  <c r="R27" i="34"/>
  <c r="S27" i="34"/>
  <c r="E28" i="34"/>
  <c r="H28" i="34"/>
  <c r="I28" i="34"/>
  <c r="J28" i="34"/>
  <c r="E29" i="34"/>
  <c r="H29" i="34"/>
  <c r="I29" i="34"/>
  <c r="J29" i="34"/>
  <c r="D30" i="34"/>
  <c r="E30" i="34"/>
  <c r="H30" i="34"/>
  <c r="J30" i="34"/>
  <c r="E31" i="34"/>
  <c r="H31" i="34"/>
  <c r="I31" i="34"/>
  <c r="J31" i="34"/>
  <c r="E32" i="34"/>
  <c r="H32" i="34"/>
  <c r="I32" i="34"/>
  <c r="J32" i="34"/>
  <c r="E33" i="34"/>
  <c r="H33" i="34"/>
  <c r="I33" i="34"/>
  <c r="J33" i="34"/>
  <c r="D34" i="34"/>
  <c r="E34" i="34"/>
  <c r="H34" i="34"/>
  <c r="E35" i="34"/>
  <c r="H35" i="34"/>
  <c r="I35" i="34"/>
  <c r="J35" i="34"/>
  <c r="E36" i="34"/>
  <c r="H36" i="34"/>
  <c r="I36" i="34"/>
  <c r="J36" i="34"/>
  <c r="E37" i="34"/>
  <c r="H37" i="34"/>
  <c r="I37" i="34"/>
  <c r="J37" i="34"/>
  <c r="D38" i="34"/>
  <c r="E38" i="34"/>
  <c r="H38" i="34"/>
  <c r="I38" i="34"/>
  <c r="J38" i="34"/>
  <c r="E39" i="34"/>
  <c r="H39" i="34"/>
  <c r="I39" i="34"/>
  <c r="J39" i="34"/>
  <c r="H40" i="34"/>
  <c r="H41" i="34"/>
  <c r="I41" i="34"/>
  <c r="J41" i="34"/>
  <c r="D42" i="34"/>
  <c r="E42" i="34"/>
  <c r="H42" i="34"/>
  <c r="E43" i="34"/>
  <c r="H43" i="34"/>
  <c r="I43" i="34"/>
  <c r="J43" i="34"/>
  <c r="E44" i="34"/>
  <c r="H44" i="34"/>
  <c r="I44" i="34"/>
  <c r="J44" i="34"/>
  <c r="E45" i="34"/>
  <c r="H45" i="34"/>
  <c r="I45" i="34"/>
  <c r="J45" i="34"/>
  <c r="E46" i="34"/>
  <c r="H46" i="34"/>
  <c r="I46" i="34"/>
  <c r="J46" i="34"/>
  <c r="E47" i="34"/>
  <c r="H47" i="34"/>
  <c r="I47" i="34"/>
  <c r="J47" i="34"/>
  <c r="D48" i="34"/>
  <c r="H48" i="34"/>
  <c r="I48" i="34"/>
  <c r="J48" i="34"/>
  <c r="D49" i="34"/>
  <c r="E49" i="34"/>
  <c r="H49" i="34"/>
  <c r="E50" i="34"/>
  <c r="H50" i="34"/>
  <c r="I50" i="34"/>
  <c r="J50" i="34"/>
  <c r="E51" i="34"/>
  <c r="H51" i="34"/>
  <c r="I51" i="34"/>
  <c r="J51" i="34"/>
  <c r="E52" i="34"/>
  <c r="H52" i="34"/>
  <c r="I52" i="34"/>
  <c r="J52" i="34"/>
  <c r="D53" i="34"/>
  <c r="E53" i="34"/>
  <c r="H53" i="34"/>
  <c r="D54" i="34"/>
  <c r="E54" i="34"/>
  <c r="H54" i="34"/>
  <c r="I54" i="34"/>
  <c r="J54" i="34"/>
  <c r="H55" i="34"/>
  <c r="D56" i="34"/>
  <c r="E56" i="34"/>
  <c r="H56" i="34"/>
  <c r="I56" i="34"/>
  <c r="J56" i="34"/>
  <c r="D57" i="34"/>
  <c r="E57" i="34"/>
  <c r="H57" i="34"/>
  <c r="D58" i="34"/>
  <c r="E58" i="34"/>
  <c r="H58" i="34"/>
  <c r="I58" i="34"/>
  <c r="J58" i="34"/>
  <c r="D59" i="34"/>
  <c r="E59" i="34"/>
  <c r="H59" i="34"/>
  <c r="I59" i="34"/>
  <c r="J59" i="34"/>
  <c r="D60" i="34"/>
  <c r="E60" i="34"/>
  <c r="H60" i="34"/>
  <c r="I60" i="34"/>
  <c r="J60" i="34"/>
  <c r="D61" i="34"/>
  <c r="E61" i="34"/>
  <c r="H61" i="34"/>
  <c r="I61" i="34"/>
  <c r="J61" i="34"/>
  <c r="D62" i="34"/>
  <c r="E62" i="34"/>
  <c r="H62" i="34"/>
  <c r="J62" i="34"/>
  <c r="E63" i="34"/>
  <c r="H63" i="34"/>
  <c r="I63" i="34"/>
  <c r="J63" i="34"/>
  <c r="E64" i="34"/>
  <c r="H64" i="34"/>
  <c r="I64" i="34"/>
  <c r="J64" i="34"/>
  <c r="D65" i="34"/>
  <c r="E65" i="34"/>
  <c r="H65" i="34"/>
  <c r="E66" i="34"/>
  <c r="H66" i="34"/>
  <c r="I66" i="34"/>
  <c r="J66" i="34"/>
  <c r="E67" i="34"/>
  <c r="H67" i="34"/>
  <c r="I67" i="34"/>
  <c r="J67" i="34"/>
  <c r="E68" i="34"/>
  <c r="H68" i="34"/>
  <c r="I68" i="34"/>
  <c r="J68" i="34"/>
  <c r="E69" i="34"/>
  <c r="H69" i="34"/>
  <c r="I69" i="34"/>
  <c r="J69" i="34"/>
  <c r="D70" i="34"/>
  <c r="E70" i="34"/>
  <c r="H70" i="34"/>
  <c r="I70" i="34"/>
  <c r="J70" i="34"/>
  <c r="D71" i="34"/>
  <c r="E71" i="34"/>
  <c r="H71" i="34"/>
  <c r="E72" i="34"/>
  <c r="H72" i="34"/>
  <c r="I72" i="34"/>
  <c r="J72" i="34"/>
  <c r="E73" i="34"/>
  <c r="H73" i="34"/>
  <c r="I73" i="34"/>
  <c r="J73" i="34"/>
  <c r="E74" i="34"/>
  <c r="H74" i="34"/>
  <c r="I74" i="34"/>
  <c r="J74" i="34"/>
  <c r="E75" i="34"/>
  <c r="H75" i="34"/>
  <c r="I75" i="34"/>
  <c r="J75" i="34"/>
  <c r="E76" i="34"/>
  <c r="H76" i="34"/>
  <c r="I76" i="34"/>
  <c r="J76" i="34"/>
  <c r="E77" i="34"/>
  <c r="H77" i="34"/>
  <c r="I77" i="34"/>
  <c r="J77" i="34"/>
  <c r="E78" i="34"/>
  <c r="H78" i="34"/>
  <c r="I78" i="34"/>
  <c r="J78" i="34"/>
  <c r="E79" i="34"/>
  <c r="H79" i="34"/>
  <c r="I79" i="34"/>
  <c r="J79" i="34"/>
  <c r="E80" i="34"/>
  <c r="H80" i="34"/>
  <c r="I80" i="34"/>
  <c r="J80" i="34"/>
  <c r="E81" i="34"/>
  <c r="H81" i="34"/>
  <c r="I81" i="34"/>
  <c r="J81" i="34"/>
  <c r="E82" i="34"/>
  <c r="H82" i="34"/>
  <c r="I82" i="34"/>
  <c r="J82" i="34"/>
  <c r="E83" i="34"/>
  <c r="H83" i="34"/>
  <c r="I83" i="34"/>
  <c r="J83" i="34"/>
  <c r="N83" i="34"/>
  <c r="E84" i="34"/>
  <c r="H84" i="34"/>
  <c r="I84" i="34"/>
  <c r="J84" i="34"/>
  <c r="D85" i="34"/>
  <c r="E85" i="34"/>
  <c r="H85" i="34"/>
  <c r="E86" i="34"/>
  <c r="H86" i="34"/>
  <c r="I86" i="34"/>
  <c r="J86" i="34"/>
  <c r="E87" i="34"/>
  <c r="H87" i="34"/>
  <c r="I87" i="34"/>
  <c r="J87" i="34"/>
  <c r="E88" i="34"/>
  <c r="H88" i="34"/>
  <c r="I88" i="34"/>
  <c r="J88" i="34"/>
  <c r="E89" i="34"/>
  <c r="H89" i="34"/>
  <c r="I89" i="34"/>
  <c r="J89" i="34"/>
  <c r="D90" i="34"/>
  <c r="H90" i="34"/>
  <c r="I90" i="34"/>
  <c r="J90" i="34"/>
  <c r="D91" i="34"/>
  <c r="H91" i="34"/>
  <c r="I91" i="34"/>
  <c r="J91" i="34"/>
  <c r="D92" i="34"/>
  <c r="H92" i="34"/>
  <c r="I92" i="34"/>
  <c r="J92" i="34"/>
  <c r="D93" i="34"/>
  <c r="E93" i="34"/>
  <c r="H93" i="34"/>
  <c r="E94" i="34"/>
  <c r="H94" i="34"/>
  <c r="I94" i="34"/>
  <c r="J94" i="34"/>
  <c r="E95" i="34"/>
  <c r="H95" i="34"/>
  <c r="I95" i="34"/>
  <c r="J95" i="34"/>
  <c r="E102" i="34"/>
  <c r="F102" i="34"/>
  <c r="E103" i="34"/>
  <c r="F103" i="34"/>
  <c r="E104" i="34"/>
  <c r="F104" i="34"/>
  <c r="E105" i="34"/>
  <c r="F105" i="34"/>
  <c r="E106" i="34"/>
  <c r="F106" i="34"/>
  <c r="E107" i="34"/>
  <c r="F107" i="34"/>
  <c r="E108" i="34"/>
  <c r="F108" i="34"/>
  <c r="E109" i="34"/>
  <c r="F109" i="34"/>
  <c r="E120" i="34"/>
  <c r="F120" i="34"/>
  <c r="D148" i="34"/>
  <c r="E148" i="34"/>
  <c r="D149" i="34"/>
  <c r="E149" i="34"/>
  <c r="D150" i="34"/>
  <c r="E150" i="34"/>
  <c r="D151" i="34"/>
  <c r="E151" i="34"/>
  <c r="D152" i="34"/>
  <c r="E152" i="34"/>
  <c r="D154" i="34"/>
  <c r="E154" i="34"/>
  <c r="E157" i="34"/>
  <c r="D155" i="34"/>
  <c r="E155" i="34"/>
  <c r="F156" i="34"/>
  <c r="D156" i="34"/>
  <c r="D10" i="35"/>
  <c r="E10" i="35"/>
  <c r="D12" i="35"/>
  <c r="E12" i="35"/>
  <c r="D14" i="35"/>
  <c r="E14" i="35"/>
  <c r="M14" i="35"/>
  <c r="E15" i="35"/>
  <c r="D15" i="35"/>
  <c r="D13" i="35"/>
  <c r="D24" i="35"/>
  <c r="D16" i="35"/>
  <c r="E16" i="35"/>
  <c r="D18" i="35"/>
  <c r="D19" i="35"/>
  <c r="D20" i="35"/>
  <c r="E20" i="35"/>
  <c r="D21" i="35"/>
  <c r="E22" i="35"/>
  <c r="E23" i="35"/>
  <c r="D23" i="35"/>
  <c r="D29" i="35"/>
  <c r="E29" i="35"/>
  <c r="D30" i="35"/>
  <c r="E30" i="35"/>
  <c r="H30" i="35"/>
  <c r="I30" i="35"/>
  <c r="J30" i="35"/>
  <c r="D31" i="35"/>
  <c r="E31" i="35"/>
  <c r="H31" i="35"/>
  <c r="I31" i="35"/>
  <c r="J31" i="35"/>
  <c r="D32" i="35"/>
  <c r="E32" i="35"/>
  <c r="H32" i="35"/>
  <c r="I32" i="35"/>
  <c r="J32" i="35"/>
  <c r="D33" i="35"/>
  <c r="E33" i="35"/>
  <c r="H33" i="35"/>
  <c r="J33" i="35"/>
  <c r="E34" i="35"/>
  <c r="H34" i="35"/>
  <c r="I34" i="35"/>
  <c r="J34" i="35"/>
  <c r="E35" i="35"/>
  <c r="H35" i="35"/>
  <c r="I35" i="35"/>
  <c r="J35" i="35"/>
  <c r="D36" i="35"/>
  <c r="E36" i="35"/>
  <c r="H36" i="35"/>
  <c r="E37" i="35"/>
  <c r="H37" i="35"/>
  <c r="I37" i="35"/>
  <c r="J37" i="35"/>
  <c r="E38" i="35"/>
  <c r="H38" i="35"/>
  <c r="I38" i="35"/>
  <c r="J38" i="35"/>
  <c r="E39" i="35"/>
  <c r="H39" i="35"/>
  <c r="I39" i="35"/>
  <c r="J39" i="35"/>
  <c r="E40" i="35"/>
  <c r="H40" i="35"/>
  <c r="I40" i="35"/>
  <c r="J40" i="35"/>
  <c r="E41" i="35"/>
  <c r="H41" i="35"/>
  <c r="I41" i="35"/>
  <c r="J41" i="35"/>
  <c r="D42" i="35"/>
  <c r="H42" i="35"/>
  <c r="I42" i="35"/>
  <c r="J42" i="35"/>
  <c r="E43" i="35"/>
  <c r="H43" i="35"/>
  <c r="I43" i="35"/>
  <c r="J43" i="35"/>
  <c r="E44" i="35"/>
  <c r="H44" i="35"/>
  <c r="I44" i="35"/>
  <c r="J44" i="35"/>
  <c r="E45" i="35"/>
  <c r="H45" i="35"/>
  <c r="I45" i="35"/>
  <c r="J45" i="35"/>
  <c r="E46" i="35"/>
  <c r="H46" i="35"/>
  <c r="I46" i="35"/>
  <c r="J46" i="35"/>
  <c r="D47" i="35"/>
  <c r="H47" i="35"/>
  <c r="I47" i="35"/>
  <c r="J47" i="35"/>
  <c r="E48" i="35"/>
  <c r="H48" i="35"/>
  <c r="I48" i="35"/>
  <c r="J48" i="35"/>
  <c r="E49" i="35"/>
  <c r="H49" i="35"/>
  <c r="I49" i="35"/>
  <c r="J49" i="35"/>
  <c r="D50" i="35"/>
  <c r="E50" i="35"/>
  <c r="H50" i="35"/>
  <c r="J50" i="35"/>
  <c r="E51" i="35"/>
  <c r="H51" i="35"/>
  <c r="I51" i="35"/>
  <c r="J51" i="35"/>
  <c r="E52" i="35"/>
  <c r="H52" i="35"/>
  <c r="I52" i="35"/>
  <c r="J52" i="35"/>
  <c r="E53" i="35"/>
  <c r="H53" i="35"/>
  <c r="I53" i="35"/>
  <c r="J53" i="35"/>
  <c r="D54" i="35"/>
  <c r="E54" i="35"/>
  <c r="H54" i="35"/>
  <c r="E55" i="35"/>
  <c r="E56" i="35"/>
  <c r="H56" i="35"/>
  <c r="I56" i="35"/>
  <c r="J56" i="35"/>
  <c r="E57" i="35"/>
  <c r="H57" i="35"/>
  <c r="I57" i="35"/>
  <c r="J57" i="35"/>
  <c r="E58" i="35"/>
  <c r="H58" i="35"/>
  <c r="I58" i="35"/>
  <c r="J58" i="35"/>
  <c r="D59" i="35"/>
  <c r="E59" i="35"/>
  <c r="H59" i="35"/>
  <c r="I59" i="35"/>
  <c r="J59" i="35"/>
  <c r="E60" i="35"/>
  <c r="H60" i="35"/>
  <c r="I60" i="35"/>
  <c r="J60" i="35"/>
  <c r="H61" i="35"/>
  <c r="D62" i="35"/>
  <c r="E62" i="35"/>
  <c r="H62" i="35"/>
  <c r="I62" i="35"/>
  <c r="J62" i="35"/>
  <c r="E63" i="35"/>
  <c r="D63" i="35"/>
  <c r="H63" i="35"/>
  <c r="I63" i="35"/>
  <c r="J63" i="35"/>
  <c r="D64" i="35"/>
  <c r="E64" i="35"/>
  <c r="H64" i="35"/>
  <c r="E65" i="35"/>
  <c r="H65" i="35"/>
  <c r="I65" i="35"/>
  <c r="J65" i="35"/>
  <c r="E66" i="35"/>
  <c r="H66" i="35"/>
  <c r="I66" i="35"/>
  <c r="J66" i="35"/>
  <c r="E67" i="35"/>
  <c r="H67" i="35"/>
  <c r="I67" i="35"/>
  <c r="J67" i="35"/>
  <c r="E68" i="35"/>
  <c r="H68" i="35"/>
  <c r="I68" i="35"/>
  <c r="J68" i="35"/>
  <c r="D69" i="35"/>
  <c r="E69" i="35"/>
  <c r="H69" i="35"/>
  <c r="I69" i="35"/>
  <c r="J69" i="35"/>
  <c r="D70" i="35"/>
  <c r="H70" i="35"/>
  <c r="I70" i="35"/>
  <c r="J70" i="35"/>
  <c r="D71" i="35"/>
  <c r="E71" i="35"/>
  <c r="H71" i="35"/>
  <c r="E72" i="35"/>
  <c r="H72" i="35"/>
  <c r="I72" i="35"/>
  <c r="J72" i="35"/>
  <c r="E73" i="35"/>
  <c r="H73" i="35"/>
  <c r="I73" i="35"/>
  <c r="J73" i="35"/>
  <c r="E74" i="35"/>
  <c r="H74" i="35"/>
  <c r="I74" i="35"/>
  <c r="J74" i="35"/>
  <c r="E75" i="35"/>
  <c r="H75" i="35"/>
  <c r="I75" i="35"/>
  <c r="J75" i="35"/>
  <c r="D76" i="35"/>
  <c r="E76" i="35"/>
  <c r="H76" i="35"/>
  <c r="D77" i="35"/>
  <c r="H77" i="35"/>
  <c r="I77" i="35"/>
  <c r="J77" i="35"/>
  <c r="D78" i="35"/>
  <c r="E78" i="35"/>
  <c r="H78" i="35"/>
  <c r="I78" i="35"/>
  <c r="J78" i="35"/>
  <c r="H79" i="35"/>
  <c r="D80" i="35"/>
  <c r="E80" i="35"/>
  <c r="H80" i="35"/>
  <c r="I80" i="35"/>
  <c r="J80" i="35"/>
  <c r="E81" i="35"/>
  <c r="D81" i="35"/>
  <c r="D79" i="35"/>
  <c r="H81" i="35"/>
  <c r="I81" i="35"/>
  <c r="J81" i="35"/>
  <c r="D82" i="35"/>
  <c r="E82" i="35"/>
  <c r="H82" i="35"/>
  <c r="D83" i="35"/>
  <c r="E83" i="35"/>
  <c r="H83" i="35"/>
  <c r="I83" i="35"/>
  <c r="J83" i="35"/>
  <c r="D84" i="35"/>
  <c r="E84" i="35"/>
  <c r="H84" i="35"/>
  <c r="I84" i="35"/>
  <c r="J84" i="35"/>
  <c r="D85" i="35"/>
  <c r="E85" i="35"/>
  <c r="H85" i="35"/>
  <c r="I85" i="35"/>
  <c r="J85" i="35"/>
  <c r="D86" i="35"/>
  <c r="E86" i="35"/>
  <c r="H86" i="35"/>
  <c r="I86" i="35"/>
  <c r="J86" i="35"/>
  <c r="D87" i="35"/>
  <c r="E87" i="35"/>
  <c r="H87" i="35"/>
  <c r="E88" i="35"/>
  <c r="H88" i="35"/>
  <c r="I88" i="35"/>
  <c r="J88" i="35"/>
  <c r="E89" i="35"/>
  <c r="H89" i="35"/>
  <c r="I89" i="35"/>
  <c r="J89" i="35"/>
  <c r="E90" i="35"/>
  <c r="H90" i="35"/>
  <c r="I90" i="35"/>
  <c r="J90" i="35"/>
  <c r="E91" i="35"/>
  <c r="H91" i="35"/>
  <c r="I91" i="35"/>
  <c r="J91" i="35"/>
  <c r="E92" i="35"/>
  <c r="H92" i="35"/>
  <c r="I92" i="35"/>
  <c r="J92" i="35"/>
  <c r="E93" i="35"/>
  <c r="H93" i="35"/>
  <c r="I93" i="35"/>
  <c r="J93" i="35"/>
  <c r="E94" i="35"/>
  <c r="H94" i="35"/>
  <c r="I94" i="35"/>
  <c r="J94" i="35"/>
  <c r="E95" i="35"/>
  <c r="H95" i="35"/>
  <c r="I95" i="35"/>
  <c r="J95" i="35"/>
  <c r="E96" i="35"/>
  <c r="H96" i="35"/>
  <c r="I96" i="35"/>
  <c r="J96" i="35"/>
  <c r="E97" i="35"/>
  <c r="H97" i="35"/>
  <c r="I97" i="35"/>
  <c r="J97" i="35"/>
  <c r="E98" i="35"/>
  <c r="H98" i="35"/>
  <c r="I98" i="35"/>
  <c r="J98" i="35"/>
  <c r="E99" i="35"/>
  <c r="H99" i="35"/>
  <c r="I99" i="35"/>
  <c r="J99" i="35"/>
  <c r="E100" i="35"/>
  <c r="H100" i="35"/>
  <c r="I100" i="35"/>
  <c r="J100" i="35"/>
  <c r="E101" i="35"/>
  <c r="H101" i="35"/>
  <c r="I101" i="35"/>
  <c r="J101" i="35"/>
  <c r="D102" i="35"/>
  <c r="E102" i="35"/>
  <c r="J102" i="35"/>
  <c r="E103" i="35"/>
  <c r="H103" i="35"/>
  <c r="I103" i="35"/>
  <c r="J103" i="35"/>
  <c r="E104" i="35"/>
  <c r="H104" i="35"/>
  <c r="I104" i="35"/>
  <c r="J104" i="35"/>
  <c r="D105" i="35"/>
  <c r="E105" i="35"/>
  <c r="H105" i="35"/>
  <c r="E106" i="35"/>
  <c r="H106" i="35"/>
  <c r="I106" i="35"/>
  <c r="J106" i="35"/>
  <c r="E107" i="35"/>
  <c r="H107" i="35"/>
  <c r="I107" i="35"/>
  <c r="J107" i="35"/>
  <c r="E108" i="35"/>
  <c r="H108" i="35"/>
  <c r="I108" i="35"/>
  <c r="J108" i="35"/>
  <c r="E109" i="35"/>
  <c r="H109" i="35"/>
  <c r="I109" i="35"/>
  <c r="J109" i="35"/>
  <c r="E110" i="35"/>
  <c r="H110" i="35"/>
  <c r="I110" i="35"/>
  <c r="J110" i="35"/>
  <c r="E111" i="35"/>
  <c r="H111" i="35"/>
  <c r="I111" i="35"/>
  <c r="J111" i="35"/>
  <c r="E112" i="35"/>
  <c r="H112" i="35"/>
  <c r="I112" i="35"/>
  <c r="J112" i="35"/>
  <c r="E113" i="35"/>
  <c r="H113" i="35"/>
  <c r="I113" i="35"/>
  <c r="J113" i="35"/>
  <c r="D114" i="35"/>
  <c r="E114" i="35"/>
  <c r="H114" i="35"/>
  <c r="E115" i="35"/>
  <c r="H115" i="35"/>
  <c r="I115" i="35"/>
  <c r="J115" i="35"/>
  <c r="E116" i="35"/>
  <c r="H116" i="35"/>
  <c r="I116" i="35"/>
  <c r="J116" i="35"/>
  <c r="E117" i="35"/>
  <c r="H117" i="35"/>
  <c r="I117" i="35"/>
  <c r="J117" i="35"/>
  <c r="E118" i="35"/>
  <c r="H118" i="35"/>
  <c r="I118" i="35"/>
  <c r="J118" i="35"/>
  <c r="E119" i="35"/>
  <c r="H119" i="35"/>
  <c r="I119" i="35"/>
  <c r="J119" i="35"/>
  <c r="E120" i="35"/>
  <c r="H120" i="35"/>
  <c r="I120" i="35"/>
  <c r="J120" i="35"/>
  <c r="E121" i="35"/>
  <c r="H121" i="35"/>
  <c r="I121" i="35"/>
  <c r="J121" i="35"/>
  <c r="E122" i="35"/>
  <c r="H122" i="35"/>
  <c r="I122" i="35"/>
  <c r="J122" i="35"/>
  <c r="E123" i="35"/>
  <c r="H123" i="35"/>
  <c r="I123" i="35"/>
  <c r="J123" i="35"/>
  <c r="E124" i="35"/>
  <c r="H124" i="35"/>
  <c r="I124" i="35"/>
  <c r="J124" i="35"/>
  <c r="E125" i="35"/>
  <c r="H125" i="35"/>
  <c r="I125" i="35"/>
  <c r="J125" i="35"/>
  <c r="N125" i="35"/>
  <c r="E126" i="35"/>
  <c r="H126" i="35"/>
  <c r="I126" i="35"/>
  <c r="J126" i="35"/>
  <c r="E127" i="35"/>
  <c r="H127" i="35"/>
  <c r="I127" i="35"/>
  <c r="J127" i="35"/>
  <c r="E128" i="35"/>
  <c r="H128" i="35"/>
  <c r="I128" i="35"/>
  <c r="J128" i="35"/>
  <c r="E129" i="35"/>
  <c r="H129" i="35"/>
  <c r="I129" i="35"/>
  <c r="J129" i="35"/>
  <c r="E130" i="35"/>
  <c r="H130" i="35"/>
  <c r="I130" i="35"/>
  <c r="J130" i="35"/>
  <c r="D131" i="35"/>
  <c r="E131" i="35"/>
  <c r="H131" i="35"/>
  <c r="D132" i="35"/>
  <c r="H132" i="35"/>
  <c r="I132" i="35"/>
  <c r="J132" i="35"/>
  <c r="D133" i="35"/>
  <c r="H133" i="35"/>
  <c r="I133" i="35"/>
  <c r="J133" i="35"/>
  <c r="D134" i="35"/>
  <c r="H134" i="35"/>
  <c r="I134" i="35"/>
  <c r="J134" i="35"/>
  <c r="D135" i="35"/>
  <c r="H135" i="35"/>
  <c r="I135" i="35"/>
  <c r="J135" i="35"/>
  <c r="E136" i="35"/>
  <c r="H136" i="35"/>
  <c r="I136" i="35"/>
  <c r="J136" i="35"/>
  <c r="E137" i="35"/>
  <c r="H137" i="35"/>
  <c r="I137" i="35"/>
  <c r="J137" i="35"/>
  <c r="E138" i="35"/>
  <c r="H138" i="35"/>
  <c r="I138" i="35"/>
  <c r="J138" i="35"/>
  <c r="E139" i="35"/>
  <c r="H139" i="35"/>
  <c r="I139" i="35"/>
  <c r="J139" i="35"/>
  <c r="H140" i="35"/>
  <c r="I140" i="35"/>
  <c r="J140" i="35"/>
  <c r="D141" i="35"/>
  <c r="E141" i="35"/>
  <c r="H141" i="35"/>
  <c r="D142" i="35"/>
  <c r="H142" i="35"/>
  <c r="I142" i="35"/>
  <c r="J142" i="35"/>
  <c r="E149" i="35"/>
  <c r="F149" i="35"/>
  <c r="E150" i="35"/>
  <c r="F150" i="35"/>
  <c r="E151" i="35"/>
  <c r="F151" i="35"/>
  <c r="F166" i="35"/>
  <c r="F167" i="35"/>
  <c r="E152" i="35"/>
  <c r="F152" i="35"/>
  <c r="E153" i="35"/>
  <c r="F153" i="35"/>
  <c r="E154" i="35"/>
  <c r="E166" i="35"/>
  <c r="E167" i="35"/>
  <c r="F154" i="35"/>
  <c r="E155" i="35"/>
  <c r="F155" i="35"/>
  <c r="E156" i="35"/>
  <c r="F156" i="35"/>
  <c r="E157" i="35"/>
  <c r="F157" i="35"/>
  <c r="E158" i="35"/>
  <c r="F158" i="35"/>
  <c r="E159" i="35"/>
  <c r="F159" i="35"/>
  <c r="E164" i="35"/>
  <c r="F164" i="35"/>
  <c r="E169" i="35"/>
  <c r="F169" i="35"/>
  <c r="E177" i="35"/>
  <c r="D10" i="38"/>
  <c r="E10" i="38"/>
  <c r="E13" i="38"/>
  <c r="M13" i="38"/>
  <c r="E14" i="38"/>
  <c r="D14" i="38"/>
  <c r="E15" i="38"/>
  <c r="D17" i="38"/>
  <c r="D18" i="38"/>
  <c r="D19" i="38"/>
  <c r="E19" i="38"/>
  <c r="D20" i="38"/>
  <c r="D26" i="38"/>
  <c r="E26" i="38"/>
  <c r="E27" i="38"/>
  <c r="H27" i="38"/>
  <c r="I27" i="38"/>
  <c r="J27" i="38"/>
  <c r="E28" i="38"/>
  <c r="H28" i="38"/>
  <c r="I28" i="38"/>
  <c r="J28" i="38"/>
  <c r="E29" i="38"/>
  <c r="H29" i="38"/>
  <c r="I29" i="38"/>
  <c r="J29" i="38"/>
  <c r="D30" i="38"/>
  <c r="E30" i="38"/>
  <c r="J30" i="38"/>
  <c r="E31" i="38"/>
  <c r="H31" i="38"/>
  <c r="I31" i="38"/>
  <c r="J31" i="38"/>
  <c r="E32" i="38"/>
  <c r="H32" i="38"/>
  <c r="I32" i="38"/>
  <c r="J32" i="38"/>
  <c r="D33" i="38"/>
  <c r="E33" i="38"/>
  <c r="J33" i="38"/>
  <c r="D34" i="38"/>
  <c r="E34" i="38"/>
  <c r="H34" i="38"/>
  <c r="I34" i="38"/>
  <c r="J34" i="38"/>
  <c r="D35" i="38"/>
  <c r="E35" i="38"/>
  <c r="H35" i="38"/>
  <c r="I35" i="38"/>
  <c r="J35" i="38"/>
  <c r="D36" i="38"/>
  <c r="E36" i="38"/>
  <c r="E37" i="38"/>
  <c r="H37" i="38"/>
  <c r="I37" i="38"/>
  <c r="J37" i="38"/>
  <c r="E38" i="38"/>
  <c r="H38" i="38"/>
  <c r="I38" i="38"/>
  <c r="J38" i="38"/>
  <c r="E39" i="38"/>
  <c r="H39" i="38"/>
  <c r="I39" i="38"/>
  <c r="J39" i="38"/>
  <c r="E40" i="38"/>
  <c r="H40" i="38"/>
  <c r="I40" i="38"/>
  <c r="J40" i="38"/>
  <c r="D41" i="38"/>
  <c r="E41" i="38"/>
  <c r="H41" i="38"/>
  <c r="I41" i="38"/>
  <c r="J41" i="38"/>
  <c r="E42" i="38"/>
  <c r="H42" i="38"/>
  <c r="I42" i="38"/>
  <c r="J42" i="38"/>
  <c r="E43" i="38"/>
  <c r="D44" i="38"/>
  <c r="E44" i="38"/>
  <c r="H44" i="38"/>
  <c r="I44" i="38"/>
  <c r="J44" i="38"/>
  <c r="E45" i="38"/>
  <c r="D45" i="38"/>
  <c r="H45" i="38"/>
  <c r="I45" i="38"/>
  <c r="J45" i="38"/>
  <c r="D46" i="38"/>
  <c r="E46" i="38"/>
  <c r="D47" i="38"/>
  <c r="E47" i="38"/>
  <c r="H47" i="38"/>
  <c r="I47" i="38"/>
  <c r="J47" i="38"/>
  <c r="E48" i="38"/>
  <c r="H48" i="38"/>
  <c r="I48" i="38"/>
  <c r="J48" i="38"/>
  <c r="E49" i="38"/>
  <c r="H49" i="38"/>
  <c r="I49" i="38"/>
  <c r="J49" i="38"/>
  <c r="E50" i="38"/>
  <c r="H50" i="38"/>
  <c r="I50" i="38"/>
  <c r="J50" i="38"/>
  <c r="E51" i="38"/>
  <c r="H51" i="38"/>
  <c r="I51" i="38"/>
  <c r="J51" i="38"/>
  <c r="D52" i="38"/>
  <c r="H52" i="38"/>
  <c r="I52" i="38"/>
  <c r="J52" i="38"/>
  <c r="D53" i="38"/>
  <c r="E53" i="38"/>
  <c r="E54" i="38"/>
  <c r="H54" i="38"/>
  <c r="I54" i="38"/>
  <c r="J54" i="38"/>
  <c r="E55" i="38"/>
  <c r="H55" i="38"/>
  <c r="I55" i="38"/>
  <c r="J55" i="38"/>
  <c r="E56" i="38"/>
  <c r="H56" i="38"/>
  <c r="I56" i="38"/>
  <c r="J56" i="38"/>
  <c r="E57" i="38"/>
  <c r="H57" i="38"/>
  <c r="I57" i="38"/>
  <c r="J57" i="38"/>
  <c r="E58" i="38"/>
  <c r="H58" i="38"/>
  <c r="I58" i="38"/>
  <c r="J58" i="38"/>
  <c r="E59" i="38"/>
  <c r="H59" i="38"/>
  <c r="I59" i="38"/>
  <c r="J59" i="38"/>
  <c r="D60" i="38"/>
  <c r="H60" i="38"/>
  <c r="I60" i="38"/>
  <c r="J60" i="38"/>
  <c r="D61" i="38"/>
  <c r="E61" i="38"/>
  <c r="E62" i="38"/>
  <c r="H62" i="38"/>
  <c r="I62" i="38"/>
  <c r="J62" i="38"/>
  <c r="E63" i="38"/>
  <c r="H63" i="38"/>
  <c r="I63" i="38"/>
  <c r="J63" i="38"/>
  <c r="E64" i="38"/>
  <c r="H64" i="38"/>
  <c r="I64" i="38"/>
  <c r="J64" i="38"/>
  <c r="E65" i="38"/>
  <c r="H65" i="38"/>
  <c r="I65" i="38"/>
  <c r="J65" i="38"/>
  <c r="D66" i="38"/>
  <c r="E66" i="38"/>
  <c r="D67" i="38"/>
  <c r="H67" i="38"/>
  <c r="I67" i="38"/>
  <c r="J67" i="38"/>
  <c r="D68" i="38"/>
  <c r="E68" i="38"/>
  <c r="H68" i="38"/>
  <c r="I68" i="38"/>
  <c r="J68" i="38"/>
  <c r="D70" i="38"/>
  <c r="E70" i="38"/>
  <c r="H70" i="38"/>
  <c r="I70" i="38"/>
  <c r="J70" i="38"/>
  <c r="E71" i="38"/>
  <c r="E69" i="38"/>
  <c r="H71" i="38"/>
  <c r="I71" i="38"/>
  <c r="J71" i="38"/>
  <c r="D72" i="38"/>
  <c r="E72" i="38"/>
  <c r="D73" i="38"/>
  <c r="E73" i="38"/>
  <c r="H73" i="38"/>
  <c r="I73" i="38"/>
  <c r="J73" i="38"/>
  <c r="D74" i="38"/>
  <c r="E74" i="38"/>
  <c r="H74" i="38"/>
  <c r="I74" i="38"/>
  <c r="J74" i="38"/>
  <c r="E75" i="38"/>
  <c r="H75" i="38"/>
  <c r="I75" i="38"/>
  <c r="J75" i="38"/>
  <c r="E76" i="38"/>
  <c r="H76" i="38"/>
  <c r="I76" i="38"/>
  <c r="J76" i="38"/>
  <c r="D77" i="38"/>
  <c r="E77" i="38"/>
  <c r="J77" i="38"/>
  <c r="E78" i="38"/>
  <c r="H78" i="38"/>
  <c r="I78" i="38"/>
  <c r="J78" i="38"/>
  <c r="E79" i="38"/>
  <c r="H79" i="38"/>
  <c r="I79" i="38"/>
  <c r="J79" i="38"/>
  <c r="D80" i="38"/>
  <c r="E80" i="38"/>
  <c r="E81" i="38"/>
  <c r="H81" i="38"/>
  <c r="I81" i="38"/>
  <c r="J81" i="38"/>
  <c r="E82" i="38"/>
  <c r="H82" i="38"/>
  <c r="I82" i="38"/>
  <c r="J82" i="38"/>
  <c r="E83" i="38"/>
  <c r="H83" i="38"/>
  <c r="I83" i="38"/>
  <c r="J83" i="38"/>
  <c r="E84" i="38"/>
  <c r="H84" i="38"/>
  <c r="I84" i="38"/>
  <c r="J84" i="38"/>
  <c r="E85" i="38"/>
  <c r="H85" i="38"/>
  <c r="I85" i="38"/>
  <c r="J85" i="38"/>
  <c r="D86" i="38"/>
  <c r="E86" i="38"/>
  <c r="E87" i="38"/>
  <c r="H87" i="38"/>
  <c r="I87" i="38"/>
  <c r="J87" i="38"/>
  <c r="E88" i="38"/>
  <c r="H88" i="38"/>
  <c r="I88" i="38"/>
  <c r="J88" i="38"/>
  <c r="E89" i="38"/>
  <c r="H89" i="38"/>
  <c r="I89" i="38"/>
  <c r="J89" i="38"/>
  <c r="E90" i="38"/>
  <c r="H90" i="38"/>
  <c r="I90" i="38"/>
  <c r="J90" i="38"/>
  <c r="E91" i="38"/>
  <c r="H91" i="38"/>
  <c r="I91" i="38"/>
  <c r="J91" i="38"/>
  <c r="E92" i="38"/>
  <c r="H92" i="38"/>
  <c r="I92" i="38"/>
  <c r="J92" i="38"/>
  <c r="E93" i="38"/>
  <c r="H93" i="38"/>
  <c r="I93" i="38"/>
  <c r="J93" i="38"/>
  <c r="E94" i="38"/>
  <c r="H94" i="38"/>
  <c r="I94" i="38"/>
  <c r="J94" i="38"/>
  <c r="E95" i="38"/>
  <c r="H95" i="38"/>
  <c r="I95" i="38"/>
  <c r="J95" i="38"/>
  <c r="E96" i="38"/>
  <c r="H96" i="38"/>
  <c r="I96" i="38"/>
  <c r="J96" i="38"/>
  <c r="E97" i="38"/>
  <c r="H97" i="38"/>
  <c r="I97" i="38"/>
  <c r="J97" i="38"/>
  <c r="E98" i="38"/>
  <c r="H98" i="38"/>
  <c r="I98" i="38"/>
  <c r="J98" i="38"/>
  <c r="E99" i="38"/>
  <c r="H99" i="38"/>
  <c r="I99" i="38"/>
  <c r="J99" i="38"/>
  <c r="E100" i="38"/>
  <c r="H100" i="38"/>
  <c r="I100" i="38"/>
  <c r="J100" i="38"/>
  <c r="E101" i="38"/>
  <c r="H101" i="38"/>
  <c r="I101" i="38"/>
  <c r="J101" i="38"/>
  <c r="E102" i="38"/>
  <c r="H102" i="38"/>
  <c r="I102" i="38"/>
  <c r="J102" i="38"/>
  <c r="E103" i="38"/>
  <c r="H103" i="38"/>
  <c r="I103" i="38"/>
  <c r="J103" i="38"/>
  <c r="D104" i="38"/>
  <c r="E104" i="38"/>
  <c r="E105" i="38"/>
  <c r="H105" i="38"/>
  <c r="I105" i="38"/>
  <c r="J105" i="38"/>
  <c r="E106" i="38"/>
  <c r="H106" i="38"/>
  <c r="I106" i="38"/>
  <c r="J106" i="38"/>
  <c r="E107" i="38"/>
  <c r="H107" i="38"/>
  <c r="I107" i="38"/>
  <c r="J107" i="38"/>
  <c r="E108" i="38"/>
  <c r="H108" i="38"/>
  <c r="I108" i="38"/>
  <c r="J108" i="38"/>
  <c r="E109" i="38"/>
  <c r="H109" i="38"/>
  <c r="I109" i="38"/>
  <c r="J109" i="38"/>
  <c r="E110" i="38"/>
  <c r="H110" i="38"/>
  <c r="I110" i="38"/>
  <c r="J110" i="38"/>
  <c r="E111" i="38"/>
  <c r="H111" i="38"/>
  <c r="I111" i="38"/>
  <c r="J111" i="38"/>
  <c r="E112" i="38"/>
  <c r="H112" i="38"/>
  <c r="I112" i="38"/>
  <c r="J112" i="38"/>
  <c r="E113" i="38"/>
  <c r="H113" i="38"/>
  <c r="I113" i="38"/>
  <c r="J113" i="38"/>
  <c r="E114" i="38"/>
  <c r="H114" i="38"/>
  <c r="I114" i="38"/>
  <c r="J114" i="38"/>
  <c r="E115" i="38"/>
  <c r="H115" i="38"/>
  <c r="I115" i="38"/>
  <c r="J115" i="38"/>
  <c r="E116" i="38"/>
  <c r="H116" i="38"/>
  <c r="I116" i="38"/>
  <c r="J116" i="38"/>
  <c r="E117" i="38"/>
  <c r="H117" i="38"/>
  <c r="I117" i="38"/>
  <c r="J117" i="38"/>
  <c r="E118" i="38"/>
  <c r="H118" i="38"/>
  <c r="I118" i="38"/>
  <c r="J118" i="38"/>
  <c r="N118" i="38"/>
  <c r="E119" i="38"/>
  <c r="H119" i="38"/>
  <c r="I119" i="38"/>
  <c r="J119" i="38"/>
  <c r="E120" i="38"/>
  <c r="H120" i="38"/>
  <c r="I120" i="38"/>
  <c r="J120" i="38"/>
  <c r="E121" i="38"/>
  <c r="H121" i="38"/>
  <c r="I121" i="38"/>
  <c r="J121" i="38"/>
  <c r="D122" i="38"/>
  <c r="E122" i="38"/>
  <c r="D123" i="38"/>
  <c r="H123" i="38"/>
  <c r="I123" i="38"/>
  <c r="J123" i="38"/>
  <c r="D124" i="38"/>
  <c r="H124" i="38"/>
  <c r="I124" i="38"/>
  <c r="J124" i="38"/>
  <c r="E125" i="38"/>
  <c r="H125" i="38"/>
  <c r="I125" i="38"/>
  <c r="J125" i="38"/>
  <c r="E126" i="38"/>
  <c r="H126" i="38"/>
  <c r="I126" i="38"/>
  <c r="J126" i="38"/>
  <c r="E127" i="38"/>
  <c r="H127" i="38"/>
  <c r="I127" i="38"/>
  <c r="J127" i="38"/>
  <c r="H128" i="38"/>
  <c r="I128" i="38"/>
  <c r="J128" i="38"/>
  <c r="D129" i="38"/>
  <c r="E129" i="38"/>
  <c r="E130" i="38"/>
  <c r="H130" i="38"/>
  <c r="I130" i="38"/>
  <c r="J130" i="38"/>
  <c r="E137" i="38"/>
  <c r="F137" i="38"/>
  <c r="E138" i="38"/>
  <c r="F138" i="38"/>
  <c r="E139" i="38"/>
  <c r="F139" i="38"/>
  <c r="E140" i="38"/>
  <c r="F140" i="38"/>
  <c r="E141" i="38"/>
  <c r="F141" i="38"/>
  <c r="E142" i="38"/>
  <c r="F142" i="38"/>
  <c r="E143" i="38"/>
  <c r="F143" i="38"/>
  <c r="E144" i="38"/>
  <c r="F144" i="38"/>
  <c r="E145" i="38"/>
  <c r="F145" i="38"/>
  <c r="E146" i="38"/>
  <c r="F146" i="38"/>
  <c r="E147" i="38"/>
  <c r="F147" i="38"/>
  <c r="E148" i="38"/>
  <c r="F148" i="38"/>
  <c r="E153" i="38"/>
  <c r="F153" i="38"/>
  <c r="E158" i="38"/>
  <c r="F158" i="38"/>
  <c r="D10" i="39"/>
  <c r="E10" i="39"/>
  <c r="D13" i="39"/>
  <c r="E13" i="39"/>
  <c r="D14" i="39"/>
  <c r="E14" i="39"/>
  <c r="D15" i="39"/>
  <c r="G15" i="39"/>
  <c r="E16" i="39"/>
  <c r="E17" i="39"/>
  <c r="D17" i="39"/>
  <c r="E18" i="39"/>
  <c r="G18" i="39"/>
  <c r="D19" i="39"/>
  <c r="E19" i="39"/>
  <c r="G19" i="39"/>
  <c r="D25" i="39"/>
  <c r="E25" i="39"/>
  <c r="E26" i="39"/>
  <c r="H26" i="39"/>
  <c r="I26" i="39"/>
  <c r="J26" i="39"/>
  <c r="E27" i="39"/>
  <c r="H27" i="39"/>
  <c r="I27" i="39"/>
  <c r="J27" i="39"/>
  <c r="E28" i="39"/>
  <c r="H28" i="39"/>
  <c r="I28" i="39"/>
  <c r="J28" i="39"/>
  <c r="D29" i="39"/>
  <c r="E29" i="39"/>
  <c r="J29" i="39"/>
  <c r="E30" i="39"/>
  <c r="H30" i="39"/>
  <c r="I30" i="39"/>
  <c r="J30" i="39"/>
  <c r="E31" i="39"/>
  <c r="H31" i="39"/>
  <c r="I31" i="39"/>
  <c r="J31" i="39"/>
  <c r="E32" i="39"/>
  <c r="H32" i="39"/>
  <c r="I32" i="39"/>
  <c r="J32" i="39"/>
  <c r="D33" i="39"/>
  <c r="E33" i="39"/>
  <c r="J33" i="39"/>
  <c r="D34" i="39"/>
  <c r="E34" i="39"/>
  <c r="H34" i="39"/>
  <c r="I34" i="39"/>
  <c r="J34" i="39"/>
  <c r="D35" i="39"/>
  <c r="E35" i="39"/>
  <c r="H35" i="39"/>
  <c r="I35" i="39"/>
  <c r="J35" i="39"/>
  <c r="D36" i="39"/>
  <c r="E36" i="39"/>
  <c r="H36" i="39"/>
  <c r="I36" i="39"/>
  <c r="J36" i="39"/>
  <c r="D37" i="39"/>
  <c r="E37" i="39"/>
  <c r="H37" i="39"/>
  <c r="I37" i="39"/>
  <c r="J37" i="39"/>
  <c r="D38" i="39"/>
  <c r="E38" i="39"/>
  <c r="H38" i="39"/>
  <c r="I38" i="39"/>
  <c r="J38" i="39"/>
  <c r="E39" i="39"/>
  <c r="H39" i="39"/>
  <c r="I39" i="39"/>
  <c r="J39" i="39"/>
  <c r="D40" i="39"/>
  <c r="E40" i="39"/>
  <c r="H40" i="39"/>
  <c r="I40" i="39"/>
  <c r="J40" i="39"/>
  <c r="D41" i="39"/>
  <c r="E41" i="39"/>
  <c r="E42" i="39"/>
  <c r="H42" i="39"/>
  <c r="I42" i="39"/>
  <c r="J42" i="39"/>
  <c r="E43" i="39"/>
  <c r="H43" i="39"/>
  <c r="I43" i="39"/>
  <c r="J43" i="39"/>
  <c r="E44" i="39"/>
  <c r="H44" i="39"/>
  <c r="I44" i="39"/>
  <c r="J44" i="39"/>
  <c r="E45" i="39"/>
  <c r="H45" i="39"/>
  <c r="I45" i="39"/>
  <c r="J45" i="39"/>
  <c r="E46" i="39"/>
  <c r="H46" i="39"/>
  <c r="I46" i="39"/>
  <c r="J46" i="39"/>
  <c r="E47" i="39"/>
  <c r="H47" i="39"/>
  <c r="I47" i="39"/>
  <c r="J47" i="39"/>
  <c r="D49" i="39"/>
  <c r="E49" i="39"/>
  <c r="H49" i="39"/>
  <c r="I49" i="39"/>
  <c r="J49" i="39"/>
  <c r="E50" i="39"/>
  <c r="H50" i="39"/>
  <c r="I50" i="39"/>
  <c r="J50" i="39"/>
  <c r="D51" i="39"/>
  <c r="E51" i="39"/>
  <c r="E52" i="39"/>
  <c r="H52" i="39"/>
  <c r="I52" i="39"/>
  <c r="J52" i="39"/>
  <c r="E53" i="39"/>
  <c r="H53" i="39"/>
  <c r="I53" i="39"/>
  <c r="J53" i="39"/>
  <c r="E54" i="39"/>
  <c r="H54" i="39"/>
  <c r="I54" i="39"/>
  <c r="J54" i="39"/>
  <c r="E55" i="39"/>
  <c r="H55" i="39"/>
  <c r="I55" i="39"/>
  <c r="J55" i="39"/>
  <c r="E56" i="39"/>
  <c r="H56" i="39"/>
  <c r="I56" i="39"/>
  <c r="J56" i="39"/>
  <c r="E57" i="39"/>
  <c r="H57" i="39"/>
  <c r="I57" i="39"/>
  <c r="J57" i="39"/>
  <c r="E58" i="39"/>
  <c r="H58" i="39"/>
  <c r="I58" i="39"/>
  <c r="J58" i="39"/>
  <c r="D59" i="39"/>
  <c r="E59" i="39"/>
  <c r="E60" i="39"/>
  <c r="H60" i="39"/>
  <c r="I60" i="39"/>
  <c r="J60" i="39"/>
  <c r="E61" i="39"/>
  <c r="H61" i="39"/>
  <c r="I61" i="39"/>
  <c r="J61" i="39"/>
  <c r="E62" i="39"/>
  <c r="H62" i="39"/>
  <c r="I62" i="39"/>
  <c r="J62" i="39"/>
  <c r="E63" i="39"/>
  <c r="H63" i="39"/>
  <c r="I63" i="39"/>
  <c r="J63" i="39"/>
  <c r="D64" i="39"/>
  <c r="E64" i="39"/>
  <c r="E65" i="39"/>
  <c r="H65" i="39"/>
  <c r="I65" i="39"/>
  <c r="J65" i="39"/>
  <c r="E66" i="39"/>
  <c r="H66" i="39"/>
  <c r="I66" i="39"/>
  <c r="J66" i="39"/>
  <c r="E67" i="39"/>
  <c r="H67" i="39"/>
  <c r="I67" i="39"/>
  <c r="J67" i="39"/>
  <c r="E68" i="39"/>
  <c r="H68" i="39"/>
  <c r="I68" i="39"/>
  <c r="J68" i="39"/>
  <c r="D69" i="39"/>
  <c r="E69" i="39"/>
  <c r="H69" i="39"/>
  <c r="I69" i="39"/>
  <c r="J69" i="39"/>
  <c r="E70" i="39"/>
  <c r="D71" i="39"/>
  <c r="E71" i="39"/>
  <c r="H71" i="39"/>
  <c r="I71" i="39"/>
  <c r="J71" i="39"/>
  <c r="E72" i="39"/>
  <c r="D72" i="39"/>
  <c r="H72" i="39"/>
  <c r="I72" i="39"/>
  <c r="J72" i="39"/>
  <c r="D73" i="39"/>
  <c r="E73" i="39"/>
  <c r="D74" i="39"/>
  <c r="E74" i="39"/>
  <c r="H74" i="39"/>
  <c r="I74" i="39"/>
  <c r="J74" i="39"/>
  <c r="D75" i="39"/>
  <c r="E75" i="39"/>
  <c r="H75" i="39"/>
  <c r="I75" i="39"/>
  <c r="J75" i="39"/>
  <c r="D76" i="39"/>
  <c r="E76" i="39"/>
  <c r="H76" i="39"/>
  <c r="I76" i="39"/>
  <c r="J76" i="39"/>
  <c r="D77" i="39"/>
  <c r="E77" i="39"/>
  <c r="H77" i="39"/>
  <c r="I77" i="39"/>
  <c r="J77" i="39"/>
  <c r="D78" i="39"/>
  <c r="E78" i="39"/>
  <c r="J78" i="39"/>
  <c r="E79" i="39"/>
  <c r="H79" i="39"/>
  <c r="I79" i="39"/>
  <c r="J79" i="39"/>
  <c r="E80" i="39"/>
  <c r="H80" i="39"/>
  <c r="I80" i="39"/>
  <c r="J80" i="39"/>
  <c r="D81" i="39"/>
  <c r="E81" i="39"/>
  <c r="E82" i="39"/>
  <c r="H82" i="39"/>
  <c r="I82" i="39"/>
  <c r="J82" i="39"/>
  <c r="E83" i="39"/>
  <c r="H83" i="39"/>
  <c r="I83" i="39"/>
  <c r="J83" i="39"/>
  <c r="E84" i="39"/>
  <c r="H84" i="39"/>
  <c r="I84" i="39"/>
  <c r="J84" i="39"/>
  <c r="E85" i="39"/>
  <c r="H85" i="39"/>
  <c r="I85" i="39"/>
  <c r="J85" i="39"/>
  <c r="E86" i="39"/>
  <c r="H86" i="39"/>
  <c r="I86" i="39"/>
  <c r="J86" i="39"/>
  <c r="D87" i="39"/>
  <c r="E87" i="39"/>
  <c r="E88" i="39"/>
  <c r="H88" i="39"/>
  <c r="I88" i="39"/>
  <c r="J88" i="39"/>
  <c r="E89" i="39"/>
  <c r="H89" i="39"/>
  <c r="I89" i="39"/>
  <c r="J89" i="39"/>
  <c r="E90" i="39"/>
  <c r="H90" i="39"/>
  <c r="I90" i="39"/>
  <c r="J90" i="39"/>
  <c r="E91" i="39"/>
  <c r="H91" i="39"/>
  <c r="I91" i="39"/>
  <c r="J91" i="39"/>
  <c r="E92" i="39"/>
  <c r="H92" i="39"/>
  <c r="I92" i="39"/>
  <c r="J92" i="39"/>
  <c r="E93" i="39"/>
  <c r="H93" i="39"/>
  <c r="I93" i="39"/>
  <c r="J93" i="39"/>
  <c r="D94" i="39"/>
  <c r="E94" i="39"/>
  <c r="H94" i="39"/>
  <c r="I94" i="39"/>
  <c r="J94" i="39"/>
  <c r="E95" i="39"/>
  <c r="H95" i="39"/>
  <c r="I95" i="39"/>
  <c r="J95" i="39"/>
  <c r="E96" i="39"/>
  <c r="H96" i="39"/>
  <c r="I96" i="39"/>
  <c r="J96" i="39"/>
  <c r="E97" i="39"/>
  <c r="H97" i="39"/>
  <c r="I97" i="39"/>
  <c r="J97" i="39"/>
  <c r="E98" i="39"/>
  <c r="H98" i="39"/>
  <c r="I98" i="39"/>
  <c r="J98" i="39"/>
  <c r="E99" i="39"/>
  <c r="H99" i="39"/>
  <c r="I99" i="39"/>
  <c r="J99" i="39"/>
  <c r="E100" i="39"/>
  <c r="H100" i="39"/>
  <c r="I100" i="39"/>
  <c r="J100" i="39"/>
  <c r="N100" i="39"/>
  <c r="E101" i="39"/>
  <c r="H101" i="39"/>
  <c r="I101" i="39"/>
  <c r="J101" i="39"/>
  <c r="E102" i="39"/>
  <c r="H102" i="39"/>
  <c r="I102" i="39"/>
  <c r="J102" i="39"/>
  <c r="E103" i="39"/>
  <c r="H103" i="39"/>
  <c r="I103" i="39"/>
  <c r="J103" i="39"/>
  <c r="D104" i="39"/>
  <c r="E104" i="39"/>
  <c r="D105" i="39"/>
  <c r="H105" i="39"/>
  <c r="I105" i="39"/>
  <c r="J105" i="39"/>
  <c r="E106" i="39"/>
  <c r="H106" i="39"/>
  <c r="I106" i="39"/>
  <c r="J106" i="39"/>
  <c r="E107" i="39"/>
  <c r="H107" i="39"/>
  <c r="I107" i="39"/>
  <c r="J107" i="39"/>
  <c r="E108" i="39"/>
  <c r="H108" i="39"/>
  <c r="I108" i="39"/>
  <c r="J108" i="39"/>
  <c r="D109" i="39"/>
  <c r="E109" i="39"/>
  <c r="E110" i="39"/>
  <c r="H110" i="39"/>
  <c r="I110" i="39"/>
  <c r="J110" i="39"/>
  <c r="E111" i="39"/>
  <c r="H111" i="39"/>
  <c r="I111" i="39"/>
  <c r="J111" i="39"/>
  <c r="D112" i="39"/>
  <c r="H112" i="39"/>
  <c r="I112" i="39"/>
  <c r="J112" i="39"/>
  <c r="E113" i="39"/>
  <c r="H113" i="39"/>
  <c r="I113" i="39"/>
  <c r="J113" i="39"/>
  <c r="E120" i="39"/>
  <c r="F120" i="39"/>
  <c r="E121" i="39"/>
  <c r="F121" i="39"/>
  <c r="E122" i="39"/>
  <c r="E128" i="39"/>
  <c r="F122" i="39"/>
  <c r="E123" i="39"/>
  <c r="F123" i="39"/>
  <c r="E124" i="39"/>
  <c r="F124" i="39"/>
  <c r="E125" i="39"/>
  <c r="F125" i="39"/>
  <c r="E126" i="39"/>
  <c r="F126" i="39"/>
  <c r="E127" i="39"/>
  <c r="F127" i="39"/>
  <c r="E138" i="39"/>
  <c r="F138" i="39"/>
  <c r="E12" i="40"/>
  <c r="D12" i="40"/>
  <c r="E13" i="40"/>
  <c r="D13" i="40"/>
  <c r="E14" i="40"/>
  <c r="D14" i="40"/>
  <c r="E17" i="40"/>
  <c r="D17" i="40"/>
  <c r="D18" i="40"/>
  <c r="E18" i="40"/>
  <c r="F144" i="40"/>
  <c r="E19" i="40"/>
  <c r="D20" i="40"/>
  <c r="D21" i="40"/>
  <c r="F21" i="40"/>
  <c r="G21" i="40"/>
  <c r="D22" i="40"/>
  <c r="D16" i="40"/>
  <c r="E22" i="40"/>
  <c r="E16" i="40"/>
  <c r="D23" i="40"/>
  <c r="D24" i="40"/>
  <c r="D26" i="40"/>
  <c r="G26" i="40"/>
  <c r="J26" i="40"/>
  <c r="M26" i="40"/>
  <c r="D33" i="40"/>
  <c r="E33" i="40"/>
  <c r="H33" i="40"/>
  <c r="J33" i="40"/>
  <c r="I33" i="40"/>
  <c r="E34" i="40"/>
  <c r="H34" i="40"/>
  <c r="J34" i="40"/>
  <c r="I34" i="40"/>
  <c r="D35" i="40"/>
  <c r="F913" i="1"/>
  <c r="H35" i="40"/>
  <c r="J35" i="40"/>
  <c r="I35" i="40"/>
  <c r="D36" i="40"/>
  <c r="J36" i="40"/>
  <c r="E37" i="40"/>
  <c r="H37" i="40"/>
  <c r="J37" i="40"/>
  <c r="I37" i="40"/>
  <c r="E38" i="40"/>
  <c r="H38" i="40"/>
  <c r="J38" i="40"/>
  <c r="I38" i="40"/>
  <c r="J39" i="40"/>
  <c r="E40" i="40"/>
  <c r="H40" i="40"/>
  <c r="J40" i="40"/>
  <c r="I40" i="40"/>
  <c r="E41" i="40"/>
  <c r="H41" i="40"/>
  <c r="J41" i="40"/>
  <c r="I41" i="40"/>
  <c r="E42" i="40"/>
  <c r="H42" i="40"/>
  <c r="J42" i="40"/>
  <c r="I42" i="40"/>
  <c r="D43" i="40"/>
  <c r="H43" i="40"/>
  <c r="J43" i="40"/>
  <c r="I43" i="40"/>
  <c r="D44" i="40"/>
  <c r="H44" i="40"/>
  <c r="J44" i="40"/>
  <c r="I44" i="40"/>
  <c r="D45" i="40"/>
  <c r="E45" i="40"/>
  <c r="H45" i="40"/>
  <c r="J45" i="40"/>
  <c r="I45" i="40"/>
  <c r="D46" i="40"/>
  <c r="E47" i="40"/>
  <c r="H47" i="40"/>
  <c r="J47" i="40"/>
  <c r="I47" i="40"/>
  <c r="E48" i="40"/>
  <c r="H48" i="40"/>
  <c r="J48" i="40"/>
  <c r="I48" i="40"/>
  <c r="E49" i="40"/>
  <c r="H49" i="40"/>
  <c r="J49" i="40"/>
  <c r="I49" i="40"/>
  <c r="E50" i="40"/>
  <c r="H50" i="40"/>
  <c r="J50" i="40"/>
  <c r="I50" i="40"/>
  <c r="E51" i="40"/>
  <c r="H51" i="40"/>
  <c r="J51" i="40"/>
  <c r="I51" i="40"/>
  <c r="E52" i="40"/>
  <c r="H52" i="40"/>
  <c r="J52" i="40"/>
  <c r="I52" i="40"/>
  <c r="D53" i="40"/>
  <c r="E54" i="40"/>
  <c r="E53" i="40"/>
  <c r="H54" i="40"/>
  <c r="J54" i="40"/>
  <c r="I54" i="40"/>
  <c r="H55" i="40"/>
  <c r="J55" i="40"/>
  <c r="I55" i="40"/>
  <c r="E57" i="40"/>
  <c r="H57" i="40"/>
  <c r="J57" i="40"/>
  <c r="I57" i="40"/>
  <c r="E58" i="40"/>
  <c r="H58" i="40"/>
  <c r="J58" i="40"/>
  <c r="I58" i="40"/>
  <c r="E59" i="40"/>
  <c r="H59" i="40"/>
  <c r="J59" i="40"/>
  <c r="I59" i="40"/>
  <c r="E60" i="40"/>
  <c r="H60" i="40"/>
  <c r="J60" i="40"/>
  <c r="I60" i="40"/>
  <c r="E61" i="40"/>
  <c r="H61" i="40"/>
  <c r="J61" i="40"/>
  <c r="I61" i="40"/>
  <c r="E62" i="40"/>
  <c r="H62" i="40"/>
  <c r="J62" i="40"/>
  <c r="I62" i="40"/>
  <c r="E63" i="40"/>
  <c r="H63" i="40"/>
  <c r="J63" i="40"/>
  <c r="I63" i="40"/>
  <c r="E64" i="40"/>
  <c r="H64" i="40"/>
  <c r="J64" i="40"/>
  <c r="I64" i="40"/>
  <c r="D65" i="40"/>
  <c r="D56" i="40"/>
  <c r="H65" i="40"/>
  <c r="J65" i="40"/>
  <c r="I65" i="40"/>
  <c r="D66" i="40"/>
  <c r="E67" i="40"/>
  <c r="H67" i="40"/>
  <c r="J67" i="40"/>
  <c r="I67" i="40"/>
  <c r="E68" i="40"/>
  <c r="H68" i="40"/>
  <c r="J68" i="40"/>
  <c r="I68" i="40"/>
  <c r="E69" i="40"/>
  <c r="H69" i="40"/>
  <c r="J69" i="40"/>
  <c r="I69" i="40"/>
  <c r="E71" i="40"/>
  <c r="H71" i="40"/>
  <c r="J71" i="40"/>
  <c r="I71" i="40"/>
  <c r="E72" i="40"/>
  <c r="H72" i="40"/>
  <c r="J72" i="40"/>
  <c r="I72" i="40"/>
  <c r="E73" i="40"/>
  <c r="D73" i="40"/>
  <c r="D70" i="40"/>
  <c r="H73" i="40"/>
  <c r="J73" i="40"/>
  <c r="I73" i="40"/>
  <c r="E74" i="40"/>
  <c r="H74" i="40"/>
  <c r="J74" i="40"/>
  <c r="I74" i="40"/>
  <c r="E77" i="40"/>
  <c r="H77" i="40"/>
  <c r="J77" i="40"/>
  <c r="I77" i="40"/>
  <c r="H78" i="40"/>
  <c r="J78" i="40"/>
  <c r="I78" i="40"/>
  <c r="D79" i="40"/>
  <c r="E80" i="40"/>
  <c r="H80" i="40"/>
  <c r="J80" i="40"/>
  <c r="I80" i="40"/>
  <c r="E81" i="40"/>
  <c r="H81" i="40"/>
  <c r="J81" i="40"/>
  <c r="I81" i="40"/>
  <c r="E82" i="40"/>
  <c r="H82" i="40"/>
  <c r="J82" i="40"/>
  <c r="I82" i="40"/>
  <c r="E83" i="40"/>
  <c r="H83" i="40"/>
  <c r="J83" i="40"/>
  <c r="I83" i="40"/>
  <c r="D84" i="40"/>
  <c r="J84" i="40"/>
  <c r="E85" i="40"/>
  <c r="H85" i="40"/>
  <c r="J85" i="40"/>
  <c r="I85" i="40"/>
  <c r="E86" i="40"/>
  <c r="H86" i="40"/>
  <c r="J86" i="40"/>
  <c r="I86" i="40"/>
  <c r="D87" i="40"/>
  <c r="E88" i="40"/>
  <c r="H88" i="40"/>
  <c r="J88" i="40"/>
  <c r="I88" i="40"/>
  <c r="E89" i="40"/>
  <c r="H89" i="40"/>
  <c r="J89" i="40"/>
  <c r="I89" i="40"/>
  <c r="E90" i="40"/>
  <c r="H90" i="40"/>
  <c r="J90" i="40"/>
  <c r="I90" i="40"/>
  <c r="E91" i="40"/>
  <c r="H91" i="40"/>
  <c r="J91" i="40"/>
  <c r="I91" i="40"/>
  <c r="D92" i="40"/>
  <c r="E93" i="40"/>
  <c r="H93" i="40"/>
  <c r="J93" i="40"/>
  <c r="I93" i="40"/>
  <c r="E94" i="40"/>
  <c r="H94" i="40"/>
  <c r="J94" i="40"/>
  <c r="I94" i="40"/>
  <c r="E95" i="40"/>
  <c r="H95" i="40"/>
  <c r="J95" i="40"/>
  <c r="I95" i="40"/>
  <c r="E96" i="40"/>
  <c r="H96" i="40"/>
  <c r="J96" i="40"/>
  <c r="I96" i="40"/>
  <c r="E97" i="40"/>
  <c r="H97" i="40"/>
  <c r="J97" i="40"/>
  <c r="I97" i="40"/>
  <c r="E98" i="40"/>
  <c r="H98" i="40"/>
  <c r="J98" i="40"/>
  <c r="I98" i="40"/>
  <c r="E99" i="40"/>
  <c r="H99" i="40"/>
  <c r="J99" i="40"/>
  <c r="I99" i="40"/>
  <c r="E100" i="40"/>
  <c r="H100" i="40"/>
  <c r="J100" i="40"/>
  <c r="I100" i="40"/>
  <c r="E101" i="40"/>
  <c r="H101" i="40"/>
  <c r="J101" i="40"/>
  <c r="I101" i="40"/>
  <c r="E102" i="40"/>
  <c r="H102" i="40"/>
  <c r="J102" i="40"/>
  <c r="I102" i="40"/>
  <c r="E103" i="40"/>
  <c r="H103" i="40"/>
  <c r="J103" i="40"/>
  <c r="I103" i="40"/>
  <c r="E104" i="40"/>
  <c r="H104" i="40"/>
  <c r="J104" i="40"/>
  <c r="I104" i="40"/>
  <c r="E105" i="40"/>
  <c r="H105" i="40"/>
  <c r="J105" i="40"/>
  <c r="I105" i="40"/>
  <c r="E106" i="40"/>
  <c r="H106" i="40"/>
  <c r="J106" i="40"/>
  <c r="I106" i="40"/>
  <c r="E107" i="40"/>
  <c r="H107" i="40"/>
  <c r="J107" i="40"/>
  <c r="I107" i="40"/>
  <c r="E108" i="40"/>
  <c r="N108" i="40"/>
  <c r="H108" i="40"/>
  <c r="J108" i="40"/>
  <c r="I108" i="40"/>
  <c r="E109" i="40"/>
  <c r="H109" i="40"/>
  <c r="J109" i="40"/>
  <c r="I109" i="40"/>
  <c r="E110" i="40"/>
  <c r="H110" i="40"/>
  <c r="J110" i="40"/>
  <c r="I110" i="40"/>
  <c r="E111" i="40"/>
  <c r="H111" i="40"/>
  <c r="J111" i="40"/>
  <c r="I111" i="40"/>
  <c r="D113" i="40"/>
  <c r="H113" i="40"/>
  <c r="J113" i="40"/>
  <c r="I113" i="40"/>
  <c r="D114" i="40"/>
  <c r="H114" i="40"/>
  <c r="J114" i="40"/>
  <c r="I114" i="40"/>
  <c r="E115" i="40"/>
  <c r="H115" i="40"/>
  <c r="J115" i="40"/>
  <c r="I115" i="40"/>
  <c r="E116" i="40"/>
  <c r="H116" i="40"/>
  <c r="J116" i="40"/>
  <c r="I116" i="40"/>
  <c r="E117" i="40"/>
  <c r="H117" i="40"/>
  <c r="J117" i="40"/>
  <c r="I117" i="40"/>
  <c r="D119" i="40"/>
  <c r="D118" i="40"/>
  <c r="H119" i="40"/>
  <c r="J119" i="40"/>
  <c r="I119" i="40"/>
  <c r="E120" i="40"/>
  <c r="H120" i="40"/>
  <c r="J120" i="40"/>
  <c r="I120" i="40"/>
  <c r="E128" i="40"/>
  <c r="F128" i="40"/>
  <c r="E129" i="40"/>
  <c r="F129" i="40"/>
  <c r="E130" i="40"/>
  <c r="F130" i="40"/>
  <c r="E131" i="40"/>
  <c r="F131" i="40"/>
  <c r="E132" i="40"/>
  <c r="F132" i="40"/>
  <c r="E133" i="40"/>
  <c r="F133" i="40"/>
  <c r="E134" i="40"/>
  <c r="F134" i="40"/>
  <c r="E135" i="40"/>
  <c r="F135" i="40"/>
  <c r="E136" i="40"/>
  <c r="F136" i="40"/>
  <c r="G5" i="23"/>
  <c r="J5" i="23"/>
  <c r="L5" i="23"/>
  <c r="S5" i="23"/>
  <c r="E6" i="23"/>
  <c r="G6" i="23"/>
  <c r="S6" i="23"/>
  <c r="G7" i="23"/>
  <c r="J7" i="23"/>
  <c r="L7" i="23"/>
  <c r="M7" i="23"/>
  <c r="N7" i="23"/>
  <c r="S7" i="23"/>
  <c r="G8" i="23"/>
  <c r="J8" i="23"/>
  <c r="L8" i="23"/>
  <c r="M8" i="23"/>
  <c r="N8" i="23"/>
  <c r="S8" i="23"/>
  <c r="G9" i="23"/>
  <c r="J9" i="23"/>
  <c r="L9" i="23"/>
  <c r="M9" i="23"/>
  <c r="N9" i="23"/>
  <c r="S9" i="23"/>
  <c r="G10" i="23"/>
  <c r="J10" i="23"/>
  <c r="L10" i="23"/>
  <c r="S10" i="23"/>
  <c r="G11" i="23"/>
  <c r="J11" i="23"/>
  <c r="L11" i="23"/>
  <c r="M11" i="23"/>
  <c r="N11" i="23"/>
  <c r="S11" i="23"/>
  <c r="G12" i="23"/>
  <c r="J12" i="23"/>
  <c r="L12" i="23"/>
  <c r="M12" i="23"/>
  <c r="N12" i="23"/>
  <c r="S12" i="23"/>
  <c r="E13" i="23"/>
  <c r="G13" i="23"/>
  <c r="J13" i="23"/>
  <c r="L13" i="23"/>
  <c r="M13" i="23"/>
  <c r="N13" i="23"/>
  <c r="S13" i="23"/>
  <c r="G14" i="23"/>
  <c r="J14" i="23"/>
  <c r="L14" i="23"/>
  <c r="M14" i="23"/>
  <c r="N14" i="23"/>
  <c r="G15" i="23"/>
  <c r="J15" i="23"/>
  <c r="L15" i="23"/>
  <c r="M15" i="23"/>
  <c r="N15" i="23"/>
  <c r="G16" i="23"/>
  <c r="J16" i="23"/>
  <c r="L16" i="23"/>
  <c r="M16" i="23"/>
  <c r="N16" i="23"/>
  <c r="R16" i="23"/>
  <c r="S16" i="23"/>
  <c r="G17" i="23"/>
  <c r="J17" i="23"/>
  <c r="L17" i="23"/>
  <c r="M17" i="23"/>
  <c r="N17" i="23"/>
  <c r="S17" i="23"/>
  <c r="G18" i="23"/>
  <c r="J18" i="23"/>
  <c r="L18" i="23"/>
  <c r="S18" i="23"/>
  <c r="G19" i="23"/>
  <c r="J19" i="23"/>
  <c r="L19" i="23"/>
  <c r="G20" i="23"/>
  <c r="J20" i="23"/>
  <c r="L20" i="23"/>
  <c r="T20" i="23"/>
  <c r="G21" i="23"/>
  <c r="J21" i="23"/>
  <c r="L21" i="23"/>
  <c r="M21" i="23"/>
  <c r="N21" i="23"/>
  <c r="T21" i="23"/>
  <c r="G22" i="23"/>
  <c r="J22" i="23"/>
  <c r="L22" i="23"/>
  <c r="T22" i="23"/>
  <c r="E23" i="23"/>
  <c r="G23" i="23"/>
  <c r="L23" i="23"/>
  <c r="T23" i="23"/>
  <c r="E24" i="23"/>
  <c r="G24" i="23"/>
  <c r="M24" i="23"/>
  <c r="N24" i="23"/>
  <c r="L24" i="23"/>
  <c r="E25" i="23"/>
  <c r="G25" i="23"/>
  <c r="L25" i="23"/>
  <c r="G26" i="23"/>
  <c r="J26" i="23"/>
  <c r="L26" i="23"/>
  <c r="G27" i="23"/>
  <c r="J27" i="23"/>
  <c r="L27" i="23"/>
  <c r="M27" i="23"/>
  <c r="N27" i="23"/>
  <c r="G28" i="23"/>
  <c r="J28" i="23"/>
  <c r="L28" i="23"/>
  <c r="M28" i="23"/>
  <c r="N28" i="23"/>
  <c r="G29" i="23"/>
  <c r="M29" i="23"/>
  <c r="N29" i="23"/>
  <c r="L29" i="23"/>
  <c r="G30" i="23"/>
  <c r="L30" i="23"/>
  <c r="M30" i="23"/>
  <c r="N30" i="23"/>
  <c r="G31" i="23"/>
  <c r="L31" i="23"/>
  <c r="G32" i="23"/>
  <c r="L32" i="23"/>
  <c r="M32" i="23"/>
  <c r="N32" i="23"/>
  <c r="G33" i="23"/>
  <c r="L33" i="23"/>
  <c r="G34" i="23"/>
  <c r="L34" i="23"/>
  <c r="M34" i="23"/>
  <c r="N34" i="23"/>
  <c r="G35" i="23"/>
  <c r="L35" i="23"/>
  <c r="G36" i="23"/>
  <c r="L36" i="23"/>
  <c r="M36" i="23"/>
  <c r="N36" i="23"/>
  <c r="G37" i="23"/>
  <c r="M37" i="23"/>
  <c r="N37" i="23"/>
  <c r="L37" i="23"/>
  <c r="G38" i="23"/>
  <c r="M38" i="23"/>
  <c r="N38" i="23"/>
  <c r="L38" i="23"/>
  <c r="G39" i="23"/>
  <c r="L39" i="23"/>
  <c r="G40" i="23"/>
  <c r="L40" i="23"/>
  <c r="M40" i="23"/>
  <c r="N40" i="23"/>
  <c r="G41" i="23"/>
  <c r="M41" i="23"/>
  <c r="N41" i="23"/>
  <c r="L41" i="23"/>
  <c r="G42" i="23"/>
  <c r="M42" i="23"/>
  <c r="N42" i="23"/>
  <c r="L42" i="23"/>
  <c r="G43" i="23"/>
  <c r="L43" i="23"/>
  <c r="G44" i="23"/>
  <c r="L44" i="23"/>
  <c r="M44" i="23"/>
  <c r="N44" i="23"/>
  <c r="G45" i="23"/>
  <c r="M45" i="23"/>
  <c r="N45" i="23"/>
  <c r="K45" i="23"/>
  <c r="G46" i="23"/>
  <c r="L46" i="23"/>
  <c r="M46" i="23"/>
  <c r="N46" i="23"/>
  <c r="G47" i="23"/>
  <c r="L47" i="23"/>
  <c r="G48" i="23"/>
  <c r="L48" i="23"/>
  <c r="M48" i="23"/>
  <c r="N48" i="23"/>
  <c r="G49" i="23"/>
  <c r="L49" i="23"/>
  <c r="E50" i="23"/>
  <c r="G51" i="23"/>
  <c r="M51" i="23"/>
  <c r="N51" i="23"/>
  <c r="G52" i="23"/>
  <c r="M52" i="23"/>
  <c r="N52" i="23"/>
  <c r="G53" i="23"/>
  <c r="M53" i="23"/>
  <c r="N53" i="23"/>
  <c r="G54" i="23"/>
  <c r="M54" i="23"/>
  <c r="N54" i="23"/>
  <c r="K54" i="23"/>
  <c r="R59" i="23"/>
  <c r="G5" i="33"/>
  <c r="L5" i="33"/>
  <c r="M5" i="33"/>
  <c r="N5" i="33"/>
  <c r="T5" i="33"/>
  <c r="G6" i="33"/>
  <c r="L6" i="33"/>
  <c r="M6" i="33"/>
  <c r="N6" i="33"/>
  <c r="G7" i="33"/>
  <c r="L7" i="33"/>
  <c r="M7" i="33"/>
  <c r="N7" i="33"/>
  <c r="G8" i="33"/>
  <c r="L8" i="33"/>
  <c r="M8" i="33"/>
  <c r="N8" i="33"/>
  <c r="G9" i="33"/>
  <c r="J9" i="33"/>
  <c r="L9" i="33"/>
  <c r="M9" i="33"/>
  <c r="N9" i="33"/>
  <c r="G10" i="33"/>
  <c r="L10" i="33"/>
  <c r="M10" i="33"/>
  <c r="N10" i="33"/>
  <c r="G11" i="33"/>
  <c r="L11" i="33"/>
  <c r="M11" i="33"/>
  <c r="N11" i="33"/>
  <c r="G12" i="33"/>
  <c r="L12" i="33"/>
  <c r="M12" i="33"/>
  <c r="N12" i="33"/>
  <c r="G13" i="33"/>
  <c r="L13" i="33"/>
  <c r="M13" i="33"/>
  <c r="N13" i="33"/>
  <c r="AA13" i="33"/>
  <c r="G14" i="33"/>
  <c r="G15" i="33"/>
  <c r="L15" i="33"/>
  <c r="M15" i="33"/>
  <c r="N15" i="33"/>
  <c r="G16" i="33"/>
  <c r="M16" i="33"/>
  <c r="N16" i="33"/>
  <c r="L16" i="33"/>
  <c r="G17" i="33"/>
  <c r="L17" i="33"/>
  <c r="M17" i="33"/>
  <c r="N17" i="33"/>
  <c r="G18" i="33"/>
  <c r="M18" i="33"/>
  <c r="N18" i="33"/>
  <c r="G19" i="33"/>
  <c r="M19" i="33"/>
  <c r="N19" i="33"/>
  <c r="R23" i="33"/>
  <c r="U23" i="33"/>
  <c r="G69" i="36"/>
  <c r="G70" i="36"/>
  <c r="G71" i="36"/>
  <c r="G72" i="36"/>
  <c r="G73" i="36"/>
  <c r="G74" i="36"/>
  <c r="G75" i="36"/>
  <c r="G76" i="36"/>
  <c r="G77" i="36"/>
  <c r="G78" i="36"/>
  <c r="G79" i="36"/>
  <c r="G80" i="36"/>
  <c r="G81" i="36"/>
  <c r="G82" i="36"/>
  <c r="G83" i="36"/>
  <c r="G84" i="36"/>
  <c r="G85" i="36"/>
  <c r="G86" i="36"/>
  <c r="G87" i="36"/>
  <c r="G88" i="36"/>
  <c r="G89" i="36"/>
  <c r="G90" i="36"/>
  <c r="E10" i="40"/>
  <c r="E15" i="40"/>
  <c r="E119" i="40"/>
  <c r="E112" i="40"/>
  <c r="E66" i="40"/>
  <c r="E84" i="40"/>
  <c r="E149" i="40"/>
  <c r="F150" i="40"/>
  <c r="F911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D112" i="40"/>
  <c r="E87" i="40"/>
  <c r="E137" i="40"/>
  <c r="E35" i="40"/>
  <c r="E32" i="40"/>
  <c r="E144" i="40"/>
  <c r="D32" i="40"/>
  <c r="E70" i="40"/>
  <c r="D39" i="40"/>
  <c r="E46" i="40"/>
  <c r="E44" i="40"/>
  <c r="E118" i="40"/>
  <c r="E92" i="40"/>
  <c r="E36" i="40"/>
  <c r="E65" i="40"/>
  <c r="E56" i="40"/>
  <c r="E43" i="40"/>
  <c r="E79" i="40"/>
  <c r="F137" i="40"/>
  <c r="F149" i="40"/>
  <c r="E39" i="40"/>
  <c r="H965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K970" i="1"/>
  <c r="F131" i="41"/>
  <c r="E96" i="41"/>
  <c r="M10" i="23"/>
  <c r="N10" i="23"/>
  <c r="D138" i="30"/>
  <c r="E138" i="30"/>
  <c r="F139" i="30"/>
  <c r="M35" i="23"/>
  <c r="N35" i="23"/>
  <c r="M20" i="23"/>
  <c r="N20" i="23"/>
  <c r="E13" i="29"/>
  <c r="E12" i="29"/>
  <c r="M47" i="23"/>
  <c r="N47" i="23"/>
  <c r="M31" i="23"/>
  <c r="N31" i="23"/>
  <c r="M22" i="23"/>
  <c r="N22" i="23"/>
  <c r="M19" i="23"/>
  <c r="N19" i="23"/>
  <c r="D157" i="34"/>
  <c r="M43" i="23"/>
  <c r="N43" i="23"/>
  <c r="E89" i="30"/>
  <c r="M49" i="23"/>
  <c r="N49" i="23"/>
  <c r="M33" i="23"/>
  <c r="N33" i="23"/>
  <c r="M18" i="23"/>
  <c r="N18" i="23"/>
  <c r="M39" i="23"/>
  <c r="N39" i="23"/>
  <c r="M23" i="23"/>
  <c r="N23" i="23"/>
  <c r="D140" i="30"/>
  <c r="M25" i="23"/>
  <c r="N25" i="23"/>
  <c r="M5" i="23"/>
  <c r="N5" i="23"/>
  <c r="D13" i="29"/>
  <c r="D12" i="29"/>
  <c r="F97" i="31"/>
  <c r="E83" i="30"/>
  <c r="D13" i="28"/>
  <c r="D12" i="28"/>
  <c r="E51" i="23"/>
  <c r="J6" i="23"/>
  <c r="L6" i="23"/>
  <c r="M6" i="23"/>
  <c r="N6" i="23"/>
  <c r="E134" i="41"/>
  <c r="E63" i="41"/>
  <c r="E136" i="41"/>
  <c r="F134" i="41"/>
  <c r="F133" i="41"/>
  <c r="F136" i="41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E11" i="25"/>
  <c r="E135" i="39"/>
  <c r="D78" i="40"/>
  <c r="E76" i="40"/>
  <c r="E121" i="40"/>
  <c r="E69" i="28"/>
  <c r="G18" i="34"/>
  <c r="D16" i="34"/>
  <c r="D46" i="32"/>
  <c r="D105" i="32"/>
  <c r="E134" i="32"/>
  <c r="E136" i="32"/>
  <c r="E137" i="32"/>
  <c r="E47" i="32"/>
  <c r="E48" i="39"/>
  <c r="E114" i="39"/>
  <c r="F141" i="39"/>
  <c r="D50" i="39"/>
  <c r="D48" i="39"/>
  <c r="F139" i="39"/>
  <c r="F140" i="39"/>
  <c r="G16" i="39"/>
  <c r="D16" i="39"/>
  <c r="E146" i="40"/>
  <c r="F146" i="40"/>
  <c r="F138" i="40"/>
  <c r="E114" i="34"/>
  <c r="E115" i="34"/>
  <c r="E41" i="34"/>
  <c r="E40" i="34"/>
  <c r="D40" i="34"/>
  <c r="E119" i="34"/>
  <c r="E121" i="34"/>
  <c r="E122" i="34"/>
  <c r="E12" i="38"/>
  <c r="D13" i="38"/>
  <c r="D12" i="38"/>
  <c r="E138" i="40"/>
  <c r="F128" i="39"/>
  <c r="F149" i="38"/>
  <c r="E96" i="30"/>
  <c r="E66" i="29"/>
  <c r="F81" i="28"/>
  <c r="E131" i="38"/>
  <c r="F129" i="32"/>
  <c r="E106" i="31"/>
  <c r="E114" i="31"/>
  <c r="F93" i="30"/>
  <c r="F95" i="30"/>
  <c r="E13" i="30"/>
  <c r="E81" i="28"/>
  <c r="F151" i="40"/>
  <c r="F152" i="40"/>
  <c r="F114" i="34"/>
  <c r="E129" i="32"/>
  <c r="E119" i="31"/>
  <c r="E120" i="31"/>
  <c r="E52" i="31"/>
  <c r="F66" i="29"/>
  <c r="F69" i="28"/>
  <c r="D42" i="28"/>
  <c r="D56" i="28"/>
  <c r="E149" i="38"/>
  <c r="E160" i="35"/>
  <c r="F60" i="25"/>
  <c r="F60" i="27"/>
  <c r="D32" i="25"/>
  <c r="D48" i="25"/>
  <c r="D55" i="34"/>
  <c r="E12" i="34"/>
  <c r="F83" i="30"/>
  <c r="E64" i="25"/>
  <c r="E65" i="25"/>
  <c r="F70" i="29"/>
  <c r="F72" i="29"/>
  <c r="E35" i="29"/>
  <c r="E49" i="29"/>
  <c r="E83" i="28"/>
  <c r="E71" i="25"/>
  <c r="E139" i="39"/>
  <c r="E140" i="39"/>
  <c r="D70" i="39"/>
  <c r="D43" i="38"/>
  <c r="D131" i="38"/>
  <c r="D61" i="35"/>
  <c r="D143" i="35"/>
  <c r="E170" i="35"/>
  <c r="E171" i="35"/>
  <c r="E172" i="35"/>
  <c r="F119" i="34"/>
  <c r="F121" i="34"/>
  <c r="E55" i="34"/>
  <c r="E96" i="34"/>
  <c r="F106" i="31"/>
  <c r="F108" i="31"/>
  <c r="F119" i="31"/>
  <c r="F120" i="31"/>
  <c r="E69" i="31"/>
  <c r="F96" i="30"/>
  <c r="F68" i="25"/>
  <c r="F70" i="25"/>
  <c r="E32" i="25"/>
  <c r="E48" i="25"/>
  <c r="D114" i="39"/>
  <c r="D12" i="39"/>
  <c r="D12" i="34"/>
  <c r="E91" i="31"/>
  <c r="M26" i="23"/>
  <c r="N26" i="23"/>
  <c r="N59" i="23"/>
  <c r="L59" i="23"/>
  <c r="E110" i="34"/>
  <c r="D69" i="31"/>
  <c r="D91" i="31"/>
  <c r="E121" i="31"/>
  <c r="D17" i="30"/>
  <c r="D13" i="30"/>
  <c r="G13" i="39"/>
  <c r="J364" i="7"/>
  <c r="D35" i="29"/>
  <c r="J59" i="23"/>
  <c r="D18" i="39"/>
  <c r="D22" i="35"/>
  <c r="F135" i="39"/>
  <c r="F155" i="38"/>
  <c r="F170" i="35"/>
  <c r="F171" i="35"/>
  <c r="F172" i="35"/>
  <c r="F110" i="34"/>
  <c r="G13" i="34"/>
  <c r="F121" i="32"/>
  <c r="F89" i="30"/>
  <c r="E42" i="28"/>
  <c r="E56" i="28"/>
  <c r="D71" i="38"/>
  <c r="D69" i="38"/>
  <c r="E155" i="38"/>
  <c r="G23" i="35"/>
  <c r="E121" i="32"/>
  <c r="D46" i="29"/>
  <c r="D45" i="29"/>
  <c r="E12" i="39"/>
  <c r="F159" i="38"/>
  <c r="F160" i="38"/>
  <c r="F161" i="38"/>
  <c r="E79" i="35"/>
  <c r="E61" i="35"/>
  <c r="E143" i="35"/>
  <c r="E70" i="29"/>
  <c r="E72" i="29"/>
  <c r="E68" i="25"/>
  <c r="E70" i="25"/>
  <c r="E137" i="41"/>
  <c r="F137" i="41"/>
  <c r="D96" i="34"/>
  <c r="D76" i="40"/>
  <c r="D121" i="40"/>
  <c r="E150" i="40"/>
  <c r="E151" i="40"/>
  <c r="E152" i="40"/>
  <c r="F134" i="32"/>
  <c r="F136" i="32"/>
  <c r="E46" i="32"/>
  <c r="E105" i="32"/>
  <c r="E108" i="31"/>
  <c r="E50" i="25"/>
  <c r="E51" i="25"/>
  <c r="D11" i="25"/>
  <c r="D9" i="25"/>
  <c r="D16" i="25"/>
  <c r="D50" i="25"/>
  <c r="E74" i="25"/>
  <c r="E76" i="25"/>
  <c r="E77" i="25"/>
  <c r="E9" i="25"/>
  <c r="E16" i="25"/>
  <c r="F71" i="25"/>
  <c r="E141" i="39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E11" i="27"/>
  <c r="F122" i="34"/>
  <c r="D51" i="25"/>
  <c r="E159" i="38"/>
  <c r="E160" i="38"/>
  <c r="E161" i="38"/>
  <c r="F83" i="28"/>
  <c r="F114" i="31"/>
  <c r="D49" i="29"/>
  <c r="F121" i="31"/>
  <c r="F74" i="29"/>
  <c r="D11" i="27"/>
  <c r="D9" i="27"/>
  <c r="D16" i="27"/>
  <c r="E9" i="27"/>
  <c r="E16" i="27"/>
  <c r="E11" i="28"/>
  <c r="G100" i="7"/>
  <c r="G101" i="7"/>
  <c r="G102" i="7"/>
  <c r="G103" i="7"/>
  <c r="G104" i="7"/>
  <c r="E79" i="27"/>
  <c r="F137" i="32"/>
  <c r="E74" i="29"/>
  <c r="D11" i="28"/>
  <c r="D9" i="28"/>
  <c r="D14" i="28"/>
  <c r="E9" i="28"/>
  <c r="E14" i="28"/>
  <c r="E49" i="27"/>
  <c r="E50" i="27"/>
  <c r="D49" i="27"/>
  <c r="E78" i="27"/>
  <c r="E80" i="27"/>
  <c r="E81" i="27"/>
  <c r="D50" i="27"/>
  <c r="G105" i="7"/>
  <c r="G106" i="7"/>
  <c r="G107" i="7"/>
  <c r="G108" i="7"/>
  <c r="F65" i="27"/>
  <c r="F67" i="27"/>
  <c r="E58" i="28"/>
  <c r="E57" i="28"/>
  <c r="E11" i="29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E87" i="28"/>
  <c r="D57" i="28"/>
  <c r="E86" i="28"/>
  <c r="E88" i="28"/>
  <c r="E89" i="28"/>
  <c r="D58" i="28"/>
  <c r="E9" i="29"/>
  <c r="E14" i="29"/>
  <c r="E51" i="29"/>
  <c r="E52" i="29"/>
  <c r="D11" i="29"/>
  <c r="D9" i="29"/>
  <c r="D14" i="29"/>
  <c r="E78" i="29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E11" i="30"/>
  <c r="E100" i="30"/>
  <c r="E11" i="31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D51" i="29"/>
  <c r="E77" i="29"/>
  <c r="E79" i="29"/>
  <c r="E80" i="29"/>
  <c r="D52" i="29"/>
  <c r="E9" i="30"/>
  <c r="E19" i="30"/>
  <c r="D11" i="30"/>
  <c r="D9" i="30"/>
  <c r="D19" i="30"/>
  <c r="E72" i="30"/>
  <c r="E73" i="30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E11" i="32"/>
  <c r="E126" i="31"/>
  <c r="D72" i="30"/>
  <c r="E99" i="30"/>
  <c r="E101" i="30"/>
  <c r="E102" i="30"/>
  <c r="E9" i="31"/>
  <c r="E21" i="31"/>
  <c r="E93" i="31"/>
  <c r="E94" i="31"/>
  <c r="D11" i="31"/>
  <c r="D9" i="31"/>
  <c r="D21" i="31"/>
  <c r="E142" i="32"/>
  <c r="G205" i="7"/>
  <c r="G206" i="7"/>
  <c r="G207" i="7"/>
  <c r="G208" i="7"/>
  <c r="G209" i="7"/>
  <c r="G210" i="7"/>
  <c r="G211" i="7"/>
  <c r="G212" i="7"/>
  <c r="G213" i="7"/>
  <c r="E11" i="34"/>
  <c r="D73" i="30"/>
  <c r="D11" i="32"/>
  <c r="D9" i="32"/>
  <c r="D22" i="32"/>
  <c r="E9" i="32"/>
  <c r="E22" i="32"/>
  <c r="D93" i="31"/>
  <c r="E125" i="31"/>
  <c r="E127" i="31"/>
  <c r="E128" i="31"/>
  <c r="D94" i="31"/>
  <c r="D107" i="32"/>
  <c r="E141" i="32"/>
  <c r="E143" i="32"/>
  <c r="E144" i="32"/>
  <c r="D108" i="32"/>
  <c r="E9" i="34"/>
  <c r="E18" i="34"/>
  <c r="D11" i="34"/>
  <c r="D9" i="34"/>
  <c r="D18" i="34"/>
  <c r="D98" i="34"/>
  <c r="E107" i="32"/>
  <c r="E108" i="32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E65" i="27"/>
  <c r="E67" i="27"/>
  <c r="G262" i="7"/>
  <c r="E11" i="35"/>
  <c r="J18" i="34"/>
  <c r="E98" i="34"/>
  <c r="E99" i="34"/>
  <c r="E9" i="35"/>
  <c r="D11" i="35"/>
  <c r="D9" i="35"/>
  <c r="E128" i="34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E113" i="31"/>
  <c r="E115" i="31"/>
  <c r="F113" i="31"/>
  <c r="F115" i="31"/>
  <c r="E126" i="32"/>
  <c r="E88" i="30"/>
  <c r="E90" i="30"/>
  <c r="F126" i="32"/>
  <c r="G300" i="7"/>
  <c r="G301" i="7"/>
  <c r="G302" i="7"/>
  <c r="G303" i="7"/>
  <c r="G304" i="7"/>
  <c r="G305" i="7"/>
  <c r="G306" i="7"/>
  <c r="E74" i="28"/>
  <c r="E76" i="28"/>
  <c r="F88" i="30"/>
  <c r="F90" i="30"/>
  <c r="F74" i="28"/>
  <c r="F76" i="28"/>
  <c r="E65" i="29"/>
  <c r="E67" i="29"/>
  <c r="F65" i="29"/>
  <c r="F67" i="29"/>
  <c r="W24" i="33"/>
  <c r="W26" i="33"/>
  <c r="W60" i="23"/>
  <c r="W64" i="23"/>
  <c r="W65" i="23"/>
  <c r="F127" i="32"/>
  <c r="F130" i="32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E11" i="38"/>
  <c r="E127" i="32"/>
  <c r="E130" i="32"/>
  <c r="E9" i="38"/>
  <c r="E21" i="38"/>
  <c r="D11" i="38"/>
  <c r="D9" i="38"/>
  <c r="D21" i="38"/>
  <c r="F152" i="38"/>
  <c r="F154" i="38"/>
  <c r="F156" i="38"/>
  <c r="E113" i="34"/>
  <c r="F113" i="34"/>
  <c r="F115" i="34"/>
  <c r="G350" i="7"/>
  <c r="E11" i="39"/>
  <c r="E152" i="38"/>
  <c r="E154" i="38"/>
  <c r="E166" i="38"/>
  <c r="E156" i="38"/>
  <c r="E163" i="35"/>
  <c r="F163" i="35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D133" i="38"/>
  <c r="E165" i="38"/>
  <c r="E167" i="38"/>
  <c r="E168" i="38"/>
  <c r="D134" i="38"/>
  <c r="E9" i="39"/>
  <c r="E20" i="39"/>
  <c r="E116" i="39"/>
  <c r="E117" i="39"/>
  <c r="D11" i="39"/>
  <c r="D9" i="39"/>
  <c r="D20" i="39"/>
  <c r="E133" i="38"/>
  <c r="E134" i="38"/>
  <c r="G376" i="7"/>
  <c r="G377" i="7"/>
  <c r="G378" i="7"/>
  <c r="G379" i="7"/>
  <c r="G380" i="7"/>
  <c r="E11" i="40"/>
  <c r="E144" i="39"/>
  <c r="F165" i="35"/>
  <c r="E165" i="35"/>
  <c r="D116" i="39"/>
  <c r="E143" i="39"/>
  <c r="E145" i="39"/>
  <c r="E146" i="39"/>
  <c r="D11" i="40"/>
  <c r="D9" i="40"/>
  <c r="D27" i="40"/>
  <c r="E9" i="40"/>
  <c r="E27" i="40"/>
  <c r="D117" i="39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E132" i="39"/>
  <c r="F132" i="39"/>
  <c r="G422" i="7"/>
  <c r="G423" i="7"/>
  <c r="E123" i="40"/>
  <c r="E124" i="40"/>
  <c r="D123" i="40"/>
  <c r="F155" i="40"/>
  <c r="D124" i="40"/>
  <c r="E53" i="41"/>
  <c r="F138" i="41"/>
  <c r="E138" i="41"/>
  <c r="W27" i="33"/>
  <c r="E127" i="34"/>
  <c r="E129" i="34"/>
  <c r="E130" i="34"/>
  <c r="D99" i="34"/>
  <c r="D146" i="35"/>
  <c r="D145" i="35"/>
  <c r="E176" i="35"/>
  <c r="E178" i="35"/>
  <c r="E179" i="35"/>
  <c r="E13" i="35"/>
  <c r="E24" i="35"/>
  <c r="F160" i="35"/>
  <c r="E145" i="35"/>
  <c r="E146" i="35"/>
  <c r="G31" i="37"/>
  <c r="G32" i="37"/>
  <c r="G33" i="37"/>
  <c r="G34" i="37"/>
  <c r="G35" i="37"/>
  <c r="G36" i="37"/>
  <c r="G37" i="37"/>
  <c r="G38" i="37"/>
  <c r="G39" i="37"/>
  <c r="G40" i="37"/>
  <c r="G41" i="37"/>
  <c r="G42" i="37"/>
  <c r="G43" i="37"/>
  <c r="G44" i="37"/>
  <c r="G45" i="37"/>
  <c r="G46" i="37"/>
  <c r="G47" i="37"/>
  <c r="G48" i="37"/>
  <c r="G49" i="37"/>
  <c r="G50" i="37"/>
  <c r="D11" i="41"/>
  <c r="F133" i="39"/>
  <c r="F134" i="39"/>
  <c r="F136" i="39"/>
  <c r="E133" i="39"/>
  <c r="E134" i="39"/>
  <c r="E136" i="39"/>
  <c r="E113" i="42"/>
  <c r="E123" i="42"/>
  <c r="D28" i="42"/>
  <c r="E122" i="42"/>
  <c r="E29" i="42"/>
  <c r="D24" i="42"/>
  <c r="E58" i="42"/>
  <c r="E28" i="42"/>
  <c r="D31" i="42"/>
  <c r="E45" i="42"/>
  <c r="E77" i="42"/>
  <c r="D72" i="42"/>
  <c r="E93" i="41"/>
  <c r="E33" i="41"/>
  <c r="E56" i="41"/>
  <c r="E84" i="41"/>
  <c r="E87" i="41"/>
  <c r="E66" i="41"/>
  <c r="D20" i="41"/>
  <c r="D14" i="41"/>
  <c r="E151" i="41"/>
  <c r="E152" i="41"/>
  <c r="E76" i="41"/>
  <c r="F140" i="41"/>
  <c r="F151" i="41"/>
  <c r="D36" i="41"/>
  <c r="E45" i="41"/>
  <c r="E80" i="4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E14" i="41"/>
  <c r="D115" i="41"/>
  <c r="E72" i="41"/>
  <c r="E140" i="41"/>
  <c r="E29" i="41"/>
  <c r="E115" i="41"/>
  <c r="F147" i="41"/>
  <c r="E147" i="41"/>
  <c r="E82" i="41"/>
  <c r="E44" i="41"/>
  <c r="E36" i="41"/>
  <c r="E142" i="40"/>
  <c r="D9" i="41"/>
  <c r="D24" i="41"/>
  <c r="F142" i="40"/>
  <c r="F152" i="4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D124" i="41"/>
  <c r="E153" i="41"/>
  <c r="E79" i="41"/>
  <c r="E124" i="41"/>
  <c r="F153" i="41"/>
  <c r="G1061" i="1"/>
  <c r="G1062" i="1"/>
  <c r="E156" i="41"/>
  <c r="E10" i="41"/>
  <c r="E9" i="41"/>
  <c r="E24" i="41"/>
  <c r="E126" i="41"/>
  <c r="D126" i="41"/>
  <c r="E155" i="41"/>
  <c r="E157" i="41"/>
  <c r="E158" i="41"/>
  <c r="D127" i="41"/>
  <c r="E127" i="41"/>
  <c r="F122" i="42"/>
  <c r="D106" i="42"/>
  <c r="E136" i="42"/>
  <c r="E76" i="42"/>
  <c r="F93" i="36"/>
  <c r="E126" i="42"/>
  <c r="E138" i="42"/>
  <c r="D115" i="42"/>
  <c r="E133" i="42"/>
  <c r="F143" i="40"/>
  <c r="F145" i="40"/>
  <c r="E131" i="42"/>
  <c r="E143" i="40"/>
  <c r="E145" i="40"/>
  <c r="F131" i="42"/>
  <c r="E145" i="41"/>
  <c r="F145" i="41"/>
  <c r="F156" i="40"/>
  <c r="F157" i="40"/>
  <c r="F158" i="40"/>
  <c r="F126" i="42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E31" i="42"/>
  <c r="E73" i="42"/>
  <c r="E75" i="42"/>
  <c r="E139" i="42"/>
  <c r="D117" i="42"/>
  <c r="D118" i="42"/>
  <c r="E115" i="42"/>
  <c r="F144" i="41"/>
  <c r="F146" i="41"/>
  <c r="F148" i="41"/>
  <c r="E144" i="41"/>
  <c r="E146" i="41"/>
  <c r="E148" i="41"/>
  <c r="E130" i="42"/>
  <c r="E132" i="42"/>
  <c r="E134" i="42"/>
  <c r="F130" i="42"/>
  <c r="F132" i="42"/>
  <c r="F134" i="42"/>
  <c r="F137" i="42"/>
  <c r="F138" i="42"/>
  <c r="E72" i="42"/>
  <c r="F139" i="42"/>
  <c r="E117" i="42"/>
  <c r="E118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F95" authorId="0" shapeId="0" xr:uid="{22525EC9-18A1-4AB8-B8A6-F09B47E825E3}">
      <text>
        <r>
          <rPr>
            <b/>
            <sz val="9"/>
            <color indexed="81"/>
            <rFont val="Tahoma"/>
            <family val="2"/>
          </rPr>
          <t xml:space="preserve">Total fondo de pensiones
Prima Seguro 
Comisión AFP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6" authorId="0" shapeId="0" xr:uid="{CB5454B2-A477-424D-B0DB-D99821D897A4}">
      <text>
        <r>
          <rPr>
            <b/>
            <sz val="9"/>
            <color indexed="81"/>
            <rFont val="Tahoma"/>
            <family val="2"/>
          </rPr>
          <t xml:space="preserve">Total fondo de pensiones
Prima Seguro 
Comisión AFP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7" authorId="0" shapeId="0" xr:uid="{95E02D1E-C101-4004-A3D3-1622BA33634E}">
      <text>
        <r>
          <rPr>
            <b/>
            <sz val="9"/>
            <color indexed="81"/>
            <rFont val="Tahoma"/>
            <family val="2"/>
          </rPr>
          <t xml:space="preserve">Total fondo de pensiones
Prima Seguro 
Comisión AFP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6" authorId="0" shapeId="0" xr:uid="{7547C166-C5ED-4D35-91AC-0A3992ADD311}">
      <text>
        <r>
          <rPr>
            <b/>
            <sz val="9"/>
            <color indexed="81"/>
            <rFont val="Tahoma"/>
            <family val="2"/>
          </rPr>
          <t xml:space="preserve">Total fondo de pensiones
Prima Seguro 
Comisión AFP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7" authorId="0" shapeId="0" xr:uid="{5766BE12-5627-4794-9908-49A68653DDB2}">
      <text>
        <r>
          <rPr>
            <b/>
            <sz val="9"/>
            <color indexed="81"/>
            <rFont val="Tahoma"/>
            <family val="2"/>
          </rPr>
          <t xml:space="preserve">Total fondo de pensiones
Prima Seguro 
Comisión AFP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8" authorId="0" shapeId="0" xr:uid="{F960EB69-7522-442D-B10A-A77CC120AA0F}">
      <text>
        <r>
          <rPr>
            <b/>
            <sz val="9"/>
            <color indexed="81"/>
            <rFont val="Tahoma"/>
            <family val="2"/>
          </rPr>
          <t xml:space="preserve">Total fondo de pensiones
Prima Seguro 
Comisión AFP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70" authorId="0" shapeId="0" xr:uid="{AEFDDD5D-289D-4343-8642-2DC23BB81692}">
      <text>
        <r>
          <rPr>
            <b/>
            <sz val="9"/>
            <color indexed="81"/>
            <rFont val="Tahoma"/>
            <family val="2"/>
          </rPr>
          <t xml:space="preserve">Total fondo de pensiones
Prima Seguro 
Comisión AFP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71" authorId="0" shapeId="0" xr:uid="{7847AA9C-939A-4F25-8F63-A1FBFA9E184D}">
      <text>
        <r>
          <rPr>
            <b/>
            <sz val="9"/>
            <color indexed="81"/>
            <rFont val="Tahoma"/>
            <family val="2"/>
          </rPr>
          <t xml:space="preserve">Total fondo de pensiones
Prima Seguro 
Comisión AFP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72" authorId="0" shapeId="0" xr:uid="{82A43E65-4964-4FD8-84AB-2942DEA595D8}">
      <text>
        <r>
          <rPr>
            <b/>
            <sz val="9"/>
            <color indexed="81"/>
            <rFont val="Tahoma"/>
            <family val="2"/>
          </rPr>
          <t xml:space="preserve">Total fondo de pensiones
Prima Seguro 
Comisión AFP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J13" authorId="0" shapeId="0" xr:uid="{8508AE8B-2C8D-4E1E-B7D6-C982B56F4C2F}">
      <text>
        <r>
          <rPr>
            <b/>
            <sz val="9"/>
            <color indexed="81"/>
            <rFont val="Tahoma"/>
            <family val="2"/>
          </rPr>
          <t>Se va a realizar la nota crédito por valor de USD 1.300 y  el saldo que es de USD 70,80 el cliente nos lo pago el 26 de marzo junto con el offcycle.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52" authorId="0" shapeId="0" xr:uid="{ABE47C9C-DE56-4299-BC95-DFA6CDECB548}">
      <text>
        <r>
          <rPr>
            <b/>
            <sz val="9"/>
            <color indexed="81"/>
            <rFont val="Tahoma"/>
            <family val="2"/>
          </rPr>
          <t>Valor a pgar al 15 Mayo S/ 4678,25 con intereses a pagar el 16 Mayo S/ 4.700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4" authorId="0" shapeId="0" xr:uid="{6365AE01-B6C0-40F4-ADF2-7D58A7CB72CD}">
      <text>
        <r>
          <rPr>
            <b/>
            <sz val="9"/>
            <color indexed="81"/>
            <rFont val="Tahoma"/>
            <family val="2"/>
          </rPr>
          <t xml:space="preserve">Son CTS S/1.922,55 mas S/ 77,45 cifra rendondeada para GMF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51" authorId="0" shapeId="0" xr:uid="{934F150D-80F7-46A8-838A-2FE95F43F270}">
      <text>
        <r>
          <rPr>
            <b/>
            <sz val="9"/>
            <color indexed="81"/>
            <rFont val="Tahoma"/>
            <family val="2"/>
          </rPr>
          <t>la factura E001-713  por la gestión de pago de la CTS por valor de S/ 1.180. se  cruza este valor con el valor que tiene que devolver de la CTS de Fiorella Chavez que era de S/ 1.591,01 y el saldo final de S/ 411.01 se transfiere a la cuenta de S&amp;P.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14" authorId="0" shapeId="0" xr:uid="{D57DA089-0026-400D-A7ED-CA15E7498EA4}">
      <text>
        <r>
          <rPr>
            <b/>
            <sz val="9"/>
            <color indexed="81"/>
            <rFont val="Tahoma"/>
            <family val="2"/>
          </rPr>
          <t>Alfonso Fonseca:</t>
        </r>
        <r>
          <rPr>
            <sz val="9"/>
            <color indexed="81"/>
            <rFont val="Tahoma"/>
            <family val="2"/>
          </rPr>
          <t xml:space="preserve">
se coloca en ceros este pago ya que se esta teniendo en cuenta en el saldo del Banco ya que corresponde al 08 de enero de 2026.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F15" authorId="0" shapeId="0" xr:uid="{8F4AAA26-F213-4A96-8FD6-D855A442781B}">
      <text>
        <r>
          <rPr>
            <b/>
            <sz val="9"/>
            <color indexed="81"/>
            <rFont val="Tahoma"/>
            <family val="2"/>
          </rPr>
          <t xml:space="preserve">Dinero abonado en soles a la cuenta del Sr. Gustin el pasado  23 de enero.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<sst xmlns="http://schemas.openxmlformats.org/spreadsheetml/2006/main" count="4765" uniqueCount="1460">
  <si>
    <t>FECHA</t>
  </si>
  <si>
    <t>INGRESO</t>
  </si>
  <si>
    <t>SALIDA</t>
  </si>
  <si>
    <t>SALDO</t>
  </si>
  <si>
    <t>USD</t>
  </si>
  <si>
    <t>Descripción</t>
  </si>
  <si>
    <t>Facturado</t>
  </si>
  <si>
    <t>BCP SOLES</t>
  </si>
  <si>
    <t>Transferencia de fondos por apertura de cuenta</t>
  </si>
  <si>
    <t>Gestion pago del token</t>
  </si>
  <si>
    <t>Envio estado de cuenta</t>
  </si>
  <si>
    <t>Costo por uso de pagina bancaria</t>
  </si>
  <si>
    <t>Mantenimiento TD</t>
  </si>
  <si>
    <t>Pago póliza vida seguro RUC 20613146360</t>
  </si>
  <si>
    <t>Transferencia de fondos de la cuenta de USD a Soles para pago de nómina</t>
  </si>
  <si>
    <t>Comisión interbancaria por transferencia pago nómina</t>
  </si>
  <si>
    <t>Impuesto ITF</t>
  </si>
  <si>
    <t xml:space="preserve">Transferencia de fondos desde la cuenta de USD a Soles para pago pólizas </t>
  </si>
  <si>
    <t xml:space="preserve">Transferencia de fondos de la cuenta de USD a Soles para  pago de seguridad social de noviembre </t>
  </si>
  <si>
    <t>BCP USD</t>
  </si>
  <si>
    <t xml:space="preserve">DESCRIPCIÓN </t>
  </si>
  <si>
    <t>Devolución Mantenimiento TD</t>
  </si>
  <si>
    <t>Envío de recursos desde casa matriz S&amp;P col a Sucursal Perú para fondeo cuenta y pago Proveedor</t>
  </si>
  <si>
    <t>Pago de facturas Nro. 4734 servicio de octubre y 4853 servicios de noviembre- Estudio Fuentes</t>
  </si>
  <si>
    <t xml:space="preserve">Portes autosobre </t>
  </si>
  <si>
    <t>Pago servicios mes de noviembre Remotefisrt SIL</t>
  </si>
  <si>
    <t>Transferencia de fondos de la cuenta de USD a Soles para pago nómina Gonzalo Gabriel Armas-Remotefisrt</t>
  </si>
  <si>
    <t>Intereses deudores</t>
  </si>
  <si>
    <t>Transferencia de fondos de la cuenta de USD a Soles para Seguridad social de noviembre</t>
  </si>
  <si>
    <t>Porte extracto Numer</t>
  </si>
  <si>
    <t>Remotefisrt client: SIL</t>
  </si>
  <si>
    <t>Exchange rate</t>
  </si>
  <si>
    <t>Month</t>
  </si>
  <si>
    <t>Soles</t>
  </si>
  <si>
    <t>November</t>
  </si>
  <si>
    <t>December</t>
  </si>
  <si>
    <t>Year</t>
  </si>
  <si>
    <t>Date</t>
  </si>
  <si>
    <t>Transferencia de fondo entre cuentas</t>
  </si>
  <si>
    <t>Diferencia Soles</t>
  </si>
  <si>
    <t>Transferencia de fondos de la cuenta de USD a Soles para gastos empleado Noviembre</t>
  </si>
  <si>
    <t xml:space="preserve">Transferencia de fondos de la cuenta de USD a Soles para pagos </t>
  </si>
  <si>
    <t>Pago de seguridad social noviembre</t>
  </si>
  <si>
    <t>Pago servicios mes de diciembre Remotefisrt SIL</t>
  </si>
  <si>
    <t xml:space="preserve">Fecha </t>
  </si>
  <si>
    <t xml:space="preserve">Descripción </t>
  </si>
  <si>
    <t>Valor</t>
  </si>
  <si>
    <t xml:space="preserve">50% Anticipo constitución </t>
  </si>
  <si>
    <t>IGV</t>
  </si>
  <si>
    <t>Apertura cuenta</t>
  </si>
  <si>
    <t>Comisión Bancaria</t>
  </si>
  <si>
    <t xml:space="preserve">50% Saldo final constitución </t>
  </si>
  <si>
    <t>factura estudio fuentes 4734 Oct</t>
  </si>
  <si>
    <t>factura estudio fuentes 4853 Nov</t>
  </si>
  <si>
    <t>Dinero Caja</t>
  </si>
  <si>
    <t>TOTAL</t>
  </si>
  <si>
    <t xml:space="preserve">Pago póliza vida seguro </t>
  </si>
  <si>
    <t>Pago Nómina Noviembre Gonzalo Gabriel Armas</t>
  </si>
  <si>
    <t>Seguridad social noviembre</t>
  </si>
  <si>
    <t>Pago Gratificaciones y Bonificación de Perú Diciembre Gonzalo Gabriel Armas</t>
  </si>
  <si>
    <t>factura estudio fuentes 5107 Dic</t>
  </si>
  <si>
    <t>Total</t>
  </si>
  <si>
    <t>Transferencia de fondos de la cuenta de USD a Soles para Salarios, Seguridad social e impuestos de Diciembre</t>
  </si>
  <si>
    <t>Aporte Esauld</t>
  </si>
  <si>
    <t>Gastos Financieros soles</t>
  </si>
  <si>
    <t>Gastos Financieros USD</t>
  </si>
  <si>
    <t>Mantenimiento Adic Neg</t>
  </si>
  <si>
    <t>Pago EESSALUD Seguridad regular trabajador Gonzalo Gabrile Armas-Remotefirst</t>
  </si>
  <si>
    <t>Pago de facturas Nro.5107 servicio de Diciembre- Estudio Fuentes</t>
  </si>
  <si>
    <t xml:space="preserve">Pago de renta Diciembre </t>
  </si>
  <si>
    <t>Pago EESSALUD Seguridad regular trabajador Gonzalo Gabriel Armas-Remotefirst</t>
  </si>
  <si>
    <t>Pago de facturas Nro.5260 servicio de Enero- Estudio Fuentes</t>
  </si>
  <si>
    <t>Transferencia de fondos de la cuenta de USD a Soles para Salarios, reembolsos , Seguridad social e impuestos de Enero</t>
  </si>
  <si>
    <t>January</t>
  </si>
  <si>
    <t>Pago servicios mes de enero Remotefisrt SIL</t>
  </si>
  <si>
    <t>Pago Examenes médicos de ingreso señor Braidy Vera -Administración de servicio en salud ocupacional S.A.C</t>
  </si>
  <si>
    <t>Pago recibo Nro.1528202171 seguro complementario de trabajo de riesgo pensiones</t>
  </si>
  <si>
    <t>Pago recibos nro.158202179 -15202008 seguro complementario de trabajo de riesgo salud</t>
  </si>
  <si>
    <t>PLAME Essalud y Renta de Quinta Categoría (Retención)</t>
  </si>
  <si>
    <t xml:space="preserve">Pago de seguridad social Diciembre </t>
  </si>
  <si>
    <t>Pago de seguridad social Enero</t>
  </si>
  <si>
    <t>Pago de renta Enero</t>
  </si>
  <si>
    <t>Pago recibo Nro.158638301 seguro complementario de trabajo de riesgo salud-HectorAndrés Zevallos Vásquez</t>
  </si>
  <si>
    <t>***** Saldo final llegada de recursos****</t>
  </si>
  <si>
    <t>Febreruary</t>
  </si>
  <si>
    <t>Transferencia de fondos de la cuenta de USD a Soles para Salarios, Seguridad social e impuestos de Febrero</t>
  </si>
  <si>
    <t>Transferencia de fondos de la cuenta de USD a Soles para Salarios, Seguridad social e impuestos de Enero</t>
  </si>
  <si>
    <t>Pago de facturas Nro.5440 servicio de Febrero- Estudio Fuentes</t>
  </si>
  <si>
    <t>Seguro de vida Ley S - Paricela Castillo Carol Milagros</t>
  </si>
  <si>
    <t xml:space="preserve">Seguro complementario de trabajo de riesgos de salud </t>
  </si>
  <si>
    <t>Seguro complementario de trabajo de riesgos Pensio</t>
  </si>
  <si>
    <t>Pago servicios mes de Febrero Remotefisrt SIL- Factura 7</t>
  </si>
  <si>
    <t>Pago servicios mes de Febrero Remotefisrt SIL-Factura 8</t>
  </si>
  <si>
    <t>Pago servicios mes de Febrero Remotefisrt SIL-Factura 6</t>
  </si>
  <si>
    <t>Pago servicios mes de Febrero Remotefisrt SIL-Factura 9</t>
  </si>
  <si>
    <t>Comisión Gratificaciones y Bonificación de Perú  Gonzalo Gabriel Armas-Remofisrt</t>
  </si>
  <si>
    <t>Comisión Gratificaciones y Bonificación de Perú  Héctor Andrés Zevallos Vasquez-Remofirst</t>
  </si>
  <si>
    <t>Pago Nómina Noviembre Gonzalo Gabriel Armas-Remofisrt</t>
  </si>
  <si>
    <t>Pago Gratificaciones y Bonificación de Perú  Gonzalo Gabriel Armas-Remofisrt</t>
  </si>
  <si>
    <t>Devolución de dinero Gratificaciones y Bonificación de Perú  Gonzalo Gabriel Armas-Remofisrt</t>
  </si>
  <si>
    <t>Pago Nómina Diciembre Gonzalo Gabriel Armas-Remofisrt</t>
  </si>
  <si>
    <t>Pago Nómina Enero Gonzalo Gabriel Armas-Remofisrt</t>
  </si>
  <si>
    <t>Pago reembolso Gonzalo Gabriel Armas-Remofisrt</t>
  </si>
  <si>
    <t>Pago anticipo de empleado Gonzalo Gabriel Armas-Remofisrt</t>
  </si>
  <si>
    <t>Pago Nómina Febrero Gonzalo Gabriel Armas-Remofisrt</t>
  </si>
  <si>
    <t>Pago Nómina Febrero Braydi Yusset Vera Neira</t>
  </si>
  <si>
    <t>Transferencia de fondos de la cuenta de USD a Soles para Salarios, reembolsos , Seguridad social e impuestos de Febrero-Europortage</t>
  </si>
  <si>
    <t>Transferencia de fondos de la cuenta de USD a Soles para Salarios, reembolsos , Seguridad social e impuestos de Febrero Remofirst</t>
  </si>
  <si>
    <t>Europortage</t>
  </si>
  <si>
    <t>Fecha de Elaboración:</t>
  </si>
  <si>
    <t>Tasa de cambio:</t>
  </si>
  <si>
    <t>MARZO</t>
  </si>
  <si>
    <t>VALOR USD</t>
  </si>
  <si>
    <t>BANCOS</t>
  </si>
  <si>
    <t>Bancos  USD</t>
  </si>
  <si>
    <t>CLIENTES</t>
  </si>
  <si>
    <t>Sin Pagar</t>
  </si>
  <si>
    <t>TOTAL INGRESOS</t>
  </si>
  <si>
    <t xml:space="preserve">CUENTAS X PAGAR MES </t>
  </si>
  <si>
    <t>Factura</t>
  </si>
  <si>
    <t>PROVEEDOR</t>
  </si>
  <si>
    <t>Fecha vencimiento</t>
  </si>
  <si>
    <t>Estado</t>
  </si>
  <si>
    <t>KPI</t>
  </si>
  <si>
    <t>SEGURIDAD IGSS</t>
  </si>
  <si>
    <t xml:space="preserve">IMPUESTOS </t>
  </si>
  <si>
    <t>Cancelado</t>
  </si>
  <si>
    <t xml:space="preserve">COSTOS FINANCIEROS </t>
  </si>
  <si>
    <t xml:space="preserve">NÓMINAS </t>
  </si>
  <si>
    <t>IMPREVISTO</t>
  </si>
  <si>
    <t>TOTAL EGRESOS</t>
  </si>
  <si>
    <t xml:space="preserve">% </t>
  </si>
  <si>
    <t>Fecha Inicial</t>
  </si>
  <si>
    <t>Fecha Final</t>
  </si>
  <si>
    <t>Valor VALOR ₡ CRC</t>
  </si>
  <si>
    <t>Valor VALOR USD</t>
  </si>
  <si>
    <t xml:space="preserve">TOTAL EGRESOS </t>
  </si>
  <si>
    <t>Gastos y costos Periodo 01 al 23 de Marzo</t>
  </si>
  <si>
    <t>Saldo</t>
  </si>
  <si>
    <t xml:space="preserve">Total Egresos </t>
  </si>
  <si>
    <t>Validación</t>
  </si>
  <si>
    <t>Bancos S/ Soles</t>
  </si>
  <si>
    <t>VALOR S/ Sol</t>
  </si>
  <si>
    <t>Gonzalo Gabriel Armas-Remofisrt</t>
  </si>
  <si>
    <t xml:space="preserve">SERVICIOS OUTSORCING CONTABLE </t>
  </si>
  <si>
    <t>Pago Nómina Febrero Héctor Andrés Zevallos Vasquez-Europortage</t>
  </si>
  <si>
    <t>Braydi Yusset Vera Neira-Europortage</t>
  </si>
  <si>
    <t>Héctor Andrés Zevallos Vasquez-Remotefirst</t>
  </si>
  <si>
    <t xml:space="preserve">Estudio fuentes servicios marzo </t>
  </si>
  <si>
    <t>Pago de renta IGV</t>
  </si>
  <si>
    <t>VALOR S/Sol</t>
  </si>
  <si>
    <t>Planilla de declaración y pago de aportes previsional-Gonzálo de armas</t>
  </si>
  <si>
    <t>Planilla de declaración y pago de aportes previsional-Braydi Yusset Vera Neyra</t>
  </si>
  <si>
    <t>Planilla de declaración y pago de aportes previsional Hector Andrés Zevallos Váquez</t>
  </si>
  <si>
    <t>Planilla de declaración y pago de aportes previsional Hector Andrés Zevallos Vásquez</t>
  </si>
  <si>
    <t>Festivos Perú</t>
  </si>
  <si>
    <t>Pago examen médico ocupacional  de ingreso Christian Portugal Europortage</t>
  </si>
  <si>
    <t>Pago seguro complementario de trabajo riesgo salud-Obreros alto riesgo- Recibo Nro 159141649</t>
  </si>
  <si>
    <t>Pago seguro complementario de trabajo riesgo salud-trabajadores de alto riesgo- Recibo Nro 159141650</t>
  </si>
  <si>
    <t>Pago seguro complementario de vida ley Christian Portugal Europortage</t>
  </si>
  <si>
    <t>Pago saldo examen médico ocupacional  de ingreso Christian Portugal Europortage-Electrocardiograma</t>
  </si>
  <si>
    <t>F001 - 0013697</t>
  </si>
  <si>
    <t>PÓLIZAS DE VIDA Y SEGUROS MÉDICO</t>
  </si>
  <si>
    <t>Póliza de salud Braidy Vera- pago 12 meses -1er mes</t>
  </si>
  <si>
    <t>Pago de renta Febrero</t>
  </si>
  <si>
    <t>Pago servicios mes de Marzo Eurportage SIL-Factura 12</t>
  </si>
  <si>
    <t xml:space="preserve">Pago servicios mes de Marzo Remotefisrt SIL-Factura 11- Abono </t>
  </si>
  <si>
    <r>
      <t xml:space="preserve">Client:  Remorfist-Factura Nro </t>
    </r>
    <r>
      <rPr>
        <sz val="11"/>
        <color indexed="8"/>
        <rFont val="Calibri"/>
        <family val="2"/>
      </rPr>
      <t>13-Offcycle</t>
    </r>
  </si>
  <si>
    <r>
      <t xml:space="preserve">Client:  Eurportage-Factura Nro </t>
    </r>
    <r>
      <rPr>
        <sz val="11"/>
        <color indexed="8"/>
        <rFont val="Calibri"/>
        <family val="2"/>
      </rPr>
      <t>12</t>
    </r>
  </si>
  <si>
    <t>Pagado</t>
  </si>
  <si>
    <r>
      <t xml:space="preserve">Client:  Remorfist-Factura Nro </t>
    </r>
    <r>
      <rPr>
        <sz val="11"/>
        <color indexed="8"/>
        <rFont val="Calibri"/>
        <family val="2"/>
      </rPr>
      <t>11</t>
    </r>
    <r>
      <rPr>
        <sz val="11"/>
        <rFont val="Calibri"/>
        <family val="2"/>
      </rPr>
      <t>-Abono</t>
    </r>
  </si>
  <si>
    <t>Pago servicios mes de Marzo Remotefisrt SIL-Factura 13- Off cycle y saldo final factura 11 -USD 70,80</t>
  </si>
  <si>
    <t>Notas crédito</t>
  </si>
  <si>
    <t xml:space="preserve">Factura inicial </t>
  </si>
  <si>
    <t>Valor final real</t>
  </si>
  <si>
    <t>Pago de facturas Nro.5628 servicio de Marzo- Estudio Fuentes</t>
  </si>
  <si>
    <t>Cristhian Portugal Segovia -Europortage</t>
  </si>
  <si>
    <t>REEMBOLSO</t>
  </si>
  <si>
    <t>Reembolso Braydi Yusset Vera Neira-Europortage</t>
  </si>
  <si>
    <t>Reembolso Gonzalo Gabriel Armas-Remofisrt</t>
  </si>
  <si>
    <t>Reembolso Héctor Andrés Zevallos Vasquez-Remotefirst</t>
  </si>
  <si>
    <t>Pago servicios mes de Marzo Eurportage SIL-14</t>
  </si>
  <si>
    <t>Transferencia de fondos de la cuenta de USD a Soles para Salarios, Seguridad social e impuestos de Marzo</t>
  </si>
  <si>
    <t>Pago Nómina Marzo Gonzalo Gabriel Armas-Remofisrt</t>
  </si>
  <si>
    <t>Pago Nómina Marzo Cristhian Portugal Segovia -Europortage</t>
  </si>
  <si>
    <t>Pago Nómina Marzo Héctor Andrés Zevallos Vasquez-Remofirst</t>
  </si>
  <si>
    <t>Pago Nómina Marzo Braydi Yusset Vera Neira-Europortage</t>
  </si>
  <si>
    <t>Pago reembolso Braydi Yusset Vera Neira-Europortage</t>
  </si>
  <si>
    <t>Pago reembolso Héctor Andrés Zevallos Vasquez-Remofirst</t>
  </si>
  <si>
    <t>Comisión Gratificaciones y Bonificación de Perú  Cristhian Portugal Segovia -Europortage</t>
  </si>
  <si>
    <t>March</t>
  </si>
  <si>
    <t>Presentación anual declaración anual 2024</t>
  </si>
  <si>
    <t>Comisión Mantenimiento</t>
  </si>
  <si>
    <t>Devolución pago Nómina Marzo Cristhian Portugal Segovia -Europortage Nómina marzo</t>
  </si>
  <si>
    <t>Pago Nómina Marzo Cristhian Portugal Segovia -Europortage Nómina marzo</t>
  </si>
  <si>
    <t>Pago seguros de vida complementario ley, SCTS y SCTP Héctor Andréz Zevallos- Recibo 159827721</t>
  </si>
  <si>
    <t>Pago seguros de vida complementario ley, SCTS y SCTP Braidy Yuseet vera Neyra - Recibo 159827700</t>
  </si>
  <si>
    <t>Pago seguros de vida complementario ley, SCTS y SCTP Christian Portugal Segovia - Recibo 159827866</t>
  </si>
  <si>
    <t>Flujo Caja</t>
  </si>
  <si>
    <t>Libro Bancos</t>
  </si>
  <si>
    <t xml:space="preserve">Diferencia USD </t>
  </si>
  <si>
    <t>ABRIL</t>
  </si>
  <si>
    <t xml:space="preserve">Imprevisto </t>
  </si>
  <si>
    <t xml:space="preserve">Seguros de vida complementario ley, SCTS y SCTP Braidy Yuseet vera Neyra </t>
  </si>
  <si>
    <t>Seguros de vida complementario ley, SCTS y SCTP Héctor Andréz Zevallos</t>
  </si>
  <si>
    <t>Seguros de vida complementario ley, SCTS y SCTP Christian Portugal Segovia</t>
  </si>
  <si>
    <t xml:space="preserve">Pago renta IGV  e imprevisto </t>
  </si>
  <si>
    <t>Nóminas , reembolso, servicio Estudio fuente</t>
  </si>
  <si>
    <t>Bancos</t>
  </si>
  <si>
    <t>Planilla de declaración y pago de aportes previsional Hector Andrés Zevallos Vásquez Y Cristhian Portugal Segovia</t>
  </si>
  <si>
    <r>
      <t xml:space="preserve">Gonzalo Gabriel Armas-Remofisrt </t>
    </r>
    <r>
      <rPr>
        <b/>
        <sz val="11"/>
        <rFont val="Calibri"/>
        <family val="2"/>
      </rPr>
      <t>( Liquidación)</t>
    </r>
  </si>
  <si>
    <r>
      <t xml:space="preserve">Héctor Andrés Zevallos Vasquez-Remotefirst ( </t>
    </r>
    <r>
      <rPr>
        <b/>
        <sz val="11"/>
        <rFont val="Calibri"/>
        <family val="2"/>
      </rPr>
      <t>Liquidación</t>
    </r>
    <r>
      <rPr>
        <sz val="11"/>
        <rFont val="Calibri"/>
        <family val="2"/>
      </rPr>
      <t>)</t>
    </r>
  </si>
  <si>
    <t>Examen médico Davis Cesar oporto Figueroa</t>
  </si>
  <si>
    <t>Estudio Fuentes</t>
  </si>
  <si>
    <r>
      <t xml:space="preserve">Client:  Remorfist-Factura Nro </t>
    </r>
    <r>
      <rPr>
        <sz val="11"/>
        <color indexed="8"/>
        <rFont val="Calibri"/>
        <family val="2"/>
      </rPr>
      <t>15</t>
    </r>
  </si>
  <si>
    <t>Pago de renta IGV Marzo</t>
  </si>
  <si>
    <t>April</t>
  </si>
  <si>
    <t>Europortage 16</t>
  </si>
  <si>
    <t>Remotefisrt client: SIL 15</t>
  </si>
  <si>
    <t>Saldo cuenta en USD</t>
  </si>
  <si>
    <t xml:space="preserve">Pendiente de llegada recursos </t>
  </si>
  <si>
    <t xml:space="preserve">Diferencia en cambio </t>
  </si>
  <si>
    <r>
      <t xml:space="preserve">Client:  Remorfist-Factura Nro </t>
    </r>
    <r>
      <rPr>
        <sz val="11"/>
        <color indexed="8"/>
        <rFont val="Calibri"/>
        <family val="2"/>
      </rPr>
      <t>17</t>
    </r>
  </si>
  <si>
    <t>Pago servicios mes de abril Remotefisrt SIL Factura 15-17</t>
  </si>
  <si>
    <t>Transferencia de fondos de la cuenta de USD a Soles para liquidación de Gonzalo de Armas  y Hector Zevallos</t>
  </si>
  <si>
    <t>Transferencia de fondos de la cuenta de USD a Soles para para liquidación de Gonzalo de Armas  y Hector Zevallos</t>
  </si>
  <si>
    <t xml:space="preserve">Tralasdo de fondos de la cuenta de soles a USD </t>
  </si>
  <si>
    <t>Transferencia de fondos de la cuenta de USD a Soles para liquidación de Gonzalo de Armas  y Hector Zevallos y retorno de fondos</t>
  </si>
  <si>
    <t>Traslado de fondos de la cuenta de soles a Dolares</t>
  </si>
  <si>
    <t>Pago Liquidación  Gonzalo Gabriel Armas-Remofisrt</t>
  </si>
  <si>
    <t>Pago Liquidación Héctor Andrés Zevallos Vasquez-Remofirst</t>
  </si>
  <si>
    <t>Europortage 18</t>
  </si>
  <si>
    <t>Remotefisrt client: SIL 17</t>
  </si>
  <si>
    <t>Transferencia de fondos de la cuenta de USD a Soles para pago de nóminas y reembolsos, impuestos y SS Europortage</t>
  </si>
  <si>
    <t>Pago Nómina Abril Braydi Yusset Vera Neira-Europortage</t>
  </si>
  <si>
    <t>Pago Reembolso Abril Braydi Yusset Vera Neira-Europortage</t>
  </si>
  <si>
    <t>Reembolso Cristhian Portugal Segovia -Europortage</t>
  </si>
  <si>
    <t>Póliza de salud Braidy Vera- Couta 6 meses fraccionada</t>
  </si>
  <si>
    <t>Estudio fuentes servicios Abril</t>
  </si>
  <si>
    <t>Gastos y costos Periodo 28 al 30 de abril</t>
  </si>
  <si>
    <t>Comisión Gratificaciones y Bonificación de Perú   Cristhian Portugal Segovia -Europortage</t>
  </si>
  <si>
    <t xml:space="preserve">Pago Reembolso Abril Cristhian Portugal Segovia -Europortage </t>
  </si>
  <si>
    <t>Pago de factura Nro.5752 servicio de Abril- Estudio Fuentes</t>
  </si>
  <si>
    <t>MAYO</t>
  </si>
  <si>
    <t>Estudio fuentes servicios mayo</t>
  </si>
  <si>
    <t>Outsorcing contable</t>
  </si>
  <si>
    <t>Gastos y costos Periodo 01 al 25 Mayo</t>
  </si>
  <si>
    <t>Client:  Eurportage-Factura Nro 16-18</t>
  </si>
  <si>
    <t>Póliza de salud Braidy Vera- Cuota 6 meses fraccionada</t>
  </si>
  <si>
    <t>Total Egresos</t>
  </si>
  <si>
    <t>Pago pago Seguros de vida recibo Nro. 160793407</t>
  </si>
  <si>
    <t>Pago SCTR Pensiones recibo Nro. 160793127</t>
  </si>
  <si>
    <t>Pago SCTR Salud recibo Nro. 160793128</t>
  </si>
  <si>
    <t>Seguros de vida recibo 160793407</t>
  </si>
  <si>
    <t>SCTR Pensiones recibo 160793127</t>
  </si>
  <si>
    <t>SCTR Salud recibo 160793128</t>
  </si>
  <si>
    <t>F052-01534951</t>
  </si>
  <si>
    <t>F052-01723823</t>
  </si>
  <si>
    <t>F052-01723822</t>
  </si>
  <si>
    <t>Pago CTC -Pago Renta IGV</t>
  </si>
  <si>
    <t>Deposito CTS -Braydi Yusset Vera Neira</t>
  </si>
  <si>
    <t>Deposito CTS -Christian Portugal Segovia</t>
  </si>
  <si>
    <t>Transferencia de fondo a Cuenta de Selma Hernandez para pago de CTS Braidy Vera en el BCP</t>
  </si>
  <si>
    <t>Pago de renta IGV Abril</t>
  </si>
  <si>
    <t>Tramites pago CTS Braydi Yusset Vera Neira</t>
  </si>
  <si>
    <t>E001-585</t>
  </si>
  <si>
    <t>Pago Tramite pago CTS Braydi Yusset Vera Neira</t>
  </si>
  <si>
    <r>
      <t xml:space="preserve">Client:  Eurportage-Factura Nro </t>
    </r>
    <r>
      <rPr>
        <sz val="11"/>
        <rFont val="Calibri"/>
        <family val="2"/>
      </rPr>
      <t>19</t>
    </r>
  </si>
  <si>
    <t>Europortage 19</t>
  </si>
  <si>
    <t>May</t>
  </si>
  <si>
    <t>Pago servicios mes de Abril Europortage SIL-16-18</t>
  </si>
  <si>
    <t>Tramites Christian Portugal Segovia</t>
  </si>
  <si>
    <t>S/N</t>
  </si>
  <si>
    <t>Estudio fuentes servicio cambio gerente general</t>
  </si>
  <si>
    <t xml:space="preserve">E001-584 </t>
  </si>
  <si>
    <t>Davis Cesar oporto figueroa   -Europortage</t>
  </si>
  <si>
    <t>Transferencia de fondos de la cuenta de USD a la soles pago de nóminas, impuestos , seguridad social Europortage</t>
  </si>
  <si>
    <t>Pago Nómina Abril Cristhian Portugal Segovia -Europortage Nómina Abril</t>
  </si>
  <si>
    <t>Pago Braydi Yusset Vera Neira-Europortage nómina Mayo</t>
  </si>
  <si>
    <t>Pago Cristhian Portugal Segovia -Europortage Nómina Mayo</t>
  </si>
  <si>
    <t>Pago Davis Cesar oporto figueroa -Europortage Nómina Mayo</t>
  </si>
  <si>
    <t>Comisión Gratificaciones y Bonificación de Perú   Davis Cesar oporto figueroa -Europortage</t>
  </si>
  <si>
    <t>Pago Reembolso Mayo Braydi Yusset Vera Neira-Europortage</t>
  </si>
  <si>
    <t xml:space="preserve">Pago Reembolso Mayo Cristhian Portugal Segovia -Europortage </t>
  </si>
  <si>
    <t>Póliza de salud Davis Oporto-Primera cuota</t>
  </si>
  <si>
    <t>Pago de factura Nro.5984 servicio de Mayo- Estudio Fuentes</t>
  </si>
  <si>
    <t>Outsourcing contable servicio abril Avanza</t>
  </si>
  <si>
    <t>Pago Outsourcing contable servicio abril Avanza</t>
  </si>
  <si>
    <t>Pago de factura Nro.6032 servicio de Elaboración de EEFF 2025- Estudio Fuentes</t>
  </si>
  <si>
    <t>Seguros de vida Ley recibo 161448077</t>
  </si>
  <si>
    <t>SCTR Pensiones recibo 161447562</t>
  </si>
  <si>
    <t>SCTR Salud recibo 161447573</t>
  </si>
  <si>
    <t>E001-602</t>
  </si>
  <si>
    <t>Pago Seguros de vida Ley recibo 161448077</t>
  </si>
  <si>
    <t>Pago SCTR Pensiones recibo 161447562</t>
  </si>
  <si>
    <t>Pago SCTR Salud recibo 161447573</t>
  </si>
  <si>
    <t>Póliza de salud Braidy Vera-Mes de abril y mayo</t>
  </si>
  <si>
    <t>Pago de renta IGV Mayo</t>
  </si>
  <si>
    <t>Outsourcing contable servicio Junio Avanza</t>
  </si>
  <si>
    <t>Deposito CTS -Cristhan Portugal-Intereses 1 al 10 Junio</t>
  </si>
  <si>
    <t>Pago renta IGV , ISS, Estudio fuente</t>
  </si>
  <si>
    <t>Plame Essalud y Renta de Quinta Categoría (Retención)</t>
  </si>
  <si>
    <t>JUNIO</t>
  </si>
  <si>
    <t>Valor Valor S/Soles</t>
  </si>
  <si>
    <t>Valor USD</t>
  </si>
  <si>
    <t>F052-01751987</t>
  </si>
  <si>
    <t>F052-01558203</t>
  </si>
  <si>
    <t>F052-01751988</t>
  </si>
  <si>
    <t>F001 - 00006024</t>
  </si>
  <si>
    <t>Pago Estudio fuentes servicio cambio gerente general Factura Nro F001 - 00006024</t>
  </si>
  <si>
    <t>Planilla de declaración y pago de aportes previsional Christian Portugal Segovia</t>
  </si>
  <si>
    <t>Planilla de declaración y pago de aportes previsional-Braydi Yusset Vera Neyra y Davis Cesar Oporto Figueroa</t>
  </si>
  <si>
    <t>Pago de renta IGV mayo</t>
  </si>
  <si>
    <t>Transferencia de fondos de la cuenta soles a USD</t>
  </si>
  <si>
    <t>Envio de dinero Joel David Dionisio Ore-Préstamo Ricardo Arambulo</t>
  </si>
  <si>
    <t>Client:  Europortage-Factura Nro EB01-20</t>
  </si>
  <si>
    <t>Transferencia de fondos de la cuenta de Soles a Dolares</t>
  </si>
  <si>
    <t>Pago servicios mes de Junio Europortage SIL-20</t>
  </si>
  <si>
    <t>June</t>
  </si>
  <si>
    <t xml:space="preserve">Gastos y costos Periodo 23 al 30 junio </t>
  </si>
  <si>
    <t>Envio de dinero para completar los comisiones bancarias del Deposito CTS -Cristhan Portugal-BCP</t>
  </si>
  <si>
    <t>F001 - 00006148</t>
  </si>
  <si>
    <t>Servicio de apersonamiento CTS BBVA y Servicio dirección fiscal junio 2025</t>
  </si>
  <si>
    <t>Pago  Servicio de apersonamiento CTS BBVA y Servicio dirección fiscal junio 2025 Estudio fuentes Fact F001 - 00006148</t>
  </si>
  <si>
    <t>Pago Outsourcing contable servicio mayo Avanza</t>
  </si>
  <si>
    <t>Pago Outsourcing contable servicio junio Avanza</t>
  </si>
  <si>
    <t>Reembolso Davis Cesar oporto figueroa   -Europortage</t>
  </si>
  <si>
    <t>Transferencia de fondos de la cuenta de USD a Soles para Salarios, Seguridad social e impuestos de Junio</t>
  </si>
  <si>
    <t>Pago Braydi Yusset Vera Neira-Europortage nómina Junio</t>
  </si>
  <si>
    <t>Pago Cristhian Portugal Segovia -Europortage Nómina Junio</t>
  </si>
  <si>
    <t>Pago Davis Cesar oporto figueroa -Europortage Nómina Junio</t>
  </si>
  <si>
    <t>Pago Braydi Yusset Vera Neira-Europortage reembolso Junio</t>
  </si>
  <si>
    <t>Pago Cristhian Portugal Segovia -Europortage Reembolso Junio</t>
  </si>
  <si>
    <t>Pago Davis Cesar oporto figueroa -Europortage Reembolso Junio</t>
  </si>
  <si>
    <r>
      <t>Póliza de salud Braidy Vera-Mes de Junio-</t>
    </r>
    <r>
      <rPr>
        <b/>
        <i/>
        <u/>
        <sz val="11"/>
        <color indexed="10"/>
        <rFont val="Calibri"/>
        <family val="2"/>
      </rPr>
      <t>Doble débito</t>
    </r>
  </si>
  <si>
    <t>Imprevisto</t>
  </si>
  <si>
    <t>Pólizas medicas y seguros</t>
  </si>
  <si>
    <t xml:space="preserve">IGSS, Retención 5ta Categoría </t>
  </si>
  <si>
    <t>Pago de renta IGV Junio</t>
  </si>
  <si>
    <t>Nóminas , reembolso, servicio Contable</t>
  </si>
  <si>
    <t>GMF</t>
  </si>
  <si>
    <t>Gastos y costos Periodo 01 al 20 Julio</t>
  </si>
  <si>
    <t>Envio de dinero para completar los GMF del Deposito CTS -Cristhian Portugal-BCP</t>
  </si>
  <si>
    <t>Transferencia de fondo a Cuenta de Martín Alvarado para pago de CTS Christian Portugal en el BBVA</t>
  </si>
  <si>
    <t>SCTR Salud recibo  162413267</t>
  </si>
  <si>
    <t>SCTR Pensiones recibo 162413259</t>
  </si>
  <si>
    <t>Seguros de vida Ley recibo  162427159</t>
  </si>
  <si>
    <t>SCTR Salud recibo 162427441- Ingreso Yon you</t>
  </si>
  <si>
    <t>Pago planilla de declaración y pago de aportes previsional-Braydi Yusset Vera Neyra y Davis Cesar Oporto Figueroa</t>
  </si>
  <si>
    <t>Pago planilla de declaración y pago de aportes previsional Christian Portugal Segovia</t>
  </si>
  <si>
    <t>Pago Seguros de vida Ley recibo  162427159</t>
  </si>
  <si>
    <t>Pago SCTR Pensiones recibo 162413259</t>
  </si>
  <si>
    <t>Pago SCTR Salud recibo  162413267</t>
  </si>
  <si>
    <t>Pago SCTR Salud recibo 162427441- Ingreso Yon you</t>
  </si>
  <si>
    <t>F052-01590916</t>
  </si>
  <si>
    <t xml:space="preserve"> F052-01791306</t>
  </si>
  <si>
    <t xml:space="preserve"> F052-01791305</t>
  </si>
  <si>
    <t>F052-01791304</t>
  </si>
  <si>
    <t>Braydi Yusset Vera Neira-Europortage-Gratificación</t>
  </si>
  <si>
    <t>Cristhian Portugal Segovia -Europortage-Gratificación</t>
  </si>
  <si>
    <t>Davis Cesar oporto figueroa   -Europortage-Gratificación</t>
  </si>
  <si>
    <r>
      <t>Devolución de dinero Joel David Dionisio Ore-Préstamo Ricardo Arambulo-</t>
    </r>
    <r>
      <rPr>
        <b/>
        <i/>
        <sz val="9"/>
        <color indexed="8"/>
        <rFont val="Calibri"/>
        <family val="2"/>
      </rPr>
      <t>Abono</t>
    </r>
  </si>
  <si>
    <t>Seguros de vida Rimac -Davis oporto</t>
  </si>
  <si>
    <t>Pago Braydi Yusset Vera Neira-Europortage Gratificación-Julio</t>
  </si>
  <si>
    <t>Pago saldo póliza Médica Braydi Yusset Vera Neira-Marzo</t>
  </si>
  <si>
    <t>Pago Seguros de vida Ley recibo Rimac Davis oporto</t>
  </si>
  <si>
    <t>Rimac</t>
  </si>
  <si>
    <t>Ricardo</t>
  </si>
  <si>
    <t>Rimac Julio</t>
  </si>
  <si>
    <t>Saldo Banco</t>
  </si>
  <si>
    <t>Pendiente Gratif</t>
  </si>
  <si>
    <t>Diferencia</t>
  </si>
  <si>
    <t>Yon you</t>
  </si>
  <si>
    <t>**</t>
  </si>
  <si>
    <t xml:space="preserve">Prestamo de reembolso cliente </t>
  </si>
  <si>
    <t>Préstamo Panamá</t>
  </si>
  <si>
    <t xml:space="preserve">Redondeado </t>
  </si>
  <si>
    <t>Préstamo S&amp;P Col a Perú desde la cuenta de Panamá</t>
  </si>
  <si>
    <t>Saldo BCP 14 de julio</t>
  </si>
  <si>
    <t>Prestamo de S&amp;P colombia a SYP Perú</t>
  </si>
  <si>
    <t>Comisión Gratificaciones y Bonificación de Perú Cristhian Portugal Segovia -Europortage</t>
  </si>
  <si>
    <t>Pago Cristhian Portugal Segovia-Europortage Gratificación-Julio</t>
  </si>
  <si>
    <t>Pago Davis Cesar oporto figueroa -Europortage Gratificación-Julio</t>
  </si>
  <si>
    <t>Préstamo S&amp;P Colombia</t>
  </si>
  <si>
    <t>Pago Braydi Yusset Vera Neira-Europortage reembolso Julio</t>
  </si>
  <si>
    <t>Client:  Europortage-Factura Nro EB01-21</t>
  </si>
  <si>
    <t>Client: Yonyou xinfushe cloud technology co., limited-Factura Nro EB01-22</t>
  </si>
  <si>
    <r>
      <t xml:space="preserve">Client:  Safeguard-Factura Nro EB01-01 </t>
    </r>
    <r>
      <rPr>
        <b/>
        <i/>
        <sz val="11"/>
        <color indexed="36"/>
        <rFont val="Calibri"/>
        <family val="2"/>
      </rPr>
      <t>( Cliente)</t>
    </r>
  </si>
  <si>
    <t>july</t>
  </si>
  <si>
    <t>Europortage 20</t>
  </si>
  <si>
    <t>Europortage 21</t>
  </si>
  <si>
    <t>Yon You 22</t>
  </si>
  <si>
    <t>Pago de factura Safeguard EB01-1</t>
  </si>
  <si>
    <t>Pago Penny Test Safeguard</t>
  </si>
  <si>
    <t>DIF Soles</t>
  </si>
  <si>
    <t>Dif USD</t>
  </si>
  <si>
    <t>Remotepass 23</t>
  </si>
  <si>
    <t>Client:  Remotepass-Factura Nro EB01-23</t>
  </si>
  <si>
    <r>
      <t xml:space="preserve">Client:  Safeguard-Factura Nro EB01-02 </t>
    </r>
    <r>
      <rPr>
        <b/>
        <i/>
        <sz val="11"/>
        <color indexed="36"/>
        <rFont val="Calibri"/>
        <family val="2"/>
      </rPr>
      <t>( Cliente)</t>
    </r>
  </si>
  <si>
    <t>Penny Test Fiorella Maribel Chavez Torriani</t>
  </si>
  <si>
    <t>Comisión por transferencia Penny Test Fiorella Maribel Chavez Torriani</t>
  </si>
  <si>
    <t>Pago servicios mes de Mayo Europortage SIL-19</t>
  </si>
  <si>
    <t>Pago servicios mes de Julio Europortage-Factura Nro EB01-21</t>
  </si>
  <si>
    <t>Pago servicios mes de Julio Remotepass-Factura Nro EB01-23</t>
  </si>
  <si>
    <t>Pago servicios mes de Julio Yonyou xinfushe cloud technology co., limited-Factura Nro EB01-22</t>
  </si>
  <si>
    <t>Transferencia de fondos de la cuenta de USD a Soles para Salarios Europortage, Seguridad social e impuestos de Julio</t>
  </si>
  <si>
    <t>Pago Braydi Yusset Vera Neira-Europortage nómina Julio</t>
  </si>
  <si>
    <t>Pago Cristhian Portugal Segovia -Europortage Nómina Julio</t>
  </si>
  <si>
    <t>Pago Davis Cesar oporto figueroa -Europortage Nómina Julio</t>
  </si>
  <si>
    <t>Luis Renato Sanchez Perez  -Yon Yuo</t>
  </si>
  <si>
    <t>Christiams Hebert Valle Gomez   -Remotepass</t>
  </si>
  <si>
    <t>Pago Luis Renato Sanchez Perez -Yon You Nómina Julio</t>
  </si>
  <si>
    <t>Transferencia de fondos de la cuenta de USD a Soles para Salarios Yon you, Seguridad social e impuestos de Julio</t>
  </si>
  <si>
    <t>Comisión Gratificaciones y Bonificación de Perú   DLuis Renato Sanchez Perez -Yon Yuo</t>
  </si>
  <si>
    <t>Pago Christiams Hebert Valle Gómez -Remotepass Nómina Julio</t>
  </si>
  <si>
    <t>Comisión Gratificaciones y Bonificación de Perú Christiams Hebert Valle Gómez -Remotepass</t>
  </si>
  <si>
    <t>Pago Fiorella Maribel chavez Torriani -Safeguard Nómina Julio</t>
  </si>
  <si>
    <t>Comisión Gratificaciones y Bonificación de Perú Fiorella Maribel chavez Torriani -Safeguard</t>
  </si>
  <si>
    <t>Pago Claudia Anabel cardenas -Safeguard Nómina Julio</t>
  </si>
  <si>
    <t>Comisión Gratificaciones y Bonificación de Perú Claudia Anabel cardenas -Safeguard</t>
  </si>
  <si>
    <t>Pago Braydi Yusset Vera Neira-Europortage Reembolso Julio</t>
  </si>
  <si>
    <t>Pago Cristhian Portugal Segovia -Europortage Reembolso Julio</t>
  </si>
  <si>
    <t>Pago Davis Cesar oporto figueroa -Europortage Reembolso Julio</t>
  </si>
  <si>
    <t>Transferencia de fondos de la cuenta de USD a Soles para Salarios Safeguard, Seguridad social e impuestos de Julio</t>
  </si>
  <si>
    <t>E001-637</t>
  </si>
  <si>
    <t>Outsourcing contable servicio Julio a S&amp;P- Avanza</t>
  </si>
  <si>
    <t>Outsourcing contable servicio mayo a SG- Avanza</t>
  </si>
  <si>
    <t>Outsourcing contable servicio junio  a SG- Avanza</t>
  </si>
  <si>
    <t>Outsourcing contable servicio julio  a SG- Avanza</t>
  </si>
  <si>
    <t>E001-641</t>
  </si>
  <si>
    <t>E001-642</t>
  </si>
  <si>
    <t>E001-643</t>
  </si>
  <si>
    <t>Pago Outsourcing contable servicio Julio a S&amp;P Avanza</t>
  </si>
  <si>
    <t>Pago Outsourcing contable servicio Mayo-Junio y Julio a SG Avanza</t>
  </si>
  <si>
    <t>Pago póliza Nro 130541 seguro de vida Ley - Safeguard</t>
  </si>
  <si>
    <t>Pago SCTR Salud Pensión y Seguro Vida Ley PERÚ Agosto 2025- Recibos 163099737- 163099842-163101072-163101084</t>
  </si>
  <si>
    <r>
      <t xml:space="preserve">SCTR Salud recibo  </t>
    </r>
    <r>
      <rPr>
        <sz val="11"/>
        <color indexed="10"/>
        <rFont val="Calibri"/>
        <family val="2"/>
      </rPr>
      <t>162413267</t>
    </r>
  </si>
  <si>
    <r>
      <t xml:space="preserve">Seguros de vida Ley recibo  </t>
    </r>
    <r>
      <rPr>
        <sz val="11"/>
        <color indexed="10"/>
        <rFont val="Calibri"/>
        <family val="2"/>
      </rPr>
      <t>162427159</t>
    </r>
  </si>
  <si>
    <r>
      <t xml:space="preserve">SCTR Salud recibo </t>
    </r>
    <r>
      <rPr>
        <sz val="11"/>
        <color indexed="10"/>
        <rFont val="Calibri"/>
        <family val="2"/>
      </rPr>
      <t>162427441</t>
    </r>
    <r>
      <rPr>
        <sz val="11"/>
        <rFont val="Calibri"/>
        <family val="2"/>
      </rPr>
      <t>- Ingreso Yon you</t>
    </r>
  </si>
  <si>
    <t>Gastos safeguard Perú</t>
  </si>
  <si>
    <t>Gastos financieros</t>
  </si>
  <si>
    <t>Polizas Safeguard ,Rimac y Mapfre</t>
  </si>
  <si>
    <t>AGOSTO</t>
  </si>
  <si>
    <t>JULIO</t>
  </si>
  <si>
    <t>Planilla de declaración y pago de aportes previsional Christiams Hebert Valle Gomez   -Remotepass</t>
  </si>
  <si>
    <t>Planilla de declaración y pago de aportes previsional Christian Portugal Segovia y Luis renato Sanchez Martinez</t>
  </si>
  <si>
    <t>Gastos y costos Periodo 01 al 24 agosto</t>
  </si>
  <si>
    <t>Devolucion de dinero a S&amp;P Panamá</t>
  </si>
  <si>
    <t>Pólizas Previstas</t>
  </si>
  <si>
    <t>Plame Essalud y Renta de Quinta Categoría (Retención) renta Julio</t>
  </si>
  <si>
    <t xml:space="preserve">Outsourcing contable servicio </t>
  </si>
  <si>
    <t>Outsourcing contable servicio agosto  a SG- Avanza</t>
  </si>
  <si>
    <t>Outsourcing contable servicio agosto a S&amp;P- Avanza</t>
  </si>
  <si>
    <t>Seguridad social IGSS</t>
  </si>
  <si>
    <t>Pago planilla de declaración y pago de aportes previsional Christian Portugal Segovia y Luis renato Sanchez Martinez</t>
  </si>
  <si>
    <t>Pago planilla de declaración y pago de aportes previsional Christiams Hebert Valle Gomez   -Remotepass</t>
  </si>
  <si>
    <t>Plame Essalud y Renta de Quinta Categoría (Retención)-SG</t>
  </si>
  <si>
    <t>Pago Póliza de salud Davis Oporto-Primera cuota-Rimac 1666179043</t>
  </si>
  <si>
    <t>Seguros de vida Rimac -Braydi Vera-Julio</t>
  </si>
  <si>
    <t>Seguros de vida Rimac -Braydi Vera-Agosto</t>
  </si>
  <si>
    <r>
      <t>Planilla de declaración y pago de aportes previsional-Claudia Anabel Vasquez Cardenas-</t>
    </r>
    <r>
      <rPr>
        <b/>
        <i/>
        <sz val="11"/>
        <rFont val="Calibri"/>
        <family val="2"/>
      </rPr>
      <t>Integra</t>
    </r>
  </si>
  <si>
    <r>
      <t>Planilla de declaración y pago de aportes previsional-Fiorella Maribel Chavez Torriani-</t>
    </r>
    <r>
      <rPr>
        <b/>
        <i/>
        <sz val="11"/>
        <rFont val="Calibri"/>
        <family val="2"/>
      </rPr>
      <t>Habitat</t>
    </r>
  </si>
  <si>
    <t>AFP Safeguard-Plame SG-Rimac Braydi Vera</t>
  </si>
  <si>
    <t>Pago de renta IGV Julio</t>
  </si>
  <si>
    <t>Envio de dinero a Selma para pago de Planilla de declaración y pago de aportes previsional Habitat e integra Safeguard</t>
  </si>
  <si>
    <t>Envio de dinero a Selma para pago de Planilla de declaración y pago de aportes previsional Habitat e integra Safeguard-redondear valor</t>
  </si>
  <si>
    <t>Envio de dinero a Selma Avanza para rendondear el valor y pagar planilla de aportes previsional</t>
  </si>
  <si>
    <t>PLAME Essalud y Renta de Quinta Categoría (Retención)-Safeguard</t>
  </si>
  <si>
    <t>Pago de renta IGV Julio-Safeguard</t>
  </si>
  <si>
    <t xml:space="preserve">Envío de token a Bogotá a telecrédito </t>
  </si>
  <si>
    <t>Envío de dinero a delivery para envio de token y tarjeta telecredito BCP Perú</t>
  </si>
  <si>
    <t>Penny test Angel Augusto Allauca Garcia</t>
  </si>
  <si>
    <t xml:space="preserve">Penny test Juan Ulises Aguirre Tacunan </t>
  </si>
  <si>
    <t>Penny test Esteban Gonzalo Arias Suárez</t>
  </si>
  <si>
    <t>Comisión Penny test Esteban Gonzalo Arias Suárez</t>
  </si>
  <si>
    <r>
      <t xml:space="preserve">Client:  Safeguard-Factura Nro EB01-03 </t>
    </r>
    <r>
      <rPr>
        <b/>
        <i/>
        <sz val="11"/>
        <color indexed="36"/>
        <rFont val="Calibri"/>
        <family val="2"/>
      </rPr>
      <t>( Cliente)</t>
    </r>
  </si>
  <si>
    <r>
      <t xml:space="preserve">Client:  Safeguard-Factura Nro EB01-04 </t>
    </r>
    <r>
      <rPr>
        <b/>
        <i/>
        <sz val="11"/>
        <color indexed="36"/>
        <rFont val="Calibri"/>
        <family val="2"/>
      </rPr>
      <t>( Cliente)</t>
    </r>
  </si>
  <si>
    <r>
      <t>Client:  Europortage-Factura Nro EB01</t>
    </r>
    <r>
      <rPr>
        <sz val="11"/>
        <color indexed="10"/>
        <rFont val="Calibri"/>
        <family val="2"/>
      </rPr>
      <t>-</t>
    </r>
    <r>
      <rPr>
        <sz val="11"/>
        <rFont val="Calibri"/>
        <family val="2"/>
      </rPr>
      <t>24</t>
    </r>
  </si>
  <si>
    <r>
      <t>Client: Yonyou xinfushe cloud technology co., limited-Factura Nro EB01-</t>
    </r>
    <r>
      <rPr>
        <sz val="11"/>
        <rFont val="Calibri"/>
        <family val="2"/>
      </rPr>
      <t>26</t>
    </r>
  </si>
  <si>
    <t>Devolucion de dinero de delivery por menor valor en el envío de token y tarjeta telecredito BCP Perú</t>
  </si>
  <si>
    <t>Devolución de dinero Delivery</t>
  </si>
  <si>
    <t>Abono de factura Safeguard Nro 03</t>
  </si>
  <si>
    <r>
      <t>Client:  Remotepass-Factura Nro EB01-</t>
    </r>
    <r>
      <rPr>
        <sz val="11"/>
        <rFont val="Calibri"/>
        <family val="2"/>
      </rPr>
      <t>25</t>
    </r>
  </si>
  <si>
    <t>Penny test David Eduardo Estela Guzman</t>
  </si>
  <si>
    <t>Comisión Penny test David Eduardo Estela Guzman</t>
  </si>
  <si>
    <r>
      <t xml:space="preserve">SCTR Salud recibo  </t>
    </r>
    <r>
      <rPr>
        <sz val="11"/>
        <rFont val="Calibri"/>
        <family val="2"/>
      </rPr>
      <t>162413267</t>
    </r>
  </si>
  <si>
    <r>
      <t xml:space="preserve">Seguros de vida Ley recibo  </t>
    </r>
    <r>
      <rPr>
        <sz val="11"/>
        <rFont val="Calibri"/>
        <family val="2"/>
      </rPr>
      <t>162427159</t>
    </r>
  </si>
  <si>
    <r>
      <t xml:space="preserve">SCTR Salud recibo </t>
    </r>
    <r>
      <rPr>
        <sz val="11"/>
        <rFont val="Calibri"/>
        <family val="2"/>
      </rPr>
      <t>162427441</t>
    </r>
    <r>
      <rPr>
        <sz val="11"/>
        <rFont val="Calibri"/>
        <family val="2"/>
      </rPr>
      <t>- Ingreso Yon you</t>
    </r>
  </si>
  <si>
    <t>Inicio mes</t>
  </si>
  <si>
    <t>Cierre</t>
  </si>
  <si>
    <t>Devolución de dinero Pago Póliza por doble débito del  10 junio 2025</t>
  </si>
  <si>
    <r>
      <t xml:space="preserve">Pago Póliza de salud Braidy Vera-Mes </t>
    </r>
    <r>
      <rPr>
        <b/>
        <i/>
        <sz val="9"/>
        <color indexed="12"/>
        <rFont val="Calibri"/>
        <family val="2"/>
      </rPr>
      <t>Agosto</t>
    </r>
  </si>
  <si>
    <r>
      <t>Pago Póliza de salud Braidy Vera-Mes</t>
    </r>
    <r>
      <rPr>
        <b/>
        <i/>
        <sz val="9"/>
        <color indexed="12"/>
        <rFont val="Calibri"/>
        <family val="2"/>
      </rPr>
      <t xml:space="preserve"> Julio</t>
    </r>
  </si>
  <si>
    <r>
      <t xml:space="preserve">Pago Póliza de salud Braidy Vera-Mes de </t>
    </r>
    <r>
      <rPr>
        <b/>
        <i/>
        <sz val="9"/>
        <color indexed="12"/>
        <rFont val="Calibri"/>
        <family val="2"/>
      </rPr>
      <t>Junio</t>
    </r>
    <r>
      <rPr>
        <b/>
        <i/>
        <sz val="9"/>
        <color indexed="10"/>
        <rFont val="Calibri"/>
        <family val="2"/>
      </rPr>
      <t xml:space="preserve"> </t>
    </r>
    <r>
      <rPr>
        <sz val="9"/>
        <color indexed="8"/>
        <rFont val="Calibri"/>
        <family val="2"/>
      </rPr>
      <t>-Se cruza 11666179044</t>
    </r>
  </si>
  <si>
    <r>
      <t xml:space="preserve">Pago Póliza de salud Braidy Vera-Mes de </t>
    </r>
    <r>
      <rPr>
        <b/>
        <sz val="9"/>
        <color indexed="12"/>
        <rFont val="Calibri"/>
        <family val="2"/>
      </rPr>
      <t>Mayo</t>
    </r>
    <r>
      <rPr>
        <b/>
        <i/>
        <sz val="9"/>
        <color indexed="10"/>
        <rFont val="Calibri"/>
        <family val="2"/>
      </rPr>
      <t xml:space="preserve"> </t>
    </r>
    <r>
      <rPr>
        <sz val="9"/>
        <color indexed="8"/>
        <rFont val="Calibri"/>
        <family val="2"/>
      </rPr>
      <t>- se cruza</t>
    </r>
    <r>
      <rPr>
        <sz val="9"/>
        <color indexed="8"/>
        <rFont val="Calibri"/>
        <family val="2"/>
      </rPr>
      <t>-11666179043</t>
    </r>
  </si>
  <si>
    <r>
      <t xml:space="preserve">Pago Póliza de salud Braidy Vera-Mes de </t>
    </r>
    <r>
      <rPr>
        <b/>
        <sz val="9"/>
        <color indexed="12"/>
        <rFont val="Calibri"/>
        <family val="2"/>
      </rPr>
      <t>abril</t>
    </r>
  </si>
  <si>
    <r>
      <t xml:space="preserve">Pago Póliza de salud Braidy Vera-Mes </t>
    </r>
    <r>
      <rPr>
        <b/>
        <i/>
        <sz val="9"/>
        <color indexed="12"/>
        <rFont val="Calibri"/>
        <family val="2"/>
      </rPr>
      <t>Marzo</t>
    </r>
  </si>
  <si>
    <r>
      <t xml:space="preserve">Pago Póliza de salud Braidy Vera-Mes de </t>
    </r>
    <r>
      <rPr>
        <b/>
        <i/>
        <sz val="9"/>
        <color indexed="12"/>
        <rFont val="Calibri"/>
        <family val="2"/>
      </rPr>
      <t>Febrero</t>
    </r>
  </si>
  <si>
    <r>
      <t>Pago póliza de salud Braidy Vera-</t>
    </r>
    <r>
      <rPr>
        <b/>
        <i/>
        <sz val="9"/>
        <color indexed="12"/>
        <rFont val="Calibri"/>
        <family val="2"/>
      </rPr>
      <t>Enero</t>
    </r>
  </si>
  <si>
    <t>Factura Safeguard Nro 02</t>
  </si>
  <si>
    <t>Pago servicios mes de Agosto Europortage-Factura Nro EB01-24</t>
  </si>
  <si>
    <t>Pago servicios mes de Agosto Remotepass-Factura Nro EB01-25</t>
  </si>
  <si>
    <t>Factura Safeguard Nro 02 (doble vez)- Nro 04</t>
  </si>
  <si>
    <t>Pago final de factura Safeguard Nro 03</t>
  </si>
  <si>
    <t>Pago exámenes de ingreso Europortage</t>
  </si>
  <si>
    <t>Pago exámenes de ingreso Europortage-Pend Fac</t>
  </si>
  <si>
    <t>Telecredito mantenimiento</t>
  </si>
  <si>
    <t>NÓMINAS -SAFEGUARD</t>
  </si>
  <si>
    <t xml:space="preserve">Fiorella maribel chavez torriani </t>
  </si>
  <si>
    <t>Claudia anabel vasquez cardenas</t>
  </si>
  <si>
    <t>Juan ulises aguirre tacunan</t>
  </si>
  <si>
    <t xml:space="preserve">Angel augusto allauca garcia </t>
  </si>
  <si>
    <t xml:space="preserve">Esteban gonzalo arias suarez </t>
  </si>
  <si>
    <t xml:space="preserve">David eduardo estela guzman </t>
  </si>
  <si>
    <t>Transferencia de fondos de la cuenta de USD a Soles para Salarios Safeguard, Seguridad social e impuestos de Agosto</t>
  </si>
  <si>
    <t>Nómina mes de agosto Fiorella Maribel Chavez Torriani-Safeguard</t>
  </si>
  <si>
    <t>comisión transferencia</t>
  </si>
  <si>
    <t>Nómina mes de agosto David Eduardo Estela Guzman -Safeguard</t>
  </si>
  <si>
    <t>Nómina mes de agosto Esteban Gonzalo Arias Suarez -Safeguard</t>
  </si>
  <si>
    <t>Nómina mes de agosto Angel augusto allauca garcia -Safeguard</t>
  </si>
  <si>
    <t>Nómina mes de agosto Juan Ulises Aguirre Tacunan  -Safeguard</t>
  </si>
  <si>
    <t>Nómina mes de agosto Claudia Anabel Vasquez Cardenas  -Safeguard</t>
  </si>
  <si>
    <t>Pago Christiams Hebert Valle Gómez -Remotepass Nómina Agosto</t>
  </si>
  <si>
    <t>Transferencia de fondos de la cuenta de USD a Soles para Salarios S&amp;P, Seguridad social e impuestos de Agosto</t>
  </si>
  <si>
    <t>Transferencia de fondos de la cuenta de USD a Soles para Salarios Clientes S&amp;P, Seguridad social e impuestos de Agosto</t>
  </si>
  <si>
    <t>Pago Braydi Yusset Vera Neira-Europortage Reembolso Agosto</t>
  </si>
  <si>
    <t>Pago Cristhian Portugal Segovia -Europortage Reembolso Agosto</t>
  </si>
  <si>
    <t>Pago Davis Cesar oporto figueroa -Europortage Reembolso Agosto</t>
  </si>
  <si>
    <t>Pago Braydi Yusset Vera Neira-Europortage Nómina Agosto</t>
  </si>
  <si>
    <t>Pago Cristhian Portugal Segovia -Europortage Nómina Agosto</t>
  </si>
  <si>
    <t>Pago Davis Cesar oporto figueroa -Europortage Nómina Agosto</t>
  </si>
  <si>
    <t>Pago Luis Renato Sanchez Perez -Yon You Nómina Agosto</t>
  </si>
  <si>
    <r>
      <t xml:space="preserve">SCTR Salud Europartage recibo </t>
    </r>
    <r>
      <rPr>
        <sz val="11"/>
        <rFont val="Calibri"/>
        <family val="2"/>
      </rPr>
      <t>163943236</t>
    </r>
    <r>
      <rPr>
        <sz val="11"/>
        <rFont val="Calibri"/>
        <family val="2"/>
      </rPr>
      <t xml:space="preserve">-Septiembre </t>
    </r>
  </si>
  <si>
    <t>SCTR Pensiones europortage recibo 163943233 -Sep</t>
  </si>
  <si>
    <r>
      <t xml:space="preserve">Seguros de vida Europortage Ley recibo </t>
    </r>
    <r>
      <rPr>
        <sz val="11"/>
        <rFont val="Calibri"/>
        <family val="2"/>
      </rPr>
      <t>163943397</t>
    </r>
    <r>
      <rPr>
        <sz val="11"/>
        <rFont val="Calibri"/>
        <family val="2"/>
      </rPr>
      <t xml:space="preserve"> -Sep</t>
    </r>
  </si>
  <si>
    <r>
      <t xml:space="preserve">SCTR Salud recibo </t>
    </r>
    <r>
      <rPr>
        <sz val="11"/>
        <rFont val="Calibri"/>
        <family val="2"/>
      </rPr>
      <t>163943342</t>
    </r>
    <r>
      <rPr>
        <sz val="11"/>
        <rFont val="Calibri"/>
        <family val="2"/>
      </rPr>
      <t>- Yon you</t>
    </r>
  </si>
  <si>
    <t>Pago SCTR Pensiones europortage recibo 163943233 -Sep</t>
  </si>
  <si>
    <r>
      <t xml:space="preserve">Pago SCTR Salud Europartage recibo </t>
    </r>
    <r>
      <rPr>
        <sz val="9"/>
        <rFont val="Calibri"/>
        <family val="2"/>
      </rPr>
      <t>163943236</t>
    </r>
    <r>
      <rPr>
        <sz val="9"/>
        <rFont val="Calibri"/>
        <family val="2"/>
      </rPr>
      <t xml:space="preserve">-Septiembre </t>
    </r>
  </si>
  <si>
    <r>
      <t xml:space="preserve">Pago Seguros de vida Europortage Ley recibo </t>
    </r>
    <r>
      <rPr>
        <sz val="9"/>
        <rFont val="Calibri"/>
        <family val="2"/>
      </rPr>
      <t>163943397</t>
    </r>
    <r>
      <rPr>
        <sz val="9"/>
        <rFont val="Calibri"/>
        <family val="2"/>
      </rPr>
      <t xml:space="preserve"> -Sep</t>
    </r>
  </si>
  <si>
    <t>NÓMINAS CLIENTES S&amp;P</t>
  </si>
  <si>
    <t>GASTOS SAFEGUARD PERÚ</t>
  </si>
  <si>
    <t>Poliza vida Ley Fiorella Chavez - Claudia Anabel Vasquez</t>
  </si>
  <si>
    <t>Poliza vida Ley David Giancarlo Estela Guzman</t>
  </si>
  <si>
    <t>Poliza vida Ley Juan Aguirre-Angel Allauca- Esteban Arias</t>
  </si>
  <si>
    <r>
      <t xml:space="preserve">Pago SCTR Salud recibo </t>
    </r>
    <r>
      <rPr>
        <sz val="9"/>
        <rFont val="Calibri"/>
        <family val="2"/>
      </rPr>
      <t>163943342- Yon you</t>
    </r>
  </si>
  <si>
    <t>Pago poliza vida Ley David Giancarlo Estela Guzman-Recibo 18815106</t>
  </si>
  <si>
    <t xml:space="preserve">Pago poliza vida Ley Juan Aguirre-Angel Allauca- Esteban Arias-Recibo  18815106 </t>
  </si>
  <si>
    <t>Pago poliza vida Ley Fiorella Chavez - Claudia Anabel Vasquez -Recibo 18815106</t>
  </si>
  <si>
    <t>Consultora SVC SAC - Implementación del Sistema gestión SST</t>
  </si>
  <si>
    <t>E001-995</t>
  </si>
  <si>
    <t>E001-659</t>
  </si>
  <si>
    <t>E001-661</t>
  </si>
  <si>
    <t>Gestiones administrativoas y bancarias a S&amp;P</t>
  </si>
  <si>
    <t>Gestiones administrativas y bancarias a S&amp;P</t>
  </si>
  <si>
    <t>Outsourcing contable servicio agosto  a SG- Avanza Factura E001-661</t>
  </si>
  <si>
    <t>Outsourcing contable servicio agosto a S&amp;P- Avanza Factura E001-659</t>
  </si>
  <si>
    <t>E001-666</t>
  </si>
  <si>
    <t>Comisión transferencia</t>
  </si>
  <si>
    <t>Consultora SVC SAC - Implementación del Sistema gestión SST Factura E001-995</t>
  </si>
  <si>
    <r>
      <t xml:space="preserve">Seguros de vida Europortage Ley recibo </t>
    </r>
    <r>
      <rPr>
        <sz val="11"/>
        <rFont val="Calibri"/>
        <family val="2"/>
      </rPr>
      <t>164092598</t>
    </r>
    <r>
      <rPr>
        <sz val="11"/>
        <rFont val="Calibri"/>
        <family val="2"/>
      </rPr>
      <t xml:space="preserve"> -Sep</t>
    </r>
    <r>
      <rPr>
        <sz val="11"/>
        <rFont val="Calibri"/>
        <family val="2"/>
      </rPr>
      <t>-Ingreso</t>
    </r>
  </si>
  <si>
    <t>Seguros de vida Rimac -Andrés Felipe Uribe ( primer mes)- Europortage</t>
  </si>
  <si>
    <t>Pago Seguro de vida Europortage Ley recibo 164092598 -Sep-Ingreso</t>
  </si>
  <si>
    <t>Pago Seguro de vida Rimac -Andrés Felipe Uribe ( primer mes)- Europortage</t>
  </si>
  <si>
    <t>SEPTIEMBRE</t>
  </si>
  <si>
    <t>Pago de renta IGV agosto</t>
  </si>
  <si>
    <t>COSTOS FINANCIEROS SAFEGUARD</t>
  </si>
  <si>
    <t>Pago de renta IGV Agosto</t>
  </si>
  <si>
    <t>Planilla de declaración</t>
  </si>
  <si>
    <t>Plame Essalud y Renta de Quinta Categoría (Retención) renta Agosto S&amp;P</t>
  </si>
  <si>
    <t>Nóminas y pólizas Octubre S&amp;P y global</t>
  </si>
  <si>
    <t>Pago Planilla de declaración y pago de aportes previsional Christiams Hebert Valle Gomez   -Remotepass</t>
  </si>
  <si>
    <r>
      <t>Planilla de declaración y pago de aportes previsional-</t>
    </r>
    <r>
      <rPr>
        <b/>
        <i/>
        <sz val="11"/>
        <color indexed="10"/>
        <rFont val="Calibri"/>
        <family val="2"/>
      </rPr>
      <t>Habitat</t>
    </r>
  </si>
  <si>
    <r>
      <t>Planilla de declaración y pago de aportes previsional-</t>
    </r>
    <r>
      <rPr>
        <b/>
        <i/>
        <sz val="11"/>
        <color indexed="10"/>
        <rFont val="Calibri"/>
        <family val="2"/>
      </rPr>
      <t>Integra</t>
    </r>
  </si>
  <si>
    <r>
      <t>Planilla de declaración y pago de aportes previsional-</t>
    </r>
    <r>
      <rPr>
        <b/>
        <i/>
        <sz val="11"/>
        <color indexed="10"/>
        <rFont val="Calibri"/>
        <family val="2"/>
      </rPr>
      <t>Prima</t>
    </r>
  </si>
  <si>
    <t>Envio de dinero a Selma para pago de Planilla de declaración y pago de aportes previsional Habitat, PRIMA e integra Safeguard</t>
  </si>
  <si>
    <t xml:space="preserve">Soles </t>
  </si>
  <si>
    <t>Ingresos</t>
  </si>
  <si>
    <t>Gastos</t>
  </si>
  <si>
    <t>Julio</t>
  </si>
  <si>
    <t>Mes</t>
  </si>
  <si>
    <t>Agosto</t>
  </si>
  <si>
    <t>Factura 03</t>
  </si>
  <si>
    <t>Factura 04</t>
  </si>
  <si>
    <t>Factura 02-Julio</t>
  </si>
  <si>
    <t>Pago deoble factura Nro 02</t>
  </si>
  <si>
    <t>Client:  Remotepass-Factura Nro 002</t>
  </si>
  <si>
    <t>Client: Yonyou xinfushe cloud technology co., limited-Factura Nro 003</t>
  </si>
  <si>
    <t>Client:  Europortage-Factura Nro 001</t>
  </si>
  <si>
    <t>Client:  Europortage-Factura Nro 004-Aidicional</t>
  </si>
  <si>
    <t>Pago de renta IGV Agosto-Safeguard</t>
  </si>
  <si>
    <t>Pago Plame Essalud y Renta de Quinta Categoría (Retención)- S&amp;P Perú</t>
  </si>
  <si>
    <t>Pago PLAME Essalud y Renta de Quinta Categoría (Retención)-Safeguard</t>
  </si>
  <si>
    <t>Pago de renta IGV Agosto S&amp;P</t>
  </si>
  <si>
    <t>1150159812</t>
  </si>
  <si>
    <r>
      <t xml:space="preserve">Client:  Safeguard-Factura Nro EB01-05 </t>
    </r>
    <r>
      <rPr>
        <b/>
        <i/>
        <sz val="11"/>
        <color indexed="36"/>
        <rFont val="Calibri"/>
        <family val="2"/>
      </rPr>
      <t>( Cliente)</t>
    </r>
  </si>
  <si>
    <t>August</t>
  </si>
  <si>
    <t>Europortage 24</t>
  </si>
  <si>
    <t>Yon You 26</t>
  </si>
  <si>
    <t>Pago servicios mes de AgostoYonyou xinfushe cloud technology co., limited-Factura Nro EB01-26</t>
  </si>
  <si>
    <t>Remotepass 25</t>
  </si>
  <si>
    <t>Dato Julio</t>
  </si>
  <si>
    <t>Safeguard World International LTD</t>
  </si>
  <si>
    <t>Pago positiva-Pensión- Juan Ulises Aguirre - Martin Felix Garci</t>
  </si>
  <si>
    <t>Pago positiva-EPS- Juan Ulises Aguirre - Martin Felix Garci</t>
  </si>
  <si>
    <t>Pago Rimac-EPS</t>
  </si>
  <si>
    <t>ES6375102-01</t>
  </si>
  <si>
    <t xml:space="preserve"> F548 - 00455369</t>
  </si>
  <si>
    <t>Pago Rimac-EPS-Olga Paredes</t>
  </si>
  <si>
    <t>ES6391596-01</t>
  </si>
  <si>
    <t>Pago Rimac-EPS-Natalia</t>
  </si>
  <si>
    <t xml:space="preserve"> F548 - 00447103</t>
  </si>
  <si>
    <t xml:space="preserve">Pago positiva-Pensión- Juan Ulises Aguirre </t>
  </si>
  <si>
    <t xml:space="preserve">Pago positiva-EPS- Juan Ulises Aguirre </t>
  </si>
  <si>
    <t>Pagos seguro de vida ley - eps rimac y sctr global perú</t>
  </si>
  <si>
    <t>Disponibilidad de recursos Eurportage</t>
  </si>
  <si>
    <r>
      <t>Client:  Safeguard-Factura Nro EB01-07</t>
    </r>
    <r>
      <rPr>
        <b/>
        <i/>
        <sz val="11"/>
        <color indexed="36"/>
        <rFont val="Calibri"/>
        <family val="2"/>
      </rPr>
      <t>( Cliente)</t>
    </r>
  </si>
  <si>
    <t>SG Cliente</t>
  </si>
  <si>
    <t>Client: Yonyou xinfushe cloud technology co., limited-Factura Nro 005</t>
  </si>
  <si>
    <t>Penny test Adriana Jimena Elera Tejada</t>
  </si>
  <si>
    <t>Penny test Sergio Martin Gustin García</t>
  </si>
  <si>
    <t>Penny test Olga Alejandro Paredes Paucarcaja</t>
  </si>
  <si>
    <t>Penny test Natalia Marianella Florian Parra</t>
  </si>
  <si>
    <t>Penny test Johanna Ximena Cordova Sanchez</t>
  </si>
  <si>
    <t>Penny test Martín Rolando Felix García</t>
  </si>
  <si>
    <t>Pago servicios mes de septiembre Remotepass-Factura Nro 002</t>
  </si>
  <si>
    <t>Pago servicios mes de septiembre yon you-Facturas Nro 003-005</t>
  </si>
  <si>
    <t>Facturas Septiembre Safeguard Nro 005-006-007 Abono</t>
  </si>
  <si>
    <t>Devolución Penny test Olga Alejandro Paredes Paucarcaja</t>
  </si>
  <si>
    <r>
      <t xml:space="preserve">Seguros de vida Europortage Ley recibo </t>
    </r>
    <r>
      <rPr>
        <sz val="11"/>
        <rFont val="Calibri"/>
        <family val="2"/>
      </rPr>
      <t>164654721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>-Oct</t>
    </r>
  </si>
  <si>
    <r>
      <t xml:space="preserve">SCTR Salud recibo </t>
    </r>
    <r>
      <rPr>
        <sz val="11"/>
        <rFont val="Calibri"/>
        <family val="2"/>
      </rPr>
      <t>164654485</t>
    </r>
    <r>
      <rPr>
        <sz val="11"/>
        <rFont val="Calibri"/>
        <family val="2"/>
      </rPr>
      <t>- Yon you</t>
    </r>
    <r>
      <rPr>
        <sz val="11"/>
        <rFont val="Calibri"/>
        <family val="2"/>
      </rPr>
      <t>-Oct</t>
    </r>
  </si>
  <si>
    <r>
      <t xml:space="preserve">SCTR Pensiones europortage recibo </t>
    </r>
    <r>
      <rPr>
        <sz val="11"/>
        <rFont val="Calibri"/>
        <family val="2"/>
      </rPr>
      <t>164654343</t>
    </r>
    <r>
      <rPr>
        <sz val="11"/>
        <rFont val="Calibri"/>
        <family val="2"/>
      </rPr>
      <t xml:space="preserve"> -Octubre</t>
    </r>
  </si>
  <si>
    <r>
      <t xml:space="preserve">SCTR Salud Europartage recibo </t>
    </r>
    <r>
      <rPr>
        <sz val="11"/>
        <rFont val="Calibri"/>
        <family val="2"/>
      </rPr>
      <t>164654347</t>
    </r>
    <r>
      <rPr>
        <sz val="11"/>
        <rFont val="Calibri"/>
        <family val="2"/>
      </rPr>
      <t>-Octubre</t>
    </r>
  </si>
  <si>
    <t>Poliza vida Ley Johanna Ximena Cordova Sanchez</t>
  </si>
  <si>
    <r>
      <t xml:space="preserve">Pago SCTR Salud Europartage recibo </t>
    </r>
    <r>
      <rPr>
        <sz val="11"/>
        <rFont val="Calibri"/>
        <family val="2"/>
      </rPr>
      <t>164654347</t>
    </r>
    <r>
      <rPr>
        <sz val="11"/>
        <rFont val="Calibri"/>
        <family val="2"/>
      </rPr>
      <t>-Octubre</t>
    </r>
  </si>
  <si>
    <r>
      <t xml:space="preserve">Pago SCTR Pensiones europortage recibo </t>
    </r>
    <r>
      <rPr>
        <sz val="11"/>
        <rFont val="Calibri"/>
        <family val="2"/>
      </rPr>
      <t>164654343</t>
    </r>
    <r>
      <rPr>
        <sz val="11"/>
        <rFont val="Calibri"/>
        <family val="2"/>
      </rPr>
      <t xml:space="preserve"> -Octubre</t>
    </r>
  </si>
  <si>
    <r>
      <t xml:space="preserve">PagoSeguros de vida Europortage Ley recibo </t>
    </r>
    <r>
      <rPr>
        <sz val="11"/>
        <rFont val="Calibri"/>
        <family val="2"/>
      </rPr>
      <t>164654721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>-Oct</t>
    </r>
  </si>
  <si>
    <r>
      <t xml:space="preserve">Pago SCTR Salud recibo </t>
    </r>
    <r>
      <rPr>
        <sz val="11"/>
        <rFont val="Calibri"/>
        <family val="2"/>
      </rPr>
      <t>164654485</t>
    </r>
    <r>
      <rPr>
        <sz val="11"/>
        <rFont val="Calibri"/>
        <family val="2"/>
      </rPr>
      <t>- Yon you</t>
    </r>
    <r>
      <rPr>
        <sz val="11"/>
        <rFont val="Calibri"/>
        <family val="2"/>
      </rPr>
      <t>-Oct</t>
    </r>
  </si>
  <si>
    <t>Pago Poliza vida Ley Johanna Ximena Cordova Sanchez</t>
  </si>
  <si>
    <t>Outsourcing contable servicio septiembre  a SG- Avanza</t>
  </si>
  <si>
    <t>Outsourcing contable servicio septiembre a S&amp;P- Avanza</t>
  </si>
  <si>
    <t>E001-679</t>
  </si>
  <si>
    <t>E001-682</t>
  </si>
  <si>
    <t>REEMBOLSO -SAFEGUARD</t>
  </si>
  <si>
    <t xml:space="preserve">Juan Ulises Tucunan </t>
  </si>
  <si>
    <t>Martin Rolando Felix Garcia</t>
  </si>
  <si>
    <t>Reembolso Luis Renato Sanchez Marinez   -Yon Yuo</t>
  </si>
  <si>
    <t>Gastos y costos Periodo 22 al 30  septiembre</t>
  </si>
  <si>
    <t>Transferencia de dinero a cuenta BBVA-Saldo Inicial-Soles</t>
  </si>
  <si>
    <t>Transferencia de dinero a cuenta BBVA-Saldo Inicial-USD</t>
  </si>
  <si>
    <t>Natalia Marianella Florian Parra</t>
  </si>
  <si>
    <t>Sergio Martin Gustin García</t>
  </si>
  <si>
    <t>Olga Alejandra Paredes Paucarcaja</t>
  </si>
  <si>
    <t>Adriana Jimena Elera Tejada</t>
  </si>
  <si>
    <t xml:space="preserve">Martin Rolando Felix García </t>
  </si>
  <si>
    <t>Johanna Ximena Cordova Sanchez</t>
  </si>
  <si>
    <t xml:space="preserve">Comisión </t>
  </si>
  <si>
    <t>Transferencia de fondos de la cuenta de USD a Soles para Salarios Safeguard, Seguridad social e impuestos de Septiembre</t>
  </si>
  <si>
    <t>Nómina mes de Septiembre Claudia Anabel Vasquez Cardenas  -Safeguard</t>
  </si>
  <si>
    <t>Nómina mes de Septiembre Fiorella Maribel Chavez Torriani-Safeguard</t>
  </si>
  <si>
    <t>Nómina mes de septiembre Juan Ulises Aguirre Tacunan  -Safeguard</t>
  </si>
  <si>
    <t>Nómina mes de Septiembre Esteban Gonzalo Arias Suarez -Safeguard</t>
  </si>
  <si>
    <t>Nómina mes de Septiembre Angel augusto allauca garcia -Safeguard</t>
  </si>
  <si>
    <t>Nómina mes de septiembre David Eduardo Estela Guzman -Safeguard</t>
  </si>
  <si>
    <t>Nómina mes de septiembre Natalia Marianella Florian Parra</t>
  </si>
  <si>
    <t>Nómina mes de septiembre Sergio Martin Gustin García</t>
  </si>
  <si>
    <t>Nómina mes de septiembre Olga Alejandro Paredes Paucarcaja</t>
  </si>
  <si>
    <t>Nómina mes de septiembre Adriana Jimena Elera Tejada</t>
  </si>
  <si>
    <t>Nómina mes de septiembre Rolando Felix García</t>
  </si>
  <si>
    <t>Nómina mes de septiembre Jimena Elera Tejada</t>
  </si>
  <si>
    <t>Reembolso mes de septiembre Juan Ulises Aguirre Tacunan  -Safeguard</t>
  </si>
  <si>
    <t>Reembolso mes de septiembre Rolando Felix García</t>
  </si>
  <si>
    <t>Andres Felipe Uribe Avila -Europortage</t>
  </si>
  <si>
    <t>Pago Braydi Yusset Vera Neira-Europortage Nómina Septiembre</t>
  </si>
  <si>
    <t>Pago Cristhian Portugal Segovia -Europortage Nómina Septiembre</t>
  </si>
  <si>
    <t>Pago Davis Cesar oporto figueroa -Europortage Nómina Septiembre</t>
  </si>
  <si>
    <t>Pago Luis Renato Sanchez Perez -Yon You Nómina Septiembre</t>
  </si>
  <si>
    <t>Pago Andres Felupe Uribe Avila -Europortage Nómina Septiembre</t>
  </si>
  <si>
    <t>Polizas vida, outsourcing y costos financieros</t>
  </si>
  <si>
    <t>Pago Braydi Yusset Vera Neira-Europortage Reembolso Septiembre</t>
  </si>
  <si>
    <t>Pago Cristhian Portugal Segovia -Europortage Reembolso Septiembre</t>
  </si>
  <si>
    <t>Pago Davis Cesar oporto figueroa -Europortage Reembolso Septiembre</t>
  </si>
  <si>
    <t>Pago Luis Renato Sanchez Perez -Yon You Reembolso Septiembre</t>
  </si>
  <si>
    <t>Comisión Gratificaciones y Bonificación de Perú Luis Renato Sanchez Perez -Yon Yuo</t>
  </si>
  <si>
    <t>Outsourcing contable servicio agosto  a SG- Avanza Factura E001-679</t>
  </si>
  <si>
    <t>Outsourcing contable servicio agosto a S&amp;P- Avanza Factura E001-682</t>
  </si>
  <si>
    <t>Devolución nómina mes de Septiembre Claudia Anabel Vasquez Cardenas  -Safeguard</t>
  </si>
  <si>
    <t>Pago servicios mes de Septiembre Europortage-Factura Nro 001</t>
  </si>
  <si>
    <t>Pago servicios mes de Septiembre Europortage-Factura Nro 002</t>
  </si>
  <si>
    <t xml:space="preserve">Poliza vida Pacifico </t>
  </si>
  <si>
    <t>Pago poliza vida Pacifico Safeguard</t>
  </si>
  <si>
    <t xml:space="preserve">Saldo Deuda </t>
  </si>
  <si>
    <r>
      <t xml:space="preserve">Client:  Safeguard-Factura Nro EB01-06 </t>
    </r>
    <r>
      <rPr>
        <b/>
        <i/>
        <sz val="11"/>
        <color indexed="8"/>
        <rFont val="Calibri"/>
        <family val="2"/>
      </rPr>
      <t>( Cliente)</t>
    </r>
    <r>
      <rPr>
        <b/>
        <i/>
        <u/>
        <sz val="11"/>
        <color indexed="10"/>
        <rFont val="Calibri"/>
        <family val="2"/>
      </rPr>
      <t>-Abono</t>
    </r>
  </si>
  <si>
    <t>OCTUBRE</t>
  </si>
  <si>
    <t>Planilla de declaración y pago de aportes previsional</t>
  </si>
  <si>
    <t xml:space="preserve">Plame Essalud y Renta de Quinta Categoría (Retención) </t>
  </si>
  <si>
    <t>Renta Agosto S&amp;P</t>
  </si>
  <si>
    <t>Previstos</t>
  </si>
  <si>
    <t>Pólizas Positiva-Rimac-Pacifico</t>
  </si>
  <si>
    <t>Nóminas, reembolsos, servicios Oc, SCTR Pensiones  y salud</t>
  </si>
  <si>
    <t>AFP NET  Selecciona debito BCP</t>
  </si>
  <si>
    <t>Outsorcing contable-Presenta contadora y debito automatico a la cta</t>
  </si>
  <si>
    <t xml:space="preserve">Sunat-presentación PDF-Winzip </t>
  </si>
  <si>
    <t>Transferencia  a la cta BBVA - mirar selma como se paga</t>
  </si>
  <si>
    <t>Entrar Sunat -busca impuesto-debito T</t>
  </si>
  <si>
    <t>Transferencia de fondos de la cuenta de USD a Soles para  Seguridad social e impuestos de Septiembre Europartage</t>
  </si>
  <si>
    <r>
      <t>Planilla de declaración y pago de aportes previsional-</t>
    </r>
    <r>
      <rPr>
        <b/>
        <i/>
        <sz val="11"/>
        <color indexed="10"/>
        <rFont val="Calibri"/>
        <family val="2"/>
      </rPr>
      <t>Profuturo</t>
    </r>
  </si>
  <si>
    <t>Envio de dinero a Selma para pago de Planilla de declaración y pago de aportes previsional Profuturo, Habitat, PRIMA e integra Safeguard</t>
  </si>
  <si>
    <t>Envio de dinero a Selma para pago de Planilla de declaración y pago de aportes previsionalProfuturo,  Habitat e integra Safeguard-redondear valor</t>
  </si>
  <si>
    <t>E001-1040</t>
  </si>
  <si>
    <t>Consultora SVC SAC - Implementación del Sistema gestión SST SAFEGUARD GLOBAL PERU</t>
  </si>
  <si>
    <t>Consultora SVC SAC - Implementación del Sistema gestión SST SAFEGUARD GLOBAL PERU Factura E001-1040</t>
  </si>
  <si>
    <t>E001-690</t>
  </si>
  <si>
    <t>Outsourcing contable servicio de traslado Septiembre</t>
  </si>
  <si>
    <t>Outsourcing contable servicio de traslado Septiembre Factura E001-690 - Avanza</t>
  </si>
  <si>
    <t>Pago de renta IGV Septiembre</t>
  </si>
  <si>
    <r>
      <t xml:space="preserve">Client:  Europortage-Factura Nro </t>
    </r>
    <r>
      <rPr>
        <sz val="11"/>
        <color indexed="8"/>
        <rFont val="Calibri"/>
        <family val="2"/>
      </rPr>
      <t>009</t>
    </r>
  </si>
  <si>
    <r>
      <t xml:space="preserve">Client:  Remotepass-Factura Nro </t>
    </r>
    <r>
      <rPr>
        <sz val="11"/>
        <color indexed="8"/>
        <rFont val="Calibri"/>
        <family val="2"/>
      </rPr>
      <t>008</t>
    </r>
  </si>
  <si>
    <t>September</t>
  </si>
  <si>
    <t>Europortage 001</t>
  </si>
  <si>
    <t>Remotepass 002</t>
  </si>
  <si>
    <t>Yon You 003</t>
  </si>
  <si>
    <t>Yon You 005</t>
  </si>
  <si>
    <t>Europortage 004</t>
  </si>
  <si>
    <t>Pago de renta IGV Septiembre S&amp;P</t>
  </si>
  <si>
    <t>Por NPS que da OC -Ingresa a BCP y pagar servicios buscar Sunat/Pago con NPS y con el Nro</t>
  </si>
  <si>
    <t>Transferencia de fondos de la cuenta de USD a Soles para Salarios Safeguard, Seguridad social e impuestos de Septiembre-IGV y otros</t>
  </si>
  <si>
    <t>Transferencia de fondos de la cuenta de USD a Soles para Salarios Safeguard, Seguridad social e impuestos de Septiembre IGV</t>
  </si>
  <si>
    <t>Pago de renta IGV Septiembre-Safeguard</t>
  </si>
  <si>
    <r>
      <t>Client:  Safeguard-Factura Nro EB01-010</t>
    </r>
    <r>
      <rPr>
        <b/>
        <i/>
        <sz val="11"/>
        <color indexed="36"/>
        <rFont val="Calibri"/>
        <family val="2"/>
      </rPr>
      <t>( Cliente)</t>
    </r>
  </si>
  <si>
    <r>
      <t>Client:  Safeguard-Factura Nro EB01-011</t>
    </r>
    <r>
      <rPr>
        <b/>
        <i/>
        <sz val="11"/>
        <color indexed="36"/>
        <rFont val="Calibri"/>
        <family val="2"/>
      </rPr>
      <t>( Cliente)</t>
    </r>
    <r>
      <rPr>
        <sz val="11"/>
        <rFont val="Calibri"/>
        <family val="2"/>
      </rPr>
      <t>-Renovación póliza</t>
    </r>
  </si>
  <si>
    <t>X recibir de los worke</t>
  </si>
  <si>
    <t>Guardiana</t>
  </si>
  <si>
    <t>Este valor no se recibe ya que se consigna a la cuenta de global para pagar la guardiana</t>
  </si>
  <si>
    <t>Descuento GMF</t>
  </si>
  <si>
    <r>
      <t xml:space="preserve">Client: Yonyou xinfushe cloud technology co., Factura Nro </t>
    </r>
    <r>
      <rPr>
        <sz val="11"/>
        <rFont val="Calibri"/>
        <family val="2"/>
      </rPr>
      <t>012</t>
    </r>
  </si>
  <si>
    <t>October</t>
  </si>
  <si>
    <t>Remotepass 008</t>
  </si>
  <si>
    <t>Yon You 012</t>
  </si>
  <si>
    <t>Europortage 009</t>
  </si>
  <si>
    <t>Facturas Octubre Safeguard EB01-010  Abono</t>
  </si>
  <si>
    <t>Pago servicios mes de Octubre Remotepass-Factura Nro 008</t>
  </si>
  <si>
    <t>Pago servicios mes de Octubre Europortage-Factura Nro 009</t>
  </si>
  <si>
    <t>E001-706</t>
  </si>
  <si>
    <t>E001-703</t>
  </si>
  <si>
    <r>
      <t xml:space="preserve">Seguros de vida Europortage Ley recibo </t>
    </r>
    <r>
      <rPr>
        <sz val="11"/>
        <rFont val="Calibri"/>
        <family val="2"/>
      </rPr>
      <t>165581788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>-Nov</t>
    </r>
  </si>
  <si>
    <r>
      <t xml:space="preserve">SCTR Salud recibo </t>
    </r>
    <r>
      <rPr>
        <sz val="11"/>
        <rFont val="Calibri"/>
        <family val="2"/>
      </rPr>
      <t>165581766</t>
    </r>
    <r>
      <rPr>
        <sz val="11"/>
        <rFont val="Calibri"/>
        <family val="2"/>
      </rPr>
      <t>- Yon you</t>
    </r>
    <r>
      <rPr>
        <sz val="11"/>
        <rFont val="Calibri"/>
        <family val="2"/>
      </rPr>
      <t>-Nov</t>
    </r>
  </si>
  <si>
    <r>
      <t xml:space="preserve">SCTR Pensiones europortage recibo </t>
    </r>
    <r>
      <rPr>
        <sz val="11"/>
        <rFont val="Calibri"/>
        <family val="2"/>
      </rPr>
      <t>165581808</t>
    </r>
    <r>
      <rPr>
        <sz val="11"/>
        <rFont val="Calibri"/>
        <family val="2"/>
      </rPr>
      <t xml:space="preserve"> -Nov</t>
    </r>
  </si>
  <si>
    <r>
      <t xml:space="preserve">SCTR Salud Europartage recibo </t>
    </r>
    <r>
      <rPr>
        <sz val="11"/>
        <rFont val="Calibri"/>
        <family val="2"/>
      </rPr>
      <t>165581817</t>
    </r>
    <r>
      <rPr>
        <sz val="11"/>
        <rFont val="Calibri"/>
        <family val="2"/>
      </rPr>
      <t>-Nov</t>
    </r>
  </si>
  <si>
    <t>Pago SCTR Salud Europartage recibo 165581817-Nov</t>
  </si>
  <si>
    <t>Pago SCTR Pensiones europortage recibo 165581808 -Nov</t>
  </si>
  <si>
    <t>Pago Seguros de vida Europortage Ley recibo 165581788 -Nov</t>
  </si>
  <si>
    <t>Pago SCTR Salud recibo 165581766- Yon you-Nov</t>
  </si>
  <si>
    <t>Seguros de vida Rimac -Andrés Felipe Uribe ( primer mes)- Europortage Septiembre</t>
  </si>
  <si>
    <t>Seguros de vida Rimac -Andrés Felipe Uribe ( segundo mes)- Europortage-Octubre</t>
  </si>
  <si>
    <t>Revisa RIMAC</t>
  </si>
  <si>
    <r>
      <t>Seguros de vida Rimac -Davis oporto</t>
    </r>
    <r>
      <rPr>
        <sz val="11"/>
        <color indexed="10"/>
        <rFont val="Calibri"/>
        <family val="2"/>
      </rPr>
      <t>-Revisa si hay factura</t>
    </r>
  </si>
  <si>
    <t>Pago servicios mes de Octubre yon you-Factura Nro 012</t>
  </si>
  <si>
    <t>Poliza vida Pacifico -18815106</t>
  </si>
  <si>
    <t xml:space="preserve"> F548 - 00464579</t>
  </si>
  <si>
    <t xml:space="preserve">Pago positiva-Pensión- Poliza 30404323 Juan Ulises Aguirre </t>
  </si>
  <si>
    <t>338725425</t>
  </si>
  <si>
    <t>Pago positiva-EPS- Juan Ulises Aguirre</t>
  </si>
  <si>
    <t xml:space="preserve"> F548 - 00466375</t>
  </si>
  <si>
    <t>Gastos y costos Periodo 01 al 31 Octubre</t>
  </si>
  <si>
    <t>Facturas Octubre Safeguard EB01-010  Saldo Final</t>
  </si>
  <si>
    <t>Juan Ulises Aguirre Tacunan</t>
  </si>
  <si>
    <t xml:space="preserve">Angel Augusto Allauca Garcia </t>
  </si>
  <si>
    <t xml:space="preserve">Esteban Gonzalo Arias Suarez </t>
  </si>
  <si>
    <t xml:space="preserve">David Eduardo Estela Guzman </t>
  </si>
  <si>
    <t>Melissa Lizeth Guadalupe Huertas</t>
  </si>
  <si>
    <t>Abraham Luis Enrique Vela Trujillo</t>
  </si>
  <si>
    <t>Transferencia de fondos de la cuenta de USD a Soles para Salarios Safeguard, Seguridad social e impuestos de Octubre-IGV y otros</t>
  </si>
  <si>
    <t>Nómina mes de octubre Natalia Marianella Florian Parra</t>
  </si>
  <si>
    <t>Nómina mes de octubre Adriana Jimena Elera Tejada</t>
  </si>
  <si>
    <t>Nómina mes de octubre Juan Ulises Aguirre Tacunan  -Safeguard</t>
  </si>
  <si>
    <t>Nómina mes de octubre Angel augusto allauca garcia -Safeguard</t>
  </si>
  <si>
    <t>Nómina mes de octubre Luis Enrique Vela Trujillo</t>
  </si>
  <si>
    <t>Nómina mes de octubre David Eduardo Estela Guzman -Safeguard</t>
  </si>
  <si>
    <t>Nómina mes de octubre Fiorella Maribel Chavez Torriani-Safeguard</t>
  </si>
  <si>
    <t>Nómina mes de octubre Sergio Martin Gustin García</t>
  </si>
  <si>
    <t>Nómina mes de octubre Rolando Felix García</t>
  </si>
  <si>
    <t>Nómina mes de octubre Johanna Ximena Cordova Sanchez</t>
  </si>
  <si>
    <t>Nómina mes de octubre Johanna Melissa Liseth Guadalupe Huerta</t>
  </si>
  <si>
    <t>Nómina mes de octubre Esteban Gonzalo Arias Suarez</t>
  </si>
  <si>
    <t>Nómina mes de octubre Olga Alejandra Paredes Paucarcaja</t>
  </si>
  <si>
    <t>Reembolso gastos octubre Juan Ulises Aguirre Tacunan  -Safeguard</t>
  </si>
  <si>
    <t>Reembolso gastos octubre Sergio Martin Gustin García</t>
  </si>
  <si>
    <t>Reembolso gastos octubre Luis Enrique Vela Trujillo</t>
  </si>
  <si>
    <r>
      <t>Sergio Martin Gustin García</t>
    </r>
    <r>
      <rPr>
        <b/>
        <sz val="11"/>
        <color indexed="10"/>
        <rFont val="Calibri"/>
        <family val="2"/>
      </rPr>
      <t>-Soles</t>
    </r>
  </si>
  <si>
    <r>
      <t>Abraham Luis Enrique Vela Trujillo-</t>
    </r>
    <r>
      <rPr>
        <b/>
        <sz val="11"/>
        <color indexed="10"/>
        <rFont val="Calibri"/>
        <family val="2"/>
      </rPr>
      <t>Soles</t>
    </r>
  </si>
  <si>
    <r>
      <t>Sergio Martin Gustin García</t>
    </r>
    <r>
      <rPr>
        <b/>
        <sz val="11"/>
        <color indexed="10"/>
        <rFont val="Calibri"/>
        <family val="2"/>
      </rPr>
      <t>-</t>
    </r>
    <r>
      <rPr>
        <b/>
        <sz val="11"/>
        <color indexed="48"/>
        <rFont val="Calibri"/>
        <family val="2"/>
      </rPr>
      <t>USD</t>
    </r>
  </si>
  <si>
    <r>
      <t>Abraham Luis Enrique Vela Trujillo-</t>
    </r>
    <r>
      <rPr>
        <b/>
        <sz val="11"/>
        <color indexed="48"/>
        <rFont val="Calibri"/>
        <family val="2"/>
      </rPr>
      <t>USD</t>
    </r>
  </si>
  <si>
    <t>Juan Ulises Aguirre Tucunan -Soles</t>
  </si>
  <si>
    <t>Juan Ulises Aguirre Tucunan -USD</t>
  </si>
  <si>
    <t>Pago Christiams Hebert Valle Gómez -Remotepass Nómina Septiembre</t>
  </si>
  <si>
    <t>Pago Braydi Yusset Vera Neira-Europortage Nómina Octubre</t>
  </si>
  <si>
    <t>Pago Cristhian Portugal Segovia -Europortage Nómina Octubre</t>
  </si>
  <si>
    <t>Pago Davis Cesar oporto figueroa -Europortage Nómina Octubre</t>
  </si>
  <si>
    <t>Pago Luis Renato Sanchez Perez -Yon You Nómina Octubre</t>
  </si>
  <si>
    <t>Transferencia de fondos de la cuenta de USD a Soles para Salarios S&amp;P, Seguridad social e impuestos de Octubre-IGV y otros</t>
  </si>
  <si>
    <t>Pago Andrés Felipe Uribe Avila -Europortage -Europortage Nómina Octubre</t>
  </si>
  <si>
    <t>Comisión Gratificaciones y Bonificación de Perú   Andrés Felipe Uribe Avila -Europortage</t>
  </si>
  <si>
    <t>Reembolso gastos octubre Luis Enrique Vela Abraham Trujillo</t>
  </si>
  <si>
    <t>Reembolso gastos octubre Sergio Martin Gustin Garcia</t>
  </si>
  <si>
    <t>Devolución Nómina mes de octubre Johanna Ximena Cordova Sanchez</t>
  </si>
  <si>
    <t>Devolución Christiams Hebert Valle Gómez -Remotepass Nómina Octubre</t>
  </si>
  <si>
    <t>Pago Christiams Hebert Valle Gómez -Remotepass Nómina Octubre</t>
  </si>
  <si>
    <t>Devolución pago Luis Renato Sanchez Perez -Yon You Nómina Octubre</t>
  </si>
  <si>
    <t>Devolución Pago Cristhian Portugal Segovia -Europortage Nómina Octubre</t>
  </si>
  <si>
    <t>Devolución Pago Davis Cesar oporto figueroa -Europortage Nómina Octubre</t>
  </si>
  <si>
    <t>Pago Davis Cesar oporto figueroa -Europortage Reembolso Octubre</t>
  </si>
  <si>
    <t>Devolución Pago Davis Cesar oporto figueroa -Europortage Reembolso Octubre</t>
  </si>
  <si>
    <t>Devolución pago Cristhian Portugal Segovia -Europortage Reembolso Octubre</t>
  </si>
  <si>
    <t>Pago Cristhian Portugal Segovia -Europortage reembolso Octubre</t>
  </si>
  <si>
    <t>Outsourcing contable servicio agosto  a SG- Avanza Factura E001-703</t>
  </si>
  <si>
    <t>Outsourcing contable servicio agosto a S&amp;P- Avanza Factura E001-706</t>
  </si>
  <si>
    <t>Facturas Octubre Safeguard EB01-011</t>
  </si>
  <si>
    <r>
      <t>Martin Rolando Felix García -</t>
    </r>
    <r>
      <rPr>
        <b/>
        <sz val="11"/>
        <color indexed="10"/>
        <rFont val="Calibri"/>
        <family val="2"/>
      </rPr>
      <t>Soles</t>
    </r>
  </si>
  <si>
    <t>Reembolso mes de octubre Sergio Martin Gustin García</t>
  </si>
  <si>
    <t>Renovación Póliza Safeguard Perú</t>
  </si>
  <si>
    <t>Transferencia de fondos de la cuenta de USD a Soles para pago de poliza safeguard</t>
  </si>
  <si>
    <t>Pago renovación póliza -Pacfico seguros -Safeguard</t>
  </si>
  <si>
    <t>NOVIEMBRE</t>
  </si>
  <si>
    <r>
      <t>Client:  Safeguard-Factura Nro EB01-015</t>
    </r>
    <r>
      <rPr>
        <b/>
        <i/>
        <sz val="11"/>
        <color indexed="36"/>
        <rFont val="Calibri"/>
        <family val="2"/>
      </rPr>
      <t>( Cliente)</t>
    </r>
    <r>
      <rPr>
        <sz val="11"/>
        <rFont val="Calibri"/>
        <family val="2"/>
      </rPr>
      <t>-CTS</t>
    </r>
  </si>
  <si>
    <r>
      <t>Client:  Safeguard-Factura Nro EB01-013</t>
    </r>
    <r>
      <rPr>
        <b/>
        <i/>
        <sz val="11"/>
        <color indexed="36"/>
        <rFont val="Calibri"/>
        <family val="2"/>
      </rPr>
      <t>( Cliente)</t>
    </r>
    <r>
      <rPr>
        <sz val="11"/>
        <rFont val="Calibri"/>
        <family val="2"/>
      </rPr>
      <t xml:space="preserve"> SS e impuestos Claudia Vasquez ( Sept-Oct)</t>
    </r>
  </si>
  <si>
    <t>Planilla de declaración y pago de aportes previsional Integra</t>
  </si>
  <si>
    <t>Planilla de declaración y pago de aportes previsiona Habitat</t>
  </si>
  <si>
    <t>Planilla de declaración y pago de aportes previsional Prima</t>
  </si>
  <si>
    <t>Pago de renta IGV Octubre</t>
  </si>
  <si>
    <t>CTS S&amp;P</t>
  </si>
  <si>
    <t>BCP</t>
  </si>
  <si>
    <t>Caja arequipa</t>
  </si>
  <si>
    <t>Débito automático-Conseguir factura</t>
  </si>
  <si>
    <t>Seguros de vida Rimac -Andrés Felipe Uribe ( 3er mes)- Europortage-Nov</t>
  </si>
  <si>
    <t>CTS -SAFEGUARD</t>
  </si>
  <si>
    <t xml:space="preserve">Pago Seguros de vida Rimac -Andrés Felipe Uribe </t>
  </si>
  <si>
    <t>Pago CTS S&amp;P y Safeguard, Imprevisto</t>
  </si>
  <si>
    <t>Costos financieros</t>
  </si>
  <si>
    <t>Pago de renta IGV Septiembre-SG</t>
  </si>
  <si>
    <t>Plame Quinta Categoria e IGV SG</t>
  </si>
  <si>
    <t>Plame Quinta Categoria e IGV S&amp;P</t>
  </si>
  <si>
    <t>Allauca garcia angel augusto</t>
  </si>
  <si>
    <t>Arias suarez esteban gonzalo</t>
  </si>
  <si>
    <t>Estela guzman david eduardo</t>
  </si>
  <si>
    <t>Florian parra natalia marianella</t>
  </si>
  <si>
    <t>Gustin garcia sergio martin</t>
  </si>
  <si>
    <t>Paredes paucarcaja olga alejandra</t>
  </si>
  <si>
    <t>Elera tejada adriana jimena</t>
  </si>
  <si>
    <t>Felix garcia martin rolando</t>
  </si>
  <si>
    <t>Cordova sanchez johanna ximena</t>
  </si>
  <si>
    <t>Guadalupe huertas melissa lizeth</t>
  </si>
  <si>
    <t>Vela trujillo abraham luis enrique</t>
  </si>
  <si>
    <t>Vasquez cardenas claudia anabel</t>
  </si>
  <si>
    <t>Aguirre tacunan juan ulises</t>
  </si>
  <si>
    <t>Total egresos</t>
  </si>
  <si>
    <t>Planilla de declaración y pago de aportes previsional-Habitat- Transferencia a cta Selma para pago</t>
  </si>
  <si>
    <t>Planilla de declaración y pago de aportes previsional-Integra - Transferencia a cta Selma para pago</t>
  </si>
  <si>
    <t>Planilla de declaración y pago de aportes previsional-Prima- Transferencia a cta Selma para pago</t>
  </si>
  <si>
    <t>Planilla de declaración y pago de aportes previsional-Profuturo- Transferencia a cta Selma para pago</t>
  </si>
  <si>
    <t xml:space="preserve">Ajuste de dinero para redondear la transacción de pago de planilla </t>
  </si>
  <si>
    <t>BCP-ODT</t>
  </si>
  <si>
    <t>BBVA-USD-ODT</t>
  </si>
  <si>
    <t>INTERBANK</t>
  </si>
  <si>
    <t>CAJA PIURA</t>
  </si>
  <si>
    <t>SCOTIBANK</t>
  </si>
  <si>
    <t>Transferencia de fondos a la cuenta del BBVA para pago CTS  Christiams Hebert Valle Gómez -Remotepass</t>
  </si>
  <si>
    <t>Comisión por transferencia</t>
  </si>
  <si>
    <t>Transferencia a la cuenta BBVA de S&amp;P para pagos CTS Safeguard interbank</t>
  </si>
  <si>
    <t>Comisión</t>
  </si>
  <si>
    <t>Transferencia a la cuenta BBVA de S&amp;P para pagos CTS Safeguard Piura</t>
  </si>
  <si>
    <t xml:space="preserve">Pago CTS Braydi Yusset Vera Neira Noviembre </t>
  </si>
  <si>
    <t>BBVA-ODT</t>
  </si>
  <si>
    <t>Regularización ITF</t>
  </si>
  <si>
    <t>Facturas Octubre Safeguard EB01-015-Abono-Pago CTS</t>
  </si>
  <si>
    <t>Pago CTS Davis Cesar oporto figueroa  Noviembre -Caja arequipa</t>
  </si>
  <si>
    <t>Pago CTS Luis Renato Sanchez Perez Noviembre -BCP</t>
  </si>
  <si>
    <t>Transferencia a la cuenta BBVA de S&amp;P para pagos CTS Andrés Felipe Uribe Avila BBVA</t>
  </si>
  <si>
    <t xml:space="preserve">Pago CTS BCP Christian portugal Segovia Noviembre </t>
  </si>
  <si>
    <t>Comisión CCE Hab</t>
  </si>
  <si>
    <t>Facturas Octubre Safeguard EB01-015-Saldo-Pago CTS</t>
  </si>
  <si>
    <t>Novembrer</t>
  </si>
  <si>
    <t>Transferencia de fondos de la cuenta de USD a Soles para CTS Safeguard</t>
  </si>
  <si>
    <t>BCP-USD</t>
  </si>
  <si>
    <t>Sacar soporte</t>
  </si>
  <si>
    <t>Sacar Soporte</t>
  </si>
  <si>
    <t>Plame Essalud y Renta de Quinta Categoría (Retención)-S&amp;P</t>
  </si>
  <si>
    <t>Transferencia de fondos ala cuenta de Avanza contadores para CTS Safeguard de BCP y scotiabank</t>
  </si>
  <si>
    <t>Pago de renta IGV Octubre S&amp;P</t>
  </si>
  <si>
    <t>Transferencia de fondos ala cuenta de Avanza contadores para CTS Safeguard de Interbank Fiorella Chavez</t>
  </si>
  <si>
    <t>Pago CTS Noviembre BCP Luis Renato Sanchez Perez y Andres felipe Uribe</t>
  </si>
  <si>
    <t>Devolución CTS Noviembre BCP Luis Renato Sanchez Perez y Andres felipe Uribe</t>
  </si>
  <si>
    <t>Piura y Andres BBVA S&amp;P</t>
  </si>
  <si>
    <t>Devolución CTS BCP Safgeguard</t>
  </si>
  <si>
    <t>Devolución Pago CTS Estela Guzman David Eduard</t>
  </si>
  <si>
    <t>Pago CTS Estela Guzman David Eduard</t>
  </si>
  <si>
    <r>
      <t>Braydi Yusset Vera Neira-Europortage-</t>
    </r>
    <r>
      <rPr>
        <b/>
        <sz val="11"/>
        <color indexed="17"/>
        <rFont val="Calibri"/>
        <family val="2"/>
      </rPr>
      <t>Ajuste</t>
    </r>
  </si>
  <si>
    <r>
      <t>Cristhian Portugal Segovia -Europortage-</t>
    </r>
    <r>
      <rPr>
        <b/>
        <sz val="11"/>
        <color indexed="17"/>
        <rFont val="Calibri"/>
        <family val="2"/>
      </rPr>
      <t>Ajuste</t>
    </r>
  </si>
  <si>
    <r>
      <t>Davis Cesar oporto figueroa   -Europortage-</t>
    </r>
    <r>
      <rPr>
        <b/>
        <sz val="11"/>
        <color indexed="17"/>
        <rFont val="Calibri"/>
        <family val="2"/>
      </rPr>
      <t>Ajuste</t>
    </r>
  </si>
  <si>
    <r>
      <t>Luis Renato Sanchez Perez  -Yon Yuo-</t>
    </r>
    <r>
      <rPr>
        <b/>
        <sz val="11"/>
        <color indexed="17"/>
        <rFont val="Calibri"/>
        <family val="2"/>
      </rPr>
      <t>Ajuste</t>
    </r>
  </si>
  <si>
    <t>Pago CTS Braydi Yusset Vera Neira Noviembre -Ajuste</t>
  </si>
  <si>
    <t>Pago CTS BCP Christian portugal Segovia Noviembre -Ajuste</t>
  </si>
  <si>
    <t>Pago CTS Luis Renato Sanchez Perez Noviembre -BCP-Ajuste</t>
  </si>
  <si>
    <t>Pago CTS Davis Cesar oporto figueroa  Noviembre -Caja arequipa-Ajuste</t>
  </si>
  <si>
    <t>Com cce Hab 000021</t>
  </si>
  <si>
    <t>Bastanteo poderes y escrituras</t>
  </si>
  <si>
    <t xml:space="preserve">Comisión de mantenimiento </t>
  </si>
  <si>
    <t>Pago CTS Interbank Safeguard</t>
  </si>
  <si>
    <t>Comisión CTS</t>
  </si>
  <si>
    <t>Transferencia de la cuenta de Avanza para pago AFP Habitat Safeguard</t>
  </si>
  <si>
    <t>Pago AFP Habitat Safeguard</t>
  </si>
  <si>
    <t>Transferencia a la cuenta BBVA de S&amp;P para pagos CTS Safeguard y S&amp;P</t>
  </si>
  <si>
    <t>Pago CTS Olga Paredes Interbank  y Melissa Guadalupe Caja piura-Safeguard-Noviembre</t>
  </si>
  <si>
    <t>Devolución CTS Fiorella Chavez Noviembre -Safeguard</t>
  </si>
  <si>
    <t>Pago CTS Andrés Felipe Uribe BBVA S&amp;P</t>
  </si>
  <si>
    <t>Pago CTS Fiorella Chavez Noviembre -Safeguard</t>
  </si>
  <si>
    <t xml:space="preserve">Transferencia de fondos para apertura de cuenta </t>
  </si>
  <si>
    <t>Comisión de mantenimiento</t>
  </si>
  <si>
    <t>Transferencia de fondos de la cuenta BBVA para pago CTS Christiam Valle BBVA Noviembre- USD S&amp;P</t>
  </si>
  <si>
    <t>Pago CTS Christiam Valle BBVA Noviembre- USD S&amp;P</t>
  </si>
  <si>
    <t xml:space="preserve">Pago IGV Safeguard </t>
  </si>
  <si>
    <r>
      <t xml:space="preserve">Client:  Remotepass-Factura Nro </t>
    </r>
    <r>
      <rPr>
        <sz val="11"/>
        <color indexed="8"/>
        <rFont val="Calibri"/>
        <family val="2"/>
      </rPr>
      <t>016</t>
    </r>
  </si>
  <si>
    <r>
      <t xml:space="preserve">Client:  Europortage-Factura Nro </t>
    </r>
    <r>
      <rPr>
        <sz val="11"/>
        <color indexed="8"/>
        <rFont val="Calibri"/>
        <family val="2"/>
      </rPr>
      <t>017</t>
    </r>
  </si>
  <si>
    <r>
      <t xml:space="preserve">Client:  Remotepass-Reembolso gastos Nro </t>
    </r>
    <r>
      <rPr>
        <sz val="11"/>
        <color indexed="8"/>
        <rFont val="Calibri"/>
        <family val="2"/>
      </rPr>
      <t>034</t>
    </r>
  </si>
  <si>
    <r>
      <t xml:space="preserve">Client:  Europortage-Reembolso gastos Nro </t>
    </r>
    <r>
      <rPr>
        <sz val="11"/>
        <color indexed="8"/>
        <rFont val="Calibri"/>
        <family val="2"/>
      </rPr>
      <t>035</t>
    </r>
  </si>
  <si>
    <r>
      <t>Client:  Safeguard-Factura Nro EB01-016</t>
    </r>
    <r>
      <rPr>
        <b/>
        <i/>
        <sz val="11"/>
        <color indexed="36"/>
        <rFont val="Calibri"/>
        <family val="2"/>
      </rPr>
      <t>( Cliente)</t>
    </r>
  </si>
  <si>
    <r>
      <t xml:space="preserve">Remotepass </t>
    </r>
    <r>
      <rPr>
        <sz val="11"/>
        <color indexed="8"/>
        <rFont val="Calibri"/>
        <family val="2"/>
      </rPr>
      <t>016</t>
    </r>
  </si>
  <si>
    <r>
      <t xml:space="preserve">Remotepass RG </t>
    </r>
    <r>
      <rPr>
        <sz val="11"/>
        <color indexed="8"/>
        <rFont val="Calibri"/>
        <family val="2"/>
      </rPr>
      <t>034</t>
    </r>
  </si>
  <si>
    <t>Europortage-017</t>
  </si>
  <si>
    <r>
      <t xml:space="preserve">Europortage-RG </t>
    </r>
    <r>
      <rPr>
        <sz val="11"/>
        <color indexed="8"/>
        <rFont val="Calibri"/>
        <family val="2"/>
      </rPr>
      <t>035</t>
    </r>
  </si>
  <si>
    <t>0004545935797</t>
  </si>
  <si>
    <t>Gasto financieros</t>
  </si>
  <si>
    <t>Pago IGV Octubre-Safeguard</t>
  </si>
  <si>
    <t>Bancos BCP</t>
  </si>
  <si>
    <t>Bancos BBVA</t>
  </si>
  <si>
    <t>Total Bancos</t>
  </si>
  <si>
    <t>E001-713</t>
  </si>
  <si>
    <t>Pago CTS Safeguar y S&amp;P mes de noviembre</t>
  </si>
  <si>
    <t>Devolución de dinero por avanza por pago CTS de la señora Fiorella Chavez-Safeguard</t>
  </si>
  <si>
    <t>Pago servicios mes de Noviembre Remotepass-Factura Nro 016</t>
  </si>
  <si>
    <t>Pago servicios mes de Noviembre Europortage-Factura Nro 009</t>
  </si>
  <si>
    <t>Recibido</t>
  </si>
  <si>
    <t>Tlc Mantenimiento</t>
  </si>
  <si>
    <t>Jorge Andres Heysen</t>
  </si>
  <si>
    <t>Luis Rolando Catro Almeida</t>
  </si>
  <si>
    <t>Gastos y costos Periodo 23 al 30 Noviembre</t>
  </si>
  <si>
    <t>Reembolso Luis Renato Sanchez Perez  -Yon Yuo</t>
  </si>
  <si>
    <r>
      <t>Juan Ulises Aguirre Tucunan -</t>
    </r>
    <r>
      <rPr>
        <sz val="11"/>
        <color indexed="12"/>
        <rFont val="Calibri"/>
        <family val="2"/>
      </rPr>
      <t>USD</t>
    </r>
  </si>
  <si>
    <r>
      <t>Olga Alejandra Paredes Paucarcaja</t>
    </r>
    <r>
      <rPr>
        <b/>
        <sz val="11"/>
        <color indexed="10"/>
        <rFont val="Calibri"/>
        <family val="2"/>
      </rPr>
      <t>-Soles</t>
    </r>
  </si>
  <si>
    <r>
      <t xml:space="preserve">Juan Ulises Aguirre Tucunan </t>
    </r>
    <r>
      <rPr>
        <sz val="11"/>
        <color indexed="10"/>
        <rFont val="Calibri"/>
        <family val="2"/>
      </rPr>
      <t>-</t>
    </r>
    <r>
      <rPr>
        <b/>
        <sz val="11"/>
        <color indexed="10"/>
        <rFont val="Calibri"/>
        <family val="2"/>
      </rPr>
      <t>Soles</t>
    </r>
  </si>
  <si>
    <r>
      <t xml:space="preserve">SCTR Pensiones europortage </t>
    </r>
    <r>
      <rPr>
        <sz val="11"/>
        <rFont val="Calibri"/>
        <family val="2"/>
      </rPr>
      <t>recibo 166547248 -Dic</t>
    </r>
  </si>
  <si>
    <r>
      <t xml:space="preserve">Seguros de vida Europortage Ley recibo </t>
    </r>
    <r>
      <rPr>
        <sz val="11"/>
        <rFont val="Calibri"/>
        <family val="2"/>
      </rPr>
      <t>166547316 -Dic</t>
    </r>
  </si>
  <si>
    <r>
      <t xml:space="preserve">SCTR Salud recibo </t>
    </r>
    <r>
      <rPr>
        <sz val="11"/>
        <rFont val="Calibri"/>
        <family val="2"/>
      </rPr>
      <t xml:space="preserve"> 166547298- Yon you-Dic</t>
    </r>
  </si>
  <si>
    <r>
      <t xml:space="preserve">SCTR Salud Europartage recibo </t>
    </r>
    <r>
      <rPr>
        <sz val="11"/>
        <rFont val="Calibri"/>
        <family val="2"/>
      </rPr>
      <t>166547249-Dic</t>
    </r>
  </si>
  <si>
    <r>
      <t xml:space="preserve">Pago SCTR Salud Europartage recibo </t>
    </r>
    <r>
      <rPr>
        <sz val="11"/>
        <rFont val="Calibri"/>
        <family val="2"/>
      </rPr>
      <t>166547249-Dic</t>
    </r>
  </si>
  <si>
    <r>
      <t xml:space="preserve">Pago SCTR Pensiones europortage </t>
    </r>
    <r>
      <rPr>
        <sz val="11"/>
        <rFont val="Calibri"/>
        <family val="2"/>
      </rPr>
      <t>recibo 166547248 -Dic</t>
    </r>
  </si>
  <si>
    <r>
      <t xml:space="preserve">Pago Seguros de vida Europortage Ley recibo </t>
    </r>
    <r>
      <rPr>
        <sz val="11"/>
        <rFont val="Calibri"/>
        <family val="2"/>
      </rPr>
      <t>166547316 -Dic</t>
    </r>
  </si>
  <si>
    <r>
      <t xml:space="preserve">Pago SCTR Salud recibo </t>
    </r>
    <r>
      <rPr>
        <sz val="11"/>
        <rFont val="Calibri"/>
        <family val="2"/>
      </rPr>
      <t xml:space="preserve"> 166547298- Yon you-Dic</t>
    </r>
  </si>
  <si>
    <t xml:space="preserve">Póliza Rimac EPS </t>
  </si>
  <si>
    <t>F548 - 00465986</t>
  </si>
  <si>
    <t>F548 - 00470715</t>
  </si>
  <si>
    <t>Póliza Rimac EPS - Recibo 1746874210</t>
  </si>
  <si>
    <t>Pago Póliza Rimac EPS  Factura F548 - 00465986-Safeguard</t>
  </si>
  <si>
    <t>Póliza Vida Ley  empleados seguros Pacifico Nro. 18815106</t>
  </si>
  <si>
    <t>Pago Póliza Vida Ley  empleados seguros Pacifico Nro. 18815106-Safeguard</t>
  </si>
  <si>
    <t>Pago Póliza Rimac EPS  Factura F548 -F548 - 00470715 y recibo 1746874210 -Safeguard</t>
  </si>
  <si>
    <r>
      <t xml:space="preserve">Client: Yonyou xinfushe cloud technology co., Factura Nro </t>
    </r>
    <r>
      <rPr>
        <sz val="11"/>
        <color indexed="8"/>
        <rFont val="Calibri"/>
        <family val="2"/>
      </rPr>
      <t>020</t>
    </r>
  </si>
  <si>
    <r>
      <t xml:space="preserve">Yon you </t>
    </r>
    <r>
      <rPr>
        <sz val="11"/>
        <color indexed="8"/>
        <rFont val="Calibri"/>
        <family val="2"/>
      </rPr>
      <t>020</t>
    </r>
  </si>
  <si>
    <t>Transferencia de fondos de la cuenta de USD a Soles para Salarios S&amp;P, Seguridad social e impuestos de Noviembre-IGV y otros</t>
  </si>
  <si>
    <t>Transferencia de fondos de la cuenta de USD a Soles para Salarios Safeguard, Seguridad social e impuestos de Noviembre-IGV y otros</t>
  </si>
  <si>
    <t>Nómina mes de Noviembre Safeguard-Primer pago</t>
  </si>
  <si>
    <t>Comisión Nómina mes de Noviembre Safeguard-Primer pago</t>
  </si>
  <si>
    <t>Reembolso Gastos noviembre -Safeguard</t>
  </si>
  <si>
    <t>Comisión reembolso Gastos noviembre -Safeguard</t>
  </si>
  <si>
    <t>Comisión reembolso Gastos noviembre -S&amp;P</t>
  </si>
  <si>
    <t>Reembolso Gastos noviembre -Europortage-S&amp;P</t>
  </si>
  <si>
    <t>Reembolso Gastos noviembre -Yon You-S&amp;P</t>
  </si>
  <si>
    <r>
      <t>Christiams Hebert Valle Gomez   -Remotepass-</t>
    </r>
    <r>
      <rPr>
        <b/>
        <sz val="11"/>
        <color indexed="17"/>
        <rFont val="Calibri"/>
        <family val="2"/>
      </rPr>
      <t>Ajuste</t>
    </r>
  </si>
  <si>
    <r>
      <t>Andres Felipe Uribe Avila -Europortage-</t>
    </r>
    <r>
      <rPr>
        <b/>
        <sz val="11"/>
        <color indexed="17"/>
        <rFont val="Calibri"/>
        <family val="2"/>
      </rPr>
      <t>Ajuste</t>
    </r>
  </si>
  <si>
    <t>Pago CTS Christiam Valle BBVA Noviembre- USD S&amp;P-Ajuste</t>
  </si>
  <si>
    <t>Pago CTS Andrés Felipe Uribe BBVA S&amp;P-Ajuste</t>
  </si>
  <si>
    <t>Nómina mes de Noviembre S&amp;P</t>
  </si>
  <si>
    <t>Comisión reembolso nomina noviembre -S&amp;P</t>
  </si>
  <si>
    <t>Sergio Martin Gustin García-Devolución por mayor valor descuento en la renta</t>
  </si>
  <si>
    <r>
      <t>Sergio Martin Gustin García</t>
    </r>
    <r>
      <rPr>
        <b/>
        <sz val="11"/>
        <color indexed="10"/>
        <rFont val="Calibri"/>
        <family val="2"/>
      </rPr>
      <t>-</t>
    </r>
    <r>
      <rPr>
        <b/>
        <sz val="11"/>
        <color indexed="48"/>
        <rFont val="Calibri"/>
        <family val="2"/>
      </rPr>
      <t>Soles</t>
    </r>
  </si>
  <si>
    <t>Adelanto gastos Sergio Martin Gustin García-SG</t>
  </si>
  <si>
    <t>Devolución por mayor valor descuento en la renta Sergio Martin Gustin García-SG</t>
  </si>
  <si>
    <t>E001-733</t>
  </si>
  <si>
    <t>E001-726</t>
  </si>
  <si>
    <t>Outsourcing contable servicio agosto  a SG- Avanza Factura E001-733</t>
  </si>
  <si>
    <t>Outsourcing contable servicio agosto a S&amp;P- Avanza Factura E001-726</t>
  </si>
  <si>
    <t>FA806726919</t>
  </si>
  <si>
    <t>FA806809944</t>
  </si>
  <si>
    <t>Pago positiva-Pension- Juan Ulises Aguirre</t>
  </si>
  <si>
    <t>FA340570523</t>
  </si>
  <si>
    <t>FA341106237</t>
  </si>
  <si>
    <t>Pago positiva EPS-Juan Ulises Aguirre  Factura FA806809944-SG</t>
  </si>
  <si>
    <t>Pago positiva EPS-Juan Ulises Aguirre  Factura FA806726919-SG</t>
  </si>
  <si>
    <t>Pago positiva-Pension- Juan Ulises Aguirre Factura FA340570523-SG</t>
  </si>
  <si>
    <t>Pago positiva-Pension- Juan Ulises Aguirre FA341106237-SG</t>
  </si>
  <si>
    <t>Costos financieros  Soles</t>
  </si>
  <si>
    <t>Costos financieros  USD</t>
  </si>
  <si>
    <t>Costos financieros USD</t>
  </si>
  <si>
    <t>DICIEMBRE</t>
  </si>
  <si>
    <t>Poliza Rimac Europortage</t>
  </si>
  <si>
    <t>Plame, Gratificaciones, Renta IGV</t>
  </si>
  <si>
    <t>Outsourcing contable</t>
  </si>
  <si>
    <t>Nóminas, reembolsos,polizas SCTR</t>
  </si>
  <si>
    <t>Gastos y costos Periodo 01 al 25 Diciembre</t>
  </si>
  <si>
    <t>Pago servicios mes de Noviembre Remotepass-Factura Nro 020</t>
  </si>
  <si>
    <t xml:space="preserve"> F052-01965812</t>
  </si>
  <si>
    <t xml:space="preserve"> F052-01734497</t>
  </si>
  <si>
    <t xml:space="preserve"> F052-01965813</t>
  </si>
  <si>
    <t>F052-01965811</t>
  </si>
  <si>
    <t>Prestamo dinero empleado Eurportage</t>
  </si>
  <si>
    <t>Transferencia de fondos a cuenta BBVA para pago Planilla de declaración y pago de aportes previsional SG</t>
  </si>
  <si>
    <t>Pago AFP Integra Safeguard</t>
  </si>
  <si>
    <t>Pago AFP Prima Safeguard</t>
  </si>
  <si>
    <t>GRATIFICACIÓN -SAFEGUARD</t>
  </si>
  <si>
    <t>Fiorella maribel chavez torriani -Safeguard-Gratificación</t>
  </si>
  <si>
    <t>Juan Ulises Aguirre Tacunan-Safeguard-Gratificación</t>
  </si>
  <si>
    <t>Angel Augusto Allauca Garcia-Safeguard-Gratificación</t>
  </si>
  <si>
    <t>Esteban Gonzalo Arias Suarez-Safeguard-Gratificación</t>
  </si>
  <si>
    <t>David Eduardo Estela Guzman-Safeguard-Gratificación</t>
  </si>
  <si>
    <t>Natalia Marianella Florian Parra-Safeguard-Gratificación</t>
  </si>
  <si>
    <t>Sergio Martin Gustin García-Safeguard-Gratificación</t>
  </si>
  <si>
    <t>Olga Alejandra Paredes Paucarcaja-Safeguard-Gratificación</t>
  </si>
  <si>
    <t>Adriana Jimena Elera Tejada-Safeguard-Gratificación</t>
  </si>
  <si>
    <t>Martin Rolando Felix García-Safeguard-Gratificación</t>
  </si>
  <si>
    <t>Johanna Ximena Cordova Sanchez-Safeguard-Gratificación</t>
  </si>
  <si>
    <t>Melissa Lizeth Guadalupe Huertas-Safeguard-Gratificación</t>
  </si>
  <si>
    <t>Abraham Luis Enrique Vela Trujillo-Safeguard-Gratificación</t>
  </si>
  <si>
    <t>Jorge Andres Heysen-Safeguard-Gratificación</t>
  </si>
  <si>
    <t>Luis Rolando Catro Almeida-Safeguard-Gratificación</t>
  </si>
  <si>
    <t>Comisión Gratificación Safeguard-Primer pago</t>
  </si>
  <si>
    <t>Comisión Gratificación Safeguard-Segundo pago</t>
  </si>
  <si>
    <t>Pago reembolso Davis Cesar oporto figueroa   -Europortage</t>
  </si>
  <si>
    <t>Comisión reembolso Davis Cesar oporto figueroa   -Europortage</t>
  </si>
  <si>
    <t>Pago de renta IGV Noviembre-SG</t>
  </si>
  <si>
    <t>GRATIFICACIONES CLIENTES S&amp;P</t>
  </si>
  <si>
    <t>Devolución de valor retenido por renta Juan Aguirre</t>
  </si>
  <si>
    <t xml:space="preserve">Cristhian Portugal Segovia -Europortage-Gratificación </t>
  </si>
  <si>
    <t xml:space="preserve">Davis Cesar oporto figueroa   -Europortage-Gratificación </t>
  </si>
  <si>
    <t xml:space="preserve">Luis Renato Sanchez Perez  -Yon Yuo-Gratificación </t>
  </si>
  <si>
    <t>Andres Felipe Uribe Avila -Europortage-Gratificación</t>
  </si>
  <si>
    <t>Christiams Hebert Valle Gomez   -Remotepass-Gratificación</t>
  </si>
  <si>
    <t>Comisión Gratificación S&amp;P</t>
  </si>
  <si>
    <t>Pago devolución valor retenido por renta Juan Aguirre</t>
  </si>
  <si>
    <t>Por identificar</t>
  </si>
  <si>
    <t>Seguros de vida Ley 167028939 Ana Pamela Pastor Sanchez -Remofirst</t>
  </si>
  <si>
    <t>Pago Seguros de vida Ley 167028939 Ana Pamela Pastor Sanchez -Remofirst</t>
  </si>
  <si>
    <t>Pago Plame Essalud y Renta de Quinta Categoría (Retención)- S&amp;P SG</t>
  </si>
  <si>
    <r>
      <t xml:space="preserve">Client:  Europortage-Reembolso gastos Nro </t>
    </r>
    <r>
      <rPr>
        <sz val="11"/>
        <color indexed="8"/>
        <rFont val="Calibri"/>
        <family val="2"/>
      </rPr>
      <t>021</t>
    </r>
  </si>
  <si>
    <r>
      <t xml:space="preserve">Client: Yonyou xinfushe cloud technology co., Factura Nro </t>
    </r>
    <r>
      <rPr>
        <sz val="11"/>
        <color indexed="8"/>
        <rFont val="Calibri"/>
        <family val="2"/>
      </rPr>
      <t>022</t>
    </r>
  </si>
  <si>
    <t>Pago de renta IGV Noviembre  S&amp;P</t>
  </si>
  <si>
    <t>Transferencia de fondos de la cta USD a Soles para pago IGV SG</t>
  </si>
  <si>
    <t>Comisión por transferencia de dinero SG</t>
  </si>
  <si>
    <t>Transferencia de la cuenta BBVA a la cuenta BCP para pago IGV SG</t>
  </si>
  <si>
    <t>Transferencia de fondos de la cta BBVA a BCP para pago IGV SG</t>
  </si>
  <si>
    <t>Transferencia de la cuenta BBVA de USD  a la cuenta BCP USD para pago IGV SG</t>
  </si>
  <si>
    <t>Ingreso transferencia de la cuenta BBVA a la cuenta BCP para pago IGV SG</t>
  </si>
  <si>
    <t>004579314686</t>
  </si>
  <si>
    <t>Pago servicios mes de Diciembre Europortage-Factura Nro 021</t>
  </si>
  <si>
    <r>
      <t xml:space="preserve">Client:  Remotepass-Factura Nro </t>
    </r>
    <r>
      <rPr>
        <sz val="11"/>
        <rFont val="Calibri"/>
        <family val="2"/>
      </rPr>
      <t>023</t>
    </r>
  </si>
  <si>
    <t>Pago servicios mes de Diciembre Remotepass-Factura Nro 021</t>
  </si>
  <si>
    <t>Beatriz Perez Villavicencio</t>
  </si>
  <si>
    <t>Beatriz Perez Villavicencio-Safeguard-Gratificación</t>
  </si>
  <si>
    <t>Pago servicios mes de Diciembre Yon you-Factura Nro 022</t>
  </si>
  <si>
    <r>
      <t xml:space="preserve">Client: Panthera-Remofirst., Factura Nro </t>
    </r>
    <r>
      <rPr>
        <sz val="11"/>
        <color indexed="8"/>
        <rFont val="Calibri"/>
        <family val="2"/>
      </rPr>
      <t>022</t>
    </r>
  </si>
  <si>
    <t>1760527119</t>
  </si>
  <si>
    <r>
      <t>Client:  Safeguard-Factura Nro EB01-022</t>
    </r>
    <r>
      <rPr>
        <b/>
        <i/>
        <sz val="11"/>
        <color indexed="36"/>
        <rFont val="Calibri"/>
        <family val="2"/>
      </rPr>
      <t>( Cliente)</t>
    </r>
  </si>
  <si>
    <t>Europortage-021</t>
  </si>
  <si>
    <r>
      <t xml:space="preserve">Yon you </t>
    </r>
    <r>
      <rPr>
        <sz val="11"/>
        <color indexed="8"/>
        <rFont val="Calibri"/>
        <family val="2"/>
      </rPr>
      <t>022</t>
    </r>
  </si>
  <si>
    <t>Remotepass 023</t>
  </si>
  <si>
    <t>Remofirst-Panthera 024</t>
  </si>
  <si>
    <t>Transferencia de fondos de la cuenta de USD a Soles para Salarios S&amp;P, Seguridad social e impuestos de Dic-IGV y otros</t>
  </si>
  <si>
    <t>Reembolso Luis Renato Sanchez-Yon yuo</t>
  </si>
  <si>
    <t>Comisión reembolso Davis Cesar oporto figueroa -Europortage</t>
  </si>
  <si>
    <t>Reembolso Davis Cesar oporto figueroa-Europortage</t>
  </si>
  <si>
    <t>Comisión reembolso  Luis Renato Sanchez-Yon yuo</t>
  </si>
  <si>
    <t>Ana Pamela Pastor Sanchez</t>
  </si>
  <si>
    <t>Comisión reembolso nomina Diciembre -S&amp;P</t>
  </si>
  <si>
    <t>Nómina mes de Diciembre S&amp;P-Primer pago</t>
  </si>
  <si>
    <t>Nómina mes de Diciembre S&amp;P-Segundo pago</t>
  </si>
  <si>
    <t>Roxana Milagros Dulante Benites</t>
  </si>
  <si>
    <t>Facturas Noviembre Safeguard EB01-016  Abono</t>
  </si>
  <si>
    <t>Facturas Noviembre Safeguard EB01-016  Saldo Final</t>
  </si>
  <si>
    <t>Facturas Diciembre Safeguard EB01-022  Abono</t>
  </si>
  <si>
    <t>Transferencia de fondos de la cuenta de USD a Soles para Salarios Safeguard, Seguridad social e impuestos de Diciembre-IGV y otros</t>
  </si>
  <si>
    <t>Nómina mes de Diciembre SG-Primer pago</t>
  </si>
  <si>
    <t>Nómina mes de Diciembre SG-Segundo pago</t>
  </si>
  <si>
    <t>Comisión nómina mes de Diciembre SG-Segundo pago</t>
  </si>
  <si>
    <r>
      <t>Sergio Martin Gustin García</t>
    </r>
    <r>
      <rPr>
        <b/>
        <sz val="11"/>
        <color indexed="10"/>
        <rFont val="Calibri"/>
        <family val="2"/>
      </rPr>
      <t>-</t>
    </r>
    <r>
      <rPr>
        <b/>
        <sz val="11"/>
        <color indexed="10"/>
        <rFont val="Calibri"/>
        <family val="2"/>
      </rPr>
      <t>Soles</t>
    </r>
  </si>
  <si>
    <t>Reembolso Juan Ulises Aguirre Tacunan-Safeguard</t>
  </si>
  <si>
    <t>Reembolso Luis Enrique Vela Trujillo-Safeguard</t>
  </si>
  <si>
    <t>Reembolso Martin Rolando Felix García-Safeguard</t>
  </si>
  <si>
    <t>Comision reembolso Martin Rolando Felix García-Safeguard</t>
  </si>
  <si>
    <t>Reembolso Sergio Martin Gustin García-Safeguard</t>
  </si>
  <si>
    <t>Comision reembolso Sergio Martin Gustin García-Safeguard</t>
  </si>
  <si>
    <t>Reembolso Sergio Martin Gustin Garcia-Safeguard</t>
  </si>
  <si>
    <t>Comisión reembolso Sergio Martin Gustin Garcia-Safeguard</t>
  </si>
  <si>
    <r>
      <t xml:space="preserve">SCTR Pensiones europortage </t>
    </r>
    <r>
      <rPr>
        <sz val="11"/>
        <rFont val="Calibri"/>
        <family val="2"/>
      </rPr>
      <t>recibo 167501105 -Ene</t>
    </r>
  </si>
  <si>
    <r>
      <t xml:space="preserve">SCTR Salud recibo </t>
    </r>
    <r>
      <rPr>
        <sz val="11"/>
        <rFont val="Calibri"/>
        <family val="2"/>
      </rPr>
      <t>167500519- Yon you-Ene</t>
    </r>
  </si>
  <si>
    <r>
      <t xml:space="preserve">SCTR Salud Europartage recibo </t>
    </r>
    <r>
      <rPr>
        <sz val="11"/>
        <rFont val="Calibri"/>
        <family val="2"/>
      </rPr>
      <t>167501108-Ene</t>
    </r>
  </si>
  <si>
    <r>
      <t xml:space="preserve">Seguros de vida Ley Europortage Ley recibo </t>
    </r>
    <r>
      <rPr>
        <sz val="11"/>
        <rFont val="Calibri"/>
        <family val="2"/>
      </rPr>
      <t xml:space="preserve"> 167499920 -Ene</t>
    </r>
  </si>
  <si>
    <r>
      <t xml:space="preserve">Pago SCTR Salud Europartage recibo </t>
    </r>
    <r>
      <rPr>
        <sz val="11"/>
        <rFont val="Calibri"/>
        <family val="2"/>
      </rPr>
      <t>167501108-Ene</t>
    </r>
  </si>
  <si>
    <r>
      <t xml:space="preserve">PagoSCTR Pensiones europortage </t>
    </r>
    <r>
      <rPr>
        <sz val="11"/>
        <rFont val="Calibri"/>
        <family val="2"/>
      </rPr>
      <t>recibo 167501105 -Ene</t>
    </r>
  </si>
  <si>
    <r>
      <t xml:space="preserve">Pago Seguros de vida Ley Europortage Ley recibo </t>
    </r>
    <r>
      <rPr>
        <sz val="11"/>
        <rFont val="Calibri"/>
        <family val="2"/>
      </rPr>
      <t xml:space="preserve"> 167499920 -Ene</t>
    </r>
  </si>
  <si>
    <r>
      <t xml:space="preserve">Pago SCTR Salud recibo </t>
    </r>
    <r>
      <rPr>
        <sz val="11"/>
        <rFont val="Calibri"/>
        <family val="2"/>
      </rPr>
      <t>167500519- Yon you-Ene</t>
    </r>
  </si>
  <si>
    <t>2985910</t>
  </si>
  <si>
    <t>Pago Póliza Vida Ley  empleados seguros Pacifico Nro. 18815106-Documento 2985910</t>
  </si>
  <si>
    <t>1761498762</t>
  </si>
  <si>
    <r>
      <t xml:space="preserve">Póliza Rimac EPS </t>
    </r>
    <r>
      <rPr>
        <b/>
        <i/>
        <sz val="11"/>
        <color indexed="17"/>
        <rFont val="Calibri"/>
        <family val="2"/>
      </rPr>
      <t xml:space="preserve">-Sin recibo </t>
    </r>
  </si>
  <si>
    <t>Pago Seguro de vida Rimac -Andrés Felipe Uribe ( Segundo mes)- Europortage</t>
  </si>
  <si>
    <t>Pago Seguro de vida Rimac -Andrés Felipe Uribe ( tercer mes)- Europortage</t>
  </si>
  <si>
    <t>Pago Seguro de vida Rimac -Andrés Felipe Uribe ( cuarto mes)- Europortage</t>
  </si>
  <si>
    <t>Seguros de vida Rimac -Andrés Felipe Uribe ( 4to mes)- Europortage-Nov</t>
  </si>
  <si>
    <t>Póliza Rimac EPS póliza Nro 1760527119 y 1761498762</t>
  </si>
  <si>
    <t xml:space="preserve">Facturas Diciembre Safeguard EB01-022  Saldo final </t>
  </si>
  <si>
    <r>
      <t>Christiams Hebert Valle Gomez   -Remotepass-</t>
    </r>
    <r>
      <rPr>
        <b/>
        <i/>
        <sz val="11"/>
        <color indexed="12"/>
        <rFont val="Calibri"/>
        <family val="2"/>
      </rPr>
      <t xml:space="preserve">Liquidación final </t>
    </r>
  </si>
  <si>
    <t>Pago liquidación final Christiams Hebert Valle Gomez-Remotepass</t>
  </si>
  <si>
    <t>Jorge Andres Heysen-Ajuste salario diciembre</t>
  </si>
  <si>
    <t>Pago ajuste nómina Jorge Andres Heysen-Safeguard</t>
  </si>
  <si>
    <t>FA342772535</t>
  </si>
  <si>
    <t>FA806871014</t>
  </si>
  <si>
    <t>Positiva-EPS- Juan Ulises Aguirre-Contato 9288277</t>
  </si>
  <si>
    <t>Positiva-Pension- Juan Ulises Aguirre -póliza  30404323</t>
  </si>
  <si>
    <t>Positiva-Pension- Juan Ulises Aguirre -póliza  30404323-Factura FA342772535</t>
  </si>
  <si>
    <t>Positiva-EPS- Juan Ulises Aguirre-Contato 9288277 -Factura FA806871014</t>
  </si>
  <si>
    <t>E001-754</t>
  </si>
  <si>
    <t>E001-755</t>
  </si>
  <si>
    <t>Outsourcing contable servicio representación legal a S&amp;P- Avanza</t>
  </si>
  <si>
    <t>Outsourcing contable servicio representacion legal  a SG- Avanza</t>
  </si>
  <si>
    <t>ENERO</t>
  </si>
  <si>
    <t>Representacion legal  a SG- Avanza Diciembre</t>
  </si>
  <si>
    <t>Representacion legal  a S&amp;P- Avanza Diciembre</t>
  </si>
  <si>
    <t>Representacion legal  a SG- Avanza Enero</t>
  </si>
  <si>
    <t>Representacion legal  a S&amp;P- Avanza Enero</t>
  </si>
  <si>
    <t>Sin radicar</t>
  </si>
  <si>
    <t>Gastos y costos Periodo 01 al 25 Enero</t>
  </si>
  <si>
    <t>Nóminas, reembolsos,polizas SCTR y Outsourcing contable</t>
  </si>
  <si>
    <t>Client: Panthera-Remofirst., Factura Nro 022</t>
  </si>
  <si>
    <t>Pago Seguro de vida Rimac -Andrés Felipe Uribe ( Quinto mes)- Europortage</t>
  </si>
  <si>
    <t>Seguros de vida Rimac -Andrés Felipe Uribe ( 5to mes)- Europortage-Dic</t>
  </si>
  <si>
    <t>Reembolso Christian portugal Segovia   -Europortage</t>
  </si>
  <si>
    <t>Comisión Reembolso Christian portugal Segovia   -Europortage</t>
  </si>
  <si>
    <t>Pago diferencia en renta año 2024</t>
  </si>
  <si>
    <t xml:space="preserve">Outsourcing contable  a S&amp;P- Avanza Diciembre </t>
  </si>
  <si>
    <t>E001-756</t>
  </si>
  <si>
    <t>Outsourcing contable  a SG- Avanza Enero</t>
  </si>
  <si>
    <t>Outsourcing contable  a S&amp;P- Avanza Enero</t>
  </si>
  <si>
    <t>Exámen de ingreso Rivermate</t>
  </si>
  <si>
    <t>Pago IGV Diciembre S&amp;P</t>
  </si>
  <si>
    <t>Pago exámen de ingreso Rivermate Perú</t>
  </si>
  <si>
    <t>Pago de renta IGV Diciembre-SG</t>
  </si>
  <si>
    <t>Pago de renta IGV Diciembre</t>
  </si>
  <si>
    <t>Pago de servicios contables mes de diciembre 2025 de safeguard Avanza factura 756</t>
  </si>
  <si>
    <t>tasa 3,284</t>
  </si>
  <si>
    <t>Transferencia de fondos de la cuenta de USD a Soles para pago gastos mensuales</t>
  </si>
  <si>
    <t>Pago Plame Essalud y Renta de Quinta Categoría (Retención)- SG Perú</t>
  </si>
  <si>
    <t>Exámen de ingreso Remofirst</t>
  </si>
  <si>
    <t>Pago exámen de ingreso Remofirst Perú</t>
  </si>
  <si>
    <t>Pago estudio de seguridad</t>
  </si>
  <si>
    <t>Estudio de seguridad</t>
  </si>
  <si>
    <r>
      <t xml:space="preserve">Client:  Europortage Nro </t>
    </r>
    <r>
      <rPr>
        <sz val="11"/>
        <color indexed="8"/>
        <rFont val="Calibri"/>
        <family val="2"/>
      </rPr>
      <t>028</t>
    </r>
  </si>
  <si>
    <r>
      <t xml:space="preserve">Client: Panthera-Remofirst., Factura Nro </t>
    </r>
    <r>
      <rPr>
        <sz val="11"/>
        <color indexed="8"/>
        <rFont val="Calibri"/>
        <family val="2"/>
      </rPr>
      <t>027</t>
    </r>
  </si>
  <si>
    <r>
      <t>Client:  Safeguard-Factura Nro EB01-025</t>
    </r>
    <r>
      <rPr>
        <b/>
        <i/>
        <sz val="11"/>
        <color indexed="36"/>
        <rFont val="Calibri"/>
        <family val="2"/>
      </rPr>
      <t>( Cliente)</t>
    </r>
  </si>
  <si>
    <r>
      <t xml:space="preserve">Client: Yonyou xinfushe cloud technology co., Factura Nro </t>
    </r>
    <r>
      <rPr>
        <sz val="11"/>
        <color indexed="8"/>
        <rFont val="Calibri"/>
        <family val="2"/>
      </rPr>
      <t>030</t>
    </r>
  </si>
  <si>
    <r>
      <t xml:space="preserve">Pago servicios mes de Diciembre Europortage-Factura Nro 028- </t>
    </r>
    <r>
      <rPr>
        <b/>
        <sz val="9"/>
        <color indexed="10"/>
        <rFont val="Calibri"/>
        <family val="2"/>
      </rPr>
      <t>Abono para pago de reembolso</t>
    </r>
  </si>
  <si>
    <t>Facturas Diciembre Safeguard EB01-025  Abono</t>
  </si>
  <si>
    <t>Facturas Diciembre Safeguard EB01-025  Saldo Final</t>
  </si>
  <si>
    <t>Client: Panthera-Remofirst., Factura Nro 027</t>
  </si>
  <si>
    <t>Remofirst-Panthera 027</t>
  </si>
  <si>
    <t>Europortage-028</t>
  </si>
  <si>
    <r>
      <t xml:space="preserve">Yon you </t>
    </r>
    <r>
      <rPr>
        <sz val="11"/>
        <color indexed="8"/>
        <rFont val="Calibri"/>
        <family val="2"/>
      </rPr>
      <t>030</t>
    </r>
  </si>
  <si>
    <t>Europortage-028-Abono</t>
  </si>
  <si>
    <t>Sergio Martin Gustin García pago CTS</t>
  </si>
  <si>
    <t>Sergio Martin Gustin García pago Gratificación</t>
  </si>
  <si>
    <t>Transferencia de fondos a la cuenta BBVA para pago CTS Sergio Gustin Interbank</t>
  </si>
  <si>
    <t>Pago gratificación reintegro Sergio Gustin-SG transferido por error</t>
  </si>
  <si>
    <t xml:space="preserve">Pago gratificación reintegro Sergio Gustin-SG </t>
  </si>
  <si>
    <t>E001-769</t>
  </si>
  <si>
    <t>E001-770</t>
  </si>
  <si>
    <t>E001-771</t>
  </si>
  <si>
    <t xml:space="preserve">Transferencia de fondos a cuenta BBVA para pago gratificación reintegro Sergio Gustin-SG </t>
  </si>
  <si>
    <r>
      <t>Fiorella maribel chavez torriani -</t>
    </r>
    <r>
      <rPr>
        <b/>
        <i/>
        <sz val="11"/>
        <rFont val="Calibri"/>
        <family val="2"/>
      </rPr>
      <t>Liquidación</t>
    </r>
  </si>
  <si>
    <t>Pago Liquidación  Fiorella maribel chavez torriani Safeguard</t>
  </si>
  <si>
    <t>Exámen de ingreso Analista de Nómina S&amp;P</t>
  </si>
  <si>
    <t>Facturas Yon you EB01-030</t>
  </si>
  <si>
    <t>Pago exámen de ingreso analista de nómina S&amp;P Perú</t>
  </si>
  <si>
    <r>
      <t xml:space="preserve">SCTR Pensiones europortage </t>
    </r>
    <r>
      <rPr>
        <sz val="11"/>
        <rFont val="Calibri"/>
        <family val="2"/>
      </rPr>
      <t>recibo 168436560 -Feb</t>
    </r>
  </si>
  <si>
    <r>
      <t xml:space="preserve">SCTR Salud Europartage recibo </t>
    </r>
    <r>
      <rPr>
        <sz val="11"/>
        <rFont val="Calibri"/>
        <family val="2"/>
      </rPr>
      <t xml:space="preserve"> 168436565-Feb</t>
    </r>
  </si>
  <si>
    <r>
      <t xml:space="preserve">Seguros de vida Ley Rivermate Ley recibo </t>
    </r>
    <r>
      <rPr>
        <sz val="11"/>
        <rFont val="Calibri"/>
        <family val="2"/>
      </rPr>
      <t xml:space="preserve"> 168433590 -Feb</t>
    </r>
  </si>
  <si>
    <t>Pago gratificación reintegro Sergio Gustin-SG -Devolución</t>
  </si>
  <si>
    <t>Impuesto ITF-Devolución</t>
  </si>
  <si>
    <t>Comisión Devolucion</t>
  </si>
  <si>
    <t>Galy Madelein Olazo Torres</t>
  </si>
  <si>
    <t>Transferencia de fondos de la cuenta de USD a Soles para Salarios S&amp;P, Seguridad social e impuestos de Ene-IGV y otros</t>
  </si>
  <si>
    <t>Sergio Gustin</t>
  </si>
  <si>
    <t>S&amp;P</t>
  </si>
  <si>
    <t>Transferencia de fondos de la cuenta de USD a Soles para Salarios Safeguard, Seguridad social e impuestos de Enero-IGV y otros</t>
  </si>
  <si>
    <t>Nómina mes de Enero S&amp;P</t>
  </si>
  <si>
    <t>Comisión nomina Diciembre -S&amp;P</t>
  </si>
  <si>
    <t>Nómina mes de Enero SG</t>
  </si>
  <si>
    <r>
      <t>Luis Enrique Vela Trujillo-</t>
    </r>
    <r>
      <rPr>
        <b/>
        <sz val="11"/>
        <color indexed="10"/>
        <rFont val="Calibri"/>
        <family val="2"/>
      </rPr>
      <t>Soles</t>
    </r>
  </si>
  <si>
    <t>Reembolso Gastos Juan Ulises Aguirre Tucunan SG</t>
  </si>
  <si>
    <t>Comisión nomina enero -SG</t>
  </si>
  <si>
    <t>Comisión SG</t>
  </si>
  <si>
    <t>Transferencia de la cuenta de Soles a Dolares par pago reembolsos SG</t>
  </si>
  <si>
    <t>Reembolso Gastos Luis Enrique Vela Trujillo SG</t>
  </si>
  <si>
    <t>Reembolso Gastos Martin Rolando Felix Garcia SG</t>
  </si>
  <si>
    <t>Reembolso gastos Braydi Yusset Vera Neira-Europortage</t>
  </si>
  <si>
    <t>Reembolso gastos Christian portugal Segovia   -Europortage</t>
  </si>
  <si>
    <t>Reembolso gastos Davis Cesar oporto figueroa   -Europortage</t>
  </si>
  <si>
    <r>
      <t xml:space="preserve">Pago SCTR Salud Europartage recibo </t>
    </r>
    <r>
      <rPr>
        <sz val="11"/>
        <rFont val="Calibri"/>
        <family val="2"/>
      </rPr>
      <t xml:space="preserve"> 168436565-Feb</t>
    </r>
  </si>
  <si>
    <r>
      <t xml:space="preserve">Pago SCTR Pensiones europortage </t>
    </r>
    <r>
      <rPr>
        <sz val="11"/>
        <rFont val="Calibri"/>
        <family val="2"/>
      </rPr>
      <t>recibo 168436560 -Feb</t>
    </r>
  </si>
  <si>
    <r>
      <t xml:space="preserve">Pago Seguros de vida Ley Rivermate Ley recibo </t>
    </r>
    <r>
      <rPr>
        <sz val="11"/>
        <rFont val="Calibri"/>
        <family val="2"/>
      </rPr>
      <t xml:space="preserve"> 168433590 -Feb</t>
    </r>
  </si>
  <si>
    <r>
      <t xml:space="preserve">SCTR Salud recibo </t>
    </r>
    <r>
      <rPr>
        <sz val="11"/>
        <rFont val="Calibri"/>
        <family val="2"/>
      </rPr>
      <t>- Yon you-Feb</t>
    </r>
  </si>
  <si>
    <t>T02RE168433590</t>
  </si>
  <si>
    <t>T02RE168436560</t>
  </si>
  <si>
    <t>T03RE168436565</t>
  </si>
  <si>
    <t>T02RE168437531</t>
  </si>
  <si>
    <r>
      <t>Seguros de vida Ley Europortage</t>
    </r>
    <r>
      <rPr>
        <sz val="11"/>
        <rFont val="Calibri"/>
        <family val="2"/>
      </rPr>
      <t xml:space="preserve">  -Feb</t>
    </r>
  </si>
  <si>
    <t>T02RE168437405</t>
  </si>
  <si>
    <r>
      <t xml:space="preserve">Pago SCTR Salud recibo </t>
    </r>
    <r>
      <rPr>
        <sz val="11"/>
        <rFont val="Calibri"/>
        <family val="2"/>
      </rPr>
      <t>- Yon you-Feb</t>
    </r>
  </si>
  <si>
    <r>
      <t>Pago Seguro de vida Ley Europortage</t>
    </r>
    <r>
      <rPr>
        <sz val="11"/>
        <rFont val="Calibri"/>
        <family val="2"/>
      </rPr>
      <t xml:space="preserve">  -Feb</t>
    </r>
  </si>
  <si>
    <t>Póliza Vida Ley  empleados seguros Pacifico Nro. 18815106-Inclusion</t>
  </si>
  <si>
    <t>F548 - 00491327</t>
  </si>
  <si>
    <t>Pago Póliza Rimac EPS  Factura Nro F548 - 00491327-SG</t>
  </si>
  <si>
    <t>Pago póliza Vida Ley  empleados seguros Pacifico Nro. 18815106-SG</t>
  </si>
  <si>
    <t>Pago póliza Vida Ley  empleados seguros Pacifico Nro. 18815106-Inclusion SG</t>
  </si>
  <si>
    <t>Pago positiva-Pension- Juan Ulises Aguirre -póliza  30404323 SG</t>
  </si>
  <si>
    <t>Pago positiva-EPS- Juan Ulises Aguirre-Contato 9288277 SG</t>
  </si>
  <si>
    <t>Outsourcing Representacion legal  a SG- Avanza Enero Factura E001-769</t>
  </si>
  <si>
    <t>Outsourcing Representacion legal  a S&amp;P- Avanza Factura Enero E001-770</t>
  </si>
  <si>
    <t>Outsourcing contable  a SG- Avanza Enero Factura E001-771</t>
  </si>
  <si>
    <t>Pago nómina enero 2026 Sergio Gustin SG</t>
  </si>
  <si>
    <r>
      <t>Sergio Martin Gustin García pago Gratificación-</t>
    </r>
    <r>
      <rPr>
        <b/>
        <i/>
        <sz val="11"/>
        <color indexed="10"/>
        <rFont val="Calibri"/>
        <family val="2"/>
      </rPr>
      <t>Pago erroneo-USD</t>
    </r>
  </si>
  <si>
    <r>
      <t>Pago servicios mes de Diciembre Europortage-Factura Nro 028-</t>
    </r>
    <r>
      <rPr>
        <b/>
        <sz val="9"/>
        <color indexed="10"/>
        <rFont val="Calibri"/>
        <family val="2"/>
      </rPr>
      <t>Saldo final</t>
    </r>
  </si>
  <si>
    <t>Client:  Rivermate Factura Nro 031</t>
  </si>
  <si>
    <t>FEBRERO</t>
  </si>
  <si>
    <t>Devolucion dinero Sergio gustin</t>
  </si>
  <si>
    <t>Pago de renta IGV Enero</t>
  </si>
  <si>
    <t>Representacion legal  a S&amp;P- Avanza Febrero</t>
  </si>
  <si>
    <t>Representacion legal  a SG- Avanza Febrero</t>
  </si>
  <si>
    <t>Seguros de vida Rimac -Andrés Felipe Uribe ( 5to mes)- Europortage-Ene</t>
  </si>
  <si>
    <t>SCTR Salud Europartage recibo  168436565-Mar</t>
  </si>
  <si>
    <t>SCTR Pensiones europortage recibo 168436560 -Mar</t>
  </si>
  <si>
    <t>Planilla de declaración y pago de aportes previsional S&amp;P y SG</t>
  </si>
  <si>
    <t>Plame, Gratificaciones, Renta IGV S&amp;P y SG</t>
  </si>
  <si>
    <t>polizas SCTR y Outsourcing contable</t>
  </si>
  <si>
    <t xml:space="preserve">Nóminas, reembolsos,SCTR </t>
  </si>
  <si>
    <t>Rivermate</t>
  </si>
  <si>
    <t>Total dinero</t>
  </si>
  <si>
    <t>Seguros de vida Remofirst Ingreso</t>
  </si>
  <si>
    <t>SCTR Europortage</t>
  </si>
  <si>
    <t>01967738</t>
  </si>
  <si>
    <t>01967730</t>
  </si>
  <si>
    <t>Pago seguros de vida Remofirst Ingreso S&amp;P-Mapfre</t>
  </si>
  <si>
    <t>Multa Sunat</t>
  </si>
  <si>
    <t>Exámen preocupacional anual Braydi Yusset Vera Neira-Europortage</t>
  </si>
  <si>
    <t>Pago Exámen preocupacional anual Braydi Yusset Vera Neira-Europortage</t>
  </si>
  <si>
    <r>
      <t>Client:  Safeguard-Factura Nro EB01-028</t>
    </r>
    <r>
      <rPr>
        <b/>
        <i/>
        <sz val="11"/>
        <color indexed="36"/>
        <rFont val="Calibri"/>
        <family val="2"/>
      </rPr>
      <t>( Cliente) Ingreso Global Perú</t>
    </r>
  </si>
  <si>
    <r>
      <t>Client:  Safeguard-Factura Nro EB01-027</t>
    </r>
    <r>
      <rPr>
        <b/>
        <i/>
        <sz val="11"/>
        <color indexed="36"/>
        <rFont val="Calibri"/>
        <family val="2"/>
      </rPr>
      <t>( Cliente) Retiro Global Perú</t>
    </r>
  </si>
  <si>
    <t>Pago Seguro de vida Rimac -Andrés Felipe Uribe ( Sexto mes)- Europortage</t>
  </si>
  <si>
    <t>Pago renta categoria retenciones NPS 0004658209294-SG</t>
  </si>
  <si>
    <t>Pago multa no efectuar retenciones no percibidas NPS 0004658230927-SG</t>
  </si>
  <si>
    <t>Client:  Safeguard-Factura Nro EB01-027( Cliente) Retiro Global Perú</t>
  </si>
  <si>
    <r>
      <t>Client:  Safeguard-Factura Nro EB01-034</t>
    </r>
    <r>
      <rPr>
        <b/>
        <i/>
        <sz val="11"/>
        <color indexed="36"/>
        <rFont val="Calibri"/>
        <family val="2"/>
      </rPr>
      <t>( Cliente)</t>
    </r>
  </si>
  <si>
    <t>February</t>
  </si>
  <si>
    <t>Rivermate 035</t>
  </si>
  <si>
    <t>Rivermate 031</t>
  </si>
  <si>
    <t>Client:  Rivermate Factura Nro 035</t>
  </si>
  <si>
    <r>
      <t xml:space="preserve">Client:  Europortage Nro </t>
    </r>
    <r>
      <rPr>
        <sz val="11"/>
        <color indexed="8"/>
        <rFont val="Calibri"/>
        <family val="2"/>
      </rPr>
      <t>037</t>
    </r>
  </si>
  <si>
    <t>Europortage-037</t>
  </si>
  <si>
    <r>
      <t xml:space="preserve">Yon you </t>
    </r>
    <r>
      <rPr>
        <sz val="11"/>
        <color indexed="8"/>
        <rFont val="Calibri"/>
        <family val="2"/>
      </rPr>
      <t>036</t>
    </r>
  </si>
  <si>
    <r>
      <t xml:space="preserve">Client: Yonyou xinfushe cloud technology co., Factura Nro </t>
    </r>
    <r>
      <rPr>
        <sz val="11"/>
        <color indexed="8"/>
        <rFont val="Calibri"/>
        <family val="2"/>
      </rPr>
      <t>036</t>
    </r>
  </si>
  <si>
    <t>Pago de renta IGV Enero SG</t>
  </si>
  <si>
    <r>
      <t xml:space="preserve">PagoSCTR Pensiones europortage </t>
    </r>
    <r>
      <rPr>
        <sz val="11"/>
        <rFont val="Calibri"/>
        <family val="2"/>
      </rPr>
      <t>recibo 169055235 -Febrero</t>
    </r>
  </si>
  <si>
    <r>
      <t xml:space="preserve">Pago SCTR Salud Europartage recibo </t>
    </r>
    <r>
      <rPr>
        <sz val="11"/>
        <rFont val="Calibri"/>
        <family val="2"/>
      </rPr>
      <t>169055238-Febrero</t>
    </r>
  </si>
  <si>
    <t>Client:  Safeguard-Factura Nro EB01-028( Cliente) Ingreso Global Perú</t>
  </si>
  <si>
    <t>Client:  Safeguard-Factura Nro EB01-034( Cliente)-Abono</t>
  </si>
  <si>
    <r>
      <t xml:space="preserve">Client:  Remofirst Nro </t>
    </r>
    <r>
      <rPr>
        <sz val="11"/>
        <color indexed="8"/>
        <rFont val="Calibri"/>
        <family val="2"/>
      </rPr>
      <t>038</t>
    </r>
  </si>
  <si>
    <t>Safeguard  Factura Nro 4</t>
  </si>
  <si>
    <t>Safeguard  Factura Nro 6</t>
  </si>
  <si>
    <t>Safeguard  Factura Nro 7</t>
  </si>
  <si>
    <t xml:space="preserve">Client:  Safeguard-Factura Nro EB01-034( Cliente)-Saldo final </t>
  </si>
  <si>
    <t>Client: Panthera-Remofirst., Factura Nro 038</t>
  </si>
  <si>
    <t>Remofirst-038</t>
  </si>
  <si>
    <t>Exámen Ocupacional ingreso Ana Pamel Pastor Remofirst</t>
  </si>
  <si>
    <t>Pago exámen Ocupacional ingreso Ana Pamel Pastor Remofirst</t>
  </si>
  <si>
    <t>Client:  Europortage Nro 037</t>
  </si>
  <si>
    <t>Galy Madelein Olazo Torres-Rivermate</t>
  </si>
  <si>
    <t>Ana Pamela Pastor Sanchez-Remofirst</t>
  </si>
  <si>
    <r>
      <t>Sergio Martin Gustin García-</t>
    </r>
    <r>
      <rPr>
        <b/>
        <sz val="11"/>
        <color indexed="12"/>
        <rFont val="Calibri"/>
        <family val="2"/>
      </rPr>
      <t>USD</t>
    </r>
  </si>
  <si>
    <r>
      <t xml:space="preserve">Martin Rolando Felix García  </t>
    </r>
    <r>
      <rPr>
        <sz val="11"/>
        <color indexed="10"/>
        <rFont val="Calibri"/>
        <family val="2"/>
      </rPr>
      <t>-</t>
    </r>
    <r>
      <rPr>
        <b/>
        <sz val="11"/>
        <color indexed="10"/>
        <rFont val="Calibri"/>
        <family val="2"/>
      </rPr>
      <t>Soles</t>
    </r>
  </si>
  <si>
    <r>
      <t>Sergio Martin Gustin García -</t>
    </r>
    <r>
      <rPr>
        <b/>
        <sz val="11"/>
        <color indexed="10"/>
        <rFont val="Calibri"/>
        <family val="2"/>
      </rPr>
      <t>Soles</t>
    </r>
  </si>
  <si>
    <r>
      <t>Sergio Martin Gustin García -</t>
    </r>
    <r>
      <rPr>
        <b/>
        <sz val="11"/>
        <color indexed="10"/>
        <rFont val="Calibri"/>
        <family val="2"/>
      </rPr>
      <t>Soles</t>
    </r>
    <r>
      <rPr>
        <sz val="11"/>
        <color indexed="8"/>
        <rFont val="Calibri"/>
        <family val="2"/>
      </rPr>
      <t xml:space="preserve"> 003-200013083682812-34</t>
    </r>
  </si>
  <si>
    <r>
      <t>Luis Enrique Vela Trujillo -</t>
    </r>
    <r>
      <rPr>
        <b/>
        <sz val="11"/>
        <color indexed="12"/>
        <rFont val="Calibri"/>
        <family val="2"/>
      </rPr>
      <t>USD</t>
    </r>
  </si>
  <si>
    <t>Client: Yonyou xinfushe cloud technology co., Factura Nro 036</t>
  </si>
  <si>
    <t>Valeria Nilda Arias Santiago</t>
  </si>
  <si>
    <t>Jacomo Giorgio Bazo Cucalisa</t>
  </si>
  <si>
    <t>Roxana Milagros Dulanto Benites</t>
  </si>
  <si>
    <t>Diana Karina Catillo Farias  Torres-Remofisrt</t>
  </si>
  <si>
    <t>Jose Sergio veitemilla Mora -S&amp;P</t>
  </si>
  <si>
    <r>
      <t xml:space="preserve">Valeria Nilda Arias Santiago </t>
    </r>
    <r>
      <rPr>
        <b/>
        <i/>
        <sz val="11"/>
        <color indexed="12"/>
        <rFont val="Calibri"/>
        <family val="2"/>
      </rPr>
      <t>Ingreso 29 de enero 2026</t>
    </r>
  </si>
  <si>
    <t>Transferencia de fondos de la cuenta de USD a Soles para Salarios Safeguard, Seguridad social e impuestos de febrero-IGV y otros</t>
  </si>
  <si>
    <t>Transferencia de fondos de la cuenta de USD a Soles para Salarios S&amp;P, Seguridad social e impuestos de febrero-IGV y otros</t>
  </si>
  <si>
    <t>Nómina mes de Febrero SG</t>
  </si>
  <si>
    <t>Comisión nomina Febrero -SG</t>
  </si>
  <si>
    <t>Reembolso Sergio Martin Gustin Garcia SG</t>
  </si>
  <si>
    <t>Comision</t>
  </si>
  <si>
    <t>Reembolso Luis Enrique Vela Trujillo  SG</t>
  </si>
  <si>
    <t>Reembolso Martin Rolando Felix García SG</t>
  </si>
  <si>
    <t>SCTR Salud - Yon you-Mar</t>
  </si>
  <si>
    <t xml:space="preserve">Pago SCTR Salud Europartage </t>
  </si>
  <si>
    <r>
      <t xml:space="preserve">Pago SCTR Salud </t>
    </r>
    <r>
      <rPr>
        <sz val="11"/>
        <rFont val="Calibri"/>
        <family val="2"/>
      </rPr>
      <t>- Yon you</t>
    </r>
  </si>
  <si>
    <t>Positiva-Pension- Juan Ulises Aguirre  y  martin Felix-póliza  30404323</t>
  </si>
  <si>
    <t>FA806999955</t>
  </si>
  <si>
    <t>Póliza Rimac EPS SG</t>
  </si>
  <si>
    <t>Póliza Vida Ley  empleados seguros Pacifico Nro. 18815106 SG</t>
  </si>
  <si>
    <t>E001-779</t>
  </si>
  <si>
    <t>Outsourcing contable  a S&amp;P- Avanza Diciembre 2025</t>
  </si>
  <si>
    <t>E001-780</t>
  </si>
  <si>
    <t>Outsourcing contable  a SG- Avanza Enero 2026</t>
  </si>
  <si>
    <t>E001-794</t>
  </si>
  <si>
    <t>E001-796</t>
  </si>
  <si>
    <t>E001-797</t>
  </si>
  <si>
    <t>Outsourcing contable  a SG- Avanza Febrero 2026</t>
  </si>
  <si>
    <t>E001-795</t>
  </si>
  <si>
    <t>Outsourcing contable servicio representación legal a S&amp;P Febrero- Avanza E001-794</t>
  </si>
  <si>
    <t>Outsourcing contable servicio representacion legal  a SG- Febrero Avanza E001-796</t>
  </si>
  <si>
    <t>Outsourcing contable  a SG- Avanza Febrero Factura E001-797</t>
  </si>
  <si>
    <t>Exámen Ocupacional Cristhian Portugal Segovia -Europortage</t>
  </si>
  <si>
    <t>Seguros de vida Ley Europortage  - Rivertamte</t>
  </si>
  <si>
    <t>Positiva-EPS-SG-Contato 9288277</t>
  </si>
  <si>
    <t>Positiva-EPS- Juan Ulises Aguirre  y  martin Felix-póliza   9288277</t>
  </si>
  <si>
    <t>Bono Sergio Gustin</t>
  </si>
  <si>
    <t>Bono sergio Gustin</t>
  </si>
  <si>
    <t xml:space="preserve">Impuesto ITF </t>
  </si>
  <si>
    <t>Transferencia fondos a la cuenta BBVA para EPS Rimac</t>
  </si>
  <si>
    <t>Pago exámen Ocupacional Cristhian Portugal Segovia -Europortage</t>
  </si>
  <si>
    <t>Rimac EPS Galy Madelein Torres Rivermate</t>
  </si>
  <si>
    <t>Devolución dinero Sergio Gustin</t>
  </si>
  <si>
    <r>
      <t>Client:  Safeguard-Factura Nro EB01-033</t>
    </r>
    <r>
      <rPr>
        <b/>
        <i/>
        <sz val="11"/>
        <color indexed="36"/>
        <rFont val="Calibri"/>
        <family val="2"/>
      </rPr>
      <t>( Cliente)</t>
    </r>
    <r>
      <rPr>
        <sz val="11"/>
        <rFont val="Calibri"/>
        <family val="2"/>
      </rPr>
      <t xml:space="preserve"> </t>
    </r>
  </si>
  <si>
    <t xml:space="preserve">Client:  Safeguard-Factura Nro EB01-033( Cliente) </t>
  </si>
  <si>
    <t>Gastos y costos Periodo 01 al 28 Febrero</t>
  </si>
  <si>
    <t>Representacion legal  a S&amp;P- Avanza Marzo</t>
  </si>
  <si>
    <t>Representacion legal  a SG- Avanza Marzo</t>
  </si>
  <si>
    <t>Outsourcing contable  a S&amp;P- Avanza Enero 2026</t>
  </si>
  <si>
    <t>Outsourcing contable  a S&amp;P- Avanza Febrero 2026</t>
  </si>
  <si>
    <t>Outsourcing contable  a S&amp;P- Avanza Marzo 2026</t>
  </si>
  <si>
    <t>Avanza Facturas vencidas- Imprevisto</t>
  </si>
  <si>
    <t>Superavit / Deficit</t>
  </si>
  <si>
    <t>Implementación del sistema de gestión de SSTT Safeguard Perú Factura E001-1103 Consultora SVS S.A.C</t>
  </si>
  <si>
    <t>E001-1103</t>
  </si>
  <si>
    <t>Implementación del sistema de gestión de SSTT Safeguard Perú- Consultora SVS S.A.C</t>
  </si>
  <si>
    <t>Seguros de vida Sra. Galy Madelein Olazo Rivermate</t>
  </si>
  <si>
    <t>F050-01990011</t>
  </si>
  <si>
    <t>F040-00611711</t>
  </si>
  <si>
    <t>F548 -00506987</t>
  </si>
  <si>
    <t>F002-0000159</t>
  </si>
  <si>
    <r>
      <t>Client:  Safeguard-Factura Nro EB01-</t>
    </r>
    <r>
      <rPr>
        <sz val="11"/>
        <rFont val="Calibri"/>
        <family val="2"/>
      </rPr>
      <t>034</t>
    </r>
    <r>
      <rPr>
        <b/>
        <i/>
        <sz val="11"/>
        <color indexed="36"/>
        <rFont val="Calibri"/>
        <family val="2"/>
      </rPr>
      <t>( Cliente) Bono Sergio Gustin</t>
    </r>
  </si>
  <si>
    <t>Pago facturas Gastos representacion y gestion contable E001-7</t>
  </si>
  <si>
    <t>Pago clarke modet</t>
  </si>
  <si>
    <t>Client:  Safeguard-Factura Nro EB01-034( Cliente) Bono Sergio Gustin</t>
  </si>
  <si>
    <t>Pago clarke modet Factura Nro</t>
  </si>
  <si>
    <r>
      <t xml:space="preserve">Client: Yonyou xinfushe cloud technology co., Factura Nro </t>
    </r>
    <r>
      <rPr>
        <sz val="11"/>
        <color indexed="8"/>
        <rFont val="Calibri"/>
        <family val="2"/>
      </rPr>
      <t>042</t>
    </r>
  </si>
  <si>
    <r>
      <t xml:space="preserve">Yon you </t>
    </r>
    <r>
      <rPr>
        <sz val="11"/>
        <color indexed="8"/>
        <rFont val="Calibri"/>
        <family val="2"/>
      </rPr>
      <t>042</t>
    </r>
  </si>
  <si>
    <t>Remofirst-043</t>
  </si>
  <si>
    <r>
      <t>Client:  Remofirst Nro</t>
    </r>
    <r>
      <rPr>
        <sz val="11"/>
        <color indexed="8"/>
        <rFont val="Calibri"/>
        <family val="2"/>
      </rPr>
      <t xml:space="preserve"> 043</t>
    </r>
  </si>
  <si>
    <r>
      <t xml:space="preserve">Client:  Europortage Nro </t>
    </r>
    <r>
      <rPr>
        <sz val="11"/>
        <rFont val="Calibri"/>
        <family val="2"/>
      </rPr>
      <t>045</t>
    </r>
  </si>
  <si>
    <t>Transferencia de fondos a la cuenta de dolares a Soles para pago IGV febrero Global</t>
  </si>
  <si>
    <t>Pago de renta IGV febrero-SG</t>
  </si>
  <si>
    <t>Pago de renta IGV febrero-S&amp;P</t>
  </si>
  <si>
    <t>Pago examen de ingreso Cesar Luis Eybar-Remofirst</t>
  </si>
  <si>
    <r>
      <t>Client:  Safeguard-Factura Nro EB01-</t>
    </r>
    <r>
      <rPr>
        <sz val="11"/>
        <rFont val="Calibri"/>
        <family val="2"/>
      </rPr>
      <t>035</t>
    </r>
    <r>
      <rPr>
        <b/>
        <i/>
        <sz val="11"/>
        <color indexed="36"/>
        <rFont val="Calibri"/>
        <family val="2"/>
      </rPr>
      <t>( Cliente)</t>
    </r>
  </si>
  <si>
    <t>Client:  Safeguard-Factura Nro EB01-035( Cliente)</t>
  </si>
  <si>
    <t>SCTR Pensiones europortage recibo 169872841 -Abril</t>
  </si>
  <si>
    <t>SCTR Salud Europartage recibo 169872845 - Abril</t>
  </si>
  <si>
    <r>
      <t>Client:  Rivermate Factura Nro</t>
    </r>
    <r>
      <rPr>
        <sz val="11"/>
        <rFont val="Calibri"/>
        <family val="2"/>
      </rPr>
      <t xml:space="preserve"> 044</t>
    </r>
  </si>
  <si>
    <t>Póliza de salud Rimac Braydi Yusset Vera</t>
  </si>
  <si>
    <t>Client:  Europortage Nro 045</t>
  </si>
  <si>
    <t>Client:  Remofirst Nro 043</t>
  </si>
  <si>
    <t xml:space="preserve">Pago Parcial Guardiana </t>
  </si>
  <si>
    <r>
      <t>Client:  Safeguard-Factura Nro EB01-013</t>
    </r>
    <r>
      <rPr>
        <b/>
        <i/>
        <sz val="11"/>
        <color indexed="36"/>
        <rFont val="Calibri"/>
        <family val="2"/>
      </rPr>
      <t>( Cliente)</t>
    </r>
    <r>
      <rPr>
        <sz val="11"/>
        <rFont val="Calibri"/>
        <family val="2"/>
      </rPr>
      <t xml:space="preserve"> SS e impuestos Claudia Vasquez ( Sept-Oct)</t>
    </r>
    <r>
      <rPr>
        <sz val="11"/>
        <rFont val="Calibri"/>
        <family val="2"/>
      </rPr>
      <t xml:space="preserve"> </t>
    </r>
    <r>
      <rPr>
        <b/>
        <i/>
        <sz val="11"/>
        <color indexed="10"/>
        <rFont val="Calibri"/>
        <family val="2"/>
      </rPr>
      <t>Abono</t>
    </r>
  </si>
  <si>
    <t>Gastos y costos Periodo 23 al 31 Marzo</t>
  </si>
  <si>
    <t>Client:  Rivermate Factura Nro 044</t>
  </si>
  <si>
    <t>Victor Williams Zaferson Quiroz</t>
  </si>
  <si>
    <t>Transferencia de fondos de la cuenta de USD a Soles para Salarios Safeguard, Seguridad social e impuestos de Marzo-IGV y otros</t>
  </si>
  <si>
    <t>Client: Yonyou xinfushe cloud technology co., Factura Nro 042</t>
  </si>
  <si>
    <t>Transferencia de fondos de la cuenta de USD a Soles para Salarios S&amp;P, Seguridad social e impuestos de Marzo-IGV y otros</t>
  </si>
  <si>
    <t>Nómina mes de Febrero S&amp;P</t>
  </si>
  <si>
    <t>Comisión nomina Febrero-S&amp;P</t>
  </si>
  <si>
    <t>Nómina mes de Marzo S&amp;P</t>
  </si>
  <si>
    <t>Pago exámen de ingreso Cesar Luis Eybar-Remofirst</t>
  </si>
  <si>
    <t>Pago exámen de ingreso Cliff Richard Bustamante Leveau-Remofirst</t>
  </si>
  <si>
    <t>Pago exámen de ingreso Maria Fernanda Miranda García-Remofirst</t>
  </si>
  <si>
    <r>
      <t>Juan Ulises Aguirre Tacunan -</t>
    </r>
    <r>
      <rPr>
        <b/>
        <sz val="11"/>
        <color indexed="12"/>
        <rFont val="Calibri"/>
        <family val="2"/>
      </rPr>
      <t>USD</t>
    </r>
  </si>
  <si>
    <t>Reembolso Diana Karina Catillo Farias  Torres-Remofisrt</t>
  </si>
  <si>
    <t>Seguros de vida Ley YonYou, Rivermate,Remofirst</t>
  </si>
  <si>
    <t>Póliza Vida Ley  empleados seguros Pacifico Nro. 130541</t>
  </si>
  <si>
    <t>F548 - 00516255</t>
  </si>
  <si>
    <t>Pago Reembolso Diana Karina Catillo Farias  Torres-Remofisrt</t>
  </si>
  <si>
    <t>Pago Reembolso Luis Renato Sanchez Perez  -Yon Yuo</t>
  </si>
  <si>
    <t>Pago Reembolso Braydi Yusset Vera Neira-Europortage</t>
  </si>
  <si>
    <t>Pago Reembolso Cristhian Portugal Segovia -Europortage</t>
  </si>
  <si>
    <t>Pago Reembolso Davis Cesar oporto figueroa   -Europortage</t>
  </si>
  <si>
    <t>Reembolso Juan Ulises Aguirre Tacunan</t>
  </si>
  <si>
    <t>Pago Reembolso Luis Enrique Vela Trujillo-SG</t>
  </si>
  <si>
    <t>Pago Reembolso Martin Rolando Felix García-SG</t>
  </si>
  <si>
    <t>Pago Reembolso Sergio Martin Gustin García</t>
  </si>
  <si>
    <t>Pago SCTR Salud - Yon you-Mar</t>
  </si>
  <si>
    <t>Pago Seguros de vida Ley YonYou, Rivermate,Remofirst</t>
  </si>
  <si>
    <t>Pago Póliza Rimac EPS factura Nro. F548 - 00516255-SG</t>
  </si>
  <si>
    <t>FA807056912</t>
  </si>
  <si>
    <t>Pago Positiva-Pension-SG-Contato 9288277-Recibos FA345561405-FA345561422</t>
  </si>
  <si>
    <t>Positiva-Pension-SG-Contato 9288277- Recibos FA345561405-FA345561422</t>
  </si>
  <si>
    <t>FA345561405/1422</t>
  </si>
  <si>
    <t>Pago Póliza Vida Ley  empleados seguros Pacifico Nro. 130541</t>
  </si>
  <si>
    <t>Pago Positiva-Salud-póliza  30404323- Recibo FA807056912</t>
  </si>
  <si>
    <t>Positiva-Salud-póliza  30404323- Recibo FA807056912</t>
  </si>
  <si>
    <t>Póliza Rimac ( pendiente )</t>
  </si>
  <si>
    <t>E001-817</t>
  </si>
  <si>
    <t>E001-820</t>
  </si>
  <si>
    <t>Outsourcing contable  a SG- Avanza Marzo 2026</t>
  </si>
  <si>
    <t>E001-821</t>
  </si>
  <si>
    <t>E001-828</t>
  </si>
  <si>
    <t xml:space="preserve">Declaración anual 2025 a Safeguard Global Peru </t>
  </si>
  <si>
    <t xml:space="preserve">Esta en cuentas x pagar de febrero </t>
  </si>
  <si>
    <r>
      <t>E001-</t>
    </r>
    <r>
      <rPr>
        <b/>
        <sz val="11"/>
        <color indexed="10"/>
        <rFont val="Calibri"/>
        <family val="2"/>
      </rPr>
      <t>XXX</t>
    </r>
  </si>
  <si>
    <t>Esta en cuentas x pagar de Marzo</t>
  </si>
  <si>
    <t>Outsourcing contable servicio representación legal a S&amp;P Marzo- Avanza E001-817</t>
  </si>
  <si>
    <t>Outsourcing contable servicio representación legal a SG Marzo- Avanza E001-820</t>
  </si>
  <si>
    <t>Outsourcing contable declaración anual 2025 a Safeguard Global Peru  Avanza E001-828</t>
  </si>
  <si>
    <t>F052-02121758</t>
  </si>
  <si>
    <t>F052-02121756</t>
  </si>
  <si>
    <r>
      <t>Client:  Safeguard-Factura Nro EB01-</t>
    </r>
    <r>
      <rPr>
        <sz val="11"/>
        <rFont val="Calibri"/>
        <family val="2"/>
      </rPr>
      <t>038</t>
    </r>
    <r>
      <rPr>
        <b/>
        <i/>
        <sz val="11"/>
        <color indexed="36"/>
        <rFont val="Calibri"/>
        <family val="2"/>
      </rPr>
      <t>( Cliente)</t>
    </r>
    <r>
      <rPr>
        <sz val="11"/>
        <rFont val="Calibri"/>
        <family val="2"/>
      </rPr>
      <t>-Liquidación</t>
    </r>
  </si>
  <si>
    <t>Client:  Safeguard-Factura Nro EB01-038( Cliente)-Liquidación</t>
  </si>
  <si>
    <t>Póliza de Vida del a Sra Galy Olazo Rivermate</t>
  </si>
  <si>
    <t>Pago Póliza de Vida del a Sra Galy Olazo Rivermate</t>
  </si>
  <si>
    <t>Transferencia de fondos a la cuenta  de Soles para pago de liquidacion de la señor Olga Paredes -SG</t>
  </si>
  <si>
    <t>Pago liquidación Olga Alejandra Paredes Paucarcaja-SG</t>
  </si>
  <si>
    <r>
      <t xml:space="preserve">Olga Alejandra Paredes Paucarcaja- </t>
    </r>
    <r>
      <rPr>
        <b/>
        <i/>
        <sz val="11"/>
        <color indexed="10"/>
        <rFont val="Calibri"/>
        <family val="2"/>
      </rPr>
      <t>Liquidación</t>
    </r>
  </si>
  <si>
    <t>Pago Melissa Lizeth Guadalupe Huertas- bono-SG</t>
  </si>
  <si>
    <r>
      <t>Melissa Lizeth Guadalupe Huertas-</t>
    </r>
    <r>
      <rPr>
        <b/>
        <i/>
        <sz val="11"/>
        <color indexed="10"/>
        <rFont val="Calibri"/>
        <family val="2"/>
      </rPr>
      <t xml:space="preserve"> Bono</t>
    </r>
  </si>
  <si>
    <t>Client: Yonyou xinfushe cloud technology co., Factura Nro XXX</t>
  </si>
  <si>
    <r>
      <t>Client:  Remofirst Nro</t>
    </r>
    <r>
      <rPr>
        <sz val="11"/>
        <color indexed="8"/>
        <rFont val="Calibri"/>
        <family val="2"/>
      </rPr>
      <t xml:space="preserve"> XXX</t>
    </r>
  </si>
  <si>
    <r>
      <t xml:space="preserve">Client:  Europortage Nro </t>
    </r>
    <r>
      <rPr>
        <sz val="11"/>
        <rFont val="Calibri"/>
        <family val="2"/>
      </rPr>
      <t>XXX</t>
    </r>
  </si>
  <si>
    <r>
      <t>Client:  Rivermate Factura Nro</t>
    </r>
    <r>
      <rPr>
        <sz val="11"/>
        <rFont val="Calibri"/>
        <family val="2"/>
      </rPr>
      <t xml:space="preserve"> XXX</t>
    </r>
  </si>
  <si>
    <r>
      <t>Client:  Safeguard-Factura Nro EB01-</t>
    </r>
    <r>
      <rPr>
        <sz val="11"/>
        <rFont val="Calibri"/>
        <family val="2"/>
      </rPr>
      <t>XXX</t>
    </r>
    <r>
      <rPr>
        <b/>
        <i/>
        <sz val="11"/>
        <color indexed="36"/>
        <rFont val="Calibri"/>
        <family val="2"/>
      </rPr>
      <t>( Cliente)</t>
    </r>
  </si>
  <si>
    <t>SCTR Salud Europartage recibo 169872845 - Mayo</t>
  </si>
  <si>
    <t>SCTR Pensiones europortage recibo 169872841 -Mayo</t>
  </si>
  <si>
    <t>Plame, Gratificaciones, Renta IGV S&amp;P y SG, Avanza contadores</t>
  </si>
  <si>
    <t>Nóminas, reembolsos,polizas SCTR,Outsourcing contable polizas SCTR  SG</t>
  </si>
  <si>
    <t>Gastos y costos Periodo 01 al 26 abril</t>
  </si>
  <si>
    <t>Pago exámen periodico Luis Renato Sánchez Martínez-Yon You</t>
  </si>
  <si>
    <t>Pago vigencia de Poder emitidos por SUNARP para S&amp;P y SG</t>
  </si>
  <si>
    <t>Póliza de Salud Galy Olazo -Rivermate-Rimac</t>
  </si>
  <si>
    <r>
      <t>Planilla de declaración y pago de aportes previsional-</t>
    </r>
    <r>
      <rPr>
        <b/>
        <i/>
        <sz val="11"/>
        <color indexed="10"/>
        <rFont val="Calibri"/>
        <family val="2"/>
      </rPr>
      <t>Habitat</t>
    </r>
  </si>
  <si>
    <t>Pago exámen periodico Davis Cesar Oporto-Europortage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</si>
</sst>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_(&quot;$&quot;* #,##0_);_(&quot;$&quot;* \(#,##0\);_(&quot;$&quot;* &quot;-&quot;_);_(@_)"/>
    <numFmt numFmtId="166" formatCode="_(* #,##0.00_);_(* \(#,##0.00\);_(* &quot;-&quot;??_);_(@_)"/>
    <numFmt numFmtId="168" formatCode="&quot;$&quot;\ #,##0.00_);[Red]\(&quot;$&quot;\ #,##0.00\)"/>
    <numFmt numFmtId="169" formatCode="_(&quot;$&quot;\ * #,##0.00_);_(&quot;$&quot;\ * \(#,##0.00\);_(&quot;$&quot;\ * &quot;-&quot;??_);_(@_)"/>
    <numFmt numFmtId="170" formatCode="&quot;$&quot;\ #,##0.00"/>
    <numFmt numFmtId="171" formatCode="[$USD]\ #,##0.00"/>
    <numFmt numFmtId="172" formatCode="_(&quot;$&quot;* #,##0.00_);_(&quot;$&quot;* \(#,##0.00\);_(&quot;$&quot;* &quot;-&quot;_);_(@_)"/>
    <numFmt numFmtId="173" formatCode="[$USD]\ #,##0.00;\-[$USD]\ #,##0.00"/>
    <numFmt numFmtId="174" formatCode="[$$-240A]\ #,##0"/>
    <numFmt numFmtId="175" formatCode=";\:;;"/>
    <numFmt numFmtId="176" formatCode=";;;"/>
    <numFmt numFmtId="177" formatCode="0.0%"/>
    <numFmt numFmtId="178" formatCode="[$CRC]\ #,##0.00"/>
    <numFmt numFmtId="179" formatCode="[$S/-280A]\ #,##0.00"/>
    <numFmt numFmtId="180" formatCode="[$USD]\ #,##0.0;\-[$USD]\ #,##0.0"/>
    <numFmt numFmtId="181" formatCode="_-[$S/-280A]\ * #,##0.00_-;\-[$S/-280A]\ * #,##0.00_-;_-[$S/-280A]\ * &quot;-&quot;??_-;_-@_-"/>
    <numFmt numFmtId="182" formatCode="_(* #,##0.0_);_(* \(#,##0.0\);_(* &quot;-&quot;??_);_(@_)"/>
    <numFmt numFmtId="183" formatCode="_-* #,##0.0_-;\-* #,##0.0_-;_-* &quot;-&quot;?_-;_-@_-"/>
    <numFmt numFmtId="190" formatCode="[$USD]\ #,##0;\-[$USD]\ #,##0"/>
    <numFmt numFmtId="196" formatCode="[$S/-280A]\ #,##0.000000"/>
    <numFmt numFmtId="202" formatCode="[$USD]\ #,##0.000000;\-[$USD]\ #,##0.000000"/>
  </numFmts>
  <fonts count="1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"/>
      <name val="Franklin Gothic Book"/>
      <family val="2"/>
    </font>
    <font>
      <b/>
      <sz val="9"/>
      <name val="Franklin Gothic Book"/>
      <family val="2"/>
    </font>
    <font>
      <sz val="9"/>
      <color indexed="8"/>
      <name val="Franklin Gothic Book"/>
      <family val="2"/>
    </font>
    <font>
      <sz val="9"/>
      <name val="Franklin Gothic Book"/>
      <family val="2"/>
    </font>
    <font>
      <sz val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color indexed="10"/>
      <name val="Calibri"/>
      <family val="2"/>
    </font>
    <font>
      <b/>
      <i/>
      <u/>
      <sz val="11"/>
      <color indexed="10"/>
      <name val="Calibri"/>
      <family val="2"/>
    </font>
    <font>
      <sz val="9"/>
      <color indexed="8"/>
      <name val="Calibri"/>
      <family val="2"/>
    </font>
    <font>
      <b/>
      <i/>
      <sz val="9"/>
      <color indexed="8"/>
      <name val="Calibri"/>
      <family val="2"/>
    </font>
    <font>
      <b/>
      <i/>
      <sz val="11"/>
      <color indexed="36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sz val="11"/>
      <color indexed="10"/>
      <name val="Calibri"/>
      <family val="2"/>
    </font>
    <font>
      <sz val="9"/>
      <color indexed="8"/>
      <name val="Calibri"/>
      <family val="2"/>
    </font>
    <font>
      <b/>
      <i/>
      <sz val="11"/>
      <name val="Calibri"/>
      <family val="2"/>
    </font>
    <font>
      <b/>
      <sz val="9"/>
      <color indexed="12"/>
      <name val="Calibri"/>
      <family val="2"/>
    </font>
    <font>
      <b/>
      <i/>
      <sz val="9"/>
      <color indexed="12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indexed="10"/>
      <name val="Calibri"/>
      <family val="2"/>
    </font>
    <font>
      <b/>
      <i/>
      <sz val="11"/>
      <color indexed="10"/>
      <name val="Calibri"/>
      <family val="2"/>
    </font>
    <font>
      <b/>
      <i/>
      <sz val="11"/>
      <color indexed="10"/>
      <name val="Calibri"/>
      <family val="2"/>
    </font>
    <font>
      <b/>
      <i/>
      <u/>
      <sz val="11"/>
      <color indexed="10"/>
      <name val="Calibri"/>
      <family val="2"/>
    </font>
    <font>
      <b/>
      <i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1"/>
      <color indexed="48"/>
      <name val="Calibri"/>
      <family val="2"/>
    </font>
    <font>
      <b/>
      <sz val="11"/>
      <color indexed="10"/>
      <name val="Calibri"/>
      <family val="2"/>
    </font>
    <font>
      <sz val="11"/>
      <name val="Calibri"/>
      <family val="2"/>
    </font>
    <font>
      <b/>
      <sz val="11"/>
      <color indexed="17"/>
      <name val="Calibri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12"/>
      <name val="Calibri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11"/>
      <color indexed="17"/>
      <name val="Calibri"/>
      <family val="2"/>
    </font>
    <font>
      <b/>
      <i/>
      <sz val="11"/>
      <color indexed="12"/>
      <name val="Calibri"/>
      <family val="2"/>
    </font>
    <font>
      <b/>
      <sz val="9"/>
      <color indexed="10"/>
      <name val="Calibri"/>
      <family val="2"/>
    </font>
    <font>
      <b/>
      <i/>
      <sz val="11"/>
      <name val="Calibri"/>
      <family val="2"/>
    </font>
    <font>
      <b/>
      <i/>
      <sz val="11"/>
      <color indexed="10"/>
      <name val="Calibri"/>
      <family val="2"/>
    </font>
    <font>
      <b/>
      <sz val="9"/>
      <color indexed="10"/>
      <name val="Calibri"/>
      <family val="2"/>
    </font>
    <font>
      <b/>
      <sz val="11"/>
      <color indexed="12"/>
      <name val="Calibri"/>
      <family val="2"/>
    </font>
    <font>
      <sz val="11"/>
      <color indexed="8"/>
      <name val="Calibri"/>
      <family val="2"/>
    </font>
    <font>
      <b/>
      <sz val="11"/>
      <color indexed="12"/>
      <name val="Calibri"/>
      <family val="2"/>
    </font>
    <font>
      <b/>
      <i/>
      <sz val="11"/>
      <color indexed="12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i/>
      <sz val="11"/>
      <color indexed="10"/>
      <name val="Calibri"/>
      <family val="2"/>
    </font>
    <font>
      <b/>
      <sz val="11"/>
      <color indexed="10"/>
      <name val="Calibri"/>
      <family val="2"/>
    </font>
    <font>
      <sz val="11"/>
      <name val="Calibri"/>
      <family val="2"/>
    </font>
    <font>
      <b/>
      <i/>
      <sz val="11"/>
      <color indexed="10"/>
      <name val="Calibri"/>
      <family val="2"/>
    </font>
    <font>
      <b/>
      <i/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ranklin Gothic Book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Franklin Gothic Book"/>
      <family val="2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0000CC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33CC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12"/>
      <color rgb="FF0000CC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0"/>
      <name val="Frutiger-Bold"/>
    </font>
    <font>
      <sz val="11"/>
      <color theme="0"/>
      <name val="Frutiger-Light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i/>
      <sz val="11"/>
      <color rgb="FF0000CC"/>
      <name val="Calibri"/>
      <family val="2"/>
      <scheme val="minor"/>
    </font>
    <font>
      <b/>
      <sz val="9"/>
      <color rgb="FF0000CC"/>
      <name val="Franklin Gothic Book"/>
      <family val="2"/>
    </font>
    <font>
      <sz val="9"/>
      <color rgb="FFFF0000"/>
      <name val="Calibri"/>
      <family val="2"/>
      <scheme val="minor"/>
    </font>
    <font>
      <sz val="9"/>
      <color rgb="FFFF0000"/>
      <name val="Franklin Gothic Book"/>
      <family val="2"/>
    </font>
    <font>
      <i/>
      <u/>
      <sz val="9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sz val="12"/>
      <color rgb="FF242424"/>
      <name val="Calibri"/>
      <family val="2"/>
      <scheme val="minor"/>
    </font>
    <font>
      <b/>
      <sz val="9"/>
      <color rgb="FFFF0000"/>
      <name val="Calibri"/>
      <family val="2"/>
      <scheme val="minor"/>
    </font>
    <font>
      <i/>
      <sz val="9"/>
      <color theme="1"/>
      <name val="Franklin Gothic Book"/>
      <family val="2"/>
    </font>
    <font>
      <i/>
      <u/>
      <sz val="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9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00B05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thin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9"/>
      </left>
      <right/>
      <top style="medium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9"/>
      </left>
      <right/>
      <top style="medium">
        <color indexed="9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5">
    <xf numFmtId="0" fontId="0" fillId="0" borderId="0"/>
    <xf numFmtId="166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4" fontId="72" fillId="0" borderId="0" applyFont="0" applyFill="0" applyBorder="0" applyAlignment="0" applyProtection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" fillId="0" borderId="0"/>
    <xf numFmtId="0" fontId="6" fillId="0" borderId="0">
      <alignment vertical="center"/>
    </xf>
    <xf numFmtId="0" fontId="70" fillId="0" borderId="0"/>
    <xf numFmtId="0" fontId="72" fillId="0" borderId="0"/>
    <xf numFmtId="9" fontId="70" fillId="0" borderId="0" applyFont="0" applyFill="0" applyBorder="0" applyAlignment="0" applyProtection="0"/>
    <xf numFmtId="9" fontId="72" fillId="0" borderId="0" applyFont="0" applyFill="0" applyBorder="0" applyAlignment="0" applyProtection="0"/>
  </cellStyleXfs>
  <cellXfs count="542">
    <xf numFmtId="0" fontId="0" fillId="0" borderId="0" xfId="0"/>
    <xf numFmtId="15" fontId="2" fillId="0" borderId="0" xfId="0" applyNumberFormat="1" applyFont="1" applyAlignment="1">
      <alignment horizontal="center" vertical="center"/>
    </xf>
    <xf numFmtId="15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70" fontId="3" fillId="0" borderId="0" xfId="1" applyNumberFormat="1" applyFont="1" applyFill="1" applyAlignment="1">
      <alignment horizontal="center" vertical="center"/>
    </xf>
    <xf numFmtId="166" fontId="3" fillId="0" borderId="0" xfId="1" applyFont="1" applyAlignment="1">
      <alignment horizontal="center" vertical="center"/>
    </xf>
    <xf numFmtId="168" fontId="5" fillId="0" borderId="0" xfId="2" applyNumberFormat="1" applyFont="1" applyAlignment="1">
      <alignment vertical="center"/>
    </xf>
    <xf numFmtId="166" fontId="5" fillId="0" borderId="0" xfId="1" applyFont="1" applyAlignment="1">
      <alignment vertical="center"/>
    </xf>
    <xf numFmtId="0" fontId="75" fillId="0" borderId="0" xfId="0" applyFont="1"/>
    <xf numFmtId="166" fontId="75" fillId="0" borderId="0" xfId="1" applyFont="1" applyFill="1"/>
    <xf numFmtId="15" fontId="4" fillId="0" borderId="0" xfId="0" applyNumberFormat="1" applyFont="1" applyFill="1" applyAlignment="1">
      <alignment horizontal="left" vertical="center"/>
    </xf>
    <xf numFmtId="0" fontId="75" fillId="0" borderId="0" xfId="0" applyFont="1" applyFill="1"/>
    <xf numFmtId="166" fontId="76" fillId="0" borderId="0" xfId="1" applyFont="1" applyAlignment="1">
      <alignment vertical="center"/>
    </xf>
    <xf numFmtId="15" fontId="4" fillId="3" borderId="0" xfId="0" applyNumberFormat="1" applyFont="1" applyFill="1" applyAlignment="1">
      <alignment horizontal="left" vertical="center"/>
    </xf>
    <xf numFmtId="0" fontId="75" fillId="3" borderId="0" xfId="0" applyFont="1" applyFill="1"/>
    <xf numFmtId="166" fontId="5" fillId="0" borderId="0" xfId="1" applyFont="1" applyFill="1" applyAlignment="1">
      <alignment vertical="center"/>
    </xf>
    <xf numFmtId="168" fontId="5" fillId="0" borderId="0" xfId="2" applyNumberFormat="1" applyFont="1" applyFill="1" applyAlignment="1">
      <alignment vertical="center"/>
    </xf>
    <xf numFmtId="166" fontId="75" fillId="0" borderId="0" xfId="0" applyNumberFormat="1" applyFont="1" applyFill="1"/>
    <xf numFmtId="166" fontId="75" fillId="3" borderId="0" xfId="1" applyFont="1" applyFill="1"/>
    <xf numFmtId="0" fontId="77" fillId="0" borderId="0" xfId="0" applyFont="1" applyFill="1"/>
    <xf numFmtId="43" fontId="75" fillId="0" borderId="0" xfId="0" applyNumberFormat="1" applyFont="1" applyFill="1"/>
    <xf numFmtId="166" fontId="77" fillId="0" borderId="0" xfId="1" applyFont="1" applyFill="1"/>
    <xf numFmtId="0" fontId="3" fillId="0" borderId="0" xfId="0" applyFont="1" applyFill="1" applyAlignment="1">
      <alignment vertical="center"/>
    </xf>
    <xf numFmtId="166" fontId="3" fillId="0" borderId="0" xfId="1" applyFont="1" applyAlignment="1">
      <alignment vertical="center"/>
    </xf>
    <xf numFmtId="0" fontId="78" fillId="0" borderId="0" xfId="0" applyFont="1" applyFill="1"/>
    <xf numFmtId="43" fontId="0" fillId="0" borderId="0" xfId="0" applyNumberFormat="1"/>
    <xf numFmtId="171" fontId="78" fillId="0" borderId="0" xfId="1" applyNumberFormat="1" applyFont="1" applyFill="1"/>
    <xf numFmtId="171" fontId="5" fillId="0" borderId="0" xfId="1" applyNumberFormat="1" applyFont="1" applyFill="1" applyAlignment="1">
      <alignment vertical="center"/>
    </xf>
    <xf numFmtId="171" fontId="75" fillId="0" borderId="0" xfId="1" applyNumberFormat="1" applyFont="1" applyFill="1"/>
    <xf numFmtId="171" fontId="75" fillId="3" borderId="0" xfId="1" applyNumberFormat="1" applyFont="1" applyFill="1"/>
    <xf numFmtId="171" fontId="5" fillId="3" borderId="0" xfId="1" applyNumberFormat="1" applyFont="1" applyFill="1" applyAlignment="1">
      <alignment vertical="center"/>
    </xf>
    <xf numFmtId="171" fontId="76" fillId="0" borderId="0" xfId="1" applyNumberFormat="1" applyFont="1" applyFill="1" applyAlignment="1">
      <alignment vertical="center"/>
    </xf>
    <xf numFmtId="0" fontId="76" fillId="0" borderId="0" xfId="0" applyFont="1"/>
    <xf numFmtId="0" fontId="79" fillId="0" borderId="0" xfId="0" applyFont="1"/>
    <xf numFmtId="0" fontId="79" fillId="0" borderId="0" xfId="0" applyFont="1" applyAlignment="1">
      <alignment horizontal="center"/>
    </xf>
    <xf numFmtId="0" fontId="79" fillId="0" borderId="0" xfId="0" applyFont="1" applyAlignment="1">
      <alignment horizontal="center" wrapText="1"/>
    </xf>
    <xf numFmtId="0" fontId="74" fillId="0" borderId="0" xfId="0" applyFont="1" applyAlignment="1">
      <alignment horizontal="center"/>
    </xf>
    <xf numFmtId="14" fontId="76" fillId="0" borderId="0" xfId="0" applyNumberFormat="1" applyFont="1"/>
    <xf numFmtId="171" fontId="75" fillId="0" borderId="0" xfId="0" applyNumberFormat="1" applyFont="1" applyFill="1"/>
    <xf numFmtId="179" fontId="80" fillId="0" borderId="0" xfId="3" applyNumberFormat="1" applyFont="1" applyFill="1" applyBorder="1"/>
    <xf numFmtId="179" fontId="80" fillId="3" borderId="0" xfId="3" applyNumberFormat="1" applyFont="1" applyFill="1" applyBorder="1"/>
    <xf numFmtId="179" fontId="78" fillId="0" borderId="0" xfId="3" applyNumberFormat="1" applyFont="1" applyFill="1" applyBorder="1"/>
    <xf numFmtId="179" fontId="81" fillId="0" borderId="0" xfId="3" applyNumberFormat="1" applyFont="1" applyFill="1" applyBorder="1"/>
    <xf numFmtId="171" fontId="3" fillId="0" borderId="0" xfId="1" applyNumberFormat="1" applyFont="1" applyFill="1" applyAlignment="1">
      <alignment vertical="center"/>
    </xf>
    <xf numFmtId="0" fontId="74" fillId="0" borderId="1" xfId="0" applyFont="1" applyBorder="1" applyAlignment="1">
      <alignment horizontal="center"/>
    </xf>
    <xf numFmtId="0" fontId="74" fillId="0" borderId="2" xfId="0" applyFont="1" applyBorder="1" applyAlignment="1">
      <alignment horizontal="center"/>
    </xf>
    <xf numFmtId="0" fontId="74" fillId="0" borderId="3" xfId="0" applyFont="1" applyBorder="1"/>
    <xf numFmtId="14" fontId="0" fillId="0" borderId="4" xfId="0" applyNumberFormat="1" applyBorder="1"/>
    <xf numFmtId="0" fontId="0" fillId="0" borderId="5" xfId="0" applyBorder="1"/>
    <xf numFmtId="173" fontId="70" fillId="0" borderId="6" xfId="1" applyNumberFormat="1" applyFont="1" applyFill="1" applyBorder="1"/>
    <xf numFmtId="0" fontId="0" fillId="0" borderId="5" xfId="0" applyBorder="1" applyAlignment="1">
      <alignment horizontal="left"/>
    </xf>
    <xf numFmtId="173" fontId="70" fillId="0" borderId="6" xfId="1" applyNumberFormat="1" applyFont="1" applyBorder="1"/>
    <xf numFmtId="180" fontId="70" fillId="0" borderId="6" xfId="1" applyNumberFormat="1" applyFont="1" applyFill="1" applyBorder="1"/>
    <xf numFmtId="14" fontId="0" fillId="0" borderId="7" xfId="0" applyNumberFormat="1" applyBorder="1"/>
    <xf numFmtId="173" fontId="70" fillId="0" borderId="8" xfId="1" applyNumberFormat="1" applyFont="1" applyFill="1" applyBorder="1"/>
    <xf numFmtId="173" fontId="74" fillId="0" borderId="9" xfId="1" applyNumberFormat="1" applyFont="1" applyFill="1" applyBorder="1"/>
    <xf numFmtId="14" fontId="0" fillId="0" borderId="10" xfId="0" applyNumberFormat="1" applyBorder="1"/>
    <xf numFmtId="0" fontId="0" fillId="0" borderId="11" xfId="0" applyBorder="1"/>
    <xf numFmtId="173" fontId="70" fillId="0" borderId="12" xfId="1" applyNumberFormat="1" applyFont="1" applyFill="1" applyBorder="1"/>
    <xf numFmtId="14" fontId="0" fillId="0" borderId="4" xfId="0" applyNumberFormat="1" applyFill="1" applyBorder="1"/>
    <xf numFmtId="0" fontId="0" fillId="0" borderId="5" xfId="0" applyFill="1" applyBorder="1" applyAlignment="1">
      <alignment horizontal="left"/>
    </xf>
    <xf numFmtId="0" fontId="0" fillId="0" borderId="5" xfId="0" applyFill="1" applyBorder="1" applyAlignment="1">
      <alignment horizontal="left" wrapText="1"/>
    </xf>
    <xf numFmtId="179" fontId="74" fillId="0" borderId="0" xfId="0" applyNumberFormat="1" applyFont="1"/>
    <xf numFmtId="179" fontId="75" fillId="0" borderId="0" xfId="0" applyNumberFormat="1" applyFont="1" applyFill="1"/>
    <xf numFmtId="14" fontId="0" fillId="0" borderId="13" xfId="0" applyNumberFormat="1" applyFill="1" applyBorder="1"/>
    <xf numFmtId="173" fontId="70" fillId="0" borderId="14" xfId="1" applyNumberFormat="1" applyFont="1" applyFill="1" applyBorder="1"/>
    <xf numFmtId="171" fontId="78" fillId="3" borderId="0" xfId="1" applyNumberFormat="1" applyFont="1" applyFill="1"/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164" fontId="82" fillId="0" borderId="0" xfId="3" applyFont="1" applyBorder="1" applyAlignment="1">
      <alignment horizontal="center"/>
    </xf>
    <xf numFmtId="0" fontId="80" fillId="0" borderId="0" xfId="10" applyFont="1" applyAlignment="1" applyProtection="1">
      <protection locked="0"/>
    </xf>
    <xf numFmtId="166" fontId="70" fillId="0" borderId="0" xfId="1" applyFont="1" applyFill="1" applyBorder="1"/>
    <xf numFmtId="0" fontId="83" fillId="0" borderId="0" xfId="12" applyFont="1"/>
    <xf numFmtId="0" fontId="83" fillId="4" borderId="0" xfId="12" applyFont="1" applyFill="1"/>
    <xf numFmtId="14" fontId="83" fillId="4" borderId="0" xfId="12" applyNumberFormat="1" applyFont="1" applyFill="1" applyAlignment="1">
      <alignment horizontal="center"/>
    </xf>
    <xf numFmtId="0" fontId="74" fillId="0" borderId="0" xfId="11" applyFont="1" applyAlignment="1">
      <alignment horizontal="right"/>
    </xf>
    <xf numFmtId="0" fontId="74" fillId="0" borderId="0" xfId="11" applyFont="1"/>
    <xf numFmtId="164" fontId="84" fillId="0" borderId="0" xfId="3" applyFont="1" applyFill="1" applyBorder="1" applyAlignment="1" applyProtection="1">
      <alignment horizontal="center" vertical="top"/>
    </xf>
    <xf numFmtId="0" fontId="85" fillId="0" borderId="0" xfId="10" applyFont="1" applyAlignment="1" applyProtection="1">
      <alignment horizontal="center" vertical="center"/>
      <protection locked="0"/>
    </xf>
    <xf numFmtId="0" fontId="83" fillId="5" borderId="43" xfId="10" applyFont="1" applyFill="1" applyBorder="1" applyAlignment="1">
      <alignment horizontal="left" vertical="center"/>
    </xf>
    <xf numFmtId="171" fontId="83" fillId="5" borderId="43" xfId="3" applyNumberFormat="1" applyFont="1" applyFill="1" applyBorder="1" applyAlignment="1" applyProtection="1">
      <alignment vertical="top"/>
    </xf>
    <xf numFmtId="3" fontId="85" fillId="0" borderId="0" xfId="10" applyNumberFormat="1" applyFont="1" applyAlignment="1" applyProtection="1">
      <alignment horizontal="center" vertical="center"/>
      <protection locked="0"/>
    </xf>
    <xf numFmtId="0" fontId="80" fillId="0" borderId="0" xfId="10" applyFont="1" applyAlignment="1" applyProtection="1">
      <alignment horizontal="center"/>
      <protection locked="0"/>
    </xf>
    <xf numFmtId="0" fontId="80" fillId="0" borderId="0" xfId="10" applyFont="1" applyAlignment="1">
      <alignment horizontal="left" wrapText="1" indent="1"/>
    </xf>
    <xf numFmtId="173" fontId="70" fillId="0" borderId="0" xfId="1" applyNumberFormat="1" applyFont="1" applyFill="1" applyBorder="1"/>
    <xf numFmtId="0" fontId="73" fillId="0" borderId="0" xfId="10" applyFont="1" applyAlignment="1" applyProtection="1">
      <protection locked="0"/>
    </xf>
    <xf numFmtId="0" fontId="83" fillId="5" borderId="44" xfId="10" applyFont="1" applyFill="1" applyBorder="1" applyAlignment="1">
      <alignment horizontal="left" vertical="center"/>
    </xf>
    <xf numFmtId="172" fontId="73" fillId="0" borderId="0" xfId="10" applyNumberFormat="1" applyFont="1" applyAlignment="1" applyProtection="1">
      <protection locked="0"/>
    </xf>
    <xf numFmtId="164" fontId="80" fillId="0" borderId="0" xfId="10" applyNumberFormat="1" applyFont="1" applyAlignment="1" applyProtection="1">
      <protection locked="0"/>
    </xf>
    <xf numFmtId="0" fontId="86" fillId="6" borderId="0" xfId="12" applyFont="1" applyFill="1"/>
    <xf numFmtId="178" fontId="83" fillId="6" borderId="0" xfId="3" applyNumberFormat="1" applyFont="1" applyFill="1"/>
    <xf numFmtId="171" fontId="83" fillId="6" borderId="0" xfId="3" applyNumberFormat="1" applyFont="1" applyFill="1"/>
    <xf numFmtId="164" fontId="84" fillId="0" borderId="0" xfId="3" applyFont="1" applyFill="1" applyBorder="1" applyAlignment="1" applyProtection="1">
      <alignment vertical="top"/>
    </xf>
    <xf numFmtId="9" fontId="80" fillId="0" borderId="0" xfId="14" applyFont="1" applyBorder="1" applyAlignment="1" applyProtection="1">
      <protection locked="0"/>
    </xf>
    <xf numFmtId="164" fontId="84" fillId="0" borderId="0" xfId="3" applyFont="1" applyFill="1" applyBorder="1" applyAlignment="1" applyProtection="1">
      <protection locked="0"/>
    </xf>
    <xf numFmtId="164" fontId="84" fillId="0" borderId="0" xfId="10" applyNumberFormat="1" applyFont="1" applyAlignment="1" applyProtection="1">
      <protection locked="0"/>
    </xf>
    <xf numFmtId="174" fontId="80" fillId="0" borderId="0" xfId="10" applyNumberFormat="1" applyFont="1" applyAlignment="1" applyProtection="1">
      <protection locked="0"/>
    </xf>
    <xf numFmtId="0" fontId="86" fillId="0" borderId="0" xfId="12" applyFont="1"/>
    <xf numFmtId="164" fontId="86" fillId="0" borderId="0" xfId="3" applyFont="1" applyFill="1"/>
    <xf numFmtId="9" fontId="87" fillId="0" borderId="0" xfId="14" applyFont="1" applyBorder="1" applyAlignment="1" applyProtection="1">
      <protection locked="0"/>
    </xf>
    <xf numFmtId="0" fontId="84" fillId="0" borderId="0" xfId="10" applyFont="1" applyAlignment="1" applyProtection="1">
      <protection locked="0"/>
    </xf>
    <xf numFmtId="164" fontId="88" fillId="0" borderId="0" xfId="10" applyNumberFormat="1" applyFont="1" applyAlignment="1" applyProtection="1">
      <alignment horizontal="center" vertical="center"/>
      <protection locked="0"/>
    </xf>
    <xf numFmtId="0" fontId="89" fillId="0" borderId="0" xfId="10" applyFont="1" applyAlignment="1" applyProtection="1">
      <alignment horizontal="center" vertical="center"/>
      <protection locked="0"/>
    </xf>
    <xf numFmtId="0" fontId="84" fillId="0" borderId="0" xfId="10" applyFont="1" applyAlignment="1" applyProtection="1">
      <alignment horizontal="center"/>
      <protection locked="0"/>
    </xf>
    <xf numFmtId="0" fontId="84" fillId="0" borderId="0" xfId="10" applyFont="1" applyAlignment="1">
      <alignment horizontal="left" wrapText="1" indent="1"/>
    </xf>
    <xf numFmtId="0" fontId="84" fillId="0" borderId="0" xfId="10" applyFont="1" applyAlignment="1" applyProtection="1">
      <alignment wrapText="1"/>
      <protection locked="0"/>
    </xf>
    <xf numFmtId="0" fontId="84" fillId="0" borderId="0" xfId="10" applyFont="1" applyAlignment="1" applyProtection="1">
      <alignment horizontal="center" wrapText="1"/>
      <protection locked="0"/>
    </xf>
    <xf numFmtId="0" fontId="88" fillId="0" borderId="0" xfId="10" applyFont="1" applyAlignment="1" applyProtection="1">
      <alignment horizontal="center" vertical="center"/>
      <protection locked="0"/>
    </xf>
    <xf numFmtId="9" fontId="80" fillId="0" borderId="0" xfId="14" applyFont="1" applyFill="1" applyBorder="1" applyAlignment="1" applyProtection="1">
      <alignment horizontal="center"/>
      <protection locked="0"/>
    </xf>
    <xf numFmtId="0" fontId="90" fillId="2" borderId="15" xfId="10" applyFont="1" applyFill="1" applyBorder="1" applyAlignment="1">
      <alignment horizontal="left" vertical="center"/>
    </xf>
    <xf numFmtId="171" fontId="90" fillId="2" borderId="16" xfId="3" applyNumberFormat="1" applyFont="1" applyFill="1" applyBorder="1" applyAlignment="1" applyProtection="1">
      <alignment horizontal="right" vertical="center"/>
    </xf>
    <xf numFmtId="14" fontId="80" fillId="0" borderId="0" xfId="10" applyNumberFormat="1" applyFont="1" applyAlignment="1" applyProtection="1">
      <protection locked="0"/>
    </xf>
    <xf numFmtId="175" fontId="80" fillId="0" borderId="0" xfId="14" applyNumberFormat="1" applyFont="1" applyBorder="1" applyAlignment="1" applyProtection="1">
      <protection locked="0"/>
    </xf>
    <xf numFmtId="0" fontId="73" fillId="0" borderId="0" xfId="10" applyFont="1" applyAlignment="1" applyProtection="1">
      <alignment horizontal="center"/>
      <protection locked="0"/>
    </xf>
    <xf numFmtId="171" fontId="80" fillId="0" borderId="0" xfId="3" applyNumberFormat="1" applyFont="1" applyFill="1" applyBorder="1" applyAlignment="1" applyProtection="1">
      <alignment horizontal="right" vertical="top"/>
    </xf>
    <xf numFmtId="14" fontId="70" fillId="0" borderId="0" xfId="10" applyNumberFormat="1" applyFont="1" applyAlignment="1" applyProtection="1">
      <protection locked="0"/>
    </xf>
    <xf numFmtId="175" fontId="80" fillId="0" borderId="0" xfId="14" applyNumberFormat="1" applyFont="1" applyFill="1" applyBorder="1" applyAlignment="1" applyProtection="1">
      <protection locked="0"/>
    </xf>
    <xf numFmtId="178" fontId="80" fillId="0" borderId="0" xfId="10" applyNumberFormat="1" applyFont="1" applyAlignment="1" applyProtection="1">
      <protection locked="0"/>
    </xf>
    <xf numFmtId="49" fontId="73" fillId="0" borderId="0" xfId="10" applyNumberFormat="1" applyFont="1" applyAlignment="1" applyProtection="1">
      <alignment horizontal="center"/>
      <protection locked="0"/>
    </xf>
    <xf numFmtId="164" fontId="80" fillId="0" borderId="0" xfId="3" applyFont="1" applyFill="1" applyBorder="1" applyAlignment="1" applyProtection="1">
      <alignment vertical="top"/>
    </xf>
    <xf numFmtId="0" fontId="87" fillId="0" borderId="0" xfId="10" applyFont="1" applyAlignment="1" applyProtection="1">
      <protection locked="0"/>
    </xf>
    <xf numFmtId="171" fontId="84" fillId="0" borderId="0" xfId="10" applyNumberFormat="1" applyFont="1" applyAlignment="1" applyProtection="1">
      <protection locked="0"/>
    </xf>
    <xf numFmtId="171" fontId="87" fillId="0" borderId="0" xfId="10" applyNumberFormat="1" applyFont="1" applyAlignment="1" applyProtection="1">
      <protection locked="0"/>
    </xf>
    <xf numFmtId="177" fontId="80" fillId="0" borderId="0" xfId="14" applyNumberFormat="1" applyFont="1" applyFill="1" applyBorder="1" applyAlignment="1" applyProtection="1">
      <protection locked="0"/>
    </xf>
    <xf numFmtId="0" fontId="91" fillId="0" borderId="0" xfId="10" applyFont="1" applyAlignment="1" applyProtection="1">
      <alignment horizontal="center"/>
      <protection locked="0"/>
    </xf>
    <xf numFmtId="0" fontId="80" fillId="7" borderId="0" xfId="10" applyFont="1" applyFill="1" applyAlignment="1" applyProtection="1">
      <protection locked="0"/>
    </xf>
    <xf numFmtId="164" fontId="80" fillId="7" borderId="0" xfId="10" applyNumberFormat="1" applyFont="1" applyFill="1" applyAlignment="1" applyProtection="1">
      <protection locked="0"/>
    </xf>
    <xf numFmtId="0" fontId="80" fillId="0" borderId="0" xfId="10" applyFont="1" applyAlignment="1" applyProtection="1">
      <alignment horizontal="center" wrapText="1"/>
      <protection locked="0"/>
    </xf>
    <xf numFmtId="0" fontId="71" fillId="8" borderId="0" xfId="11" applyFont="1" applyFill="1"/>
    <xf numFmtId="171" fontId="86" fillId="8" borderId="17" xfId="3" applyNumberFormat="1" applyFont="1" applyFill="1" applyBorder="1" applyAlignment="1" applyProtection="1">
      <alignment horizontal="right" vertical="top"/>
    </xf>
    <xf numFmtId="171" fontId="70" fillId="0" borderId="0" xfId="3" applyNumberFormat="1" applyFont="1" applyFill="1" applyBorder="1" applyAlignment="1">
      <alignment horizontal="right"/>
    </xf>
    <xf numFmtId="0" fontId="86" fillId="7" borderId="0" xfId="10" applyFont="1" applyFill="1" applyAlignment="1">
      <alignment vertical="top"/>
    </xf>
    <xf numFmtId="3" fontId="86" fillId="7" borderId="0" xfId="10" applyNumberFormat="1" applyFont="1" applyFill="1" applyAlignment="1">
      <alignment vertical="top"/>
    </xf>
    <xf numFmtId="0" fontId="92" fillId="9" borderId="0" xfId="12" applyFont="1" applyFill="1"/>
    <xf numFmtId="171" fontId="86" fillId="9" borderId="0" xfId="3" applyNumberFormat="1" applyFont="1" applyFill="1" applyAlignment="1">
      <alignment horizontal="right"/>
    </xf>
    <xf numFmtId="172" fontId="87" fillId="0" borderId="0" xfId="11" applyNumberFormat="1" applyFont="1"/>
    <xf numFmtId="164" fontId="70" fillId="0" borderId="0" xfId="11" applyNumberFormat="1"/>
    <xf numFmtId="176" fontId="70" fillId="0" borderId="0" xfId="11" applyNumberFormat="1" applyAlignment="1">
      <alignment horizontal="center"/>
    </xf>
    <xf numFmtId="10" fontId="93" fillId="9" borderId="0" xfId="12" applyNumberFormat="1" applyFont="1" applyFill="1" applyAlignment="1">
      <alignment horizontal="right"/>
    </xf>
    <xf numFmtId="164" fontId="70" fillId="0" borderId="0" xfId="11" applyNumberFormat="1" applyAlignment="1">
      <alignment horizontal="right"/>
    </xf>
    <xf numFmtId="176" fontId="70" fillId="0" borderId="0" xfId="11" applyNumberFormat="1"/>
    <xf numFmtId="164" fontId="74" fillId="0" borderId="0" xfId="11" applyNumberFormat="1" applyFont="1"/>
    <xf numFmtId="0" fontId="94" fillId="10" borderId="18" xfId="0" applyFont="1" applyFill="1" applyBorder="1"/>
    <xf numFmtId="0" fontId="94" fillId="10" borderId="19" xfId="0" applyFont="1" applyFill="1" applyBorder="1"/>
    <xf numFmtId="0" fontId="94" fillId="10" borderId="20" xfId="0" applyFont="1" applyFill="1" applyBorder="1"/>
    <xf numFmtId="14" fontId="70" fillId="0" borderId="21" xfId="11" applyNumberFormat="1" applyBorder="1"/>
    <xf numFmtId="14" fontId="80" fillId="0" borderId="22" xfId="10" applyNumberFormat="1" applyFont="1" applyBorder="1" applyAlignment="1" applyProtection="1">
      <protection locked="0"/>
    </xf>
    <xf numFmtId="171" fontId="80" fillId="0" borderId="23" xfId="3" applyNumberFormat="1" applyFont="1" applyFill="1" applyBorder="1" applyAlignment="1" applyProtection="1">
      <alignment vertical="top"/>
    </xf>
    <xf numFmtId="14" fontId="70" fillId="0" borderId="24" xfId="11" applyNumberFormat="1" applyBorder="1"/>
    <xf numFmtId="14" fontId="80" fillId="0" borderId="25" xfId="10" applyNumberFormat="1" applyFont="1" applyBorder="1" applyAlignment="1" applyProtection="1">
      <protection locked="0"/>
    </xf>
    <xf numFmtId="171" fontId="80" fillId="0" borderId="26" xfId="3" applyNumberFormat="1" applyFont="1" applyFill="1" applyBorder="1" applyAlignment="1" applyProtection="1">
      <alignment vertical="top"/>
    </xf>
    <xf numFmtId="178" fontId="86" fillId="8" borderId="27" xfId="3" applyNumberFormat="1" applyFont="1" applyFill="1" applyBorder="1" applyAlignment="1" applyProtection="1">
      <alignment vertical="top"/>
    </xf>
    <xf numFmtId="171" fontId="86" fillId="8" borderId="27" xfId="3" applyNumberFormat="1" applyFont="1" applyFill="1" applyBorder="1" applyAlignment="1" applyProtection="1">
      <alignment horizontal="right" vertical="top"/>
    </xf>
    <xf numFmtId="171" fontId="70" fillId="0" borderId="0" xfId="11" applyNumberFormat="1"/>
    <xf numFmtId="178" fontId="70" fillId="0" borderId="0" xfId="11" applyNumberFormat="1"/>
    <xf numFmtId="178" fontId="74" fillId="0" borderId="0" xfId="11" applyNumberFormat="1" applyFont="1"/>
    <xf numFmtId="171" fontId="84" fillId="0" borderId="0" xfId="3" applyNumberFormat="1" applyFont="1" applyFill="1" applyBorder="1" applyAlignment="1" applyProtection="1">
      <alignment vertical="top"/>
    </xf>
    <xf numFmtId="164" fontId="74" fillId="0" borderId="0" xfId="3" applyFont="1" applyFill="1" applyBorder="1"/>
    <xf numFmtId="181" fontId="83" fillId="5" borderId="43" xfId="3" applyNumberFormat="1" applyFont="1" applyFill="1" applyBorder="1" applyAlignment="1" applyProtection="1">
      <alignment vertical="top"/>
    </xf>
    <xf numFmtId="179" fontId="90" fillId="2" borderId="16" xfId="3" applyNumberFormat="1" applyFont="1" applyFill="1" applyBorder="1" applyAlignment="1" applyProtection="1">
      <alignment horizontal="right" vertical="center"/>
    </xf>
    <xf numFmtId="179" fontId="80" fillId="0" borderId="22" xfId="3" applyNumberFormat="1" applyFont="1" applyFill="1" applyBorder="1"/>
    <xf numFmtId="179" fontId="80" fillId="0" borderId="25" xfId="3" applyNumberFormat="1" applyFont="1" applyFill="1" applyBorder="1"/>
    <xf numFmtId="14" fontId="70" fillId="0" borderId="28" xfId="11" applyNumberFormat="1" applyBorder="1"/>
    <xf numFmtId="14" fontId="80" fillId="0" borderId="29" xfId="10" applyNumberFormat="1" applyFont="1" applyBorder="1" applyAlignment="1" applyProtection="1">
      <protection locked="0"/>
    </xf>
    <xf numFmtId="179" fontId="80" fillId="0" borderId="29" xfId="3" applyNumberFormat="1" applyFont="1" applyFill="1" applyBorder="1"/>
    <xf numFmtId="171" fontId="80" fillId="0" borderId="30" xfId="3" applyNumberFormat="1" applyFont="1" applyFill="1" applyBorder="1" applyAlignment="1" applyProtection="1">
      <alignment vertical="top"/>
    </xf>
    <xf numFmtId="179" fontId="84" fillId="0" borderId="0" xfId="3" applyNumberFormat="1" applyFont="1" applyFill="1" applyBorder="1"/>
    <xf numFmtId="171" fontId="74" fillId="0" borderId="0" xfId="11" applyNumberFormat="1" applyFont="1"/>
    <xf numFmtId="179" fontId="86" fillId="8" borderId="17" xfId="3" applyNumberFormat="1" applyFont="1" applyFill="1" applyBorder="1" applyAlignment="1" applyProtection="1">
      <alignment vertical="top"/>
    </xf>
    <xf numFmtId="179" fontId="86" fillId="9" borderId="0" xfId="3" applyNumberFormat="1" applyFont="1" applyFill="1"/>
    <xf numFmtId="0" fontId="83" fillId="11" borderId="0" xfId="12" applyFont="1" applyFill="1" applyAlignment="1">
      <alignment horizontal="center"/>
    </xf>
    <xf numFmtId="0" fontId="95" fillId="0" borderId="0" xfId="10" applyFont="1" applyFill="1" applyAlignment="1">
      <alignment horizontal="left" wrapText="1" indent="1"/>
    </xf>
    <xf numFmtId="49" fontId="96" fillId="0" borderId="0" xfId="10" applyNumberFormat="1" applyFont="1" applyAlignment="1" applyProtection="1">
      <alignment horizontal="center"/>
      <protection locked="0"/>
    </xf>
    <xf numFmtId="14" fontId="72" fillId="0" borderId="0" xfId="12" applyNumberFormat="1"/>
    <xf numFmtId="14" fontId="83" fillId="11" borderId="0" xfId="12" applyNumberFormat="1" applyFont="1" applyFill="1" applyAlignment="1">
      <alignment horizontal="center"/>
    </xf>
    <xf numFmtId="164" fontId="70" fillId="3" borderId="0" xfId="3" applyFont="1" applyFill="1" applyBorder="1" applyAlignment="1" applyProtection="1">
      <alignment vertical="top"/>
    </xf>
    <xf numFmtId="0" fontId="80" fillId="3" borderId="0" xfId="10" applyFont="1" applyFill="1" applyAlignment="1">
      <alignment horizontal="left" wrapText="1" indent="1"/>
    </xf>
    <xf numFmtId="173" fontId="70" fillId="3" borderId="0" xfId="1" applyNumberFormat="1" applyFont="1" applyFill="1" applyBorder="1"/>
    <xf numFmtId="172" fontId="80" fillId="0" borderId="0" xfId="10" applyNumberFormat="1" applyFont="1" applyAlignment="1" applyProtection="1">
      <protection locked="0"/>
    </xf>
    <xf numFmtId="0" fontId="75" fillId="12" borderId="0" xfId="0" applyFont="1" applyFill="1"/>
    <xf numFmtId="173" fontId="70" fillId="0" borderId="0" xfId="11" applyNumberFormat="1"/>
    <xf numFmtId="172" fontId="87" fillId="0" borderId="0" xfId="10" applyNumberFormat="1" applyFont="1" applyAlignment="1" applyProtection="1">
      <alignment horizontal="center"/>
      <protection locked="0"/>
    </xf>
    <xf numFmtId="0" fontId="87" fillId="0" borderId="0" xfId="10" applyFont="1" applyAlignment="1" applyProtection="1">
      <alignment horizontal="center"/>
      <protection locked="0"/>
    </xf>
    <xf numFmtId="172" fontId="82" fillId="0" borderId="0" xfId="10" applyNumberFormat="1" applyFont="1" applyAlignment="1" applyProtection="1">
      <protection locked="0"/>
    </xf>
    <xf numFmtId="173" fontId="80" fillId="3" borderId="0" xfId="1" applyNumberFormat="1" applyFont="1" applyFill="1" applyBorder="1"/>
    <xf numFmtId="0" fontId="80" fillId="0" borderId="0" xfId="10" applyFont="1" applyFill="1" applyAlignment="1">
      <alignment horizontal="left" wrapText="1" indent="1"/>
    </xf>
    <xf numFmtId="171" fontId="80" fillId="0" borderId="0" xfId="10" applyNumberFormat="1" applyFont="1" applyAlignment="1" applyProtection="1">
      <protection locked="0"/>
    </xf>
    <xf numFmtId="2" fontId="75" fillId="0" borderId="0" xfId="0" applyNumberFormat="1" applyFont="1" applyFill="1"/>
    <xf numFmtId="14" fontId="76" fillId="0" borderId="0" xfId="0" applyNumberFormat="1" applyFont="1" applyFill="1"/>
    <xf numFmtId="0" fontId="80" fillId="0" borderId="0" xfId="0" applyFont="1" applyFill="1"/>
    <xf numFmtId="166" fontId="78" fillId="3" borderId="0" xfId="1" applyFont="1" applyFill="1"/>
    <xf numFmtId="164" fontId="70" fillId="0" borderId="0" xfId="3" applyFont="1" applyFill="1" applyBorder="1"/>
    <xf numFmtId="0" fontId="83" fillId="11" borderId="0" xfId="12" applyFont="1" applyFill="1" applyAlignment="1">
      <alignment horizontal="center"/>
    </xf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14" fontId="70" fillId="0" borderId="10" xfId="11" applyNumberFormat="1" applyBorder="1"/>
    <xf numFmtId="14" fontId="80" fillId="0" borderId="11" xfId="10" applyNumberFormat="1" applyFont="1" applyBorder="1" applyAlignment="1" applyProtection="1">
      <protection locked="0"/>
    </xf>
    <xf numFmtId="179" fontId="80" fillId="0" borderId="11" xfId="3" applyNumberFormat="1" applyFont="1" applyFill="1" applyBorder="1"/>
    <xf numFmtId="171" fontId="80" fillId="0" borderId="12" xfId="3" applyNumberFormat="1" applyFont="1" applyFill="1" applyBorder="1" applyAlignment="1" applyProtection="1">
      <alignment vertical="top"/>
    </xf>
    <xf numFmtId="14" fontId="70" fillId="0" borderId="4" xfId="11" applyNumberFormat="1" applyBorder="1"/>
    <xf numFmtId="14" fontId="80" fillId="0" borderId="5" xfId="10" applyNumberFormat="1" applyFont="1" applyBorder="1" applyAlignment="1" applyProtection="1">
      <protection locked="0"/>
    </xf>
    <xf numFmtId="179" fontId="80" fillId="0" borderId="5" xfId="3" applyNumberFormat="1" applyFont="1" applyFill="1" applyBorder="1"/>
    <xf numFmtId="171" fontId="80" fillId="0" borderId="6" xfId="3" applyNumberFormat="1" applyFont="1" applyFill="1" applyBorder="1" applyAlignment="1" applyProtection="1">
      <alignment vertical="top"/>
    </xf>
    <xf numFmtId="14" fontId="70" fillId="0" borderId="7" xfId="11" applyNumberFormat="1" applyBorder="1"/>
    <xf numFmtId="14" fontId="80" fillId="0" borderId="31" xfId="10" applyNumberFormat="1" applyFont="1" applyBorder="1" applyAlignment="1" applyProtection="1">
      <protection locked="0"/>
    </xf>
    <xf numFmtId="179" fontId="80" fillId="0" borderId="31" xfId="3" applyNumberFormat="1" applyFont="1" applyFill="1" applyBorder="1"/>
    <xf numFmtId="171" fontId="80" fillId="0" borderId="8" xfId="3" applyNumberFormat="1" applyFont="1" applyFill="1" applyBorder="1" applyAlignment="1" applyProtection="1">
      <alignment vertical="top"/>
    </xf>
    <xf numFmtId="179" fontId="70" fillId="0" borderId="0" xfId="3" applyNumberFormat="1" applyFont="1" applyFill="1" applyBorder="1"/>
    <xf numFmtId="0" fontId="79" fillId="0" borderId="0" xfId="0" applyFont="1" applyAlignment="1">
      <alignment horizontal="center"/>
    </xf>
    <xf numFmtId="171" fontId="5" fillId="0" borderId="32" xfId="1" applyNumberFormat="1" applyFont="1" applyFill="1" applyBorder="1" applyAlignment="1">
      <alignment vertical="center"/>
    </xf>
    <xf numFmtId="0" fontId="70" fillId="3" borderId="0" xfId="10" applyFont="1" applyFill="1" applyAlignment="1">
      <alignment horizontal="left" wrapText="1" indent="1"/>
    </xf>
    <xf numFmtId="179" fontId="70" fillId="3" borderId="0" xfId="3" applyNumberFormat="1" applyFont="1" applyFill="1" applyBorder="1"/>
    <xf numFmtId="0" fontId="70" fillId="3" borderId="0" xfId="10" applyFont="1" applyFill="1" applyAlignment="1">
      <alignment horizontal="left" wrapText="1" indent="1"/>
    </xf>
    <xf numFmtId="171" fontId="0" fillId="0" borderId="0" xfId="0" applyNumberFormat="1"/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0" fontId="83" fillId="11" borderId="0" xfId="12" applyFont="1" applyFill="1" applyAlignment="1">
      <alignment horizontal="center"/>
    </xf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179" fontId="83" fillId="6" borderId="0" xfId="3" applyNumberFormat="1" applyFont="1" applyFill="1"/>
    <xf numFmtId="179" fontId="86" fillId="8" borderId="33" xfId="3" applyNumberFormat="1" applyFont="1" applyFill="1" applyBorder="1" applyAlignment="1" applyProtection="1">
      <alignment vertical="top"/>
    </xf>
    <xf numFmtId="171" fontId="86" fillId="8" borderId="33" xfId="3" applyNumberFormat="1" applyFont="1" applyFill="1" applyBorder="1" applyAlignment="1" applyProtection="1">
      <alignment horizontal="right" vertical="top"/>
    </xf>
    <xf numFmtId="179" fontId="86" fillId="9" borderId="0" xfId="3" applyNumberFormat="1" applyFont="1" applyFill="1" applyBorder="1" applyAlignment="1" applyProtection="1">
      <alignment vertical="top"/>
    </xf>
    <xf numFmtId="171" fontId="86" fillId="9" borderId="0" xfId="3" applyNumberFormat="1" applyFont="1" applyFill="1" applyBorder="1" applyAlignment="1" applyProtection="1">
      <alignment horizontal="right" vertical="top"/>
    </xf>
    <xf numFmtId="164" fontId="70" fillId="0" borderId="0" xfId="3" applyFont="1" applyFill="1" applyBorder="1" applyAlignment="1">
      <alignment horizontal="left"/>
    </xf>
    <xf numFmtId="171" fontId="70" fillId="0" borderId="0" xfId="3" applyNumberFormat="1" applyFont="1" applyFill="1" applyBorder="1" applyAlignment="1" applyProtection="1">
      <alignment horizontal="right" vertical="top"/>
    </xf>
    <xf numFmtId="0" fontId="70" fillId="0" borderId="0" xfId="11"/>
    <xf numFmtId="0" fontId="83" fillId="11" borderId="0" xfId="12" applyFont="1" applyFill="1" applyAlignment="1">
      <alignment horizontal="center"/>
    </xf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0" fontId="70" fillId="0" borderId="0" xfId="11" applyFill="1"/>
    <xf numFmtId="0" fontId="70" fillId="0" borderId="0" xfId="11" applyFill="1" applyAlignment="1">
      <alignment horizontal="center"/>
    </xf>
    <xf numFmtId="0" fontId="71" fillId="0" borderId="0" xfId="11" applyFont="1" applyFill="1"/>
    <xf numFmtId="179" fontId="86" fillId="0" borderId="0" xfId="3" applyNumberFormat="1" applyFont="1" applyFill="1" applyBorder="1" applyAlignment="1" applyProtection="1">
      <alignment vertical="top"/>
    </xf>
    <xf numFmtId="171" fontId="86" fillId="0" borderId="0" xfId="3" applyNumberFormat="1" applyFont="1" applyFill="1" applyBorder="1" applyAlignment="1" applyProtection="1">
      <alignment horizontal="right" vertical="top"/>
    </xf>
    <xf numFmtId="10" fontId="75" fillId="0" borderId="0" xfId="13" applyNumberFormat="1" applyFont="1" applyFill="1"/>
    <xf numFmtId="179" fontId="80" fillId="13" borderId="0" xfId="3" applyNumberFormat="1" applyFont="1" applyFill="1" applyBorder="1"/>
    <xf numFmtId="0" fontId="83" fillId="11" borderId="0" xfId="12" applyFont="1" applyFill="1" applyAlignment="1">
      <alignment horizontal="center"/>
    </xf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15" fontId="4" fillId="14" borderId="0" xfId="0" applyNumberFormat="1" applyFont="1" applyFill="1" applyAlignment="1">
      <alignment horizontal="left" vertical="center"/>
    </xf>
    <xf numFmtId="0" fontId="75" fillId="14" borderId="0" xfId="0" applyFont="1" applyFill="1"/>
    <xf numFmtId="179" fontId="80" fillId="14" borderId="0" xfId="3" applyNumberFormat="1" applyFont="1" applyFill="1" applyBorder="1"/>
    <xf numFmtId="164" fontId="70" fillId="0" borderId="0" xfId="3" applyFont="1" applyFill="1" applyBorder="1" applyAlignment="1" applyProtection="1">
      <alignment vertical="top"/>
    </xf>
    <xf numFmtId="9" fontId="80" fillId="0" borderId="0" xfId="13" applyFont="1" applyAlignment="1" applyProtection="1">
      <protection locked="0"/>
    </xf>
    <xf numFmtId="0" fontId="80" fillId="0" borderId="0" xfId="10" applyFont="1" applyFill="1" applyAlignment="1" applyProtection="1">
      <alignment horizontal="center"/>
      <protection locked="0"/>
    </xf>
    <xf numFmtId="179" fontId="80" fillId="15" borderId="0" xfId="3" applyNumberFormat="1" applyFont="1" applyFill="1" applyBorder="1"/>
    <xf numFmtId="171" fontId="77" fillId="0" borderId="0" xfId="0" applyNumberFormat="1" applyFont="1" applyFill="1"/>
    <xf numFmtId="164" fontId="70" fillId="0" borderId="0" xfId="3" applyFont="1" applyFill="1" applyBorder="1"/>
    <xf numFmtId="171" fontId="84" fillId="0" borderId="0" xfId="3" applyNumberFormat="1" applyFont="1" applyFill="1" applyBorder="1" applyAlignment="1" applyProtection="1">
      <alignment horizontal="right" vertical="top"/>
    </xf>
    <xf numFmtId="0" fontId="70" fillId="0" borderId="34" xfId="11" applyBorder="1"/>
    <xf numFmtId="0" fontId="70" fillId="0" borderId="0" xfId="11" applyBorder="1"/>
    <xf numFmtId="0" fontId="70" fillId="0" borderId="35" xfId="11" applyBorder="1"/>
    <xf numFmtId="0" fontId="80" fillId="0" borderId="34" xfId="10" applyFont="1" applyBorder="1" applyAlignment="1">
      <alignment horizontal="left" wrapText="1" indent="1"/>
    </xf>
    <xf numFmtId="14" fontId="70" fillId="0" borderId="0" xfId="11" applyNumberFormat="1" applyBorder="1"/>
    <xf numFmtId="0" fontId="80" fillId="0" borderId="34" xfId="10" applyFont="1" applyFill="1" applyBorder="1" applyAlignment="1">
      <alignment horizontal="left" wrapText="1" indent="1"/>
    </xf>
    <xf numFmtId="0" fontId="84" fillId="0" borderId="34" xfId="10" applyFont="1" applyBorder="1" applyAlignment="1">
      <alignment horizontal="left" wrapText="1" indent="1"/>
    </xf>
    <xf numFmtId="0" fontId="70" fillId="0" borderId="36" xfId="11" applyBorder="1"/>
    <xf numFmtId="164" fontId="70" fillId="0" borderId="37" xfId="3" applyFont="1" applyFill="1" applyBorder="1"/>
    <xf numFmtId="0" fontId="70" fillId="0" borderId="37" xfId="11" applyBorder="1"/>
    <xf numFmtId="0" fontId="70" fillId="0" borderId="38" xfId="11" applyBorder="1"/>
    <xf numFmtId="171" fontId="74" fillId="0" borderId="0" xfId="11" applyNumberFormat="1" applyFont="1" applyBorder="1"/>
    <xf numFmtId="173" fontId="80" fillId="0" borderId="0" xfId="1" applyNumberFormat="1" applyFont="1" applyFill="1" applyBorder="1"/>
    <xf numFmtId="0" fontId="74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179" fontId="0" fillId="0" borderId="0" xfId="0" applyNumberFormat="1"/>
    <xf numFmtId="0" fontId="0" fillId="3" borderId="0" xfId="0" applyFill="1"/>
    <xf numFmtId="0" fontId="97" fillId="3" borderId="0" xfId="0" applyFont="1" applyFill="1" applyAlignment="1">
      <alignment horizontal="center"/>
    </xf>
    <xf numFmtId="0" fontId="74" fillId="3" borderId="0" xfId="0" applyFont="1" applyFill="1" applyAlignment="1">
      <alignment horizontal="center"/>
    </xf>
    <xf numFmtId="0" fontId="79" fillId="3" borderId="0" xfId="0" applyFont="1" applyFill="1"/>
    <xf numFmtId="0" fontId="79" fillId="3" borderId="0" xfId="0" applyFont="1" applyFill="1" applyAlignment="1">
      <alignment horizontal="center"/>
    </xf>
    <xf numFmtId="0" fontId="79" fillId="3" borderId="0" xfId="0" applyFont="1" applyFill="1" applyAlignment="1">
      <alignment horizontal="center" wrapText="1"/>
    </xf>
    <xf numFmtId="14" fontId="76" fillId="3" borderId="0" xfId="0" applyNumberFormat="1" applyFont="1" applyFill="1"/>
    <xf numFmtId="179" fontId="78" fillId="3" borderId="0" xfId="3" applyNumberFormat="1" applyFont="1" applyFill="1" applyBorder="1"/>
    <xf numFmtId="43" fontId="0" fillId="3" borderId="0" xfId="0" applyNumberFormat="1" applyFill="1"/>
    <xf numFmtId="179" fontId="81" fillId="3" borderId="0" xfId="3" applyNumberFormat="1" applyFont="1" applyFill="1" applyBorder="1"/>
    <xf numFmtId="171" fontId="3" fillId="3" borderId="0" xfId="1" applyNumberFormat="1" applyFont="1" applyFill="1" applyAlignment="1">
      <alignment vertical="center"/>
    </xf>
    <xf numFmtId="179" fontId="98" fillId="0" borderId="0" xfId="3" applyNumberFormat="1" applyFont="1" applyFill="1" applyBorder="1"/>
    <xf numFmtId="171" fontId="99" fillId="0" borderId="0" xfId="1" applyNumberFormat="1" applyFont="1" applyFill="1" applyAlignment="1">
      <alignment vertical="center"/>
    </xf>
    <xf numFmtId="176" fontId="5" fillId="0" borderId="0" xfId="1" applyNumberFormat="1" applyFont="1" applyFill="1" applyAlignment="1">
      <alignment vertical="center"/>
    </xf>
    <xf numFmtId="0" fontId="75" fillId="16" borderId="0" xfId="0" applyFont="1" applyFill="1"/>
    <xf numFmtId="179" fontId="80" fillId="16" borderId="0" xfId="3" applyNumberFormat="1" applyFont="1" applyFill="1" applyBorder="1"/>
    <xf numFmtId="0" fontId="100" fillId="16" borderId="0" xfId="0" applyFont="1" applyFill="1"/>
    <xf numFmtId="0" fontId="83" fillId="11" borderId="0" xfId="12" applyFont="1" applyFill="1" applyAlignment="1">
      <alignment horizontal="center"/>
    </xf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0" fontId="70" fillId="0" borderId="0" xfId="11" applyAlignment="1">
      <alignment horizontal="center"/>
    </xf>
    <xf numFmtId="0" fontId="70" fillId="0" borderId="0" xfId="11"/>
    <xf numFmtId="179" fontId="73" fillId="16" borderId="0" xfId="3" applyNumberFormat="1" applyFont="1" applyFill="1" applyBorder="1"/>
    <xf numFmtId="0" fontId="96" fillId="0" borderId="0" xfId="10" applyFont="1" applyAlignment="1" applyProtection="1">
      <protection locked="0"/>
    </xf>
    <xf numFmtId="178" fontId="101" fillId="0" borderId="0" xfId="10" applyNumberFormat="1" applyFont="1" applyAlignment="1" applyProtection="1">
      <protection locked="0"/>
    </xf>
    <xf numFmtId="9" fontId="80" fillId="0" borderId="0" xfId="10" applyNumberFormat="1" applyFont="1" applyAlignment="1" applyProtection="1">
      <protection locked="0"/>
    </xf>
    <xf numFmtId="171" fontId="100" fillId="16" borderId="0" xfId="0" applyNumberFormat="1" applyFont="1" applyFill="1"/>
    <xf numFmtId="164" fontId="80" fillId="0" borderId="0" xfId="10" applyNumberFormat="1" applyFont="1" applyAlignment="1" applyProtection="1">
      <alignment horizontal="center"/>
      <protection locked="0"/>
    </xf>
    <xf numFmtId="173" fontId="80" fillId="0" borderId="0" xfId="10" applyNumberFormat="1" applyFont="1" applyAlignment="1" applyProtection="1">
      <protection locked="0"/>
    </xf>
    <xf numFmtId="173" fontId="102" fillId="0" borderId="0" xfId="10" applyNumberFormat="1" applyFont="1" applyAlignment="1" applyProtection="1">
      <protection locked="0"/>
    </xf>
    <xf numFmtId="0" fontId="75" fillId="15" borderId="0" xfId="0" applyFont="1" applyFill="1"/>
    <xf numFmtId="179" fontId="80" fillId="17" borderId="0" xfId="3" applyNumberFormat="1" applyFont="1" applyFill="1" applyBorder="1"/>
    <xf numFmtId="171" fontId="103" fillId="0" borderId="0" xfId="3" applyNumberFormat="1" applyFont="1" applyFill="1" applyBorder="1" applyAlignment="1" applyProtection="1">
      <alignment horizontal="right" vertical="top"/>
    </xf>
    <xf numFmtId="179" fontId="80" fillId="0" borderId="0" xfId="13" applyNumberFormat="1" applyFont="1" applyAlignment="1" applyProtection="1">
      <protection locked="0"/>
    </xf>
    <xf numFmtId="171" fontId="104" fillId="2" borderId="16" xfId="3" applyNumberFormat="1" applyFont="1" applyFill="1" applyBorder="1" applyAlignment="1" applyProtection="1">
      <alignment horizontal="right" vertical="center"/>
    </xf>
    <xf numFmtId="0" fontId="83" fillId="18" borderId="15" xfId="10" applyFont="1" applyFill="1" applyBorder="1" applyAlignment="1">
      <alignment horizontal="left" vertical="center"/>
    </xf>
    <xf numFmtId="179" fontId="83" fillId="18" borderId="16" xfId="3" applyNumberFormat="1" applyFont="1" applyFill="1" applyBorder="1" applyAlignment="1" applyProtection="1">
      <alignment horizontal="right" vertical="center"/>
    </xf>
    <xf numFmtId="171" fontId="83" fillId="18" borderId="16" xfId="3" applyNumberFormat="1" applyFont="1" applyFill="1" applyBorder="1" applyAlignment="1" applyProtection="1">
      <alignment horizontal="right" vertical="center"/>
    </xf>
    <xf numFmtId="14" fontId="70" fillId="0" borderId="7" xfId="11" applyNumberFormat="1" applyFill="1" applyBorder="1"/>
    <xf numFmtId="14" fontId="80" fillId="0" borderId="31" xfId="10" applyNumberFormat="1" applyFont="1" applyFill="1" applyBorder="1" applyAlignment="1" applyProtection="1">
      <protection locked="0"/>
    </xf>
    <xf numFmtId="15" fontId="4" fillId="0" borderId="0" xfId="0" applyNumberFormat="1" applyFont="1" applyAlignment="1">
      <alignment horizontal="left" vertical="center"/>
    </xf>
    <xf numFmtId="0" fontId="78" fillId="0" borderId="0" xfId="0" applyFont="1"/>
    <xf numFmtId="0" fontId="78" fillId="3" borderId="0" xfId="0" applyFont="1" applyFill="1"/>
    <xf numFmtId="0" fontId="83" fillId="11" borderId="0" xfId="12" applyFont="1" applyFill="1" applyAlignment="1">
      <alignment horizontal="center"/>
    </xf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179" fontId="86" fillId="8" borderId="39" xfId="3" applyNumberFormat="1" applyFont="1" applyFill="1" applyBorder="1" applyAlignment="1" applyProtection="1">
      <alignment vertical="top"/>
    </xf>
    <xf numFmtId="179" fontId="80" fillId="0" borderId="12" xfId="3" applyNumberFormat="1" applyFont="1" applyFill="1" applyBorder="1"/>
    <xf numFmtId="14" fontId="70" fillId="0" borderId="5" xfId="11" applyNumberFormat="1" applyBorder="1"/>
    <xf numFmtId="14" fontId="70" fillId="0" borderId="4" xfId="11" applyNumberFormat="1" applyFill="1" applyBorder="1"/>
    <xf numFmtId="14" fontId="80" fillId="0" borderId="5" xfId="10" applyNumberFormat="1" applyFont="1" applyFill="1" applyBorder="1" applyAlignment="1" applyProtection="1">
      <protection locked="0"/>
    </xf>
    <xf numFmtId="176" fontId="80" fillId="3" borderId="0" xfId="3" applyNumberFormat="1" applyFont="1" applyFill="1" applyBorder="1"/>
    <xf numFmtId="176" fontId="80" fillId="3" borderId="0" xfId="1" applyNumberFormat="1" applyFont="1" applyFill="1" applyBorder="1"/>
    <xf numFmtId="0" fontId="70" fillId="0" borderId="0" xfId="10" applyFont="1" applyAlignment="1" applyProtection="1">
      <alignment horizontal="center"/>
      <protection locked="0"/>
    </xf>
    <xf numFmtId="0" fontId="70" fillId="0" borderId="0" xfId="10" applyFont="1" applyFill="1" applyAlignment="1" applyProtection="1">
      <alignment horizontal="center"/>
      <protection locked="0"/>
    </xf>
    <xf numFmtId="179" fontId="91" fillId="0" borderId="0" xfId="3" applyNumberFormat="1" applyFont="1" applyFill="1" applyBorder="1"/>
    <xf numFmtId="0" fontId="77" fillId="0" borderId="0" xfId="0" applyFont="1" applyFill="1" applyAlignment="1">
      <alignment horizontal="center"/>
    </xf>
    <xf numFmtId="179" fontId="75" fillId="0" borderId="0" xfId="0" applyNumberFormat="1" applyFont="1" applyFill="1" applyAlignment="1">
      <alignment horizontal="center"/>
    </xf>
    <xf numFmtId="171" fontId="75" fillId="0" borderId="0" xfId="0" applyNumberFormat="1" applyFont="1" applyFill="1" applyAlignment="1">
      <alignment horizontal="center"/>
    </xf>
    <xf numFmtId="171" fontId="78" fillId="16" borderId="0" xfId="1" applyNumberFormat="1" applyFont="1" applyFill="1"/>
    <xf numFmtId="173" fontId="75" fillId="0" borderId="0" xfId="0" applyNumberFormat="1" applyFont="1" applyFill="1"/>
    <xf numFmtId="171" fontId="81" fillId="0" borderId="0" xfId="1" applyNumberFormat="1" applyFont="1" applyFill="1"/>
    <xf numFmtId="0" fontId="70" fillId="0" borderId="0" xfId="11" applyAlignment="1">
      <alignment horizontal="center"/>
    </xf>
    <xf numFmtId="0" fontId="70" fillId="0" borderId="0" xfId="11"/>
    <xf numFmtId="14" fontId="70" fillId="0" borderId="0" xfId="10" applyNumberFormat="1" applyFont="1" applyFill="1" applyAlignment="1" applyProtection="1">
      <protection locked="0"/>
    </xf>
    <xf numFmtId="0" fontId="80" fillId="0" borderId="0" xfId="10" applyFont="1" applyFill="1" applyAlignment="1" applyProtection="1">
      <protection locked="0"/>
    </xf>
    <xf numFmtId="49" fontId="80" fillId="0" borderId="0" xfId="10" applyNumberFormat="1" applyFont="1" applyAlignment="1" applyProtection="1">
      <alignment horizontal="center"/>
      <protection locked="0"/>
    </xf>
    <xf numFmtId="0" fontId="74" fillId="3" borderId="0" xfId="0" applyFont="1" applyFill="1" applyAlignment="1">
      <alignment horizontal="center"/>
    </xf>
    <xf numFmtId="0" fontId="79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0" fillId="0" borderId="0" xfId="11" applyAlignment="1">
      <alignment horizontal="center"/>
    </xf>
    <xf numFmtId="0" fontId="70" fillId="0" borderId="0" xfId="11"/>
    <xf numFmtId="0" fontId="105" fillId="0" borderId="0" xfId="0" applyFont="1"/>
    <xf numFmtId="179" fontId="105" fillId="0" borderId="0" xfId="0" applyNumberFormat="1" applyFont="1"/>
    <xf numFmtId="0" fontId="78" fillId="12" borderId="0" xfId="0" applyFont="1" applyFill="1"/>
    <xf numFmtId="0" fontId="70" fillId="0" borderId="0" xfId="11" applyAlignment="1">
      <alignment horizontal="center"/>
    </xf>
    <xf numFmtId="0" fontId="70" fillId="0" borderId="0" xfId="11"/>
    <xf numFmtId="173" fontId="84" fillId="0" borderId="0" xfId="10" applyNumberFormat="1" applyFont="1" applyAlignment="1" applyProtection="1">
      <protection locked="0"/>
    </xf>
    <xf numFmtId="179" fontId="70" fillId="16" borderId="0" xfId="3" applyNumberFormat="1" applyFont="1" applyFill="1" applyBorder="1"/>
    <xf numFmtId="49" fontId="80" fillId="0" borderId="0" xfId="10" applyNumberFormat="1" applyFont="1" applyFill="1" applyAlignment="1" applyProtection="1">
      <alignment horizontal="center"/>
      <protection locked="0"/>
    </xf>
    <xf numFmtId="9" fontId="80" fillId="0" borderId="0" xfId="14" applyFont="1" applyFill="1" applyBorder="1" applyAlignment="1" applyProtection="1">
      <protection locked="0"/>
    </xf>
    <xf numFmtId="178" fontId="101" fillId="0" borderId="0" xfId="10" applyNumberFormat="1" applyFont="1" applyFill="1" applyAlignment="1" applyProtection="1">
      <protection locked="0"/>
    </xf>
    <xf numFmtId="178" fontId="80" fillId="0" borderId="0" xfId="10" applyNumberFormat="1" applyFont="1" applyFill="1" applyAlignment="1" applyProtection="1">
      <protection locked="0"/>
    </xf>
    <xf numFmtId="182" fontId="70" fillId="0" borderId="0" xfId="1" applyNumberFormat="1" applyFont="1"/>
    <xf numFmtId="0" fontId="80" fillId="7" borderId="0" xfId="10" applyFont="1" applyFill="1" applyAlignment="1">
      <alignment horizontal="left" wrapText="1" indent="1"/>
    </xf>
    <xf numFmtId="179" fontId="70" fillId="7" borderId="0" xfId="3" applyNumberFormat="1" applyFont="1" applyFill="1" applyBorder="1"/>
    <xf numFmtId="171" fontId="80" fillId="7" borderId="0" xfId="3" applyNumberFormat="1" applyFont="1" applyFill="1" applyBorder="1" applyAlignment="1" applyProtection="1">
      <alignment horizontal="right" vertical="top"/>
    </xf>
    <xf numFmtId="172" fontId="70" fillId="0" borderId="0" xfId="11" applyNumberFormat="1"/>
    <xf numFmtId="0" fontId="83" fillId="11" borderId="0" xfId="12" applyFont="1" applyFill="1" applyAlignment="1">
      <alignment horizontal="center"/>
    </xf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14" fontId="80" fillId="0" borderId="4" xfId="10" applyNumberFormat="1" applyFont="1" applyBorder="1" applyAlignment="1" applyProtection="1">
      <protection locked="0"/>
    </xf>
    <xf numFmtId="0" fontId="70" fillId="3" borderId="0" xfId="10" applyFont="1" applyFill="1" applyAlignment="1">
      <alignment horizontal="left" wrapText="1" indent="1"/>
    </xf>
    <xf numFmtId="179" fontId="80" fillId="7" borderId="0" xfId="10" applyNumberFormat="1" applyFont="1" applyFill="1" applyAlignment="1" applyProtection="1">
      <protection locked="0"/>
    </xf>
    <xf numFmtId="179" fontId="84" fillId="7" borderId="0" xfId="10" applyNumberFormat="1" applyFont="1" applyFill="1" applyAlignment="1" applyProtection="1">
      <protection locked="0"/>
    </xf>
    <xf numFmtId="9" fontId="84" fillId="7" borderId="0" xfId="10" applyNumberFormat="1" applyFont="1" applyFill="1" applyAlignment="1" applyProtection="1">
      <protection locked="0"/>
    </xf>
    <xf numFmtId="179" fontId="80" fillId="0" borderId="0" xfId="10" applyNumberFormat="1" applyFont="1" applyAlignment="1" applyProtection="1">
      <protection locked="0"/>
    </xf>
    <xf numFmtId="0" fontId="106" fillId="0" borderId="0" xfId="0" applyFont="1"/>
    <xf numFmtId="0" fontId="70" fillId="0" borderId="0" xfId="10" applyFont="1" applyFill="1" applyAlignment="1">
      <alignment horizontal="left" wrapText="1" indent="1"/>
    </xf>
    <xf numFmtId="178" fontId="82" fillId="0" borderId="0" xfId="10" applyNumberFormat="1" applyFont="1" applyAlignment="1" applyProtection="1">
      <protection locked="0"/>
    </xf>
    <xf numFmtId="0" fontId="107" fillId="0" borderId="0" xfId="0" applyFont="1" applyFill="1"/>
    <xf numFmtId="14" fontId="108" fillId="0" borderId="0" xfId="0" applyNumberFormat="1" applyFont="1"/>
    <xf numFmtId="14" fontId="80" fillId="0" borderId="4" xfId="10" applyNumberFormat="1" applyFont="1" applyFill="1" applyBorder="1" applyAlignment="1" applyProtection="1">
      <protection locked="0"/>
    </xf>
    <xf numFmtId="14" fontId="70" fillId="0" borderId="5" xfId="11" applyNumberFormat="1" applyFill="1" applyBorder="1"/>
    <xf numFmtId="171" fontId="98" fillId="16" borderId="0" xfId="1" applyNumberFormat="1" applyFont="1" applyFill="1"/>
    <xf numFmtId="173" fontId="84" fillId="0" borderId="0" xfId="10" applyNumberFormat="1" applyFont="1" applyAlignment="1" applyProtection="1"/>
    <xf numFmtId="14" fontId="80" fillId="0" borderId="0" xfId="10" applyNumberFormat="1" applyFont="1" applyFill="1" applyAlignment="1" applyProtection="1">
      <protection locked="0"/>
    </xf>
    <xf numFmtId="178" fontId="102" fillId="0" borderId="0" xfId="10" applyNumberFormat="1" applyFont="1" applyFill="1" applyAlignment="1" applyProtection="1">
      <protection locked="0"/>
    </xf>
    <xf numFmtId="0" fontId="0" fillId="0" borderId="0" xfId="0" applyAlignment="1">
      <alignment horizontal="center"/>
    </xf>
    <xf numFmtId="173" fontId="73" fillId="0" borderId="0" xfId="1" applyNumberFormat="1" applyFont="1" applyFill="1" applyBorder="1"/>
    <xf numFmtId="0" fontId="74" fillId="0" borderId="0" xfId="0" applyFont="1"/>
    <xf numFmtId="182" fontId="74" fillId="0" borderId="0" xfId="0" applyNumberFormat="1" applyFont="1"/>
    <xf numFmtId="183" fontId="0" fillId="0" borderId="0" xfId="0" applyNumberFormat="1"/>
    <xf numFmtId="0" fontId="109" fillId="16" borderId="0" xfId="0" applyFont="1" applyFill="1"/>
    <xf numFmtId="171" fontId="91" fillId="0" borderId="0" xfId="3" applyNumberFormat="1" applyFont="1" applyFill="1" applyBorder="1" applyAlignment="1" applyProtection="1">
      <alignment horizontal="right" vertical="top"/>
    </xf>
    <xf numFmtId="171" fontId="75" fillId="16" borderId="0" xfId="1" applyNumberFormat="1" applyFont="1" applyFill="1"/>
    <xf numFmtId="171" fontId="98" fillId="0" borderId="0" xfId="1" applyNumberFormat="1" applyFont="1" applyFill="1"/>
    <xf numFmtId="0" fontId="83" fillId="11" borderId="0" xfId="12" applyFont="1" applyFill="1" applyAlignment="1">
      <alignment horizontal="center"/>
    </xf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0" fontId="84" fillId="0" borderId="0" xfId="10" applyFont="1" applyFill="1" applyAlignment="1" applyProtection="1">
      <protection locked="0"/>
    </xf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171" fontId="73" fillId="0" borderId="0" xfId="11" applyNumberFormat="1" applyFont="1"/>
    <xf numFmtId="0" fontId="110" fillId="0" borderId="0" xfId="10" applyFont="1" applyAlignment="1" applyProtection="1">
      <alignment horizontal="center"/>
      <protection locked="0"/>
    </xf>
    <xf numFmtId="0" fontId="111" fillId="0" borderId="0" xfId="10" applyFont="1" applyAlignment="1" applyProtection="1">
      <alignment horizontal="center"/>
      <protection locked="0"/>
    </xf>
    <xf numFmtId="0" fontId="80" fillId="12" borderId="0" xfId="10" applyFont="1" applyFill="1" applyAlignment="1">
      <alignment horizontal="left" wrapText="1" indent="1"/>
    </xf>
    <xf numFmtId="0" fontId="95" fillId="12" borderId="0" xfId="10" applyFont="1" applyFill="1" applyAlignment="1">
      <alignment horizontal="left" wrapText="1" indent="1"/>
    </xf>
    <xf numFmtId="179" fontId="80" fillId="12" borderId="0" xfId="3" applyNumberFormat="1" applyFont="1" applyFill="1" applyBorder="1"/>
    <xf numFmtId="9" fontId="110" fillId="0" borderId="0" xfId="13" applyFont="1" applyAlignment="1" applyProtection="1">
      <protection locked="0"/>
    </xf>
    <xf numFmtId="0" fontId="70" fillId="0" borderId="0" xfId="11" applyAlignment="1">
      <alignment horizontal="center"/>
    </xf>
    <xf numFmtId="0" fontId="70" fillId="0" borderId="0" xfId="11"/>
    <xf numFmtId="0" fontId="3" fillId="0" borderId="0" xfId="0" applyFont="1" applyAlignment="1">
      <alignment vertical="center"/>
    </xf>
    <xf numFmtId="166" fontId="78" fillId="0" borderId="0" xfId="1" applyFont="1" applyFill="1"/>
    <xf numFmtId="0" fontId="77" fillId="0" borderId="0" xfId="0" applyFont="1"/>
    <xf numFmtId="166" fontId="75" fillId="0" borderId="0" xfId="0" applyNumberFormat="1" applyFont="1"/>
    <xf numFmtId="0" fontId="80" fillId="0" borderId="0" xfId="0" applyFont="1"/>
    <xf numFmtId="49" fontId="70" fillId="0" borderId="0" xfId="10" applyNumberFormat="1" applyFont="1" applyAlignment="1" applyProtection="1">
      <alignment horizontal="center"/>
      <protection locked="0"/>
    </xf>
    <xf numFmtId="190" fontId="70" fillId="0" borderId="0" xfId="1" applyNumberFormat="1" applyFont="1" applyFill="1" applyBorder="1"/>
    <xf numFmtId="0" fontId="70" fillId="0" borderId="0" xfId="11" applyAlignment="1">
      <alignment horizontal="center"/>
    </xf>
    <xf numFmtId="0" fontId="70" fillId="0" borderId="0" xfId="11"/>
    <xf numFmtId="179" fontId="80" fillId="0" borderId="32" xfId="3" applyNumberFormat="1" applyFont="1" applyFill="1" applyBorder="1"/>
    <xf numFmtId="171" fontId="70" fillId="0" borderId="32" xfId="11" applyNumberFormat="1" applyBorder="1"/>
    <xf numFmtId="173" fontId="112" fillId="0" borderId="0" xfId="1" applyNumberFormat="1" applyFont="1" applyFill="1" applyBorder="1"/>
    <xf numFmtId="171" fontId="70" fillId="14" borderId="0" xfId="3" applyNumberFormat="1" applyFont="1" applyFill="1" applyBorder="1" applyAlignment="1" applyProtection="1">
      <alignment horizontal="right" vertical="top"/>
    </xf>
    <xf numFmtId="49" fontId="80" fillId="0" borderId="0" xfId="10" applyNumberFormat="1" applyFont="1" applyAlignment="1" applyProtection="1">
      <alignment horizontal="center" vertical="center" wrapText="1"/>
      <protection locked="0"/>
    </xf>
    <xf numFmtId="0" fontId="70" fillId="0" borderId="0" xfId="10" applyFont="1" applyFill="1" applyAlignment="1">
      <alignment horizontal="left" wrapText="1" indent="1"/>
    </xf>
    <xf numFmtId="0" fontId="80" fillId="0" borderId="0" xfId="0" applyFont="1" applyAlignment="1">
      <alignment horizontal="center"/>
    </xf>
    <xf numFmtId="179" fontId="75" fillId="0" borderId="0" xfId="0" applyNumberFormat="1" applyFont="1"/>
    <xf numFmtId="196" fontId="75" fillId="0" borderId="0" xfId="0" applyNumberFormat="1" applyFont="1"/>
    <xf numFmtId="0" fontId="83" fillId="11" borderId="0" xfId="12" applyFont="1" applyFill="1" applyAlignment="1">
      <alignment horizontal="center"/>
    </xf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179" fontId="80" fillId="0" borderId="0" xfId="3" applyNumberFormat="1" applyFont="1" applyFill="1" applyBorder="1" applyAlignment="1">
      <alignment horizontal="right"/>
    </xf>
    <xf numFmtId="0" fontId="73" fillId="0" borderId="0" xfId="10" applyFont="1" applyAlignment="1" applyProtection="1">
      <alignment horizontal="center" wrapText="1"/>
      <protection locked="0"/>
    </xf>
    <xf numFmtId="164" fontId="80" fillId="3" borderId="0" xfId="3" applyFont="1" applyFill="1" applyBorder="1" applyAlignment="1" applyProtection="1">
      <alignment vertical="top"/>
    </xf>
    <xf numFmtId="0" fontId="70" fillId="0" borderId="0" xfId="10" applyFont="1" applyFill="1" applyAlignment="1">
      <alignment horizontal="left" wrapText="1" indent="1"/>
    </xf>
    <xf numFmtId="0" fontId="70" fillId="0" borderId="0" xfId="10" applyFont="1" applyFill="1" applyAlignment="1">
      <alignment horizontal="left" wrapText="1" indent="1"/>
    </xf>
    <xf numFmtId="171" fontId="80" fillId="19" borderId="0" xfId="3" applyNumberFormat="1" applyFont="1" applyFill="1" applyBorder="1" applyAlignment="1" applyProtection="1">
      <alignment horizontal="right" vertical="top"/>
    </xf>
    <xf numFmtId="49" fontId="0" fillId="0" borderId="0" xfId="0" applyNumberFormat="1"/>
    <xf numFmtId="0" fontId="70" fillId="0" borderId="0" xfId="10" applyFont="1" applyFill="1" applyAlignment="1">
      <alignment horizontal="left" wrapText="1" indent="1"/>
    </xf>
    <xf numFmtId="0" fontId="70" fillId="0" borderId="0" xfId="10" applyFont="1" applyFill="1" applyAlignment="1">
      <alignment horizontal="left" wrapText="1" indent="1"/>
    </xf>
    <xf numFmtId="1" fontId="0" fillId="0" borderId="0" xfId="0" applyNumberFormat="1"/>
    <xf numFmtId="0" fontId="83" fillId="11" borderId="0" xfId="12" applyFont="1" applyFill="1" applyAlignment="1">
      <alignment horizontal="center"/>
    </xf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176" fontId="70" fillId="0" borderId="0" xfId="3" applyNumberFormat="1" applyFont="1" applyFill="1" applyBorder="1"/>
    <xf numFmtId="176" fontId="80" fillId="0" borderId="0" xfId="3" applyNumberFormat="1" applyFont="1" applyFill="1" applyBorder="1"/>
    <xf numFmtId="14" fontId="0" fillId="0" borderId="0" xfId="0" applyNumberFormat="1"/>
    <xf numFmtId="14" fontId="70" fillId="0" borderId="10" xfId="11" applyNumberFormat="1" applyFill="1" applyBorder="1"/>
    <xf numFmtId="0" fontId="70" fillId="3" borderId="0" xfId="10" applyFont="1" applyFill="1" applyAlignment="1">
      <alignment horizontal="left" wrapText="1" indent="1"/>
    </xf>
    <xf numFmtId="0" fontId="98" fillId="0" borderId="0" xfId="0" applyFont="1" applyFill="1"/>
    <xf numFmtId="171" fontId="70" fillId="0" borderId="0" xfId="11" applyNumberFormat="1" applyFill="1"/>
    <xf numFmtId="179" fontId="78" fillId="14" borderId="0" xfId="3" applyNumberFormat="1" applyFont="1" applyFill="1" applyBorder="1"/>
    <xf numFmtId="171" fontId="5" fillId="14" borderId="0" xfId="1" applyNumberFormat="1" applyFont="1" applyFill="1" applyAlignment="1">
      <alignment vertical="center"/>
    </xf>
    <xf numFmtId="14" fontId="76" fillId="14" borderId="0" xfId="0" applyNumberFormat="1" applyFont="1" applyFill="1"/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0" fontId="75" fillId="0" borderId="0" xfId="0" applyFont="1" applyFill="1" applyAlignment="1">
      <alignment horizontal="right"/>
    </xf>
    <xf numFmtId="0" fontId="109" fillId="0" borderId="0" xfId="0" applyFont="1" applyFill="1"/>
    <xf numFmtId="171" fontId="80" fillId="14" borderId="0" xfId="3" applyNumberFormat="1" applyFont="1" applyFill="1" applyBorder="1" applyAlignment="1" applyProtection="1">
      <alignment horizontal="right" vertical="top"/>
    </xf>
    <xf numFmtId="14" fontId="70" fillId="0" borderId="0" xfId="10" applyNumberFormat="1" applyFont="1" applyFill="1" applyAlignment="1" applyProtection="1">
      <protection locked="0"/>
    </xf>
    <xf numFmtId="0" fontId="109" fillId="3" borderId="0" xfId="0" applyFont="1" applyFill="1"/>
    <xf numFmtId="0" fontId="83" fillId="11" borderId="0" xfId="12" applyFont="1" applyFill="1" applyAlignment="1">
      <alignment horizontal="center"/>
    </xf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0" fontId="70" fillId="3" borderId="0" xfId="10" applyFont="1" applyFill="1" applyAlignment="1">
      <alignment horizontal="left" wrapText="1" indent="1"/>
    </xf>
    <xf numFmtId="14" fontId="70" fillId="0" borderId="0" xfId="10" applyNumberFormat="1" applyFont="1" applyFill="1" applyAlignment="1" applyProtection="1">
      <protection locked="0"/>
    </xf>
    <xf numFmtId="171" fontId="70" fillId="0" borderId="0" xfId="11" applyNumberFormat="1" applyBorder="1"/>
    <xf numFmtId="179" fontId="80" fillId="0" borderId="32" xfId="3" applyNumberFormat="1" applyFont="1" applyFill="1" applyBorder="1"/>
    <xf numFmtId="171" fontId="70" fillId="0" borderId="32" xfId="11" applyNumberFormat="1" applyBorder="1"/>
    <xf numFmtId="0" fontId="70" fillId="0" borderId="0" xfId="10" applyFont="1" applyFill="1" applyAlignment="1">
      <alignment horizontal="left" wrapText="1" indent="1"/>
    </xf>
    <xf numFmtId="202" fontId="70" fillId="0" borderId="0" xfId="1" applyNumberFormat="1" applyFont="1" applyFill="1" applyBorder="1"/>
    <xf numFmtId="0" fontId="70" fillId="3" borderId="0" xfId="10" applyFont="1" applyFill="1" applyAlignment="1">
      <alignment horizontal="left" wrapText="1" indent="1"/>
    </xf>
    <xf numFmtId="0" fontId="70" fillId="3" borderId="0" xfId="10" applyFont="1" applyFill="1" applyAlignment="1">
      <alignment horizontal="left" wrapText="1" indent="1"/>
    </xf>
    <xf numFmtId="0" fontId="70" fillId="0" borderId="0" xfId="10" applyFont="1" applyFill="1" applyAlignment="1">
      <alignment horizontal="left" wrapText="1" indent="1"/>
    </xf>
    <xf numFmtId="0" fontId="73" fillId="0" borderId="0" xfId="10" applyFont="1" applyFill="1" applyAlignment="1" applyProtection="1">
      <alignment horizontal="center"/>
      <protection locked="0"/>
    </xf>
    <xf numFmtId="0" fontId="83" fillId="11" borderId="0" xfId="12" applyFont="1" applyFill="1" applyAlignment="1">
      <alignment horizontal="center"/>
    </xf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14" fontId="70" fillId="0" borderId="10" xfId="11" applyNumberFormat="1" applyBorder="1"/>
    <xf numFmtId="14" fontId="80" fillId="0" borderId="11" xfId="10" applyNumberFormat="1" applyFont="1" applyBorder="1" applyAlignment="1" applyProtection="1">
      <protection locked="0"/>
    </xf>
    <xf numFmtId="179" fontId="80" fillId="0" borderId="11" xfId="3" applyNumberFormat="1" applyFont="1" applyFill="1" applyBorder="1"/>
    <xf numFmtId="171" fontId="80" fillId="0" borderId="12" xfId="3" applyNumberFormat="1" applyFont="1" applyFill="1" applyBorder="1" applyAlignment="1" applyProtection="1">
      <alignment vertical="top"/>
    </xf>
    <xf numFmtId="9" fontId="70" fillId="0" borderId="0" xfId="13" applyFont="1" applyFill="1" applyBorder="1"/>
    <xf numFmtId="179" fontId="70" fillId="0" borderId="0" xfId="11" applyNumberFormat="1"/>
    <xf numFmtId="0" fontId="70" fillId="0" borderId="0" xfId="10" applyFont="1" applyFill="1" applyAlignment="1">
      <alignment horizontal="left" wrapText="1" indent="1"/>
    </xf>
    <xf numFmtId="173" fontId="70" fillId="0" borderId="0" xfId="1" applyNumberFormat="1" applyFont="1" applyFill="1" applyBorder="1" applyAlignment="1">
      <alignment horizontal="center"/>
    </xf>
    <xf numFmtId="0" fontId="70" fillId="3" borderId="0" xfId="10" applyFont="1" applyFill="1" applyAlignment="1">
      <alignment horizontal="left" wrapText="1" indent="1"/>
    </xf>
    <xf numFmtId="179" fontId="70" fillId="12" borderId="0" xfId="3" applyNumberFormat="1" applyFont="1" applyFill="1" applyBorder="1"/>
    <xf numFmtId="0" fontId="113" fillId="0" borderId="0" xfId="10" applyFont="1" applyAlignment="1" applyProtection="1">
      <protection locked="0"/>
    </xf>
    <xf numFmtId="0" fontId="83" fillId="11" borderId="0" xfId="12" applyFont="1" applyFill="1" applyAlignment="1">
      <alignment horizontal="center"/>
    </xf>
    <xf numFmtId="0" fontId="70" fillId="0" borderId="0" xfId="11" applyAlignment="1">
      <alignment horizontal="center"/>
    </xf>
    <xf numFmtId="0" fontId="70" fillId="0" borderId="0" xfId="11"/>
    <xf numFmtId="164" fontId="70" fillId="0" borderId="0" xfId="3" applyFont="1" applyFill="1" applyBorder="1"/>
    <xf numFmtId="0" fontId="74" fillId="0" borderId="0" xfId="11" applyFont="1" applyAlignment="1">
      <alignment horizontal="right"/>
    </xf>
    <xf numFmtId="14" fontId="70" fillId="0" borderId="31" xfId="11" applyNumberFormat="1" applyFill="1" applyBorder="1"/>
    <xf numFmtId="0" fontId="70" fillId="0" borderId="0" xfId="10" applyFont="1" applyFill="1" applyAlignment="1">
      <alignment horizontal="left" wrapText="1" indent="1"/>
    </xf>
    <xf numFmtId="179" fontId="73" fillId="0" borderId="0" xfId="3" applyNumberFormat="1" applyFont="1" applyFill="1" applyBorder="1"/>
    <xf numFmtId="171" fontId="73" fillId="0" borderId="0" xfId="3" applyNumberFormat="1" applyFont="1" applyFill="1" applyBorder="1" applyAlignment="1" applyProtection="1">
      <alignment horizontal="right" vertical="top"/>
    </xf>
    <xf numFmtId="171" fontId="73" fillId="14" borderId="0" xfId="3" applyNumberFormat="1" applyFont="1" applyFill="1" applyBorder="1" applyAlignment="1" applyProtection="1">
      <alignment horizontal="right" vertical="top"/>
    </xf>
    <xf numFmtId="179" fontId="73" fillId="12" borderId="0" xfId="3" applyNumberFormat="1" applyFont="1" applyFill="1" applyBorder="1"/>
    <xf numFmtId="0" fontId="104" fillId="2" borderId="15" xfId="10" applyFont="1" applyFill="1" applyBorder="1" applyAlignment="1">
      <alignment horizontal="left" vertical="center"/>
    </xf>
    <xf numFmtId="179" fontId="104" fillId="2" borderId="16" xfId="3" applyNumberFormat="1" applyFont="1" applyFill="1" applyBorder="1" applyAlignment="1" applyProtection="1">
      <alignment horizontal="right" vertical="center"/>
    </xf>
    <xf numFmtId="0" fontId="70" fillId="0" borderId="0" xfId="10" applyFont="1" applyAlignment="1">
      <alignment horizontal="left" wrapText="1" indent="1"/>
    </xf>
    <xf numFmtId="0" fontId="70" fillId="0" borderId="0" xfId="10" applyFont="1" applyFill="1" applyAlignment="1">
      <alignment horizontal="left" wrapText="1" indent="1"/>
    </xf>
    <xf numFmtId="0" fontId="70" fillId="0" borderId="0" xfId="11" applyAlignment="1">
      <alignment horizontal="center"/>
    </xf>
    <xf numFmtId="0" fontId="70" fillId="0" borderId="0" xfId="11"/>
    <xf numFmtId="0" fontId="70" fillId="0" borderId="0" xfId="10" applyFont="1" applyFill="1" applyAlignment="1">
      <alignment horizontal="left" wrapText="1" indent="1"/>
    </xf>
    <xf numFmtId="179" fontId="70" fillId="14" borderId="0" xfId="3" applyNumberFormat="1" applyFont="1" applyFill="1" applyBorder="1"/>
    <xf numFmtId="14" fontId="70" fillId="0" borderId="11" xfId="11" applyNumberFormat="1" applyBorder="1"/>
    <xf numFmtId="164" fontId="70" fillId="0" borderId="11" xfId="3" applyFont="1" applyFill="1" applyBorder="1"/>
    <xf numFmtId="0" fontId="70" fillId="0" borderId="12" xfId="11" applyBorder="1"/>
    <xf numFmtId="14" fontId="70" fillId="0" borderId="31" xfId="11" applyNumberFormat="1" applyBorder="1"/>
    <xf numFmtId="0" fontId="70" fillId="0" borderId="0" xfId="10" applyFont="1" applyFill="1" applyAlignment="1">
      <alignment horizontal="left" wrapText="1" indent="1"/>
    </xf>
    <xf numFmtId="0" fontId="74" fillId="0" borderId="9" xfId="0" applyFont="1" applyBorder="1" applyAlignment="1">
      <alignment horizontal="center"/>
    </xf>
    <xf numFmtId="0" fontId="83" fillId="11" borderId="0" xfId="12" applyFont="1" applyFill="1" applyAlignment="1">
      <alignment horizontal="center"/>
    </xf>
    <xf numFmtId="0" fontId="70" fillId="0" borderId="0" xfId="11" applyAlignment="1">
      <alignment horizontal="center"/>
    </xf>
    <xf numFmtId="0" fontId="74" fillId="0" borderId="0" xfId="11" applyFont="1" applyAlignment="1">
      <alignment horizontal="center"/>
    </xf>
    <xf numFmtId="0" fontId="71" fillId="8" borderId="0" xfId="11" applyFont="1" applyFill="1" applyAlignment="1">
      <alignment horizontal="center"/>
    </xf>
    <xf numFmtId="0" fontId="70" fillId="0" borderId="0" xfId="11"/>
    <xf numFmtId="164" fontId="70" fillId="0" borderId="0" xfId="3" applyFont="1" applyFill="1" applyBorder="1"/>
    <xf numFmtId="0" fontId="74" fillId="0" borderId="40" xfId="11" applyFont="1" applyBorder="1" applyAlignment="1">
      <alignment horizontal="center"/>
    </xf>
    <xf numFmtId="0" fontId="74" fillId="0" borderId="41" xfId="11" applyFont="1" applyBorder="1" applyAlignment="1">
      <alignment horizontal="center"/>
    </xf>
    <xf numFmtId="0" fontId="74" fillId="0" borderId="42" xfId="11" applyFont="1" applyBorder="1" applyAlignment="1">
      <alignment horizontal="center"/>
    </xf>
    <xf numFmtId="178" fontId="82" fillId="0" borderId="0" xfId="10" applyNumberFormat="1" applyFont="1" applyAlignment="1" applyProtection="1">
      <alignment horizontal="center" vertical="center" wrapText="1"/>
      <protection locked="0"/>
    </xf>
    <xf numFmtId="179" fontId="87" fillId="0" borderId="0" xfId="3" applyNumberFormat="1" applyFont="1" applyFill="1" applyBorder="1" applyAlignment="1">
      <alignment horizontal="center" wrapText="1"/>
    </xf>
    <xf numFmtId="179" fontId="110" fillId="0" borderId="0" xfId="3" applyNumberFormat="1" applyFont="1" applyFill="1" applyBorder="1" applyAlignment="1">
      <alignment horizontal="left" wrapText="1"/>
    </xf>
    <xf numFmtId="0" fontId="70" fillId="0" borderId="0" xfId="11" applyFont="1" applyAlignment="1">
      <alignment horizontal="center"/>
    </xf>
    <xf numFmtId="0" fontId="70" fillId="20" borderId="0" xfId="11" applyFont="1" applyFill="1" applyAlignment="1">
      <alignment horizontal="center"/>
    </xf>
    <xf numFmtId="0" fontId="70" fillId="20" borderId="0" xfId="11" applyFill="1" applyAlignment="1">
      <alignment horizontal="center"/>
    </xf>
    <xf numFmtId="0" fontId="70" fillId="0" borderId="0" xfId="11" applyFont="1" applyAlignment="1">
      <alignment horizontal="right"/>
    </xf>
    <xf numFmtId="0" fontId="70" fillId="0" borderId="0" xfId="11" applyAlignment="1">
      <alignment horizontal="right"/>
    </xf>
    <xf numFmtId="0" fontId="74" fillId="0" borderId="0" xfId="11" applyFont="1" applyAlignment="1">
      <alignment horizontal="right"/>
    </xf>
    <xf numFmtId="0" fontId="74" fillId="3" borderId="0" xfId="0" applyFont="1" applyFill="1" applyAlignment="1">
      <alignment horizontal="center"/>
    </xf>
    <xf numFmtId="0" fontId="79" fillId="0" borderId="0" xfId="0" applyFont="1" applyAlignment="1">
      <alignment horizontal="center"/>
    </xf>
    <xf numFmtId="0" fontId="74" fillId="0" borderId="0" xfId="0" applyFont="1" applyAlignment="1">
      <alignment horizontal="center"/>
    </xf>
  </cellXfs>
  <cellStyles count="15">
    <cellStyle name="Millares" xfId="1" builtinId="3"/>
    <cellStyle name="Moneda" xfId="2" builtinId="4"/>
    <cellStyle name="Moneda [0] 2" xfId="3" xr:uid="{28AE31D2-32B7-47CD-9FF6-DD5CF463C658}"/>
    <cellStyle name="Normal" xfId="0" builtinId="0"/>
    <cellStyle name="Normal 150" xfId="4" xr:uid="{12138E8D-ADC0-4815-A5AC-56F2787A0B42}"/>
    <cellStyle name="Normal 151" xfId="5" xr:uid="{DD85A3FF-33C1-4AC4-978A-654351AFBCD9}"/>
    <cellStyle name="Normal 155" xfId="6" xr:uid="{F7483796-97C4-4891-88B3-D364477BAB26}"/>
    <cellStyle name="Normal 163" xfId="7" xr:uid="{BA7B73B7-7E71-4D53-8EA9-FA3122AB7018}"/>
    <cellStyle name="Normal 171" xfId="8" xr:uid="{10AEDC27-F51C-4C81-9BC5-B99713AFC114}"/>
    <cellStyle name="Normal 2" xfId="9" xr:uid="{C74D1C72-F549-43F4-A887-9D4442C007AA}"/>
    <cellStyle name="Normal 2 4" xfId="10" xr:uid="{DAA2E4E6-5AB3-4BA4-9A12-CB40638F6C83}"/>
    <cellStyle name="Normal 3 2 4" xfId="11" xr:uid="{1E852CE1-AE23-433C-905F-241BB763C897}"/>
    <cellStyle name="Normal 3 3" xfId="12" xr:uid="{5F1F9136-1EC9-466A-81B3-9459E4C361F6}"/>
    <cellStyle name="Porcentaje" xfId="13" builtinId="5"/>
    <cellStyle name="Porcentaje 2" xfId="14" xr:uid="{7131E355-21B4-4569-B01F-9FAFCA71F12A}"/>
  </cellStyles>
  <dxfs count="369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4145280</xdr:colOff>
      <xdr:row>0</xdr:row>
      <xdr:rowOff>99060</xdr:rowOff>
    </xdr:from>
    <xdr:to>
      <xdr:col>3</xdr:col>
      <xdr:colOff>4991100</xdr:colOff>
      <xdr:row>4</xdr:row>
      <xdr:rowOff>38100</xdr:rowOff>
    </xdr:to>
    <xdr:pic>
      <xdr:nvPicPr>
        <xdr:cNvPr id="71293" name="Imagen 1">
          <a:extLst>
            <a:ext uri="{FF2B5EF4-FFF2-40B4-BE49-F238E27FC236}">
              <a16:creationId xmlns:a16="http://schemas.microsoft.com/office/drawing/2014/main" id="{91ED6D8B-7498-048C-0FD8-EB9B14406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7340" y="99060"/>
          <a:ext cx="84582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4030980</xdr:colOff>
      <xdr:row>0</xdr:row>
      <xdr:rowOff>76200</xdr:rowOff>
    </xdr:from>
    <xdr:to>
      <xdr:col>3</xdr:col>
      <xdr:colOff>4884420</xdr:colOff>
      <xdr:row>3</xdr:row>
      <xdr:rowOff>167640</xdr:rowOff>
    </xdr:to>
    <xdr:pic>
      <xdr:nvPicPr>
        <xdr:cNvPr id="72303" name="Imagen 1">
          <a:extLst>
            <a:ext uri="{FF2B5EF4-FFF2-40B4-BE49-F238E27FC236}">
              <a16:creationId xmlns:a16="http://schemas.microsoft.com/office/drawing/2014/main" id="{9D673C9F-5BAB-54E2-6E10-4D6D4CBDA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3040" y="76200"/>
          <a:ext cx="8534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869B-1124-48E8-A164-9A7E8F2D0CF2}">
  <dimension ref="A2:J100"/>
  <sheetViews>
    <sheetView showGridLines="0" topLeftCell="A79" zoomScaleNormal="100" workbookViewId="0">
      <selection activeCell="H95" sqref="H95:I95"/>
    </sheetView>
  </sheetViews>
  <sheetFormatPr baseColWidth="10" defaultColWidth="9.109375" defaultRowHeight="12"/>
  <cols>
    <col min="1" max="1" width="12.33203125" style="8" customWidth="1"/>
    <col min="2" max="2" width="3.109375" style="8" customWidth="1"/>
    <col min="3" max="3" width="2.6640625" style="8" customWidth="1"/>
    <col min="4" max="4" width="89" style="8" customWidth="1"/>
    <col min="5" max="5" width="19" style="8" customWidth="1"/>
    <col min="6" max="6" width="16.33203125" style="8" customWidth="1"/>
    <col min="7" max="7" width="16.88671875" style="8" bestFit="1" customWidth="1"/>
    <col min="8" max="8" width="12.109375" style="8" bestFit="1" customWidth="1"/>
    <col min="9" max="9" width="12.44140625" style="8" bestFit="1" customWidth="1"/>
    <col min="10" max="10" width="14.33203125" style="8" customWidth="1"/>
    <col min="11" max="11" width="11.44140625" style="8" bestFit="1" customWidth="1"/>
    <col min="12" max="12" width="9.109375" style="8"/>
    <col min="13" max="13" width="10.5546875" style="8" bestFit="1" customWidth="1"/>
    <col min="14" max="16384" width="9.109375" style="8"/>
  </cols>
  <sheetData>
    <row r="2" spans="1:7" ht="12.6">
      <c r="D2" s="3" t="s">
        <v>7</v>
      </c>
    </row>
    <row r="4" spans="1:7" ht="12.6">
      <c r="A4" s="1" t="s">
        <v>0</v>
      </c>
      <c r="B4" s="1"/>
      <c r="C4" s="2"/>
      <c r="D4" s="412" t="s">
        <v>20</v>
      </c>
      <c r="E4" s="3" t="s">
        <v>1</v>
      </c>
      <c r="F4" s="3" t="s">
        <v>2</v>
      </c>
      <c r="G4" s="4" t="s">
        <v>3</v>
      </c>
    </row>
    <row r="5" spans="1:7" ht="12.75" customHeight="1">
      <c r="A5" s="316">
        <v>45901</v>
      </c>
      <c r="E5" s="9"/>
      <c r="F5" s="9"/>
      <c r="G5" s="15"/>
    </row>
    <row r="6" spans="1:7" ht="14.4">
      <c r="A6" s="316">
        <v>45926</v>
      </c>
      <c r="D6" s="317" t="s">
        <v>8</v>
      </c>
      <c r="E6" s="39">
        <v>1500</v>
      </c>
      <c r="F6" s="39"/>
      <c r="G6" s="39">
        <f t="shared" ref="G6:G69" si="0">G5+E6-F6</f>
        <v>1500</v>
      </c>
    </row>
    <row r="7" spans="1:7" ht="14.4">
      <c r="A7" s="316">
        <v>45927</v>
      </c>
      <c r="D7" s="317" t="s">
        <v>904</v>
      </c>
      <c r="E7" s="39"/>
      <c r="F7" s="39">
        <v>45</v>
      </c>
      <c r="G7" s="39">
        <f t="shared" si="0"/>
        <v>1455</v>
      </c>
    </row>
    <row r="8" spans="1:7" ht="14.4">
      <c r="A8" s="316">
        <v>45930</v>
      </c>
      <c r="D8" s="8" t="s">
        <v>905</v>
      </c>
      <c r="E8" s="39"/>
      <c r="F8" s="39">
        <v>15</v>
      </c>
      <c r="G8" s="39">
        <f t="shared" si="0"/>
        <v>1440</v>
      </c>
    </row>
    <row r="9" spans="1:7" ht="14.4">
      <c r="A9" s="13">
        <v>45930</v>
      </c>
      <c r="B9" s="14"/>
      <c r="C9" s="14"/>
      <c r="D9" s="14" t="s">
        <v>138</v>
      </c>
      <c r="E9" s="40"/>
      <c r="F9" s="40"/>
      <c r="G9" s="40">
        <f t="shared" si="0"/>
        <v>1440</v>
      </c>
    </row>
    <row r="10" spans="1:7" ht="14.4">
      <c r="A10" s="316">
        <v>45566</v>
      </c>
      <c r="D10" s="8" t="s">
        <v>488</v>
      </c>
      <c r="E10" s="39"/>
      <c r="F10" s="39"/>
      <c r="G10" s="39">
        <f t="shared" si="0"/>
        <v>1440</v>
      </c>
    </row>
    <row r="11" spans="1:7" ht="14.4">
      <c r="A11" s="316">
        <v>45596</v>
      </c>
      <c r="D11" s="8" t="s">
        <v>905</v>
      </c>
      <c r="E11" s="39"/>
      <c r="F11" s="39">
        <v>15</v>
      </c>
      <c r="G11" s="39">
        <f t="shared" si="0"/>
        <v>1425</v>
      </c>
    </row>
    <row r="12" spans="1:7" ht="14.4">
      <c r="A12" s="13">
        <v>45596</v>
      </c>
      <c r="B12" s="14"/>
      <c r="C12" s="14"/>
      <c r="D12" s="14" t="s">
        <v>138</v>
      </c>
      <c r="E12" s="40"/>
      <c r="F12" s="40"/>
      <c r="G12" s="40">
        <f t="shared" si="0"/>
        <v>1425</v>
      </c>
    </row>
    <row r="13" spans="1:7" ht="14.4">
      <c r="A13" s="316">
        <v>45597</v>
      </c>
      <c r="D13" s="8" t="s">
        <v>488</v>
      </c>
      <c r="E13" s="209"/>
      <c r="F13" s="209"/>
      <c r="G13" s="39">
        <f t="shared" si="0"/>
        <v>1425</v>
      </c>
    </row>
    <row r="14" spans="1:7" ht="14.4">
      <c r="A14" s="316">
        <v>45973</v>
      </c>
      <c r="D14" s="391" t="s">
        <v>867</v>
      </c>
      <c r="E14" s="209">
        <v>23650</v>
      </c>
      <c r="F14" s="209"/>
      <c r="G14" s="39">
        <f t="shared" si="0"/>
        <v>25075</v>
      </c>
    </row>
    <row r="15" spans="1:7" ht="14.4">
      <c r="A15" s="316">
        <v>45973</v>
      </c>
      <c r="D15" s="391" t="s">
        <v>867</v>
      </c>
      <c r="E15" s="209">
        <v>23650</v>
      </c>
      <c r="F15" s="209"/>
      <c r="G15" s="39">
        <f t="shared" si="0"/>
        <v>48725</v>
      </c>
    </row>
    <row r="16" spans="1:7" ht="14.4">
      <c r="A16" s="316">
        <v>45973</v>
      </c>
      <c r="D16" s="391" t="s">
        <v>906</v>
      </c>
      <c r="E16" s="209"/>
      <c r="F16" s="209">
        <v>37652.9</v>
      </c>
      <c r="G16" s="39">
        <f t="shared" si="0"/>
        <v>11072.099999999999</v>
      </c>
    </row>
    <row r="17" spans="1:7" ht="14.4">
      <c r="A17" s="316">
        <v>45973</v>
      </c>
      <c r="D17" s="391" t="s">
        <v>16</v>
      </c>
      <c r="E17" s="209"/>
      <c r="F17" s="209">
        <v>1.85</v>
      </c>
      <c r="G17" s="39">
        <f t="shared" si="0"/>
        <v>11070.249999999998</v>
      </c>
    </row>
    <row r="18" spans="1:7" ht="14.4">
      <c r="A18" s="316">
        <v>45973</v>
      </c>
      <c r="D18" s="391" t="s">
        <v>907</v>
      </c>
      <c r="E18" s="209"/>
      <c r="F18" s="209">
        <v>6</v>
      </c>
      <c r="G18" s="39">
        <f t="shared" si="0"/>
        <v>11064.249999999998</v>
      </c>
    </row>
    <row r="19" spans="1:7" ht="14.4">
      <c r="A19" s="316">
        <v>45973</v>
      </c>
      <c r="D19" s="8" t="s">
        <v>908</v>
      </c>
      <c r="E19" s="209">
        <v>9530.2999999999993</v>
      </c>
      <c r="F19" s="209"/>
      <c r="G19" s="39">
        <f t="shared" si="0"/>
        <v>20594.549999999996</v>
      </c>
    </row>
    <row r="20" spans="1:7" ht="14.4">
      <c r="A20" s="316">
        <v>45973</v>
      </c>
      <c r="D20" s="8" t="s">
        <v>16</v>
      </c>
      <c r="E20" s="209"/>
      <c r="F20" s="209">
        <v>0.45</v>
      </c>
      <c r="G20" s="39">
        <f t="shared" si="0"/>
        <v>20594.099999999995</v>
      </c>
    </row>
    <row r="21" spans="1:7" ht="14.4">
      <c r="A21" s="316">
        <v>45973</v>
      </c>
      <c r="D21" s="391" t="s">
        <v>909</v>
      </c>
      <c r="E21" s="209"/>
      <c r="F21" s="209">
        <v>9530.2999999999993</v>
      </c>
      <c r="G21" s="39">
        <f t="shared" si="0"/>
        <v>11063.799999999996</v>
      </c>
    </row>
    <row r="22" spans="1:7" ht="14.4">
      <c r="A22" s="316">
        <v>45973</v>
      </c>
      <c r="D22" s="391" t="s">
        <v>16</v>
      </c>
      <c r="E22" s="209"/>
      <c r="F22" s="209">
        <v>0.45</v>
      </c>
      <c r="G22" s="39">
        <f t="shared" si="0"/>
        <v>11063.349999999995</v>
      </c>
    </row>
    <row r="23" spans="1:7" ht="14.4">
      <c r="A23" s="316">
        <v>45974</v>
      </c>
      <c r="D23" s="391" t="s">
        <v>910</v>
      </c>
      <c r="E23" s="209">
        <v>13318.7</v>
      </c>
      <c r="F23" s="209"/>
      <c r="G23" s="39">
        <f t="shared" si="0"/>
        <v>24382.049999999996</v>
      </c>
    </row>
    <row r="24" spans="1:7" ht="14.4">
      <c r="A24" s="316">
        <v>45974</v>
      </c>
      <c r="D24" s="391" t="s">
        <v>911</v>
      </c>
      <c r="E24" s="209"/>
      <c r="F24" s="209">
        <v>21063.69</v>
      </c>
      <c r="G24" s="39">
        <f t="shared" si="0"/>
        <v>3318.3599999999969</v>
      </c>
    </row>
    <row r="25" spans="1:7" ht="14.4">
      <c r="A25" s="316">
        <v>45974</v>
      </c>
      <c r="D25" s="391" t="s">
        <v>16</v>
      </c>
      <c r="E25" s="209"/>
      <c r="F25" s="209">
        <v>1.05</v>
      </c>
      <c r="G25" s="39">
        <f t="shared" si="0"/>
        <v>3317.3099999999968</v>
      </c>
    </row>
    <row r="26" spans="1:7" ht="14.4">
      <c r="A26" s="316">
        <v>45974</v>
      </c>
      <c r="D26" s="391" t="s">
        <v>907</v>
      </c>
      <c r="E26" s="209"/>
      <c r="F26" s="209">
        <v>2</v>
      </c>
      <c r="G26" s="39">
        <f t="shared" si="0"/>
        <v>3315.3099999999968</v>
      </c>
    </row>
    <row r="27" spans="1:7" ht="14.4">
      <c r="A27" s="316">
        <v>45975</v>
      </c>
      <c r="D27" s="8" t="s">
        <v>912</v>
      </c>
      <c r="E27" s="209">
        <v>1591.01</v>
      </c>
      <c r="F27" s="209"/>
      <c r="G27" s="39">
        <f t="shared" si="0"/>
        <v>4906.319999999997</v>
      </c>
    </row>
    <row r="28" spans="1:7" ht="14.4">
      <c r="A28" s="316">
        <v>45975</v>
      </c>
      <c r="D28" s="8" t="s">
        <v>16</v>
      </c>
      <c r="E28" s="209"/>
      <c r="F28" s="209">
        <v>0.05</v>
      </c>
      <c r="G28" s="39">
        <f t="shared" si="0"/>
        <v>4906.2699999999968</v>
      </c>
    </row>
    <row r="29" spans="1:7" ht="14.4">
      <c r="A29" s="316">
        <v>45975</v>
      </c>
      <c r="D29" s="8" t="s">
        <v>913</v>
      </c>
      <c r="E29" s="209"/>
      <c r="F29" s="209">
        <v>1533.34</v>
      </c>
      <c r="G29" s="39">
        <f t="shared" si="0"/>
        <v>3372.9299999999967</v>
      </c>
    </row>
    <row r="30" spans="1:7" ht="14.4">
      <c r="A30" s="316">
        <v>45975</v>
      </c>
      <c r="D30" s="391" t="s">
        <v>16</v>
      </c>
      <c r="E30" s="209"/>
      <c r="F30" s="209">
        <f>0.05+0.05</f>
        <v>0.1</v>
      </c>
      <c r="G30" s="39">
        <f t="shared" si="0"/>
        <v>3372.8299999999967</v>
      </c>
    </row>
    <row r="31" spans="1:7" ht="14.4">
      <c r="A31" s="316">
        <v>45975</v>
      </c>
      <c r="D31" s="391" t="s">
        <v>16</v>
      </c>
      <c r="E31" s="209"/>
      <c r="F31" s="209">
        <v>0.05</v>
      </c>
      <c r="G31" s="39">
        <f t="shared" si="0"/>
        <v>3372.7799999999966</v>
      </c>
    </row>
    <row r="32" spans="1:7" ht="14.4">
      <c r="A32" s="316">
        <v>45975</v>
      </c>
      <c r="D32" s="391" t="s">
        <v>914</v>
      </c>
      <c r="E32" s="209"/>
      <c r="F32" s="209">
        <v>1591.01</v>
      </c>
      <c r="G32" s="39">
        <f t="shared" si="0"/>
        <v>1781.7699999999966</v>
      </c>
    </row>
    <row r="33" spans="1:10" ht="14.4">
      <c r="A33" s="316">
        <v>45975</v>
      </c>
      <c r="D33" s="391" t="s">
        <v>907</v>
      </c>
      <c r="F33" s="209">
        <v>1</v>
      </c>
      <c r="G33" s="39">
        <f t="shared" si="0"/>
        <v>1780.7699999999966</v>
      </c>
    </row>
    <row r="34" spans="1:10" ht="14.4">
      <c r="A34" s="316">
        <v>45987</v>
      </c>
      <c r="D34" s="8" t="s">
        <v>979</v>
      </c>
      <c r="F34" s="209">
        <v>170.36</v>
      </c>
      <c r="G34" s="39">
        <f t="shared" si="0"/>
        <v>1610.4099999999967</v>
      </c>
    </row>
    <row r="35" spans="1:10" ht="14.4">
      <c r="A35" s="316">
        <v>45988</v>
      </c>
      <c r="D35" s="8" t="s">
        <v>978</v>
      </c>
      <c r="F35" s="209">
        <v>1046.08</v>
      </c>
      <c r="G35" s="39">
        <f t="shared" si="0"/>
        <v>564.32999999999674</v>
      </c>
      <c r="H35" s="428"/>
      <c r="J35" s="429"/>
    </row>
    <row r="36" spans="1:10" ht="14.4">
      <c r="A36" s="316">
        <v>45989</v>
      </c>
      <c r="D36" s="8" t="s">
        <v>905</v>
      </c>
      <c r="E36" s="39"/>
      <c r="F36" s="39">
        <v>15</v>
      </c>
      <c r="G36" s="39">
        <f t="shared" si="0"/>
        <v>549.32999999999674</v>
      </c>
      <c r="H36" s="434"/>
      <c r="I36" s="428"/>
    </row>
    <row r="37" spans="1:10" s="14" customFormat="1" ht="14.4">
      <c r="A37" s="13">
        <v>45991</v>
      </c>
      <c r="G37" s="40">
        <f t="shared" si="0"/>
        <v>549.32999999999674</v>
      </c>
    </row>
    <row r="38" spans="1:10" ht="14.4">
      <c r="A38" s="316">
        <v>45992</v>
      </c>
      <c r="G38" s="39">
        <f t="shared" si="0"/>
        <v>549.32999999999674</v>
      </c>
    </row>
    <row r="39" spans="1:10" ht="14.4">
      <c r="A39" s="316">
        <v>45995</v>
      </c>
      <c r="D39" s="291" t="s">
        <v>1014</v>
      </c>
      <c r="E39" s="209">
        <v>30000</v>
      </c>
      <c r="G39" s="39">
        <f t="shared" si="0"/>
        <v>30549.329999999998</v>
      </c>
    </row>
    <row r="40" spans="1:10" ht="14.4">
      <c r="A40" s="316">
        <v>45996</v>
      </c>
      <c r="D40" s="391" t="s">
        <v>909</v>
      </c>
      <c r="F40" s="209">
        <v>6615.13</v>
      </c>
      <c r="G40" s="39">
        <f t="shared" si="0"/>
        <v>23934.199999999997</v>
      </c>
    </row>
    <row r="41" spans="1:10" ht="14.4">
      <c r="A41" s="316">
        <v>45996</v>
      </c>
      <c r="D41" s="391" t="s">
        <v>1015</v>
      </c>
      <c r="F41" s="209">
        <v>6050.25</v>
      </c>
      <c r="G41" s="39">
        <f t="shared" si="0"/>
        <v>17883.949999999997</v>
      </c>
    </row>
    <row r="42" spans="1:10" ht="14.4">
      <c r="A42" s="316">
        <v>45996</v>
      </c>
      <c r="D42" s="391" t="s">
        <v>1016</v>
      </c>
      <c r="F42" s="209">
        <v>11925.06</v>
      </c>
      <c r="G42" s="39">
        <f t="shared" si="0"/>
        <v>5958.8899999999976</v>
      </c>
    </row>
    <row r="43" spans="1:10" ht="14.4">
      <c r="A43" s="316">
        <v>45996</v>
      </c>
      <c r="D43" s="391" t="s">
        <v>1016</v>
      </c>
      <c r="F43" s="209">
        <v>2897.95</v>
      </c>
      <c r="G43" s="39">
        <f t="shared" si="0"/>
        <v>3060.9399999999978</v>
      </c>
    </row>
    <row r="44" spans="1:10" ht="14.4">
      <c r="A44" s="316">
        <v>45996</v>
      </c>
      <c r="D44" s="391" t="s">
        <v>16</v>
      </c>
      <c r="F44" s="209">
        <v>1.05</v>
      </c>
      <c r="G44" s="39">
        <f t="shared" si="0"/>
        <v>3059.8899999999976</v>
      </c>
      <c r="I44" s="428"/>
    </row>
    <row r="45" spans="1:10" ht="14.4">
      <c r="A45" s="316">
        <v>46007</v>
      </c>
      <c r="D45" s="391" t="s">
        <v>1056</v>
      </c>
      <c r="F45" s="209">
        <v>3000</v>
      </c>
      <c r="G45" s="39">
        <f t="shared" si="0"/>
        <v>59.889999999997599</v>
      </c>
    </row>
    <row r="46" spans="1:10" ht="14.4">
      <c r="A46" s="316">
        <v>46007</v>
      </c>
      <c r="D46" s="391" t="s">
        <v>1055</v>
      </c>
      <c r="F46" s="209">
        <v>5.8</v>
      </c>
      <c r="G46" s="39">
        <f t="shared" si="0"/>
        <v>54.089999999997602</v>
      </c>
    </row>
    <row r="47" spans="1:10" ht="14.4">
      <c r="A47" s="316">
        <v>46022</v>
      </c>
      <c r="D47" s="8" t="s">
        <v>905</v>
      </c>
      <c r="F47" s="209">
        <v>15</v>
      </c>
      <c r="G47" s="39">
        <f t="shared" si="0"/>
        <v>39.089999999997602</v>
      </c>
    </row>
    <row r="48" spans="1:10" s="14" customFormat="1" ht="14.4">
      <c r="A48" s="13">
        <v>46022</v>
      </c>
      <c r="G48" s="40">
        <f t="shared" si="0"/>
        <v>39.089999999997602</v>
      </c>
    </row>
    <row r="49" spans="1:9" ht="14.4">
      <c r="A49" s="316">
        <v>46023</v>
      </c>
      <c r="G49" s="39">
        <f t="shared" si="0"/>
        <v>39.089999999997602</v>
      </c>
    </row>
    <row r="50" spans="1:9" ht="14.4">
      <c r="A50" s="316">
        <v>46029</v>
      </c>
      <c r="D50" s="291" t="s">
        <v>1014</v>
      </c>
      <c r="E50" s="209">
        <v>30000</v>
      </c>
      <c r="G50" s="39">
        <f t="shared" si="0"/>
        <v>30039.089999999997</v>
      </c>
    </row>
    <row r="51" spans="1:9" ht="14.4">
      <c r="A51" s="316">
        <v>46029</v>
      </c>
      <c r="D51" s="391" t="s">
        <v>909</v>
      </c>
      <c r="F51" s="209">
        <f>'FLUJO CAJA ENERO 2026'!D74</f>
        <v>5812.5500000000011</v>
      </c>
      <c r="G51" s="39">
        <f t="shared" si="0"/>
        <v>24226.539999999994</v>
      </c>
    </row>
    <row r="52" spans="1:9" ht="14.4">
      <c r="A52" s="316">
        <v>46029</v>
      </c>
      <c r="D52" s="391" t="s">
        <v>1015</v>
      </c>
      <c r="F52" s="209">
        <f>'FLUJO CAJA ENERO 2026'!D75</f>
        <v>7998.34</v>
      </c>
      <c r="G52" s="39">
        <f t="shared" si="0"/>
        <v>16228.199999999993</v>
      </c>
    </row>
    <row r="53" spans="1:9" ht="14.4">
      <c r="A53" s="316">
        <v>46029</v>
      </c>
      <c r="D53" s="391" t="s">
        <v>1016</v>
      </c>
      <c r="F53" s="209">
        <f>'FLUJO CAJA ENERO 2026'!D76</f>
        <v>12425.95</v>
      </c>
      <c r="G53" s="39">
        <f t="shared" si="0"/>
        <v>3802.2499999999927</v>
      </c>
    </row>
    <row r="54" spans="1:9" ht="14.4">
      <c r="A54" s="316">
        <v>46029</v>
      </c>
      <c r="D54" s="391" t="s">
        <v>1016</v>
      </c>
      <c r="F54" s="209">
        <f>'FLUJO CAJA ENERO 2026'!D77</f>
        <v>2253.4299999999998</v>
      </c>
      <c r="G54" s="39">
        <f t="shared" si="0"/>
        <v>1548.8199999999929</v>
      </c>
    </row>
    <row r="55" spans="1:9" ht="14.4">
      <c r="A55" s="316">
        <v>46029</v>
      </c>
      <c r="D55" s="391" t="s">
        <v>16</v>
      </c>
      <c r="F55" s="209">
        <v>1.3</v>
      </c>
      <c r="G55" s="39">
        <f t="shared" si="0"/>
        <v>1547.5199999999929</v>
      </c>
      <c r="I55" s="428"/>
    </row>
    <row r="56" spans="1:9" ht="14.4">
      <c r="A56" s="316">
        <v>46045</v>
      </c>
      <c r="D56" s="291" t="s">
        <v>1183</v>
      </c>
      <c r="E56" s="39">
        <v>5450</v>
      </c>
      <c r="G56" s="39">
        <f t="shared" si="0"/>
        <v>6997.5199999999932</v>
      </c>
    </row>
    <row r="57" spans="1:9" ht="14.4">
      <c r="A57" s="316">
        <v>46045</v>
      </c>
      <c r="D57" s="291" t="s">
        <v>1179</v>
      </c>
      <c r="F57" s="209">
        <v>5444.17</v>
      </c>
      <c r="G57" s="39">
        <f t="shared" si="0"/>
        <v>1553.3499999999931</v>
      </c>
    </row>
    <row r="58" spans="1:9" ht="14.4">
      <c r="A58" s="316">
        <v>46045</v>
      </c>
      <c r="D58" s="391" t="s">
        <v>655</v>
      </c>
      <c r="F58" s="209">
        <v>4.3</v>
      </c>
      <c r="G58" s="39">
        <f t="shared" si="0"/>
        <v>1549.0499999999931</v>
      </c>
    </row>
    <row r="59" spans="1:9" ht="14.4">
      <c r="A59" s="316">
        <v>46045</v>
      </c>
      <c r="D59" s="391" t="s">
        <v>16</v>
      </c>
      <c r="F59" s="209">
        <v>0.25</v>
      </c>
      <c r="G59" s="39">
        <f t="shared" si="0"/>
        <v>1548.7999999999931</v>
      </c>
    </row>
    <row r="60" spans="1:9" ht="14.4">
      <c r="A60" s="316">
        <v>46049</v>
      </c>
      <c r="D60" s="291" t="s">
        <v>1192</v>
      </c>
      <c r="E60" s="209">
        <v>5444.17</v>
      </c>
      <c r="G60" s="39">
        <f t="shared" si="0"/>
        <v>6992.969999999993</v>
      </c>
    </row>
    <row r="61" spans="1:9" ht="14.4">
      <c r="A61" s="316">
        <v>46049</v>
      </c>
      <c r="D61" s="391" t="s">
        <v>1193</v>
      </c>
      <c r="E61" s="209">
        <v>0.25</v>
      </c>
      <c r="G61" s="39">
        <f t="shared" si="0"/>
        <v>6993.219999999993</v>
      </c>
      <c r="I61" s="428"/>
    </row>
    <row r="62" spans="1:9" ht="14.4">
      <c r="A62" s="316">
        <v>46049</v>
      </c>
      <c r="D62" s="391" t="s">
        <v>1194</v>
      </c>
      <c r="E62" s="209">
        <v>4.3</v>
      </c>
      <c r="F62" s="209"/>
      <c r="G62" s="39">
        <f t="shared" si="0"/>
        <v>6997.5199999999932</v>
      </c>
      <c r="I62" s="428"/>
    </row>
    <row r="63" spans="1:9" ht="14.4">
      <c r="A63" s="316">
        <v>46049</v>
      </c>
      <c r="D63" s="391" t="s">
        <v>16</v>
      </c>
      <c r="F63" s="209">
        <v>4.8</v>
      </c>
      <c r="G63" s="39">
        <f t="shared" si="0"/>
        <v>6992.719999999993</v>
      </c>
      <c r="I63" s="428"/>
    </row>
    <row r="64" spans="1:9" ht="14.4">
      <c r="A64" s="316">
        <v>46050</v>
      </c>
      <c r="D64" s="291" t="s">
        <v>1179</v>
      </c>
      <c r="F64" s="209">
        <v>5444.17</v>
      </c>
      <c r="G64" s="39">
        <f t="shared" si="0"/>
        <v>1548.5499999999929</v>
      </c>
    </row>
    <row r="65" spans="1:9" ht="14.4">
      <c r="A65" s="316">
        <v>46050</v>
      </c>
      <c r="D65" s="391" t="s">
        <v>655</v>
      </c>
      <c r="F65" s="209">
        <v>1</v>
      </c>
      <c r="G65" s="39">
        <f t="shared" si="0"/>
        <v>1547.5499999999929</v>
      </c>
    </row>
    <row r="66" spans="1:9" ht="14.4">
      <c r="A66" s="316">
        <v>46050</v>
      </c>
      <c r="D66" s="391" t="s">
        <v>16</v>
      </c>
      <c r="F66" s="209">
        <v>0.25</v>
      </c>
      <c r="G66" s="39">
        <f t="shared" si="0"/>
        <v>1547.2999999999929</v>
      </c>
    </row>
    <row r="67" spans="1:9" ht="14.4">
      <c r="A67" s="316">
        <v>46053</v>
      </c>
      <c r="D67" s="8" t="s">
        <v>905</v>
      </c>
      <c r="F67" s="209">
        <v>15</v>
      </c>
      <c r="G67" s="39">
        <f t="shared" si="0"/>
        <v>1532.2999999999929</v>
      </c>
    </row>
    <row r="68" spans="1:9" s="14" customFormat="1" ht="14.4">
      <c r="A68" s="13">
        <v>46053</v>
      </c>
      <c r="G68" s="40">
        <f t="shared" si="0"/>
        <v>1532.2999999999929</v>
      </c>
    </row>
    <row r="69" spans="1:9" ht="14.4">
      <c r="A69" s="316">
        <v>46054</v>
      </c>
      <c r="G69" s="39">
        <f t="shared" si="0"/>
        <v>1532.2999999999929</v>
      </c>
    </row>
    <row r="70" spans="1:9" ht="14.4">
      <c r="A70" s="316">
        <v>46059</v>
      </c>
      <c r="D70" s="291" t="s">
        <v>1014</v>
      </c>
      <c r="E70" s="209">
        <v>29564</v>
      </c>
      <c r="G70" s="39">
        <f>G69+E70-F70</f>
        <v>31096.299999999992</v>
      </c>
    </row>
    <row r="71" spans="1:9" ht="14.4">
      <c r="A71" s="316">
        <v>46059</v>
      </c>
      <c r="D71" s="391" t="s">
        <v>909</v>
      </c>
      <c r="E71" s="209"/>
      <c r="F71" s="209">
        <f>'FLUJO CAJA FEBRERO 2026'!D80</f>
        <v>5915.75</v>
      </c>
      <c r="G71" s="39">
        <f t="shared" ref="G71:G100" si="1">G70+E71-F71</f>
        <v>25180.549999999992</v>
      </c>
    </row>
    <row r="72" spans="1:9" ht="14.4">
      <c r="A72" s="316">
        <v>46059</v>
      </c>
      <c r="D72" s="391" t="s">
        <v>1015</v>
      </c>
      <c r="E72" s="209"/>
      <c r="F72" s="209">
        <f>'FLUJO CAJA FEBRERO 2026'!D81</f>
        <v>7966.13</v>
      </c>
      <c r="G72" s="39">
        <f t="shared" si="1"/>
        <v>17214.419999999991</v>
      </c>
    </row>
    <row r="73" spans="1:9" ht="14.4">
      <c r="A73" s="316">
        <v>46059</v>
      </c>
      <c r="D73" s="391" t="s">
        <v>1016</v>
      </c>
      <c r="E73" s="209"/>
      <c r="F73" s="209">
        <f>'FLUJO CAJA FEBRERO 2026'!D82</f>
        <v>13251.99</v>
      </c>
      <c r="G73" s="39">
        <f t="shared" si="1"/>
        <v>3962.4299999999912</v>
      </c>
    </row>
    <row r="74" spans="1:9" ht="14.4">
      <c r="A74" s="316">
        <v>46059</v>
      </c>
      <c r="D74" s="391" t="s">
        <v>1016</v>
      </c>
      <c r="E74" s="209"/>
      <c r="F74" s="209">
        <f>'FLUJO CAJA FEBRERO 2026'!D83</f>
        <v>2429.8000000000002</v>
      </c>
      <c r="G74" s="39">
        <f t="shared" si="1"/>
        <v>1532.629999999991</v>
      </c>
    </row>
    <row r="75" spans="1:9" ht="14.4">
      <c r="A75" s="316">
        <v>46059</v>
      </c>
      <c r="D75" s="391" t="s">
        <v>16</v>
      </c>
      <c r="E75" s="209"/>
      <c r="F75" s="209">
        <v>1.35</v>
      </c>
      <c r="G75" s="39">
        <f t="shared" si="1"/>
        <v>1531.2799999999911</v>
      </c>
      <c r="I75" s="428"/>
    </row>
    <row r="76" spans="1:9" ht="14.4">
      <c r="A76" s="316">
        <v>46080</v>
      </c>
      <c r="D76" s="8" t="s">
        <v>905</v>
      </c>
      <c r="F76" s="209">
        <f>5.4+9.6</f>
        <v>15</v>
      </c>
      <c r="G76" s="39">
        <f t="shared" si="1"/>
        <v>1516.2799999999911</v>
      </c>
      <c r="I76" s="428"/>
    </row>
    <row r="77" spans="1:9" s="14" customFormat="1" ht="14.4">
      <c r="A77" s="13">
        <v>46081</v>
      </c>
      <c r="G77" s="40">
        <f t="shared" si="1"/>
        <v>1516.2799999999911</v>
      </c>
    </row>
    <row r="78" spans="1:9" ht="14.4">
      <c r="A78" s="316">
        <v>46082</v>
      </c>
      <c r="E78" s="209"/>
      <c r="G78" s="39">
        <f t="shared" si="1"/>
        <v>1516.2799999999911</v>
      </c>
    </row>
    <row r="79" spans="1:9" ht="14.4">
      <c r="A79" s="316">
        <v>46084</v>
      </c>
      <c r="D79" s="8" t="s">
        <v>1339</v>
      </c>
      <c r="E79" s="209">
        <v>9000</v>
      </c>
      <c r="G79" s="39">
        <f t="shared" si="1"/>
        <v>10516.279999999992</v>
      </c>
    </row>
    <row r="80" spans="1:9" ht="14.4">
      <c r="A80" s="316">
        <v>46085</v>
      </c>
      <c r="D80" s="8" t="s">
        <v>1341</v>
      </c>
      <c r="E80" s="209"/>
      <c r="F80" s="209">
        <v>8878.5</v>
      </c>
      <c r="G80" s="39">
        <f t="shared" si="1"/>
        <v>1637.7799999999916</v>
      </c>
    </row>
    <row r="81" spans="1:9" ht="14.4">
      <c r="A81" s="316">
        <v>46087</v>
      </c>
      <c r="D81" s="291" t="s">
        <v>1014</v>
      </c>
      <c r="E81" s="209">
        <v>38600</v>
      </c>
      <c r="G81" s="39">
        <f t="shared" si="1"/>
        <v>40237.779999999992</v>
      </c>
    </row>
    <row r="82" spans="1:9" ht="14.4">
      <c r="A82" s="316">
        <v>46087</v>
      </c>
      <c r="D82" s="391" t="s">
        <v>909</v>
      </c>
      <c r="E82" s="209"/>
      <c r="F82" s="209">
        <v>11479.95</v>
      </c>
      <c r="G82" s="39">
        <f t="shared" si="1"/>
        <v>28757.829999999991</v>
      </c>
    </row>
    <row r="83" spans="1:9" ht="14.4">
      <c r="A83" s="316">
        <v>46087</v>
      </c>
      <c r="D83" s="391" t="s">
        <v>1015</v>
      </c>
      <c r="E83" s="209"/>
      <c r="F83" s="209">
        <v>9115.1</v>
      </c>
      <c r="G83" s="39">
        <f t="shared" si="1"/>
        <v>19642.729999999989</v>
      </c>
    </row>
    <row r="84" spans="1:9" ht="14.4">
      <c r="A84" s="316">
        <v>46087</v>
      </c>
      <c r="D84" s="391" t="s">
        <v>1016</v>
      </c>
      <c r="E84" s="209"/>
      <c r="F84" s="209">
        <v>15036.33</v>
      </c>
      <c r="G84" s="39">
        <f t="shared" si="1"/>
        <v>4606.3999999999887</v>
      </c>
    </row>
    <row r="85" spans="1:9" ht="14.4">
      <c r="A85" s="316">
        <v>46087</v>
      </c>
      <c r="D85" s="391" t="s">
        <v>1016</v>
      </c>
      <c r="E85" s="209"/>
      <c r="F85" s="209">
        <v>2874.77</v>
      </c>
      <c r="G85" s="39">
        <f t="shared" si="1"/>
        <v>1731.6299999999887</v>
      </c>
    </row>
    <row r="86" spans="1:9" ht="14.4">
      <c r="A86" s="316">
        <v>46087</v>
      </c>
      <c r="D86" s="391" t="s">
        <v>16</v>
      </c>
      <c r="F86" s="209">
        <v>2.25</v>
      </c>
      <c r="G86" s="39">
        <f t="shared" si="1"/>
        <v>1729.3799999999887</v>
      </c>
      <c r="I86" s="428"/>
    </row>
    <row r="87" spans="1:9" ht="14.4">
      <c r="A87" s="316">
        <v>46112</v>
      </c>
      <c r="D87" s="8" t="s">
        <v>905</v>
      </c>
      <c r="F87" s="209">
        <f>5.4+9.6</f>
        <v>15</v>
      </c>
      <c r="G87" s="39">
        <f t="shared" si="1"/>
        <v>1714.3799999999887</v>
      </c>
    </row>
    <row r="88" spans="1:9" s="14" customFormat="1" ht="14.4">
      <c r="A88" s="13">
        <v>46112</v>
      </c>
      <c r="G88" s="40">
        <f t="shared" si="1"/>
        <v>1714.3799999999887</v>
      </c>
    </row>
    <row r="89" spans="1:9" ht="14.4">
      <c r="A89" s="316">
        <v>46113</v>
      </c>
      <c r="G89" s="39">
        <f t="shared" si="1"/>
        <v>1714.3799999999887</v>
      </c>
    </row>
    <row r="90" spans="1:9" ht="14.4">
      <c r="A90" s="316">
        <v>46120</v>
      </c>
      <c r="D90" s="291" t="s">
        <v>1014</v>
      </c>
      <c r="E90" s="209">
        <v>38000</v>
      </c>
      <c r="G90" s="39">
        <f t="shared" si="1"/>
        <v>39714.37999999999</v>
      </c>
    </row>
    <row r="91" spans="1:9" ht="14.4">
      <c r="A91" s="316">
        <v>46121</v>
      </c>
      <c r="D91" s="391" t="s">
        <v>909</v>
      </c>
      <c r="F91" s="209">
        <f>'FLUJO CAJA ABRIL 2026 '!D73</f>
        <v>7612.45</v>
      </c>
      <c r="G91" s="39">
        <f t="shared" si="1"/>
        <v>32101.929999999989</v>
      </c>
    </row>
    <row r="92" spans="1:9" ht="14.4">
      <c r="A92" s="316">
        <v>46121</v>
      </c>
      <c r="D92" s="391" t="s">
        <v>1015</v>
      </c>
      <c r="F92" s="209">
        <f>'FLUJO CAJA ABRIL 2026 '!D74</f>
        <v>9435.94</v>
      </c>
      <c r="G92" s="39">
        <f t="shared" si="1"/>
        <v>22665.989999999991</v>
      </c>
    </row>
    <row r="93" spans="1:9" ht="14.4">
      <c r="A93" s="316">
        <v>46121</v>
      </c>
      <c r="D93" s="391" t="s">
        <v>1016</v>
      </c>
      <c r="F93" s="209">
        <f>'FLUJO CAJA ABRIL 2026 '!D75</f>
        <v>14526.21</v>
      </c>
      <c r="G93" s="39">
        <f t="shared" si="1"/>
        <v>8139.7799999999916</v>
      </c>
    </row>
    <row r="94" spans="1:9" ht="14.4">
      <c r="A94" s="316">
        <v>46121</v>
      </c>
      <c r="D94" s="391" t="s">
        <v>1016</v>
      </c>
      <c r="F94" s="209">
        <f>'FLUJO CAJA ABRIL 2026 '!D76</f>
        <v>5572.97</v>
      </c>
      <c r="G94" s="39">
        <f t="shared" si="1"/>
        <v>2566.8099999999913</v>
      </c>
    </row>
    <row r="95" spans="1:9" ht="14.4">
      <c r="F95" s="209">
        <v>1.75</v>
      </c>
      <c r="G95" s="39">
        <f t="shared" si="1"/>
        <v>2565.0599999999913</v>
      </c>
      <c r="I95" s="428"/>
    </row>
    <row r="96" spans="1:9" ht="14.4">
      <c r="G96" s="39">
        <f t="shared" si="1"/>
        <v>2565.0599999999913</v>
      </c>
    </row>
    <row r="97" spans="7:7" ht="14.4">
      <c r="G97" s="39">
        <f t="shared" si="1"/>
        <v>2565.0599999999913</v>
      </c>
    </row>
    <row r="98" spans="7:7" ht="14.4">
      <c r="G98" s="39">
        <f t="shared" si="1"/>
        <v>2565.0599999999913</v>
      </c>
    </row>
    <row r="99" spans="7:7" ht="14.4">
      <c r="G99" s="39">
        <f t="shared" si="1"/>
        <v>2565.0599999999913</v>
      </c>
    </row>
    <row r="100" spans="7:7" ht="14.4">
      <c r="G100" s="39">
        <f t="shared" si="1"/>
        <v>2565.0599999999913</v>
      </c>
    </row>
  </sheetData>
  <pageMargins left="0.7" right="0.7" top="0.75" bottom="0.75" header="0.3" footer="0.3"/>
  <pageSetup paperSize="2833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9E98-0277-45AD-ABC7-ED241157A62B}">
  <dimension ref="A2:J50"/>
  <sheetViews>
    <sheetView showGridLines="0" topLeftCell="A26" zoomScaleNormal="100" workbookViewId="0">
      <selection activeCell="G50" sqref="G50"/>
    </sheetView>
  </sheetViews>
  <sheetFormatPr baseColWidth="10" defaultColWidth="9.109375" defaultRowHeight="12"/>
  <cols>
    <col min="1" max="1" width="12.33203125" style="8" customWidth="1"/>
    <col min="2" max="2" width="3.109375" style="8" customWidth="1"/>
    <col min="3" max="3" width="2.6640625" style="8" customWidth="1"/>
    <col min="4" max="4" width="90.88671875" style="8" customWidth="1"/>
    <col min="5" max="5" width="19" style="8" customWidth="1"/>
    <col min="6" max="6" width="16.33203125" style="8" customWidth="1"/>
    <col min="7" max="7" width="16.88671875" style="8" bestFit="1" customWidth="1"/>
    <col min="8" max="8" width="12.44140625" style="8" bestFit="1" customWidth="1"/>
    <col min="9" max="9" width="17" style="8" customWidth="1"/>
    <col min="10" max="10" width="11.44140625" style="8" bestFit="1" customWidth="1"/>
    <col min="11" max="11" width="12" style="8" bestFit="1" customWidth="1"/>
    <col min="12" max="12" width="13.5546875" style="8" bestFit="1" customWidth="1"/>
    <col min="13" max="16384" width="9.109375" style="8"/>
  </cols>
  <sheetData>
    <row r="2" spans="1:10" ht="12.6">
      <c r="B2" s="1"/>
      <c r="C2" s="2"/>
      <c r="D2" s="3" t="s">
        <v>19</v>
      </c>
      <c r="E2" s="3"/>
      <c r="F2" s="3"/>
      <c r="G2" s="4"/>
      <c r="H2" s="4"/>
      <c r="I2" s="5"/>
    </row>
    <row r="3" spans="1:10" ht="12.6">
      <c r="B3" s="1"/>
      <c r="C3" s="2"/>
      <c r="D3" s="3"/>
      <c r="E3" s="3"/>
      <c r="F3" s="3"/>
      <c r="G3" s="4"/>
      <c r="H3" s="4"/>
      <c r="I3" s="5"/>
    </row>
    <row r="4" spans="1:10" ht="15" customHeight="1">
      <c r="A4" s="1" t="s">
        <v>0</v>
      </c>
      <c r="B4" s="1"/>
      <c r="C4" s="2"/>
      <c r="D4" s="412" t="s">
        <v>20</v>
      </c>
      <c r="E4" s="3" t="s">
        <v>1</v>
      </c>
      <c r="F4" s="3" t="s">
        <v>2</v>
      </c>
      <c r="G4" s="4" t="s">
        <v>3</v>
      </c>
      <c r="H4" s="21"/>
      <c r="I4" s="414"/>
    </row>
    <row r="5" spans="1:10" ht="12.6">
      <c r="A5" s="316">
        <v>45901</v>
      </c>
      <c r="E5" s="12"/>
      <c r="F5" s="12"/>
      <c r="G5" s="23">
        <v>0</v>
      </c>
      <c r="H5" s="6"/>
      <c r="I5" s="7"/>
    </row>
    <row r="6" spans="1:10" ht="12.6">
      <c r="A6" s="316">
        <v>45925</v>
      </c>
      <c r="D6" s="317" t="s">
        <v>915</v>
      </c>
      <c r="E6" s="9">
        <v>500</v>
      </c>
      <c r="F6" s="26"/>
      <c r="G6" s="27">
        <f t="shared" ref="G6:G50" si="0">G5+E6-F6</f>
        <v>500</v>
      </c>
      <c r="H6" s="16"/>
      <c r="I6" s="15"/>
    </row>
    <row r="7" spans="1:10" ht="12.6">
      <c r="A7" s="316">
        <v>45930</v>
      </c>
      <c r="D7" s="8" t="s">
        <v>916</v>
      </c>
      <c r="E7" s="9"/>
      <c r="F7" s="26">
        <v>5.4</v>
      </c>
      <c r="G7" s="27">
        <f t="shared" si="0"/>
        <v>494.6</v>
      </c>
      <c r="H7" s="16"/>
      <c r="I7" s="15"/>
    </row>
    <row r="8" spans="1:10" ht="12.6">
      <c r="A8" s="13">
        <v>45930</v>
      </c>
      <c r="B8" s="14"/>
      <c r="C8" s="14"/>
      <c r="D8" s="14"/>
      <c r="E8" s="18"/>
      <c r="F8" s="29"/>
      <c r="G8" s="30">
        <f t="shared" si="0"/>
        <v>494.6</v>
      </c>
    </row>
    <row r="9" spans="1:10" ht="12.6">
      <c r="A9" s="316">
        <v>45931</v>
      </c>
      <c r="E9" s="9"/>
      <c r="F9" s="28"/>
      <c r="G9" s="27">
        <f t="shared" si="0"/>
        <v>494.6</v>
      </c>
    </row>
    <row r="10" spans="1:10" ht="12.6">
      <c r="A10" s="316">
        <v>45961</v>
      </c>
      <c r="D10" s="8" t="s">
        <v>916</v>
      </c>
      <c r="E10" s="9"/>
      <c r="F10" s="26">
        <v>5.4</v>
      </c>
      <c r="G10" s="27">
        <f t="shared" si="0"/>
        <v>489.20000000000005</v>
      </c>
    </row>
    <row r="11" spans="1:10" ht="12.6">
      <c r="A11" s="13">
        <v>45961</v>
      </c>
      <c r="B11" s="14"/>
      <c r="C11" s="14"/>
      <c r="D11" s="14"/>
      <c r="E11" s="66"/>
      <c r="F11" s="66"/>
      <c r="G11" s="30">
        <f t="shared" si="0"/>
        <v>489.20000000000005</v>
      </c>
    </row>
    <row r="12" spans="1:10" ht="12.6">
      <c r="A12" s="316">
        <v>45962</v>
      </c>
      <c r="E12" s="26"/>
      <c r="F12" s="26"/>
      <c r="G12" s="27">
        <f t="shared" si="0"/>
        <v>489.20000000000005</v>
      </c>
    </row>
    <row r="13" spans="1:10" ht="12.6">
      <c r="A13" s="316">
        <v>45610</v>
      </c>
      <c r="D13" s="8" t="s">
        <v>917</v>
      </c>
      <c r="E13" s="26">
        <v>1602.78</v>
      </c>
      <c r="F13" s="26"/>
      <c r="G13" s="31">
        <f t="shared" si="0"/>
        <v>2091.98</v>
      </c>
      <c r="J13" s="415"/>
    </row>
    <row r="14" spans="1:10" ht="14.4">
      <c r="A14" s="316">
        <v>45610</v>
      </c>
      <c r="D14" s="8" t="s">
        <v>918</v>
      </c>
      <c r="E14" s="416"/>
      <c r="F14" s="26">
        <v>1602.78</v>
      </c>
      <c r="G14" s="31">
        <f t="shared" si="0"/>
        <v>489.20000000000005</v>
      </c>
    </row>
    <row r="15" spans="1:10" ht="12.6">
      <c r="A15" s="316">
        <v>45610</v>
      </c>
      <c r="D15" s="8" t="s">
        <v>16</v>
      </c>
      <c r="E15" s="26"/>
      <c r="F15" s="26">
        <v>0.05</v>
      </c>
      <c r="G15" s="31">
        <f t="shared" si="0"/>
        <v>489.15000000000003</v>
      </c>
      <c r="I15" s="11"/>
      <c r="J15" s="11"/>
    </row>
    <row r="16" spans="1:10" ht="12.6">
      <c r="A16" s="316">
        <v>45622</v>
      </c>
      <c r="D16" s="8" t="s">
        <v>916</v>
      </c>
      <c r="E16" s="26"/>
      <c r="F16" s="26">
        <v>5.4</v>
      </c>
      <c r="G16" s="31">
        <f t="shared" si="0"/>
        <v>483.75000000000006</v>
      </c>
      <c r="I16" s="11"/>
      <c r="J16" s="11"/>
    </row>
    <row r="17" spans="1:10" ht="12.6">
      <c r="A17" s="13">
        <v>45991</v>
      </c>
      <c r="B17" s="14"/>
      <c r="C17" s="14"/>
      <c r="D17" s="14"/>
      <c r="E17" s="66"/>
      <c r="F17" s="66"/>
      <c r="G17" s="30">
        <f t="shared" si="0"/>
        <v>483.75000000000006</v>
      </c>
    </row>
    <row r="18" spans="1:10" ht="12.6">
      <c r="A18" s="316">
        <v>45992</v>
      </c>
      <c r="E18" s="26"/>
      <c r="F18" s="26"/>
      <c r="G18" s="31">
        <f t="shared" si="0"/>
        <v>483.75000000000006</v>
      </c>
      <c r="I18" s="11"/>
      <c r="J18" s="11"/>
    </row>
    <row r="19" spans="1:10" ht="12.6">
      <c r="A19" s="316">
        <v>46007</v>
      </c>
      <c r="D19" s="391" t="s">
        <v>1058</v>
      </c>
      <c r="E19" s="26"/>
      <c r="F19" s="26">
        <v>450</v>
      </c>
      <c r="G19" s="31">
        <f t="shared" si="0"/>
        <v>33.750000000000057</v>
      </c>
      <c r="I19" s="11"/>
      <c r="J19" s="11"/>
    </row>
    <row r="20" spans="1:10" ht="12.6">
      <c r="A20" s="316">
        <v>46007</v>
      </c>
      <c r="D20" s="391" t="s">
        <v>1055</v>
      </c>
      <c r="E20" s="26"/>
      <c r="F20" s="26">
        <v>2.0099999999999998</v>
      </c>
      <c r="G20" s="31">
        <f t="shared" si="0"/>
        <v>31.740000000000059</v>
      </c>
    </row>
    <row r="21" spans="1:10" ht="12.6">
      <c r="A21" s="316">
        <v>46022</v>
      </c>
      <c r="D21" s="8" t="s">
        <v>916</v>
      </c>
      <c r="E21" s="26"/>
      <c r="F21" s="26">
        <v>5.4</v>
      </c>
      <c r="G21" s="31">
        <f t="shared" si="0"/>
        <v>26.34000000000006</v>
      </c>
    </row>
    <row r="22" spans="1:10" ht="12.6">
      <c r="A22" s="13">
        <v>46022</v>
      </c>
      <c r="B22" s="14"/>
      <c r="C22" s="14"/>
      <c r="D22" s="14"/>
      <c r="E22" s="66"/>
      <c r="F22" s="66"/>
      <c r="G22" s="30">
        <f t="shared" si="0"/>
        <v>26.34000000000006</v>
      </c>
    </row>
    <row r="23" spans="1:10" ht="12.6">
      <c r="A23" s="316">
        <v>46023</v>
      </c>
      <c r="D23" s="8" t="s">
        <v>916</v>
      </c>
      <c r="E23" s="413"/>
      <c r="F23" s="26">
        <v>5.4</v>
      </c>
      <c r="G23" s="27">
        <f t="shared" si="0"/>
        <v>20.940000000000062</v>
      </c>
    </row>
    <row r="24" spans="1:10" ht="12.6">
      <c r="A24" s="13">
        <v>46053</v>
      </c>
      <c r="B24" s="14"/>
      <c r="C24" s="14"/>
      <c r="D24" s="14"/>
      <c r="E24" s="14"/>
      <c r="F24" s="14"/>
      <c r="G24" s="30">
        <f t="shared" si="0"/>
        <v>20.940000000000062</v>
      </c>
    </row>
    <row r="25" spans="1:10" ht="12.6">
      <c r="A25" s="316">
        <v>46080</v>
      </c>
      <c r="D25" s="8" t="s">
        <v>916</v>
      </c>
      <c r="F25" s="26">
        <v>5.4</v>
      </c>
      <c r="G25" s="27">
        <f t="shared" si="0"/>
        <v>15.540000000000061</v>
      </c>
    </row>
    <row r="26" spans="1:10" ht="12.6">
      <c r="A26" s="13">
        <v>46081</v>
      </c>
      <c r="B26" s="14"/>
      <c r="C26" s="14"/>
      <c r="D26" s="14"/>
      <c r="E26" s="14"/>
      <c r="F26" s="14"/>
      <c r="G26" s="30">
        <f t="shared" si="0"/>
        <v>15.540000000000061</v>
      </c>
    </row>
    <row r="27" spans="1:10" ht="12.6">
      <c r="A27" s="316">
        <v>46112</v>
      </c>
      <c r="D27" s="8" t="s">
        <v>916</v>
      </c>
      <c r="F27" s="26">
        <v>5.4</v>
      </c>
      <c r="G27" s="27">
        <f t="shared" si="0"/>
        <v>10.140000000000061</v>
      </c>
    </row>
    <row r="28" spans="1:10" ht="12.6">
      <c r="A28" s="13">
        <v>46112</v>
      </c>
      <c r="B28" s="14"/>
      <c r="C28" s="14"/>
      <c r="D28" s="14"/>
      <c r="E28" s="14"/>
      <c r="F28" s="14"/>
      <c r="G28" s="30">
        <f t="shared" si="0"/>
        <v>10.140000000000061</v>
      </c>
    </row>
    <row r="29" spans="1:10" ht="12.6">
      <c r="G29" s="27">
        <f t="shared" si="0"/>
        <v>10.140000000000061</v>
      </c>
    </row>
    <row r="30" spans="1:10" ht="12.6">
      <c r="G30" s="27">
        <f t="shared" si="0"/>
        <v>10.140000000000061</v>
      </c>
    </row>
    <row r="31" spans="1:10" ht="12.6">
      <c r="G31" s="27">
        <f t="shared" si="0"/>
        <v>10.140000000000061</v>
      </c>
    </row>
    <row r="32" spans="1:10" ht="12.6">
      <c r="G32" s="27">
        <f t="shared" si="0"/>
        <v>10.140000000000061</v>
      </c>
    </row>
    <row r="33" spans="7:7" ht="12.6">
      <c r="G33" s="27">
        <f t="shared" si="0"/>
        <v>10.140000000000061</v>
      </c>
    </row>
    <row r="34" spans="7:7" ht="12.6">
      <c r="G34" s="27">
        <f t="shared" si="0"/>
        <v>10.140000000000061</v>
      </c>
    </row>
    <row r="35" spans="7:7" ht="12.6">
      <c r="G35" s="27">
        <f t="shared" si="0"/>
        <v>10.140000000000061</v>
      </c>
    </row>
    <row r="36" spans="7:7" ht="12.6">
      <c r="G36" s="27">
        <f t="shared" si="0"/>
        <v>10.140000000000061</v>
      </c>
    </row>
    <row r="37" spans="7:7" ht="12.6">
      <c r="G37" s="27">
        <f t="shared" si="0"/>
        <v>10.140000000000061</v>
      </c>
    </row>
    <row r="38" spans="7:7" ht="12.6">
      <c r="G38" s="27">
        <f t="shared" si="0"/>
        <v>10.140000000000061</v>
      </c>
    </row>
    <row r="39" spans="7:7" ht="12.6">
      <c r="G39" s="27">
        <f t="shared" si="0"/>
        <v>10.140000000000061</v>
      </c>
    </row>
    <row r="40" spans="7:7" ht="12.6">
      <c r="G40" s="27">
        <f t="shared" si="0"/>
        <v>10.140000000000061</v>
      </c>
    </row>
    <row r="41" spans="7:7" ht="12.6">
      <c r="G41" s="27">
        <f t="shared" si="0"/>
        <v>10.140000000000061</v>
      </c>
    </row>
    <row r="42" spans="7:7" ht="12.6">
      <c r="G42" s="27">
        <f t="shared" si="0"/>
        <v>10.140000000000061</v>
      </c>
    </row>
    <row r="43" spans="7:7" ht="12.6">
      <c r="G43" s="27">
        <f t="shared" si="0"/>
        <v>10.140000000000061</v>
      </c>
    </row>
    <row r="44" spans="7:7" ht="12.6">
      <c r="G44" s="27">
        <f t="shared" si="0"/>
        <v>10.140000000000061</v>
      </c>
    </row>
    <row r="45" spans="7:7" ht="12.6">
      <c r="G45" s="27">
        <f t="shared" si="0"/>
        <v>10.140000000000061</v>
      </c>
    </row>
    <row r="46" spans="7:7" ht="12.6">
      <c r="G46" s="27">
        <f t="shared" si="0"/>
        <v>10.140000000000061</v>
      </c>
    </row>
    <row r="47" spans="7:7" ht="12.6">
      <c r="G47" s="27">
        <f t="shared" si="0"/>
        <v>10.140000000000061</v>
      </c>
    </row>
    <row r="48" spans="7:7" ht="12.6">
      <c r="G48" s="27">
        <f t="shared" si="0"/>
        <v>10.140000000000061</v>
      </c>
    </row>
    <row r="49" spans="7:7" ht="12.6">
      <c r="G49" s="27">
        <f t="shared" si="0"/>
        <v>10.140000000000061</v>
      </c>
    </row>
    <row r="50" spans="7:7" ht="12.6">
      <c r="G50" s="27">
        <f t="shared" si="0"/>
        <v>10.140000000000061</v>
      </c>
    </row>
  </sheetData>
  <pageMargins left="0.7" right="0.7" top="0.75" bottom="0.75" header="0.3" footer="0.3"/>
  <pageSetup paperSize="2833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FB77-FA3C-4164-8F21-B310BA65A77B}">
  <sheetPr codeName="Hoja2"/>
  <dimension ref="A2:N1200"/>
  <sheetViews>
    <sheetView showGridLines="0" topLeftCell="A1058" zoomScaleNormal="100" workbookViewId="0">
      <selection activeCell="G1069" sqref="G1069"/>
    </sheetView>
  </sheetViews>
  <sheetFormatPr baseColWidth="10" defaultColWidth="9.109375" defaultRowHeight="12"/>
  <cols>
    <col min="1" max="1" width="12.33203125" style="8" customWidth="1"/>
    <col min="2" max="2" width="3.109375" style="8" customWidth="1"/>
    <col min="3" max="3" width="2.6640625" style="8" customWidth="1"/>
    <col min="4" max="4" width="89" style="8" customWidth="1"/>
    <col min="5" max="5" width="19" style="8" customWidth="1"/>
    <col min="6" max="6" width="16.33203125" style="8" customWidth="1"/>
    <col min="7" max="7" width="16.88671875" style="8" bestFit="1" customWidth="1"/>
    <col min="8" max="8" width="15.109375" style="11" customWidth="1"/>
    <col min="9" max="9" width="12.44140625" style="11" bestFit="1" customWidth="1"/>
    <col min="10" max="10" width="14.33203125" style="11" customWidth="1"/>
    <col min="11" max="11" width="11.44140625" style="11" bestFit="1" customWidth="1"/>
    <col min="12" max="12" width="9.109375" style="11"/>
    <col min="13" max="13" width="10.5546875" style="11" bestFit="1" customWidth="1"/>
    <col min="14" max="16384" width="9.109375" style="11"/>
  </cols>
  <sheetData>
    <row r="2" spans="1:7" ht="12.6">
      <c r="D2" s="3" t="s">
        <v>7</v>
      </c>
    </row>
    <row r="4" spans="1:7" ht="12.6">
      <c r="A4" s="1" t="s">
        <v>0</v>
      </c>
      <c r="B4" s="1"/>
      <c r="C4" s="2"/>
      <c r="D4" s="22" t="s">
        <v>20</v>
      </c>
      <c r="E4" s="3" t="s">
        <v>1</v>
      </c>
      <c r="F4" s="3" t="s">
        <v>2</v>
      </c>
      <c r="G4" s="4" t="s">
        <v>3</v>
      </c>
    </row>
    <row r="5" spans="1:7" ht="12.75" customHeight="1">
      <c r="A5" s="10">
        <v>45536</v>
      </c>
      <c r="E5" s="9"/>
      <c r="F5" s="9"/>
      <c r="G5" s="15"/>
    </row>
    <row r="6" spans="1:7" ht="14.4">
      <c r="A6" s="10">
        <v>45558</v>
      </c>
      <c r="D6" s="24" t="s">
        <v>8</v>
      </c>
      <c r="E6" s="39">
        <v>500</v>
      </c>
      <c r="F6" s="39"/>
      <c r="G6" s="39">
        <f t="shared" ref="G6:G69" si="0">G5+E6-F6</f>
        <v>500</v>
      </c>
    </row>
    <row r="7" spans="1:7" ht="14.4">
      <c r="A7" s="10">
        <v>45548</v>
      </c>
      <c r="D7" s="24" t="s">
        <v>9</v>
      </c>
      <c r="E7" s="39"/>
      <c r="F7" s="39">
        <v>25</v>
      </c>
      <c r="G7" s="39">
        <f t="shared" si="0"/>
        <v>475</v>
      </c>
    </row>
    <row r="8" spans="1:7" ht="14.4">
      <c r="A8" s="10">
        <v>45562</v>
      </c>
      <c r="D8" s="11" t="s">
        <v>10</v>
      </c>
      <c r="E8" s="39"/>
      <c r="F8" s="39">
        <v>5.5</v>
      </c>
      <c r="G8" s="39">
        <f t="shared" si="0"/>
        <v>469.5</v>
      </c>
    </row>
    <row r="9" spans="1:7" ht="14.4">
      <c r="A9" s="10">
        <v>45562</v>
      </c>
      <c r="D9" s="11" t="s">
        <v>11</v>
      </c>
      <c r="E9" s="39"/>
      <c r="F9" s="39">
        <v>35</v>
      </c>
      <c r="G9" s="39">
        <f t="shared" si="0"/>
        <v>434.5</v>
      </c>
    </row>
    <row r="10" spans="1:7" ht="15" customHeight="1">
      <c r="A10" s="10">
        <v>45562</v>
      </c>
      <c r="D10" s="8" t="s">
        <v>489</v>
      </c>
      <c r="E10" s="39"/>
      <c r="F10" s="39"/>
      <c r="G10" s="39">
        <f t="shared" si="0"/>
        <v>434.5</v>
      </c>
    </row>
    <row r="11" spans="1:7" ht="14.4">
      <c r="A11" s="13">
        <v>45565</v>
      </c>
      <c r="B11" s="14"/>
      <c r="C11" s="14"/>
      <c r="D11" s="14" t="s">
        <v>138</v>
      </c>
      <c r="E11" s="40"/>
      <c r="F11" s="40"/>
      <c r="G11" s="40">
        <f t="shared" si="0"/>
        <v>434.5</v>
      </c>
    </row>
    <row r="12" spans="1:7" ht="14.4">
      <c r="A12" s="10">
        <v>45566</v>
      </c>
      <c r="D12" s="8" t="s">
        <v>488</v>
      </c>
      <c r="E12" s="39"/>
      <c r="F12" s="39"/>
      <c r="G12" s="39">
        <f t="shared" si="0"/>
        <v>434.5</v>
      </c>
    </row>
    <row r="13" spans="1:7" ht="14.4">
      <c r="A13" s="10">
        <v>45575</v>
      </c>
      <c r="D13" s="24" t="s">
        <v>12</v>
      </c>
      <c r="E13" s="39"/>
      <c r="F13" s="39">
        <v>10</v>
      </c>
      <c r="G13" s="39">
        <f t="shared" si="0"/>
        <v>424.5</v>
      </c>
    </row>
    <row r="14" spans="1:7" ht="14.4">
      <c r="A14" s="10">
        <v>45596</v>
      </c>
      <c r="D14" s="11" t="s">
        <v>10</v>
      </c>
      <c r="E14" s="39"/>
      <c r="F14" s="39">
        <v>5.5</v>
      </c>
      <c r="G14" s="39">
        <f t="shared" si="0"/>
        <v>419</v>
      </c>
    </row>
    <row r="15" spans="1:7" ht="14.4">
      <c r="A15" s="10">
        <v>45596</v>
      </c>
      <c r="D15" s="11" t="s">
        <v>11</v>
      </c>
      <c r="E15" s="39"/>
      <c r="F15" s="39">
        <v>35</v>
      </c>
      <c r="G15" s="39">
        <f t="shared" si="0"/>
        <v>384</v>
      </c>
    </row>
    <row r="16" spans="1:7" ht="14.4">
      <c r="A16" s="13">
        <v>45596</v>
      </c>
      <c r="B16" s="14"/>
      <c r="C16" s="14"/>
      <c r="D16" s="14" t="s">
        <v>138</v>
      </c>
      <c r="E16" s="40"/>
      <c r="F16" s="40"/>
      <c r="G16" s="40">
        <f t="shared" si="0"/>
        <v>384</v>
      </c>
    </row>
    <row r="17" spans="1:7" ht="14.4">
      <c r="A17" s="10">
        <v>45597</v>
      </c>
      <c r="D17" s="8" t="s">
        <v>488</v>
      </c>
      <c r="E17" s="209"/>
      <c r="F17" s="209"/>
      <c r="G17" s="39">
        <f t="shared" si="0"/>
        <v>384</v>
      </c>
    </row>
    <row r="18" spans="1:7" ht="14.4">
      <c r="A18" s="10">
        <v>45611</v>
      </c>
      <c r="D18" s="24" t="s">
        <v>12</v>
      </c>
      <c r="E18" s="209"/>
      <c r="F18" s="209">
        <v>10</v>
      </c>
      <c r="G18" s="39">
        <f t="shared" si="0"/>
        <v>374</v>
      </c>
    </row>
    <row r="19" spans="1:7" ht="14.4">
      <c r="A19" s="10">
        <v>45623</v>
      </c>
      <c r="D19" s="11" t="s">
        <v>17</v>
      </c>
      <c r="E19" s="209">
        <v>300</v>
      </c>
      <c r="F19" s="209"/>
      <c r="G19" s="39">
        <f t="shared" si="0"/>
        <v>674</v>
      </c>
    </row>
    <row r="20" spans="1:7" ht="14.4">
      <c r="A20" s="10">
        <v>45623</v>
      </c>
      <c r="D20" s="11" t="s">
        <v>13</v>
      </c>
      <c r="E20" s="209"/>
      <c r="F20" s="209">
        <v>629.51</v>
      </c>
      <c r="G20" s="39">
        <f t="shared" si="0"/>
        <v>44.490000000000009</v>
      </c>
    </row>
    <row r="21" spans="1:7" ht="14.4">
      <c r="A21" s="10">
        <v>45624</v>
      </c>
      <c r="D21" s="11" t="s">
        <v>14</v>
      </c>
      <c r="E21" s="209">
        <v>6600</v>
      </c>
      <c r="F21" s="209"/>
      <c r="G21" s="39">
        <f t="shared" si="0"/>
        <v>6644.49</v>
      </c>
    </row>
    <row r="22" spans="1:7" ht="14.4">
      <c r="A22" s="10">
        <v>45624</v>
      </c>
      <c r="D22" s="11" t="s">
        <v>97</v>
      </c>
      <c r="E22" s="209"/>
      <c r="F22" s="209">
        <v>6536.4</v>
      </c>
      <c r="G22" s="39">
        <f t="shared" si="0"/>
        <v>108.09000000000015</v>
      </c>
    </row>
    <row r="23" spans="1:7" ht="14.4">
      <c r="A23" s="10">
        <v>45624</v>
      </c>
      <c r="D23" s="11" t="s">
        <v>15</v>
      </c>
      <c r="E23" s="209"/>
      <c r="F23" s="209">
        <v>4.8</v>
      </c>
      <c r="G23" s="39">
        <f t="shared" si="0"/>
        <v>103.29000000000015</v>
      </c>
    </row>
    <row r="24" spans="1:7" ht="14.4">
      <c r="A24" s="10">
        <v>45624</v>
      </c>
      <c r="D24" s="11" t="s">
        <v>16</v>
      </c>
      <c r="E24" s="209"/>
      <c r="F24" s="209">
        <v>0.3</v>
      </c>
      <c r="G24" s="39">
        <f t="shared" si="0"/>
        <v>102.99000000000015</v>
      </c>
    </row>
    <row r="25" spans="1:7" ht="14.4">
      <c r="A25" s="10">
        <v>45626</v>
      </c>
      <c r="D25" s="11" t="s">
        <v>10</v>
      </c>
      <c r="E25" s="209"/>
      <c r="F25" s="209">
        <v>5.5</v>
      </c>
      <c r="G25" s="39">
        <f t="shared" si="0"/>
        <v>97.490000000000151</v>
      </c>
    </row>
    <row r="26" spans="1:7" ht="14.4">
      <c r="A26" s="10">
        <v>45626</v>
      </c>
      <c r="D26" s="11" t="s">
        <v>11</v>
      </c>
      <c r="E26" s="209"/>
      <c r="F26" s="209">
        <v>35</v>
      </c>
      <c r="G26" s="39">
        <f t="shared" si="0"/>
        <v>62.490000000000151</v>
      </c>
    </row>
    <row r="27" spans="1:7" ht="14.4">
      <c r="A27" s="13">
        <v>45626</v>
      </c>
      <c r="B27" s="14"/>
      <c r="C27" s="14"/>
      <c r="D27" s="14" t="s">
        <v>138</v>
      </c>
      <c r="E27" s="40"/>
      <c r="F27" s="40"/>
      <c r="G27" s="40">
        <f t="shared" si="0"/>
        <v>62.490000000000151</v>
      </c>
    </row>
    <row r="28" spans="1:7" ht="14.4">
      <c r="A28" s="10">
        <v>45627</v>
      </c>
      <c r="D28" s="8" t="s">
        <v>488</v>
      </c>
      <c r="E28" s="209"/>
      <c r="F28" s="209"/>
      <c r="G28" s="39">
        <f t="shared" si="0"/>
        <v>62.490000000000151</v>
      </c>
    </row>
    <row r="29" spans="1:7" ht="14.4">
      <c r="A29" s="10">
        <v>45637</v>
      </c>
      <c r="D29" s="11" t="s">
        <v>18</v>
      </c>
      <c r="E29" s="209">
        <v>3000</v>
      </c>
      <c r="F29" s="209"/>
      <c r="G29" s="39">
        <f t="shared" si="0"/>
        <v>3062.4900000000002</v>
      </c>
    </row>
    <row r="30" spans="1:7" ht="14.4">
      <c r="A30" s="10">
        <v>45637</v>
      </c>
      <c r="D30" s="11" t="s">
        <v>40</v>
      </c>
      <c r="E30" s="209">
        <v>1239.32</v>
      </c>
      <c r="F30" s="209"/>
      <c r="G30" s="39">
        <f t="shared" si="0"/>
        <v>4301.8100000000004</v>
      </c>
    </row>
    <row r="31" spans="1:7" ht="14.4">
      <c r="A31" s="10">
        <v>45637</v>
      </c>
      <c r="D31" s="11" t="s">
        <v>40</v>
      </c>
      <c r="E31" s="209">
        <v>3323.19</v>
      </c>
      <c r="F31" s="209"/>
      <c r="G31" s="39">
        <f t="shared" si="0"/>
        <v>7625</v>
      </c>
    </row>
    <row r="32" spans="1:7" ht="14.4">
      <c r="A32" s="10">
        <v>45638</v>
      </c>
      <c r="D32" s="11" t="s">
        <v>42</v>
      </c>
      <c r="E32" s="209"/>
      <c r="F32" s="209">
        <v>914.43</v>
      </c>
      <c r="G32" s="39">
        <f t="shared" si="0"/>
        <v>6710.57</v>
      </c>
    </row>
    <row r="33" spans="1:9" ht="14.4">
      <c r="A33" s="10">
        <v>45638</v>
      </c>
      <c r="D33" s="11" t="s">
        <v>98</v>
      </c>
      <c r="E33" s="209"/>
      <c r="F33" s="209">
        <v>3270</v>
      </c>
      <c r="G33" s="39">
        <f t="shared" si="0"/>
        <v>3440.5699999999997</v>
      </c>
    </row>
    <row r="34" spans="1:9" ht="14.4">
      <c r="A34" s="10">
        <v>45638</v>
      </c>
      <c r="D34" s="11" t="s">
        <v>95</v>
      </c>
      <c r="E34" s="209"/>
      <c r="F34" s="209">
        <v>4.3</v>
      </c>
      <c r="G34" s="39">
        <f t="shared" si="0"/>
        <v>3436.2699999999995</v>
      </c>
    </row>
    <row r="35" spans="1:9" ht="14.4">
      <c r="A35" s="10">
        <v>45642</v>
      </c>
      <c r="D35" s="11" t="s">
        <v>62</v>
      </c>
      <c r="E35" s="209">
        <v>22167.95</v>
      </c>
      <c r="F35" s="209"/>
      <c r="G35" s="39">
        <f t="shared" si="0"/>
        <v>25604.22</v>
      </c>
    </row>
    <row r="36" spans="1:9" ht="14.4">
      <c r="A36" s="10">
        <v>45642</v>
      </c>
      <c r="D36" s="11" t="s">
        <v>62</v>
      </c>
      <c r="E36" s="209">
        <v>113.76</v>
      </c>
      <c r="F36" s="209"/>
      <c r="G36" s="39">
        <f t="shared" si="0"/>
        <v>25717.98</v>
      </c>
    </row>
    <row r="37" spans="1:9" ht="14.4">
      <c r="A37" s="10">
        <v>45642</v>
      </c>
      <c r="D37" s="11" t="s">
        <v>99</v>
      </c>
      <c r="E37" s="209">
        <v>3270</v>
      </c>
      <c r="F37" s="209"/>
      <c r="G37" s="39">
        <f t="shared" si="0"/>
        <v>28987.98</v>
      </c>
      <c r="H37" s="39"/>
      <c r="I37" s="63"/>
    </row>
    <row r="38" spans="1:9" ht="14.4">
      <c r="A38" s="10">
        <v>45642</v>
      </c>
      <c r="D38" s="11" t="s">
        <v>16</v>
      </c>
      <c r="E38" s="209"/>
      <c r="F38" s="209">
        <v>0.15</v>
      </c>
      <c r="G38" s="39">
        <f t="shared" si="0"/>
        <v>28987.829999999998</v>
      </c>
      <c r="H38" s="39"/>
      <c r="I38" s="63"/>
    </row>
    <row r="39" spans="1:9" ht="14.4">
      <c r="A39" s="10">
        <v>45642</v>
      </c>
      <c r="D39" s="11" t="s">
        <v>66</v>
      </c>
      <c r="E39" s="209"/>
      <c r="F39" s="209">
        <v>10</v>
      </c>
      <c r="G39" s="39">
        <f t="shared" si="0"/>
        <v>28977.829999999998</v>
      </c>
    </row>
    <row r="40" spans="1:9" ht="14.4">
      <c r="A40" s="10">
        <v>45643</v>
      </c>
      <c r="D40" s="11" t="s">
        <v>67</v>
      </c>
      <c r="E40" s="209"/>
      <c r="F40" s="209">
        <v>702</v>
      </c>
      <c r="G40" s="39">
        <f t="shared" si="0"/>
        <v>28275.829999999998</v>
      </c>
    </row>
    <row r="41" spans="1:9" ht="14.4">
      <c r="A41" s="10">
        <v>45646</v>
      </c>
      <c r="D41" s="11" t="s">
        <v>98</v>
      </c>
      <c r="E41" s="209"/>
      <c r="F41" s="209">
        <v>3270</v>
      </c>
      <c r="G41" s="39">
        <f t="shared" si="0"/>
        <v>25005.829999999998</v>
      </c>
    </row>
    <row r="42" spans="1:9" ht="14.4">
      <c r="A42" s="10">
        <v>45646</v>
      </c>
      <c r="D42" s="11" t="s">
        <v>95</v>
      </c>
      <c r="E42" s="209"/>
      <c r="F42" s="209">
        <v>4.8</v>
      </c>
      <c r="G42" s="39">
        <f t="shared" si="0"/>
        <v>25001.03</v>
      </c>
    </row>
    <row r="43" spans="1:9" ht="14.4">
      <c r="A43" s="10">
        <v>45646</v>
      </c>
      <c r="D43" s="11" t="s">
        <v>16</v>
      </c>
      <c r="E43" s="209"/>
      <c r="F43" s="209">
        <v>0.15</v>
      </c>
      <c r="G43" s="39">
        <f t="shared" si="0"/>
        <v>25000.879999999997</v>
      </c>
      <c r="I43" s="63"/>
    </row>
    <row r="44" spans="1:9" ht="14.4">
      <c r="A44" s="10">
        <v>45653</v>
      </c>
      <c r="D44" s="11" t="s">
        <v>100</v>
      </c>
      <c r="E44" s="9"/>
      <c r="F44" s="209">
        <v>15995.74</v>
      </c>
      <c r="G44" s="39">
        <f t="shared" si="0"/>
        <v>9005.1399999999976</v>
      </c>
    </row>
    <row r="45" spans="1:9" ht="14.4">
      <c r="A45" s="10">
        <v>45653</v>
      </c>
      <c r="D45" s="11" t="s">
        <v>95</v>
      </c>
      <c r="E45" s="209"/>
      <c r="F45" s="209">
        <f>4.8+0.65</f>
        <v>5.45</v>
      </c>
      <c r="G45" s="39">
        <f t="shared" si="0"/>
        <v>8999.6899999999969</v>
      </c>
    </row>
    <row r="46" spans="1:9" ht="14.4">
      <c r="A46" s="10">
        <v>45653</v>
      </c>
      <c r="D46" s="11" t="s">
        <v>16</v>
      </c>
      <c r="E46" s="209"/>
      <c r="F46" s="209">
        <v>0.15</v>
      </c>
      <c r="G46" s="39">
        <f t="shared" si="0"/>
        <v>8999.5399999999972</v>
      </c>
    </row>
    <row r="47" spans="1:9" ht="14.4">
      <c r="A47" s="10">
        <v>45657</v>
      </c>
      <c r="D47" s="11" t="s">
        <v>10</v>
      </c>
      <c r="E47" s="209"/>
      <c r="F47" s="209">
        <v>5.5</v>
      </c>
      <c r="G47" s="39">
        <f t="shared" si="0"/>
        <v>8994.0399999999972</v>
      </c>
      <c r="I47" s="63"/>
    </row>
    <row r="48" spans="1:9" ht="14.4">
      <c r="A48" s="10">
        <v>45657</v>
      </c>
      <c r="D48" s="11" t="s">
        <v>11</v>
      </c>
      <c r="E48" s="209"/>
      <c r="F48" s="209">
        <v>35</v>
      </c>
      <c r="G48" s="39">
        <f t="shared" si="0"/>
        <v>8959.0399999999972</v>
      </c>
    </row>
    <row r="49" spans="1:9" s="14" customFormat="1" ht="14.4">
      <c r="A49" s="13">
        <v>45657</v>
      </c>
      <c r="D49" s="14" t="s">
        <v>138</v>
      </c>
      <c r="E49" s="18"/>
      <c r="F49" s="40"/>
      <c r="G49" s="40">
        <f t="shared" si="0"/>
        <v>8959.0399999999972</v>
      </c>
    </row>
    <row r="50" spans="1:9" ht="14.4">
      <c r="A50" s="10">
        <v>45658</v>
      </c>
      <c r="D50" s="8" t="s">
        <v>488</v>
      </c>
      <c r="E50" s="9"/>
      <c r="F50" s="209"/>
      <c r="G50" s="39">
        <f t="shared" si="0"/>
        <v>8959.0399999999972</v>
      </c>
    </row>
    <row r="51" spans="1:9" ht="14.4">
      <c r="A51" s="10">
        <v>45665</v>
      </c>
      <c r="D51" s="11" t="s">
        <v>79</v>
      </c>
      <c r="E51" s="9"/>
      <c r="F51" s="209">
        <v>2004.26</v>
      </c>
      <c r="G51" s="39">
        <f t="shared" si="0"/>
        <v>6954.779999999997</v>
      </c>
      <c r="H51" s="39"/>
      <c r="I51" s="63"/>
    </row>
    <row r="52" spans="1:9" ht="14.4">
      <c r="A52" s="10">
        <v>45665</v>
      </c>
      <c r="D52" s="11" t="s">
        <v>16</v>
      </c>
      <c r="E52" s="9"/>
      <c r="F52" s="209">
        <v>0.1</v>
      </c>
      <c r="G52" s="39">
        <f t="shared" si="0"/>
        <v>6954.6799999999967</v>
      </c>
    </row>
    <row r="53" spans="1:9" ht="14.4">
      <c r="A53" s="10">
        <v>45672</v>
      </c>
      <c r="D53" s="11" t="s">
        <v>66</v>
      </c>
      <c r="E53" s="9"/>
      <c r="F53" s="209">
        <v>10</v>
      </c>
      <c r="G53" s="39">
        <f t="shared" si="0"/>
        <v>6944.6799999999967</v>
      </c>
    </row>
    <row r="54" spans="1:9" ht="14.4">
      <c r="A54" s="10">
        <v>45673</v>
      </c>
      <c r="D54" s="11" t="s">
        <v>69</v>
      </c>
      <c r="E54" s="9"/>
      <c r="F54" s="209">
        <f>777</f>
        <v>777</v>
      </c>
      <c r="G54" s="39">
        <f t="shared" si="0"/>
        <v>6167.6799999999967</v>
      </c>
    </row>
    <row r="55" spans="1:9" ht="14.4">
      <c r="A55" s="10">
        <v>45673</v>
      </c>
      <c r="D55" s="11" t="s">
        <v>70</v>
      </c>
      <c r="E55" s="9"/>
      <c r="F55" s="209">
        <v>1620</v>
      </c>
      <c r="G55" s="39">
        <f t="shared" si="0"/>
        <v>4547.6799999999967</v>
      </c>
    </row>
    <row r="56" spans="1:9" ht="14.4">
      <c r="A56" s="10">
        <v>45685</v>
      </c>
      <c r="D56" s="11" t="s">
        <v>72</v>
      </c>
      <c r="E56" s="209">
        <v>27103.24</v>
      </c>
      <c r="F56" s="209"/>
      <c r="G56" s="39">
        <f t="shared" si="0"/>
        <v>31650.92</v>
      </c>
    </row>
    <row r="57" spans="1:9" ht="14.4">
      <c r="A57" s="10">
        <v>45685</v>
      </c>
      <c r="D57" s="11" t="s">
        <v>101</v>
      </c>
      <c r="E57" s="11"/>
      <c r="F57" s="209">
        <v>19265.740000000002</v>
      </c>
      <c r="G57" s="39">
        <f t="shared" si="0"/>
        <v>12385.179999999997</v>
      </c>
      <c r="I57" s="63"/>
    </row>
    <row r="58" spans="1:9" ht="14.4">
      <c r="A58" s="10">
        <v>45685</v>
      </c>
      <c r="D58" s="11" t="s">
        <v>95</v>
      </c>
      <c r="E58" s="209"/>
      <c r="F58" s="209">
        <f>4.8</f>
        <v>4.8</v>
      </c>
      <c r="G58" s="39">
        <f t="shared" si="0"/>
        <v>12380.379999999997</v>
      </c>
      <c r="I58" s="63"/>
    </row>
    <row r="59" spans="1:9" ht="14.4">
      <c r="A59" s="10">
        <v>45685</v>
      </c>
      <c r="D59" s="11" t="s">
        <v>102</v>
      </c>
      <c r="E59" s="9"/>
      <c r="F59" s="209">
        <v>2051.6799999999998</v>
      </c>
      <c r="G59" s="39">
        <f t="shared" si="0"/>
        <v>10328.699999999997</v>
      </c>
    </row>
    <row r="60" spans="1:9" ht="14.4">
      <c r="A60" s="10">
        <v>45685</v>
      </c>
      <c r="D60" s="11" t="s">
        <v>95</v>
      </c>
      <c r="E60" s="11"/>
      <c r="F60" s="209">
        <f>4.8</f>
        <v>4.8</v>
      </c>
      <c r="G60" s="39">
        <f t="shared" si="0"/>
        <v>10323.899999999998</v>
      </c>
      <c r="H60" s="39"/>
      <c r="I60" s="63"/>
    </row>
    <row r="61" spans="1:9" ht="14.4">
      <c r="A61" s="10">
        <v>45685</v>
      </c>
      <c r="D61" s="11" t="s">
        <v>16</v>
      </c>
      <c r="E61" s="11"/>
      <c r="F61" s="209">
        <v>1.05</v>
      </c>
      <c r="G61" s="39">
        <f t="shared" si="0"/>
        <v>10322.849999999999</v>
      </c>
      <c r="H61" s="39"/>
      <c r="I61" s="63"/>
    </row>
    <row r="62" spans="1:9" ht="14.4">
      <c r="A62" s="10">
        <v>45688</v>
      </c>
      <c r="D62" s="11" t="s">
        <v>75</v>
      </c>
      <c r="E62" s="11"/>
      <c r="F62" s="209">
        <v>302</v>
      </c>
      <c r="G62" s="39">
        <f t="shared" si="0"/>
        <v>10020.849999999999</v>
      </c>
    </row>
    <row r="63" spans="1:9" ht="14.4">
      <c r="A63" s="10">
        <v>45688</v>
      </c>
      <c r="D63" s="11" t="s">
        <v>76</v>
      </c>
      <c r="E63" s="11"/>
      <c r="F63" s="209">
        <v>121.54</v>
      </c>
      <c r="G63" s="39">
        <f t="shared" si="0"/>
        <v>9899.3099999999977</v>
      </c>
    </row>
    <row r="64" spans="1:9" ht="14.4">
      <c r="A64" s="10">
        <v>45688</v>
      </c>
      <c r="D64" s="11" t="s">
        <v>77</v>
      </c>
      <c r="E64" s="11"/>
      <c r="F64" s="209">
        <v>236</v>
      </c>
      <c r="G64" s="39">
        <f t="shared" si="0"/>
        <v>9663.3099999999977</v>
      </c>
    </row>
    <row r="65" spans="1:10" ht="14.4">
      <c r="A65" s="10">
        <v>45688</v>
      </c>
      <c r="D65" s="11" t="s">
        <v>10</v>
      </c>
      <c r="E65" s="209"/>
      <c r="F65" s="209">
        <v>5.5</v>
      </c>
      <c r="G65" s="39">
        <f t="shared" si="0"/>
        <v>9657.8099999999977</v>
      </c>
    </row>
    <row r="66" spans="1:10" ht="14.4">
      <c r="A66" s="10">
        <v>45688</v>
      </c>
      <c r="D66" s="11" t="s">
        <v>11</v>
      </c>
      <c r="E66" s="209"/>
      <c r="F66" s="209">
        <v>35</v>
      </c>
      <c r="G66" s="39">
        <f t="shared" si="0"/>
        <v>9622.8099999999977</v>
      </c>
    </row>
    <row r="67" spans="1:10" s="14" customFormat="1" ht="14.4">
      <c r="A67" s="13">
        <v>45688</v>
      </c>
      <c r="D67" s="14" t="s">
        <v>138</v>
      </c>
      <c r="E67" s="18"/>
      <c r="F67" s="40"/>
      <c r="G67" s="40">
        <f t="shared" si="0"/>
        <v>9622.8099999999977</v>
      </c>
    </row>
    <row r="68" spans="1:10" ht="14.4">
      <c r="A68" s="10">
        <v>45689</v>
      </c>
      <c r="D68" s="8" t="s">
        <v>488</v>
      </c>
      <c r="E68" s="11"/>
      <c r="F68" s="11"/>
      <c r="G68" s="39">
        <f t="shared" si="0"/>
        <v>9622.8099999999977</v>
      </c>
    </row>
    <row r="69" spans="1:10" ht="14.4">
      <c r="A69" s="10">
        <v>45695</v>
      </c>
      <c r="D69" s="11" t="s">
        <v>78</v>
      </c>
      <c r="E69" s="11"/>
      <c r="F69" s="39">
        <v>4828</v>
      </c>
      <c r="G69" s="39">
        <f t="shared" si="0"/>
        <v>4794.8099999999977</v>
      </c>
    </row>
    <row r="70" spans="1:10" ht="14.4">
      <c r="A70" s="10">
        <v>45702</v>
      </c>
      <c r="D70" s="11" t="s">
        <v>80</v>
      </c>
      <c r="E70" s="11"/>
      <c r="F70" s="39">
        <v>2389.5500000000002</v>
      </c>
      <c r="G70" s="39">
        <f t="shared" ref="G70:G133" si="1">G69+E70-F70</f>
        <v>2405.2599999999975</v>
      </c>
      <c r="H70" s="39"/>
      <c r="I70" s="63"/>
      <c r="J70" s="63"/>
    </row>
    <row r="71" spans="1:10" ht="14.4">
      <c r="A71" s="10">
        <v>45702</v>
      </c>
      <c r="D71" s="11" t="s">
        <v>16</v>
      </c>
      <c r="E71" s="11"/>
      <c r="F71" s="39">
        <v>0.1</v>
      </c>
      <c r="G71" s="39">
        <f t="shared" si="1"/>
        <v>2405.1599999999976</v>
      </c>
    </row>
    <row r="72" spans="1:10" ht="14.4">
      <c r="A72" s="10">
        <v>45705</v>
      </c>
      <c r="D72" s="11" t="s">
        <v>81</v>
      </c>
      <c r="E72" s="11"/>
      <c r="F72" s="39">
        <v>485</v>
      </c>
      <c r="G72" s="39">
        <f t="shared" si="1"/>
        <v>1920.1599999999976</v>
      </c>
    </row>
    <row r="73" spans="1:10" ht="14.4">
      <c r="A73" s="10">
        <v>45705</v>
      </c>
      <c r="D73" s="11" t="s">
        <v>66</v>
      </c>
      <c r="E73" s="11"/>
      <c r="F73" s="39">
        <v>10</v>
      </c>
      <c r="G73" s="39">
        <f t="shared" si="1"/>
        <v>1910.1599999999976</v>
      </c>
    </row>
    <row r="74" spans="1:10" ht="14.4">
      <c r="A74" s="10">
        <v>45706</v>
      </c>
      <c r="D74" s="11" t="s">
        <v>82</v>
      </c>
      <c r="E74" s="11"/>
      <c r="F74" s="39">
        <v>29.81</v>
      </c>
      <c r="G74" s="39">
        <f t="shared" si="1"/>
        <v>1880.3499999999976</v>
      </c>
    </row>
    <row r="75" spans="1:10" ht="14.4">
      <c r="A75" s="10">
        <v>45713</v>
      </c>
      <c r="D75" s="11" t="s">
        <v>107</v>
      </c>
      <c r="E75" s="209">
        <v>34389.85</v>
      </c>
      <c r="F75" s="39"/>
      <c r="G75" s="39">
        <f t="shared" si="1"/>
        <v>36270.199999999997</v>
      </c>
    </row>
    <row r="76" spans="1:10" ht="14.4">
      <c r="A76" s="10">
        <v>45713</v>
      </c>
      <c r="D76" s="11" t="s">
        <v>103</v>
      </c>
      <c r="E76" s="11"/>
      <c r="F76" s="39">
        <v>4797</v>
      </c>
      <c r="G76" s="39">
        <f t="shared" si="1"/>
        <v>31473.199999999997</v>
      </c>
    </row>
    <row r="77" spans="1:10" ht="14.4">
      <c r="A77" s="10">
        <v>45713</v>
      </c>
      <c r="D77" s="11" t="s">
        <v>95</v>
      </c>
      <c r="E77" s="209"/>
      <c r="F77" s="39">
        <f>4.8</f>
        <v>4.8</v>
      </c>
      <c r="G77" s="39">
        <f t="shared" si="1"/>
        <v>31468.399999999998</v>
      </c>
    </row>
    <row r="78" spans="1:10" ht="14.4">
      <c r="A78" s="10">
        <v>45713</v>
      </c>
      <c r="D78" s="11" t="s">
        <v>16</v>
      </c>
      <c r="E78" s="209"/>
      <c r="F78" s="39">
        <v>0.2</v>
      </c>
      <c r="G78" s="39">
        <f t="shared" si="1"/>
        <v>31468.199999999997</v>
      </c>
      <c r="I78" s="63"/>
    </row>
    <row r="79" spans="1:10" ht="14.4">
      <c r="A79" s="10">
        <v>45715</v>
      </c>
      <c r="D79" s="11" t="s">
        <v>88</v>
      </c>
      <c r="E79" s="11"/>
      <c r="F79" s="39">
        <v>118</v>
      </c>
      <c r="G79" s="39">
        <f t="shared" si="1"/>
        <v>31350.199999999997</v>
      </c>
    </row>
    <row r="80" spans="1:10" ht="14.4">
      <c r="A80" s="10">
        <v>45715</v>
      </c>
      <c r="D80" s="11" t="s">
        <v>89</v>
      </c>
      <c r="E80" s="11"/>
      <c r="F80" s="39">
        <v>118</v>
      </c>
      <c r="G80" s="39">
        <f t="shared" si="1"/>
        <v>31232.199999999997</v>
      </c>
    </row>
    <row r="81" spans="1:9" ht="14.4">
      <c r="A81" s="10">
        <v>45715</v>
      </c>
      <c r="D81" s="11" t="s">
        <v>90</v>
      </c>
      <c r="E81" s="11"/>
      <c r="F81" s="39">
        <v>121.54</v>
      </c>
      <c r="G81" s="39">
        <f t="shared" si="1"/>
        <v>31110.659999999996</v>
      </c>
    </row>
    <row r="82" spans="1:9" ht="14.4">
      <c r="A82" s="10">
        <v>45715</v>
      </c>
      <c r="D82" s="11" t="s">
        <v>16</v>
      </c>
      <c r="E82" s="209"/>
      <c r="F82" s="39">
        <v>0.2</v>
      </c>
      <c r="G82" s="39">
        <f t="shared" si="1"/>
        <v>31110.459999999995</v>
      </c>
      <c r="I82" s="63"/>
    </row>
    <row r="83" spans="1:9" ht="14.4">
      <c r="A83" s="10">
        <v>45716</v>
      </c>
      <c r="D83" s="11" t="s">
        <v>104</v>
      </c>
      <c r="E83" s="11"/>
      <c r="F83" s="39">
        <v>13204.76</v>
      </c>
      <c r="G83" s="39">
        <f t="shared" si="1"/>
        <v>17905.699999999997</v>
      </c>
      <c r="I83" s="63"/>
    </row>
    <row r="84" spans="1:9" ht="14.4">
      <c r="A84" s="10">
        <v>45716</v>
      </c>
      <c r="D84" s="11" t="s">
        <v>95</v>
      </c>
      <c r="E84" s="209"/>
      <c r="F84" s="39">
        <f>4.8</f>
        <v>4.8</v>
      </c>
      <c r="G84" s="39">
        <f t="shared" si="1"/>
        <v>17900.899999999998</v>
      </c>
      <c r="I84" s="63"/>
    </row>
    <row r="85" spans="1:9" ht="14.4">
      <c r="A85" s="10">
        <v>45716</v>
      </c>
      <c r="D85" s="11" t="s">
        <v>145</v>
      </c>
      <c r="E85" s="11"/>
      <c r="F85" s="39">
        <v>3868.8116666666665</v>
      </c>
      <c r="G85" s="39">
        <f t="shared" si="1"/>
        <v>14032.088333333331</v>
      </c>
    </row>
    <row r="86" spans="1:9" ht="14.4">
      <c r="A86" s="10">
        <v>45716</v>
      </c>
      <c r="D86" s="11" t="s">
        <v>96</v>
      </c>
      <c r="E86" s="209"/>
      <c r="F86" s="39">
        <f>4.8</f>
        <v>4.8</v>
      </c>
      <c r="G86" s="39">
        <f t="shared" si="1"/>
        <v>14027.288333333332</v>
      </c>
      <c r="I86" s="63"/>
    </row>
    <row r="87" spans="1:9" ht="14.4">
      <c r="A87" s="10">
        <v>45716</v>
      </c>
      <c r="D87" s="11" t="s">
        <v>16</v>
      </c>
      <c r="E87" s="209"/>
      <c r="F87" s="39">
        <v>0.6</v>
      </c>
      <c r="G87" s="39">
        <f t="shared" si="1"/>
        <v>14026.688333333332</v>
      </c>
      <c r="I87" s="63"/>
    </row>
    <row r="88" spans="1:9" ht="14.4">
      <c r="A88" s="10">
        <v>45716</v>
      </c>
      <c r="D88" s="11" t="s">
        <v>106</v>
      </c>
      <c r="E88" s="209">
        <v>31230.34</v>
      </c>
      <c r="F88" s="39"/>
      <c r="G88" s="39">
        <f t="shared" si="1"/>
        <v>45257.028333333335</v>
      </c>
    </row>
    <row r="89" spans="1:9" ht="14.4">
      <c r="A89" s="10">
        <v>45716</v>
      </c>
      <c r="D89" s="11" t="s">
        <v>105</v>
      </c>
      <c r="E89" s="11"/>
      <c r="F89" s="39">
        <v>20011.433333333334</v>
      </c>
      <c r="G89" s="39">
        <f t="shared" si="1"/>
        <v>25245.595000000001</v>
      </c>
    </row>
    <row r="90" spans="1:9" ht="14.4">
      <c r="A90" s="10">
        <v>45716</v>
      </c>
      <c r="D90" s="11" t="s">
        <v>10</v>
      </c>
      <c r="E90" s="209"/>
      <c r="F90" s="39">
        <v>5.5</v>
      </c>
      <c r="G90" s="39">
        <f t="shared" si="1"/>
        <v>25240.095000000001</v>
      </c>
    </row>
    <row r="91" spans="1:9" ht="14.4">
      <c r="A91" s="10">
        <v>45716</v>
      </c>
      <c r="D91" s="11" t="s">
        <v>11</v>
      </c>
      <c r="E91" s="209"/>
      <c r="F91" s="39">
        <v>35</v>
      </c>
      <c r="G91" s="39">
        <f t="shared" si="1"/>
        <v>25205.095000000001</v>
      </c>
      <c r="I91" s="63"/>
    </row>
    <row r="92" spans="1:9" ht="14.4">
      <c r="A92" s="10">
        <v>45716</v>
      </c>
      <c r="D92" s="11" t="s">
        <v>16</v>
      </c>
      <c r="E92" s="209"/>
      <c r="F92" s="39">
        <v>1</v>
      </c>
      <c r="G92" s="39">
        <f t="shared" si="1"/>
        <v>25204.095000000001</v>
      </c>
      <c r="I92" s="63"/>
    </row>
    <row r="93" spans="1:9" s="14" customFormat="1" ht="14.4">
      <c r="A93" s="13">
        <v>45716</v>
      </c>
      <c r="D93" s="14" t="s">
        <v>138</v>
      </c>
      <c r="G93" s="40">
        <f t="shared" si="1"/>
        <v>25204.095000000001</v>
      </c>
    </row>
    <row r="94" spans="1:9" ht="14.4">
      <c r="A94" s="10">
        <v>45717</v>
      </c>
      <c r="D94" s="8" t="s">
        <v>488</v>
      </c>
      <c r="E94" s="11"/>
      <c r="F94" s="11"/>
      <c r="G94" s="39">
        <f t="shared" si="1"/>
        <v>25204.095000000001</v>
      </c>
    </row>
    <row r="95" spans="1:9" ht="14.4">
      <c r="A95" s="10">
        <v>45723</v>
      </c>
      <c r="D95" s="8" t="s">
        <v>151</v>
      </c>
      <c r="E95" s="11"/>
      <c r="F95" s="39">
        <f>1800+164.78</f>
        <v>1964.78</v>
      </c>
      <c r="G95" s="39">
        <f t="shared" si="1"/>
        <v>23239.315000000002</v>
      </c>
    </row>
    <row r="96" spans="1:9" ht="14.4">
      <c r="A96" s="10">
        <v>45723</v>
      </c>
      <c r="D96" s="8" t="s">
        <v>152</v>
      </c>
      <c r="E96" s="11"/>
      <c r="F96" s="39">
        <f>1860+164.78+288.3</f>
        <v>2313.08</v>
      </c>
      <c r="G96" s="39">
        <f t="shared" si="1"/>
        <v>20926.235000000001</v>
      </c>
      <c r="I96" s="63"/>
    </row>
    <row r="97" spans="1:9" ht="14.4">
      <c r="A97" s="10">
        <v>45723</v>
      </c>
      <c r="D97" s="8" t="s">
        <v>154</v>
      </c>
      <c r="E97" s="11"/>
      <c r="F97" s="39">
        <f>640+87.68</f>
        <v>727.68000000000006</v>
      </c>
      <c r="G97" s="39">
        <f t="shared" si="1"/>
        <v>20198.555</v>
      </c>
    </row>
    <row r="98" spans="1:9" ht="14.4">
      <c r="A98" s="10">
        <v>45724</v>
      </c>
      <c r="D98" s="8" t="s">
        <v>16</v>
      </c>
      <c r="E98" s="11"/>
      <c r="F98" s="39">
        <v>0.15</v>
      </c>
      <c r="G98" s="39">
        <f t="shared" si="1"/>
        <v>20198.404999999999</v>
      </c>
      <c r="H98" s="63">
        <f>F98/3.68</f>
        <v>4.0760869565217385E-2</v>
      </c>
    </row>
    <row r="99" spans="1:9" ht="14.4">
      <c r="A99" s="10">
        <v>45724</v>
      </c>
      <c r="D99" s="8" t="s">
        <v>156</v>
      </c>
      <c r="E99" s="11"/>
      <c r="F99" s="39">
        <v>302</v>
      </c>
      <c r="G99" s="39">
        <f t="shared" si="1"/>
        <v>19896.404999999999</v>
      </c>
      <c r="I99" s="63"/>
    </row>
    <row r="100" spans="1:9" ht="14.4">
      <c r="A100" s="10">
        <v>45724</v>
      </c>
      <c r="D100" s="8" t="s">
        <v>157</v>
      </c>
      <c r="E100" s="11"/>
      <c r="F100" s="39">
        <v>116.95</v>
      </c>
      <c r="G100" s="39">
        <f t="shared" si="1"/>
        <v>19779.454999999998</v>
      </c>
    </row>
    <row r="101" spans="1:9" ht="14.4">
      <c r="A101" s="10">
        <v>45724</v>
      </c>
      <c r="D101" s="8" t="s">
        <v>158</v>
      </c>
      <c r="E101" s="11"/>
      <c r="F101" s="39">
        <v>113.54</v>
      </c>
      <c r="G101" s="39">
        <f t="shared" si="1"/>
        <v>19665.914999999997</v>
      </c>
    </row>
    <row r="102" spans="1:9" ht="14.4">
      <c r="A102" s="10">
        <v>45724</v>
      </c>
      <c r="D102" s="8" t="s">
        <v>159</v>
      </c>
      <c r="E102" s="11"/>
      <c r="F102" s="39">
        <v>29.81</v>
      </c>
      <c r="G102" s="39">
        <f t="shared" si="1"/>
        <v>19636.104999999996</v>
      </c>
    </row>
    <row r="103" spans="1:9" ht="14.4">
      <c r="A103" s="10">
        <v>45726</v>
      </c>
      <c r="D103" s="8" t="s">
        <v>160</v>
      </c>
      <c r="E103" s="11"/>
      <c r="F103" s="39">
        <f>327-302</f>
        <v>25</v>
      </c>
      <c r="G103" s="39">
        <f t="shared" si="1"/>
        <v>19611.104999999996</v>
      </c>
    </row>
    <row r="104" spans="1:9" ht="14.4">
      <c r="A104" s="10">
        <v>45727</v>
      </c>
      <c r="D104" s="8" t="s">
        <v>498</v>
      </c>
      <c r="E104" s="11"/>
      <c r="F104" s="39">
        <v>1254</v>
      </c>
      <c r="G104" s="39">
        <f t="shared" si="1"/>
        <v>18357.104999999996</v>
      </c>
    </row>
    <row r="105" spans="1:9" ht="14.4">
      <c r="A105" s="10">
        <v>45727</v>
      </c>
      <c r="D105" s="8" t="s">
        <v>16</v>
      </c>
      <c r="E105" s="11"/>
      <c r="F105" s="39">
        <v>0.05</v>
      </c>
      <c r="G105" s="39">
        <f t="shared" si="1"/>
        <v>18357.054999999997</v>
      </c>
      <c r="H105" s="63">
        <f>F105/3.68</f>
        <v>1.358695652173913E-2</v>
      </c>
    </row>
    <row r="106" spans="1:9" ht="14.4">
      <c r="A106" s="10">
        <v>45728</v>
      </c>
      <c r="D106" s="11" t="s">
        <v>78</v>
      </c>
      <c r="E106" s="11"/>
      <c r="F106" s="39">
        <v>11110</v>
      </c>
      <c r="G106" s="39">
        <f t="shared" si="1"/>
        <v>7247.0549999999967</v>
      </c>
    </row>
    <row r="107" spans="1:9" ht="14.4">
      <c r="A107" s="10">
        <v>45733</v>
      </c>
      <c r="D107" s="11" t="s">
        <v>164</v>
      </c>
      <c r="E107" s="11"/>
      <c r="F107" s="39">
        <v>1079</v>
      </c>
      <c r="G107" s="39">
        <f t="shared" si="1"/>
        <v>6168.0549999999967</v>
      </c>
    </row>
    <row r="108" spans="1:9" ht="14.4">
      <c r="A108" s="10">
        <v>45733</v>
      </c>
      <c r="D108" s="11" t="s">
        <v>66</v>
      </c>
      <c r="E108" s="11"/>
      <c r="F108" s="39">
        <v>10</v>
      </c>
      <c r="G108" s="39">
        <f t="shared" si="1"/>
        <v>6158.0549999999967</v>
      </c>
      <c r="H108" s="63">
        <f>F108/3.68</f>
        <v>2.7173913043478262</v>
      </c>
    </row>
    <row r="109" spans="1:9" ht="14.4">
      <c r="A109" s="10">
        <v>45744</v>
      </c>
      <c r="D109" s="8" t="s">
        <v>182</v>
      </c>
      <c r="E109" s="39">
        <v>66948.94</v>
      </c>
      <c r="F109" s="39"/>
      <c r="G109" s="39">
        <f t="shared" si="1"/>
        <v>73106.994999999995</v>
      </c>
    </row>
    <row r="110" spans="1:9" ht="14.4">
      <c r="A110" s="10">
        <v>45744</v>
      </c>
      <c r="D110" s="8" t="s">
        <v>182</v>
      </c>
      <c r="E110" s="39">
        <v>25500</v>
      </c>
      <c r="F110" s="39"/>
      <c r="G110" s="39">
        <f t="shared" si="1"/>
        <v>98606.994999999995</v>
      </c>
      <c r="I110" s="27"/>
    </row>
    <row r="111" spans="1:9" ht="14.4">
      <c r="A111" s="10">
        <v>45744</v>
      </c>
      <c r="D111" s="8" t="s">
        <v>187</v>
      </c>
      <c r="E111" s="39"/>
      <c r="F111" s="39">
        <v>7044.25</v>
      </c>
      <c r="G111" s="39">
        <f t="shared" si="1"/>
        <v>91562.744999999995</v>
      </c>
    </row>
    <row r="112" spans="1:9" ht="14.4">
      <c r="A112" s="10">
        <v>45744</v>
      </c>
      <c r="D112" s="11" t="s">
        <v>184</v>
      </c>
      <c r="E112" s="39"/>
      <c r="F112" s="39">
        <v>7857.05</v>
      </c>
      <c r="G112" s="39">
        <f t="shared" si="1"/>
        <v>83705.694999999992</v>
      </c>
    </row>
    <row r="113" spans="1:10" ht="14.4">
      <c r="A113" s="10">
        <v>45744</v>
      </c>
      <c r="D113" s="11" t="s">
        <v>189</v>
      </c>
      <c r="E113" s="39"/>
      <c r="F113" s="39">
        <v>42.78</v>
      </c>
      <c r="G113" s="39">
        <f t="shared" si="1"/>
        <v>83662.914999999994</v>
      </c>
      <c r="H113" s="63">
        <f>F113/3.68</f>
        <v>11.625</v>
      </c>
    </row>
    <row r="114" spans="1:10" ht="14.4">
      <c r="A114" s="10">
        <v>45744</v>
      </c>
      <c r="D114" s="11" t="s">
        <v>185</v>
      </c>
      <c r="E114" s="39"/>
      <c r="F114" s="39">
        <v>12481.715083000001</v>
      </c>
      <c r="G114" s="39">
        <f t="shared" si="1"/>
        <v>71181.199916999991</v>
      </c>
    </row>
    <row r="115" spans="1:10" ht="14.4">
      <c r="A115" s="10">
        <v>45744</v>
      </c>
      <c r="D115" s="11" t="s">
        <v>96</v>
      </c>
      <c r="E115" s="39"/>
      <c r="F115" s="39">
        <f>4.8</f>
        <v>4.8</v>
      </c>
      <c r="G115" s="39">
        <f t="shared" si="1"/>
        <v>71176.399916999988</v>
      </c>
    </row>
    <row r="116" spans="1:10" ht="14.4">
      <c r="A116" s="10">
        <v>45744</v>
      </c>
      <c r="D116" s="11" t="s">
        <v>183</v>
      </c>
      <c r="E116" s="39"/>
      <c r="F116" s="39">
        <v>13204.759299666666</v>
      </c>
      <c r="G116" s="39">
        <f t="shared" si="1"/>
        <v>57971.640617333323</v>
      </c>
    </row>
    <row r="117" spans="1:10" ht="14.4">
      <c r="A117" s="10">
        <v>45744</v>
      </c>
      <c r="D117" s="11" t="s">
        <v>95</v>
      </c>
      <c r="E117" s="39"/>
      <c r="F117" s="39">
        <f>4.8</f>
        <v>4.8</v>
      </c>
      <c r="G117" s="39">
        <f t="shared" si="1"/>
        <v>57966.840617333321</v>
      </c>
      <c r="H117" s="63">
        <f>F117/3.68</f>
        <v>1.3043478260869563</v>
      </c>
      <c r="J117" s="63"/>
    </row>
    <row r="118" spans="1:10" ht="14.4">
      <c r="A118" s="10">
        <v>45744</v>
      </c>
      <c r="D118" s="11" t="s">
        <v>186</v>
      </c>
      <c r="E118" s="39"/>
      <c r="F118" s="39">
        <v>13725.329799666666</v>
      </c>
      <c r="G118" s="39">
        <f t="shared" si="1"/>
        <v>44241.510817666654</v>
      </c>
      <c r="J118" s="63"/>
    </row>
    <row r="119" spans="1:10" ht="14.4">
      <c r="A119" s="10">
        <v>45744</v>
      </c>
      <c r="D119" s="8" t="s">
        <v>16</v>
      </c>
      <c r="E119" s="39"/>
      <c r="F119" s="39">
        <v>2.25</v>
      </c>
      <c r="G119" s="39">
        <f t="shared" si="1"/>
        <v>44239.260817666654</v>
      </c>
    </row>
    <row r="120" spans="1:10" ht="14.4">
      <c r="A120" s="10">
        <v>45745</v>
      </c>
      <c r="D120" s="8" t="s">
        <v>102</v>
      </c>
      <c r="E120" s="39"/>
      <c r="F120" s="39">
        <f>10437.22</f>
        <v>10437.219999999999</v>
      </c>
      <c r="G120" s="39">
        <f t="shared" si="1"/>
        <v>33802.040817666653</v>
      </c>
    </row>
    <row r="121" spans="1:10" ht="14.4">
      <c r="A121" s="10">
        <v>45745</v>
      </c>
      <c r="D121" s="11" t="s">
        <v>95</v>
      </c>
      <c r="E121" s="39"/>
      <c r="F121" s="39">
        <v>4.8</v>
      </c>
      <c r="G121" s="39">
        <f t="shared" si="1"/>
        <v>33797.24081766665</v>
      </c>
      <c r="I121" s="63"/>
    </row>
    <row r="122" spans="1:10" ht="14.4">
      <c r="A122" s="10">
        <v>45745</v>
      </c>
      <c r="D122" s="8" t="s">
        <v>16</v>
      </c>
      <c r="E122" s="39"/>
      <c r="F122" s="39">
        <v>0.5</v>
      </c>
      <c r="G122" s="39">
        <f t="shared" si="1"/>
        <v>33796.74081766665</v>
      </c>
      <c r="H122" s="63">
        <f>F122/3.68</f>
        <v>0.1358695652173913</v>
      </c>
      <c r="I122" s="63"/>
    </row>
    <row r="123" spans="1:10" ht="14.4">
      <c r="A123" s="10">
        <v>45745</v>
      </c>
      <c r="D123" s="8" t="s">
        <v>188</v>
      </c>
      <c r="E123" s="11"/>
      <c r="F123" s="39">
        <v>411.94</v>
      </c>
      <c r="G123" s="39">
        <f t="shared" si="1"/>
        <v>33384.800817666648</v>
      </c>
    </row>
    <row r="124" spans="1:10" ht="14.4">
      <c r="A124" s="10">
        <v>45745</v>
      </c>
      <c r="D124" s="11" t="s">
        <v>96</v>
      </c>
      <c r="E124" s="39"/>
      <c r="F124" s="39">
        <v>4.8</v>
      </c>
      <c r="G124" s="39">
        <f t="shared" si="1"/>
        <v>33380.000817666645</v>
      </c>
      <c r="H124" s="63">
        <f>F124/3.68</f>
        <v>1.3043478260869563</v>
      </c>
      <c r="I124" s="27"/>
    </row>
    <row r="125" spans="1:10" ht="14.4">
      <c r="A125" s="10">
        <v>45747</v>
      </c>
      <c r="D125" s="8" t="s">
        <v>191</v>
      </c>
      <c r="E125" s="11"/>
      <c r="F125" s="39">
        <v>373</v>
      </c>
      <c r="G125" s="39">
        <f t="shared" si="1"/>
        <v>33007.000817666645</v>
      </c>
    </row>
    <row r="126" spans="1:10" ht="14.4">
      <c r="A126" s="10">
        <v>45747</v>
      </c>
      <c r="D126" s="8" t="s">
        <v>10</v>
      </c>
      <c r="E126" s="11"/>
      <c r="F126" s="39">
        <v>5.5</v>
      </c>
      <c r="G126" s="39">
        <f t="shared" si="1"/>
        <v>33001.500817666645</v>
      </c>
    </row>
    <row r="127" spans="1:10" ht="14.4">
      <c r="A127" s="10">
        <v>45747</v>
      </c>
      <c r="D127" s="11" t="s">
        <v>192</v>
      </c>
      <c r="E127" s="11"/>
      <c r="F127" s="39">
        <v>35</v>
      </c>
      <c r="G127" s="39">
        <f t="shared" si="1"/>
        <v>32966.500817666645</v>
      </c>
      <c r="H127" s="63">
        <f>F127/3.68</f>
        <v>9.5108695652173907</v>
      </c>
    </row>
    <row r="128" spans="1:10" s="14" customFormat="1" ht="14.4">
      <c r="A128" s="13">
        <v>45747</v>
      </c>
      <c r="D128" s="14" t="s">
        <v>138</v>
      </c>
      <c r="F128" s="40"/>
      <c r="G128" s="40">
        <f t="shared" si="1"/>
        <v>32966.500817666645</v>
      </c>
    </row>
    <row r="129" spans="1:9" ht="14.4">
      <c r="A129" s="10">
        <v>45748</v>
      </c>
      <c r="D129" s="11" t="s">
        <v>193</v>
      </c>
      <c r="E129" s="39">
        <v>7857.05</v>
      </c>
      <c r="F129" s="39"/>
      <c r="G129" s="39">
        <f t="shared" si="1"/>
        <v>40823.550817666648</v>
      </c>
    </row>
    <row r="130" spans="1:9" ht="14.4">
      <c r="A130" s="10">
        <v>45748</v>
      </c>
      <c r="D130" s="8" t="s">
        <v>16</v>
      </c>
      <c r="E130" s="11"/>
      <c r="F130" s="39">
        <v>0.35</v>
      </c>
      <c r="G130" s="39">
        <f t="shared" si="1"/>
        <v>40823.20081766665</v>
      </c>
    </row>
    <row r="131" spans="1:9" ht="14.4">
      <c r="A131" s="10">
        <v>45749</v>
      </c>
      <c r="D131" s="11" t="s">
        <v>194</v>
      </c>
      <c r="E131" s="39"/>
      <c r="F131" s="39">
        <v>7857.05</v>
      </c>
      <c r="G131" s="39">
        <f t="shared" si="1"/>
        <v>32966.150817666647</v>
      </c>
    </row>
    <row r="132" spans="1:9" ht="14.4">
      <c r="A132" s="10">
        <v>45749</v>
      </c>
      <c r="D132" s="8" t="s">
        <v>16</v>
      </c>
      <c r="E132" s="11"/>
      <c r="F132" s="39">
        <v>0.35</v>
      </c>
      <c r="G132" s="39">
        <f t="shared" si="1"/>
        <v>32965.800817666648</v>
      </c>
      <c r="I132" s="63"/>
    </row>
    <row r="133" spans="1:9" ht="14.4">
      <c r="A133" s="10">
        <v>45749</v>
      </c>
      <c r="D133" s="8" t="s">
        <v>195</v>
      </c>
      <c r="E133" s="11"/>
      <c r="F133" s="39">
        <v>227.08</v>
      </c>
      <c r="G133" s="39">
        <f t="shared" si="1"/>
        <v>32738.720817666646</v>
      </c>
    </row>
    <row r="134" spans="1:9" ht="14.4">
      <c r="A134" s="10">
        <v>45749</v>
      </c>
      <c r="D134" s="8" t="s">
        <v>196</v>
      </c>
      <c r="E134" s="11"/>
      <c r="F134" s="39">
        <v>233.89</v>
      </c>
      <c r="G134" s="39">
        <f t="shared" ref="G134:G197" si="2">G133+E134-F134</f>
        <v>32504.830817666647</v>
      </c>
    </row>
    <row r="135" spans="1:9" ht="14.4">
      <c r="A135" s="10">
        <v>45749</v>
      </c>
      <c r="D135" s="8" t="s">
        <v>197</v>
      </c>
      <c r="E135" s="11"/>
      <c r="F135" s="39">
        <v>118</v>
      </c>
      <c r="G135" s="39">
        <f t="shared" si="2"/>
        <v>32386.830817666647</v>
      </c>
    </row>
    <row r="136" spans="1:9" ht="14.4">
      <c r="A136" s="10">
        <v>45755</v>
      </c>
      <c r="D136" s="11" t="s">
        <v>151</v>
      </c>
      <c r="E136" s="11"/>
      <c r="F136" s="39">
        <v>1964.78</v>
      </c>
      <c r="G136" s="39">
        <f t="shared" si="2"/>
        <v>30422.050817666648</v>
      </c>
    </row>
    <row r="137" spans="1:9" ht="14.4">
      <c r="A137" s="10">
        <v>45755</v>
      </c>
      <c r="D137" s="11" t="s">
        <v>152</v>
      </c>
      <c r="E137" s="11"/>
      <c r="F137" s="39">
        <v>2339.1799999999998</v>
      </c>
      <c r="G137" s="39">
        <f t="shared" si="2"/>
        <v>28082.870817666648</v>
      </c>
    </row>
    <row r="138" spans="1:9" ht="14.4">
      <c r="A138" s="10">
        <v>45755</v>
      </c>
      <c r="D138" s="11" t="s">
        <v>209</v>
      </c>
      <c r="E138" s="11"/>
      <c r="F138" s="39">
        <v>3035.84</v>
      </c>
      <c r="G138" s="39">
        <f t="shared" si="2"/>
        <v>25047.030817666648</v>
      </c>
      <c r="I138" s="63"/>
    </row>
    <row r="139" spans="1:9" ht="14.4">
      <c r="A139" s="10">
        <v>45755</v>
      </c>
      <c r="D139" s="8" t="s">
        <v>16</v>
      </c>
      <c r="E139" s="11"/>
      <c r="F139" s="39">
        <v>0.3</v>
      </c>
      <c r="G139" s="39">
        <f t="shared" si="2"/>
        <v>25046.730817666648</v>
      </c>
      <c r="I139" s="63"/>
    </row>
    <row r="140" spans="1:9" ht="14.4">
      <c r="A140" s="10">
        <v>45761</v>
      </c>
      <c r="D140" s="11" t="s">
        <v>212</v>
      </c>
      <c r="E140" s="11"/>
      <c r="F140" s="39">
        <v>301.97000000000003</v>
      </c>
      <c r="G140" s="39">
        <f t="shared" si="2"/>
        <v>24744.760817666647</v>
      </c>
    </row>
    <row r="141" spans="1:9" ht="14.4">
      <c r="A141" s="10">
        <v>45761</v>
      </c>
      <c r="D141" s="11" t="s">
        <v>78</v>
      </c>
      <c r="E141" s="11"/>
      <c r="F141" s="39">
        <v>13330</v>
      </c>
      <c r="G141" s="39">
        <f t="shared" si="2"/>
        <v>11414.760817666647</v>
      </c>
    </row>
    <row r="142" spans="1:9" ht="14.4">
      <c r="A142" s="10">
        <v>45762</v>
      </c>
      <c r="D142" s="8" t="s">
        <v>215</v>
      </c>
      <c r="E142" s="11"/>
      <c r="F142" s="39">
        <v>1573</v>
      </c>
      <c r="G142" s="39">
        <f t="shared" si="2"/>
        <v>9841.7608176666472</v>
      </c>
    </row>
    <row r="143" spans="1:9" ht="14.4">
      <c r="A143" s="10">
        <v>45762</v>
      </c>
      <c r="D143" s="8" t="s">
        <v>16</v>
      </c>
      <c r="E143" s="11"/>
      <c r="F143" s="39">
        <v>10</v>
      </c>
      <c r="G143" s="39">
        <f t="shared" si="2"/>
        <v>9831.7608176666472</v>
      </c>
    </row>
    <row r="144" spans="1:9" ht="14.4">
      <c r="A144" s="10">
        <v>45769</v>
      </c>
      <c r="D144" s="11" t="s">
        <v>228</v>
      </c>
      <c r="E144" s="39"/>
      <c r="F144" s="39">
        <v>6300</v>
      </c>
      <c r="G144" s="39">
        <f t="shared" si="2"/>
        <v>3531.7608176666472</v>
      </c>
      <c r="H144" s="39"/>
      <c r="I144" s="63"/>
    </row>
    <row r="145" spans="1:9" ht="14.4">
      <c r="A145" s="10">
        <v>45769</v>
      </c>
      <c r="D145" s="11" t="s">
        <v>227</v>
      </c>
      <c r="E145" s="39">
        <v>7985.39</v>
      </c>
      <c r="F145" s="11"/>
      <c r="G145" s="39">
        <f t="shared" si="2"/>
        <v>11517.150817666647</v>
      </c>
    </row>
    <row r="146" spans="1:9" ht="14.4">
      <c r="A146" s="10">
        <v>45769</v>
      </c>
      <c r="D146" s="11" t="s">
        <v>225</v>
      </c>
      <c r="E146" s="39">
        <v>20934.95</v>
      </c>
      <c r="F146" s="11"/>
      <c r="G146" s="39">
        <f t="shared" si="2"/>
        <v>32452.100817666647</v>
      </c>
    </row>
    <row r="147" spans="1:9" ht="14.4">
      <c r="A147" s="10">
        <v>45769</v>
      </c>
      <c r="D147" s="11" t="s">
        <v>225</v>
      </c>
      <c r="E147" s="39">
        <v>550</v>
      </c>
      <c r="F147" s="11"/>
      <c r="G147" s="39">
        <f t="shared" si="2"/>
        <v>33002.100817666651</v>
      </c>
    </row>
    <row r="148" spans="1:9" ht="14.4">
      <c r="A148" s="10">
        <v>45769</v>
      </c>
      <c r="D148" s="11" t="s">
        <v>229</v>
      </c>
      <c r="E148" s="39"/>
      <c r="F148" s="39">
        <v>24477.58</v>
      </c>
      <c r="G148" s="39">
        <f t="shared" si="2"/>
        <v>8524.5208176666492</v>
      </c>
    </row>
    <row r="149" spans="1:9" ht="14.4">
      <c r="A149" s="10">
        <v>45769</v>
      </c>
      <c r="D149" s="11" t="s">
        <v>95</v>
      </c>
      <c r="E149" s="11"/>
      <c r="F149" s="39">
        <v>4.8</v>
      </c>
      <c r="G149" s="39">
        <f t="shared" si="2"/>
        <v>8519.72081766665</v>
      </c>
    </row>
    <row r="150" spans="1:9" ht="14.4">
      <c r="A150" s="10">
        <v>45769</v>
      </c>
      <c r="B150" s="11"/>
      <c r="C150" s="11"/>
      <c r="D150" s="8" t="s">
        <v>16</v>
      </c>
      <c r="E150" s="11"/>
      <c r="F150" s="39">
        <v>1.2</v>
      </c>
      <c r="G150" s="39">
        <f t="shared" si="2"/>
        <v>8518.5208176666492</v>
      </c>
    </row>
    <row r="151" spans="1:9" ht="14.4">
      <c r="A151" s="10">
        <v>45770</v>
      </c>
      <c r="B151" s="11"/>
      <c r="C151" s="11"/>
      <c r="D151" s="11" t="s">
        <v>230</v>
      </c>
      <c r="E151" s="11"/>
      <c r="F151" s="39">
        <v>8135.5</v>
      </c>
      <c r="G151" s="39">
        <f t="shared" si="2"/>
        <v>383.02081766664924</v>
      </c>
    </row>
    <row r="152" spans="1:9" ht="14.4">
      <c r="A152" s="10">
        <v>45770</v>
      </c>
      <c r="D152" s="11" t="s">
        <v>96</v>
      </c>
      <c r="E152" s="39"/>
      <c r="F152" s="39">
        <v>4.8</v>
      </c>
      <c r="G152" s="39">
        <f t="shared" si="2"/>
        <v>378.22081766664922</v>
      </c>
      <c r="I152" s="63"/>
    </row>
    <row r="153" spans="1:9" ht="14.4">
      <c r="A153" s="10">
        <v>45770</v>
      </c>
      <c r="D153" s="8" t="s">
        <v>16</v>
      </c>
      <c r="E153" s="11"/>
      <c r="F153" s="39">
        <v>0.4</v>
      </c>
      <c r="G153" s="39">
        <f t="shared" si="2"/>
        <v>377.82081766664925</v>
      </c>
    </row>
    <row r="154" spans="1:9" ht="14.4">
      <c r="A154" s="10">
        <v>45775</v>
      </c>
      <c r="D154" s="11" t="s">
        <v>233</v>
      </c>
      <c r="E154" s="39">
        <v>59980.76</v>
      </c>
      <c r="F154" s="39"/>
      <c r="G154" s="39">
        <f t="shared" si="2"/>
        <v>60358.580817666654</v>
      </c>
    </row>
    <row r="155" spans="1:9" ht="14.4">
      <c r="A155" s="10">
        <v>45775</v>
      </c>
      <c r="D155" s="11" t="s">
        <v>234</v>
      </c>
      <c r="E155" s="39"/>
      <c r="F155" s="39">
        <v>13228.27</v>
      </c>
      <c r="G155" s="39">
        <f t="shared" si="2"/>
        <v>47130.310817666657</v>
      </c>
    </row>
    <row r="156" spans="1:9" ht="14.4">
      <c r="A156" s="10">
        <v>45775</v>
      </c>
      <c r="D156" s="8" t="s">
        <v>16</v>
      </c>
      <c r="E156" s="39"/>
      <c r="F156" s="39">
        <v>378.47</v>
      </c>
      <c r="G156" s="39">
        <f t="shared" si="2"/>
        <v>46751.840817666656</v>
      </c>
      <c r="I156" s="63"/>
    </row>
    <row r="157" spans="1:9" ht="14.4">
      <c r="A157" s="10">
        <v>45775</v>
      </c>
      <c r="D157" s="11" t="s">
        <v>235</v>
      </c>
      <c r="E157" s="39"/>
      <c r="F157" s="39">
        <v>3642.99</v>
      </c>
      <c r="G157" s="39">
        <f t="shared" si="2"/>
        <v>43108.850817666658</v>
      </c>
    </row>
    <row r="158" spans="1:9" ht="14.4">
      <c r="A158" s="10">
        <v>45775</v>
      </c>
      <c r="D158" s="8" t="s">
        <v>16</v>
      </c>
      <c r="E158" s="39"/>
      <c r="F158" s="39">
        <v>0.15</v>
      </c>
      <c r="G158" s="39">
        <f t="shared" si="2"/>
        <v>43108.700817666657</v>
      </c>
      <c r="I158" s="63"/>
    </row>
    <row r="159" spans="1:9" ht="14.4">
      <c r="A159" s="10">
        <v>45776</v>
      </c>
      <c r="D159" s="8" t="s">
        <v>364</v>
      </c>
      <c r="E159" s="39"/>
      <c r="F159" s="255">
        <v>1253.2</v>
      </c>
      <c r="G159" s="39">
        <f t="shared" si="2"/>
        <v>41855.50081766666</v>
      </c>
    </row>
    <row r="160" spans="1:9" ht="14.4">
      <c r="A160" s="10">
        <v>45776</v>
      </c>
      <c r="D160" s="8" t="s">
        <v>16</v>
      </c>
      <c r="E160" s="39"/>
      <c r="F160" s="39">
        <v>0.05</v>
      </c>
      <c r="G160" s="39">
        <f t="shared" si="2"/>
        <v>41855.450817666657</v>
      </c>
      <c r="I160" s="63"/>
    </row>
    <row r="161" spans="1:9" ht="14.4">
      <c r="A161" s="10">
        <v>45776</v>
      </c>
      <c r="D161" s="11" t="s">
        <v>277</v>
      </c>
      <c r="E161" s="39"/>
      <c r="F161" s="39">
        <v>10391.14</v>
      </c>
      <c r="G161" s="39">
        <f t="shared" si="2"/>
        <v>31464.310817666657</v>
      </c>
    </row>
    <row r="162" spans="1:9" ht="14.4">
      <c r="A162" s="10">
        <v>45776</v>
      </c>
      <c r="D162" s="11" t="s">
        <v>240</v>
      </c>
      <c r="E162" s="11"/>
      <c r="F162" s="39">
        <v>55.96</v>
      </c>
      <c r="G162" s="39">
        <f t="shared" si="2"/>
        <v>31408.350817666658</v>
      </c>
      <c r="I162" s="63"/>
    </row>
    <row r="163" spans="1:9" ht="14.4">
      <c r="A163" s="10">
        <v>45776</v>
      </c>
      <c r="D163" s="8" t="s">
        <v>16</v>
      </c>
      <c r="E163" s="39"/>
      <c r="F163" s="39">
        <v>0.5</v>
      </c>
      <c r="G163" s="39">
        <f t="shared" si="2"/>
        <v>31407.850817666658</v>
      </c>
    </row>
    <row r="164" spans="1:9" ht="14.4">
      <c r="A164" s="10">
        <v>45776</v>
      </c>
      <c r="D164" s="11" t="s">
        <v>241</v>
      </c>
      <c r="E164" s="11"/>
      <c r="F164" s="39">
        <v>698.37</v>
      </c>
      <c r="G164" s="39">
        <f t="shared" si="2"/>
        <v>30709.480817666659</v>
      </c>
    </row>
    <row r="165" spans="1:9" ht="14.4">
      <c r="A165" s="10">
        <v>45776</v>
      </c>
      <c r="D165" s="11" t="s">
        <v>240</v>
      </c>
      <c r="E165" s="11"/>
      <c r="F165" s="39">
        <v>11</v>
      </c>
      <c r="G165" s="39">
        <f t="shared" si="2"/>
        <v>30698.480817666659</v>
      </c>
    </row>
    <row r="166" spans="1:9" ht="14.4">
      <c r="A166" s="10">
        <v>45777</v>
      </c>
      <c r="D166" s="8" t="s">
        <v>10</v>
      </c>
      <c r="E166" s="11"/>
      <c r="F166" s="39">
        <v>5.5</v>
      </c>
      <c r="G166" s="39">
        <f t="shared" si="2"/>
        <v>30692.980817666659</v>
      </c>
    </row>
    <row r="167" spans="1:9" ht="14.4">
      <c r="A167" s="10">
        <v>45777</v>
      </c>
      <c r="D167" s="11" t="s">
        <v>192</v>
      </c>
      <c r="E167" s="11"/>
      <c r="F167" s="39">
        <v>35</v>
      </c>
      <c r="G167" s="39">
        <f t="shared" si="2"/>
        <v>30657.980817666659</v>
      </c>
    </row>
    <row r="168" spans="1:9" s="14" customFormat="1" ht="14.4">
      <c r="A168" s="13">
        <v>45777</v>
      </c>
      <c r="D168" s="14" t="s">
        <v>138</v>
      </c>
      <c r="G168" s="40">
        <f t="shared" si="2"/>
        <v>30657.980817666659</v>
      </c>
    </row>
    <row r="169" spans="1:9" ht="14.4">
      <c r="A169" s="10">
        <v>45778</v>
      </c>
      <c r="D169" s="8" t="s">
        <v>488</v>
      </c>
      <c r="E169" s="11"/>
      <c r="F169" s="11"/>
      <c r="G169" s="39">
        <f t="shared" si="2"/>
        <v>30657.980817666659</v>
      </c>
    </row>
    <row r="170" spans="1:9" ht="14.4">
      <c r="A170" s="10">
        <v>45785</v>
      </c>
      <c r="D170" s="11" t="s">
        <v>151</v>
      </c>
      <c r="E170" s="11"/>
      <c r="F170" s="39">
        <v>1199.54</v>
      </c>
      <c r="G170" s="39">
        <f t="shared" si="2"/>
        <v>29458.440817666658</v>
      </c>
    </row>
    <row r="171" spans="1:9" ht="14.4">
      <c r="A171" s="10">
        <v>45785</v>
      </c>
      <c r="D171" s="11" t="s">
        <v>152</v>
      </c>
      <c r="E171" s="11"/>
      <c r="F171" s="39">
        <v>2327.63</v>
      </c>
      <c r="G171" s="39">
        <f t="shared" si="2"/>
        <v>27130.810817666657</v>
      </c>
    </row>
    <row r="172" spans="1:9" ht="14.4">
      <c r="A172" s="10">
        <v>45785</v>
      </c>
      <c r="D172" s="11" t="s">
        <v>209</v>
      </c>
      <c r="E172" s="11"/>
      <c r="F172" s="39">
        <v>2396.6799999999998</v>
      </c>
      <c r="G172" s="39">
        <f t="shared" si="2"/>
        <v>24734.130817666657</v>
      </c>
    </row>
    <row r="173" spans="1:9" ht="14.4">
      <c r="A173" s="10">
        <v>45785</v>
      </c>
      <c r="D173" s="11" t="s">
        <v>16</v>
      </c>
      <c r="E173" s="11"/>
      <c r="F173" s="39">
        <v>0.25</v>
      </c>
      <c r="G173" s="39">
        <f t="shared" si="2"/>
        <v>24733.880817666657</v>
      </c>
      <c r="I173" s="63"/>
    </row>
    <row r="174" spans="1:9" ht="14.4">
      <c r="A174" s="10">
        <v>45786</v>
      </c>
      <c r="D174" s="11" t="s">
        <v>250</v>
      </c>
      <c r="E174" s="11"/>
      <c r="F174" s="39">
        <v>118</v>
      </c>
      <c r="G174" s="39">
        <f t="shared" si="2"/>
        <v>24615.880817666657</v>
      </c>
    </row>
    <row r="175" spans="1:9" ht="14.4">
      <c r="A175" s="10">
        <v>45786</v>
      </c>
      <c r="D175" s="11" t="s">
        <v>251</v>
      </c>
      <c r="E175" s="11"/>
      <c r="F175" s="39">
        <v>354.04</v>
      </c>
      <c r="G175" s="39">
        <f t="shared" si="2"/>
        <v>24261.840817666656</v>
      </c>
    </row>
    <row r="176" spans="1:9" ht="14.4">
      <c r="A176" s="10">
        <v>45786</v>
      </c>
      <c r="D176" s="11" t="s">
        <v>252</v>
      </c>
      <c r="E176" s="11"/>
      <c r="F176" s="39">
        <v>343.73</v>
      </c>
      <c r="G176" s="39">
        <f t="shared" si="2"/>
        <v>23918.110817666657</v>
      </c>
    </row>
    <row r="177" spans="1:9" ht="14.4">
      <c r="A177" s="10">
        <v>45790</v>
      </c>
      <c r="D177" s="11" t="s">
        <v>78</v>
      </c>
      <c r="E177" s="11"/>
      <c r="F177" s="39">
        <v>12653</v>
      </c>
      <c r="G177" s="39">
        <f t="shared" si="2"/>
        <v>11265.110817666657</v>
      </c>
    </row>
    <row r="178" spans="1:9" ht="14.4">
      <c r="A178" s="10">
        <v>45792</v>
      </c>
      <c r="D178" s="8" t="s">
        <v>262</v>
      </c>
      <c r="E178" s="11"/>
      <c r="F178" s="39">
        <v>4700</v>
      </c>
      <c r="G178" s="39">
        <f t="shared" si="2"/>
        <v>6565.1108176666567</v>
      </c>
      <c r="I178" s="63"/>
    </row>
    <row r="179" spans="1:9" ht="14.4">
      <c r="A179" s="10">
        <v>45792</v>
      </c>
      <c r="D179" s="11" t="s">
        <v>16</v>
      </c>
      <c r="E179" s="11"/>
      <c r="F179" s="39">
        <v>10</v>
      </c>
      <c r="G179" s="39">
        <f t="shared" si="2"/>
        <v>6555.1108176666567</v>
      </c>
      <c r="I179" s="63"/>
    </row>
    <row r="180" spans="1:9" ht="14.4">
      <c r="A180" s="10">
        <v>45793</v>
      </c>
      <c r="D180" s="8" t="s">
        <v>263</v>
      </c>
      <c r="E180" s="11"/>
      <c r="F180" s="39">
        <v>1116</v>
      </c>
      <c r="G180" s="39">
        <f t="shared" si="2"/>
        <v>5439.1108176666567</v>
      </c>
      <c r="I180" s="63"/>
    </row>
    <row r="181" spans="1:9" ht="14.4">
      <c r="A181" s="10">
        <v>45793</v>
      </c>
      <c r="D181" s="11" t="s">
        <v>16</v>
      </c>
      <c r="E181" s="11"/>
      <c r="F181" s="39">
        <v>0.2</v>
      </c>
      <c r="G181" s="39">
        <f t="shared" si="2"/>
        <v>5438.9108176666568</v>
      </c>
      <c r="I181" s="63"/>
    </row>
    <row r="182" spans="1:9" ht="14.4">
      <c r="A182" s="10">
        <v>45796</v>
      </c>
      <c r="D182" s="8" t="s">
        <v>266</v>
      </c>
      <c r="E182" s="11"/>
      <c r="F182" s="39">
        <v>177</v>
      </c>
      <c r="G182" s="39">
        <f t="shared" si="2"/>
        <v>5261.9108176666568</v>
      </c>
    </row>
    <row r="183" spans="1:9" ht="14.4">
      <c r="A183" s="10">
        <v>45803</v>
      </c>
      <c r="D183" s="8" t="s">
        <v>343</v>
      </c>
      <c r="E183" s="11"/>
      <c r="F183" s="39">
        <v>1930</v>
      </c>
      <c r="G183" s="39">
        <f t="shared" si="2"/>
        <v>3331.9108176666568</v>
      </c>
    </row>
    <row r="184" spans="1:9" ht="14.4">
      <c r="A184" s="10">
        <v>45803</v>
      </c>
      <c r="D184" s="8" t="s">
        <v>343</v>
      </c>
      <c r="E184" s="11"/>
      <c r="F184" s="39">
        <v>70</v>
      </c>
      <c r="G184" s="39">
        <f t="shared" si="2"/>
        <v>3261.9108176666568</v>
      </c>
    </row>
    <row r="185" spans="1:9" ht="14.4">
      <c r="A185" s="10">
        <v>45803</v>
      </c>
      <c r="D185" s="11" t="s">
        <v>16</v>
      </c>
      <c r="E185" s="11"/>
      <c r="F185" s="39">
        <v>0.05</v>
      </c>
      <c r="G185" s="39">
        <f t="shared" si="2"/>
        <v>3261.8608176666567</v>
      </c>
      <c r="I185" s="63"/>
    </row>
    <row r="186" spans="1:9" ht="14.4">
      <c r="A186" s="10">
        <v>45805</v>
      </c>
      <c r="D186" s="11" t="s">
        <v>276</v>
      </c>
      <c r="E186" s="39">
        <v>82543.72</v>
      </c>
      <c r="F186" s="39"/>
      <c r="G186" s="39">
        <f t="shared" si="2"/>
        <v>85805.580817666661</v>
      </c>
    </row>
    <row r="187" spans="1:9" ht="14.4">
      <c r="A187" s="10">
        <v>45805</v>
      </c>
      <c r="D187" s="11" t="s">
        <v>278</v>
      </c>
      <c r="E187" s="39"/>
      <c r="F187" s="39">
        <v>13447.123660999998</v>
      </c>
      <c r="G187" s="39">
        <f t="shared" si="2"/>
        <v>72358.457156666671</v>
      </c>
    </row>
    <row r="188" spans="1:9" ht="14.4">
      <c r="A188" s="10">
        <v>45805</v>
      </c>
      <c r="D188" s="8" t="s">
        <v>16</v>
      </c>
      <c r="E188" s="39"/>
      <c r="F188" s="39">
        <v>1.7</v>
      </c>
      <c r="G188" s="39">
        <f t="shared" si="2"/>
        <v>72356.757156666674</v>
      </c>
    </row>
    <row r="189" spans="1:9" ht="14.4">
      <c r="A189" s="10">
        <v>45805</v>
      </c>
      <c r="D189" s="11" t="s">
        <v>279</v>
      </c>
      <c r="E189" s="39"/>
      <c r="F189" s="39">
        <v>10842.7</v>
      </c>
      <c r="G189" s="39">
        <f t="shared" si="2"/>
        <v>61514.057156666677</v>
      </c>
      <c r="I189" s="63"/>
    </row>
    <row r="190" spans="1:9" ht="14.4">
      <c r="A190" s="10">
        <v>45805</v>
      </c>
      <c r="D190" s="11" t="s">
        <v>240</v>
      </c>
      <c r="E190" s="11"/>
      <c r="F190" s="244">
        <v>58.21</v>
      </c>
      <c r="G190" s="39">
        <f t="shared" si="2"/>
        <v>61455.847156666678</v>
      </c>
      <c r="H190" s="63">
        <f>F190/3.61</f>
        <v>16.124653739612189</v>
      </c>
    </row>
    <row r="191" spans="1:9" ht="14.4">
      <c r="A191" s="10">
        <v>45805</v>
      </c>
      <c r="D191" s="11" t="s">
        <v>280</v>
      </c>
      <c r="E191" s="39"/>
      <c r="F191" s="39">
        <v>10856.93</v>
      </c>
      <c r="G191" s="39">
        <f t="shared" si="2"/>
        <v>50598.917156666677</v>
      </c>
      <c r="I191" s="63"/>
    </row>
    <row r="192" spans="1:9" ht="14.4">
      <c r="A192" s="10">
        <v>45805</v>
      </c>
      <c r="D192" s="11" t="s">
        <v>281</v>
      </c>
      <c r="E192" s="39"/>
      <c r="F192" s="244">
        <v>58.28</v>
      </c>
      <c r="G192" s="39">
        <f t="shared" si="2"/>
        <v>50540.637156666678</v>
      </c>
      <c r="H192" s="63">
        <f>F192/3.61</f>
        <v>16.144044321329641</v>
      </c>
      <c r="I192" s="63"/>
    </row>
    <row r="193" spans="1:9" ht="14.4">
      <c r="A193" s="10">
        <v>45805</v>
      </c>
      <c r="D193" s="11" t="s">
        <v>282</v>
      </c>
      <c r="E193" s="39"/>
      <c r="F193" s="39">
        <v>1400.27</v>
      </c>
      <c r="G193" s="39">
        <f t="shared" si="2"/>
        <v>49140.367156666682</v>
      </c>
      <c r="I193" s="63"/>
    </row>
    <row r="194" spans="1:9" ht="14.4">
      <c r="A194" s="10">
        <v>45805</v>
      </c>
      <c r="D194" s="8" t="s">
        <v>16</v>
      </c>
      <c r="E194" s="39"/>
      <c r="F194" s="39">
        <v>0</v>
      </c>
      <c r="G194" s="39">
        <f t="shared" si="2"/>
        <v>49140.367156666682</v>
      </c>
      <c r="I194" s="63"/>
    </row>
    <row r="195" spans="1:9" ht="14.4">
      <c r="A195" s="10">
        <v>45806</v>
      </c>
      <c r="D195" s="11" t="s">
        <v>283</v>
      </c>
      <c r="E195" s="11"/>
      <c r="F195" s="39">
        <v>10493.56</v>
      </c>
      <c r="G195" s="39">
        <f t="shared" si="2"/>
        <v>38646.807156666684</v>
      </c>
      <c r="I195" s="63"/>
    </row>
    <row r="196" spans="1:9" ht="14.4">
      <c r="A196" s="10">
        <v>45806</v>
      </c>
      <c r="D196" s="11" t="s">
        <v>240</v>
      </c>
      <c r="E196" s="11"/>
      <c r="F196" s="244">
        <f>56.47</f>
        <v>56.47</v>
      </c>
      <c r="G196" s="39">
        <f t="shared" si="2"/>
        <v>38590.337156666683</v>
      </c>
      <c r="H196" s="63">
        <f>F196/3.61</f>
        <v>15.642659279778394</v>
      </c>
      <c r="I196" s="63"/>
    </row>
    <row r="197" spans="1:9" ht="14.4">
      <c r="A197" s="10">
        <v>45806</v>
      </c>
      <c r="D197" s="8" t="s">
        <v>324</v>
      </c>
      <c r="E197" s="11"/>
      <c r="F197" s="39">
        <v>826</v>
      </c>
      <c r="G197" s="39">
        <f t="shared" si="2"/>
        <v>37764.337156666683</v>
      </c>
    </row>
    <row r="198" spans="1:9" ht="14.4">
      <c r="A198" s="10">
        <v>45806</v>
      </c>
      <c r="D198" s="306" t="s">
        <v>457</v>
      </c>
      <c r="E198" s="11"/>
      <c r="F198" s="39">
        <v>1613</v>
      </c>
      <c r="G198" s="39">
        <f t="shared" ref="G198:G261" si="3">G197+E198-F198</f>
        <v>36151.337156666683</v>
      </c>
    </row>
    <row r="199" spans="1:9" ht="14.4">
      <c r="A199" s="10">
        <v>45806</v>
      </c>
      <c r="D199" s="8" t="s">
        <v>16</v>
      </c>
      <c r="E199" s="11"/>
      <c r="F199" s="39">
        <v>0.55000000000000004</v>
      </c>
      <c r="G199" s="39">
        <f t="shared" si="3"/>
        <v>36150.78715666668</v>
      </c>
      <c r="I199" s="63"/>
    </row>
    <row r="200" spans="1:9" ht="14.4">
      <c r="A200" s="10">
        <v>45808</v>
      </c>
      <c r="D200" s="8" t="s">
        <v>10</v>
      </c>
      <c r="E200" s="11"/>
      <c r="F200" s="39">
        <v>5.5</v>
      </c>
      <c r="G200" s="39">
        <f t="shared" si="3"/>
        <v>36145.28715666668</v>
      </c>
    </row>
    <row r="201" spans="1:9" ht="14.4">
      <c r="A201" s="10">
        <v>45808</v>
      </c>
      <c r="D201" s="11" t="s">
        <v>192</v>
      </c>
      <c r="E201" s="11"/>
      <c r="F201" s="39">
        <v>35</v>
      </c>
      <c r="G201" s="39">
        <f t="shared" si="3"/>
        <v>36110.28715666668</v>
      </c>
      <c r="I201" s="63"/>
    </row>
    <row r="202" spans="1:9" s="14" customFormat="1" ht="14.4">
      <c r="A202" s="13">
        <v>45808</v>
      </c>
      <c r="D202" s="14" t="s">
        <v>138</v>
      </c>
      <c r="G202" s="40">
        <f t="shared" si="3"/>
        <v>36110.28715666668</v>
      </c>
    </row>
    <row r="203" spans="1:9" ht="14.4">
      <c r="A203" s="10">
        <v>45809</v>
      </c>
      <c r="D203" s="8" t="s">
        <v>488</v>
      </c>
      <c r="E203" s="11"/>
      <c r="F203" s="11"/>
      <c r="G203" s="39">
        <f t="shared" si="3"/>
        <v>36110.28715666668</v>
      </c>
    </row>
    <row r="204" spans="1:9" ht="14.4">
      <c r="A204" s="10">
        <v>45810</v>
      </c>
      <c r="D204" s="8" t="s">
        <v>293</v>
      </c>
      <c r="E204" s="11"/>
      <c r="F204" s="39">
        <v>118</v>
      </c>
      <c r="G204" s="39">
        <f t="shared" si="3"/>
        <v>35992.28715666668</v>
      </c>
    </row>
    <row r="205" spans="1:9" ht="14.4">
      <c r="A205" s="10">
        <v>45810</v>
      </c>
      <c r="D205" s="8" t="s">
        <v>294</v>
      </c>
      <c r="E205" s="11"/>
      <c r="F205" s="39">
        <v>354.03</v>
      </c>
      <c r="G205" s="39">
        <f t="shared" si="3"/>
        <v>35638.257156666681</v>
      </c>
    </row>
    <row r="206" spans="1:9" ht="14.4">
      <c r="A206" s="10">
        <v>45810</v>
      </c>
      <c r="D206" s="8" t="s">
        <v>295</v>
      </c>
      <c r="E206" s="11"/>
      <c r="F206" s="39">
        <v>343.72</v>
      </c>
      <c r="G206" s="39">
        <f t="shared" si="3"/>
        <v>35294.53715666668</v>
      </c>
    </row>
    <row r="207" spans="1:9" ht="14.4">
      <c r="A207" s="10">
        <v>45810</v>
      </c>
      <c r="D207" s="8" t="s">
        <v>287</v>
      </c>
      <c r="E207" s="11"/>
      <c r="F207" s="39">
        <v>826</v>
      </c>
      <c r="G207" s="39">
        <f t="shared" si="3"/>
        <v>34468.53715666668</v>
      </c>
    </row>
    <row r="208" spans="1:9" ht="14.4">
      <c r="A208" s="10">
        <v>45814</v>
      </c>
      <c r="D208" s="8" t="s">
        <v>497</v>
      </c>
      <c r="E208" s="11"/>
      <c r="F208" s="39">
        <v>2508</v>
      </c>
      <c r="G208" s="39">
        <f t="shared" si="3"/>
        <v>31960.53715666668</v>
      </c>
    </row>
    <row r="209" spans="1:10" ht="14.4">
      <c r="A209" s="10">
        <v>45814</v>
      </c>
      <c r="D209" s="8" t="s">
        <v>16</v>
      </c>
      <c r="E209" s="11"/>
      <c r="F209" s="39">
        <v>0.1</v>
      </c>
      <c r="G209" s="39">
        <f t="shared" si="3"/>
        <v>31960.437156666681</v>
      </c>
    </row>
    <row r="210" spans="1:10" ht="14.4">
      <c r="A210" s="10">
        <v>45814</v>
      </c>
      <c r="D210" s="8" t="s">
        <v>496</v>
      </c>
      <c r="E210" s="11"/>
      <c r="F210" s="39">
        <v>2508</v>
      </c>
      <c r="G210" s="39">
        <f t="shared" si="3"/>
        <v>29452.437156666681</v>
      </c>
      <c r="I210" s="63"/>
    </row>
    <row r="211" spans="1:10" ht="14.4">
      <c r="A211" s="10">
        <v>45814</v>
      </c>
      <c r="D211" s="8" t="s">
        <v>16</v>
      </c>
      <c r="E211" s="11"/>
      <c r="F211" s="39">
        <v>0.1</v>
      </c>
      <c r="G211" s="39">
        <f t="shared" si="3"/>
        <v>29452.337156666683</v>
      </c>
      <c r="I211" s="63"/>
    </row>
    <row r="212" spans="1:10" ht="14.4">
      <c r="A212" s="10">
        <v>45817</v>
      </c>
      <c r="D212" s="8" t="s">
        <v>311</v>
      </c>
      <c r="F212" s="39">
        <v>3897.9</v>
      </c>
      <c r="G212" s="39">
        <f t="shared" si="3"/>
        <v>25554.437156666681</v>
      </c>
    </row>
    <row r="213" spans="1:10" ht="14.4">
      <c r="A213" s="10">
        <v>45817</v>
      </c>
      <c r="D213" s="8" t="s">
        <v>16</v>
      </c>
      <c r="E213" s="11"/>
      <c r="F213" s="39">
        <v>0.05</v>
      </c>
      <c r="G213" s="39">
        <f t="shared" si="3"/>
        <v>25554.387156666682</v>
      </c>
      <c r="I213" s="63"/>
    </row>
    <row r="214" spans="1:10" ht="14.4">
      <c r="A214" s="10">
        <v>45817</v>
      </c>
      <c r="D214" s="8" t="s">
        <v>310</v>
      </c>
      <c r="F214" s="39">
        <f>1400+390.28</f>
        <v>1790.28</v>
      </c>
      <c r="G214" s="39">
        <f t="shared" si="3"/>
        <v>23764.107156666683</v>
      </c>
    </row>
    <row r="215" spans="1:10" ht="14.4">
      <c r="A215" s="10">
        <v>45818</v>
      </c>
      <c r="D215" s="8" t="s">
        <v>495</v>
      </c>
      <c r="E215" s="11"/>
      <c r="F215" s="39">
        <v>2508</v>
      </c>
      <c r="G215" s="39">
        <f t="shared" si="3"/>
        <v>21256.107156666683</v>
      </c>
    </row>
    <row r="216" spans="1:10" ht="14.4">
      <c r="A216" s="10">
        <v>45818</v>
      </c>
      <c r="D216" s="8" t="s">
        <v>16</v>
      </c>
      <c r="E216" s="11"/>
      <c r="F216" s="39">
        <v>1.02</v>
      </c>
      <c r="G216" s="39">
        <f t="shared" si="3"/>
        <v>21255.087156666683</v>
      </c>
    </row>
    <row r="217" spans="1:10" ht="14.4">
      <c r="A217" s="10">
        <v>45818</v>
      </c>
      <c r="D217" s="8" t="s">
        <v>494</v>
      </c>
      <c r="E217" s="11"/>
      <c r="F217" s="307">
        <v>2508</v>
      </c>
      <c r="G217" s="39">
        <f t="shared" si="3"/>
        <v>18747.087156666683</v>
      </c>
      <c r="H217" s="63">
        <f>F217/3.518</f>
        <v>712.90505969300739</v>
      </c>
    </row>
    <row r="218" spans="1:10" ht="14.4">
      <c r="A218" s="10">
        <v>45818</v>
      </c>
      <c r="D218" s="8" t="s">
        <v>16</v>
      </c>
      <c r="E218" s="11"/>
      <c r="F218" s="39">
        <v>1.02</v>
      </c>
      <c r="G218" s="39">
        <f t="shared" si="3"/>
        <v>18746.067156666682</v>
      </c>
      <c r="I218" s="63"/>
      <c r="J218" s="63"/>
    </row>
    <row r="219" spans="1:10" ht="14.4">
      <c r="A219" s="10">
        <v>45820</v>
      </c>
      <c r="D219" s="11" t="s">
        <v>78</v>
      </c>
      <c r="F219" s="39">
        <v>9857</v>
      </c>
      <c r="G219" s="39">
        <f t="shared" si="3"/>
        <v>8889.0671566666824</v>
      </c>
    </row>
    <row r="220" spans="1:10" ht="14.4">
      <c r="A220" s="249">
        <v>45821</v>
      </c>
      <c r="B220" s="250"/>
      <c r="C220" s="250"/>
      <c r="D220" s="250" t="s">
        <v>493</v>
      </c>
      <c r="E220" s="250"/>
      <c r="F220" s="251">
        <v>2508</v>
      </c>
      <c r="G220" s="39">
        <f t="shared" si="3"/>
        <v>6381.0671566666824</v>
      </c>
      <c r="H220" s="63">
        <f>F220/3.518</f>
        <v>712.90505969300739</v>
      </c>
    </row>
    <row r="221" spans="1:10" ht="14.4">
      <c r="A221" s="10">
        <v>45821</v>
      </c>
      <c r="D221" s="8" t="s">
        <v>16</v>
      </c>
      <c r="E221" s="11"/>
      <c r="F221" s="39">
        <v>0.1</v>
      </c>
      <c r="G221" s="39">
        <f t="shared" si="3"/>
        <v>6380.9671566666821</v>
      </c>
      <c r="I221" s="63"/>
    </row>
    <row r="222" spans="1:10" ht="14.4">
      <c r="A222" s="10">
        <v>45824</v>
      </c>
      <c r="D222" s="8" t="s">
        <v>312</v>
      </c>
      <c r="F222" s="39">
        <v>1227</v>
      </c>
      <c r="G222" s="39">
        <f t="shared" si="3"/>
        <v>5153.9671566666821</v>
      </c>
    </row>
    <row r="223" spans="1:10" ht="14.4">
      <c r="A223" s="10">
        <v>45824</v>
      </c>
      <c r="D223" s="8" t="s">
        <v>16</v>
      </c>
      <c r="E223" s="11"/>
      <c r="F223" s="39">
        <v>0.1</v>
      </c>
      <c r="G223" s="39">
        <f t="shared" si="3"/>
        <v>5153.8671566666817</v>
      </c>
    </row>
    <row r="224" spans="1:10" ht="14.4">
      <c r="A224" s="10">
        <v>45824</v>
      </c>
      <c r="D224" s="11" t="s">
        <v>66</v>
      </c>
      <c r="F224" s="39">
        <v>10</v>
      </c>
      <c r="G224" s="39">
        <f t="shared" si="3"/>
        <v>5143.8671566666817</v>
      </c>
    </row>
    <row r="225" spans="1:9" ht="14.4">
      <c r="A225" s="10">
        <v>45824</v>
      </c>
      <c r="D225" s="8" t="s">
        <v>490</v>
      </c>
      <c r="E225" s="307">
        <v>2508</v>
      </c>
      <c r="F225" s="39"/>
      <c r="G225" s="39">
        <f t="shared" si="3"/>
        <v>7651.8671566666817</v>
      </c>
      <c r="H225" s="63"/>
    </row>
    <row r="226" spans="1:9" ht="14.4">
      <c r="A226" s="10">
        <v>45827</v>
      </c>
      <c r="D226" s="8" t="s">
        <v>313</v>
      </c>
      <c r="F226" s="39">
        <f>300*3.637</f>
        <v>1091.0999999999999</v>
      </c>
      <c r="G226" s="39">
        <f t="shared" si="3"/>
        <v>6560.7671566666813</v>
      </c>
    </row>
    <row r="227" spans="1:9" ht="14.4">
      <c r="A227" s="10">
        <v>45833</v>
      </c>
      <c r="D227" s="8" t="s">
        <v>342</v>
      </c>
      <c r="E227" s="39"/>
      <c r="F227" s="39">
        <v>28</v>
      </c>
      <c r="G227" s="39">
        <f t="shared" si="3"/>
        <v>6532.7671566666813</v>
      </c>
    </row>
    <row r="228" spans="1:9" ht="14.4">
      <c r="A228" s="10">
        <v>45833</v>
      </c>
      <c r="D228" s="8" t="s">
        <v>325</v>
      </c>
      <c r="E228" s="39"/>
      <c r="F228" s="39">
        <v>1416</v>
      </c>
      <c r="G228" s="39">
        <f t="shared" si="3"/>
        <v>5116.7671566666813</v>
      </c>
    </row>
    <row r="229" spans="1:9" ht="14.4">
      <c r="A229" s="10">
        <v>45834</v>
      </c>
      <c r="D229" s="11" t="s">
        <v>327</v>
      </c>
      <c r="E229" s="39">
        <v>26286.65</v>
      </c>
      <c r="F229" s="39"/>
      <c r="G229" s="39">
        <f t="shared" si="3"/>
        <v>31403.417156666685</v>
      </c>
    </row>
    <row r="230" spans="1:9" ht="14.4">
      <c r="A230" s="10">
        <v>45834</v>
      </c>
      <c r="D230" s="11" t="s">
        <v>327</v>
      </c>
      <c r="E230" s="39">
        <v>66148.539999999994</v>
      </c>
      <c r="F230" s="39"/>
      <c r="G230" s="39">
        <f t="shared" si="3"/>
        <v>97551.957156666671</v>
      </c>
    </row>
    <row r="231" spans="1:9" ht="14.4">
      <c r="A231" s="10">
        <v>45834</v>
      </c>
      <c r="D231" s="11" t="s">
        <v>328</v>
      </c>
      <c r="E231" s="39"/>
      <c r="F231" s="39">
        <v>13319.616160999998</v>
      </c>
      <c r="G231" s="39">
        <f t="shared" si="3"/>
        <v>84232.340995666673</v>
      </c>
    </row>
    <row r="232" spans="1:9" ht="14.4">
      <c r="A232" s="10">
        <v>45834</v>
      </c>
      <c r="D232" s="8" t="s">
        <v>16</v>
      </c>
      <c r="E232" s="39"/>
      <c r="F232" s="39">
        <v>1.7</v>
      </c>
      <c r="G232" s="39">
        <f t="shared" si="3"/>
        <v>84230.640995666676</v>
      </c>
    </row>
    <row r="233" spans="1:9" ht="14.4">
      <c r="A233" s="10">
        <v>45834</v>
      </c>
      <c r="D233" s="11" t="s">
        <v>329</v>
      </c>
      <c r="E233" s="39"/>
      <c r="F233" s="39">
        <v>10717.392910999999</v>
      </c>
      <c r="G233" s="39">
        <f t="shared" si="3"/>
        <v>73513.248084666673</v>
      </c>
    </row>
    <row r="234" spans="1:9" ht="14.4">
      <c r="A234" s="10">
        <v>45834</v>
      </c>
      <c r="D234" s="11" t="s">
        <v>240</v>
      </c>
      <c r="E234" s="11"/>
      <c r="F234" s="39">
        <f>10774.98-F233</f>
        <v>57.58708900000056</v>
      </c>
      <c r="G234" s="39">
        <f t="shared" si="3"/>
        <v>73455.660995666665</v>
      </c>
    </row>
    <row r="235" spans="1:9" ht="14.4">
      <c r="A235" s="10">
        <v>45834</v>
      </c>
      <c r="D235" s="11" t="s">
        <v>330</v>
      </c>
      <c r="E235" s="39"/>
      <c r="F235" s="39">
        <v>10812.081292125</v>
      </c>
      <c r="G235" s="39">
        <f t="shared" si="3"/>
        <v>62643.579703541662</v>
      </c>
    </row>
    <row r="236" spans="1:9" ht="14.4">
      <c r="A236" s="10">
        <v>45834</v>
      </c>
      <c r="D236" s="11" t="s">
        <v>281</v>
      </c>
      <c r="E236" s="39"/>
      <c r="F236" s="39">
        <f>10870.14-F235</f>
        <v>58.058707874999527</v>
      </c>
      <c r="G236" s="39">
        <f t="shared" si="3"/>
        <v>62585.520995666666</v>
      </c>
      <c r="H236" s="39"/>
      <c r="I236" s="63"/>
    </row>
    <row r="237" spans="1:9" ht="14.4">
      <c r="A237" s="10">
        <v>45834</v>
      </c>
      <c r="D237" s="11" t="s">
        <v>331</v>
      </c>
      <c r="E237" s="39"/>
      <c r="F237" s="39">
        <v>14539.09</v>
      </c>
      <c r="G237" s="39">
        <f t="shared" si="3"/>
        <v>48046.430995666669</v>
      </c>
      <c r="I237" s="63"/>
    </row>
    <row r="238" spans="1:9" ht="14.4">
      <c r="A238" s="10">
        <v>45834</v>
      </c>
      <c r="D238" s="8" t="s">
        <v>16</v>
      </c>
      <c r="E238" s="39"/>
      <c r="F238" s="39">
        <v>0.7</v>
      </c>
      <c r="G238" s="39">
        <f t="shared" si="3"/>
        <v>48045.730995666672</v>
      </c>
      <c r="I238" s="63"/>
    </row>
    <row r="239" spans="1:9" ht="14.4">
      <c r="A239" s="10">
        <v>45835</v>
      </c>
      <c r="D239" s="11" t="s">
        <v>332</v>
      </c>
      <c r="E239" s="39"/>
      <c r="F239" s="39">
        <v>9067.23</v>
      </c>
      <c r="G239" s="39">
        <f t="shared" si="3"/>
        <v>38978.500995666676</v>
      </c>
    </row>
    <row r="240" spans="1:9" ht="14.4">
      <c r="A240" s="10">
        <v>45835</v>
      </c>
      <c r="D240" s="11" t="s">
        <v>240</v>
      </c>
      <c r="E240" s="11"/>
      <c r="F240" s="39">
        <v>49.34</v>
      </c>
      <c r="G240" s="39">
        <f t="shared" si="3"/>
        <v>38929.16099566668</v>
      </c>
    </row>
    <row r="241" spans="1:12" ht="14.4">
      <c r="A241" s="10">
        <v>45835</v>
      </c>
      <c r="D241" s="11" t="s">
        <v>333</v>
      </c>
      <c r="F241" s="39">
        <v>9213.57</v>
      </c>
      <c r="G241" s="39">
        <f t="shared" si="3"/>
        <v>29715.59099566668</v>
      </c>
    </row>
    <row r="242" spans="1:12" ht="14.4">
      <c r="A242" s="10">
        <v>45835</v>
      </c>
      <c r="D242" s="11" t="s">
        <v>281</v>
      </c>
      <c r="F242" s="39">
        <v>50.07</v>
      </c>
      <c r="G242" s="39">
        <f t="shared" si="3"/>
        <v>29665.52099566668</v>
      </c>
      <c r="I242" s="63"/>
    </row>
    <row r="243" spans="1:12" ht="14.4">
      <c r="A243" s="10">
        <v>45835</v>
      </c>
      <c r="D243" s="8" t="s">
        <v>16</v>
      </c>
      <c r="F243" s="39">
        <v>0.9</v>
      </c>
      <c r="G243" s="39">
        <f t="shared" si="3"/>
        <v>29664.620995666679</v>
      </c>
      <c r="I243" s="63"/>
    </row>
    <row r="244" spans="1:12" ht="14.4">
      <c r="A244" s="10">
        <v>45838</v>
      </c>
      <c r="D244" s="8" t="s">
        <v>10</v>
      </c>
      <c r="E244" s="11"/>
      <c r="F244" s="39">
        <v>5.5</v>
      </c>
      <c r="G244" s="39">
        <f t="shared" si="3"/>
        <v>29659.120995666679</v>
      </c>
    </row>
    <row r="245" spans="1:12" ht="14.4">
      <c r="A245" s="10">
        <v>45838</v>
      </c>
      <c r="D245" s="11" t="s">
        <v>192</v>
      </c>
      <c r="E245" s="11"/>
      <c r="F245" s="39">
        <v>35</v>
      </c>
      <c r="G245" s="39">
        <f t="shared" si="3"/>
        <v>29624.120995666679</v>
      </c>
    </row>
    <row r="246" spans="1:12" s="14" customFormat="1" ht="14.25" customHeight="1">
      <c r="A246" s="13">
        <v>45838</v>
      </c>
      <c r="D246" s="14" t="s">
        <v>138</v>
      </c>
      <c r="G246" s="40">
        <f t="shared" si="3"/>
        <v>29624.120995666679</v>
      </c>
    </row>
    <row r="247" spans="1:12" ht="14.4">
      <c r="A247" s="10">
        <v>45839</v>
      </c>
      <c r="D247" s="8" t="s">
        <v>488</v>
      </c>
      <c r="G247" s="39">
        <f t="shared" si="3"/>
        <v>29624.120995666679</v>
      </c>
    </row>
    <row r="248" spans="1:12" ht="14.4">
      <c r="A248" s="10">
        <v>45840</v>
      </c>
      <c r="D248" s="306" t="s">
        <v>365</v>
      </c>
      <c r="F248" s="39">
        <v>1613</v>
      </c>
      <c r="G248" s="39">
        <f t="shared" si="3"/>
        <v>28011.120995666679</v>
      </c>
      <c r="H248" s="63"/>
    </row>
    <row r="249" spans="1:12" ht="14.4">
      <c r="A249" s="10">
        <v>45840</v>
      </c>
      <c r="D249" s="8" t="s">
        <v>16</v>
      </c>
      <c r="F249" s="39">
        <v>0.05</v>
      </c>
      <c r="G249" s="39">
        <f t="shared" si="3"/>
        <v>28011.07099566668</v>
      </c>
    </row>
    <row r="250" spans="1:12" ht="14.4">
      <c r="A250" s="10">
        <v>45842</v>
      </c>
      <c r="D250" s="8" t="s">
        <v>348</v>
      </c>
      <c r="F250" s="39">
        <v>3893.91</v>
      </c>
      <c r="G250" s="39">
        <f t="shared" si="3"/>
        <v>24117.16099566668</v>
      </c>
      <c r="H250" s="63"/>
      <c r="I250" s="63"/>
    </row>
    <row r="251" spans="1:12" ht="14.4">
      <c r="A251" s="10">
        <v>45842</v>
      </c>
      <c r="D251" s="8" t="s">
        <v>16</v>
      </c>
      <c r="F251" s="39">
        <v>0.2</v>
      </c>
      <c r="G251" s="39">
        <f t="shared" si="3"/>
        <v>24116.960995666679</v>
      </c>
    </row>
    <row r="252" spans="1:12" ht="14.4">
      <c r="A252" s="10">
        <v>45842</v>
      </c>
      <c r="D252" s="8" t="s">
        <v>349</v>
      </c>
      <c r="F252" s="39">
        <v>1790.28</v>
      </c>
      <c r="G252" s="39">
        <f t="shared" si="3"/>
        <v>22326.68099566668</v>
      </c>
      <c r="H252" s="63"/>
      <c r="I252" s="63"/>
    </row>
    <row r="253" spans="1:12" ht="14.4">
      <c r="A253" s="10">
        <v>45842</v>
      </c>
      <c r="D253" s="8" t="s">
        <v>350</v>
      </c>
      <c r="F253" s="39">
        <v>118</v>
      </c>
      <c r="G253" s="39">
        <f t="shared" si="3"/>
        <v>22208.68099566668</v>
      </c>
      <c r="H253" s="63"/>
    </row>
    <row r="254" spans="1:12" ht="14.4">
      <c r="A254" s="10">
        <v>45842</v>
      </c>
      <c r="D254" s="8" t="s">
        <v>351</v>
      </c>
      <c r="F254" s="39">
        <v>354.03</v>
      </c>
      <c r="G254" s="39">
        <f t="shared" si="3"/>
        <v>21854.650995666681</v>
      </c>
      <c r="H254" s="63"/>
      <c r="L254" s="63"/>
    </row>
    <row r="255" spans="1:12" ht="14.4">
      <c r="A255" s="10">
        <v>45842</v>
      </c>
      <c r="D255" s="8" t="s">
        <v>352</v>
      </c>
      <c r="F255" s="39">
        <v>343.72</v>
      </c>
      <c r="G255" s="39">
        <f t="shared" si="3"/>
        <v>21510.93099566668</v>
      </c>
      <c r="H255" s="63"/>
      <c r="L255" s="63"/>
    </row>
    <row r="256" spans="1:12" ht="14.4">
      <c r="A256" s="10">
        <v>45842</v>
      </c>
      <c r="D256" s="8" t="s">
        <v>353</v>
      </c>
      <c r="F256" s="39">
        <v>179.6</v>
      </c>
      <c r="G256" s="39">
        <f t="shared" si="3"/>
        <v>21331.330995666682</v>
      </c>
      <c r="H256" s="63"/>
      <c r="L256" s="63"/>
    </row>
    <row r="257" spans="1:14" ht="14.4">
      <c r="A257" s="10">
        <v>45842</v>
      </c>
      <c r="D257" s="8" t="s">
        <v>16</v>
      </c>
      <c r="E257" s="11"/>
      <c r="F257" s="39">
        <v>0.02</v>
      </c>
      <c r="G257" s="39">
        <f t="shared" si="3"/>
        <v>21331.310995666681</v>
      </c>
      <c r="I257" s="63"/>
    </row>
    <row r="258" spans="1:14" ht="14.4">
      <c r="A258" s="10">
        <v>45847</v>
      </c>
      <c r="D258" s="11" t="s">
        <v>78</v>
      </c>
      <c r="F258" s="39">
        <v>9916</v>
      </c>
      <c r="G258" s="39">
        <f t="shared" si="3"/>
        <v>11415.310995666681</v>
      </c>
    </row>
    <row r="259" spans="1:14" ht="14.4">
      <c r="A259" s="10">
        <v>45849</v>
      </c>
      <c r="D259" s="11" t="s">
        <v>316</v>
      </c>
      <c r="E259" s="39">
        <v>9439.9500000000007</v>
      </c>
      <c r="F259" s="39"/>
      <c r="G259" s="39">
        <f t="shared" si="3"/>
        <v>20855.260995666682</v>
      </c>
      <c r="H259" s="39"/>
      <c r="I259" s="63"/>
      <c r="J259" s="27"/>
      <c r="L259" s="63"/>
      <c r="N259" s="63"/>
    </row>
    <row r="260" spans="1:14" ht="14.4">
      <c r="A260" s="10">
        <v>45849</v>
      </c>
      <c r="D260" s="11" t="s">
        <v>363</v>
      </c>
      <c r="E260" s="39"/>
      <c r="F260" s="39">
        <v>16996.95</v>
      </c>
      <c r="G260" s="39">
        <f t="shared" si="3"/>
        <v>3858.3109956666813</v>
      </c>
      <c r="J260" s="11" t="s">
        <v>369</v>
      </c>
      <c r="K260" s="27">
        <f>H261+100</f>
        <v>100</v>
      </c>
    </row>
    <row r="261" spans="1:14" ht="14.4">
      <c r="A261" s="10">
        <v>45849</v>
      </c>
      <c r="D261" s="8" t="s">
        <v>16</v>
      </c>
      <c r="E261" s="39"/>
      <c r="F261" s="39">
        <v>0.8</v>
      </c>
      <c r="G261" s="39">
        <f t="shared" si="3"/>
        <v>3857.5109956666811</v>
      </c>
      <c r="H261" s="27"/>
      <c r="I261" s="63"/>
      <c r="J261" s="11" t="s">
        <v>366</v>
      </c>
      <c r="K261" s="27">
        <f>$H$217+$H$220</f>
        <v>1425.8101193860148</v>
      </c>
      <c r="L261" s="11" t="s">
        <v>373</v>
      </c>
    </row>
    <row r="262" spans="1:14" ht="14.4">
      <c r="A262" s="10">
        <v>45852</v>
      </c>
      <c r="D262" s="8" t="s">
        <v>338</v>
      </c>
      <c r="F262" s="39">
        <v>1540</v>
      </c>
      <c r="G262" s="39">
        <f>G261+E262-F262</f>
        <v>2317.5109956666811</v>
      </c>
      <c r="J262" s="11" t="s">
        <v>367</v>
      </c>
      <c r="K262" s="27">
        <v>280</v>
      </c>
      <c r="L262" s="11" t="s">
        <v>373</v>
      </c>
      <c r="M262" s="38">
        <f>K261+K262+K263+K264</f>
        <v>2927.7318780769497</v>
      </c>
    </row>
    <row r="263" spans="1:14" ht="14.4">
      <c r="A263" s="10">
        <v>45852</v>
      </c>
      <c r="D263" s="11" t="s">
        <v>316</v>
      </c>
      <c r="E263" s="39">
        <v>13770.9</v>
      </c>
      <c r="F263" s="39"/>
      <c r="G263" s="39">
        <f>G262+E263-F263</f>
        <v>16088.41099566668</v>
      </c>
      <c r="J263" s="11" t="s">
        <v>368</v>
      </c>
      <c r="K263" s="27">
        <f>4121/3.518</f>
        <v>1171.404206935759</v>
      </c>
      <c r="L263" s="11" t="s">
        <v>373</v>
      </c>
    </row>
    <row r="264" spans="1:14" ht="14.4">
      <c r="A264" s="10">
        <v>45852</v>
      </c>
      <c r="D264" s="11" t="s">
        <v>381</v>
      </c>
      <c r="E264" s="39"/>
      <c r="F264" s="39">
        <v>7630</v>
      </c>
      <c r="G264" s="39">
        <f t="shared" ref="G264:G328" si="4">G263+E264-F264</f>
        <v>8458.4109956666798</v>
      </c>
      <c r="J264" s="11" t="s">
        <v>372</v>
      </c>
      <c r="K264" s="27">
        <f>'FLUJO CAJA JULIO'!E40</f>
        <v>50.517551755175511</v>
      </c>
      <c r="L264" s="11" t="s">
        <v>373</v>
      </c>
    </row>
    <row r="265" spans="1:14" ht="14.4">
      <c r="A265" s="10">
        <v>45852</v>
      </c>
      <c r="D265" s="11" t="s">
        <v>380</v>
      </c>
      <c r="E265" s="39"/>
      <c r="F265" s="39">
        <v>42.15</v>
      </c>
      <c r="G265" s="39">
        <f t="shared" si="4"/>
        <v>8416.2609956666802</v>
      </c>
      <c r="J265" s="19" t="s">
        <v>61</v>
      </c>
      <c r="K265" s="256">
        <f>SUM(K260:K264)</f>
        <v>3027.7318780769497</v>
      </c>
    </row>
    <row r="266" spans="1:14" ht="14.4">
      <c r="A266" s="10">
        <v>45852</v>
      </c>
      <c r="D266" s="8" t="s">
        <v>16</v>
      </c>
      <c r="E266" s="39"/>
      <c r="F266" s="39">
        <v>0.35</v>
      </c>
      <c r="G266" s="39">
        <f t="shared" si="4"/>
        <v>8415.9109956666798</v>
      </c>
      <c r="H266" s="63"/>
    </row>
    <row r="267" spans="1:14" ht="14.4">
      <c r="A267" s="10">
        <v>45852</v>
      </c>
      <c r="D267" s="11" t="s">
        <v>382</v>
      </c>
      <c r="E267" s="39"/>
      <c r="F267" s="39">
        <v>5086.6670000000004</v>
      </c>
      <c r="G267" s="39">
        <f t="shared" si="4"/>
        <v>3329.2439956666794</v>
      </c>
      <c r="J267" s="11" t="s">
        <v>370</v>
      </c>
      <c r="K267" s="27">
        <f>(12716.67+'FLUJO CAJA JULIO'!D29)/3.518</f>
        <v>4052.5923820352477</v>
      </c>
    </row>
    <row r="268" spans="1:14" ht="14.4">
      <c r="A268" s="10">
        <v>45852</v>
      </c>
      <c r="D268" s="11" t="s">
        <v>281</v>
      </c>
      <c r="E268" s="39"/>
      <c r="F268" s="39">
        <v>29.43</v>
      </c>
      <c r="G268" s="39">
        <f t="shared" si="4"/>
        <v>3299.8139956666796</v>
      </c>
      <c r="J268" s="11" t="s">
        <v>371</v>
      </c>
      <c r="K268" s="38">
        <f>K265-K267</f>
        <v>-1024.8605039582981</v>
      </c>
    </row>
    <row r="269" spans="1:14" ht="14.4">
      <c r="A269" s="10">
        <v>45852</v>
      </c>
      <c r="D269" s="8" t="s">
        <v>16</v>
      </c>
      <c r="E269" s="39"/>
      <c r="F269" s="39">
        <v>0.25</v>
      </c>
      <c r="G269" s="39">
        <f t="shared" si="4"/>
        <v>3299.5639956666796</v>
      </c>
    </row>
    <row r="270" spans="1:14" ht="14.4">
      <c r="A270" s="10">
        <v>45853</v>
      </c>
      <c r="D270" s="11" t="s">
        <v>66</v>
      </c>
      <c r="E270" s="209"/>
      <c r="F270" s="209">
        <v>10</v>
      </c>
      <c r="G270" s="39">
        <f t="shared" si="4"/>
        <v>3289.5639956666796</v>
      </c>
      <c r="H270" s="63"/>
    </row>
    <row r="271" spans="1:14" ht="14.4">
      <c r="A271" s="10">
        <v>45855</v>
      </c>
      <c r="D271" s="11" t="s">
        <v>384</v>
      </c>
      <c r="E271" s="39"/>
      <c r="F271" s="39">
        <v>3280.08</v>
      </c>
      <c r="G271" s="39">
        <f t="shared" si="4"/>
        <v>9.4839956666796752</v>
      </c>
    </row>
    <row r="272" spans="1:14" ht="14.4">
      <c r="A272" s="10">
        <v>45855</v>
      </c>
      <c r="D272" s="8" t="s">
        <v>16</v>
      </c>
      <c r="E272" s="39"/>
      <c r="F272" s="39">
        <v>0.15</v>
      </c>
      <c r="G272" s="39">
        <f t="shared" si="4"/>
        <v>9.3339956666796748</v>
      </c>
      <c r="I272" s="63"/>
    </row>
    <row r="273" spans="1:11" ht="14.4">
      <c r="A273" s="10">
        <v>45861</v>
      </c>
      <c r="D273" s="8" t="s">
        <v>399</v>
      </c>
      <c r="E273" s="39"/>
      <c r="F273" s="39">
        <v>1</v>
      </c>
      <c r="G273" s="39">
        <f t="shared" si="4"/>
        <v>8.3339956666796748</v>
      </c>
      <c r="K273" s="63"/>
    </row>
    <row r="274" spans="1:11" ht="14.4">
      <c r="A274" s="10">
        <v>45861</v>
      </c>
      <c r="D274" s="11" t="s">
        <v>400</v>
      </c>
      <c r="E274" s="39"/>
      <c r="F274" s="39">
        <v>4.8</v>
      </c>
      <c r="G274" s="39">
        <f t="shared" si="4"/>
        <v>3.533995666679675</v>
      </c>
    </row>
    <row r="275" spans="1:11" ht="14.4">
      <c r="A275" s="10">
        <v>45863</v>
      </c>
      <c r="D275" s="11" t="s">
        <v>405</v>
      </c>
      <c r="E275" s="39">
        <v>93123.3</v>
      </c>
      <c r="F275" s="39"/>
      <c r="G275" s="39">
        <f t="shared" si="4"/>
        <v>93126.83399566669</v>
      </c>
      <c r="I275" s="63"/>
    </row>
    <row r="276" spans="1:11" ht="14.4">
      <c r="A276" s="10">
        <v>45863</v>
      </c>
      <c r="D276" s="11" t="s">
        <v>406</v>
      </c>
      <c r="E276" s="39"/>
      <c r="F276" s="39">
        <v>13823.91</v>
      </c>
      <c r="G276" s="39">
        <f t="shared" si="4"/>
        <v>79302.923995666686</v>
      </c>
    </row>
    <row r="277" spans="1:11" ht="14.4">
      <c r="A277" s="10">
        <v>45863</v>
      </c>
      <c r="D277" s="8" t="s">
        <v>16</v>
      </c>
      <c r="E277" s="39"/>
      <c r="F277" s="39">
        <v>0.65</v>
      </c>
      <c r="G277" s="39">
        <f t="shared" si="4"/>
        <v>79302.273995666692</v>
      </c>
      <c r="I277" s="63"/>
    </row>
    <row r="278" spans="1:11" ht="14.4">
      <c r="A278" s="10">
        <v>45863</v>
      </c>
      <c r="D278" s="11" t="s">
        <v>407</v>
      </c>
      <c r="E278" s="39"/>
      <c r="F278" s="39">
        <v>10903.28</v>
      </c>
      <c r="G278" s="39">
        <f t="shared" si="4"/>
        <v>68398.993995666693</v>
      </c>
    </row>
    <row r="279" spans="1:11" ht="14.4">
      <c r="A279" s="10">
        <v>45863</v>
      </c>
      <c r="D279" s="11" t="s">
        <v>240</v>
      </c>
      <c r="F279" s="39">
        <v>58.52</v>
      </c>
      <c r="G279" s="39">
        <f t="shared" si="4"/>
        <v>68340.473995666689</v>
      </c>
    </row>
    <row r="280" spans="1:11" ht="14.4">
      <c r="A280" s="10">
        <v>45863</v>
      </c>
      <c r="D280" s="11" t="s">
        <v>408</v>
      </c>
      <c r="F280" s="39">
        <v>10983.89</v>
      </c>
      <c r="G280" s="39">
        <f t="shared" si="4"/>
        <v>57356.58399566669</v>
      </c>
    </row>
    <row r="281" spans="1:11" ht="14.4">
      <c r="A281" s="10">
        <v>45863</v>
      </c>
      <c r="D281" s="11" t="s">
        <v>281</v>
      </c>
      <c r="F281" s="39">
        <v>58.52</v>
      </c>
      <c r="G281" s="39">
        <f t="shared" si="4"/>
        <v>57298.063995666693</v>
      </c>
      <c r="I281" s="63"/>
    </row>
    <row r="282" spans="1:11" ht="14.4">
      <c r="A282" s="10">
        <v>45863</v>
      </c>
      <c r="D282" s="8" t="s">
        <v>16</v>
      </c>
      <c r="E282" s="39"/>
      <c r="F282" s="39">
        <v>1.45</v>
      </c>
      <c r="G282" s="39">
        <f t="shared" si="4"/>
        <v>57296.613995666696</v>
      </c>
      <c r="I282" s="63"/>
    </row>
    <row r="283" spans="1:11" ht="14.4">
      <c r="A283" s="10">
        <v>45863</v>
      </c>
      <c r="D283" s="11" t="s">
        <v>412</v>
      </c>
      <c r="E283" s="39">
        <v>18864.990000000002</v>
      </c>
      <c r="G283" s="39">
        <f t="shared" si="4"/>
        <v>76161.603995666694</v>
      </c>
    </row>
    <row r="284" spans="1:11" ht="14.4">
      <c r="A284" s="10">
        <v>45864</v>
      </c>
      <c r="D284" s="11" t="s">
        <v>411</v>
      </c>
      <c r="F284" s="39">
        <v>10488.400769</v>
      </c>
      <c r="G284" s="39">
        <f t="shared" si="4"/>
        <v>65673.203226666694</v>
      </c>
    </row>
    <row r="285" spans="1:11" ht="14.4">
      <c r="A285" s="10">
        <v>45864</v>
      </c>
      <c r="D285" s="11" t="s">
        <v>413</v>
      </c>
      <c r="F285" s="39">
        <f>4.8+0.5</f>
        <v>5.3</v>
      </c>
      <c r="G285" s="39">
        <f t="shared" si="4"/>
        <v>65667.903226666691</v>
      </c>
      <c r="I285" s="63"/>
    </row>
    <row r="286" spans="1:11" ht="14.4">
      <c r="A286" s="10">
        <v>45866</v>
      </c>
      <c r="D286" s="291" t="s">
        <v>416</v>
      </c>
      <c r="E286" s="289"/>
      <c r="F286" s="290">
        <v>3562.39</v>
      </c>
      <c r="G286" s="39">
        <f t="shared" si="4"/>
        <v>62105.513226666691</v>
      </c>
    </row>
    <row r="287" spans="1:11" ht="14.4">
      <c r="A287" s="10">
        <v>45866</v>
      </c>
      <c r="D287" s="291" t="s">
        <v>417</v>
      </c>
      <c r="E287" s="289"/>
      <c r="F287" s="298">
        <v>4.8</v>
      </c>
      <c r="G287" s="39">
        <f t="shared" si="4"/>
        <v>62100.713226666689</v>
      </c>
    </row>
    <row r="288" spans="1:11" ht="14.4">
      <c r="A288" s="10">
        <v>45866</v>
      </c>
      <c r="D288" s="291" t="s">
        <v>418</v>
      </c>
      <c r="E288" s="289"/>
      <c r="F288" s="290">
        <v>3027.61</v>
      </c>
      <c r="G288" s="39">
        <f t="shared" si="4"/>
        <v>59073.103226666688</v>
      </c>
    </row>
    <row r="289" spans="1:10" ht="14.4">
      <c r="A289" s="10">
        <v>45866</v>
      </c>
      <c r="D289" s="291" t="s">
        <v>419</v>
      </c>
      <c r="E289" s="289"/>
      <c r="F289" s="298">
        <v>4.8</v>
      </c>
      <c r="G289" s="39">
        <f t="shared" si="4"/>
        <v>59068.303226666685</v>
      </c>
      <c r="J289" s="63">
        <f>SUM(F286:F290)+SUM(F299:F300)+(SUM(F301:F302)/2)</f>
        <v>8626.34</v>
      </c>
    </row>
    <row r="290" spans="1:10" ht="14.4">
      <c r="A290" s="10">
        <v>45866</v>
      </c>
      <c r="D290" s="291" t="s">
        <v>16</v>
      </c>
      <c r="E290" s="289"/>
      <c r="F290" s="298">
        <v>0.3</v>
      </c>
      <c r="G290" s="39">
        <f t="shared" si="4"/>
        <v>59068.003226666682</v>
      </c>
      <c r="J290" s="38">
        <f>J289/3.52</f>
        <v>2450.664772727273</v>
      </c>
    </row>
    <row r="291" spans="1:10" ht="14.4">
      <c r="A291" s="10">
        <v>45866</v>
      </c>
      <c r="D291" s="11" t="s">
        <v>420</v>
      </c>
      <c r="F291" s="39">
        <v>4594.33</v>
      </c>
      <c r="G291" s="39">
        <f t="shared" si="4"/>
        <v>54473.67322666668</v>
      </c>
    </row>
    <row r="292" spans="1:10" ht="14.4">
      <c r="A292" s="10">
        <v>45866</v>
      </c>
      <c r="D292" s="8" t="s">
        <v>16</v>
      </c>
      <c r="F292" s="39">
        <v>0.81</v>
      </c>
      <c r="G292" s="39">
        <f t="shared" si="4"/>
        <v>54472.863226666683</v>
      </c>
    </row>
    <row r="293" spans="1:10" ht="14.4">
      <c r="A293" s="10">
        <v>45866</v>
      </c>
      <c r="D293" s="11" t="s">
        <v>421</v>
      </c>
      <c r="F293" s="39">
        <v>12323.06</v>
      </c>
      <c r="G293" s="39">
        <f t="shared" si="4"/>
        <v>42149.803226666685</v>
      </c>
    </row>
    <row r="294" spans="1:10" ht="14.4">
      <c r="A294" s="10">
        <v>45866</v>
      </c>
      <c r="D294" s="11" t="s">
        <v>240</v>
      </c>
      <c r="F294" s="39">
        <v>65.62</v>
      </c>
      <c r="G294" s="39">
        <f t="shared" si="4"/>
        <v>42084.183226666682</v>
      </c>
    </row>
    <row r="295" spans="1:10" ht="14.4">
      <c r="A295" s="10">
        <v>45866</v>
      </c>
      <c r="D295" s="11" t="s">
        <v>422</v>
      </c>
      <c r="F295" s="39">
        <v>1114.2</v>
      </c>
      <c r="G295" s="39">
        <f t="shared" si="4"/>
        <v>40969.983226666685</v>
      </c>
    </row>
    <row r="296" spans="1:10" ht="14.4">
      <c r="A296" s="10">
        <v>45866</v>
      </c>
      <c r="D296" s="11" t="s">
        <v>281</v>
      </c>
      <c r="F296" s="39">
        <v>11</v>
      </c>
      <c r="G296" s="39">
        <f t="shared" si="4"/>
        <v>40958.983226666685</v>
      </c>
      <c r="I296" s="63"/>
    </row>
    <row r="297" spans="1:10" ht="14.4">
      <c r="A297" s="10">
        <v>45867</v>
      </c>
      <c r="D297" s="291" t="s">
        <v>423</v>
      </c>
      <c r="E297" s="39">
        <v>5353.73</v>
      </c>
      <c r="F297" s="39"/>
      <c r="G297" s="39">
        <f t="shared" si="4"/>
        <v>46312.713226666689</v>
      </c>
    </row>
    <row r="298" spans="1:10" ht="14.4">
      <c r="A298" s="10">
        <v>45867</v>
      </c>
      <c r="D298" s="8" t="s">
        <v>432</v>
      </c>
      <c r="F298" s="39">
        <f>'FLUJO CAJA JULIO'!$D$31</f>
        <v>1416</v>
      </c>
      <c r="G298" s="39">
        <f t="shared" si="4"/>
        <v>44896.713226666689</v>
      </c>
    </row>
    <row r="299" spans="1:10" ht="14.4">
      <c r="A299" s="10">
        <v>45867</v>
      </c>
      <c r="D299" s="291" t="s">
        <v>433</v>
      </c>
      <c r="E299" s="289"/>
      <c r="F299" s="290">
        <f>'FLUJO CAJA JULIO'!$D$32+'FLUJO CAJA JULIO'!$D$33+'FLUJO CAJA JULIO'!$D$34</f>
        <v>2006</v>
      </c>
      <c r="G299" s="39">
        <f t="shared" si="4"/>
        <v>42890.713226666689</v>
      </c>
    </row>
    <row r="300" spans="1:10" ht="14.4">
      <c r="A300" s="10">
        <v>45867</v>
      </c>
      <c r="D300" s="291" t="s">
        <v>16</v>
      </c>
      <c r="E300" s="289"/>
      <c r="F300" s="298">
        <v>0.19</v>
      </c>
      <c r="G300" s="39">
        <f t="shared" si="4"/>
        <v>42890.523226666686</v>
      </c>
      <c r="I300" s="63"/>
    </row>
    <row r="301" spans="1:10" ht="14.4">
      <c r="A301" s="10">
        <v>45869</v>
      </c>
      <c r="D301" s="8" t="s">
        <v>10</v>
      </c>
      <c r="E301" s="11"/>
      <c r="F301" s="39">
        <v>5.5</v>
      </c>
      <c r="G301" s="39">
        <f t="shared" si="4"/>
        <v>42885.023226666686</v>
      </c>
    </row>
    <row r="302" spans="1:10" ht="14.4">
      <c r="A302" s="10">
        <v>45869</v>
      </c>
      <c r="D302" s="11" t="s">
        <v>192</v>
      </c>
      <c r="E302" s="11"/>
      <c r="F302" s="39">
        <v>35</v>
      </c>
      <c r="G302" s="39">
        <f t="shared" si="4"/>
        <v>42850.023226666686</v>
      </c>
    </row>
    <row r="303" spans="1:10" s="14" customFormat="1" ht="14.4">
      <c r="A303" s="13">
        <v>45869</v>
      </c>
      <c r="D303" s="14" t="s">
        <v>138</v>
      </c>
      <c r="G303" s="40">
        <f t="shared" si="4"/>
        <v>42850.023226666686</v>
      </c>
    </row>
    <row r="304" spans="1:10" ht="14.4">
      <c r="A304" s="10">
        <v>45870</v>
      </c>
      <c r="D304" s="8" t="s">
        <v>488</v>
      </c>
      <c r="G304" s="39">
        <f t="shared" si="4"/>
        <v>42850.023226666686</v>
      </c>
    </row>
    <row r="305" spans="1:10" ht="14.4">
      <c r="A305" s="10">
        <v>45870</v>
      </c>
      <c r="D305" s="291" t="s">
        <v>434</v>
      </c>
      <c r="E305" s="289"/>
      <c r="F305" s="290">
        <v>70</v>
      </c>
      <c r="G305" s="39">
        <f t="shared" si="4"/>
        <v>42780.023226666686</v>
      </c>
    </row>
    <row r="306" spans="1:10" ht="14.4">
      <c r="A306" s="10">
        <v>45871</v>
      </c>
      <c r="D306" s="11" t="s">
        <v>365</v>
      </c>
      <c r="F306" s="39">
        <v>1613</v>
      </c>
      <c r="G306" s="39">
        <f t="shared" si="4"/>
        <v>41167.023226666686</v>
      </c>
    </row>
    <row r="307" spans="1:10" ht="14.4">
      <c r="A307" s="10">
        <v>45871</v>
      </c>
      <c r="D307" s="8" t="s">
        <v>16</v>
      </c>
      <c r="F307" s="39">
        <v>0.05</v>
      </c>
      <c r="G307" s="39">
        <f t="shared" si="4"/>
        <v>41166.973226666683</v>
      </c>
    </row>
    <row r="308" spans="1:10" ht="14.4">
      <c r="A308" s="10">
        <v>45873</v>
      </c>
      <c r="D308" s="8" t="s">
        <v>435</v>
      </c>
      <c r="F308" s="39">
        <v>995.37</v>
      </c>
      <c r="G308" s="39">
        <f t="shared" si="4"/>
        <v>40171.603226666681</v>
      </c>
    </row>
    <row r="309" spans="1:10" ht="14.4">
      <c r="A309" s="10">
        <v>45873</v>
      </c>
      <c r="D309" s="291" t="s">
        <v>434</v>
      </c>
      <c r="E309" s="289"/>
      <c r="F309" s="290">
        <v>54.17</v>
      </c>
      <c r="G309" s="39">
        <f t="shared" si="4"/>
        <v>40117.433226666682</v>
      </c>
    </row>
    <row r="310" spans="1:10" ht="14.4">
      <c r="A310" s="10">
        <v>45875</v>
      </c>
      <c r="D310" s="8" t="s">
        <v>348</v>
      </c>
      <c r="F310" s="39">
        <v>3895.21</v>
      </c>
      <c r="G310" s="39">
        <f t="shared" si="4"/>
        <v>36222.223226666683</v>
      </c>
    </row>
    <row r="311" spans="1:10" ht="14.4">
      <c r="A311" s="10">
        <v>45875</v>
      </c>
      <c r="D311" s="8" t="s">
        <v>16</v>
      </c>
      <c r="F311" s="39">
        <v>0.05</v>
      </c>
      <c r="G311" s="39">
        <f t="shared" si="4"/>
        <v>36222.17322666668</v>
      </c>
    </row>
    <row r="312" spans="1:10" ht="14.4">
      <c r="A312" s="10">
        <v>45875</v>
      </c>
      <c r="D312" s="8" t="s">
        <v>454</v>
      </c>
      <c r="F312" s="39">
        <v>2064.15</v>
      </c>
      <c r="G312" s="39">
        <f t="shared" si="4"/>
        <v>34158.023226666679</v>
      </c>
      <c r="J312" s="63">
        <f>$F$305+$F$309+SUM($F$317:$F$320)+SUM($F$322:$F$329)+SUM($F$336:$F$348)+SUM($F$372:$F$374)+(SUM($F$381:$F$383)/2)</f>
        <v>49990.945000000007</v>
      </c>
    </row>
    <row r="313" spans="1:10" ht="14.4">
      <c r="A313" s="10">
        <v>45875</v>
      </c>
      <c r="D313" s="8" t="s">
        <v>16</v>
      </c>
      <c r="F313" s="39">
        <v>0.2</v>
      </c>
      <c r="G313" s="39">
        <f t="shared" si="4"/>
        <v>34157.823226666682</v>
      </c>
      <c r="J313" s="38">
        <f>J312/3.52</f>
        <v>14201.973011363638</v>
      </c>
    </row>
    <row r="314" spans="1:10" ht="14.4">
      <c r="A314" s="10">
        <v>45875</v>
      </c>
      <c r="D314" s="8" t="s">
        <v>455</v>
      </c>
      <c r="F314" s="39">
        <v>3452.52</v>
      </c>
      <c r="G314" s="39">
        <f t="shared" si="4"/>
        <v>30705.303226666681</v>
      </c>
      <c r="I314" s="63"/>
    </row>
    <row r="315" spans="1:10" ht="14.4">
      <c r="A315" s="10">
        <v>45875</v>
      </c>
      <c r="D315" s="8" t="s">
        <v>16</v>
      </c>
      <c r="F315" s="39">
        <v>0.15</v>
      </c>
      <c r="G315" s="39">
        <f t="shared" si="4"/>
        <v>30705.15322666668</v>
      </c>
      <c r="I315" s="63"/>
    </row>
    <row r="316" spans="1:10" ht="14.4">
      <c r="A316" s="10">
        <v>45882</v>
      </c>
      <c r="D316" s="11" t="s">
        <v>78</v>
      </c>
      <c r="F316" s="39">
        <v>13751</v>
      </c>
      <c r="G316" s="39">
        <f t="shared" si="4"/>
        <v>16954.15322666668</v>
      </c>
    </row>
    <row r="317" spans="1:10" ht="14.4">
      <c r="A317" s="10">
        <v>45882</v>
      </c>
      <c r="D317" s="291" t="s">
        <v>464</v>
      </c>
      <c r="E317" s="289"/>
      <c r="F317" s="290">
        <f>'FLUJO CAJA AGOSTO'!$D$72+'FLUJO CAJA AGOSTO'!$D$73</f>
        <v>908.02</v>
      </c>
      <c r="G317" s="39">
        <f t="shared" si="4"/>
        <v>16046.13322666668</v>
      </c>
      <c r="J317" s="63"/>
    </row>
    <row r="318" spans="1:10" ht="14.4">
      <c r="A318" s="10">
        <v>45882</v>
      </c>
      <c r="D318" s="291" t="s">
        <v>465</v>
      </c>
      <c r="E318" s="289"/>
      <c r="F318" s="290">
        <f>920-F317</f>
        <v>11.980000000000018</v>
      </c>
      <c r="G318" s="39">
        <f t="shared" si="4"/>
        <v>16034.15322666668</v>
      </c>
      <c r="J318" s="63"/>
    </row>
    <row r="319" spans="1:10" ht="14.4">
      <c r="A319" s="10">
        <v>45883</v>
      </c>
      <c r="D319" s="291" t="s">
        <v>467</v>
      </c>
      <c r="E319" s="289"/>
      <c r="F319" s="290">
        <v>675</v>
      </c>
      <c r="G319" s="39">
        <f t="shared" si="4"/>
        <v>15359.15322666668</v>
      </c>
      <c r="J319" s="63"/>
    </row>
    <row r="320" spans="1:10" ht="14.4">
      <c r="A320" s="10">
        <v>45883</v>
      </c>
      <c r="D320" s="291" t="s">
        <v>66</v>
      </c>
      <c r="E320" s="289"/>
      <c r="F320" s="290">
        <v>10</v>
      </c>
      <c r="G320" s="39">
        <f t="shared" si="4"/>
        <v>15349.15322666668</v>
      </c>
    </row>
    <row r="321" spans="1:9" ht="14.4">
      <c r="A321" s="10">
        <v>45887</v>
      </c>
      <c r="D321" s="8" t="s">
        <v>463</v>
      </c>
      <c r="F321" s="39">
        <v>2062</v>
      </c>
      <c r="G321" s="39">
        <f t="shared" si="4"/>
        <v>13287.15322666668</v>
      </c>
    </row>
    <row r="322" spans="1:9" ht="14.4">
      <c r="A322" s="10">
        <v>45887</v>
      </c>
      <c r="D322" s="291" t="s">
        <v>468</v>
      </c>
      <c r="E322" s="289"/>
      <c r="F322" s="290">
        <v>1536</v>
      </c>
      <c r="G322" s="39">
        <f t="shared" si="4"/>
        <v>11751.15322666668</v>
      </c>
    </row>
    <row r="323" spans="1:9" ht="14.4">
      <c r="A323" s="10">
        <v>45890</v>
      </c>
      <c r="D323" s="291" t="s">
        <v>471</v>
      </c>
      <c r="E323" s="289"/>
      <c r="F323" s="290">
        <v>1</v>
      </c>
      <c r="G323" s="39">
        <f t="shared" si="4"/>
        <v>11750.15322666668</v>
      </c>
    </row>
    <row r="324" spans="1:9" ht="14.4">
      <c r="A324" s="10">
        <v>45890</v>
      </c>
      <c r="D324" s="291" t="s">
        <v>472</v>
      </c>
      <c r="E324" s="289"/>
      <c r="F324" s="290">
        <v>1</v>
      </c>
      <c r="G324" s="39">
        <f t="shared" si="4"/>
        <v>11749.15322666668</v>
      </c>
    </row>
    <row r="325" spans="1:9" ht="14.4">
      <c r="A325" s="10">
        <v>45890</v>
      </c>
      <c r="D325" s="291" t="s">
        <v>473</v>
      </c>
      <c r="E325" s="289"/>
      <c r="F325" s="290">
        <v>1</v>
      </c>
      <c r="G325" s="39">
        <f t="shared" si="4"/>
        <v>11748.15322666668</v>
      </c>
    </row>
    <row r="326" spans="1:9" ht="14.4">
      <c r="A326" s="10">
        <v>45890</v>
      </c>
      <c r="D326" s="291" t="s">
        <v>474</v>
      </c>
      <c r="E326" s="289"/>
      <c r="F326" s="290">
        <v>4.8</v>
      </c>
      <c r="G326" s="39">
        <f t="shared" si="4"/>
        <v>11743.353226666681</v>
      </c>
    </row>
    <row r="327" spans="1:9" ht="14.4">
      <c r="A327" s="10">
        <v>45890</v>
      </c>
      <c r="D327" s="291" t="s">
        <v>16</v>
      </c>
      <c r="E327" s="289"/>
      <c r="F327" s="290">
        <v>0.05</v>
      </c>
      <c r="G327" s="39">
        <f t="shared" si="4"/>
        <v>11743.303226666681</v>
      </c>
      <c r="I327" s="63"/>
    </row>
    <row r="328" spans="1:9" ht="14.4">
      <c r="A328" s="10">
        <v>45891</v>
      </c>
      <c r="D328" s="291" t="s">
        <v>483</v>
      </c>
      <c r="E328" s="289"/>
      <c r="F328" s="290">
        <v>1</v>
      </c>
      <c r="G328" s="39">
        <f t="shared" si="4"/>
        <v>11742.303226666681</v>
      </c>
    </row>
    <row r="329" spans="1:9" ht="14.4">
      <c r="A329" s="10">
        <v>45891</v>
      </c>
      <c r="D329" s="291" t="s">
        <v>484</v>
      </c>
      <c r="E329" s="289"/>
      <c r="F329" s="290">
        <v>4.8</v>
      </c>
      <c r="G329" s="39">
        <f t="shared" ref="G329:G392" si="5">G328+E329-F329</f>
        <v>11737.503226666682</v>
      </c>
    </row>
    <row r="330" spans="1:9" ht="14.4">
      <c r="A330" s="10">
        <v>45891</v>
      </c>
      <c r="D330" s="8" t="s">
        <v>492</v>
      </c>
      <c r="E330" s="11"/>
      <c r="F330" s="39">
        <v>2508</v>
      </c>
      <c r="G330" s="39">
        <f t="shared" si="5"/>
        <v>9229.5032266666822</v>
      </c>
    </row>
    <row r="331" spans="1:9" ht="14.4">
      <c r="A331" s="10">
        <v>45891</v>
      </c>
      <c r="D331" s="8" t="s">
        <v>16</v>
      </c>
      <c r="F331" s="39">
        <v>0.1</v>
      </c>
      <c r="G331" s="39">
        <f t="shared" si="5"/>
        <v>9229.4032266666818</v>
      </c>
      <c r="H331" s="39"/>
      <c r="I331" s="63"/>
    </row>
    <row r="332" spans="1:9" ht="14.4">
      <c r="A332" s="10">
        <v>45891</v>
      </c>
      <c r="D332" s="8" t="s">
        <v>491</v>
      </c>
      <c r="F332" s="39">
        <v>2503.11</v>
      </c>
      <c r="G332" s="39">
        <f t="shared" si="5"/>
        <v>6726.2932266666812</v>
      </c>
      <c r="I332" s="63"/>
    </row>
    <row r="333" spans="1:9" ht="14.4">
      <c r="A333" s="10">
        <v>45891</v>
      </c>
      <c r="D333" s="8" t="s">
        <v>16</v>
      </c>
      <c r="F333" s="39">
        <v>0.1</v>
      </c>
      <c r="G333" s="39">
        <f t="shared" si="5"/>
        <v>6726.1932266666809</v>
      </c>
    </row>
    <row r="334" spans="1:9" ht="14.4">
      <c r="A334" s="10">
        <v>45895</v>
      </c>
      <c r="D334" s="8" t="s">
        <v>504</v>
      </c>
      <c r="F334" s="39">
        <v>151.63</v>
      </c>
      <c r="G334" s="39">
        <f t="shared" si="5"/>
        <v>6574.5632266666807</v>
      </c>
    </row>
    <row r="335" spans="1:9" ht="14.4">
      <c r="A335" s="10">
        <v>45896</v>
      </c>
      <c r="D335" s="291" t="s">
        <v>514</v>
      </c>
      <c r="E335" s="290">
        <v>34770</v>
      </c>
      <c r="F335" s="290"/>
      <c r="G335" s="39">
        <f t="shared" si="5"/>
        <v>41344.56322666668</v>
      </c>
    </row>
    <row r="336" spans="1:9" ht="14.4">
      <c r="A336" s="10">
        <v>45896</v>
      </c>
      <c r="D336" s="291" t="s">
        <v>515</v>
      </c>
      <c r="E336" s="289"/>
      <c r="F336" s="290">
        <v>4749.8599999999997</v>
      </c>
      <c r="G336" s="39">
        <f t="shared" si="5"/>
        <v>36594.703226666679</v>
      </c>
    </row>
    <row r="337" spans="1:9" ht="14.4">
      <c r="A337" s="10">
        <v>45896</v>
      </c>
      <c r="D337" s="291" t="s">
        <v>516</v>
      </c>
      <c r="E337" s="289"/>
      <c r="F337" s="290">
        <v>4.3</v>
      </c>
      <c r="G337" s="39">
        <f t="shared" si="5"/>
        <v>36590.403226666676</v>
      </c>
    </row>
    <row r="338" spans="1:9" ht="14.4">
      <c r="A338" s="10">
        <v>45896</v>
      </c>
      <c r="D338" s="291" t="s">
        <v>517</v>
      </c>
      <c r="E338" s="289"/>
      <c r="F338" s="290">
        <v>5315.59</v>
      </c>
      <c r="G338" s="39">
        <f t="shared" si="5"/>
        <v>31274.813226666676</v>
      </c>
    </row>
    <row r="339" spans="1:9" ht="14.4">
      <c r="A339" s="10">
        <v>45896</v>
      </c>
      <c r="D339" s="291" t="s">
        <v>516</v>
      </c>
      <c r="E339" s="289"/>
      <c r="F339" s="290">
        <v>4.3</v>
      </c>
      <c r="G339" s="39">
        <f t="shared" si="5"/>
        <v>31270.513226666677</v>
      </c>
    </row>
    <row r="340" spans="1:9" ht="14.4">
      <c r="A340" s="10">
        <v>45896</v>
      </c>
      <c r="D340" s="291" t="s">
        <v>518</v>
      </c>
      <c r="E340" s="289"/>
      <c r="F340" s="290">
        <v>5577.54</v>
      </c>
      <c r="G340" s="39">
        <f t="shared" si="5"/>
        <v>25692.973226666676</v>
      </c>
    </row>
    <row r="341" spans="1:9" ht="14.4">
      <c r="A341" s="10">
        <v>45896</v>
      </c>
      <c r="D341" s="291" t="s">
        <v>516</v>
      </c>
      <c r="E341" s="289"/>
      <c r="F341" s="290">
        <v>4.3</v>
      </c>
      <c r="G341" s="39">
        <f t="shared" si="5"/>
        <v>25688.673226666677</v>
      </c>
    </row>
    <row r="342" spans="1:9" ht="14.4">
      <c r="A342" s="10">
        <v>45896</v>
      </c>
      <c r="D342" s="291" t="s">
        <v>519</v>
      </c>
      <c r="E342" s="289"/>
      <c r="F342" s="290">
        <v>11437.26</v>
      </c>
      <c r="G342" s="39">
        <f t="shared" si="5"/>
        <v>14251.413226666677</v>
      </c>
    </row>
    <row r="343" spans="1:9" ht="14.4">
      <c r="A343" s="10">
        <v>45896</v>
      </c>
      <c r="D343" s="291" t="s">
        <v>520</v>
      </c>
      <c r="E343" s="289"/>
      <c r="F343" s="290">
        <v>10782.57</v>
      </c>
      <c r="G343" s="39">
        <f t="shared" si="5"/>
        <v>3468.8432266666769</v>
      </c>
      <c r="I343" s="63"/>
    </row>
    <row r="344" spans="1:9" ht="14.4">
      <c r="A344" s="10">
        <v>45896</v>
      </c>
      <c r="D344" s="291" t="s">
        <v>16</v>
      </c>
      <c r="E344" s="289"/>
      <c r="F344" s="290">
        <v>1.75</v>
      </c>
      <c r="G344" s="39">
        <f t="shared" si="5"/>
        <v>3467.0932266666769</v>
      </c>
      <c r="I344" s="63"/>
    </row>
    <row r="345" spans="1:9" ht="14.4">
      <c r="A345" s="10">
        <v>45897</v>
      </c>
      <c r="D345" s="291" t="s">
        <v>514</v>
      </c>
      <c r="E345" s="290">
        <v>34770</v>
      </c>
      <c r="F345" s="290"/>
      <c r="G345" s="39">
        <f t="shared" si="5"/>
        <v>38237.093226666679</v>
      </c>
    </row>
    <row r="346" spans="1:9" ht="14.4">
      <c r="A346" s="10">
        <v>45897</v>
      </c>
      <c r="D346" s="291" t="s">
        <v>521</v>
      </c>
      <c r="E346" s="289"/>
      <c r="F346" s="290">
        <v>8458.31</v>
      </c>
      <c r="G346" s="39">
        <f t="shared" si="5"/>
        <v>29778.783226666681</v>
      </c>
    </row>
    <row r="347" spans="1:9" ht="14.4">
      <c r="A347" s="10">
        <v>45897</v>
      </c>
      <c r="D347" s="291" t="s">
        <v>516</v>
      </c>
      <c r="E347" s="289"/>
      <c r="F347" s="290">
        <v>4.3</v>
      </c>
      <c r="G347" s="39">
        <f t="shared" si="5"/>
        <v>29774.483226666682</v>
      </c>
      <c r="I347" s="63"/>
    </row>
    <row r="348" spans="1:9" ht="14.4">
      <c r="A348" s="10">
        <v>45897</v>
      </c>
      <c r="D348" s="291" t="s">
        <v>16</v>
      </c>
      <c r="E348" s="289"/>
      <c r="F348" s="290">
        <v>0.4</v>
      </c>
      <c r="G348" s="39">
        <f t="shared" si="5"/>
        <v>29774.08322666668</v>
      </c>
      <c r="I348" s="63"/>
    </row>
    <row r="349" spans="1:9" ht="14.4">
      <c r="A349" s="10">
        <v>45897</v>
      </c>
      <c r="D349" s="11" t="s">
        <v>524</v>
      </c>
      <c r="E349" s="39">
        <v>34650</v>
      </c>
      <c r="G349" s="39">
        <f t="shared" si="5"/>
        <v>64424.083226666684</v>
      </c>
    </row>
    <row r="350" spans="1:9" ht="14.4">
      <c r="A350" s="10">
        <v>45897</v>
      </c>
      <c r="D350" s="11" t="s">
        <v>524</v>
      </c>
      <c r="E350" s="39">
        <v>34640</v>
      </c>
      <c r="G350" s="39">
        <f t="shared" si="5"/>
        <v>99064.083226666684</v>
      </c>
    </row>
    <row r="351" spans="1:9" ht="14.4">
      <c r="A351" s="10">
        <v>45897</v>
      </c>
      <c r="D351" s="11" t="s">
        <v>524</v>
      </c>
      <c r="E351" s="39">
        <v>34640</v>
      </c>
      <c r="G351" s="39">
        <f t="shared" si="5"/>
        <v>133704.08322666667</v>
      </c>
    </row>
    <row r="352" spans="1:9" ht="14.4">
      <c r="A352" s="10">
        <v>45897</v>
      </c>
      <c r="D352" s="11" t="s">
        <v>528</v>
      </c>
      <c r="G352" s="39">
        <f t="shared" si="5"/>
        <v>133704.08322666667</v>
      </c>
    </row>
    <row r="353" spans="1:11" ht="14.4">
      <c r="A353" s="10">
        <v>45897</v>
      </c>
      <c r="D353" s="8" t="s">
        <v>16</v>
      </c>
      <c r="G353" s="39">
        <f t="shared" si="5"/>
        <v>133704.08322666667</v>
      </c>
      <c r="H353" s="39"/>
      <c r="I353" s="63"/>
      <c r="J353" s="63"/>
    </row>
    <row r="354" spans="1:11" ht="14.4">
      <c r="A354" s="10">
        <v>45897</v>
      </c>
      <c r="D354" s="11" t="s">
        <v>528</v>
      </c>
      <c r="F354" s="39">
        <v>13974.66</v>
      </c>
      <c r="G354" s="39">
        <f t="shared" si="5"/>
        <v>119729.42322666667</v>
      </c>
    </row>
    <row r="355" spans="1:11" ht="14.4">
      <c r="A355" s="10">
        <v>45897</v>
      </c>
      <c r="D355" s="11" t="s">
        <v>16</v>
      </c>
      <c r="F355" s="39">
        <v>2.2000000000000002</v>
      </c>
      <c r="G355" s="39">
        <f t="shared" si="5"/>
        <v>119727.22322666667</v>
      </c>
    </row>
    <row r="356" spans="1:11" ht="14.4">
      <c r="A356" s="10">
        <v>45897</v>
      </c>
      <c r="D356" s="11" t="s">
        <v>529</v>
      </c>
      <c r="F356" s="39">
        <v>10903.29</v>
      </c>
      <c r="G356" s="39">
        <f t="shared" si="5"/>
        <v>108823.93322666668</v>
      </c>
    </row>
    <row r="357" spans="1:11" ht="14.4">
      <c r="A357" s="10">
        <v>45897</v>
      </c>
      <c r="D357" s="11" t="s">
        <v>240</v>
      </c>
      <c r="F357" s="39">
        <v>58.01</v>
      </c>
      <c r="G357" s="39">
        <f t="shared" si="5"/>
        <v>108765.92322666668</v>
      </c>
    </row>
    <row r="358" spans="1:11" ht="14.4">
      <c r="A358" s="10">
        <v>45897</v>
      </c>
      <c r="D358" s="11" t="s">
        <v>530</v>
      </c>
      <c r="F358" s="39">
        <v>10983.9</v>
      </c>
      <c r="G358" s="39">
        <f t="shared" si="5"/>
        <v>97782.023226666686</v>
      </c>
    </row>
    <row r="359" spans="1:11" ht="14.4">
      <c r="A359" s="10">
        <v>45897</v>
      </c>
      <c r="D359" s="11" t="s">
        <v>281</v>
      </c>
      <c r="F359" s="39">
        <v>58.41</v>
      </c>
      <c r="G359" s="39">
        <f t="shared" si="5"/>
        <v>97723.613226666683</v>
      </c>
    </row>
    <row r="360" spans="1:11" ht="14.4">
      <c r="A360" s="10">
        <v>45897</v>
      </c>
      <c r="D360" s="11" t="s">
        <v>531</v>
      </c>
      <c r="F360" s="39">
        <v>10354.790000000001</v>
      </c>
      <c r="G360" s="39">
        <f t="shared" si="5"/>
        <v>87368.823226666689</v>
      </c>
    </row>
    <row r="361" spans="1:11" ht="14.4">
      <c r="A361" s="10">
        <v>45897</v>
      </c>
      <c r="D361" s="11" t="s">
        <v>413</v>
      </c>
      <c r="F361" s="39">
        <v>4.3</v>
      </c>
      <c r="G361" s="39">
        <f t="shared" si="5"/>
        <v>87364.523226666686</v>
      </c>
      <c r="I361" s="333" t="s">
        <v>575</v>
      </c>
      <c r="J361" s="333" t="s">
        <v>4</v>
      </c>
    </row>
    <row r="362" spans="1:11" ht="14.4">
      <c r="A362" s="10">
        <v>45897</v>
      </c>
      <c r="D362" s="11" t="s">
        <v>525</v>
      </c>
      <c r="F362" s="39">
        <v>3741.84</v>
      </c>
      <c r="G362" s="39">
        <f t="shared" si="5"/>
        <v>83622.68322666669</v>
      </c>
      <c r="I362" s="334">
        <f>$F$287+$F$289+$F$290+$F$300+$F$318+$F$320+$F$327+$F$329+$F$337+$F$339+$F$341+$F$344+$F$347+$F$348+(($F$301+$F$302+$F$382+$F$383)/2)</f>
        <v>96.77000000000001</v>
      </c>
      <c r="J362" s="335">
        <f>(('BCP USD BCP'!F141+'BCP USD BCP'!F142+'BCP USD BCP'!F143+'BCP USD BCP'!F167+'BCP USD BCP'!F168+'BCP USD BCP'!F169)/2)+'BCP USD BCP'!F149</f>
        <v>16.384999999999998</v>
      </c>
      <c r="K362" s="333" t="s">
        <v>61</v>
      </c>
    </row>
    <row r="363" spans="1:11" ht="14.4">
      <c r="A363" s="10">
        <v>45897</v>
      </c>
      <c r="D363" s="11" t="s">
        <v>16</v>
      </c>
      <c r="F363" s="39">
        <f>0.8+0.02</f>
        <v>0.82000000000000006</v>
      </c>
      <c r="G363" s="39">
        <f t="shared" si="5"/>
        <v>83621.863226666683</v>
      </c>
      <c r="I363" s="335">
        <f>I362/3.52</f>
        <v>27.491477272727277</v>
      </c>
      <c r="J363" s="335">
        <f>J362</f>
        <v>16.384999999999998</v>
      </c>
      <c r="K363" s="256">
        <f>I363+J363</f>
        <v>43.876477272727271</v>
      </c>
    </row>
    <row r="364" spans="1:11" ht="14.4">
      <c r="A364" s="10">
        <v>45897</v>
      </c>
      <c r="D364" s="11" t="s">
        <v>526</v>
      </c>
      <c r="F364" s="39">
        <v>8445.52</v>
      </c>
      <c r="G364" s="39">
        <f t="shared" si="5"/>
        <v>75176.343226666679</v>
      </c>
    </row>
    <row r="365" spans="1:11" ht="14.4">
      <c r="A365" s="10">
        <v>45897</v>
      </c>
      <c r="D365" s="11" t="s">
        <v>240</v>
      </c>
      <c r="F365" s="39">
        <v>46.23</v>
      </c>
      <c r="G365" s="39">
        <f t="shared" si="5"/>
        <v>75130.113226666683</v>
      </c>
    </row>
    <row r="366" spans="1:11" ht="14.4">
      <c r="A366" s="10">
        <v>45897</v>
      </c>
      <c r="D366" s="11" t="s">
        <v>527</v>
      </c>
      <c r="F366" s="39">
        <v>5086.2700000000004</v>
      </c>
      <c r="G366" s="39">
        <f t="shared" si="5"/>
        <v>70043.843226666679</v>
      </c>
    </row>
    <row r="367" spans="1:11" ht="14.4">
      <c r="A367" s="10">
        <v>45897</v>
      </c>
      <c r="D367" s="11" t="s">
        <v>281</v>
      </c>
      <c r="F367" s="39">
        <v>29.43</v>
      </c>
      <c r="G367" s="39">
        <f t="shared" si="5"/>
        <v>70014.413226666686</v>
      </c>
      <c r="I367" s="63"/>
    </row>
    <row r="368" spans="1:11" ht="14.4">
      <c r="A368" s="10">
        <v>45897</v>
      </c>
      <c r="D368" s="11" t="s">
        <v>537</v>
      </c>
      <c r="F368" s="39">
        <v>343.72</v>
      </c>
      <c r="G368" s="39">
        <f t="shared" si="5"/>
        <v>69670.693226666684</v>
      </c>
    </row>
    <row r="369" spans="1:10" ht="14.4">
      <c r="A369" s="10">
        <v>45897</v>
      </c>
      <c r="D369" s="11" t="s">
        <v>536</v>
      </c>
      <c r="F369" s="39">
        <v>354.03</v>
      </c>
      <c r="G369" s="39">
        <f t="shared" si="5"/>
        <v>69316.663226666686</v>
      </c>
    </row>
    <row r="370" spans="1:10" ht="14.4">
      <c r="A370" s="10">
        <v>45897</v>
      </c>
      <c r="D370" s="11" t="s">
        <v>538</v>
      </c>
      <c r="F370" s="39">
        <v>118</v>
      </c>
      <c r="G370" s="39">
        <f t="shared" si="5"/>
        <v>69198.663226666686</v>
      </c>
    </row>
    <row r="371" spans="1:10" ht="14.4">
      <c r="A371" s="10">
        <v>45897</v>
      </c>
      <c r="D371" s="11" t="s">
        <v>544</v>
      </c>
      <c r="F371" s="39">
        <v>179.6</v>
      </c>
      <c r="G371" s="39">
        <f t="shared" si="5"/>
        <v>69019.06322666668</v>
      </c>
      <c r="I371" s="63"/>
    </row>
    <row r="372" spans="1:10" ht="14.4">
      <c r="A372" s="10">
        <v>45897</v>
      </c>
      <c r="D372" s="291" t="s">
        <v>547</v>
      </c>
      <c r="E372" s="289"/>
      <c r="F372" s="290">
        <v>55.34</v>
      </c>
      <c r="G372" s="39">
        <f t="shared" si="5"/>
        <v>68963.723226666683</v>
      </c>
    </row>
    <row r="373" spans="1:10" ht="14.4">
      <c r="A373" s="10">
        <v>45897</v>
      </c>
      <c r="D373" s="291" t="s">
        <v>546</v>
      </c>
      <c r="E373" s="289"/>
      <c r="F373" s="290">
        <v>226.03</v>
      </c>
      <c r="G373" s="39">
        <f t="shared" si="5"/>
        <v>68737.693226666684</v>
      </c>
    </row>
    <row r="374" spans="1:10" ht="14.4">
      <c r="A374" s="10">
        <v>45897</v>
      </c>
      <c r="D374" s="291" t="s">
        <v>545</v>
      </c>
      <c r="E374" s="289"/>
      <c r="F374" s="290">
        <v>70</v>
      </c>
      <c r="G374" s="39">
        <f t="shared" si="5"/>
        <v>68667.693226666684</v>
      </c>
    </row>
    <row r="375" spans="1:10" ht="14.4">
      <c r="A375" s="10">
        <v>45898</v>
      </c>
      <c r="B375" s="11"/>
      <c r="C375" s="11"/>
      <c r="D375" s="11" t="s">
        <v>554</v>
      </c>
      <c r="F375" s="39">
        <v>1416</v>
      </c>
      <c r="G375" s="39">
        <f t="shared" si="5"/>
        <v>67251.693226666684</v>
      </c>
    </row>
    <row r="376" spans="1:10" ht="14.4">
      <c r="A376" s="10">
        <v>45898</v>
      </c>
      <c r="B376" s="11"/>
      <c r="C376" s="11"/>
      <c r="D376" s="11" t="s">
        <v>555</v>
      </c>
      <c r="F376" s="39">
        <v>1416</v>
      </c>
      <c r="G376" s="39">
        <f t="shared" si="5"/>
        <v>65835.693226666684</v>
      </c>
    </row>
    <row r="377" spans="1:10" ht="14.4">
      <c r="A377" s="10">
        <v>45898</v>
      </c>
      <c r="B377" s="11"/>
      <c r="C377" s="11"/>
      <c r="D377" s="11" t="s">
        <v>553</v>
      </c>
      <c r="F377" s="39">
        <v>616.5</v>
      </c>
      <c r="G377" s="39">
        <f t="shared" si="5"/>
        <v>65219.193226666684</v>
      </c>
    </row>
    <row r="378" spans="1:10" ht="14.4">
      <c r="A378" s="10">
        <v>45898</v>
      </c>
      <c r="D378" s="11" t="s">
        <v>16</v>
      </c>
      <c r="F378" s="39">
        <v>0.15</v>
      </c>
      <c r="G378" s="39">
        <f t="shared" si="5"/>
        <v>65219.043226666683</v>
      </c>
      <c r="I378" s="63"/>
    </row>
    <row r="379" spans="1:10" ht="14.4">
      <c r="A379" s="316">
        <v>45898</v>
      </c>
      <c r="D379" s="8" t="s">
        <v>558</v>
      </c>
      <c r="F379" s="39">
        <v>1327.5</v>
      </c>
      <c r="G379" s="39">
        <f t="shared" si="5"/>
        <v>63891.543226666683</v>
      </c>
    </row>
    <row r="380" spans="1:10" ht="14.4">
      <c r="A380" s="316">
        <v>45898</v>
      </c>
      <c r="D380" s="8" t="s">
        <v>557</v>
      </c>
      <c r="F380" s="39">
        <v>4.7999999999999545</v>
      </c>
      <c r="G380" s="39">
        <f t="shared" si="5"/>
        <v>63886.74322666668</v>
      </c>
      <c r="I380" s="63"/>
    </row>
    <row r="381" spans="1:10" ht="14.4">
      <c r="A381" s="316">
        <v>45898</v>
      </c>
      <c r="D381" s="8" t="s">
        <v>16</v>
      </c>
      <c r="F381" s="39">
        <v>0.05</v>
      </c>
      <c r="G381" s="39">
        <f t="shared" si="5"/>
        <v>63886.693226666677</v>
      </c>
      <c r="I381" s="63"/>
      <c r="J381" s="63"/>
    </row>
    <row r="382" spans="1:10" ht="14.4">
      <c r="A382" s="316">
        <v>45899</v>
      </c>
      <c r="D382" s="8" t="s">
        <v>10</v>
      </c>
      <c r="F382" s="39">
        <v>5.5</v>
      </c>
      <c r="G382" s="39">
        <f t="shared" si="5"/>
        <v>63881.193226666677</v>
      </c>
      <c r="I382" s="63"/>
    </row>
    <row r="383" spans="1:10" ht="14.4">
      <c r="A383" s="316">
        <v>45899</v>
      </c>
      <c r="D383" s="8" t="s">
        <v>192</v>
      </c>
      <c r="F383" s="39">
        <v>35</v>
      </c>
      <c r="G383" s="39">
        <f t="shared" si="5"/>
        <v>63846.193226666677</v>
      </c>
      <c r="I383" s="63"/>
    </row>
    <row r="384" spans="1:10" s="14" customFormat="1" ht="14.4">
      <c r="A384" s="13">
        <v>45900</v>
      </c>
      <c r="D384" s="14" t="s">
        <v>138</v>
      </c>
      <c r="G384" s="40">
        <f t="shared" si="5"/>
        <v>63846.193226666677</v>
      </c>
    </row>
    <row r="385" spans="1:11" ht="14.4">
      <c r="A385" s="10">
        <v>45901</v>
      </c>
      <c r="D385" s="8" t="s">
        <v>488</v>
      </c>
      <c r="G385" s="39">
        <f t="shared" si="5"/>
        <v>63846.193226666677</v>
      </c>
    </row>
    <row r="386" spans="1:11" ht="14.4">
      <c r="A386" s="10">
        <v>45902</v>
      </c>
      <c r="D386" s="11" t="s">
        <v>365</v>
      </c>
      <c r="F386" s="39">
        <v>1613</v>
      </c>
      <c r="G386" s="39">
        <f t="shared" si="5"/>
        <v>62233.193226666677</v>
      </c>
    </row>
    <row r="387" spans="1:11" ht="14.4">
      <c r="A387" s="10">
        <v>45902</v>
      </c>
      <c r="D387" s="8" t="s">
        <v>16</v>
      </c>
      <c r="F387" s="39">
        <v>0.05</v>
      </c>
      <c r="G387" s="39">
        <f t="shared" si="5"/>
        <v>62233.143226666674</v>
      </c>
    </row>
    <row r="388" spans="1:11" ht="14.4">
      <c r="A388" s="10">
        <v>45904</v>
      </c>
      <c r="D388" s="8" t="s">
        <v>561</v>
      </c>
      <c r="F388" s="39">
        <v>22.3</v>
      </c>
      <c r="G388" s="39">
        <f t="shared" si="5"/>
        <v>62210.843226666671</v>
      </c>
    </row>
    <row r="389" spans="1:11" ht="14.4">
      <c r="A389" s="10">
        <v>45904</v>
      </c>
      <c r="D389" s="8" t="s">
        <v>562</v>
      </c>
      <c r="F389" s="39">
        <v>926</v>
      </c>
      <c r="G389" s="39">
        <f t="shared" si="5"/>
        <v>61284.843226666671</v>
      </c>
    </row>
    <row r="390" spans="1:11" ht="14.4">
      <c r="A390" s="10">
        <v>45905</v>
      </c>
      <c r="D390" s="8" t="s">
        <v>570</v>
      </c>
      <c r="F390" s="39">
        <v>2064.15</v>
      </c>
      <c r="G390" s="39">
        <f t="shared" si="5"/>
        <v>59220.69322666667</v>
      </c>
    </row>
    <row r="391" spans="1:11" ht="14.4">
      <c r="A391" s="10">
        <v>45905</v>
      </c>
      <c r="D391" s="8" t="s">
        <v>348</v>
      </c>
      <c r="F391" s="39">
        <v>3895.21</v>
      </c>
      <c r="G391" s="39">
        <f t="shared" si="5"/>
        <v>55325.483226666671</v>
      </c>
    </row>
    <row r="392" spans="1:11" ht="14.4">
      <c r="A392" s="10">
        <v>45905</v>
      </c>
      <c r="D392" s="8" t="s">
        <v>454</v>
      </c>
      <c r="F392" s="39">
        <v>3452.52</v>
      </c>
      <c r="G392" s="39">
        <f t="shared" si="5"/>
        <v>51872.963226666674</v>
      </c>
    </row>
    <row r="393" spans="1:11" ht="14.4">
      <c r="A393" s="10">
        <v>45905</v>
      </c>
      <c r="D393" s="291" t="s">
        <v>574</v>
      </c>
      <c r="E393" s="289"/>
      <c r="F393" s="290">
        <f>'FLUJO CAJA SEPTIEMBRE'!D67+'FLUJO CAJA SEPTIEMBRE'!D68+'FLUJO CAJA SEPTIEMBRE'!D69</f>
        <v>7002.32</v>
      </c>
      <c r="G393" s="39">
        <f t="shared" ref="G393:G456" si="6">G392+E393-F393</f>
        <v>44870.643226666674</v>
      </c>
    </row>
    <row r="394" spans="1:11" ht="14.4">
      <c r="A394" s="10">
        <v>45905</v>
      </c>
      <c r="D394" s="291" t="s">
        <v>465</v>
      </c>
      <c r="E394" s="289"/>
      <c r="F394" s="290">
        <v>7.68</v>
      </c>
      <c r="G394" s="39">
        <f t="shared" si="6"/>
        <v>44862.963226666674</v>
      </c>
    </row>
    <row r="395" spans="1:11" ht="14.4">
      <c r="A395" s="10">
        <v>45905</v>
      </c>
      <c r="D395" s="291" t="s">
        <v>591</v>
      </c>
      <c r="E395" s="289"/>
      <c r="F395" s="290">
        <v>8439</v>
      </c>
      <c r="G395" s="39">
        <f t="shared" si="6"/>
        <v>36423.963226666674</v>
      </c>
    </row>
    <row r="396" spans="1:11" ht="14.4">
      <c r="A396" s="10">
        <v>45905</v>
      </c>
      <c r="D396" s="291" t="s">
        <v>16</v>
      </c>
      <c r="E396" s="289"/>
      <c r="F396" s="290">
        <v>1.1499999999999999</v>
      </c>
      <c r="G396" s="39">
        <f t="shared" si="6"/>
        <v>36422.813226666673</v>
      </c>
      <c r="I396" s="63"/>
    </row>
    <row r="397" spans="1:11" ht="14.4">
      <c r="A397" s="10">
        <v>45915</v>
      </c>
      <c r="D397" s="291" t="s">
        <v>589</v>
      </c>
      <c r="E397" s="289"/>
      <c r="F397" s="290">
        <v>10753</v>
      </c>
      <c r="G397" s="39">
        <f t="shared" si="6"/>
        <v>25669.813226666673</v>
      </c>
    </row>
    <row r="398" spans="1:11" ht="14.4">
      <c r="A398" s="10">
        <v>45915</v>
      </c>
      <c r="B398" s="11"/>
      <c r="C398" s="11"/>
      <c r="D398" s="11" t="s">
        <v>592</v>
      </c>
      <c r="E398" s="11"/>
      <c r="F398" s="39">
        <v>39</v>
      </c>
      <c r="G398" s="39">
        <f t="shared" si="6"/>
        <v>25630.813226666673</v>
      </c>
    </row>
    <row r="399" spans="1:11" ht="14.4">
      <c r="A399" s="10">
        <v>45915</v>
      </c>
      <c r="D399" s="8" t="s">
        <v>590</v>
      </c>
      <c r="F399" s="39">
        <v>14185</v>
      </c>
      <c r="G399" s="39">
        <f t="shared" si="6"/>
        <v>11445.813226666673</v>
      </c>
      <c r="I399" s="63"/>
      <c r="K399" s="63"/>
    </row>
    <row r="400" spans="1:11" ht="14.4">
      <c r="A400" s="10">
        <v>45915</v>
      </c>
      <c r="D400" s="11" t="s">
        <v>16</v>
      </c>
      <c r="E400" s="209"/>
      <c r="F400" s="209">
        <v>0.5</v>
      </c>
      <c r="G400" s="39">
        <f t="shared" si="6"/>
        <v>11445.313226666673</v>
      </c>
      <c r="I400" s="63"/>
      <c r="K400" s="63"/>
    </row>
    <row r="401" spans="1:11" ht="14.4">
      <c r="A401" s="10">
        <v>45915</v>
      </c>
      <c r="D401" s="11" t="s">
        <v>66</v>
      </c>
      <c r="E401" s="209"/>
      <c r="F401" s="209">
        <v>10</v>
      </c>
      <c r="G401" s="39">
        <f t="shared" si="6"/>
        <v>11435.313226666673</v>
      </c>
      <c r="I401" s="63"/>
      <c r="J401" s="63"/>
      <c r="K401" s="63"/>
    </row>
    <row r="402" spans="1:11" ht="14.4">
      <c r="A402" s="10">
        <v>45922</v>
      </c>
      <c r="D402" s="291" t="s">
        <v>602</v>
      </c>
      <c r="E402" s="289"/>
      <c r="F402" s="355">
        <f>'FLUJO CAJA SEPTIEMBRE'!$D$73</f>
        <v>129.54</v>
      </c>
      <c r="G402" s="39">
        <f t="shared" si="6"/>
        <v>11305.773226666672</v>
      </c>
    </row>
    <row r="403" spans="1:11" ht="14.4">
      <c r="A403" s="10">
        <v>45922</v>
      </c>
      <c r="D403" s="291" t="s">
        <v>603</v>
      </c>
      <c r="E403" s="289"/>
      <c r="F403" s="355">
        <f>'FLUJO CAJA SEPTIEMBRE'!$D$74</f>
        <v>316.32</v>
      </c>
      <c r="G403" s="39">
        <f t="shared" si="6"/>
        <v>10989.453226666672</v>
      </c>
    </row>
    <row r="404" spans="1:11" ht="14.4">
      <c r="A404" s="10">
        <v>45922</v>
      </c>
      <c r="D404" s="291" t="s">
        <v>611</v>
      </c>
      <c r="E404" s="289"/>
      <c r="F404" s="355">
        <f>'FLUJO CAJA SEPTIEMBRE'!$D$79</f>
        <v>123.9</v>
      </c>
      <c r="G404" s="39">
        <f t="shared" si="6"/>
        <v>10865.553226666672</v>
      </c>
    </row>
    <row r="405" spans="1:11" ht="14.4">
      <c r="A405" s="10">
        <v>45922</v>
      </c>
      <c r="D405" s="291" t="s">
        <v>612</v>
      </c>
      <c r="E405" s="289"/>
      <c r="F405" s="355">
        <f>'FLUJO CAJA SEPTIEMBRE'!$D$80</f>
        <v>129.54</v>
      </c>
      <c r="G405" s="39">
        <f t="shared" si="6"/>
        <v>10736.013226666671</v>
      </c>
    </row>
    <row r="406" spans="1:11" ht="14.4">
      <c r="A406" s="10">
        <v>45922</v>
      </c>
      <c r="D406" s="291" t="s">
        <v>604</v>
      </c>
      <c r="E406" s="289"/>
      <c r="F406" s="355">
        <f>'FLUJO CAJA SEPTIEMBRE'!D75</f>
        <v>2243.89</v>
      </c>
      <c r="G406" s="39">
        <f t="shared" si="6"/>
        <v>8492.1232266666721</v>
      </c>
    </row>
    <row r="407" spans="1:11" ht="14.4">
      <c r="A407" s="10">
        <v>45922</v>
      </c>
      <c r="D407" s="291" t="s">
        <v>607</v>
      </c>
      <c r="E407" s="289"/>
      <c r="F407" s="355">
        <f>'FLUJO CAJA SEPTIEMBRE'!D76</f>
        <v>879.04</v>
      </c>
      <c r="G407" s="39">
        <f t="shared" si="6"/>
        <v>7613.0832266666721</v>
      </c>
    </row>
    <row r="408" spans="1:11" ht="14.4">
      <c r="A408" s="10">
        <v>45922</v>
      </c>
      <c r="D408" s="291" t="s">
        <v>609</v>
      </c>
      <c r="E408" s="289"/>
      <c r="F408" s="355">
        <f>'FLUJO CAJA SEPTIEMBRE'!D77</f>
        <v>233</v>
      </c>
      <c r="G408" s="39">
        <f t="shared" si="6"/>
        <v>7380.0832266666721</v>
      </c>
    </row>
    <row r="409" spans="1:11" ht="14.4">
      <c r="A409" s="10">
        <v>45922</v>
      </c>
      <c r="D409" s="291" t="s">
        <v>607</v>
      </c>
      <c r="E409" s="289"/>
      <c r="F409" s="355">
        <f>'FLUJO CAJA SEPTIEMBRE'!D78</f>
        <v>2438.94</v>
      </c>
      <c r="G409" s="39">
        <f t="shared" si="6"/>
        <v>4941.1432266666725</v>
      </c>
      <c r="J409" s="63"/>
    </row>
    <row r="410" spans="1:11" ht="14.4">
      <c r="A410" s="10">
        <v>45922</v>
      </c>
      <c r="D410" s="291" t="s">
        <v>16</v>
      </c>
      <c r="E410" s="289"/>
      <c r="F410" s="290">
        <v>22.439999999999998</v>
      </c>
      <c r="G410" s="39">
        <f t="shared" si="6"/>
        <v>4918.7032266666729</v>
      </c>
      <c r="J410" s="63"/>
    </row>
    <row r="411" spans="1:11" ht="14.4">
      <c r="A411" s="10">
        <v>45922</v>
      </c>
      <c r="D411" s="291" t="s">
        <v>618</v>
      </c>
      <c r="E411" s="289"/>
      <c r="F411" s="355">
        <v>1</v>
      </c>
      <c r="G411" s="39">
        <f t="shared" si="6"/>
        <v>4917.7032266666729</v>
      </c>
    </row>
    <row r="412" spans="1:11" ht="14.4">
      <c r="A412" s="10">
        <v>45922</v>
      </c>
      <c r="D412" s="291" t="s">
        <v>619</v>
      </c>
      <c r="E412" s="289"/>
      <c r="F412" s="355">
        <v>1</v>
      </c>
      <c r="G412" s="39">
        <f t="shared" si="6"/>
        <v>4916.7032266666729</v>
      </c>
    </row>
    <row r="413" spans="1:11" ht="14.4">
      <c r="A413" s="10">
        <v>45922</v>
      </c>
      <c r="D413" s="291" t="s">
        <v>516</v>
      </c>
      <c r="E413" s="289"/>
      <c r="F413" s="355">
        <v>1.53</v>
      </c>
      <c r="G413" s="39">
        <f t="shared" si="6"/>
        <v>4915.1732266666731</v>
      </c>
    </row>
    <row r="414" spans="1:11" ht="14.4">
      <c r="A414" s="10">
        <v>45922</v>
      </c>
      <c r="D414" s="291" t="s">
        <v>623</v>
      </c>
      <c r="E414" s="289"/>
      <c r="F414" s="355">
        <v>1</v>
      </c>
      <c r="G414" s="39">
        <f t="shared" si="6"/>
        <v>4914.1732266666731</v>
      </c>
    </row>
    <row r="415" spans="1:11" ht="14.4">
      <c r="A415" s="10">
        <v>45922</v>
      </c>
      <c r="D415" s="291" t="s">
        <v>516</v>
      </c>
      <c r="E415" s="289"/>
      <c r="F415" s="355">
        <v>4.3</v>
      </c>
      <c r="G415" s="39">
        <f t="shared" si="6"/>
        <v>4909.873226666673</v>
      </c>
      <c r="I415" s="63"/>
    </row>
    <row r="416" spans="1:11" ht="14.4">
      <c r="A416" s="10">
        <v>45924</v>
      </c>
      <c r="D416" s="8" t="s">
        <v>633</v>
      </c>
      <c r="E416" s="11"/>
      <c r="F416" s="209">
        <v>345.06</v>
      </c>
      <c r="G416" s="39">
        <f t="shared" si="6"/>
        <v>4564.8132266666726</v>
      </c>
      <c r="I416" s="63"/>
    </row>
    <row r="417" spans="1:7" ht="14.4">
      <c r="A417" s="10">
        <v>45924</v>
      </c>
      <c r="D417" s="8" t="s">
        <v>634</v>
      </c>
      <c r="E417" s="11"/>
      <c r="F417" s="209">
        <v>355.41</v>
      </c>
      <c r="G417" s="39">
        <f t="shared" si="6"/>
        <v>4209.4032266666727</v>
      </c>
    </row>
    <row r="418" spans="1:7" ht="14.4">
      <c r="A418" s="10">
        <v>45924</v>
      </c>
      <c r="D418" s="8" t="s">
        <v>635</v>
      </c>
      <c r="E418" s="11"/>
      <c r="F418" s="209">
        <v>118</v>
      </c>
      <c r="G418" s="39">
        <f t="shared" si="6"/>
        <v>4091.4032266666727</v>
      </c>
    </row>
    <row r="419" spans="1:7" ht="14.4">
      <c r="A419" s="10">
        <v>45924</v>
      </c>
      <c r="D419" s="8" t="s">
        <v>636</v>
      </c>
      <c r="E419" s="11"/>
      <c r="F419" s="209">
        <v>180.3</v>
      </c>
      <c r="G419" s="39">
        <f t="shared" si="6"/>
        <v>3911.1032266666725</v>
      </c>
    </row>
    <row r="420" spans="1:7" ht="14.4">
      <c r="A420" s="10">
        <v>45924</v>
      </c>
      <c r="D420" s="291" t="s">
        <v>637</v>
      </c>
      <c r="E420" s="289"/>
      <c r="F420" s="355">
        <v>15.59</v>
      </c>
      <c r="G420" s="39">
        <f t="shared" si="6"/>
        <v>3895.5132266666724</v>
      </c>
    </row>
    <row r="421" spans="1:7" ht="14.4">
      <c r="A421" s="10">
        <v>45925</v>
      </c>
      <c r="D421" s="291" t="s">
        <v>656</v>
      </c>
      <c r="E421" s="290">
        <v>34300</v>
      </c>
      <c r="F421" s="289"/>
      <c r="G421" s="39">
        <f t="shared" si="6"/>
        <v>38195.51322666667</v>
      </c>
    </row>
    <row r="422" spans="1:7" ht="14.4">
      <c r="A422" s="10">
        <v>45925</v>
      </c>
      <c r="D422" s="291" t="s">
        <v>656</v>
      </c>
      <c r="E422" s="290">
        <v>34300</v>
      </c>
      <c r="F422" s="289"/>
      <c r="G422" s="39">
        <f t="shared" si="6"/>
        <v>72495.513226666662</v>
      </c>
    </row>
    <row r="423" spans="1:7" ht="14.4">
      <c r="A423" s="10">
        <v>45925</v>
      </c>
      <c r="D423" s="291" t="s">
        <v>656</v>
      </c>
      <c r="E423" s="290">
        <v>34300</v>
      </c>
      <c r="F423" s="289"/>
      <c r="G423" s="39">
        <f t="shared" si="6"/>
        <v>106795.51322666666</v>
      </c>
    </row>
    <row r="424" spans="1:7" ht="14.4">
      <c r="A424" s="10">
        <v>45925</v>
      </c>
      <c r="D424" s="291" t="s">
        <v>656</v>
      </c>
      <c r="E424" s="290">
        <v>34300</v>
      </c>
      <c r="F424" s="289"/>
      <c r="G424" s="39">
        <f t="shared" si="6"/>
        <v>141095.51322666666</v>
      </c>
    </row>
    <row r="425" spans="1:7" ht="14.4">
      <c r="A425" s="10">
        <v>45925</v>
      </c>
      <c r="D425" s="291" t="s">
        <v>656</v>
      </c>
      <c r="E425" s="290">
        <v>34300</v>
      </c>
      <c r="F425" s="289"/>
      <c r="G425" s="39">
        <f t="shared" si="6"/>
        <v>175395.51322666666</v>
      </c>
    </row>
    <row r="426" spans="1:7" ht="14.4">
      <c r="A426" s="10">
        <v>45925</v>
      </c>
      <c r="D426" s="291" t="s">
        <v>656</v>
      </c>
      <c r="E426" s="290">
        <v>34300</v>
      </c>
      <c r="F426" s="289"/>
      <c r="G426" s="39">
        <f t="shared" si="6"/>
        <v>209695.51322666666</v>
      </c>
    </row>
    <row r="427" spans="1:7" ht="14.4">
      <c r="A427" s="10">
        <v>45925</v>
      </c>
      <c r="D427" s="8" t="s">
        <v>647</v>
      </c>
      <c r="E427" s="11"/>
      <c r="F427" s="209">
        <v>1500</v>
      </c>
      <c r="G427" s="39">
        <f t="shared" si="6"/>
        <v>208195.51322666666</v>
      </c>
    </row>
    <row r="428" spans="1:7" ht="14.4">
      <c r="A428" s="10">
        <v>45925</v>
      </c>
      <c r="D428" s="11" t="s">
        <v>655</v>
      </c>
      <c r="F428" s="209">
        <v>4.3</v>
      </c>
      <c r="G428" s="39">
        <f t="shared" si="6"/>
        <v>208191.21322666667</v>
      </c>
    </row>
    <row r="429" spans="1:7" ht="14.4">
      <c r="A429" s="10">
        <v>45925</v>
      </c>
      <c r="D429" s="8" t="s">
        <v>16</v>
      </c>
      <c r="F429" s="209">
        <v>0.48</v>
      </c>
      <c r="G429" s="39">
        <f t="shared" si="6"/>
        <v>208190.73322666666</v>
      </c>
    </row>
    <row r="430" spans="1:7" ht="14.4">
      <c r="A430" s="10">
        <v>45925</v>
      </c>
      <c r="D430" s="291" t="s">
        <v>658</v>
      </c>
      <c r="E430" s="289"/>
      <c r="F430" s="290">
        <v>4452.99</v>
      </c>
      <c r="G430" s="39">
        <f t="shared" si="6"/>
        <v>203737.74322666667</v>
      </c>
    </row>
    <row r="431" spans="1:7" ht="14.4">
      <c r="A431" s="10">
        <v>45925</v>
      </c>
      <c r="D431" s="291" t="s">
        <v>516</v>
      </c>
      <c r="E431" s="289"/>
      <c r="F431" s="290">
        <v>4.3</v>
      </c>
      <c r="G431" s="39">
        <f t="shared" si="6"/>
        <v>203733.44322666668</v>
      </c>
    </row>
    <row r="432" spans="1:7" ht="14.4">
      <c r="A432" s="10">
        <v>45925</v>
      </c>
      <c r="D432" s="291" t="s">
        <v>657</v>
      </c>
      <c r="E432" s="289"/>
      <c r="F432" s="290">
        <v>8451.44</v>
      </c>
      <c r="G432" s="39">
        <f t="shared" si="6"/>
        <v>195282.00322666668</v>
      </c>
    </row>
    <row r="433" spans="1:9" ht="14.4">
      <c r="A433" s="10">
        <v>45925</v>
      </c>
      <c r="D433" s="291" t="s">
        <v>516</v>
      </c>
      <c r="E433" s="289"/>
      <c r="F433" s="290">
        <v>4.3</v>
      </c>
      <c r="G433" s="39">
        <f t="shared" si="6"/>
        <v>195277.70322666669</v>
      </c>
    </row>
    <row r="434" spans="1:9" ht="14.4">
      <c r="A434" s="10">
        <v>45925</v>
      </c>
      <c r="D434" s="291" t="s">
        <v>659</v>
      </c>
      <c r="E434" s="289"/>
      <c r="F434" s="290">
        <v>10187.780000000001</v>
      </c>
      <c r="G434" s="39">
        <f t="shared" si="6"/>
        <v>185089.92322666669</v>
      </c>
    </row>
    <row r="435" spans="1:9" ht="14.4">
      <c r="A435" s="10">
        <v>45925</v>
      </c>
      <c r="D435" s="291" t="s">
        <v>661</v>
      </c>
      <c r="E435" s="289"/>
      <c r="F435" s="290">
        <v>9435.3723439999994</v>
      </c>
      <c r="G435" s="39">
        <f t="shared" si="6"/>
        <v>175654.55088266669</v>
      </c>
    </row>
    <row r="436" spans="1:9" ht="14.4">
      <c r="A436" s="10">
        <v>45925</v>
      </c>
      <c r="D436" s="291" t="s">
        <v>660</v>
      </c>
      <c r="E436" s="289"/>
      <c r="F436" s="290">
        <v>5328.4279537499988</v>
      </c>
      <c r="G436" s="39">
        <f t="shared" si="6"/>
        <v>170326.12292891668</v>
      </c>
    </row>
    <row r="437" spans="1:9" ht="14.4">
      <c r="A437" s="10">
        <v>45925</v>
      </c>
      <c r="D437" s="291" t="s">
        <v>516</v>
      </c>
      <c r="E437" s="289"/>
      <c r="F437" s="290">
        <v>4.3</v>
      </c>
      <c r="G437" s="39">
        <f t="shared" si="6"/>
        <v>170321.82292891669</v>
      </c>
    </row>
    <row r="438" spans="1:9" ht="14.4">
      <c r="A438" s="10">
        <v>45925</v>
      </c>
      <c r="D438" s="291" t="s">
        <v>663</v>
      </c>
      <c r="E438" s="289"/>
      <c r="F438" s="290">
        <v>6647.25</v>
      </c>
      <c r="G438" s="39">
        <f t="shared" si="6"/>
        <v>163674.57292891669</v>
      </c>
    </row>
    <row r="439" spans="1:9" ht="14.4">
      <c r="A439" s="10">
        <v>45925</v>
      </c>
      <c r="D439" s="291" t="s">
        <v>664</v>
      </c>
      <c r="E439" s="289"/>
      <c r="F439" s="290">
        <v>15397.013471499999</v>
      </c>
      <c r="G439" s="39">
        <f t="shared" si="6"/>
        <v>148277.5594574167</v>
      </c>
    </row>
    <row r="440" spans="1:9" ht="14.4">
      <c r="A440" s="10">
        <v>45925</v>
      </c>
      <c r="D440" s="291" t="s">
        <v>516</v>
      </c>
      <c r="E440" s="289"/>
      <c r="F440" s="290">
        <v>4.3</v>
      </c>
      <c r="G440" s="39">
        <f t="shared" si="6"/>
        <v>148273.25945741672</v>
      </c>
    </row>
    <row r="441" spans="1:9" ht="14.4">
      <c r="A441" s="10">
        <v>45925</v>
      </c>
      <c r="D441" s="291" t="s">
        <v>665</v>
      </c>
      <c r="E441" s="289"/>
      <c r="F441" s="290">
        <v>12384.553084437499</v>
      </c>
      <c r="G441" s="39">
        <f t="shared" si="6"/>
        <v>135888.70637297921</v>
      </c>
    </row>
    <row r="442" spans="1:9" ht="14.4">
      <c r="A442" s="10">
        <v>45926</v>
      </c>
      <c r="D442" s="291" t="s">
        <v>666</v>
      </c>
      <c r="E442" s="289"/>
      <c r="F442" s="290">
        <v>19623.540371500007</v>
      </c>
      <c r="G442" s="39">
        <f t="shared" si="6"/>
        <v>116265.1660014792</v>
      </c>
    </row>
    <row r="443" spans="1:9" ht="14.4">
      <c r="A443" s="10">
        <v>45926</v>
      </c>
      <c r="D443" s="291" t="s">
        <v>667</v>
      </c>
      <c r="E443" s="289"/>
      <c r="F443" s="290">
        <v>15962.9146602207</v>
      </c>
      <c r="G443" s="39">
        <f t="shared" si="6"/>
        <v>100302.2513412585</v>
      </c>
    </row>
    <row r="444" spans="1:9" ht="14.4">
      <c r="A444" s="10">
        <v>45926</v>
      </c>
      <c r="D444" s="291" t="s">
        <v>516</v>
      </c>
      <c r="E444" s="289"/>
      <c r="F444" s="290">
        <v>4.3</v>
      </c>
      <c r="G444" s="39">
        <f t="shared" si="6"/>
        <v>100297.95134125849</v>
      </c>
    </row>
    <row r="445" spans="1:9" ht="14.4">
      <c r="A445" s="10">
        <v>45926</v>
      </c>
      <c r="D445" s="291" t="s">
        <v>668</v>
      </c>
      <c r="E445" s="289"/>
      <c r="F445" s="290">
        <v>2341.7325449999998</v>
      </c>
      <c r="G445" s="39">
        <f t="shared" si="6"/>
        <v>97956.218796258487</v>
      </c>
    </row>
    <row r="446" spans="1:9" ht="14.4">
      <c r="A446" s="10">
        <v>45926</v>
      </c>
      <c r="D446" s="291" t="s">
        <v>516</v>
      </c>
      <c r="E446" s="289"/>
      <c r="F446" s="290">
        <v>4.3</v>
      </c>
      <c r="G446" s="39">
        <f t="shared" si="6"/>
        <v>97951.918796258484</v>
      </c>
    </row>
    <row r="447" spans="1:9" ht="14.4">
      <c r="A447" s="10">
        <v>45926</v>
      </c>
      <c r="D447" s="291" t="s">
        <v>662</v>
      </c>
      <c r="E447" s="289"/>
      <c r="F447" s="290">
        <v>5326.2338459999992</v>
      </c>
      <c r="G447" s="39">
        <f t="shared" si="6"/>
        <v>92625.684950258481</v>
      </c>
    </row>
    <row r="448" spans="1:9" ht="14.4">
      <c r="A448" s="10">
        <v>45926</v>
      </c>
      <c r="D448" s="291" t="s">
        <v>516</v>
      </c>
      <c r="E448" s="289"/>
      <c r="F448" s="290">
        <v>4.3</v>
      </c>
      <c r="G448" s="39">
        <f t="shared" si="6"/>
        <v>92621.384950258478</v>
      </c>
      <c r="I448" s="63"/>
    </row>
    <row r="449" spans="1:10" ht="14.4">
      <c r="A449" s="10">
        <v>45926</v>
      </c>
      <c r="D449" s="291" t="s">
        <v>16</v>
      </c>
      <c r="E449" s="289"/>
      <c r="F449" s="290">
        <v>5</v>
      </c>
      <c r="G449" s="39">
        <f t="shared" si="6"/>
        <v>92616.384950258478</v>
      </c>
      <c r="I449" s="63"/>
    </row>
    <row r="450" spans="1:10" ht="14.4">
      <c r="A450" s="10">
        <v>45926</v>
      </c>
      <c r="D450" s="291" t="s">
        <v>669</v>
      </c>
      <c r="E450" s="289"/>
      <c r="F450" s="290">
        <v>10382.75</v>
      </c>
      <c r="G450" s="39">
        <f t="shared" si="6"/>
        <v>82233.634950258478</v>
      </c>
    </row>
    <row r="451" spans="1:10" ht="14.4">
      <c r="A451" s="10">
        <v>45926</v>
      </c>
      <c r="D451" s="291" t="s">
        <v>670</v>
      </c>
      <c r="E451" s="289"/>
      <c r="F451" s="290">
        <v>4000</v>
      </c>
      <c r="G451" s="39">
        <f t="shared" si="6"/>
        <v>78233.634950258478</v>
      </c>
    </row>
    <row r="452" spans="1:10" ht="14.4">
      <c r="A452" s="10">
        <v>45926</v>
      </c>
      <c r="D452" s="291" t="s">
        <v>516</v>
      </c>
      <c r="E452" s="289"/>
      <c r="F452" s="290">
        <v>4.3</v>
      </c>
      <c r="G452" s="39">
        <f t="shared" si="6"/>
        <v>78229.334950258475</v>
      </c>
      <c r="I452" s="63"/>
    </row>
    <row r="453" spans="1:10" ht="14.4">
      <c r="A453" s="10">
        <v>45926</v>
      </c>
      <c r="D453" s="291" t="s">
        <v>16</v>
      </c>
      <c r="E453" s="289"/>
      <c r="F453" s="290">
        <v>0.7</v>
      </c>
      <c r="G453" s="39">
        <f t="shared" si="6"/>
        <v>78228.634950258478</v>
      </c>
      <c r="I453" s="63"/>
    </row>
    <row r="454" spans="1:10" ht="14.4">
      <c r="A454" s="10">
        <v>45926</v>
      </c>
      <c r="D454" s="11" t="s">
        <v>672</v>
      </c>
      <c r="F454" s="209">
        <v>12509.14</v>
      </c>
      <c r="G454" s="39">
        <f t="shared" si="6"/>
        <v>65719.494950258479</v>
      </c>
    </row>
    <row r="455" spans="1:10" ht="14.4">
      <c r="A455" s="10">
        <v>45926</v>
      </c>
      <c r="D455" s="8" t="s">
        <v>16</v>
      </c>
      <c r="F455" s="209">
        <v>1.33</v>
      </c>
      <c r="G455" s="39">
        <f t="shared" si="6"/>
        <v>65718.164950258477</v>
      </c>
    </row>
    <row r="456" spans="1:10" ht="14.4">
      <c r="A456" s="10">
        <v>45926</v>
      </c>
      <c r="D456" s="11" t="s">
        <v>673</v>
      </c>
      <c r="F456" s="209">
        <v>10250.39</v>
      </c>
      <c r="G456" s="39">
        <f t="shared" si="6"/>
        <v>55467.774950258477</v>
      </c>
    </row>
    <row r="457" spans="1:10" ht="14.4">
      <c r="A457" s="10">
        <v>45926</v>
      </c>
      <c r="D457" s="11" t="s">
        <v>240</v>
      </c>
      <c r="F457" s="209">
        <v>54.75</v>
      </c>
      <c r="G457" s="39">
        <f t="shared" ref="G457:G485" si="7">G456+E457-F457</f>
        <v>55413.024950258477</v>
      </c>
    </row>
    <row r="458" spans="1:10" ht="14.4">
      <c r="A458" s="10">
        <v>45926</v>
      </c>
      <c r="D458" s="11" t="s">
        <v>674</v>
      </c>
      <c r="F458" s="209">
        <v>10380.27774846875</v>
      </c>
      <c r="G458" s="39">
        <f t="shared" si="7"/>
        <v>45032.747201789723</v>
      </c>
    </row>
    <row r="459" spans="1:10" ht="14.4">
      <c r="A459" s="10">
        <v>45926</v>
      </c>
      <c r="D459" s="11" t="s">
        <v>281</v>
      </c>
      <c r="F459" s="209">
        <v>55.402251531249902</v>
      </c>
      <c r="G459" s="39">
        <f t="shared" si="7"/>
        <v>44977.344950258477</v>
      </c>
    </row>
    <row r="460" spans="1:10" ht="14.4">
      <c r="A460" s="10">
        <v>45926</v>
      </c>
      <c r="D460" s="11" t="s">
        <v>675</v>
      </c>
      <c r="F460" s="209">
        <v>10138.900987749999</v>
      </c>
      <c r="G460" s="39">
        <f t="shared" si="7"/>
        <v>34838.443962508478</v>
      </c>
    </row>
    <row r="461" spans="1:10" ht="14.4">
      <c r="A461" s="10">
        <v>45926</v>
      </c>
      <c r="D461" s="11" t="s">
        <v>413</v>
      </c>
      <c r="F461" s="209">
        <v>4.3</v>
      </c>
      <c r="G461" s="39">
        <f t="shared" si="7"/>
        <v>34834.143962508475</v>
      </c>
    </row>
    <row r="462" spans="1:10" ht="14.4">
      <c r="A462" s="10">
        <v>45926</v>
      </c>
      <c r="D462" s="11" t="s">
        <v>676</v>
      </c>
      <c r="F462" s="209">
        <v>11218.035899999999</v>
      </c>
      <c r="G462" s="39">
        <f t="shared" si="7"/>
        <v>23616.108062508476</v>
      </c>
      <c r="I462" s="63"/>
      <c r="J462" s="63"/>
    </row>
    <row r="463" spans="1:10" ht="14.4">
      <c r="A463" s="10">
        <v>45926</v>
      </c>
      <c r="D463" s="8" t="s">
        <v>16</v>
      </c>
      <c r="F463" s="209">
        <v>1.33</v>
      </c>
      <c r="G463" s="39">
        <f t="shared" si="7"/>
        <v>23614.778062508474</v>
      </c>
      <c r="I463" s="63"/>
      <c r="J463" s="63"/>
    </row>
    <row r="464" spans="1:10" ht="14.4">
      <c r="A464" s="10">
        <v>45926</v>
      </c>
      <c r="D464" s="11" t="s">
        <v>678</v>
      </c>
      <c r="F464" s="39">
        <v>739.78</v>
      </c>
      <c r="G464" s="39">
        <f t="shared" si="7"/>
        <v>22874.998062508475</v>
      </c>
    </row>
    <row r="465" spans="1:9" ht="14.4">
      <c r="A465" s="10">
        <v>45926</v>
      </c>
      <c r="D465" s="11" t="s">
        <v>16</v>
      </c>
      <c r="F465" s="39">
        <v>0.65</v>
      </c>
      <c r="G465" s="39">
        <f t="shared" si="7"/>
        <v>22874.348062508474</v>
      </c>
    </row>
    <row r="466" spans="1:9" ht="14.4">
      <c r="A466" s="10">
        <v>45926</v>
      </c>
      <c r="D466" s="11" t="s">
        <v>679</v>
      </c>
      <c r="F466" s="39">
        <v>8154.23</v>
      </c>
      <c r="G466" s="39">
        <f t="shared" si="7"/>
        <v>14720.118062508474</v>
      </c>
    </row>
    <row r="467" spans="1:9" ht="14.4">
      <c r="A467" s="10">
        <v>45926</v>
      </c>
      <c r="D467" s="11" t="s">
        <v>240</v>
      </c>
      <c r="F467" s="39">
        <v>44.27</v>
      </c>
      <c r="G467" s="39">
        <f t="shared" si="7"/>
        <v>14675.848062508474</v>
      </c>
    </row>
    <row r="468" spans="1:9" ht="14.4">
      <c r="A468" s="10">
        <v>45926</v>
      </c>
      <c r="D468" s="11" t="s">
        <v>680</v>
      </c>
      <c r="F468" s="39">
        <v>912</v>
      </c>
      <c r="G468" s="39">
        <f t="shared" si="7"/>
        <v>13763.848062508474</v>
      </c>
    </row>
    <row r="469" spans="1:9" ht="14.4">
      <c r="A469" s="10">
        <v>45926</v>
      </c>
      <c r="D469" s="11" t="s">
        <v>281</v>
      </c>
      <c r="F469" s="39">
        <v>10.5</v>
      </c>
      <c r="G469" s="39">
        <f t="shared" si="7"/>
        <v>13753.348062508474</v>
      </c>
    </row>
    <row r="470" spans="1:9" ht="14.4">
      <c r="A470" s="10">
        <v>45926</v>
      </c>
      <c r="D470" s="11" t="s">
        <v>681</v>
      </c>
      <c r="F470" s="39">
        <v>5200.0200000000004</v>
      </c>
      <c r="G470" s="39">
        <f t="shared" si="7"/>
        <v>8553.3280625084735</v>
      </c>
    </row>
    <row r="471" spans="1:9" ht="14.4">
      <c r="A471" s="10">
        <v>45926</v>
      </c>
      <c r="D471" s="11" t="s">
        <v>682</v>
      </c>
      <c r="F471" s="39">
        <v>4.3</v>
      </c>
      <c r="G471" s="39">
        <f t="shared" si="7"/>
        <v>8549.0280625084742</v>
      </c>
      <c r="I471" s="63"/>
    </row>
    <row r="472" spans="1:9" ht="14.4">
      <c r="A472" s="10">
        <v>45929</v>
      </c>
      <c r="D472" s="11" t="s">
        <v>683</v>
      </c>
      <c r="F472" s="39">
        <v>1416</v>
      </c>
      <c r="G472" s="39">
        <f t="shared" si="7"/>
        <v>7133.0280625084742</v>
      </c>
    </row>
    <row r="473" spans="1:9" ht="14.4">
      <c r="A473" s="10">
        <v>45929</v>
      </c>
      <c r="D473" s="11" t="s">
        <v>684</v>
      </c>
      <c r="F473" s="39">
        <v>1416</v>
      </c>
      <c r="G473" s="39">
        <f t="shared" si="7"/>
        <v>5717.0280625084742</v>
      </c>
    </row>
    <row r="474" spans="1:9" ht="14.4">
      <c r="A474" s="10">
        <v>45929</v>
      </c>
      <c r="D474" s="11" t="s">
        <v>16</v>
      </c>
      <c r="F474" s="39">
        <v>0.5</v>
      </c>
      <c r="G474" s="39">
        <f t="shared" si="7"/>
        <v>5716.5280625084742</v>
      </c>
      <c r="I474" s="63"/>
    </row>
    <row r="475" spans="1:9" ht="14.4">
      <c r="A475" s="10">
        <v>45929</v>
      </c>
      <c r="D475" s="291" t="s">
        <v>685</v>
      </c>
      <c r="E475" s="290">
        <v>8451.44</v>
      </c>
      <c r="F475" s="290"/>
      <c r="G475" s="39">
        <f>G474+E475-F475</f>
        <v>14167.968062508475</v>
      </c>
      <c r="I475" s="63"/>
    </row>
    <row r="476" spans="1:9" ht="14.4">
      <c r="A476" s="10">
        <v>45930</v>
      </c>
      <c r="D476" s="8" t="s">
        <v>10</v>
      </c>
      <c r="F476" s="39">
        <v>5.5</v>
      </c>
      <c r="G476" s="39">
        <f t="shared" si="7"/>
        <v>14162.468062508475</v>
      </c>
      <c r="I476" s="63"/>
    </row>
    <row r="477" spans="1:9" ht="14.4">
      <c r="A477" s="10">
        <v>45930</v>
      </c>
      <c r="D477" s="8" t="s">
        <v>192</v>
      </c>
      <c r="F477" s="39">
        <v>35</v>
      </c>
      <c r="G477" s="39">
        <f t="shared" si="7"/>
        <v>14127.468062508475</v>
      </c>
    </row>
    <row r="478" spans="1:9" s="14" customFormat="1" ht="14.4">
      <c r="A478" s="13">
        <v>45930</v>
      </c>
      <c r="D478" s="14" t="s">
        <v>138</v>
      </c>
      <c r="G478" s="40">
        <f t="shared" si="7"/>
        <v>14127.468062508475</v>
      </c>
    </row>
    <row r="479" spans="1:9" ht="14.4">
      <c r="A479" s="10">
        <v>45931</v>
      </c>
      <c r="G479" s="39">
        <f t="shared" si="7"/>
        <v>14127.468062508475</v>
      </c>
    </row>
    <row r="480" spans="1:9" ht="14.4">
      <c r="A480" s="10">
        <v>45932</v>
      </c>
      <c r="D480" s="291" t="s">
        <v>689</v>
      </c>
      <c r="E480" s="290"/>
      <c r="F480" s="290">
        <v>562.61</v>
      </c>
      <c r="G480" s="39">
        <f t="shared" si="7"/>
        <v>13564.858062508474</v>
      </c>
      <c r="I480" s="63"/>
    </row>
    <row r="481" spans="1:10" ht="14.4">
      <c r="A481" s="10">
        <v>45932</v>
      </c>
      <c r="D481" s="11" t="s">
        <v>365</v>
      </c>
      <c r="F481" s="39">
        <v>1613</v>
      </c>
      <c r="G481" s="39">
        <f t="shared" si="7"/>
        <v>11951.858062508474</v>
      </c>
    </row>
    <row r="482" spans="1:10" ht="14.4">
      <c r="A482" s="10">
        <v>45932</v>
      </c>
      <c r="D482" s="8" t="s">
        <v>16</v>
      </c>
      <c r="F482" s="39">
        <v>0.05</v>
      </c>
      <c r="G482" s="39">
        <f t="shared" si="7"/>
        <v>11951.808062508475</v>
      </c>
    </row>
    <row r="483" spans="1:10" ht="14.4">
      <c r="A483" s="10">
        <v>45933</v>
      </c>
      <c r="D483" s="11" t="s">
        <v>704</v>
      </c>
      <c r="E483" s="39">
        <v>33880</v>
      </c>
      <c r="G483" s="39">
        <f t="shared" si="7"/>
        <v>45831.808062508477</v>
      </c>
    </row>
    <row r="484" spans="1:10" ht="14.4">
      <c r="A484" s="10">
        <v>45932</v>
      </c>
      <c r="D484" s="11" t="s">
        <v>704</v>
      </c>
      <c r="E484" s="39">
        <v>33880</v>
      </c>
      <c r="G484" s="39">
        <f t="shared" si="7"/>
        <v>79711.808062508469</v>
      </c>
    </row>
    <row r="485" spans="1:10" ht="14.4">
      <c r="A485" s="10">
        <v>45932</v>
      </c>
      <c r="D485" s="11" t="s">
        <v>704</v>
      </c>
      <c r="E485" s="39">
        <v>33880</v>
      </c>
      <c r="G485" s="39">
        <f t="shared" si="7"/>
        <v>113591.80806250847</v>
      </c>
    </row>
    <row r="486" spans="1:10" ht="14.4">
      <c r="A486" s="10">
        <v>45936</v>
      </c>
      <c r="D486" s="8" t="s">
        <v>311</v>
      </c>
      <c r="E486" s="39"/>
      <c r="F486" s="39">
        <f>4191.3+749.95</f>
        <v>4941.25</v>
      </c>
      <c r="G486" s="39">
        <f>G485+E486-F486</f>
        <v>108650.55806250847</v>
      </c>
    </row>
    <row r="487" spans="1:10" ht="14.4">
      <c r="A487" s="10">
        <v>45936</v>
      </c>
      <c r="D487" s="8" t="s">
        <v>445</v>
      </c>
      <c r="E487" s="39"/>
      <c r="F487" s="39">
        <v>3452.52</v>
      </c>
      <c r="G487" s="39">
        <f>G486+E487-F487</f>
        <v>105198.03806250847</v>
      </c>
      <c r="I487" s="63"/>
    </row>
    <row r="488" spans="1:10" ht="14.4">
      <c r="A488" s="10">
        <v>45936</v>
      </c>
      <c r="D488" s="8" t="s">
        <v>444</v>
      </c>
      <c r="E488" s="39"/>
      <c r="F488" s="39">
        <f>1639.64+407.96</f>
        <v>2047.6000000000001</v>
      </c>
      <c r="G488" s="39">
        <f>G487+E488-F488</f>
        <v>103150.43806250846</v>
      </c>
      <c r="J488" s="63"/>
    </row>
    <row r="489" spans="1:10" ht="14.4">
      <c r="A489" s="10">
        <v>45936</v>
      </c>
      <c r="D489" s="8" t="s">
        <v>16</v>
      </c>
      <c r="E489" s="39"/>
      <c r="F489" s="39">
        <v>0.45</v>
      </c>
      <c r="G489" s="39">
        <f t="shared" ref="G489:G552" si="8">G488+E489-F489</f>
        <v>103149.98806250846</v>
      </c>
      <c r="J489" s="63"/>
    </row>
    <row r="490" spans="1:10" ht="14.4">
      <c r="A490" s="10">
        <v>45937</v>
      </c>
      <c r="D490" s="291" t="s">
        <v>706</v>
      </c>
      <c r="F490" s="39">
        <v>17550.62</v>
      </c>
      <c r="G490" s="39">
        <f t="shared" si="8"/>
        <v>85599.368062508467</v>
      </c>
      <c r="I490" s="63"/>
    </row>
    <row r="491" spans="1:10" ht="14.4">
      <c r="A491" s="10">
        <v>45937</v>
      </c>
      <c r="D491" s="291" t="s">
        <v>707</v>
      </c>
      <c r="F491" s="39">
        <v>9.3800000000000008</v>
      </c>
      <c r="G491" s="39">
        <f t="shared" si="8"/>
        <v>85589.988062508462</v>
      </c>
      <c r="H491" s="63"/>
      <c r="I491" s="378"/>
    </row>
    <row r="492" spans="1:10" ht="14.4">
      <c r="A492" s="10">
        <v>45938</v>
      </c>
      <c r="D492" s="8" t="s">
        <v>16</v>
      </c>
      <c r="E492" s="39"/>
      <c r="F492" s="39">
        <v>0.85</v>
      </c>
      <c r="G492" s="39">
        <f t="shared" si="8"/>
        <v>85589.138062508457</v>
      </c>
    </row>
    <row r="493" spans="1:10" ht="14.4">
      <c r="A493" s="10">
        <v>45939</v>
      </c>
      <c r="D493" s="289" t="s">
        <v>710</v>
      </c>
      <c r="F493" s="39">
        <v>1327.5</v>
      </c>
      <c r="G493" s="39">
        <f t="shared" si="8"/>
        <v>84261.638062508457</v>
      </c>
      <c r="H493" s="63"/>
    </row>
    <row r="494" spans="1:10" ht="14.4">
      <c r="A494" s="10">
        <v>45939</v>
      </c>
      <c r="D494" s="8" t="s">
        <v>557</v>
      </c>
      <c r="F494" s="39">
        <v>4.7999999999999545</v>
      </c>
      <c r="G494" s="39">
        <f t="shared" si="8"/>
        <v>84256.838062508454</v>
      </c>
      <c r="I494" s="63"/>
    </row>
    <row r="495" spans="1:10" ht="14.4">
      <c r="A495" s="10">
        <v>45938</v>
      </c>
      <c r="D495" s="8" t="s">
        <v>16</v>
      </c>
      <c r="E495" s="39"/>
      <c r="F495" s="39">
        <v>0.05</v>
      </c>
      <c r="G495" s="39">
        <f t="shared" si="8"/>
        <v>84256.788062508451</v>
      </c>
      <c r="H495" s="63"/>
    </row>
    <row r="496" spans="1:10" ht="14.4">
      <c r="A496" s="10">
        <v>45939</v>
      </c>
      <c r="D496" s="8" t="s">
        <v>1112</v>
      </c>
      <c r="F496" s="39">
        <v>926</v>
      </c>
      <c r="G496" s="39">
        <f t="shared" si="8"/>
        <v>83330.788062508451</v>
      </c>
    </row>
    <row r="497" spans="1:9" ht="14.4">
      <c r="A497" s="10">
        <v>45940</v>
      </c>
      <c r="D497" s="8" t="s">
        <v>713</v>
      </c>
      <c r="F497" s="39">
        <v>472</v>
      </c>
      <c r="G497" s="39">
        <f t="shared" si="8"/>
        <v>82858.788062508451</v>
      </c>
    </row>
    <row r="498" spans="1:9" ht="14.4">
      <c r="A498" s="10">
        <v>45945</v>
      </c>
      <c r="D498" s="8" t="s">
        <v>590</v>
      </c>
      <c r="F498" s="39">
        <v>17771</v>
      </c>
      <c r="G498" s="39">
        <f t="shared" si="8"/>
        <v>65087.788062508451</v>
      </c>
    </row>
    <row r="499" spans="1:9" ht="14.4">
      <c r="A499" s="10">
        <v>45945</v>
      </c>
      <c r="D499" s="11" t="s">
        <v>66</v>
      </c>
      <c r="E499" s="209"/>
      <c r="F499" s="209">
        <v>10</v>
      </c>
      <c r="G499" s="39">
        <f t="shared" si="8"/>
        <v>65077.788062508451</v>
      </c>
    </row>
    <row r="500" spans="1:9" ht="14.4">
      <c r="A500" s="10">
        <v>45946</v>
      </c>
      <c r="D500" s="11" t="s">
        <v>723</v>
      </c>
      <c r="F500" s="209">
        <v>112</v>
      </c>
      <c r="G500" s="39">
        <f t="shared" si="8"/>
        <v>64965.788062508451</v>
      </c>
    </row>
    <row r="501" spans="1:9" ht="14.4">
      <c r="A501" s="10">
        <v>45946</v>
      </c>
      <c r="B501" s="11"/>
      <c r="C501" s="11"/>
      <c r="D501" s="291" t="s">
        <v>591</v>
      </c>
      <c r="E501" s="209"/>
      <c r="F501" s="209">
        <v>32927</v>
      </c>
      <c r="G501" s="39">
        <f t="shared" si="8"/>
        <v>32038.788062508451</v>
      </c>
    </row>
    <row r="502" spans="1:9" ht="14.4">
      <c r="A502" s="10">
        <v>45946</v>
      </c>
      <c r="D502" s="291" t="s">
        <v>16</v>
      </c>
      <c r="E502" s="209"/>
      <c r="F502" s="209">
        <v>1</v>
      </c>
      <c r="G502" s="39">
        <f t="shared" si="8"/>
        <v>32037.788062508451</v>
      </c>
    </row>
    <row r="503" spans="1:9" ht="14.4">
      <c r="A503" s="10">
        <v>45947</v>
      </c>
      <c r="D503" s="291" t="s">
        <v>726</v>
      </c>
      <c r="E503" s="209">
        <v>33060</v>
      </c>
      <c r="F503" s="209"/>
      <c r="G503" s="39">
        <f t="shared" si="8"/>
        <v>65097.788062508451</v>
      </c>
    </row>
    <row r="504" spans="1:9" ht="14.4">
      <c r="A504" s="10">
        <v>45947</v>
      </c>
      <c r="D504" s="291" t="s">
        <v>726</v>
      </c>
      <c r="E504" s="209">
        <v>33060</v>
      </c>
      <c r="F504" s="209"/>
      <c r="G504" s="39">
        <f t="shared" si="8"/>
        <v>98157.788062508451</v>
      </c>
    </row>
    <row r="505" spans="1:9" ht="14.4">
      <c r="A505" s="10">
        <v>45947</v>
      </c>
      <c r="D505" s="291" t="s">
        <v>727</v>
      </c>
      <c r="E505" s="209"/>
      <c r="F505" s="209">
        <v>36634</v>
      </c>
      <c r="G505" s="39">
        <f t="shared" si="8"/>
        <v>61523.788062508451</v>
      </c>
    </row>
    <row r="506" spans="1:9" ht="14.4">
      <c r="A506" s="10">
        <v>45947</v>
      </c>
      <c r="D506" s="291" t="s">
        <v>16</v>
      </c>
      <c r="E506" s="209"/>
      <c r="F506" s="209">
        <v>2.4</v>
      </c>
      <c r="G506" s="39">
        <f t="shared" si="8"/>
        <v>61521.388062508449</v>
      </c>
      <c r="I506" s="63"/>
    </row>
    <row r="507" spans="1:9" ht="14.4">
      <c r="A507" s="10">
        <v>45953</v>
      </c>
      <c r="D507" s="8" t="s">
        <v>748</v>
      </c>
      <c r="E507" s="209"/>
      <c r="F507" s="209">
        <v>344.88</v>
      </c>
      <c r="G507" s="39">
        <f t="shared" si="8"/>
        <v>61176.508062508452</v>
      </c>
    </row>
    <row r="508" spans="1:9" ht="14.4">
      <c r="A508" s="10">
        <v>45953</v>
      </c>
      <c r="D508" s="8" t="s">
        <v>749</v>
      </c>
      <c r="E508" s="209"/>
      <c r="F508" s="209">
        <v>355.23</v>
      </c>
      <c r="G508" s="39">
        <f t="shared" si="8"/>
        <v>60821.278062508449</v>
      </c>
    </row>
    <row r="509" spans="1:9" ht="14.4">
      <c r="A509" s="10">
        <v>45953</v>
      </c>
      <c r="D509" s="8" t="s">
        <v>750</v>
      </c>
      <c r="E509" s="209"/>
      <c r="F509" s="209">
        <v>118</v>
      </c>
      <c r="G509" s="39">
        <f t="shared" si="8"/>
        <v>60703.278062508449</v>
      </c>
    </row>
    <row r="510" spans="1:9" ht="14.4">
      <c r="A510" s="10">
        <v>45953</v>
      </c>
      <c r="D510" s="8" t="s">
        <v>751</v>
      </c>
      <c r="E510" s="209"/>
      <c r="F510" s="209">
        <v>180.21</v>
      </c>
      <c r="G510" s="39">
        <f t="shared" si="8"/>
        <v>60523.06806250845</v>
      </c>
    </row>
    <row r="511" spans="1:9" ht="14.4">
      <c r="A511" s="10">
        <v>45954</v>
      </c>
      <c r="D511" s="291" t="s">
        <v>604</v>
      </c>
      <c r="E511" s="209"/>
      <c r="F511" s="39">
        <v>2434.16</v>
      </c>
      <c r="G511" s="39">
        <f t="shared" si="8"/>
        <v>58088.908062508446</v>
      </c>
    </row>
    <row r="512" spans="1:9" ht="14.4">
      <c r="A512" s="10">
        <v>45954</v>
      </c>
      <c r="D512" s="291" t="s">
        <v>759</v>
      </c>
      <c r="E512" s="209"/>
      <c r="F512" s="39">
        <v>123.9</v>
      </c>
      <c r="G512" s="39">
        <f t="shared" si="8"/>
        <v>57965.008062508445</v>
      </c>
    </row>
    <row r="513" spans="1:9" ht="14.4">
      <c r="A513" s="10">
        <v>45954</v>
      </c>
      <c r="D513" s="291" t="s">
        <v>761</v>
      </c>
      <c r="E513" s="209"/>
      <c r="F513" s="39">
        <v>152.26</v>
      </c>
      <c r="G513" s="39">
        <f t="shared" si="8"/>
        <v>57812.748062508443</v>
      </c>
    </row>
    <row r="514" spans="1:9" ht="14.4">
      <c r="A514" s="10">
        <v>45954</v>
      </c>
      <c r="D514" s="291" t="s">
        <v>757</v>
      </c>
      <c r="E514" s="209"/>
      <c r="F514" s="39">
        <v>763.5</v>
      </c>
      <c r="G514" s="39">
        <f t="shared" si="8"/>
        <v>57049.248062508443</v>
      </c>
    </row>
    <row r="515" spans="1:9" ht="14.4">
      <c r="A515" s="10">
        <v>45954</v>
      </c>
      <c r="B515" s="11"/>
      <c r="C515" s="11"/>
      <c r="D515" s="291" t="s">
        <v>16</v>
      </c>
      <c r="F515" s="39">
        <v>0.1</v>
      </c>
      <c r="G515" s="39">
        <f t="shared" si="8"/>
        <v>57049.148062508444</v>
      </c>
      <c r="I515" s="63"/>
    </row>
    <row r="516" spans="1:9" ht="14.4">
      <c r="A516" s="10">
        <v>45958</v>
      </c>
      <c r="D516" s="391" t="s">
        <v>771</v>
      </c>
      <c r="E516" s="209">
        <v>33190</v>
      </c>
      <c r="G516" s="39">
        <f t="shared" si="8"/>
        <v>90239.148062508437</v>
      </c>
      <c r="H516" s="63">
        <f>G516/3.43</f>
        <v>26308.78952259721</v>
      </c>
    </row>
    <row r="517" spans="1:9" ht="14.4">
      <c r="A517" s="10">
        <v>45958</v>
      </c>
      <c r="D517" s="391" t="s">
        <v>771</v>
      </c>
      <c r="E517" s="209">
        <v>33190</v>
      </c>
      <c r="G517" s="39">
        <f t="shared" si="8"/>
        <v>123429.14806250844</v>
      </c>
    </row>
    <row r="518" spans="1:9" ht="14.4">
      <c r="A518" s="10">
        <v>45958</v>
      </c>
      <c r="D518" s="391" t="s">
        <v>771</v>
      </c>
      <c r="E518" s="209">
        <v>33190</v>
      </c>
      <c r="G518" s="39">
        <f t="shared" si="8"/>
        <v>156619.14806250844</v>
      </c>
    </row>
    <row r="519" spans="1:9" ht="14.4">
      <c r="A519" s="10">
        <v>45958</v>
      </c>
      <c r="D519" s="391" t="s">
        <v>771</v>
      </c>
      <c r="E519" s="209">
        <v>33190</v>
      </c>
      <c r="G519" s="39">
        <f t="shared" si="8"/>
        <v>189809.14806250844</v>
      </c>
    </row>
    <row r="520" spans="1:9" ht="14.4">
      <c r="A520" s="10">
        <v>45958</v>
      </c>
      <c r="D520" s="391" t="s">
        <v>771</v>
      </c>
      <c r="E520" s="209"/>
      <c r="F520" s="209">
        <v>10000</v>
      </c>
      <c r="G520" s="39">
        <f t="shared" si="8"/>
        <v>179809.14806250844</v>
      </c>
    </row>
    <row r="521" spans="1:9" ht="14.4">
      <c r="A521" s="10">
        <v>45958</v>
      </c>
      <c r="D521" s="391" t="s">
        <v>771</v>
      </c>
      <c r="E521" s="209">
        <f>9575.88-2.95</f>
        <v>9572.9299999999985</v>
      </c>
      <c r="F521" s="209"/>
      <c r="G521" s="39">
        <f t="shared" si="8"/>
        <v>189382.07806250843</v>
      </c>
    </row>
    <row r="522" spans="1:9" ht="14.4">
      <c r="A522" s="10">
        <v>45958</v>
      </c>
      <c r="D522" s="291" t="s">
        <v>774</v>
      </c>
      <c r="F522" s="355">
        <v>10061.643728000001</v>
      </c>
      <c r="G522" s="39">
        <f t="shared" si="8"/>
        <v>179320.43433450843</v>
      </c>
    </row>
    <row r="523" spans="1:9" ht="14.4">
      <c r="A523" s="10">
        <v>45958</v>
      </c>
      <c r="D523" s="291" t="s">
        <v>775</v>
      </c>
      <c r="F523" s="355">
        <v>9435.4637280000006</v>
      </c>
      <c r="G523" s="39">
        <f t="shared" si="8"/>
        <v>169884.97060650843</v>
      </c>
    </row>
    <row r="524" spans="1:9" ht="14.4">
      <c r="A524" s="10">
        <v>45958</v>
      </c>
      <c r="D524" s="291" t="s">
        <v>772</v>
      </c>
      <c r="F524" s="355">
        <v>6647.24</v>
      </c>
      <c r="G524" s="39">
        <f t="shared" si="8"/>
        <v>163237.73060650844</v>
      </c>
    </row>
    <row r="525" spans="1:9" ht="14.4">
      <c r="A525" s="10">
        <v>45958</v>
      </c>
      <c r="D525" s="291" t="s">
        <v>773</v>
      </c>
      <c r="F525" s="355">
        <v>19623.623727999999</v>
      </c>
      <c r="G525" s="39">
        <f t="shared" si="8"/>
        <v>143614.10687850844</v>
      </c>
    </row>
    <row r="526" spans="1:9" ht="14.4">
      <c r="A526" s="10">
        <v>45958</v>
      </c>
      <c r="D526" s="291" t="s">
        <v>776</v>
      </c>
      <c r="F526" s="355">
        <v>14192.833728000001</v>
      </c>
      <c r="G526" s="39">
        <f t="shared" si="8"/>
        <v>129421.27315050844</v>
      </c>
    </row>
    <row r="527" spans="1:9" ht="14.4">
      <c r="A527" s="10">
        <v>45958</v>
      </c>
      <c r="D527" s="291" t="s">
        <v>778</v>
      </c>
      <c r="F527" s="355">
        <v>4452.9877749999996</v>
      </c>
      <c r="G527" s="39">
        <f t="shared" si="8"/>
        <v>124968.28537550844</v>
      </c>
      <c r="I527" s="63"/>
    </row>
    <row r="528" spans="1:9" ht="14.4">
      <c r="A528" s="10">
        <v>45958</v>
      </c>
      <c r="D528" s="291" t="s">
        <v>516</v>
      </c>
      <c r="F528" s="355">
        <v>4.3</v>
      </c>
      <c r="G528" s="39">
        <f t="shared" si="8"/>
        <v>124963.98537550843</v>
      </c>
    </row>
    <row r="529" spans="1:9" ht="14.4">
      <c r="A529" s="10">
        <v>45958</v>
      </c>
      <c r="D529" s="291" t="s">
        <v>777</v>
      </c>
      <c r="F529" s="355">
        <v>5311.59</v>
      </c>
      <c r="G529" s="39">
        <f t="shared" si="8"/>
        <v>119652.39537550844</v>
      </c>
    </row>
    <row r="530" spans="1:9" ht="14.4">
      <c r="A530" s="10">
        <v>45958</v>
      </c>
      <c r="D530" s="291" t="s">
        <v>516</v>
      </c>
      <c r="F530" s="355">
        <v>4.3</v>
      </c>
      <c r="G530" s="39">
        <f t="shared" si="8"/>
        <v>119648.09537550843</v>
      </c>
    </row>
    <row r="531" spans="1:9" ht="14.4">
      <c r="A531" s="10">
        <v>45958</v>
      </c>
      <c r="D531" s="291" t="s">
        <v>779</v>
      </c>
      <c r="F531" s="355">
        <v>39008.323728000003</v>
      </c>
      <c r="G531" s="39">
        <f t="shared" si="8"/>
        <v>80639.771647508431</v>
      </c>
    </row>
    <row r="532" spans="1:9" ht="14.4">
      <c r="A532" s="10">
        <v>45958</v>
      </c>
      <c r="D532" s="291" t="s">
        <v>516</v>
      </c>
      <c r="F532" s="355">
        <v>8.6</v>
      </c>
      <c r="G532" s="39">
        <f t="shared" si="8"/>
        <v>80631.171647508425</v>
      </c>
    </row>
    <row r="533" spans="1:9" ht="14.4">
      <c r="A533" s="10">
        <v>45958</v>
      </c>
      <c r="D533" s="291" t="s">
        <v>784</v>
      </c>
      <c r="F533" s="355">
        <v>12384.643728000001</v>
      </c>
      <c r="G533" s="39">
        <f t="shared" si="8"/>
        <v>68246.527919508429</v>
      </c>
    </row>
    <row r="534" spans="1:9" ht="14.4">
      <c r="A534" s="10">
        <v>45958</v>
      </c>
      <c r="D534" s="291" t="s">
        <v>780</v>
      </c>
      <c r="F534" s="355">
        <v>12084.347334770831</v>
      </c>
      <c r="G534" s="39">
        <f t="shared" si="8"/>
        <v>56162.180584737594</v>
      </c>
    </row>
    <row r="535" spans="1:9" ht="14.4">
      <c r="A535" s="10">
        <v>45958</v>
      </c>
      <c r="D535" s="291" t="s">
        <v>516</v>
      </c>
      <c r="F535" s="355">
        <v>4.3</v>
      </c>
      <c r="G535" s="39">
        <f t="shared" si="8"/>
        <v>56157.880584737592</v>
      </c>
    </row>
    <row r="536" spans="1:9" ht="14.4">
      <c r="A536" s="10">
        <v>45958</v>
      </c>
      <c r="D536" s="291" t="s">
        <v>783</v>
      </c>
      <c r="F536" s="355">
        <v>5328.4236060000003</v>
      </c>
      <c r="G536" s="39">
        <f t="shared" si="8"/>
        <v>50829.456978737595</v>
      </c>
    </row>
    <row r="537" spans="1:9" ht="14.4">
      <c r="A537" s="10">
        <v>45958</v>
      </c>
      <c r="D537" s="291" t="s">
        <v>516</v>
      </c>
      <c r="F537" s="355">
        <v>4.3</v>
      </c>
      <c r="G537" s="39">
        <f t="shared" si="8"/>
        <v>50825.156978737592</v>
      </c>
      <c r="I537" s="63"/>
    </row>
    <row r="538" spans="1:9" ht="14.4">
      <c r="A538" s="10">
        <v>45958</v>
      </c>
      <c r="D538" s="291" t="s">
        <v>16</v>
      </c>
      <c r="F538" s="355">
        <v>3.8</v>
      </c>
      <c r="G538" s="39">
        <f t="shared" si="8"/>
        <v>50821.356978737589</v>
      </c>
      <c r="I538" s="63"/>
    </row>
    <row r="539" spans="1:9" ht="14.4">
      <c r="A539" s="10">
        <v>45958</v>
      </c>
      <c r="D539" s="291" t="s">
        <v>785</v>
      </c>
      <c r="F539" s="355">
        <v>790.7</v>
      </c>
      <c r="G539" s="39">
        <f t="shared" si="8"/>
        <v>50030.656978737592</v>
      </c>
    </row>
    <row r="540" spans="1:9" ht="14.4">
      <c r="A540" s="10">
        <v>45958</v>
      </c>
      <c r="D540" s="291" t="s">
        <v>786</v>
      </c>
      <c r="F540" s="355">
        <v>215</v>
      </c>
      <c r="G540" s="39">
        <f t="shared" si="8"/>
        <v>49815.656978737592</v>
      </c>
    </row>
    <row r="541" spans="1:9" ht="14.4">
      <c r="A541" s="10">
        <v>45958</v>
      </c>
      <c r="D541" s="291" t="s">
        <v>516</v>
      </c>
      <c r="F541" s="355">
        <v>4.3</v>
      </c>
      <c r="G541" s="39">
        <f t="shared" si="8"/>
        <v>49811.356978737589</v>
      </c>
    </row>
    <row r="542" spans="1:9" ht="14.4">
      <c r="A542" s="10">
        <v>45958</v>
      </c>
      <c r="D542" s="291" t="s">
        <v>787</v>
      </c>
      <c r="F542" s="355">
        <v>605.80999999999995</v>
      </c>
      <c r="G542" s="39">
        <f t="shared" si="8"/>
        <v>49205.546978737591</v>
      </c>
    </row>
    <row r="543" spans="1:9" ht="14.4">
      <c r="A543" s="10">
        <v>45958</v>
      </c>
      <c r="D543" s="11" t="s">
        <v>795</v>
      </c>
      <c r="F543" s="209">
        <v>13619.1</v>
      </c>
      <c r="G543" s="39">
        <f t="shared" si="8"/>
        <v>35586.446978737593</v>
      </c>
    </row>
    <row r="544" spans="1:9" ht="14.4">
      <c r="A544" s="10">
        <v>45958</v>
      </c>
      <c r="D544" s="8" t="s">
        <v>16</v>
      </c>
      <c r="F544" s="209">
        <v>0.65</v>
      </c>
      <c r="G544" s="39">
        <f t="shared" si="8"/>
        <v>35585.796978737591</v>
      </c>
    </row>
    <row r="545" spans="1:9" ht="14.4">
      <c r="A545" s="10">
        <v>45958</v>
      </c>
      <c r="D545" s="11" t="s">
        <v>796</v>
      </c>
      <c r="F545" s="209">
        <v>10740.14</v>
      </c>
      <c r="G545" s="39">
        <f t="shared" si="8"/>
        <v>24845.656978737592</v>
      </c>
    </row>
    <row r="546" spans="1:9" ht="14.4">
      <c r="A546" s="10">
        <v>45958</v>
      </c>
      <c r="D546" s="11" t="s">
        <v>240</v>
      </c>
      <c r="F546" s="209">
        <v>57.2</v>
      </c>
      <c r="G546" s="39">
        <f t="shared" si="8"/>
        <v>24788.456978737591</v>
      </c>
    </row>
    <row r="547" spans="1:9" ht="14.4">
      <c r="A547" s="10">
        <v>45958</v>
      </c>
      <c r="D547" s="11" t="s">
        <v>797</v>
      </c>
      <c r="F547" s="209">
        <v>10833.07</v>
      </c>
      <c r="G547" s="39">
        <f t="shared" si="8"/>
        <v>13955.386978737592</v>
      </c>
    </row>
    <row r="548" spans="1:9" ht="14.4">
      <c r="A548" s="10">
        <v>45958</v>
      </c>
      <c r="D548" s="11" t="s">
        <v>281</v>
      </c>
      <c r="F548" s="209">
        <v>57.66</v>
      </c>
      <c r="G548" s="39">
        <f t="shared" si="8"/>
        <v>13897.726978737592</v>
      </c>
    </row>
    <row r="549" spans="1:9" ht="14.4">
      <c r="A549" s="10">
        <v>45958</v>
      </c>
      <c r="D549" s="11" t="s">
        <v>798</v>
      </c>
      <c r="F549" s="209">
        <v>10410.11</v>
      </c>
      <c r="G549" s="39">
        <f t="shared" si="8"/>
        <v>3487.6169787375911</v>
      </c>
    </row>
    <row r="550" spans="1:9" ht="14.4">
      <c r="A550" s="10">
        <v>45958</v>
      </c>
      <c r="D550" s="11" t="s">
        <v>413</v>
      </c>
      <c r="F550" s="209">
        <v>4.3</v>
      </c>
      <c r="G550" s="39">
        <f t="shared" si="8"/>
        <v>3483.3169787375909</v>
      </c>
    </row>
    <row r="551" spans="1:9" ht="14.4">
      <c r="A551" s="10">
        <v>45958</v>
      </c>
      <c r="D551" s="8" t="s">
        <v>799</v>
      </c>
      <c r="E551" s="209">
        <v>33180</v>
      </c>
      <c r="F551" s="209"/>
      <c r="G551" s="39">
        <f t="shared" si="8"/>
        <v>36663.316978737588</v>
      </c>
      <c r="I551" s="63"/>
    </row>
    <row r="552" spans="1:9" ht="14.4">
      <c r="A552" s="10">
        <v>45958</v>
      </c>
      <c r="D552" s="8" t="s">
        <v>799</v>
      </c>
      <c r="E552" s="209">
        <v>33180</v>
      </c>
      <c r="F552" s="209"/>
      <c r="G552" s="39">
        <f t="shared" si="8"/>
        <v>69843.316978737595</v>
      </c>
    </row>
    <row r="553" spans="1:9" ht="14.4">
      <c r="A553" s="10">
        <v>45958</v>
      </c>
      <c r="D553" s="8" t="s">
        <v>799</v>
      </c>
      <c r="E553" s="209">
        <v>33180</v>
      </c>
      <c r="F553" s="209"/>
      <c r="G553" s="39">
        <f t="shared" ref="G553:G616" si="9">G552+E553-F553</f>
        <v>103023.3169787376</v>
      </c>
    </row>
    <row r="554" spans="1:9" ht="14.4">
      <c r="A554" s="10">
        <v>45958</v>
      </c>
      <c r="D554" s="8" t="s">
        <v>799</v>
      </c>
      <c r="E554" s="209">
        <v>33180</v>
      </c>
      <c r="F554" s="209"/>
      <c r="G554" s="39">
        <f t="shared" si="9"/>
        <v>136203.3169787376</v>
      </c>
    </row>
    <row r="555" spans="1:9" ht="14.4">
      <c r="A555" s="10">
        <v>45958</v>
      </c>
      <c r="D555" s="8" t="s">
        <v>799</v>
      </c>
      <c r="E555" s="209">
        <v>33180</v>
      </c>
      <c r="F555" s="209"/>
      <c r="G555" s="39">
        <f t="shared" si="9"/>
        <v>169383.3169787376</v>
      </c>
    </row>
    <row r="556" spans="1:9" ht="14.4">
      <c r="A556" s="10">
        <v>45958</v>
      </c>
      <c r="D556" s="8" t="s">
        <v>799</v>
      </c>
      <c r="E556" s="209">
        <v>33180</v>
      </c>
      <c r="F556" s="209"/>
      <c r="G556" s="39">
        <f t="shared" si="9"/>
        <v>202563.3169787376</v>
      </c>
    </row>
    <row r="557" spans="1:9" ht="14.4">
      <c r="A557" s="10">
        <v>45958</v>
      </c>
      <c r="D557" s="8" t="s">
        <v>799</v>
      </c>
      <c r="E557" s="209">
        <v>33180</v>
      </c>
      <c r="F557" s="209"/>
      <c r="G557" s="39">
        <f t="shared" si="9"/>
        <v>235743.3169787376</v>
      </c>
    </row>
    <row r="558" spans="1:9" ht="14.4">
      <c r="A558" s="10">
        <v>45958</v>
      </c>
      <c r="D558" s="8" t="s">
        <v>799</v>
      </c>
      <c r="E558" s="209">
        <v>33180</v>
      </c>
      <c r="F558" s="209"/>
      <c r="G558" s="39">
        <f t="shared" si="9"/>
        <v>268923.3169787376</v>
      </c>
    </row>
    <row r="559" spans="1:9" ht="14.4">
      <c r="A559" s="10">
        <v>45958</v>
      </c>
      <c r="D559" s="8" t="s">
        <v>799</v>
      </c>
      <c r="E559" s="209">
        <v>13533.33</v>
      </c>
      <c r="G559" s="39">
        <f t="shared" si="9"/>
        <v>282456.64697873761</v>
      </c>
    </row>
    <row r="560" spans="1:9" ht="14.4">
      <c r="A560" s="10">
        <v>45958</v>
      </c>
      <c r="D560" s="11" t="s">
        <v>795</v>
      </c>
      <c r="F560" s="209">
        <v>7919.53</v>
      </c>
      <c r="G560" s="39">
        <f t="shared" si="9"/>
        <v>274537.11697873758</v>
      </c>
    </row>
    <row r="561" spans="1:9" ht="14.4">
      <c r="A561" s="10">
        <v>45958</v>
      </c>
      <c r="D561" s="8" t="s">
        <v>16</v>
      </c>
      <c r="F561" s="209">
        <v>0.35</v>
      </c>
      <c r="G561" s="39">
        <f t="shared" si="9"/>
        <v>274536.76697873761</v>
      </c>
    </row>
    <row r="562" spans="1:9" ht="14.4">
      <c r="A562" s="10">
        <v>45958</v>
      </c>
      <c r="D562" s="11" t="s">
        <v>813</v>
      </c>
      <c r="F562" s="209">
        <v>8719.8799999999992</v>
      </c>
      <c r="G562" s="39">
        <f t="shared" si="9"/>
        <v>265816.8869787376</v>
      </c>
    </row>
    <row r="563" spans="1:9" ht="14.4">
      <c r="A563" s="10">
        <v>45958</v>
      </c>
      <c r="D563" s="11" t="s">
        <v>240</v>
      </c>
      <c r="F563" s="209">
        <v>47.09</v>
      </c>
      <c r="G563" s="39">
        <f t="shared" si="9"/>
        <v>265769.79697873758</v>
      </c>
    </row>
    <row r="564" spans="1:9" ht="14.4">
      <c r="A564" s="10">
        <v>45958</v>
      </c>
      <c r="D564" s="11" t="s">
        <v>810</v>
      </c>
      <c r="F564" s="209">
        <v>632.9</v>
      </c>
      <c r="G564" s="39">
        <f t="shared" si="9"/>
        <v>265136.89697873755</v>
      </c>
    </row>
    <row r="565" spans="1:9" ht="14.4">
      <c r="A565" s="10">
        <v>45958</v>
      </c>
      <c r="D565" s="11" t="s">
        <v>281</v>
      </c>
      <c r="E565" s="11"/>
      <c r="F565" s="209">
        <v>10.5</v>
      </c>
      <c r="G565" s="39">
        <f t="shared" si="9"/>
        <v>265126.39697873755</v>
      </c>
      <c r="I565" s="63"/>
    </row>
    <row r="566" spans="1:9" ht="14.4">
      <c r="A566" s="10">
        <v>45959</v>
      </c>
      <c r="D566" s="11" t="s">
        <v>800</v>
      </c>
      <c r="E566" s="11"/>
      <c r="F566" s="209">
        <v>7234.52</v>
      </c>
      <c r="G566" s="39">
        <f t="shared" si="9"/>
        <v>257891.87697873756</v>
      </c>
    </row>
    <row r="567" spans="1:9" ht="14.4">
      <c r="A567" s="10">
        <v>45959</v>
      </c>
      <c r="D567" s="11" t="s">
        <v>801</v>
      </c>
      <c r="E567" s="11"/>
      <c r="F567" s="209">
        <v>4.3</v>
      </c>
      <c r="G567" s="39">
        <f t="shared" si="9"/>
        <v>257887.57697873758</v>
      </c>
    </row>
    <row r="568" spans="1:9" ht="14.4">
      <c r="A568" s="10">
        <v>45959</v>
      </c>
      <c r="D568" s="291" t="s">
        <v>782</v>
      </c>
      <c r="E568" s="11"/>
      <c r="F568" s="355">
        <v>13739.4</v>
      </c>
      <c r="G568" s="39">
        <f t="shared" si="9"/>
        <v>244148.17697873758</v>
      </c>
    </row>
    <row r="569" spans="1:9" ht="14.4">
      <c r="A569" s="10">
        <v>45959</v>
      </c>
      <c r="D569" s="291" t="s">
        <v>516</v>
      </c>
      <c r="F569" s="355">
        <v>4.3</v>
      </c>
      <c r="G569" s="39">
        <f t="shared" si="9"/>
        <v>244143.87697873759</v>
      </c>
    </row>
    <row r="570" spans="1:9" ht="14.4">
      <c r="A570" s="10">
        <v>45959</v>
      </c>
      <c r="D570" s="291" t="s">
        <v>516</v>
      </c>
      <c r="F570" s="355">
        <v>0.65</v>
      </c>
      <c r="G570" s="39">
        <f t="shared" si="9"/>
        <v>244143.2269787376</v>
      </c>
      <c r="I570" s="63"/>
    </row>
    <row r="571" spans="1:9" ht="14.4">
      <c r="A571" s="10">
        <v>45960</v>
      </c>
      <c r="D571" s="11" t="s">
        <v>807</v>
      </c>
      <c r="E571" s="209">
        <v>10410.11</v>
      </c>
      <c r="F571" s="209"/>
      <c r="G571" s="39">
        <f t="shared" si="9"/>
        <v>254553.33697873761</v>
      </c>
    </row>
    <row r="572" spans="1:9" ht="14.4">
      <c r="A572" s="10">
        <v>45960</v>
      </c>
      <c r="D572" s="11" t="s">
        <v>808</v>
      </c>
      <c r="E572" s="209">
        <v>10740.14</v>
      </c>
      <c r="F572" s="209"/>
      <c r="G572" s="39">
        <f t="shared" si="9"/>
        <v>265293.47697873763</v>
      </c>
    </row>
    <row r="573" spans="1:9" ht="14.4">
      <c r="A573" s="10">
        <v>45960</v>
      </c>
      <c r="D573" s="11" t="s">
        <v>811</v>
      </c>
      <c r="E573" s="209">
        <v>632.9</v>
      </c>
      <c r="F573" s="209"/>
      <c r="G573" s="39">
        <f t="shared" si="9"/>
        <v>265926.37697873765</v>
      </c>
    </row>
    <row r="574" spans="1:9" ht="14.4">
      <c r="A574" s="10">
        <v>45960</v>
      </c>
      <c r="D574" s="11" t="s">
        <v>812</v>
      </c>
      <c r="E574" s="209">
        <v>8719.8799999999992</v>
      </c>
      <c r="F574" s="209"/>
      <c r="G574" s="39">
        <f t="shared" si="9"/>
        <v>274646.25697873766</v>
      </c>
    </row>
    <row r="575" spans="1:9" ht="14.4">
      <c r="A575" s="10">
        <v>45960</v>
      </c>
      <c r="D575" s="11" t="s">
        <v>809</v>
      </c>
      <c r="E575" s="209">
        <v>10833.07</v>
      </c>
      <c r="F575" s="209"/>
      <c r="G575" s="39">
        <f t="shared" si="9"/>
        <v>285479.32697873766</v>
      </c>
    </row>
    <row r="576" spans="1:9" ht="14.4">
      <c r="A576" s="10">
        <v>45960</v>
      </c>
      <c r="D576" s="291" t="s">
        <v>781</v>
      </c>
      <c r="F576" s="355">
        <f>7805.791771</f>
        <v>7805.7917710000002</v>
      </c>
      <c r="G576" s="39">
        <f>G575+E576-F576</f>
        <v>277673.53520773764</v>
      </c>
    </row>
    <row r="577" spans="1:9" ht="14.4">
      <c r="A577" s="10">
        <v>45960</v>
      </c>
      <c r="D577" s="291" t="s">
        <v>516</v>
      </c>
      <c r="F577" s="355">
        <v>4.3</v>
      </c>
      <c r="G577" s="39">
        <f>G576+E577-F577</f>
        <v>277669.23520773766</v>
      </c>
    </row>
    <row r="578" spans="1:9" ht="14.4">
      <c r="A578" s="10">
        <v>45960</v>
      </c>
      <c r="D578" s="291" t="s">
        <v>16</v>
      </c>
      <c r="F578" s="355">
        <v>2.25</v>
      </c>
      <c r="G578" s="39">
        <f t="shared" si="9"/>
        <v>277666.98520773766</v>
      </c>
      <c r="I578" s="63"/>
    </row>
    <row r="579" spans="1:9" ht="14.4">
      <c r="A579" s="10">
        <v>45960</v>
      </c>
      <c r="D579" s="11" t="s">
        <v>798</v>
      </c>
      <c r="F579" s="209">
        <v>10410.11</v>
      </c>
      <c r="G579" s="39">
        <f t="shared" si="9"/>
        <v>267256.87520773767</v>
      </c>
    </row>
    <row r="580" spans="1:9" ht="14.4">
      <c r="A580" s="10">
        <v>45960</v>
      </c>
      <c r="D580" s="11" t="s">
        <v>413</v>
      </c>
      <c r="F580" s="209">
        <v>4.3</v>
      </c>
      <c r="G580" s="39">
        <f t="shared" si="9"/>
        <v>267252.57520773768</v>
      </c>
    </row>
    <row r="581" spans="1:9" ht="14.4">
      <c r="A581" s="10">
        <v>45960</v>
      </c>
      <c r="D581" s="11" t="s">
        <v>796</v>
      </c>
      <c r="F581" s="209">
        <v>10740.14</v>
      </c>
      <c r="G581" s="39">
        <f t="shared" si="9"/>
        <v>256512.43520773767</v>
      </c>
    </row>
    <row r="582" spans="1:9" ht="14.4">
      <c r="A582" s="10">
        <v>45960</v>
      </c>
      <c r="D582" s="11" t="s">
        <v>240</v>
      </c>
      <c r="F582" s="209">
        <v>57.2</v>
      </c>
      <c r="G582" s="39">
        <f t="shared" si="9"/>
        <v>256455.23520773766</v>
      </c>
    </row>
    <row r="583" spans="1:9" ht="14.4">
      <c r="A583" s="10">
        <v>45960</v>
      </c>
      <c r="D583" s="11" t="s">
        <v>797</v>
      </c>
      <c r="F583" s="209">
        <v>10833.07</v>
      </c>
      <c r="G583" s="39">
        <f t="shared" si="9"/>
        <v>245622.16520773765</v>
      </c>
    </row>
    <row r="584" spans="1:9" ht="14.4">
      <c r="A584" s="10">
        <v>45960</v>
      </c>
      <c r="D584" s="11" t="s">
        <v>281</v>
      </c>
      <c r="F584" s="209">
        <v>57.66</v>
      </c>
      <c r="G584" s="39">
        <f t="shared" si="9"/>
        <v>245564.50520773765</v>
      </c>
    </row>
    <row r="585" spans="1:9" ht="14.4">
      <c r="A585" s="10">
        <v>45960</v>
      </c>
      <c r="D585" s="8" t="s">
        <v>16</v>
      </c>
      <c r="F585" s="209">
        <v>1.5</v>
      </c>
      <c r="G585" s="39">
        <f t="shared" si="9"/>
        <v>245563.00520773765</v>
      </c>
      <c r="I585" s="63"/>
    </row>
    <row r="586" spans="1:9" ht="14.4">
      <c r="A586" s="10">
        <v>45960</v>
      </c>
      <c r="D586" s="11" t="s">
        <v>810</v>
      </c>
      <c r="F586" s="39">
        <v>632.9</v>
      </c>
      <c r="G586" s="39">
        <f t="shared" si="9"/>
        <v>244930.10520773765</v>
      </c>
    </row>
    <row r="587" spans="1:9" ht="14.4">
      <c r="A587" s="10">
        <v>45960</v>
      </c>
      <c r="D587" s="11" t="s">
        <v>281</v>
      </c>
      <c r="E587" s="11"/>
      <c r="F587" s="39">
        <v>10.5</v>
      </c>
      <c r="G587" s="39">
        <f t="shared" si="9"/>
        <v>244919.60520773765</v>
      </c>
    </row>
    <row r="588" spans="1:9" ht="14.4">
      <c r="A588" s="10">
        <v>45960</v>
      </c>
      <c r="D588" s="11" t="s">
        <v>813</v>
      </c>
      <c r="F588" s="39">
        <v>8719.8799999999992</v>
      </c>
      <c r="G588" s="39">
        <f t="shared" si="9"/>
        <v>236199.72520773765</v>
      </c>
    </row>
    <row r="589" spans="1:9" ht="14.4">
      <c r="A589" s="10">
        <v>45960</v>
      </c>
      <c r="D589" s="11" t="s">
        <v>240</v>
      </c>
      <c r="F589" s="39">
        <v>47.09</v>
      </c>
      <c r="G589" s="39">
        <f>G588+E589-F589</f>
        <v>236152.63520773765</v>
      </c>
    </row>
    <row r="590" spans="1:9" ht="14.4">
      <c r="A590" s="10">
        <v>45960</v>
      </c>
      <c r="D590" s="8" t="s">
        <v>16</v>
      </c>
      <c r="F590" s="209">
        <v>0.4</v>
      </c>
      <c r="G590" s="39">
        <f>G589+E590-F590</f>
        <v>236152.23520773766</v>
      </c>
      <c r="I590" s="63"/>
    </row>
    <row r="591" spans="1:9" ht="14.4">
      <c r="A591" s="10">
        <v>45960</v>
      </c>
      <c r="D591" s="11" t="s">
        <v>814</v>
      </c>
      <c r="F591" s="39">
        <v>1416</v>
      </c>
      <c r="G591" s="39">
        <f t="shared" si="9"/>
        <v>234736.23520773766</v>
      </c>
    </row>
    <row r="592" spans="1:9" ht="14.4">
      <c r="A592" s="10">
        <v>45960</v>
      </c>
      <c r="D592" s="11" t="s">
        <v>815</v>
      </c>
      <c r="F592" s="39">
        <v>1416</v>
      </c>
      <c r="G592" s="39">
        <f t="shared" si="9"/>
        <v>233320.23520773766</v>
      </c>
    </row>
    <row r="593" spans="1:9" ht="14.4">
      <c r="A593" s="10">
        <v>45960</v>
      </c>
      <c r="D593" s="8" t="s">
        <v>16</v>
      </c>
      <c r="F593" s="209">
        <v>0.1</v>
      </c>
      <c r="G593" s="39">
        <f t="shared" si="9"/>
        <v>233320.13520773765</v>
      </c>
    </row>
    <row r="594" spans="1:9" ht="14.4">
      <c r="A594" s="10">
        <v>45960</v>
      </c>
      <c r="D594" s="11" t="s">
        <v>800</v>
      </c>
      <c r="E594" s="209">
        <v>7234.52</v>
      </c>
      <c r="F594" s="209"/>
      <c r="G594" s="39">
        <f t="shared" si="9"/>
        <v>240554.65520773764</v>
      </c>
    </row>
    <row r="595" spans="1:9" ht="14.4">
      <c r="A595" s="10">
        <v>45960</v>
      </c>
      <c r="D595" s="11" t="s">
        <v>800</v>
      </c>
      <c r="E595" s="209"/>
      <c r="F595" s="209">
        <v>7234.52</v>
      </c>
      <c r="G595" s="39">
        <f>G594+E595-F595</f>
        <v>233320.13520773765</v>
      </c>
    </row>
    <row r="596" spans="1:9" ht="14.4">
      <c r="A596" s="10">
        <v>45960</v>
      </c>
      <c r="D596" s="11" t="s">
        <v>801</v>
      </c>
      <c r="E596" s="11"/>
      <c r="F596" s="209">
        <v>4.3</v>
      </c>
      <c r="G596" s="39">
        <f t="shared" si="9"/>
        <v>233315.83520773766</v>
      </c>
    </row>
    <row r="597" spans="1:9" ht="14.4">
      <c r="A597" s="10">
        <v>45960</v>
      </c>
      <c r="D597" s="8" t="s">
        <v>16</v>
      </c>
      <c r="F597" s="209">
        <v>0.7</v>
      </c>
      <c r="G597" s="39">
        <f t="shared" si="9"/>
        <v>233315.13520773765</v>
      </c>
    </row>
    <row r="598" spans="1:9" ht="14.4">
      <c r="A598" s="10">
        <v>45960</v>
      </c>
      <c r="D598" s="291" t="s">
        <v>818</v>
      </c>
      <c r="F598" s="355">
        <v>5500</v>
      </c>
      <c r="G598" s="39">
        <f>G597+E598-F598</f>
        <v>227815.13520773765</v>
      </c>
    </row>
    <row r="599" spans="1:9" ht="14.4">
      <c r="A599" s="10">
        <v>45960</v>
      </c>
      <c r="D599" s="291" t="s">
        <v>516</v>
      </c>
      <c r="F599" s="355">
        <v>4.3</v>
      </c>
      <c r="G599" s="39">
        <f t="shared" si="9"/>
        <v>227810.83520773766</v>
      </c>
    </row>
    <row r="600" spans="1:9" ht="14.4">
      <c r="A600" s="10">
        <v>45960</v>
      </c>
      <c r="D600" s="291" t="s">
        <v>16</v>
      </c>
      <c r="F600" s="355">
        <v>0.25</v>
      </c>
      <c r="G600" s="39">
        <f t="shared" si="9"/>
        <v>227810.58520773766</v>
      </c>
      <c r="I600" s="63"/>
    </row>
    <row r="601" spans="1:9" ht="14.4">
      <c r="A601" s="10">
        <v>45960</v>
      </c>
      <c r="D601" s="391" t="s">
        <v>820</v>
      </c>
      <c r="E601" s="355">
        <v>33090</v>
      </c>
      <c r="G601" s="39">
        <f t="shared" si="9"/>
        <v>260900.58520773766</v>
      </c>
    </row>
    <row r="602" spans="1:9" ht="14.4">
      <c r="A602" s="10">
        <v>45960</v>
      </c>
      <c r="D602" s="391" t="s">
        <v>820</v>
      </c>
      <c r="E602" s="355">
        <v>13473.69</v>
      </c>
      <c r="G602" s="39">
        <f t="shared" si="9"/>
        <v>274374.27520773764</v>
      </c>
    </row>
    <row r="603" spans="1:9" ht="14.4">
      <c r="A603" s="10">
        <v>45960</v>
      </c>
      <c r="D603" s="391" t="s">
        <v>821</v>
      </c>
      <c r="F603" s="355">
        <v>37832.46</v>
      </c>
      <c r="G603" s="39">
        <f t="shared" si="9"/>
        <v>236541.81520773764</v>
      </c>
      <c r="H603" s="63"/>
      <c r="I603" s="63"/>
    </row>
    <row r="604" spans="1:9" ht="14.4">
      <c r="A604" s="10">
        <v>45960</v>
      </c>
      <c r="D604" s="291" t="s">
        <v>16</v>
      </c>
      <c r="F604" s="355">
        <v>1.8</v>
      </c>
      <c r="G604" s="39">
        <f t="shared" si="9"/>
        <v>236540.01520773766</v>
      </c>
      <c r="I604" s="63"/>
    </row>
    <row r="605" spans="1:9" ht="14.4">
      <c r="A605" s="10">
        <v>45961</v>
      </c>
      <c r="D605" s="8" t="s">
        <v>10</v>
      </c>
      <c r="F605" s="39">
        <v>5.5</v>
      </c>
      <c r="G605" s="39">
        <f t="shared" si="9"/>
        <v>236534.51520773766</v>
      </c>
    </row>
    <row r="606" spans="1:9" ht="14.4">
      <c r="A606" s="10">
        <v>45961</v>
      </c>
      <c r="D606" s="8" t="s">
        <v>192</v>
      </c>
      <c r="F606" s="39">
        <v>35</v>
      </c>
      <c r="G606" s="39">
        <f t="shared" si="9"/>
        <v>236499.51520773766</v>
      </c>
    </row>
    <row r="607" spans="1:9" s="14" customFormat="1" ht="14.4">
      <c r="A607" s="13">
        <v>45961</v>
      </c>
      <c r="G607" s="40">
        <f t="shared" si="9"/>
        <v>236499.51520773766</v>
      </c>
    </row>
    <row r="608" spans="1:9" ht="14.4">
      <c r="A608" s="10">
        <v>45962</v>
      </c>
      <c r="G608" s="39">
        <f t="shared" si="9"/>
        <v>236499.51520773766</v>
      </c>
    </row>
    <row r="609" spans="1:9" ht="14.4">
      <c r="A609" s="10">
        <v>45962</v>
      </c>
      <c r="D609" s="11" t="s">
        <v>365</v>
      </c>
      <c r="E609" s="11"/>
      <c r="F609" s="39">
        <v>1612.16</v>
      </c>
      <c r="G609" s="39">
        <f t="shared" si="9"/>
        <v>234887.35520773765</v>
      </c>
    </row>
    <row r="610" spans="1:9" ht="14.4">
      <c r="A610" s="10">
        <v>45962</v>
      </c>
      <c r="D610" s="8" t="s">
        <v>16</v>
      </c>
      <c r="E610" s="11"/>
      <c r="F610" s="39">
        <v>0.05</v>
      </c>
      <c r="G610" s="39">
        <f t="shared" si="9"/>
        <v>234887.30520773766</v>
      </c>
    </row>
    <row r="611" spans="1:9" ht="14.4">
      <c r="A611" s="10">
        <v>45968</v>
      </c>
      <c r="D611" s="8" t="s">
        <v>825</v>
      </c>
      <c r="E611" s="11"/>
      <c r="F611" s="39">
        <v>4941.09</v>
      </c>
      <c r="G611" s="39">
        <f t="shared" si="9"/>
        <v>229946.21520773767</v>
      </c>
    </row>
    <row r="612" spans="1:9" ht="14.4">
      <c r="A612" s="10">
        <v>45968</v>
      </c>
      <c r="D612" s="8" t="s">
        <v>827</v>
      </c>
      <c r="E612" s="11"/>
      <c r="F612" s="39">
        <v>3452.36</v>
      </c>
      <c r="G612" s="39">
        <f t="shared" si="9"/>
        <v>226493.85520773768</v>
      </c>
    </row>
    <row r="613" spans="1:9" ht="14.4">
      <c r="A613" s="10">
        <v>45968</v>
      </c>
      <c r="D613" s="8" t="s">
        <v>826</v>
      </c>
      <c r="E613" s="11"/>
      <c r="F613" s="39">
        <v>2014.43</v>
      </c>
      <c r="G613" s="39">
        <f t="shared" si="9"/>
        <v>224479.42520773769</v>
      </c>
      <c r="I613" s="63"/>
    </row>
    <row r="614" spans="1:9" ht="14.4">
      <c r="A614" s="10">
        <v>45968</v>
      </c>
      <c r="D614" s="391" t="s">
        <v>855</v>
      </c>
      <c r="E614" s="11"/>
      <c r="F614" s="39">
        <f>8232.77+1108.2</f>
        <v>9340.9700000000012</v>
      </c>
      <c r="G614" s="39">
        <f t="shared" si="9"/>
        <v>215138.45520773769</v>
      </c>
    </row>
    <row r="615" spans="1:9" ht="14.4">
      <c r="A615" s="10">
        <v>45968</v>
      </c>
      <c r="D615" s="391" t="s">
        <v>856</v>
      </c>
      <c r="E615" s="11"/>
      <c r="F615" s="39">
        <f>4522.37+969.07</f>
        <v>5491.44</v>
      </c>
      <c r="G615" s="39">
        <f t="shared" si="9"/>
        <v>209647.01520773768</v>
      </c>
    </row>
    <row r="616" spans="1:9" ht="14.4">
      <c r="A616" s="10">
        <v>45968</v>
      </c>
      <c r="D616" s="391" t="s">
        <v>857</v>
      </c>
      <c r="E616" s="11"/>
      <c r="F616" s="39">
        <f>8200.3+1389.05</f>
        <v>9589.3499999999985</v>
      </c>
      <c r="G616" s="39">
        <f t="shared" si="9"/>
        <v>200057.66520773768</v>
      </c>
    </row>
    <row r="617" spans="1:9" ht="14.4">
      <c r="A617" s="10">
        <v>45968</v>
      </c>
      <c r="D617" s="391" t="s">
        <v>858</v>
      </c>
      <c r="E617" s="11"/>
      <c r="F617" s="39">
        <f>1839.69+477.93</f>
        <v>2317.62</v>
      </c>
      <c r="G617" s="39">
        <f t="shared" ref="G617:G680" si="10">G616+E617-F617</f>
        <v>197740.04520773768</v>
      </c>
    </row>
    <row r="618" spans="1:9" ht="14.4">
      <c r="A618" s="10">
        <v>45968</v>
      </c>
      <c r="D618" s="391" t="s">
        <v>859</v>
      </c>
      <c r="E618" s="11"/>
      <c r="F618" s="39">
        <v>0.62</v>
      </c>
      <c r="G618" s="39">
        <f t="shared" si="10"/>
        <v>197739.42520773769</v>
      </c>
      <c r="I618" s="63"/>
    </row>
    <row r="619" spans="1:9" ht="14.4">
      <c r="A619" s="10">
        <v>45968</v>
      </c>
      <c r="D619" s="391" t="s">
        <v>16</v>
      </c>
      <c r="E619" s="11"/>
      <c r="F619" s="39">
        <v>1.75</v>
      </c>
      <c r="G619" s="39">
        <f t="shared" si="10"/>
        <v>197737.67520773769</v>
      </c>
      <c r="I619" s="63"/>
    </row>
    <row r="620" spans="1:9" ht="14.4">
      <c r="A620" s="10">
        <v>45972</v>
      </c>
      <c r="D620" s="8" t="s">
        <v>1113</v>
      </c>
      <c r="E620" s="11"/>
      <c r="F620" s="39">
        <v>926</v>
      </c>
      <c r="G620" s="39">
        <f t="shared" si="10"/>
        <v>196811.67520773769</v>
      </c>
    </row>
    <row r="621" spans="1:9" ht="14.4">
      <c r="A621" s="10">
        <v>45972</v>
      </c>
      <c r="D621" s="391" t="s">
        <v>867</v>
      </c>
      <c r="E621" s="11"/>
      <c r="F621" s="39">
        <v>23650</v>
      </c>
      <c r="G621" s="39">
        <f t="shared" si="10"/>
        <v>173161.67520773769</v>
      </c>
    </row>
    <row r="622" spans="1:9" ht="14.4">
      <c r="A622" s="10">
        <v>45972</v>
      </c>
      <c r="D622" s="391" t="s">
        <v>868</v>
      </c>
      <c r="E622" s="11"/>
      <c r="F622" s="39">
        <v>4.3</v>
      </c>
      <c r="G622" s="39">
        <f t="shared" si="10"/>
        <v>173157.3752077377</v>
      </c>
    </row>
    <row r="623" spans="1:9" ht="14.4">
      <c r="A623" s="10">
        <v>45972</v>
      </c>
      <c r="D623" s="391" t="s">
        <v>867</v>
      </c>
      <c r="E623" s="11"/>
      <c r="F623" s="39">
        <v>23650</v>
      </c>
      <c r="G623" s="39">
        <f t="shared" si="10"/>
        <v>149507.3752077377</v>
      </c>
    </row>
    <row r="624" spans="1:9" ht="14.4">
      <c r="A624" s="10">
        <v>45972</v>
      </c>
      <c r="D624" s="391" t="s">
        <v>868</v>
      </c>
      <c r="E624" s="11"/>
      <c r="F624" s="39">
        <v>4.3</v>
      </c>
      <c r="G624" s="39">
        <f t="shared" si="10"/>
        <v>149503.07520773771</v>
      </c>
    </row>
    <row r="625" spans="1:10" ht="14.4">
      <c r="A625" s="10">
        <v>45973</v>
      </c>
      <c r="D625" s="8" t="s">
        <v>890</v>
      </c>
      <c r="E625" s="39">
        <v>5828.34</v>
      </c>
      <c r="F625" s="39"/>
      <c r="G625" s="39">
        <f t="shared" si="10"/>
        <v>155331.41520773771</v>
      </c>
    </row>
    <row r="626" spans="1:10" ht="14.4">
      <c r="A626" s="10">
        <v>45973</v>
      </c>
      <c r="D626" s="8" t="s">
        <v>890</v>
      </c>
      <c r="E626" s="39">
        <v>5828.34</v>
      </c>
      <c r="F626" s="39"/>
      <c r="G626" s="39">
        <f t="shared" si="10"/>
        <v>161159.7552077377</v>
      </c>
    </row>
    <row r="627" spans="1:10" ht="14.4">
      <c r="A627" s="10">
        <v>45973</v>
      </c>
      <c r="D627" s="8" t="s">
        <v>889</v>
      </c>
      <c r="E627" s="11"/>
      <c r="F627" s="39">
        <v>5828.34</v>
      </c>
      <c r="G627" s="39">
        <f t="shared" si="10"/>
        <v>155331.41520773771</v>
      </c>
    </row>
    <row r="628" spans="1:10" ht="14.4">
      <c r="A628" s="10">
        <v>45973</v>
      </c>
      <c r="D628" s="391" t="s">
        <v>869</v>
      </c>
      <c r="E628" s="11"/>
      <c r="F628" s="39">
        <v>11785.36</v>
      </c>
      <c r="G628" s="39">
        <f t="shared" si="10"/>
        <v>143546.05520773772</v>
      </c>
    </row>
    <row r="629" spans="1:10" ht="14.4">
      <c r="A629" s="10">
        <v>45973</v>
      </c>
      <c r="D629" s="391" t="s">
        <v>868</v>
      </c>
      <c r="E629" s="11"/>
      <c r="F629" s="39">
        <f>4.3/2</f>
        <v>2.15</v>
      </c>
      <c r="G629" s="39">
        <f t="shared" si="10"/>
        <v>143543.90520773773</v>
      </c>
    </row>
    <row r="630" spans="1:10" ht="14.4">
      <c r="A630" s="10">
        <v>45973</v>
      </c>
      <c r="D630" s="24" t="s">
        <v>876</v>
      </c>
      <c r="E630" s="11"/>
      <c r="F630" s="39">
        <v>1533.34</v>
      </c>
      <c r="G630" s="39">
        <f t="shared" si="10"/>
        <v>142010.56520773773</v>
      </c>
      <c r="I630" s="63">
        <f>F628+F630</f>
        <v>13318.7</v>
      </c>
      <c r="J630" s="11" t="s">
        <v>891</v>
      </c>
    </row>
    <row r="631" spans="1:10" ht="14.4">
      <c r="A631" s="10">
        <v>45973</v>
      </c>
      <c r="D631" s="24" t="s">
        <v>868</v>
      </c>
      <c r="E631" s="11"/>
      <c r="F631" s="39">
        <f>4.3/2</f>
        <v>2.15</v>
      </c>
      <c r="G631" s="39">
        <f t="shared" si="10"/>
        <v>142008.41520773774</v>
      </c>
      <c r="I631" s="63">
        <v>21063.69</v>
      </c>
    </row>
    <row r="632" spans="1:10" ht="14.4">
      <c r="A632" s="10">
        <v>45973</v>
      </c>
      <c r="D632" s="11" t="s">
        <v>870</v>
      </c>
      <c r="E632" s="11"/>
      <c r="F632" s="39">
        <v>9356.5033333333322</v>
      </c>
      <c r="G632" s="39">
        <f t="shared" si="10"/>
        <v>132651.91187440441</v>
      </c>
    </row>
    <row r="633" spans="1:10" ht="14.4">
      <c r="A633" s="10">
        <v>45973</v>
      </c>
      <c r="D633" s="8" t="s">
        <v>877</v>
      </c>
      <c r="E633" s="11"/>
      <c r="F633" s="39">
        <v>7000</v>
      </c>
      <c r="G633" s="39">
        <f t="shared" si="10"/>
        <v>125651.91187440441</v>
      </c>
      <c r="I633" s="63">
        <f>I631-I630</f>
        <v>7744.989999999998</v>
      </c>
    </row>
    <row r="634" spans="1:10" ht="14.4">
      <c r="A634" s="10">
        <v>45973</v>
      </c>
      <c r="D634" s="8" t="s">
        <v>889</v>
      </c>
      <c r="E634" s="11"/>
      <c r="F634" s="39">
        <v>5828.34</v>
      </c>
      <c r="G634" s="39">
        <f t="shared" si="10"/>
        <v>119823.57187440441</v>
      </c>
    </row>
    <row r="635" spans="1:10" ht="14.4">
      <c r="A635" s="10">
        <v>45973</v>
      </c>
      <c r="D635" s="8" t="s">
        <v>16</v>
      </c>
      <c r="E635" s="11"/>
      <c r="F635" s="39">
        <v>1.34</v>
      </c>
      <c r="G635" s="39">
        <f t="shared" si="10"/>
        <v>119822.23187440442</v>
      </c>
    </row>
    <row r="636" spans="1:10" ht="14.4">
      <c r="A636" s="10">
        <v>45974</v>
      </c>
      <c r="D636" s="24" t="s">
        <v>872</v>
      </c>
      <c r="E636" s="39">
        <v>0.25</v>
      </c>
      <c r="F636" s="39"/>
      <c r="G636" s="39">
        <f t="shared" si="10"/>
        <v>119822.48187440442</v>
      </c>
    </row>
    <row r="637" spans="1:10" ht="14.4">
      <c r="A637" s="10">
        <v>45974</v>
      </c>
      <c r="D637" s="24" t="s">
        <v>872</v>
      </c>
      <c r="E637" s="39">
        <v>0.25</v>
      </c>
      <c r="F637" s="39"/>
      <c r="G637" s="39">
        <f t="shared" si="10"/>
        <v>119822.73187440442</v>
      </c>
    </row>
    <row r="638" spans="1:10" ht="14.4">
      <c r="A638" s="10">
        <v>45974</v>
      </c>
      <c r="D638" s="391" t="s">
        <v>893</v>
      </c>
      <c r="E638" s="39">
        <v>1490.21</v>
      </c>
      <c r="F638" s="39"/>
      <c r="G638" s="39">
        <f t="shared" si="10"/>
        <v>121312.94187440442</v>
      </c>
    </row>
    <row r="639" spans="1:10" ht="14.4">
      <c r="A639" s="10">
        <v>45974</v>
      </c>
      <c r="D639" s="391" t="s">
        <v>881</v>
      </c>
      <c r="E639" s="39">
        <v>24974.78</v>
      </c>
      <c r="F639" s="39"/>
      <c r="G639" s="39">
        <f t="shared" si="10"/>
        <v>146287.72187440441</v>
      </c>
    </row>
    <row r="640" spans="1:10" ht="14.4">
      <c r="A640" s="10">
        <v>45974</v>
      </c>
      <c r="D640" s="391" t="s">
        <v>881</v>
      </c>
      <c r="E640" s="39">
        <v>32970</v>
      </c>
      <c r="F640" s="39"/>
      <c r="G640" s="39">
        <f t="shared" si="10"/>
        <v>179257.72187440441</v>
      </c>
    </row>
    <row r="641" spans="1:7" ht="14.4">
      <c r="A641" s="10">
        <v>45974</v>
      </c>
      <c r="D641" s="391" t="s">
        <v>881</v>
      </c>
      <c r="E641" s="39">
        <v>32970</v>
      </c>
      <c r="F641" s="39"/>
      <c r="G641" s="39">
        <f t="shared" si="10"/>
        <v>212227.72187440441</v>
      </c>
    </row>
    <row r="642" spans="1:7" ht="14.4">
      <c r="A642" s="10">
        <v>45974</v>
      </c>
      <c r="D642" s="391" t="s">
        <v>881</v>
      </c>
      <c r="E642" s="39">
        <v>32970</v>
      </c>
      <c r="F642" s="39"/>
      <c r="G642" s="39">
        <f t="shared" si="10"/>
        <v>245197.72187440441</v>
      </c>
    </row>
    <row r="643" spans="1:7" ht="14.4">
      <c r="A643" s="10">
        <v>45974</v>
      </c>
      <c r="D643" s="391" t="s">
        <v>892</v>
      </c>
      <c r="E643" s="39">
        <v>35839.1</v>
      </c>
      <c r="F643" s="39"/>
      <c r="G643" s="39">
        <f t="shared" si="10"/>
        <v>281036.82187440438</v>
      </c>
    </row>
    <row r="644" spans="1:7" ht="14.4">
      <c r="A644" s="10">
        <v>45974</v>
      </c>
      <c r="D644" s="8" t="s">
        <v>878</v>
      </c>
      <c r="E644" s="11"/>
      <c r="F644" s="39">
        <v>3.5</v>
      </c>
      <c r="G644" s="39">
        <f t="shared" si="10"/>
        <v>281033.32187440438</v>
      </c>
    </row>
    <row r="645" spans="1:7" ht="14.4">
      <c r="A645" s="10">
        <v>45974</v>
      </c>
      <c r="D645" s="11" t="s">
        <v>887</v>
      </c>
      <c r="E645" s="11"/>
      <c r="F645" s="209">
        <v>113</v>
      </c>
      <c r="G645" s="39">
        <f t="shared" si="10"/>
        <v>280920.32187440438</v>
      </c>
    </row>
    <row r="646" spans="1:7" ht="14.4">
      <c r="A646" s="10">
        <v>45974</v>
      </c>
      <c r="D646" s="391" t="s">
        <v>894</v>
      </c>
      <c r="E646" s="39"/>
      <c r="F646" s="39">
        <v>1490.21</v>
      </c>
      <c r="G646" s="39">
        <f t="shared" si="10"/>
        <v>279430.11187440436</v>
      </c>
    </row>
    <row r="647" spans="1:7" ht="14.4">
      <c r="A647" s="10">
        <v>45974</v>
      </c>
      <c r="D647" s="8" t="s">
        <v>875</v>
      </c>
      <c r="E647" s="11"/>
      <c r="F647" s="39">
        <v>4295</v>
      </c>
      <c r="G647" s="39">
        <f t="shared" si="10"/>
        <v>275135.11187440436</v>
      </c>
    </row>
    <row r="648" spans="1:7" ht="14.4">
      <c r="A648" s="10">
        <v>45974</v>
      </c>
      <c r="D648" s="8" t="s">
        <v>874</v>
      </c>
      <c r="E648" s="11"/>
      <c r="F648" s="39">
        <v>7000</v>
      </c>
      <c r="G648" s="39">
        <f t="shared" si="10"/>
        <v>268135.11187440436</v>
      </c>
    </row>
    <row r="649" spans="1:7" ht="14.4">
      <c r="A649" s="10">
        <v>45974</v>
      </c>
      <c r="D649" s="391" t="s">
        <v>886</v>
      </c>
      <c r="E649" s="39"/>
      <c r="F649" s="39">
        <v>19337.5</v>
      </c>
      <c r="G649" s="39">
        <f t="shared" si="10"/>
        <v>248797.61187440436</v>
      </c>
    </row>
    <row r="650" spans="1:7" ht="14.4">
      <c r="A650" s="10">
        <v>45974</v>
      </c>
      <c r="D650" s="391" t="s">
        <v>886</v>
      </c>
      <c r="E650" s="39"/>
      <c r="F650" s="39">
        <v>19337.5</v>
      </c>
      <c r="G650" s="39">
        <f t="shared" si="10"/>
        <v>229460.11187440436</v>
      </c>
    </row>
    <row r="651" spans="1:7" ht="14.4">
      <c r="A651" s="10">
        <v>45974</v>
      </c>
      <c r="D651" s="391" t="s">
        <v>892</v>
      </c>
      <c r="E651" s="39"/>
      <c r="F651" s="39">
        <v>35839.1</v>
      </c>
      <c r="G651" s="39">
        <f t="shared" si="10"/>
        <v>193621.01187440436</v>
      </c>
    </row>
    <row r="652" spans="1:7" ht="14.4">
      <c r="A652" s="10">
        <v>45974</v>
      </c>
      <c r="D652" s="24" t="s">
        <v>16</v>
      </c>
      <c r="E652" s="11"/>
      <c r="F652" s="39">
        <v>4.25</v>
      </c>
      <c r="G652" s="39">
        <f t="shared" si="10"/>
        <v>193616.76187440436</v>
      </c>
    </row>
    <row r="653" spans="1:7" ht="14.4">
      <c r="A653" s="10">
        <v>45975</v>
      </c>
      <c r="D653" s="24" t="s">
        <v>872</v>
      </c>
      <c r="E653" s="39">
        <v>0.05</v>
      </c>
      <c r="F653" s="39"/>
      <c r="G653" s="39">
        <f t="shared" si="10"/>
        <v>193616.81187440435</v>
      </c>
    </row>
    <row r="654" spans="1:7" ht="14.4">
      <c r="A654" s="10">
        <v>45975</v>
      </c>
      <c r="D654" s="24" t="s">
        <v>872</v>
      </c>
      <c r="E654" s="39">
        <v>1.75</v>
      </c>
      <c r="F654" s="39"/>
      <c r="G654" s="39">
        <f t="shared" si="10"/>
        <v>193618.56187440435</v>
      </c>
    </row>
    <row r="655" spans="1:7" ht="14.4">
      <c r="A655" s="10">
        <v>45975</v>
      </c>
      <c r="D655" s="391" t="s">
        <v>888</v>
      </c>
      <c r="E655" s="11"/>
      <c r="F655" s="39">
        <v>1592</v>
      </c>
      <c r="G655" s="39">
        <f t="shared" si="10"/>
        <v>192026.56187440435</v>
      </c>
    </row>
    <row r="656" spans="1:7" ht="14.4">
      <c r="A656" s="10">
        <v>45975</v>
      </c>
      <c r="D656" s="8" t="s">
        <v>590</v>
      </c>
      <c r="E656" s="11"/>
      <c r="F656" s="39">
        <v>15456</v>
      </c>
      <c r="G656" s="39">
        <f t="shared" si="10"/>
        <v>176570.56187440435</v>
      </c>
    </row>
    <row r="657" spans="1:9" ht="14.4">
      <c r="A657" s="10">
        <v>45975</v>
      </c>
      <c r="D657" s="391" t="s">
        <v>1050</v>
      </c>
      <c r="E657" s="11"/>
      <c r="F657" s="39">
        <v>55678</v>
      </c>
      <c r="G657" s="39">
        <f t="shared" si="10"/>
        <v>120892.56187440435</v>
      </c>
    </row>
    <row r="658" spans="1:9" ht="14.4">
      <c r="A658" s="10">
        <v>45975</v>
      </c>
      <c r="D658" s="11" t="s">
        <v>899</v>
      </c>
      <c r="E658" s="11"/>
      <c r="F658" s="39">
        <v>1299.5105555555565</v>
      </c>
      <c r="G658" s="39">
        <f t="shared" si="10"/>
        <v>119593.0513188488</v>
      </c>
    </row>
    <row r="659" spans="1:9" ht="14.4">
      <c r="A659" s="10">
        <v>45975</v>
      </c>
      <c r="D659" s="8" t="s">
        <v>900</v>
      </c>
      <c r="E659" s="11"/>
      <c r="F659" s="39">
        <v>583.33333333333303</v>
      </c>
      <c r="G659" s="39">
        <f t="shared" si="10"/>
        <v>119009.71798551547</v>
      </c>
    </row>
    <row r="660" spans="1:9" ht="14.4">
      <c r="A660" s="10">
        <v>45975</v>
      </c>
      <c r="D660" s="8" t="s">
        <v>901</v>
      </c>
      <c r="E660" s="11"/>
      <c r="F660" s="39">
        <v>37.673333333333176</v>
      </c>
      <c r="G660" s="39">
        <f t="shared" si="10"/>
        <v>118972.04465218213</v>
      </c>
    </row>
    <row r="661" spans="1:9" ht="14.4">
      <c r="A661" s="10">
        <v>45975</v>
      </c>
      <c r="D661" s="8" t="s">
        <v>16</v>
      </c>
      <c r="E661" s="11"/>
      <c r="F661" s="39">
        <v>2.85</v>
      </c>
      <c r="G661" s="39">
        <f t="shared" si="10"/>
        <v>118969.19465218212</v>
      </c>
      <c r="I661" s="63"/>
    </row>
    <row r="662" spans="1:9" ht="14.4">
      <c r="A662" s="10">
        <v>45975</v>
      </c>
      <c r="D662" s="8" t="s">
        <v>902</v>
      </c>
      <c r="E662" s="11"/>
      <c r="F662" s="39">
        <v>388.89</v>
      </c>
      <c r="G662" s="39">
        <f t="shared" si="10"/>
        <v>118580.30465218212</v>
      </c>
    </row>
    <row r="663" spans="1:9" ht="14.4">
      <c r="A663" s="10">
        <v>45975</v>
      </c>
      <c r="D663" s="8" t="s">
        <v>903</v>
      </c>
      <c r="E663" s="11"/>
      <c r="F663" s="39">
        <v>3.5</v>
      </c>
      <c r="G663" s="39">
        <f t="shared" si="10"/>
        <v>118576.80465218212</v>
      </c>
    </row>
    <row r="664" spans="1:9" ht="14.4">
      <c r="A664" s="10">
        <v>45975</v>
      </c>
      <c r="D664" s="8" t="s">
        <v>66</v>
      </c>
      <c r="E664" s="11"/>
      <c r="F664" s="39">
        <v>10</v>
      </c>
      <c r="G664" s="39">
        <f t="shared" si="10"/>
        <v>118566.80465218212</v>
      </c>
    </row>
    <row r="665" spans="1:9" ht="14.4">
      <c r="A665" s="10">
        <v>45980</v>
      </c>
      <c r="D665" s="291" t="s">
        <v>931</v>
      </c>
      <c r="E665" s="11"/>
      <c r="F665" s="39">
        <v>54338</v>
      </c>
      <c r="G665" s="39">
        <f t="shared" si="10"/>
        <v>64228.804652182123</v>
      </c>
    </row>
    <row r="666" spans="1:9" ht="14.4">
      <c r="A666" s="10">
        <v>45980</v>
      </c>
      <c r="D666" s="291" t="s">
        <v>16</v>
      </c>
      <c r="E666" s="11"/>
      <c r="F666" s="39">
        <v>2.7</v>
      </c>
      <c r="G666" s="39">
        <f t="shared" si="10"/>
        <v>64226.104652182126</v>
      </c>
      <c r="I666" s="63"/>
    </row>
    <row r="667" spans="1:9" ht="14.4">
      <c r="A667" s="10">
        <v>45982</v>
      </c>
      <c r="D667" s="291" t="s">
        <v>937</v>
      </c>
      <c r="E667" s="39">
        <v>411.01</v>
      </c>
      <c r="F667" s="39"/>
      <c r="G667" s="39">
        <f t="shared" si="10"/>
        <v>64637.114652182128</v>
      </c>
    </row>
    <row r="668" spans="1:9" ht="14.4">
      <c r="A668" s="10">
        <v>45987</v>
      </c>
      <c r="D668" s="8" t="s">
        <v>953</v>
      </c>
      <c r="E668" s="39"/>
      <c r="F668" s="39">
        <v>344.88</v>
      </c>
      <c r="G668" s="39">
        <f t="shared" si="10"/>
        <v>64292.234652182131</v>
      </c>
    </row>
    <row r="669" spans="1:9" ht="14.4">
      <c r="A669" s="10">
        <v>45987</v>
      </c>
      <c r="D669" s="8" t="s">
        <v>954</v>
      </c>
      <c r="E669" s="39"/>
      <c r="F669" s="39">
        <v>355.23</v>
      </c>
      <c r="G669" s="39">
        <f t="shared" si="10"/>
        <v>63937.004652182128</v>
      </c>
    </row>
    <row r="670" spans="1:9" ht="14.4">
      <c r="A670" s="10">
        <v>45987</v>
      </c>
      <c r="D670" s="8" t="s">
        <v>955</v>
      </c>
      <c r="E670" s="39"/>
      <c r="F670" s="39">
        <v>118</v>
      </c>
      <c r="G670" s="39">
        <f t="shared" si="10"/>
        <v>63819.004652182128</v>
      </c>
    </row>
    <row r="671" spans="1:9" ht="14.4">
      <c r="A671" s="10">
        <v>45987</v>
      </c>
      <c r="D671" s="8" t="s">
        <v>956</v>
      </c>
      <c r="E671" s="39"/>
      <c r="F671" s="39">
        <v>180.21</v>
      </c>
      <c r="G671" s="39">
        <f t="shared" si="10"/>
        <v>63638.794652182129</v>
      </c>
    </row>
    <row r="672" spans="1:9" ht="14.4">
      <c r="A672" s="10">
        <v>45987</v>
      </c>
      <c r="D672" s="291" t="s">
        <v>961</v>
      </c>
      <c r="E672" s="11"/>
      <c r="F672" s="39">
        <v>1116.82</v>
      </c>
      <c r="G672" s="39">
        <f t="shared" si="10"/>
        <v>62521.974652182129</v>
      </c>
    </row>
    <row r="673" spans="1:9" ht="14.4">
      <c r="A673" s="10">
        <v>45987</v>
      </c>
      <c r="D673" s="291" t="s">
        <v>963</v>
      </c>
      <c r="E673" s="11"/>
      <c r="F673" s="39">
        <v>848.11</v>
      </c>
      <c r="G673" s="39">
        <f t="shared" si="10"/>
        <v>61673.864652182128</v>
      </c>
    </row>
    <row r="674" spans="1:9" ht="14.4">
      <c r="A674" s="10">
        <v>45987</v>
      </c>
      <c r="D674" s="291" t="s">
        <v>964</v>
      </c>
      <c r="E674" s="11"/>
      <c r="F674" s="39">
        <v>5509.07</v>
      </c>
      <c r="G674" s="39">
        <f t="shared" si="10"/>
        <v>56164.794652182129</v>
      </c>
    </row>
    <row r="675" spans="1:9" ht="14.4">
      <c r="A675" s="10">
        <v>45987</v>
      </c>
      <c r="D675" s="8" t="s">
        <v>967</v>
      </c>
      <c r="E675" s="39">
        <v>98850</v>
      </c>
      <c r="F675" s="11"/>
      <c r="G675" s="39">
        <f t="shared" si="10"/>
        <v>155014.79465218214</v>
      </c>
    </row>
    <row r="676" spans="1:9" ht="14.4">
      <c r="A676" s="10">
        <v>45987</v>
      </c>
      <c r="D676" s="8" t="s">
        <v>967</v>
      </c>
      <c r="E676" s="39">
        <v>98850</v>
      </c>
      <c r="F676" s="11"/>
      <c r="G676" s="39">
        <f t="shared" si="10"/>
        <v>253864.79465218214</v>
      </c>
      <c r="I676" s="63"/>
    </row>
    <row r="677" spans="1:9" ht="14.4">
      <c r="A677" s="10">
        <v>45987</v>
      </c>
      <c r="D677" s="8" t="s">
        <v>967</v>
      </c>
      <c r="E677" s="39">
        <v>42835</v>
      </c>
      <c r="F677" s="39"/>
      <c r="G677" s="39">
        <f t="shared" si="10"/>
        <v>296699.79465218214</v>
      </c>
    </row>
    <row r="678" spans="1:9" ht="14.4">
      <c r="A678" s="10">
        <v>45987</v>
      </c>
      <c r="D678" s="24" t="s">
        <v>16</v>
      </c>
      <c r="E678" s="39"/>
      <c r="F678" s="39">
        <v>0.3</v>
      </c>
      <c r="G678" s="39">
        <f t="shared" si="10"/>
        <v>296699.49465218215</v>
      </c>
      <c r="I678" s="63"/>
    </row>
    <row r="679" spans="1:9" ht="14.4">
      <c r="A679" s="10">
        <v>45987</v>
      </c>
      <c r="D679" s="391" t="s">
        <v>968</v>
      </c>
      <c r="E679" s="39">
        <v>98850</v>
      </c>
      <c r="F679" s="39"/>
      <c r="G679" s="39">
        <f t="shared" si="10"/>
        <v>395549.49465218215</v>
      </c>
    </row>
    <row r="680" spans="1:9" ht="14.4">
      <c r="A680" s="10">
        <v>45987</v>
      </c>
      <c r="D680" s="391" t="s">
        <v>968</v>
      </c>
      <c r="E680" s="39">
        <v>98850</v>
      </c>
      <c r="F680" s="39"/>
      <c r="G680" s="39">
        <f t="shared" si="10"/>
        <v>494399.49465218215</v>
      </c>
    </row>
    <row r="681" spans="1:9" ht="14.4">
      <c r="A681" s="10">
        <v>45987</v>
      </c>
      <c r="D681" s="391" t="s">
        <v>968</v>
      </c>
      <c r="E681" s="39">
        <v>98850</v>
      </c>
      <c r="F681" s="39"/>
      <c r="G681" s="39">
        <f t="shared" ref="G681:G744" si="11">G680+E681-F681</f>
        <v>593249.4946521821</v>
      </c>
    </row>
    <row r="682" spans="1:9" ht="14.4">
      <c r="A682" s="10">
        <v>45987</v>
      </c>
      <c r="D682" s="391" t="s">
        <v>968</v>
      </c>
      <c r="E682" s="39">
        <v>98850</v>
      </c>
      <c r="F682" s="39"/>
      <c r="G682" s="39">
        <f t="shared" si="11"/>
        <v>692099.4946521821</v>
      </c>
      <c r="I682" s="63"/>
    </row>
    <row r="683" spans="1:9" ht="14.4">
      <c r="A683" s="10">
        <v>45987</v>
      </c>
      <c r="D683" s="391" t="s">
        <v>968</v>
      </c>
      <c r="E683" s="39">
        <v>49425</v>
      </c>
      <c r="F683" s="39"/>
      <c r="G683" s="39">
        <f t="shared" si="11"/>
        <v>741524.4946521821</v>
      </c>
      <c r="I683" s="63"/>
    </row>
    <row r="684" spans="1:9" ht="14.4">
      <c r="A684" s="10">
        <v>45987</v>
      </c>
      <c r="D684" s="291" t="s">
        <v>969</v>
      </c>
      <c r="E684" s="11"/>
      <c r="F684" s="39">
        <v>91734.09</v>
      </c>
      <c r="G684" s="39">
        <f t="shared" si="11"/>
        <v>649790.40465218213</v>
      </c>
    </row>
    <row r="685" spans="1:9" ht="14.4">
      <c r="A685" s="10">
        <v>45987</v>
      </c>
      <c r="D685" s="291" t="s">
        <v>970</v>
      </c>
      <c r="E685" s="39"/>
      <c r="F685" s="39">
        <v>2</v>
      </c>
      <c r="G685" s="39">
        <f t="shared" si="11"/>
        <v>649788.40465218213</v>
      </c>
    </row>
    <row r="686" spans="1:9" ht="14.4">
      <c r="A686" s="10">
        <v>45987</v>
      </c>
      <c r="D686" s="291" t="s">
        <v>969</v>
      </c>
      <c r="E686" s="39"/>
      <c r="F686" s="39">
        <v>76188.06</v>
      </c>
      <c r="G686" s="39">
        <f t="shared" si="11"/>
        <v>573600.34465218219</v>
      </c>
    </row>
    <row r="687" spans="1:9" ht="14.4">
      <c r="A687" s="10">
        <v>45987</v>
      </c>
      <c r="D687" s="291" t="s">
        <v>970</v>
      </c>
      <c r="E687" s="39"/>
      <c r="F687" s="39">
        <v>4</v>
      </c>
      <c r="G687" s="39">
        <f t="shared" si="11"/>
        <v>573596.34465218219</v>
      </c>
      <c r="I687" s="63"/>
    </row>
    <row r="688" spans="1:9" ht="14.4">
      <c r="A688" s="10">
        <v>45987</v>
      </c>
      <c r="D688" s="291" t="s">
        <v>16</v>
      </c>
      <c r="E688" s="11"/>
      <c r="F688" s="39">
        <v>8.35</v>
      </c>
      <c r="G688" s="39">
        <f t="shared" si="11"/>
        <v>573587.99465218221</v>
      </c>
      <c r="I688" s="63"/>
    </row>
    <row r="689" spans="1:9" ht="14.4">
      <c r="A689" s="10">
        <v>45987</v>
      </c>
      <c r="D689" s="291" t="s">
        <v>971</v>
      </c>
      <c r="E689" s="11"/>
      <c r="F689" s="39">
        <f>'FLUJO CAJA NOVIEMBRE'!$D$136+'FLUJO CAJA NOVIEMBRE'!$D$137+'FLUJO CAJA NOVIEMBRE'!$D$138+'FLUJO CAJA NOVIEMBRE'!$D$139</f>
        <v>11030.77</v>
      </c>
      <c r="G689" s="39">
        <f t="shared" si="11"/>
        <v>562557.22465218219</v>
      </c>
    </row>
    <row r="690" spans="1:9" ht="14.4">
      <c r="A690" s="10">
        <v>45987</v>
      </c>
      <c r="D690" s="291" t="s">
        <v>972</v>
      </c>
      <c r="E690" s="11"/>
      <c r="F690" s="39">
        <v>1</v>
      </c>
      <c r="G690" s="39">
        <f t="shared" si="11"/>
        <v>562556.22465218219</v>
      </c>
    </row>
    <row r="691" spans="1:9" ht="14.4">
      <c r="A691" s="10">
        <v>45987</v>
      </c>
      <c r="D691" s="291" t="s">
        <v>16</v>
      </c>
      <c r="E691" s="11"/>
      <c r="F691" s="39">
        <v>0.55000000000000004</v>
      </c>
      <c r="G691" s="39">
        <f t="shared" si="11"/>
        <v>562555.67465218215</v>
      </c>
      <c r="I691" s="63"/>
    </row>
    <row r="692" spans="1:9" ht="14.4">
      <c r="A692" s="10">
        <v>45987</v>
      </c>
      <c r="D692" s="11" t="s">
        <v>974</v>
      </c>
      <c r="E692" s="11"/>
      <c r="F692" s="39">
        <f>'FLUJO CAJA NOVIEMBRE'!$D$72+'FLUJO CAJA NOVIEMBRE'!$D$73+'FLUJO CAJA NOVIEMBRE'!$D$74</f>
        <v>13604.880000000001</v>
      </c>
      <c r="G692" s="39">
        <f t="shared" si="11"/>
        <v>548950.79465218214</v>
      </c>
    </row>
    <row r="693" spans="1:9" ht="14.4">
      <c r="A693" s="10">
        <v>45987</v>
      </c>
      <c r="D693" s="11" t="s">
        <v>973</v>
      </c>
      <c r="E693" s="11"/>
      <c r="F693" s="39">
        <v>7</v>
      </c>
      <c r="G693" s="39">
        <f t="shared" si="11"/>
        <v>548943.79465218214</v>
      </c>
    </row>
    <row r="694" spans="1:9" ht="14.4">
      <c r="A694" s="10">
        <v>45987</v>
      </c>
      <c r="D694" s="11" t="s">
        <v>16</v>
      </c>
      <c r="E694" s="11"/>
      <c r="F694" s="39">
        <v>0.65</v>
      </c>
      <c r="G694" s="39">
        <f t="shared" si="11"/>
        <v>548943.14465218212</v>
      </c>
      <c r="I694" s="63"/>
    </row>
    <row r="695" spans="1:9" ht="14.4">
      <c r="A695" s="10">
        <v>45987</v>
      </c>
      <c r="D695" s="11" t="s">
        <v>975</v>
      </c>
      <c r="E695" s="11"/>
      <c r="F695" s="39">
        <v>2080.73</v>
      </c>
      <c r="G695" s="39">
        <f t="shared" si="11"/>
        <v>546862.41465218214</v>
      </c>
    </row>
    <row r="696" spans="1:9" ht="14.4">
      <c r="A696" s="10">
        <v>45987</v>
      </c>
      <c r="D696" s="11" t="s">
        <v>973</v>
      </c>
      <c r="E696" s="11"/>
      <c r="F696" s="39">
        <v>1</v>
      </c>
      <c r="G696" s="39">
        <f t="shared" si="11"/>
        <v>546861.41465218214</v>
      </c>
    </row>
    <row r="697" spans="1:9" ht="14.4">
      <c r="A697" s="10">
        <v>45987</v>
      </c>
      <c r="D697" s="11" t="s">
        <v>16</v>
      </c>
      <c r="E697" s="11"/>
      <c r="F697" s="39">
        <v>0.1</v>
      </c>
      <c r="G697" s="39">
        <f t="shared" si="11"/>
        <v>546861.31465218216</v>
      </c>
      <c r="I697" s="63"/>
    </row>
    <row r="698" spans="1:9" ht="14.4">
      <c r="A698" s="10">
        <v>45987</v>
      </c>
      <c r="D698" s="8" t="s">
        <v>901</v>
      </c>
      <c r="E698" s="11"/>
      <c r="F698" s="39">
        <v>722.11</v>
      </c>
      <c r="G698" s="39">
        <f t="shared" si="11"/>
        <v>546139.20465218218</v>
      </c>
    </row>
    <row r="699" spans="1:9" ht="14.4">
      <c r="A699" s="10">
        <v>45988</v>
      </c>
      <c r="D699" s="11" t="s">
        <v>980</v>
      </c>
      <c r="E699" s="11"/>
      <c r="F699" s="39">
        <f>SUM('FLUJO CAJA NOVIEMBRE'!$D$65:$D$69)</f>
        <v>54211.250000000007</v>
      </c>
      <c r="G699" s="39">
        <f t="shared" si="11"/>
        <v>491927.95465218218</v>
      </c>
    </row>
    <row r="700" spans="1:9" ht="14.4">
      <c r="A700" s="10">
        <v>45988</v>
      </c>
      <c r="D700" s="11" t="s">
        <v>981</v>
      </c>
      <c r="E700" s="11"/>
      <c r="F700" s="39">
        <v>9</v>
      </c>
      <c r="G700" s="39">
        <f t="shared" si="11"/>
        <v>491918.95465218218</v>
      </c>
    </row>
    <row r="701" spans="1:9" ht="14.4">
      <c r="A701" s="10">
        <v>45988</v>
      </c>
      <c r="D701" s="11" t="s">
        <v>16</v>
      </c>
      <c r="E701" s="11"/>
      <c r="F701" s="39">
        <v>2.7</v>
      </c>
      <c r="G701" s="39">
        <f t="shared" si="11"/>
        <v>491916.25465218216</v>
      </c>
      <c r="I701" s="63"/>
    </row>
    <row r="702" spans="1:9" ht="14.4">
      <c r="A702" s="10">
        <v>45988</v>
      </c>
      <c r="D702" s="291" t="s">
        <v>985</v>
      </c>
      <c r="E702" s="11"/>
      <c r="F702" s="39">
        <v>2964</v>
      </c>
      <c r="G702" s="39">
        <f t="shared" si="11"/>
        <v>488952.25465218216</v>
      </c>
    </row>
    <row r="703" spans="1:9" ht="14.4">
      <c r="A703" s="10">
        <v>45988</v>
      </c>
      <c r="D703" s="291" t="s">
        <v>16</v>
      </c>
      <c r="E703" s="11"/>
      <c r="F703" s="39">
        <v>0.1</v>
      </c>
      <c r="G703" s="39">
        <f t="shared" si="11"/>
        <v>488952.15465218219</v>
      </c>
      <c r="I703" s="63"/>
    </row>
    <row r="704" spans="1:9" ht="14.4">
      <c r="A704" s="10">
        <v>45988</v>
      </c>
      <c r="D704" s="291" t="s">
        <v>984</v>
      </c>
      <c r="E704" s="11"/>
      <c r="F704" s="39">
        <v>634.99</v>
      </c>
      <c r="G704" s="39">
        <f t="shared" si="11"/>
        <v>488317.1646521822</v>
      </c>
    </row>
    <row r="705" spans="1:9" ht="14.4">
      <c r="A705" s="10">
        <v>45988</v>
      </c>
      <c r="D705" s="291" t="s">
        <v>972</v>
      </c>
      <c r="F705" s="39">
        <v>4.3</v>
      </c>
      <c r="G705" s="39">
        <f t="shared" si="11"/>
        <v>488312.86465218221</v>
      </c>
    </row>
    <row r="706" spans="1:9" ht="14.4">
      <c r="A706" s="10">
        <v>45988</v>
      </c>
      <c r="D706" s="8" t="s">
        <v>988</v>
      </c>
      <c r="F706" s="39">
        <v>1416</v>
      </c>
      <c r="G706" s="39">
        <f t="shared" si="11"/>
        <v>486896.86465218221</v>
      </c>
    </row>
    <row r="707" spans="1:9" ht="14.4">
      <c r="A707" s="10">
        <v>45988</v>
      </c>
      <c r="D707" s="8" t="s">
        <v>989</v>
      </c>
      <c r="F707" s="39">
        <v>1416</v>
      </c>
      <c r="G707" s="39">
        <f t="shared" si="11"/>
        <v>485480.86465218221</v>
      </c>
    </row>
    <row r="708" spans="1:9" ht="14.4">
      <c r="A708" s="10">
        <v>45988</v>
      </c>
      <c r="D708" s="291" t="s">
        <v>996</v>
      </c>
      <c r="F708" s="39">
        <v>164.07</v>
      </c>
      <c r="G708" s="39">
        <f t="shared" si="11"/>
        <v>485316.7946521822</v>
      </c>
    </row>
    <row r="709" spans="1:9" ht="14.4">
      <c r="A709" s="10">
        <v>45988</v>
      </c>
      <c r="D709" s="291" t="s">
        <v>995</v>
      </c>
      <c r="F709" s="39">
        <v>152.26</v>
      </c>
      <c r="G709" s="39">
        <f t="shared" si="11"/>
        <v>485164.53465218219</v>
      </c>
    </row>
    <row r="710" spans="1:9" ht="14.4">
      <c r="A710" s="10">
        <v>45988</v>
      </c>
      <c r="D710" s="8" t="s">
        <v>16</v>
      </c>
      <c r="F710" s="39">
        <v>0.1</v>
      </c>
      <c r="G710" s="39">
        <f t="shared" si="11"/>
        <v>485164.43465218222</v>
      </c>
      <c r="I710" s="63"/>
    </row>
    <row r="711" spans="1:9" ht="14.4">
      <c r="A711" s="10">
        <v>45988</v>
      </c>
      <c r="D711" s="291" t="s">
        <v>997</v>
      </c>
      <c r="F711" s="39">
        <v>123.9</v>
      </c>
      <c r="G711" s="39">
        <f t="shared" si="11"/>
        <v>485040.53465218219</v>
      </c>
    </row>
    <row r="712" spans="1:9" ht="14.4">
      <c r="A712" s="10">
        <v>45988</v>
      </c>
      <c r="D712" s="291" t="s">
        <v>998</v>
      </c>
      <c r="F712" s="39">
        <v>67.7</v>
      </c>
      <c r="G712" s="39">
        <f t="shared" si="11"/>
        <v>484972.83465218218</v>
      </c>
    </row>
    <row r="713" spans="1:9" ht="14.4">
      <c r="A713" s="10">
        <v>45990</v>
      </c>
      <c r="D713" s="8" t="s">
        <v>10</v>
      </c>
      <c r="F713" s="39">
        <v>5.5</v>
      </c>
      <c r="G713" s="39">
        <f t="shared" si="11"/>
        <v>484967.33465218218</v>
      </c>
    </row>
    <row r="714" spans="1:9" ht="14.4">
      <c r="A714" s="10">
        <v>45990</v>
      </c>
      <c r="D714" s="8" t="s">
        <v>192</v>
      </c>
      <c r="F714" s="39">
        <v>35</v>
      </c>
      <c r="G714" s="39">
        <f t="shared" si="11"/>
        <v>484932.33465218218</v>
      </c>
    </row>
    <row r="715" spans="1:9" s="14" customFormat="1" ht="14.4">
      <c r="A715" s="13">
        <v>45991</v>
      </c>
      <c r="G715" s="40">
        <f t="shared" si="11"/>
        <v>484932.33465218218</v>
      </c>
    </row>
    <row r="716" spans="1:9" ht="14.4">
      <c r="A716" s="10">
        <v>45992</v>
      </c>
      <c r="G716" s="39">
        <f t="shared" si="11"/>
        <v>484932.33465218218</v>
      </c>
    </row>
    <row r="717" spans="1:9" ht="14.4">
      <c r="A717" s="10">
        <v>45995</v>
      </c>
      <c r="D717" s="291" t="s">
        <v>1014</v>
      </c>
      <c r="F717" s="39">
        <v>30000</v>
      </c>
      <c r="G717" s="39">
        <f t="shared" si="11"/>
        <v>454932.33465218218</v>
      </c>
    </row>
    <row r="718" spans="1:9" ht="14.4">
      <c r="A718" s="10">
        <v>45995</v>
      </c>
      <c r="D718" s="391" t="s">
        <v>868</v>
      </c>
      <c r="F718" s="39">
        <v>4.3</v>
      </c>
      <c r="G718" s="39">
        <f t="shared" si="11"/>
        <v>454928.03465218219</v>
      </c>
    </row>
    <row r="719" spans="1:9" ht="14.4">
      <c r="A719" s="10">
        <v>45995</v>
      </c>
      <c r="D719" s="8" t="s">
        <v>825</v>
      </c>
      <c r="F719" s="39">
        <v>3465.47</v>
      </c>
      <c r="G719" s="39">
        <f t="shared" si="11"/>
        <v>451462.56465218222</v>
      </c>
    </row>
    <row r="720" spans="1:9" ht="14.4">
      <c r="A720" s="10">
        <v>45995</v>
      </c>
      <c r="D720" s="8" t="s">
        <v>827</v>
      </c>
      <c r="F720" s="39">
        <v>3374.24</v>
      </c>
      <c r="G720" s="39">
        <f t="shared" si="11"/>
        <v>448088.32465218223</v>
      </c>
    </row>
    <row r="721" spans="1:9" ht="14.4">
      <c r="A721" s="10">
        <v>45995</v>
      </c>
      <c r="D721" s="8" t="s">
        <v>826</v>
      </c>
      <c r="F721" s="39">
        <v>3537.16</v>
      </c>
      <c r="G721" s="39">
        <f t="shared" si="11"/>
        <v>444551.16465218225</v>
      </c>
    </row>
    <row r="722" spans="1:9" ht="14.4">
      <c r="A722" s="10">
        <v>45995</v>
      </c>
      <c r="D722" s="8" t="s">
        <v>16</v>
      </c>
      <c r="F722" s="39">
        <v>0.45</v>
      </c>
      <c r="G722" s="39">
        <f t="shared" si="11"/>
        <v>444550.71465218224</v>
      </c>
      <c r="I722" s="63"/>
    </row>
    <row r="723" spans="1:9" ht="14.4">
      <c r="A723" s="10">
        <v>46000</v>
      </c>
      <c r="D723" s="8" t="s">
        <v>1114</v>
      </c>
      <c r="F723" s="39">
        <v>926</v>
      </c>
      <c r="G723" s="39">
        <f t="shared" si="11"/>
        <v>443624.71465218224</v>
      </c>
    </row>
    <row r="724" spans="1:9" ht="14.4">
      <c r="A724" s="10">
        <v>46001</v>
      </c>
      <c r="D724" s="391" t="s">
        <v>1018</v>
      </c>
      <c r="E724" s="11"/>
      <c r="F724" s="39">
        <f>'FLUJO CAJA DICIEMBRE'!D87</f>
        <v>5293.8847500000002</v>
      </c>
      <c r="G724" s="39">
        <f t="shared" si="11"/>
        <v>438330.82990218222</v>
      </c>
    </row>
    <row r="725" spans="1:9" ht="14.4">
      <c r="A725" s="10">
        <v>46001</v>
      </c>
      <c r="D725" s="391" t="s">
        <v>1019</v>
      </c>
      <c r="E725" s="11"/>
      <c r="F725" s="39">
        <f>'FLUJO CAJA DICIEMBRE'!D88</f>
        <v>14307.745200000001</v>
      </c>
      <c r="G725" s="39">
        <f t="shared" si="11"/>
        <v>424023.08470218221</v>
      </c>
    </row>
    <row r="726" spans="1:9" ht="14.4">
      <c r="A726" s="10">
        <v>46001</v>
      </c>
      <c r="D726" s="391" t="s">
        <v>1020</v>
      </c>
      <c r="E726" s="11"/>
      <c r="F726" s="39">
        <f>'FLUJO CAJA DICIEMBRE'!$D$89</f>
        <v>13809.179999999998</v>
      </c>
      <c r="G726" s="39">
        <f t="shared" si="11"/>
        <v>410213.90470218222</v>
      </c>
    </row>
    <row r="727" spans="1:9" ht="14.4">
      <c r="A727" s="10">
        <v>46001</v>
      </c>
      <c r="D727" s="391" t="s">
        <v>1021</v>
      </c>
      <c r="E727" s="11"/>
      <c r="F727" s="39">
        <f>'FLUJO CAJA DICIEMBRE'!$D$90</f>
        <v>7117.6843499999995</v>
      </c>
      <c r="G727" s="39">
        <f t="shared" si="11"/>
        <v>403096.22035218222</v>
      </c>
    </row>
    <row r="728" spans="1:9" ht="14.4">
      <c r="A728" s="10">
        <v>46001</v>
      </c>
      <c r="D728" s="391" t="s">
        <v>1022</v>
      </c>
      <c r="E728" s="11"/>
      <c r="F728" s="39">
        <f>'FLUJO CAJA DICIEMBRE'!$D$91</f>
        <v>5463.6664199999996</v>
      </c>
      <c r="G728" s="39">
        <f t="shared" si="11"/>
        <v>397632.5539321822</v>
      </c>
    </row>
    <row r="729" spans="1:9" ht="14.4">
      <c r="A729" s="10">
        <v>46001</v>
      </c>
      <c r="D729" s="391" t="s">
        <v>1023</v>
      </c>
      <c r="E729" s="11"/>
      <c r="F729" s="39">
        <f>'FLUJO CAJA DICIEMBRE'!$D$92</f>
        <v>5337.5</v>
      </c>
      <c r="G729" s="39">
        <f t="shared" si="11"/>
        <v>392295.0539321822</v>
      </c>
    </row>
    <row r="730" spans="1:9" ht="14.4">
      <c r="A730" s="10">
        <v>46001</v>
      </c>
      <c r="D730" s="391" t="s">
        <v>1024</v>
      </c>
      <c r="E730" s="11"/>
      <c r="F730" s="39">
        <f>'FLUJO CAJA DICIEMBRE'!$D$93</f>
        <v>20831.865633333335</v>
      </c>
      <c r="G730" s="39">
        <f t="shared" si="11"/>
        <v>371463.18829884887</v>
      </c>
    </row>
    <row r="731" spans="1:9" ht="14.4">
      <c r="A731" s="10">
        <v>46001</v>
      </c>
      <c r="D731" s="391" t="s">
        <v>1025</v>
      </c>
      <c r="E731" s="11"/>
      <c r="F731" s="39">
        <f>'FLUJO CAJA DICIEMBRE'!$D$94</f>
        <v>16528.951162500001</v>
      </c>
      <c r="G731" s="39">
        <f t="shared" si="11"/>
        <v>354934.23713634885</v>
      </c>
    </row>
    <row r="732" spans="1:9" ht="14.4">
      <c r="A732" s="10">
        <v>46001</v>
      </c>
      <c r="D732" s="391" t="s">
        <v>1026</v>
      </c>
      <c r="E732" s="11"/>
      <c r="F732" s="39">
        <f>'FLUJO CAJA DICIEMBRE'!$D$95</f>
        <v>32885.757799999999</v>
      </c>
      <c r="G732" s="39">
        <f t="shared" si="11"/>
        <v>322048.47933634883</v>
      </c>
    </row>
    <row r="733" spans="1:9" ht="14.4">
      <c r="A733" s="10">
        <v>46001</v>
      </c>
      <c r="D733" s="391" t="s">
        <v>1027</v>
      </c>
      <c r="E733" s="11"/>
      <c r="F733" s="39">
        <f>'FLUJO CAJA DICIEMBRE'!$D$96</f>
        <v>19993.466699999997</v>
      </c>
      <c r="G733" s="39">
        <f t="shared" si="11"/>
        <v>302055.01263634884</v>
      </c>
    </row>
    <row r="734" spans="1:9" ht="14.4">
      <c r="A734" s="10">
        <v>46001</v>
      </c>
      <c r="D734" s="391" t="s">
        <v>1028</v>
      </c>
      <c r="E734" s="11"/>
      <c r="F734" s="39">
        <f>'FLUJO CAJA DICIEMBRE'!$D$97</f>
        <v>5279.8984149999997</v>
      </c>
      <c r="G734" s="39">
        <f t="shared" si="11"/>
        <v>296775.11422134883</v>
      </c>
    </row>
    <row r="735" spans="1:9" ht="14.4">
      <c r="A735" s="10">
        <v>46001</v>
      </c>
      <c r="D735" s="391" t="s">
        <v>1029</v>
      </c>
      <c r="E735" s="11"/>
      <c r="F735" s="39">
        <f>'FLUJO CAJA DICIEMBRE'!$D$98</f>
        <v>21747.558349999999</v>
      </c>
      <c r="G735" s="39">
        <f t="shared" si="11"/>
        <v>275027.55587134883</v>
      </c>
    </row>
    <row r="736" spans="1:9" ht="14.4">
      <c r="A736" s="10">
        <v>46001</v>
      </c>
      <c r="D736" s="391" t="s">
        <v>1030</v>
      </c>
      <c r="E736" s="11"/>
      <c r="F736" s="39">
        <f>'FLUJO CAJA DICIEMBRE'!$D$99</f>
        <v>27389.915000000001</v>
      </c>
      <c r="G736" s="39">
        <f t="shared" si="11"/>
        <v>247637.64087134882</v>
      </c>
    </row>
    <row r="737" spans="1:9" ht="14.4">
      <c r="A737" s="10">
        <v>46001</v>
      </c>
      <c r="D737" s="391" t="s">
        <v>1031</v>
      </c>
      <c r="E737" s="11"/>
      <c r="F737" s="39">
        <f>'FLUJO CAJA DICIEMBRE'!$D$100</f>
        <v>6879.4444444444443</v>
      </c>
      <c r="G737" s="39">
        <f t="shared" si="11"/>
        <v>240758.19642690438</v>
      </c>
    </row>
    <row r="738" spans="1:9" ht="14.4">
      <c r="A738" s="10">
        <v>46001</v>
      </c>
      <c r="D738" s="391" t="s">
        <v>1032</v>
      </c>
      <c r="E738" s="11"/>
      <c r="F738" s="39">
        <f>'FLUJO CAJA DICIEMBRE'!$D$101</f>
        <v>1998.3333333333333</v>
      </c>
      <c r="G738" s="39">
        <f t="shared" si="11"/>
        <v>238759.86309357104</v>
      </c>
    </row>
    <row r="739" spans="1:9" ht="14.4">
      <c r="A739" s="10">
        <v>46001</v>
      </c>
      <c r="D739" s="291" t="s">
        <v>1033</v>
      </c>
      <c r="E739" s="11"/>
      <c r="F739" s="39">
        <v>4</v>
      </c>
      <c r="G739" s="39">
        <f t="shared" si="11"/>
        <v>238755.86309357104</v>
      </c>
    </row>
    <row r="740" spans="1:9" ht="14.4">
      <c r="A740" s="10">
        <v>46001</v>
      </c>
      <c r="D740" s="291" t="s">
        <v>1034</v>
      </c>
      <c r="E740" s="11"/>
      <c r="F740" s="39">
        <v>2</v>
      </c>
      <c r="G740" s="39">
        <f t="shared" si="11"/>
        <v>238753.86309357104</v>
      </c>
    </row>
    <row r="741" spans="1:9" ht="14.4">
      <c r="A741" s="10">
        <v>46001</v>
      </c>
      <c r="D741" s="291" t="s">
        <v>16</v>
      </c>
      <c r="F741" s="39">
        <v>7.21</v>
      </c>
      <c r="G741" s="39">
        <f t="shared" si="11"/>
        <v>238746.65309357105</v>
      </c>
      <c r="I741" s="63"/>
    </row>
    <row r="742" spans="1:9" ht="14.4">
      <c r="A742" s="10">
        <v>46001</v>
      </c>
      <c r="D742" s="8" t="s">
        <v>1035</v>
      </c>
      <c r="F742" s="39">
        <v>1094.5999999999999</v>
      </c>
      <c r="G742" s="39">
        <f t="shared" si="11"/>
        <v>237652.05309357104</v>
      </c>
    </row>
    <row r="743" spans="1:9" ht="14.4">
      <c r="A743" s="10">
        <v>46001</v>
      </c>
      <c r="D743" s="8" t="s">
        <v>1036</v>
      </c>
      <c r="F743" s="39">
        <v>10.5</v>
      </c>
      <c r="G743" s="39">
        <f t="shared" si="11"/>
        <v>237641.55309357104</v>
      </c>
    </row>
    <row r="744" spans="1:9" ht="14.4">
      <c r="A744" s="10">
        <v>46001</v>
      </c>
      <c r="D744" s="8" t="s">
        <v>16</v>
      </c>
      <c r="F744" s="39">
        <v>3.05</v>
      </c>
      <c r="G744" s="39">
        <f t="shared" si="11"/>
        <v>237638.50309357105</v>
      </c>
      <c r="I744" s="63"/>
    </row>
    <row r="745" spans="1:9" ht="14.4">
      <c r="A745" s="10">
        <v>46002</v>
      </c>
      <c r="D745" s="8" t="s">
        <v>358</v>
      </c>
      <c r="F745" s="39">
        <f>'FLUJO CAJA DICIEMBRE'!$D$47</f>
        <v>20397.23</v>
      </c>
      <c r="G745" s="39">
        <f t="shared" ref="G745:G808" si="12">G744+E745-F745</f>
        <v>217241.27309357104</v>
      </c>
    </row>
    <row r="746" spans="1:9" ht="14.4">
      <c r="A746" s="10">
        <v>46002</v>
      </c>
      <c r="D746" s="8" t="s">
        <v>1040</v>
      </c>
      <c r="F746" s="39">
        <f>'FLUJO CAJA DICIEMBRE'!$D$48</f>
        <v>15260</v>
      </c>
      <c r="G746" s="39">
        <f t="shared" si="12"/>
        <v>201981.27309357104</v>
      </c>
    </row>
    <row r="747" spans="1:9" ht="14.4">
      <c r="A747" s="10">
        <v>46002</v>
      </c>
      <c r="D747" s="8" t="s">
        <v>1041</v>
      </c>
      <c r="F747" s="39">
        <f>'FLUJO CAJA DICIEMBRE'!$D$49</f>
        <v>15260</v>
      </c>
      <c r="G747" s="39">
        <f t="shared" si="12"/>
        <v>186721.27309357104</v>
      </c>
    </row>
    <row r="748" spans="1:9" ht="14.4">
      <c r="A748" s="10">
        <v>46002</v>
      </c>
      <c r="D748" s="8" t="s">
        <v>1042</v>
      </c>
      <c r="F748" s="39">
        <f>'FLUJO CAJA DICIEMBRE'!$D$50</f>
        <v>14167.83</v>
      </c>
      <c r="G748" s="39">
        <f t="shared" si="12"/>
        <v>172553.44309357106</v>
      </c>
    </row>
    <row r="749" spans="1:9" ht="14.4">
      <c r="A749" s="10">
        <v>46002</v>
      </c>
      <c r="D749" s="8" t="s">
        <v>1043</v>
      </c>
      <c r="F749" s="39">
        <f>'FLUJO CAJA DICIEMBRE'!$D$51</f>
        <v>6685.33</v>
      </c>
      <c r="G749" s="39">
        <f t="shared" si="12"/>
        <v>165868.11309357107</v>
      </c>
    </row>
    <row r="750" spans="1:9" ht="14.4">
      <c r="A750" s="10">
        <v>46002</v>
      </c>
      <c r="D750" s="8" t="s">
        <v>1045</v>
      </c>
      <c r="E750" s="39"/>
      <c r="F750" s="39">
        <v>9</v>
      </c>
      <c r="G750" s="39">
        <f t="shared" si="12"/>
        <v>165859.11309357107</v>
      </c>
    </row>
    <row r="751" spans="1:9" ht="14.4">
      <c r="A751" s="10">
        <v>46002</v>
      </c>
      <c r="D751" s="8" t="s">
        <v>16</v>
      </c>
      <c r="E751" s="39"/>
      <c r="F751" s="39">
        <v>3.55</v>
      </c>
      <c r="G751" s="39">
        <f t="shared" si="12"/>
        <v>165855.56309357108</v>
      </c>
      <c r="I751" s="63"/>
    </row>
    <row r="752" spans="1:9" ht="14.4">
      <c r="A752" s="10">
        <v>46002</v>
      </c>
      <c r="D752" s="391" t="s">
        <v>1046</v>
      </c>
      <c r="E752" s="39"/>
      <c r="F752" s="39">
        <v>1439.91</v>
      </c>
      <c r="G752" s="39">
        <f t="shared" si="12"/>
        <v>164415.65309357108</v>
      </c>
    </row>
    <row r="753" spans="1:11" ht="14.4">
      <c r="A753" s="10">
        <v>46002</v>
      </c>
      <c r="D753" s="391" t="s">
        <v>16</v>
      </c>
      <c r="E753" s="39"/>
      <c r="F753" s="39">
        <v>0.05</v>
      </c>
      <c r="G753" s="39">
        <f t="shared" si="12"/>
        <v>164415.60309357109</v>
      </c>
    </row>
    <row r="754" spans="1:11" ht="14.4">
      <c r="A754" s="10">
        <v>46002</v>
      </c>
      <c r="D754" s="8" t="s">
        <v>1047</v>
      </c>
      <c r="E754" s="39">
        <v>629.51</v>
      </c>
      <c r="F754" s="39"/>
      <c r="G754" s="39">
        <f t="shared" si="12"/>
        <v>165045.1130935711</v>
      </c>
      <c r="I754" s="63"/>
    </row>
    <row r="755" spans="1:11" ht="14.4">
      <c r="A755" s="10">
        <v>46003</v>
      </c>
      <c r="D755" s="8" t="s">
        <v>1049</v>
      </c>
      <c r="E755" s="39"/>
      <c r="F755" s="39">
        <v>8.3699999999999992</v>
      </c>
      <c r="G755" s="39">
        <f t="shared" si="12"/>
        <v>165036.7430935711</v>
      </c>
      <c r="I755" s="63"/>
      <c r="K755" s="63"/>
    </row>
    <row r="756" spans="1:11" ht="14.4">
      <c r="A756" s="10">
        <v>46006</v>
      </c>
      <c r="D756" s="8" t="s">
        <v>590</v>
      </c>
      <c r="E756" s="39"/>
      <c r="F756" s="39">
        <v>14661</v>
      </c>
      <c r="G756" s="39">
        <f t="shared" si="12"/>
        <v>150375.7430935711</v>
      </c>
      <c r="I756" s="63"/>
      <c r="K756" s="63"/>
    </row>
    <row r="757" spans="1:11" ht="14.4">
      <c r="A757" s="10">
        <v>46006</v>
      </c>
      <c r="D757" s="8" t="s">
        <v>16</v>
      </c>
      <c r="F757" s="39">
        <v>0.57772170792440392</v>
      </c>
      <c r="G757" s="39">
        <f t="shared" si="12"/>
        <v>150375.16537186317</v>
      </c>
      <c r="I757" s="63"/>
    </row>
    <row r="758" spans="1:11" ht="14.4">
      <c r="A758" s="10">
        <v>46006</v>
      </c>
      <c r="D758" s="391" t="s">
        <v>1050</v>
      </c>
      <c r="F758" s="39">
        <v>55205</v>
      </c>
      <c r="G758" s="39">
        <f t="shared" si="12"/>
        <v>95170.165371863171</v>
      </c>
    </row>
    <row r="759" spans="1:11" ht="14.4">
      <c r="A759" s="10">
        <v>46006</v>
      </c>
      <c r="D759" s="391" t="s">
        <v>16</v>
      </c>
      <c r="F759" s="39">
        <v>2.1800000000000002</v>
      </c>
      <c r="G759" s="39">
        <f t="shared" si="12"/>
        <v>95167.985371863178</v>
      </c>
      <c r="I759" s="63"/>
    </row>
    <row r="760" spans="1:11" ht="14.4">
      <c r="A760" s="10">
        <v>46006</v>
      </c>
      <c r="D760" s="8" t="s">
        <v>66</v>
      </c>
      <c r="E760" s="11"/>
      <c r="F760" s="39">
        <v>10</v>
      </c>
      <c r="G760" s="39">
        <f t="shared" si="12"/>
        <v>95157.985371863178</v>
      </c>
    </row>
    <row r="761" spans="1:11" ht="14.4">
      <c r="A761" s="10">
        <v>46007</v>
      </c>
      <c r="D761" s="11" t="s">
        <v>1053</v>
      </c>
      <c r="F761" s="39">
        <v>112</v>
      </c>
      <c r="G761" s="39">
        <f t="shared" si="12"/>
        <v>95045.985371863178</v>
      </c>
    </row>
    <row r="762" spans="1:11" ht="14.4">
      <c r="A762" s="10">
        <v>46007</v>
      </c>
      <c r="D762" s="391" t="s">
        <v>1054</v>
      </c>
      <c r="E762" s="39">
        <v>24502.46</v>
      </c>
      <c r="G762" s="39">
        <f t="shared" si="12"/>
        <v>119548.44537186317</v>
      </c>
      <c r="H762" s="39"/>
      <c r="I762" s="63"/>
      <c r="J762" s="63"/>
    </row>
    <row r="763" spans="1:11" ht="14.4">
      <c r="A763" s="10">
        <v>46007</v>
      </c>
      <c r="D763" s="391" t="s">
        <v>1057</v>
      </c>
      <c r="E763" s="39">
        <v>3000</v>
      </c>
      <c r="G763" s="39">
        <f t="shared" si="12"/>
        <v>122548.44537186317</v>
      </c>
      <c r="H763" s="39"/>
      <c r="I763" s="63"/>
      <c r="J763" s="63"/>
    </row>
    <row r="764" spans="1:11" ht="14.4">
      <c r="A764" s="10">
        <v>46007</v>
      </c>
      <c r="D764" s="291" t="s">
        <v>1054</v>
      </c>
      <c r="E764" s="39">
        <v>1483.2</v>
      </c>
      <c r="G764" s="39">
        <f t="shared" si="12"/>
        <v>124031.64537186317</v>
      </c>
      <c r="H764" s="39"/>
      <c r="I764" s="63"/>
      <c r="J764" s="63"/>
    </row>
    <row r="765" spans="1:11" ht="14.4">
      <c r="A765" s="10">
        <v>46008</v>
      </c>
      <c r="D765" s="291" t="s">
        <v>1037</v>
      </c>
      <c r="F765" s="39">
        <f>'FLUJO CAJA DICIEMBRE'!D79</f>
        <v>122861</v>
      </c>
      <c r="G765" s="39">
        <f t="shared" si="12"/>
        <v>1170.6453718631674</v>
      </c>
    </row>
    <row r="766" spans="1:11" ht="14.4">
      <c r="A766" s="10">
        <v>46008</v>
      </c>
      <c r="D766" s="391" t="s">
        <v>16</v>
      </c>
      <c r="F766" s="39">
        <v>6.1</v>
      </c>
      <c r="G766" s="39">
        <f t="shared" si="12"/>
        <v>1164.5453718631675</v>
      </c>
      <c r="I766" s="63"/>
    </row>
    <row r="767" spans="1:11" ht="14.4">
      <c r="A767" s="10">
        <v>46010</v>
      </c>
      <c r="D767" s="391" t="s">
        <v>1065</v>
      </c>
      <c r="F767" s="39">
        <v>869.61</v>
      </c>
      <c r="G767" s="39">
        <f t="shared" si="12"/>
        <v>294.93537186316746</v>
      </c>
    </row>
    <row r="768" spans="1:11" ht="14.4">
      <c r="A768" s="10">
        <v>46010</v>
      </c>
      <c r="D768" s="291" t="s">
        <v>1033</v>
      </c>
      <c r="F768" s="39">
        <v>1</v>
      </c>
      <c r="G768" s="39">
        <f t="shared" si="12"/>
        <v>293.93537186316746</v>
      </c>
    </row>
    <row r="769" spans="1:9" ht="14.4">
      <c r="A769" s="10">
        <v>46014</v>
      </c>
      <c r="D769" s="11" t="s">
        <v>1074</v>
      </c>
      <c r="E769" s="39">
        <v>32900</v>
      </c>
      <c r="F769" s="39"/>
      <c r="G769" s="39">
        <f t="shared" si="12"/>
        <v>33193.935371863168</v>
      </c>
    </row>
    <row r="770" spans="1:9" ht="14.4">
      <c r="A770" s="10">
        <v>46014</v>
      </c>
      <c r="D770" s="11" t="s">
        <v>1074</v>
      </c>
      <c r="E770" s="39">
        <v>32900</v>
      </c>
      <c r="F770" s="39"/>
      <c r="G770" s="39">
        <f t="shared" si="12"/>
        <v>66093.935371863161</v>
      </c>
    </row>
    <row r="771" spans="1:9" ht="14.4">
      <c r="A771" s="10">
        <v>46014</v>
      </c>
      <c r="D771" s="11" t="s">
        <v>1074</v>
      </c>
      <c r="E771" s="39">
        <v>32900</v>
      </c>
      <c r="F771" s="39"/>
      <c r="G771" s="39">
        <f t="shared" si="12"/>
        <v>98993.935371863161</v>
      </c>
    </row>
    <row r="772" spans="1:9" ht="14.4">
      <c r="A772" s="10">
        <v>46014</v>
      </c>
      <c r="D772" s="11" t="s">
        <v>1074</v>
      </c>
      <c r="E772" s="39">
        <v>32900</v>
      </c>
      <c r="F772" s="39"/>
      <c r="G772" s="39">
        <f t="shared" si="12"/>
        <v>131893.93537186316</v>
      </c>
    </row>
    <row r="773" spans="1:9" ht="14.4">
      <c r="A773" s="10">
        <v>46014</v>
      </c>
      <c r="D773" s="11" t="s">
        <v>178</v>
      </c>
      <c r="F773" s="39">
        <v>12590.68</v>
      </c>
      <c r="G773" s="39">
        <f t="shared" si="12"/>
        <v>119303.25537186317</v>
      </c>
    </row>
    <row r="774" spans="1:9" ht="14.4">
      <c r="A774" s="10">
        <v>46014</v>
      </c>
      <c r="D774" s="11" t="s">
        <v>16</v>
      </c>
      <c r="F774" s="39">
        <v>0.6</v>
      </c>
      <c r="G774" s="39">
        <f t="shared" si="12"/>
        <v>119302.65537186316</v>
      </c>
      <c r="I774" s="63"/>
    </row>
    <row r="775" spans="1:9" ht="14.4">
      <c r="A775" s="10">
        <v>46014</v>
      </c>
      <c r="D775" s="11" t="s">
        <v>1077</v>
      </c>
      <c r="F775" s="39">
        <v>1122.6600000000001</v>
      </c>
      <c r="G775" s="39">
        <f t="shared" si="12"/>
        <v>118179.99537186316</v>
      </c>
    </row>
    <row r="776" spans="1:9" ht="14.4">
      <c r="A776" s="10">
        <v>46014</v>
      </c>
      <c r="D776" s="8" t="s">
        <v>1076</v>
      </c>
      <c r="F776" s="39">
        <v>10.5</v>
      </c>
      <c r="G776" s="39">
        <f t="shared" si="12"/>
        <v>118169.49537186316</v>
      </c>
    </row>
    <row r="777" spans="1:9" ht="14.4">
      <c r="A777" s="10">
        <v>46014</v>
      </c>
      <c r="D777" s="11" t="s">
        <v>16</v>
      </c>
      <c r="F777" s="39">
        <v>0.05</v>
      </c>
      <c r="G777" s="39">
        <f t="shared" si="12"/>
        <v>118169.44537186316</v>
      </c>
      <c r="I777" s="63"/>
    </row>
    <row r="778" spans="1:9" ht="14.4">
      <c r="A778" s="10">
        <v>46014</v>
      </c>
      <c r="D778" s="11" t="s">
        <v>1075</v>
      </c>
      <c r="F778" s="39">
        <v>1482.76</v>
      </c>
      <c r="G778" s="39">
        <f t="shared" si="12"/>
        <v>116686.68537186316</v>
      </c>
    </row>
    <row r="779" spans="1:9" ht="14.4">
      <c r="A779" s="10">
        <v>46014</v>
      </c>
      <c r="D779" s="8" t="s">
        <v>1078</v>
      </c>
      <c r="F779" s="39">
        <v>4.3</v>
      </c>
      <c r="G779" s="39">
        <f t="shared" si="12"/>
        <v>116682.38537186316</v>
      </c>
    </row>
    <row r="780" spans="1:9" ht="14.4">
      <c r="A780" s="10">
        <v>46014</v>
      </c>
      <c r="D780" s="11" t="s">
        <v>16</v>
      </c>
      <c r="F780" s="39">
        <v>0.05</v>
      </c>
      <c r="G780" s="39">
        <f t="shared" si="12"/>
        <v>116682.33537186316</v>
      </c>
      <c r="I780" s="63"/>
    </row>
    <row r="781" spans="1:9" ht="14.4">
      <c r="A781" s="10">
        <v>46017</v>
      </c>
      <c r="D781" s="11" t="s">
        <v>1081</v>
      </c>
      <c r="F781" s="39">
        <v>27044.9</v>
      </c>
      <c r="G781" s="39">
        <f t="shared" si="12"/>
        <v>89637.435371863161</v>
      </c>
    </row>
    <row r="782" spans="1:9" ht="14.4">
      <c r="A782" s="10">
        <v>46017</v>
      </c>
      <c r="D782" s="11" t="s">
        <v>1080</v>
      </c>
      <c r="F782" s="39">
        <v>7</v>
      </c>
      <c r="G782" s="39">
        <f t="shared" si="12"/>
        <v>89630.435371863161</v>
      </c>
    </row>
    <row r="783" spans="1:9" ht="14.4">
      <c r="A783" s="10">
        <v>46017</v>
      </c>
      <c r="D783" s="11" t="s">
        <v>16</v>
      </c>
      <c r="F783" s="39">
        <v>1.34</v>
      </c>
      <c r="G783" s="39">
        <f t="shared" si="12"/>
        <v>89629.095371863164</v>
      </c>
      <c r="I783" s="63"/>
    </row>
    <row r="784" spans="1:9" ht="14.4">
      <c r="A784" s="10">
        <v>46017</v>
      </c>
      <c r="D784" s="11" t="s">
        <v>1082</v>
      </c>
      <c r="F784" s="39">
        <v>21163.09</v>
      </c>
      <c r="G784" s="39">
        <f t="shared" si="12"/>
        <v>68466.005371863168</v>
      </c>
    </row>
    <row r="785" spans="1:9" ht="14.4">
      <c r="A785" s="10">
        <v>46017</v>
      </c>
      <c r="D785" s="11" t="s">
        <v>1080</v>
      </c>
      <c r="F785" s="39">
        <v>3</v>
      </c>
      <c r="G785" s="39">
        <f t="shared" si="12"/>
        <v>68463.005371863168</v>
      </c>
    </row>
    <row r="786" spans="1:9" ht="14.4">
      <c r="A786" s="10">
        <v>46017</v>
      </c>
      <c r="D786" s="11" t="s">
        <v>16</v>
      </c>
      <c r="F786" s="39">
        <v>1.05</v>
      </c>
      <c r="G786" s="39">
        <f t="shared" si="12"/>
        <v>68461.955371863165</v>
      </c>
      <c r="I786" s="63"/>
    </row>
    <row r="787" spans="1:9" ht="14.4">
      <c r="A787" s="10">
        <v>46017</v>
      </c>
      <c r="D787" s="391" t="s">
        <v>1087</v>
      </c>
      <c r="E787" s="39">
        <v>32860</v>
      </c>
      <c r="F787" s="39"/>
      <c r="G787" s="39">
        <f t="shared" si="12"/>
        <v>101321.95537186317</v>
      </c>
    </row>
    <row r="788" spans="1:9" ht="14.4">
      <c r="A788" s="10">
        <v>46017</v>
      </c>
      <c r="D788" s="391" t="s">
        <v>1087</v>
      </c>
      <c r="E788" s="39">
        <v>32860</v>
      </c>
      <c r="F788" s="39"/>
      <c r="G788" s="39">
        <f t="shared" si="12"/>
        <v>134181.95537186315</v>
      </c>
    </row>
    <row r="789" spans="1:9" ht="14.4">
      <c r="A789" s="10">
        <v>46017</v>
      </c>
      <c r="D789" s="391" t="s">
        <v>1087</v>
      </c>
      <c r="E789" s="39">
        <v>32860</v>
      </c>
      <c r="F789" s="39"/>
      <c r="G789" s="39">
        <f t="shared" si="12"/>
        <v>167041.95537186315</v>
      </c>
    </row>
    <row r="790" spans="1:9" ht="14.4">
      <c r="A790" s="10">
        <v>46017</v>
      </c>
      <c r="D790" s="391" t="s">
        <v>1087</v>
      </c>
      <c r="E790" s="39">
        <v>32860</v>
      </c>
      <c r="G790" s="39">
        <f t="shared" si="12"/>
        <v>199901.95537186315</v>
      </c>
    </row>
    <row r="791" spans="1:9" ht="14.4">
      <c r="A791" s="10">
        <v>46017</v>
      </c>
      <c r="D791" s="391" t="s">
        <v>1087</v>
      </c>
      <c r="E791" s="39">
        <v>32860</v>
      </c>
      <c r="G791" s="39">
        <f t="shared" si="12"/>
        <v>232761.95537186315</v>
      </c>
    </row>
    <row r="792" spans="1:9" ht="14.4">
      <c r="A792" s="10">
        <v>46017</v>
      </c>
      <c r="D792" s="391" t="s">
        <v>1087</v>
      </c>
      <c r="E792" s="39">
        <v>32860</v>
      </c>
      <c r="G792" s="39">
        <f t="shared" si="12"/>
        <v>265621.95537186315</v>
      </c>
    </row>
    <row r="793" spans="1:9" ht="14.4">
      <c r="A793" s="10">
        <v>46017</v>
      </c>
      <c r="D793" s="391" t="s">
        <v>1087</v>
      </c>
      <c r="E793" s="39">
        <v>32860</v>
      </c>
      <c r="G793" s="39">
        <f t="shared" si="12"/>
        <v>298481.95537186315</v>
      </c>
    </row>
    <row r="794" spans="1:9" ht="14.4">
      <c r="A794" s="10">
        <v>46017</v>
      </c>
      <c r="D794" s="391" t="s">
        <v>1087</v>
      </c>
      <c r="E794" s="39">
        <v>32860</v>
      </c>
      <c r="G794" s="39">
        <f t="shared" si="12"/>
        <v>331341.95537186315</v>
      </c>
    </row>
    <row r="795" spans="1:9" ht="14.4">
      <c r="A795" s="10">
        <v>46017</v>
      </c>
      <c r="D795" s="391" t="s">
        <v>1087</v>
      </c>
      <c r="E795" s="39">
        <v>32860</v>
      </c>
      <c r="G795" s="39">
        <f t="shared" si="12"/>
        <v>364201.95537186315</v>
      </c>
    </row>
    <row r="796" spans="1:9" ht="14.4">
      <c r="A796" s="10">
        <v>46017</v>
      </c>
      <c r="D796" s="391" t="s">
        <v>1087</v>
      </c>
      <c r="E796" s="39">
        <v>26051.74</v>
      </c>
      <c r="G796" s="39">
        <f t="shared" si="12"/>
        <v>390253.69537186314</v>
      </c>
    </row>
    <row r="797" spans="1:9" ht="14.4">
      <c r="A797" s="10">
        <v>46017</v>
      </c>
      <c r="D797" s="391" t="s">
        <v>1088</v>
      </c>
      <c r="E797" s="39"/>
      <c r="F797" s="39">
        <v>111527</v>
      </c>
      <c r="G797" s="39">
        <f t="shared" si="12"/>
        <v>278726.69537186314</v>
      </c>
    </row>
    <row r="798" spans="1:9" ht="14.4">
      <c r="A798" s="10">
        <v>46017</v>
      </c>
      <c r="D798" s="391" t="s">
        <v>16</v>
      </c>
      <c r="E798" s="39"/>
      <c r="F798" s="39">
        <v>5.55</v>
      </c>
      <c r="G798" s="39">
        <f t="shared" si="12"/>
        <v>278721.14537186315</v>
      </c>
      <c r="I798" s="63"/>
    </row>
    <row r="799" spans="1:9" ht="14.4">
      <c r="A799" s="10">
        <v>46017</v>
      </c>
      <c r="D799" s="391" t="s">
        <v>1089</v>
      </c>
      <c r="E799" s="39"/>
      <c r="F799" s="39">
        <v>57852.4</v>
      </c>
      <c r="G799" s="39">
        <f t="shared" si="12"/>
        <v>220868.74537186316</v>
      </c>
    </row>
    <row r="800" spans="1:9" ht="14.4">
      <c r="A800" s="10">
        <v>46017</v>
      </c>
      <c r="D800" s="391" t="s">
        <v>1090</v>
      </c>
      <c r="E800" s="39"/>
      <c r="F800" s="39">
        <v>7</v>
      </c>
      <c r="G800" s="39">
        <f t="shared" si="12"/>
        <v>220861.74537186316</v>
      </c>
    </row>
    <row r="801" spans="1:9" ht="14.4">
      <c r="A801" s="10">
        <v>46017</v>
      </c>
      <c r="D801" s="391" t="s">
        <v>16</v>
      </c>
      <c r="E801" s="39"/>
      <c r="F801" s="39">
        <v>2.85</v>
      </c>
      <c r="G801" s="39">
        <f t="shared" si="12"/>
        <v>220858.89537186315</v>
      </c>
      <c r="I801" s="63"/>
    </row>
    <row r="802" spans="1:9" ht="14.4">
      <c r="A802" s="10">
        <v>46017</v>
      </c>
      <c r="D802" s="391" t="s">
        <v>1092</v>
      </c>
      <c r="E802" s="39"/>
      <c r="F802" s="39">
        <v>2657.15</v>
      </c>
      <c r="G802" s="39">
        <f t="shared" si="12"/>
        <v>218201.74537186316</v>
      </c>
    </row>
    <row r="803" spans="1:9" ht="14.4">
      <c r="A803" s="10">
        <v>46017</v>
      </c>
      <c r="D803" s="391" t="s">
        <v>1093</v>
      </c>
      <c r="E803" s="39"/>
      <c r="F803" s="39">
        <v>593.82000000000005</v>
      </c>
      <c r="G803" s="39">
        <f t="shared" si="12"/>
        <v>217607.92537186315</v>
      </c>
    </row>
    <row r="804" spans="1:9" ht="14.4">
      <c r="A804" s="10">
        <v>46017</v>
      </c>
      <c r="D804" s="391" t="s">
        <v>1094</v>
      </c>
      <c r="E804" s="39"/>
      <c r="F804" s="39">
        <v>8500</v>
      </c>
      <c r="G804" s="39">
        <f t="shared" si="12"/>
        <v>209107.92537186315</v>
      </c>
    </row>
    <row r="805" spans="1:9" ht="14.4">
      <c r="A805" s="10">
        <v>46017</v>
      </c>
      <c r="D805" s="391" t="s">
        <v>1095</v>
      </c>
      <c r="E805" s="39"/>
      <c r="F805" s="39">
        <v>4.3</v>
      </c>
      <c r="G805" s="39">
        <f t="shared" si="12"/>
        <v>209103.62537186316</v>
      </c>
    </row>
    <row r="806" spans="1:9" ht="14.4">
      <c r="A806" s="10">
        <v>46017</v>
      </c>
      <c r="D806" s="391" t="s">
        <v>1096</v>
      </c>
      <c r="E806" s="39"/>
      <c r="F806" s="39">
        <v>649.99</v>
      </c>
      <c r="G806" s="39">
        <f t="shared" si="12"/>
        <v>208453.63537186317</v>
      </c>
    </row>
    <row r="807" spans="1:9" ht="14.4">
      <c r="A807" s="10">
        <v>46017</v>
      </c>
      <c r="D807" s="391" t="s">
        <v>1097</v>
      </c>
      <c r="E807" s="39"/>
      <c r="F807" s="39">
        <v>4.3</v>
      </c>
      <c r="G807" s="39">
        <f t="shared" si="12"/>
        <v>208449.33537186318</v>
      </c>
    </row>
    <row r="808" spans="1:9" ht="14.4">
      <c r="A808" s="10">
        <v>46017</v>
      </c>
      <c r="D808" s="391" t="s">
        <v>16</v>
      </c>
      <c r="E808" s="39"/>
      <c r="F808" s="39">
        <v>0.5</v>
      </c>
      <c r="G808" s="39">
        <f t="shared" si="12"/>
        <v>208448.83537186318</v>
      </c>
      <c r="I808" s="63"/>
    </row>
    <row r="809" spans="1:9" ht="14.4">
      <c r="A809" s="10">
        <v>46017</v>
      </c>
      <c r="D809" s="11" t="s">
        <v>1104</v>
      </c>
      <c r="E809" s="39"/>
      <c r="F809" s="39">
        <f>'FLUJO CAJA DICIEMBRE'!D39</f>
        <v>344.88</v>
      </c>
      <c r="G809" s="39">
        <f t="shared" ref="G809:G872" si="13">G808+E809-F809</f>
        <v>208103.95537186318</v>
      </c>
    </row>
    <row r="810" spans="1:9" ht="14.4">
      <c r="A810" s="10">
        <v>46017</v>
      </c>
      <c r="D810" s="11" t="s">
        <v>1105</v>
      </c>
      <c r="F810" s="39">
        <f>'FLUJO CAJA DICIEMBRE'!D40</f>
        <v>355.23</v>
      </c>
      <c r="G810" s="39">
        <f t="shared" si="13"/>
        <v>207748.72537186317</v>
      </c>
    </row>
    <row r="811" spans="1:9" ht="14.4">
      <c r="A811" s="10">
        <v>46017</v>
      </c>
      <c r="D811" s="11" t="s">
        <v>1106</v>
      </c>
      <c r="F811" s="39">
        <f>'FLUJO CAJA DICIEMBRE'!D41</f>
        <v>118</v>
      </c>
      <c r="G811" s="39">
        <f t="shared" si="13"/>
        <v>207630.72537186317</v>
      </c>
    </row>
    <row r="812" spans="1:9" ht="14.4">
      <c r="A812" s="10">
        <v>46017</v>
      </c>
      <c r="D812" s="11" t="s">
        <v>1107</v>
      </c>
      <c r="F812" s="39">
        <f>'FLUJO CAJA DICIEMBRE'!D42</f>
        <v>180.21</v>
      </c>
      <c r="G812" s="39">
        <f t="shared" si="13"/>
        <v>207450.51537186318</v>
      </c>
    </row>
    <row r="813" spans="1:9" ht="14.4">
      <c r="A813" s="10">
        <v>46017</v>
      </c>
      <c r="D813" s="8" t="s">
        <v>1109</v>
      </c>
      <c r="F813" s="39">
        <v>901.23</v>
      </c>
      <c r="G813" s="39">
        <f t="shared" si="13"/>
        <v>206549.28537186317</v>
      </c>
    </row>
    <row r="814" spans="1:9" ht="14.4">
      <c r="A814" s="10">
        <v>46018</v>
      </c>
      <c r="D814" s="8" t="s">
        <v>1116</v>
      </c>
      <c r="F814" s="39">
        <v>7087.93</v>
      </c>
      <c r="G814" s="39">
        <f t="shared" si="13"/>
        <v>199461.35537186317</v>
      </c>
    </row>
    <row r="815" spans="1:9" ht="14.4">
      <c r="A815" s="10">
        <v>46019</v>
      </c>
      <c r="D815" s="11" t="s">
        <v>16</v>
      </c>
      <c r="F815" s="39">
        <v>0.35</v>
      </c>
      <c r="G815" s="39">
        <f t="shared" si="13"/>
        <v>199461.00537186317</v>
      </c>
    </row>
    <row r="816" spans="1:9" ht="14.4">
      <c r="A816" s="10">
        <v>46021</v>
      </c>
      <c r="D816" s="391" t="s">
        <v>1121</v>
      </c>
      <c r="F816" s="39">
        <v>3072.43</v>
      </c>
      <c r="G816" s="39">
        <f t="shared" si="13"/>
        <v>196388.57537186317</v>
      </c>
    </row>
    <row r="817" spans="1:9" ht="14.4">
      <c r="A817" s="10">
        <v>46021</v>
      </c>
      <c r="D817" s="391" t="s">
        <v>16</v>
      </c>
      <c r="F817" s="39">
        <v>0.15</v>
      </c>
      <c r="G817" s="39">
        <f t="shared" si="13"/>
        <v>196388.42537186318</v>
      </c>
      <c r="I817" s="63"/>
    </row>
    <row r="818" spans="1:9" ht="14.4">
      <c r="A818" s="10">
        <v>46021</v>
      </c>
      <c r="D818" s="8" t="s">
        <v>1127</v>
      </c>
      <c r="F818" s="39">
        <v>152.26</v>
      </c>
      <c r="G818" s="39">
        <f t="shared" si="13"/>
        <v>196236.16537186317</v>
      </c>
    </row>
    <row r="819" spans="1:9" ht="14.4">
      <c r="A819" s="10">
        <v>46021</v>
      </c>
      <c r="D819" s="8" t="s">
        <v>1126</v>
      </c>
      <c r="F819" s="39">
        <v>123.9</v>
      </c>
      <c r="G819" s="39">
        <f t="shared" si="13"/>
        <v>196112.26537186318</v>
      </c>
    </row>
    <row r="820" spans="1:9" ht="14.4">
      <c r="A820" s="10">
        <v>46022</v>
      </c>
      <c r="D820" s="8" t="s">
        <v>10</v>
      </c>
      <c r="F820" s="39">
        <v>5.5</v>
      </c>
      <c r="G820" s="39">
        <f t="shared" si="13"/>
        <v>196106.76537186318</v>
      </c>
    </row>
    <row r="821" spans="1:9" ht="14.4">
      <c r="A821" s="10">
        <v>46022</v>
      </c>
      <c r="D821" s="8" t="s">
        <v>192</v>
      </c>
      <c r="F821" s="39">
        <v>35</v>
      </c>
      <c r="G821" s="39">
        <f t="shared" si="13"/>
        <v>196071.76537186318</v>
      </c>
    </row>
    <row r="822" spans="1:9" s="14" customFormat="1" ht="14.4">
      <c r="A822" s="13">
        <v>46022</v>
      </c>
      <c r="G822" s="40">
        <f t="shared" si="13"/>
        <v>196071.76537186318</v>
      </c>
    </row>
    <row r="823" spans="1:9" ht="14.4">
      <c r="A823" s="10">
        <v>46023</v>
      </c>
      <c r="F823" s="39"/>
      <c r="G823" s="39">
        <f t="shared" si="13"/>
        <v>196071.76537186318</v>
      </c>
    </row>
    <row r="824" spans="1:9" ht="14.4">
      <c r="A824" s="10">
        <v>46024</v>
      </c>
      <c r="D824" s="8" t="s">
        <v>1130</v>
      </c>
      <c r="F824" s="39">
        <v>590</v>
      </c>
      <c r="G824" s="39">
        <f t="shared" si="13"/>
        <v>195481.76537186318</v>
      </c>
    </row>
    <row r="825" spans="1:9" ht="14.4">
      <c r="A825" s="10">
        <v>46024</v>
      </c>
      <c r="D825" s="8" t="s">
        <v>1131</v>
      </c>
      <c r="F825" s="39">
        <v>590</v>
      </c>
      <c r="G825" s="39">
        <f t="shared" si="13"/>
        <v>194891.76537186318</v>
      </c>
    </row>
    <row r="826" spans="1:9" ht="14.4">
      <c r="A826" s="10">
        <v>46024</v>
      </c>
      <c r="D826" s="11" t="s">
        <v>16</v>
      </c>
      <c r="F826" s="39">
        <v>0.05</v>
      </c>
      <c r="G826" s="39">
        <f t="shared" si="13"/>
        <v>194891.71537186319</v>
      </c>
      <c r="I826" s="63"/>
    </row>
    <row r="827" spans="1:9" ht="14.4">
      <c r="A827" s="10">
        <v>46027</v>
      </c>
      <c r="D827" s="351" t="s">
        <v>1140</v>
      </c>
      <c r="E827" s="39">
        <v>10005.31</v>
      </c>
      <c r="F827" s="39"/>
      <c r="G827" s="39">
        <f t="shared" si="13"/>
        <v>204897.02537186319</v>
      </c>
      <c r="I827" s="63">
        <f>E827/3.31</f>
        <v>3022.7522658610269</v>
      </c>
    </row>
    <row r="828" spans="1:9" ht="14.4">
      <c r="A828" s="10">
        <v>46027</v>
      </c>
      <c r="D828" s="11" t="s">
        <v>16</v>
      </c>
      <c r="F828" s="39">
        <v>0.5</v>
      </c>
      <c r="G828" s="39">
        <f t="shared" si="13"/>
        <v>204896.52537186319</v>
      </c>
    </row>
    <row r="829" spans="1:9" ht="14.4">
      <c r="A829" s="10">
        <v>46029</v>
      </c>
      <c r="D829" s="291" t="s">
        <v>1014</v>
      </c>
      <c r="F829" s="39">
        <v>30000</v>
      </c>
      <c r="G829" s="39">
        <f t="shared" si="13"/>
        <v>174896.52537186319</v>
      </c>
    </row>
    <row r="830" spans="1:9" ht="14.4">
      <c r="A830" s="10">
        <v>46029</v>
      </c>
      <c r="D830" s="391" t="s">
        <v>868</v>
      </c>
      <c r="F830" s="39">
        <v>4.3</v>
      </c>
      <c r="G830" s="39">
        <f t="shared" si="13"/>
        <v>174892.2253718632</v>
      </c>
    </row>
    <row r="831" spans="1:9" ht="14.4">
      <c r="A831" s="10">
        <v>46029</v>
      </c>
      <c r="D831" s="8" t="s">
        <v>825</v>
      </c>
      <c r="F831" s="39">
        <v>5017.1000000000004</v>
      </c>
      <c r="G831" s="39">
        <f t="shared" si="13"/>
        <v>169875.12537186319</v>
      </c>
    </row>
    <row r="832" spans="1:9" ht="14.4">
      <c r="A832" s="10">
        <v>46029</v>
      </c>
      <c r="D832" s="8" t="s">
        <v>827</v>
      </c>
      <c r="F832" s="39">
        <v>3374.24</v>
      </c>
      <c r="G832" s="39">
        <f t="shared" si="13"/>
        <v>166500.8853718632</v>
      </c>
    </row>
    <row r="833" spans="1:9" ht="14.4">
      <c r="A833" s="10">
        <v>46029</v>
      </c>
      <c r="D833" s="8" t="s">
        <v>826</v>
      </c>
      <c r="F833" s="39">
        <v>3517.9</v>
      </c>
      <c r="G833" s="39">
        <f t="shared" si="13"/>
        <v>162982.98537186321</v>
      </c>
    </row>
    <row r="834" spans="1:9" ht="14.4">
      <c r="A834" s="10">
        <v>46029</v>
      </c>
      <c r="D834" s="11" t="s">
        <v>16</v>
      </c>
      <c r="F834" s="39">
        <v>0.55000000000000004</v>
      </c>
      <c r="G834" s="39">
        <f t="shared" si="13"/>
        <v>162982.43537186322</v>
      </c>
    </row>
    <row r="835" spans="1:9" ht="14.4">
      <c r="A835" s="10">
        <v>46031</v>
      </c>
      <c r="D835" s="8" t="s">
        <v>1141</v>
      </c>
      <c r="F835" s="39">
        <v>926</v>
      </c>
      <c r="G835" s="39">
        <f t="shared" si="13"/>
        <v>162056.43537186322</v>
      </c>
      <c r="I835" s="63"/>
    </row>
    <row r="836" spans="1:9" ht="14.4">
      <c r="A836" s="10">
        <v>46035</v>
      </c>
      <c r="D836" s="8" t="s">
        <v>1143</v>
      </c>
      <c r="E836" s="39"/>
      <c r="F836" s="39">
        <v>9979.4</v>
      </c>
      <c r="G836" s="39">
        <f>G835+E836-F836</f>
        <v>152077.03537186323</v>
      </c>
    </row>
    <row r="837" spans="1:9" ht="14.4">
      <c r="A837" s="10">
        <v>46035</v>
      </c>
      <c r="D837" s="8" t="s">
        <v>1144</v>
      </c>
      <c r="F837" s="39">
        <v>53.9</v>
      </c>
      <c r="G837" s="39">
        <f t="shared" si="13"/>
        <v>152023.13537186323</v>
      </c>
      <c r="H837" s="63"/>
    </row>
    <row r="838" spans="1:9" ht="14.4">
      <c r="A838" s="10">
        <v>46035</v>
      </c>
      <c r="D838" s="11" t="s">
        <v>16</v>
      </c>
      <c r="F838" s="39">
        <v>0.5</v>
      </c>
      <c r="G838" s="39">
        <f t="shared" si="13"/>
        <v>152022.63537186323</v>
      </c>
    </row>
    <row r="839" spans="1:9" ht="14.4">
      <c r="A839" s="10">
        <v>46037</v>
      </c>
      <c r="D839" s="8" t="s">
        <v>1151</v>
      </c>
      <c r="F839" s="39">
        <v>118</v>
      </c>
      <c r="G839" s="39">
        <f t="shared" si="13"/>
        <v>151904.63537186323</v>
      </c>
    </row>
    <row r="840" spans="1:9" ht="14.4">
      <c r="A840" s="10">
        <v>46037</v>
      </c>
      <c r="D840" s="8" t="s">
        <v>1145</v>
      </c>
      <c r="F840" s="39">
        <v>568</v>
      </c>
      <c r="G840" s="39">
        <f t="shared" si="13"/>
        <v>151336.63537186323</v>
      </c>
    </row>
    <row r="841" spans="1:9" ht="14.4">
      <c r="A841" s="10">
        <v>46037</v>
      </c>
      <c r="D841" s="8" t="s">
        <v>1145</v>
      </c>
      <c r="F841" s="39">
        <v>618</v>
      </c>
      <c r="G841" s="39">
        <f t="shared" si="13"/>
        <v>150718.63537186323</v>
      </c>
    </row>
    <row r="842" spans="1:9" ht="14.4">
      <c r="A842" s="10">
        <v>46037</v>
      </c>
      <c r="D842" s="8" t="s">
        <v>1145</v>
      </c>
      <c r="F842" s="39">
        <v>806</v>
      </c>
      <c r="G842" s="39">
        <f t="shared" si="13"/>
        <v>149912.63537186323</v>
      </c>
    </row>
    <row r="843" spans="1:9" ht="14.4">
      <c r="A843" s="10">
        <v>46037</v>
      </c>
      <c r="D843" s="8" t="s">
        <v>66</v>
      </c>
      <c r="F843" s="39">
        <v>10</v>
      </c>
      <c r="G843" s="39">
        <f t="shared" si="13"/>
        <v>149902.63537186323</v>
      </c>
    </row>
    <row r="844" spans="1:9" ht="14.4">
      <c r="A844" s="10">
        <v>46038</v>
      </c>
      <c r="D844" s="8" t="s">
        <v>1152</v>
      </c>
      <c r="F844" s="39">
        <v>152.81</v>
      </c>
      <c r="G844" s="39">
        <f t="shared" si="13"/>
        <v>149749.82537186323</v>
      </c>
    </row>
    <row r="845" spans="1:9" ht="14.4">
      <c r="A845" s="10">
        <v>46038</v>
      </c>
      <c r="D845" s="291" t="s">
        <v>1153</v>
      </c>
      <c r="F845" s="39">
        <v>58328</v>
      </c>
      <c r="G845" s="39">
        <f t="shared" si="13"/>
        <v>91421.825371863233</v>
      </c>
    </row>
    <row r="846" spans="1:9" ht="14.4">
      <c r="A846" s="10">
        <v>46038</v>
      </c>
      <c r="D846" s="391" t="s">
        <v>16</v>
      </c>
      <c r="F846" s="39">
        <v>2.9</v>
      </c>
      <c r="G846" s="39">
        <f t="shared" si="13"/>
        <v>91418.925371863239</v>
      </c>
      <c r="I846" s="63"/>
    </row>
    <row r="847" spans="1:9" ht="14.4">
      <c r="A847" s="10">
        <v>46038</v>
      </c>
      <c r="D847" s="8" t="s">
        <v>590</v>
      </c>
      <c r="F847" s="39">
        <v>35752</v>
      </c>
      <c r="G847" s="39">
        <f t="shared" si="13"/>
        <v>55666.925371863239</v>
      </c>
    </row>
    <row r="848" spans="1:9" ht="14.4">
      <c r="A848" s="10">
        <v>46038</v>
      </c>
      <c r="D848" s="8" t="s">
        <v>1155</v>
      </c>
      <c r="F848" s="39">
        <v>826</v>
      </c>
      <c r="G848" s="39">
        <f t="shared" si="13"/>
        <v>54840.925371863239</v>
      </c>
    </row>
    <row r="849" spans="1:9" ht="14.4">
      <c r="A849" s="10">
        <v>46041</v>
      </c>
      <c r="D849" s="8" t="s">
        <v>1157</v>
      </c>
      <c r="E849" s="39">
        <v>32840</v>
      </c>
      <c r="F849" s="39"/>
      <c r="G849" s="39">
        <f t="shared" si="13"/>
        <v>87680.925371863239</v>
      </c>
      <c r="H849" s="11" t="s">
        <v>1156</v>
      </c>
    </row>
    <row r="850" spans="1:9" ht="14.4">
      <c r="A850" s="10">
        <v>46041</v>
      </c>
      <c r="D850" s="291" t="s">
        <v>1158</v>
      </c>
      <c r="F850" s="39">
        <v>61684</v>
      </c>
      <c r="G850" s="39">
        <f t="shared" si="13"/>
        <v>25996.925371863239</v>
      </c>
    </row>
    <row r="851" spans="1:9" ht="14.4">
      <c r="A851" s="10">
        <v>46041</v>
      </c>
      <c r="D851" s="391" t="s">
        <v>16</v>
      </c>
      <c r="F851" s="39">
        <v>3.05</v>
      </c>
      <c r="G851" s="39">
        <f t="shared" si="13"/>
        <v>25993.87537186324</v>
      </c>
      <c r="I851" s="63"/>
    </row>
    <row r="852" spans="1:9" ht="14.4">
      <c r="A852" s="10">
        <v>46041</v>
      </c>
      <c r="D852" s="8" t="s">
        <v>1160</v>
      </c>
      <c r="F852" s="39">
        <v>152.81</v>
      </c>
      <c r="G852" s="39">
        <f t="shared" si="13"/>
        <v>25841.065371863238</v>
      </c>
    </row>
    <row r="853" spans="1:9" ht="14.4">
      <c r="A853" s="10">
        <v>46041</v>
      </c>
      <c r="D853" s="8" t="s">
        <v>1161</v>
      </c>
      <c r="F853" s="39">
        <v>128.41999999999999</v>
      </c>
      <c r="G853" s="39">
        <f t="shared" si="13"/>
        <v>25712.64537186324</v>
      </c>
    </row>
    <row r="854" spans="1:9" ht="14.4">
      <c r="A854" s="10">
        <v>46042</v>
      </c>
      <c r="D854" s="351" t="s">
        <v>1170</v>
      </c>
      <c r="E854" s="39">
        <v>18319.79</v>
      </c>
      <c r="F854" s="39"/>
      <c r="G854" s="39">
        <f t="shared" si="13"/>
        <v>44032.435371863241</v>
      </c>
    </row>
    <row r="855" spans="1:9" ht="14.4">
      <c r="A855" s="10">
        <v>46042</v>
      </c>
      <c r="D855" s="11" t="s">
        <v>16</v>
      </c>
      <c r="F855" s="39">
        <v>0.9</v>
      </c>
      <c r="G855" s="39">
        <f t="shared" si="13"/>
        <v>44031.53537186324</v>
      </c>
    </row>
    <row r="856" spans="1:9" ht="14.4">
      <c r="A856" s="10">
        <v>46044</v>
      </c>
      <c r="D856" s="291" t="s">
        <v>1177</v>
      </c>
      <c r="F856" s="39">
        <v>5450</v>
      </c>
      <c r="G856" s="39">
        <f t="shared" si="13"/>
        <v>38581.53537186324</v>
      </c>
    </row>
    <row r="857" spans="1:9" ht="14.4">
      <c r="A857" s="10">
        <v>46044</v>
      </c>
      <c r="D857" s="391" t="s">
        <v>868</v>
      </c>
      <c r="F857" s="39">
        <v>4.3</v>
      </c>
      <c r="G857" s="39">
        <f t="shared" si="13"/>
        <v>38577.235371863237</v>
      </c>
    </row>
    <row r="858" spans="1:9" ht="14.4">
      <c r="A858" s="10">
        <v>46044</v>
      </c>
      <c r="D858" s="291" t="s">
        <v>1179</v>
      </c>
      <c r="F858" s="39">
        <v>7160.88</v>
      </c>
      <c r="G858" s="39">
        <f t="shared" si="13"/>
        <v>31416.355371863236</v>
      </c>
    </row>
    <row r="859" spans="1:9" ht="14.4">
      <c r="A859" s="10">
        <v>46044</v>
      </c>
      <c r="D859" s="391" t="s">
        <v>16</v>
      </c>
      <c r="F859" s="39">
        <v>0.35</v>
      </c>
      <c r="G859" s="39">
        <f t="shared" si="13"/>
        <v>31416.005371863237</v>
      </c>
      <c r="I859" s="63"/>
    </row>
    <row r="860" spans="1:9" ht="14.4">
      <c r="A860" s="10">
        <v>45680</v>
      </c>
      <c r="D860" s="291" t="s">
        <v>1185</v>
      </c>
      <c r="F860" s="39">
        <v>10829.51</v>
      </c>
      <c r="G860" s="39">
        <f t="shared" si="13"/>
        <v>20586.495371863239</v>
      </c>
    </row>
    <row r="861" spans="1:9" ht="14.4">
      <c r="A861" s="10">
        <v>45680</v>
      </c>
      <c r="D861" s="391" t="s">
        <v>868</v>
      </c>
      <c r="F861" s="39">
        <v>1</v>
      </c>
      <c r="G861" s="39">
        <f t="shared" si="13"/>
        <v>20585.495371863239</v>
      </c>
    </row>
    <row r="862" spans="1:9" ht="14.4">
      <c r="A862" s="10">
        <v>45680</v>
      </c>
      <c r="D862" s="391" t="s">
        <v>16</v>
      </c>
      <c r="F862" s="39">
        <v>0.5</v>
      </c>
      <c r="G862" s="39">
        <f t="shared" si="13"/>
        <v>20584.995371863239</v>
      </c>
    </row>
    <row r="863" spans="1:9" ht="14.4">
      <c r="A863" s="10">
        <v>46048</v>
      </c>
      <c r="D863" s="8" t="s">
        <v>1188</v>
      </c>
      <c r="F863" s="39">
        <v>131.57</v>
      </c>
      <c r="G863" s="39">
        <f t="shared" si="13"/>
        <v>20453.425371863239</v>
      </c>
    </row>
    <row r="864" spans="1:9" ht="14.4">
      <c r="A864" s="10">
        <v>46050</v>
      </c>
      <c r="D864" s="11" t="s">
        <v>1196</v>
      </c>
      <c r="E864" s="39">
        <v>32720</v>
      </c>
      <c r="G864" s="39">
        <f t="shared" si="13"/>
        <v>53173.425371863239</v>
      </c>
    </row>
    <row r="865" spans="1:9" ht="14.4">
      <c r="A865" s="10">
        <v>46050</v>
      </c>
      <c r="D865" s="11" t="s">
        <v>1196</v>
      </c>
      <c r="E865" s="39">
        <v>32720</v>
      </c>
      <c r="G865" s="39">
        <f t="shared" si="13"/>
        <v>85893.425371863239</v>
      </c>
    </row>
    <row r="866" spans="1:9" ht="14.4">
      <c r="A866" s="10">
        <v>46050</v>
      </c>
      <c r="D866" s="11" t="s">
        <v>1196</v>
      </c>
      <c r="E866" s="39">
        <v>32720</v>
      </c>
      <c r="G866" s="39">
        <f t="shared" si="13"/>
        <v>118613.42537186324</v>
      </c>
    </row>
    <row r="867" spans="1:9" ht="14.4">
      <c r="A867" s="10">
        <v>46050</v>
      </c>
      <c r="D867" s="11" t="s">
        <v>1196</v>
      </c>
      <c r="E867" s="39">
        <f>32720/2</f>
        <v>16360</v>
      </c>
      <c r="G867" s="39">
        <f t="shared" si="13"/>
        <v>134973.42537186324</v>
      </c>
    </row>
    <row r="868" spans="1:9" ht="14.4">
      <c r="A868" s="10">
        <v>46050</v>
      </c>
      <c r="D868" s="391" t="s">
        <v>1199</v>
      </c>
      <c r="E868" s="39">
        <v>327200</v>
      </c>
      <c r="G868" s="39">
        <f t="shared" si="13"/>
        <v>462173.42537186324</v>
      </c>
    </row>
    <row r="869" spans="1:9" ht="14.4">
      <c r="A869" s="10">
        <v>46050</v>
      </c>
      <c r="D869" s="11" t="s">
        <v>1200</v>
      </c>
      <c r="F869" s="39">
        <v>69615.86</v>
      </c>
      <c r="G869" s="39">
        <f t="shared" si="13"/>
        <v>392557.56537186325</v>
      </c>
    </row>
    <row r="870" spans="1:9" ht="14.4">
      <c r="A870" s="10">
        <v>46050</v>
      </c>
      <c r="D870" s="11" t="s">
        <v>1201</v>
      </c>
      <c r="F870" s="39">
        <v>11</v>
      </c>
      <c r="G870" s="39">
        <f t="shared" si="13"/>
        <v>392546.56537186325</v>
      </c>
    </row>
    <row r="871" spans="1:9" ht="14.4">
      <c r="A871" s="10">
        <v>46050</v>
      </c>
      <c r="D871" s="391" t="s">
        <v>1202</v>
      </c>
      <c r="F871" s="39">
        <v>162338.4</v>
      </c>
      <c r="G871" s="39">
        <f t="shared" si="13"/>
        <v>230208.16537186326</v>
      </c>
    </row>
    <row r="872" spans="1:9" ht="14.4">
      <c r="A872" s="10">
        <v>46050</v>
      </c>
      <c r="D872" s="391" t="s">
        <v>1205</v>
      </c>
      <c r="F872" s="39">
        <v>6</v>
      </c>
      <c r="G872" s="39">
        <f t="shared" si="13"/>
        <v>230202.16537186326</v>
      </c>
    </row>
    <row r="873" spans="1:9" ht="14.4">
      <c r="A873" s="10">
        <v>46050</v>
      </c>
      <c r="D873" s="391" t="s">
        <v>16</v>
      </c>
      <c r="F873" s="39">
        <v>3.4500000000000011</v>
      </c>
      <c r="G873" s="39">
        <f t="shared" ref="G873:G936" si="14">G872+E873-F873</f>
        <v>230198.71537186325</v>
      </c>
    </row>
    <row r="874" spans="1:9" ht="14.4">
      <c r="A874" s="10">
        <v>46051</v>
      </c>
      <c r="D874" s="291" t="s">
        <v>1204</v>
      </c>
      <c r="F874" s="39">
        <f>'FLUJO CAJA ENERO 2026'!$D$106</f>
        <v>3493.93</v>
      </c>
      <c r="G874" s="39">
        <f t="shared" si="14"/>
        <v>226704.78537186325</v>
      </c>
    </row>
    <row r="875" spans="1:9" ht="14.4">
      <c r="A875" s="10">
        <v>46051</v>
      </c>
      <c r="D875" s="391" t="s">
        <v>16</v>
      </c>
      <c r="F875" s="39">
        <v>8.25</v>
      </c>
      <c r="G875" s="39">
        <f t="shared" si="14"/>
        <v>226696.53537186325</v>
      </c>
    </row>
    <row r="876" spans="1:9" ht="14.4">
      <c r="A876" s="10">
        <v>46051</v>
      </c>
      <c r="D876" s="291" t="s">
        <v>1208</v>
      </c>
      <c r="F876" s="39">
        <v>265.51</v>
      </c>
      <c r="G876" s="39">
        <f t="shared" si="14"/>
        <v>226431.02537186324</v>
      </c>
      <c r="I876" s="63"/>
    </row>
    <row r="877" spans="1:9" ht="14.4">
      <c r="A877" s="10">
        <v>46051</v>
      </c>
      <c r="D877" s="391" t="s">
        <v>16</v>
      </c>
      <c r="F877" s="39">
        <v>0.1</v>
      </c>
      <c r="G877" s="39">
        <f t="shared" si="14"/>
        <v>226430.92537186324</v>
      </c>
      <c r="I877" s="63"/>
    </row>
    <row r="878" spans="1:9" ht="14.4">
      <c r="A878" s="10">
        <v>46051</v>
      </c>
      <c r="D878" s="291" t="s">
        <v>1209</v>
      </c>
      <c r="F878" s="39">
        <v>2500</v>
      </c>
      <c r="G878" s="39">
        <f t="shared" si="14"/>
        <v>223930.92537186324</v>
      </c>
    </row>
    <row r="879" spans="1:9" ht="14.4">
      <c r="A879" s="10">
        <v>46051</v>
      </c>
      <c r="D879" s="391" t="s">
        <v>1206</v>
      </c>
      <c r="F879" s="39">
        <v>4.3</v>
      </c>
      <c r="G879" s="39">
        <f t="shared" si="14"/>
        <v>223926.62537186325</v>
      </c>
      <c r="I879" s="63"/>
    </row>
    <row r="880" spans="1:9" ht="14.4">
      <c r="A880" s="10">
        <v>46051</v>
      </c>
      <c r="D880" s="391" t="s">
        <v>16</v>
      </c>
      <c r="F880" s="39">
        <v>0.1</v>
      </c>
      <c r="G880" s="39">
        <f t="shared" si="14"/>
        <v>223926.52537186324</v>
      </c>
      <c r="I880" s="63"/>
    </row>
    <row r="881" spans="1:9" ht="14.4">
      <c r="A881" s="10">
        <v>46051</v>
      </c>
      <c r="D881" s="291" t="s">
        <v>1207</v>
      </c>
      <c r="F881" s="39">
        <v>685</v>
      </c>
      <c r="G881" s="39">
        <f t="shared" si="14"/>
        <v>223241.52537186324</v>
      </c>
    </row>
    <row r="882" spans="1:9" ht="14.4">
      <c r="A882" s="10">
        <v>46051</v>
      </c>
      <c r="D882" s="8" t="s">
        <v>1210</v>
      </c>
      <c r="F882" s="39">
        <v>369.89</v>
      </c>
      <c r="G882" s="39">
        <f t="shared" si="14"/>
        <v>222871.63537186323</v>
      </c>
    </row>
    <row r="883" spans="1:9" ht="14.4">
      <c r="A883" s="10">
        <v>46051</v>
      </c>
      <c r="D883" s="8" t="s">
        <v>1211</v>
      </c>
      <c r="F883" s="39">
        <v>7623.18</v>
      </c>
      <c r="G883" s="39">
        <f t="shared" si="14"/>
        <v>215248.45537186324</v>
      </c>
    </row>
    <row r="884" spans="1:9" ht="14.4">
      <c r="A884" s="10">
        <v>46051</v>
      </c>
      <c r="D884" s="8" t="s">
        <v>868</v>
      </c>
      <c r="F884" s="39">
        <v>41.61</v>
      </c>
      <c r="G884" s="39">
        <f t="shared" si="14"/>
        <v>215206.84537186325</v>
      </c>
    </row>
    <row r="885" spans="1:9" ht="14.4">
      <c r="A885" s="10">
        <v>46051</v>
      </c>
      <c r="D885" s="8" t="s">
        <v>1212</v>
      </c>
      <c r="F885" s="39">
        <v>630.41</v>
      </c>
      <c r="G885" s="39">
        <f t="shared" si="14"/>
        <v>214576.43537186325</v>
      </c>
    </row>
    <row r="886" spans="1:9" ht="14.4">
      <c r="A886" s="10">
        <v>46051</v>
      </c>
      <c r="D886" s="8" t="s">
        <v>868</v>
      </c>
      <c r="F886" s="39">
        <v>10.5</v>
      </c>
      <c r="G886" s="39">
        <f t="shared" si="14"/>
        <v>214565.93537186325</v>
      </c>
    </row>
    <row r="887" spans="1:9" ht="14.4">
      <c r="A887" s="10">
        <v>46051</v>
      </c>
      <c r="D887" s="8" t="s">
        <v>1213</v>
      </c>
      <c r="F887" s="39">
        <f>'FLUJO CAJA ENERO 2026'!$D$43</f>
        <v>345.76</v>
      </c>
      <c r="G887" s="39">
        <f t="shared" si="14"/>
        <v>214220.17537186324</v>
      </c>
    </row>
    <row r="888" spans="1:9" ht="14.4">
      <c r="A888" s="10">
        <v>46051</v>
      </c>
      <c r="D888" s="8" t="s">
        <v>1214</v>
      </c>
      <c r="F888" s="39">
        <f>'FLUJO CAJA ENERO 2026'!$D$44</f>
        <v>356.13</v>
      </c>
      <c r="G888" s="39">
        <f t="shared" si="14"/>
        <v>213864.04537186323</v>
      </c>
    </row>
    <row r="889" spans="1:9" ht="14.4">
      <c r="A889" s="10">
        <v>46051</v>
      </c>
      <c r="D889" s="8" t="s">
        <v>1215</v>
      </c>
      <c r="F889" s="39">
        <f>'FLUJO CAJA ENERO 2026'!$D$45</f>
        <v>90.33</v>
      </c>
      <c r="G889" s="39">
        <f t="shared" si="14"/>
        <v>213773.71537186325</v>
      </c>
    </row>
    <row r="890" spans="1:9" ht="14.4">
      <c r="A890" s="10">
        <v>46051</v>
      </c>
      <c r="D890" s="8" t="s">
        <v>1223</v>
      </c>
      <c r="F890" s="39">
        <f>'FLUJO CAJA ENERO 2026'!D46</f>
        <v>118</v>
      </c>
      <c r="G890" s="39">
        <f t="shared" si="14"/>
        <v>213655.71537186325</v>
      </c>
    </row>
    <row r="891" spans="1:9" ht="14.4">
      <c r="A891" s="10">
        <v>46051</v>
      </c>
      <c r="D891" s="8" t="s">
        <v>1224</v>
      </c>
      <c r="F891" s="39">
        <f>'FLUJO CAJA ENERO 2026'!D47</f>
        <v>270.99</v>
      </c>
      <c r="G891" s="39">
        <f t="shared" si="14"/>
        <v>213384.72537186326</v>
      </c>
      <c r="I891" s="63"/>
    </row>
    <row r="892" spans="1:9" ht="14.4">
      <c r="A892" s="10">
        <v>46051</v>
      </c>
      <c r="D892" s="8" t="s">
        <v>16</v>
      </c>
      <c r="F892" s="39">
        <v>0.35</v>
      </c>
      <c r="G892" s="39">
        <f t="shared" si="14"/>
        <v>213384.37537186325</v>
      </c>
      <c r="I892" s="63"/>
    </row>
    <row r="893" spans="1:9" ht="14.4">
      <c r="A893" s="10">
        <v>46051</v>
      </c>
      <c r="D893" s="291" t="s">
        <v>1231</v>
      </c>
      <c r="F893" s="39">
        <f>'FLUJO CAJA ENERO 2026'!$D$85</f>
        <v>152.26</v>
      </c>
      <c r="G893" s="39">
        <f t="shared" si="14"/>
        <v>213232.11537186324</v>
      </c>
    </row>
    <row r="894" spans="1:9" ht="14.4">
      <c r="A894" s="10">
        <v>46051</v>
      </c>
      <c r="D894" s="291" t="s">
        <v>1230</v>
      </c>
      <c r="F894" s="39">
        <f>'FLUJO CAJA ENERO 2026'!$D$86</f>
        <v>123.9</v>
      </c>
      <c r="G894" s="39">
        <f t="shared" si="14"/>
        <v>213108.21537186325</v>
      </c>
    </row>
    <row r="895" spans="1:9" ht="14.4">
      <c r="A895" s="10">
        <v>46051</v>
      </c>
      <c r="D895" s="291" t="s">
        <v>1229</v>
      </c>
      <c r="F895" s="39">
        <f>'FLUJO CAJA ENERO 2026'!D83</f>
        <v>34.520000000000003</v>
      </c>
      <c r="G895" s="39">
        <f t="shared" si="14"/>
        <v>213073.69537186326</v>
      </c>
    </row>
    <row r="896" spans="1:9" ht="14.4">
      <c r="A896" s="10">
        <v>46051</v>
      </c>
      <c r="D896" s="291" t="s">
        <v>1228</v>
      </c>
      <c r="F896" s="39">
        <f>'FLUJO CAJA ENERO 2026'!D84</f>
        <v>903.09</v>
      </c>
      <c r="G896" s="39">
        <f t="shared" si="14"/>
        <v>212170.60537186326</v>
      </c>
    </row>
    <row r="897" spans="1:9" ht="14.4">
      <c r="A897" s="10">
        <v>46051</v>
      </c>
      <c r="D897" s="291" t="s">
        <v>1227</v>
      </c>
      <c r="F897" s="39">
        <f>'FLUJO CAJA ENERO 2026'!$D$82</f>
        <v>5515.96</v>
      </c>
      <c r="G897" s="39">
        <f t="shared" si="14"/>
        <v>206654.64537186327</v>
      </c>
    </row>
    <row r="898" spans="1:9" ht="14.4">
      <c r="A898" s="10">
        <v>46051</v>
      </c>
      <c r="D898" s="391" t="s">
        <v>16</v>
      </c>
      <c r="F898" s="39">
        <v>0.25</v>
      </c>
      <c r="G898" s="39">
        <f t="shared" si="14"/>
        <v>206654.39537186327</v>
      </c>
      <c r="I898" s="63"/>
    </row>
    <row r="899" spans="1:9" ht="14.4">
      <c r="A899" s="10">
        <v>46052</v>
      </c>
      <c r="D899" s="8" t="s">
        <v>1232</v>
      </c>
      <c r="F899" s="39">
        <f>'FLUJO CAJA ENERO 2026'!D37</f>
        <v>590</v>
      </c>
      <c r="G899" s="39">
        <f t="shared" si="14"/>
        <v>206064.39537186327</v>
      </c>
    </row>
    <row r="900" spans="1:9" ht="14.4">
      <c r="A900" s="10">
        <v>46052</v>
      </c>
      <c r="D900" s="8" t="s">
        <v>1233</v>
      </c>
      <c r="F900" s="39">
        <f>'FLUJO CAJA ENERO 2026'!D38</f>
        <v>590</v>
      </c>
      <c r="G900" s="39">
        <f t="shared" si="14"/>
        <v>205474.39537186327</v>
      </c>
    </row>
    <row r="901" spans="1:9" ht="14.4">
      <c r="A901" s="10">
        <v>46052</v>
      </c>
      <c r="D901" s="8" t="s">
        <v>1234</v>
      </c>
      <c r="F901" s="39">
        <f>'FLUJO CAJA ENERO 2026'!D39</f>
        <v>826</v>
      </c>
      <c r="G901" s="39">
        <f t="shared" si="14"/>
        <v>204648.39537186327</v>
      </c>
    </row>
    <row r="902" spans="1:9" ht="14.4">
      <c r="A902" s="10">
        <v>46052</v>
      </c>
      <c r="D902" s="8" t="s">
        <v>16</v>
      </c>
      <c r="F902" s="39">
        <v>0.1</v>
      </c>
      <c r="G902" s="39">
        <f t="shared" si="14"/>
        <v>204648.29537186326</v>
      </c>
    </row>
    <row r="903" spans="1:9" ht="14.4">
      <c r="A903" s="10">
        <v>46052</v>
      </c>
      <c r="D903" s="291" t="s">
        <v>1235</v>
      </c>
      <c r="F903" s="39">
        <v>15312.39</v>
      </c>
      <c r="G903" s="39">
        <f t="shared" si="14"/>
        <v>189335.90537186328</v>
      </c>
    </row>
    <row r="904" spans="1:9" ht="14.4">
      <c r="A904" s="10">
        <v>46052</v>
      </c>
      <c r="D904" s="391" t="s">
        <v>16</v>
      </c>
      <c r="F904" s="39">
        <v>0.75</v>
      </c>
      <c r="G904" s="39">
        <f t="shared" si="14"/>
        <v>189335.15537186328</v>
      </c>
      <c r="I904" s="63"/>
    </row>
    <row r="905" spans="1:9" ht="14.4">
      <c r="A905" s="10">
        <v>46053</v>
      </c>
      <c r="D905" s="8" t="s">
        <v>10</v>
      </c>
      <c r="F905" s="39">
        <v>5.5</v>
      </c>
      <c r="G905" s="39">
        <f t="shared" si="14"/>
        <v>189329.65537186328</v>
      </c>
    </row>
    <row r="906" spans="1:9" ht="14.4">
      <c r="A906" s="10">
        <v>46053</v>
      </c>
      <c r="D906" s="8" t="s">
        <v>192</v>
      </c>
      <c r="F906" s="39">
        <v>35</v>
      </c>
      <c r="G906" s="39">
        <f t="shared" si="14"/>
        <v>189294.65537186328</v>
      </c>
    </row>
    <row r="907" spans="1:9" s="14" customFormat="1" ht="14.4">
      <c r="A907" s="13">
        <v>46053</v>
      </c>
      <c r="G907" s="40">
        <f t="shared" si="14"/>
        <v>189294.65537186328</v>
      </c>
    </row>
    <row r="908" spans="1:9" ht="14.4">
      <c r="A908" s="10">
        <v>46054</v>
      </c>
      <c r="G908" s="39">
        <f t="shared" si="14"/>
        <v>189294.65537186328</v>
      </c>
    </row>
    <row r="909" spans="1:9" ht="14.4">
      <c r="A909" s="10">
        <v>46058</v>
      </c>
      <c r="D909" s="291" t="s">
        <v>1014</v>
      </c>
      <c r="F909" s="39">
        <v>29564</v>
      </c>
      <c r="G909" s="39">
        <f t="shared" si="14"/>
        <v>159730.65537186328</v>
      </c>
    </row>
    <row r="910" spans="1:9" ht="14.4">
      <c r="A910" s="10">
        <v>46058</v>
      </c>
      <c r="D910" s="391" t="s">
        <v>868</v>
      </c>
      <c r="F910" s="39">
        <v>4.3</v>
      </c>
      <c r="G910" s="39">
        <f t="shared" si="14"/>
        <v>159726.35537186329</v>
      </c>
    </row>
    <row r="911" spans="1:9" ht="14.4">
      <c r="A911" s="10">
        <v>46059</v>
      </c>
      <c r="D911" s="8" t="s">
        <v>825</v>
      </c>
      <c r="F911" s="39">
        <f>'FLUJO CAJA FEBRERO 2026'!$D$33</f>
        <v>4939.6499999999996</v>
      </c>
      <c r="G911" s="39">
        <f t="shared" si="14"/>
        <v>154786.7053718633</v>
      </c>
    </row>
    <row r="912" spans="1:9" ht="14.4">
      <c r="A912" s="10">
        <v>46059</v>
      </c>
      <c r="D912" s="8" t="s">
        <v>827</v>
      </c>
      <c r="F912" s="39">
        <f>'FLUJO CAJA FEBRERO 2026'!$D$34</f>
        <v>3466.29</v>
      </c>
      <c r="G912" s="39">
        <f t="shared" si="14"/>
        <v>151320.41537186329</v>
      </c>
    </row>
    <row r="913" spans="1:9" ht="14.4">
      <c r="A913" s="10">
        <v>46059</v>
      </c>
      <c r="D913" s="8" t="s">
        <v>826</v>
      </c>
      <c r="F913" s="39">
        <f>'FLUJO CAJA FEBRERO 2026'!$D$35</f>
        <v>2975.9800000000005</v>
      </c>
      <c r="G913" s="39">
        <f t="shared" si="14"/>
        <v>148344.43537186328</v>
      </c>
    </row>
    <row r="914" spans="1:9" ht="14.4">
      <c r="A914" s="10">
        <v>46059</v>
      </c>
      <c r="D914" s="11" t="s">
        <v>16</v>
      </c>
      <c r="F914" s="39">
        <v>0.45</v>
      </c>
      <c r="G914" s="39">
        <f t="shared" si="14"/>
        <v>148343.98537186327</v>
      </c>
      <c r="I914" s="63"/>
    </row>
    <row r="915" spans="1:9" ht="14.4">
      <c r="A915" s="10">
        <v>46059</v>
      </c>
      <c r="D915" s="8" t="s">
        <v>1257</v>
      </c>
      <c r="F915" s="39">
        <v>72.510000000000005</v>
      </c>
      <c r="G915" s="39">
        <f t="shared" si="14"/>
        <v>148271.47537186326</v>
      </c>
    </row>
    <row r="916" spans="1:9" ht="14.4">
      <c r="A916" s="10">
        <v>46062</v>
      </c>
      <c r="D916" s="8" t="s">
        <v>1260</v>
      </c>
      <c r="F916" s="39">
        <v>586.20000000000005</v>
      </c>
      <c r="G916" s="39">
        <f t="shared" si="14"/>
        <v>147685.27537186324</v>
      </c>
    </row>
    <row r="917" spans="1:9" ht="14.4">
      <c r="A917" s="10">
        <v>46062</v>
      </c>
      <c r="D917" s="8" t="s">
        <v>1263</v>
      </c>
      <c r="F917" s="39">
        <v>922.29</v>
      </c>
      <c r="G917" s="39">
        <f t="shared" si="14"/>
        <v>146762.98537186324</v>
      </c>
    </row>
    <row r="918" spans="1:9" ht="14.4">
      <c r="A918" s="10">
        <v>46063</v>
      </c>
      <c r="D918" s="291" t="s">
        <v>1264</v>
      </c>
      <c r="F918" s="39">
        <v>7473</v>
      </c>
      <c r="G918" s="39">
        <f t="shared" si="14"/>
        <v>139289.98537186324</v>
      </c>
    </row>
    <row r="919" spans="1:9" ht="14.4">
      <c r="A919" s="10">
        <v>46063</v>
      </c>
      <c r="D919" s="291" t="s">
        <v>1265</v>
      </c>
      <c r="F919" s="39">
        <v>377</v>
      </c>
      <c r="G919" s="39">
        <f t="shared" si="14"/>
        <v>138912.98537186324</v>
      </c>
    </row>
    <row r="920" spans="1:9" ht="14.4">
      <c r="A920" s="10">
        <v>46063</v>
      </c>
      <c r="D920" s="291" t="s">
        <v>16</v>
      </c>
      <c r="F920" s="39">
        <v>0.35</v>
      </c>
      <c r="G920" s="39">
        <f t="shared" si="14"/>
        <v>138912.63537186323</v>
      </c>
      <c r="I920" s="63"/>
    </row>
    <row r="921" spans="1:9" ht="14.4">
      <c r="A921" s="10">
        <v>46069</v>
      </c>
      <c r="D921" s="8" t="s">
        <v>590</v>
      </c>
      <c r="F921" s="39">
        <v>20850</v>
      </c>
      <c r="G921" s="39">
        <f t="shared" si="14"/>
        <v>118062.63537186323</v>
      </c>
    </row>
    <row r="922" spans="1:9" ht="14.4">
      <c r="A922" s="10">
        <v>46069</v>
      </c>
      <c r="D922" s="291" t="s">
        <v>1158</v>
      </c>
      <c r="F922" s="39">
        <v>50942</v>
      </c>
      <c r="G922" s="39">
        <f t="shared" si="14"/>
        <v>67120.635371863231</v>
      </c>
    </row>
    <row r="923" spans="1:9" ht="14.4">
      <c r="A923" s="10">
        <v>46069</v>
      </c>
      <c r="D923" s="391" t="s">
        <v>16</v>
      </c>
      <c r="F923" s="39">
        <v>2.5</v>
      </c>
      <c r="G923" s="39">
        <f t="shared" si="14"/>
        <v>67118.135371863231</v>
      </c>
      <c r="I923" s="63"/>
    </row>
    <row r="924" spans="1:9" ht="14.4">
      <c r="A924" s="10">
        <v>46069</v>
      </c>
      <c r="D924" s="8" t="s">
        <v>66</v>
      </c>
      <c r="F924" s="39">
        <v>10</v>
      </c>
      <c r="G924" s="39">
        <f t="shared" si="14"/>
        <v>67108.135371863231</v>
      </c>
    </row>
    <row r="925" spans="1:9" ht="14.4">
      <c r="A925" s="10">
        <v>46069</v>
      </c>
      <c r="D925" s="8" t="s">
        <v>1241</v>
      </c>
      <c r="F925" s="39">
        <f>'FLUJO CAJA FEBRERO 2026'!$D$38</f>
        <v>115</v>
      </c>
      <c r="G925" s="39">
        <f t="shared" si="14"/>
        <v>66993.135371863231</v>
      </c>
    </row>
    <row r="926" spans="1:9" ht="14.4">
      <c r="A926" s="10">
        <v>46070</v>
      </c>
      <c r="D926" s="291" t="s">
        <v>1276</v>
      </c>
      <c r="F926" s="39">
        <v>60612</v>
      </c>
      <c r="G926" s="39">
        <f t="shared" si="14"/>
        <v>6381.1353718632308</v>
      </c>
    </row>
    <row r="927" spans="1:9" ht="14.4">
      <c r="A927" s="10">
        <v>46070</v>
      </c>
      <c r="D927" s="291" t="s">
        <v>16</v>
      </c>
      <c r="F927" s="39">
        <v>3</v>
      </c>
      <c r="G927" s="39">
        <f t="shared" si="14"/>
        <v>6378.1353718632308</v>
      </c>
      <c r="I927" s="63"/>
    </row>
    <row r="928" spans="1:9" ht="14.4">
      <c r="A928" s="10">
        <v>46070</v>
      </c>
      <c r="D928" s="11" t="s">
        <v>1278</v>
      </c>
      <c r="F928" s="39">
        <v>345.76</v>
      </c>
      <c r="G928" s="39">
        <f t="shared" si="14"/>
        <v>6032.3753718632306</v>
      </c>
    </row>
    <row r="929" spans="1:9" ht="14.4">
      <c r="A929" s="10">
        <v>46070</v>
      </c>
      <c r="D929" s="11" t="s">
        <v>1277</v>
      </c>
      <c r="F929" s="39">
        <v>356.13</v>
      </c>
      <c r="G929" s="39">
        <f t="shared" si="14"/>
        <v>5676.2453718632305</v>
      </c>
    </row>
    <row r="930" spans="1:9" ht="14.4">
      <c r="A930" s="10">
        <v>46073</v>
      </c>
      <c r="D930" s="351" t="s">
        <v>1286</v>
      </c>
      <c r="E930" s="39">
        <v>30743.59</v>
      </c>
      <c r="G930" s="39">
        <f t="shared" si="14"/>
        <v>36419.835371863228</v>
      </c>
    </row>
    <row r="931" spans="1:9" ht="14.4">
      <c r="A931" s="10">
        <v>46073</v>
      </c>
      <c r="D931" s="11" t="s">
        <v>16</v>
      </c>
      <c r="F931" s="39">
        <v>1.5</v>
      </c>
      <c r="G931" s="39">
        <f t="shared" si="14"/>
        <v>36418.335371863228</v>
      </c>
    </row>
    <row r="932" spans="1:9" ht="14.4">
      <c r="A932" s="10">
        <v>46076</v>
      </c>
      <c r="D932" s="8" t="s">
        <v>1289</v>
      </c>
      <c r="F932" s="39">
        <v>131.57</v>
      </c>
      <c r="G932" s="39">
        <f t="shared" si="14"/>
        <v>36286.765371863228</v>
      </c>
    </row>
    <row r="933" spans="1:9" ht="14.4">
      <c r="A933" s="10">
        <v>46079</v>
      </c>
      <c r="D933" s="391" t="s">
        <v>1305</v>
      </c>
      <c r="E933" s="39">
        <v>328300</v>
      </c>
      <c r="F933" s="39"/>
      <c r="G933" s="39">
        <f t="shared" si="14"/>
        <v>364586.76537186321</v>
      </c>
    </row>
    <row r="934" spans="1:9" ht="14.4">
      <c r="A934" s="10">
        <v>46079</v>
      </c>
      <c r="D934" s="11" t="s">
        <v>1306</v>
      </c>
      <c r="E934" s="39">
        <v>113920.09999999999</v>
      </c>
      <c r="F934" s="39"/>
      <c r="G934" s="39">
        <f t="shared" si="14"/>
        <v>478506.86537186318</v>
      </c>
    </row>
    <row r="935" spans="1:9" ht="14.4">
      <c r="A935" s="10">
        <v>46079</v>
      </c>
      <c r="D935" s="351" t="s">
        <v>1271</v>
      </c>
      <c r="E935" s="39">
        <v>42553.08</v>
      </c>
      <c r="F935" s="39"/>
      <c r="G935" s="39">
        <f t="shared" si="14"/>
        <v>521059.9453718632</v>
      </c>
      <c r="I935" s="63"/>
    </row>
    <row r="936" spans="1:9" ht="14.4">
      <c r="A936" s="10">
        <v>46079</v>
      </c>
      <c r="D936" s="11" t="s">
        <v>16</v>
      </c>
      <c r="F936" s="39">
        <v>2.1</v>
      </c>
      <c r="G936" s="39">
        <f t="shared" si="14"/>
        <v>521057.84537186322</v>
      </c>
      <c r="I936" s="63"/>
    </row>
    <row r="937" spans="1:9" ht="14.4">
      <c r="A937" s="10">
        <v>46079</v>
      </c>
      <c r="D937" s="391" t="s">
        <v>1307</v>
      </c>
      <c r="F937" s="39">
        <v>194514.23</v>
      </c>
      <c r="G937" s="39">
        <f t="shared" ref="G937:G1000" si="15">G936+E937-F937</f>
        <v>326543.61537186324</v>
      </c>
    </row>
    <row r="938" spans="1:9" ht="14.4">
      <c r="A938" s="10">
        <v>46079</v>
      </c>
      <c r="D938" s="391" t="s">
        <v>1308</v>
      </c>
      <c r="F938" s="39">
        <v>6</v>
      </c>
      <c r="G938" s="39">
        <f t="shared" si="15"/>
        <v>326537.61537186324</v>
      </c>
    </row>
    <row r="939" spans="1:9" ht="14.4">
      <c r="A939" s="10">
        <v>46079</v>
      </c>
      <c r="D939" s="391" t="s">
        <v>16</v>
      </c>
      <c r="F939" s="39">
        <v>9.6999999999999993</v>
      </c>
      <c r="G939" s="39">
        <f t="shared" si="15"/>
        <v>326527.91537186323</v>
      </c>
      <c r="I939" s="63"/>
    </row>
    <row r="940" spans="1:9" ht="14.4">
      <c r="A940" s="10">
        <v>46079</v>
      </c>
      <c r="D940" s="11" t="s">
        <v>1391</v>
      </c>
      <c r="F940" s="39">
        <v>92287.784100000004</v>
      </c>
      <c r="G940" s="39">
        <f t="shared" si="15"/>
        <v>234240.13127186324</v>
      </c>
    </row>
    <row r="941" spans="1:9" ht="14.4">
      <c r="A941" s="10">
        <v>46079</v>
      </c>
      <c r="D941" s="11" t="s">
        <v>1392</v>
      </c>
      <c r="F941" s="39">
        <v>13</v>
      </c>
      <c r="G941" s="39">
        <f t="shared" si="15"/>
        <v>234227.13127186324</v>
      </c>
      <c r="I941" s="63"/>
    </row>
    <row r="942" spans="1:9" ht="14.4">
      <c r="A942" s="10">
        <v>46079</v>
      </c>
      <c r="D942" s="11" t="s">
        <v>16</v>
      </c>
      <c r="F942" s="39">
        <v>4.59</v>
      </c>
      <c r="G942" s="39">
        <f t="shared" si="15"/>
        <v>234222.54127186324</v>
      </c>
      <c r="I942" s="63"/>
    </row>
    <row r="943" spans="1:9" ht="14.4">
      <c r="A943" s="10">
        <v>46079</v>
      </c>
      <c r="D943" s="8" t="s">
        <v>1210</v>
      </c>
      <c r="F943" s="39">
        <f>'FLUJO CAJA FEBRERO 2026'!$D$67</f>
        <v>4606.82</v>
      </c>
      <c r="G943" s="39">
        <f t="shared" si="15"/>
        <v>229615.72127186324</v>
      </c>
    </row>
    <row r="944" spans="1:9" ht="14.4">
      <c r="A944" s="10">
        <v>46079</v>
      </c>
      <c r="D944" s="8" t="s">
        <v>1211</v>
      </c>
      <c r="F944" s="39">
        <f>'FLUJO CAJA FEBRERO 2026'!$D$68</f>
        <v>7872.52</v>
      </c>
      <c r="G944" s="39">
        <f t="shared" si="15"/>
        <v>221743.20127186325</v>
      </c>
    </row>
    <row r="945" spans="1:9" ht="14.4">
      <c r="A945" s="10">
        <v>46079</v>
      </c>
      <c r="D945" s="8" t="s">
        <v>868</v>
      </c>
      <c r="F945" s="39">
        <v>42.86</v>
      </c>
      <c r="G945" s="39">
        <f t="shared" si="15"/>
        <v>221700.34127186326</v>
      </c>
    </row>
    <row r="946" spans="1:9" ht="14.4">
      <c r="A946" s="10">
        <v>46079</v>
      </c>
      <c r="D946" s="8" t="s">
        <v>1212</v>
      </c>
      <c r="F946" s="39">
        <f>'FLUJO CAJA FEBRERO 2026'!$D$69</f>
        <v>664.79</v>
      </c>
      <c r="G946" s="39">
        <f t="shared" si="15"/>
        <v>221035.55127186325</v>
      </c>
    </row>
    <row r="947" spans="1:9" ht="14.4">
      <c r="A947" s="10">
        <v>46079</v>
      </c>
      <c r="D947" s="8" t="s">
        <v>868</v>
      </c>
      <c r="F947" s="39">
        <v>10.14</v>
      </c>
      <c r="G947" s="39">
        <f t="shared" si="15"/>
        <v>221025.41127186324</v>
      </c>
    </row>
    <row r="948" spans="1:9" ht="14.4">
      <c r="A948" s="10">
        <v>46079</v>
      </c>
      <c r="D948" s="291" t="s">
        <v>1311</v>
      </c>
      <c r="F948" s="39">
        <f>'FLUJO CAJA FEBRERO 2026'!D115</f>
        <v>622.70000000000005</v>
      </c>
      <c r="G948" s="39">
        <f t="shared" si="15"/>
        <v>220402.71127186323</v>
      </c>
    </row>
    <row r="949" spans="1:9" ht="14.4">
      <c r="A949" s="10">
        <v>46079</v>
      </c>
      <c r="D949" s="291" t="s">
        <v>1312</v>
      </c>
      <c r="F949" s="39">
        <f>'FLUJO CAJA FEBRERO 2026'!D116</f>
        <v>2000</v>
      </c>
      <c r="G949" s="39">
        <f t="shared" si="15"/>
        <v>218402.71127186323</v>
      </c>
    </row>
    <row r="950" spans="1:9" ht="14.4">
      <c r="A950" s="10">
        <v>46079</v>
      </c>
      <c r="D950" s="391" t="s">
        <v>868</v>
      </c>
      <c r="F950" s="39">
        <v>4.3</v>
      </c>
      <c r="G950" s="39">
        <f t="shared" si="15"/>
        <v>218398.41127186324</v>
      </c>
    </row>
    <row r="951" spans="1:9" ht="14.4">
      <c r="A951" s="10">
        <v>46079</v>
      </c>
      <c r="D951" s="291" t="s">
        <v>1309</v>
      </c>
      <c r="F951" s="39">
        <f>'FLUJO CAJA FEBRERO 2026'!D117</f>
        <v>804.98</v>
      </c>
      <c r="G951" s="39">
        <f t="shared" si="15"/>
        <v>217593.43127186323</v>
      </c>
    </row>
    <row r="952" spans="1:9" ht="14.4">
      <c r="A952" s="10">
        <v>46079</v>
      </c>
      <c r="D952" s="391" t="s">
        <v>868</v>
      </c>
      <c r="F952" s="39">
        <v>4.3</v>
      </c>
      <c r="G952" s="39">
        <f t="shared" si="15"/>
        <v>217589.13127186324</v>
      </c>
    </row>
    <row r="953" spans="1:9" ht="14.4">
      <c r="A953" s="10">
        <v>46079</v>
      </c>
      <c r="D953" s="391" t="s">
        <v>16</v>
      </c>
      <c r="F953" s="39">
        <v>0.65</v>
      </c>
      <c r="G953" s="39">
        <f t="shared" si="15"/>
        <v>217588.48127186325</v>
      </c>
      <c r="I953" s="63"/>
    </row>
    <row r="954" spans="1:9" ht="14.4">
      <c r="A954" s="10">
        <v>46079</v>
      </c>
      <c r="D954" s="8" t="s">
        <v>1314</v>
      </c>
      <c r="F954" s="39">
        <f>'FLUJO CAJA FEBRERO 2026'!$D$51</f>
        <v>118</v>
      </c>
      <c r="G954" s="39">
        <f t="shared" si="15"/>
        <v>217470.48127186325</v>
      </c>
    </row>
    <row r="955" spans="1:9" ht="14.4">
      <c r="A955" s="10">
        <v>46079</v>
      </c>
      <c r="D955" s="8" t="s">
        <v>1315</v>
      </c>
      <c r="F955" s="39">
        <f>'FLUJO CAJA FEBRERO 2026'!$D$52</f>
        <v>343.5</v>
      </c>
      <c r="G955" s="39">
        <f t="shared" si="15"/>
        <v>217126.98127186325</v>
      </c>
      <c r="I955" s="63"/>
    </row>
    <row r="956" spans="1:9" ht="14.4">
      <c r="A956" s="10">
        <v>46079</v>
      </c>
      <c r="D956" s="391" t="s">
        <v>1316</v>
      </c>
      <c r="F956" s="39">
        <f>'FLUJO CAJA FEBRERO 2026'!$D$91</f>
        <v>316.32</v>
      </c>
      <c r="G956" s="39">
        <f t="shared" si="15"/>
        <v>216810.66127186324</v>
      </c>
    </row>
    <row r="957" spans="1:9" ht="14.4">
      <c r="A957" s="10">
        <v>46079</v>
      </c>
      <c r="D957" s="391" t="s">
        <v>1318</v>
      </c>
      <c r="F957" s="39">
        <f>'FLUJO CAJA FEBRERO 2026'!$D$88</f>
        <v>5515.96</v>
      </c>
      <c r="G957" s="39">
        <f t="shared" si="15"/>
        <v>211294.70127186325</v>
      </c>
    </row>
    <row r="958" spans="1:9" ht="14.4">
      <c r="A958" s="10">
        <v>46079</v>
      </c>
      <c r="D958" s="391" t="s">
        <v>16</v>
      </c>
      <c r="F958" s="39">
        <v>0.25</v>
      </c>
      <c r="G958" s="39">
        <f t="shared" si="15"/>
        <v>211294.45127186325</v>
      </c>
      <c r="I958" s="63"/>
    </row>
    <row r="959" spans="1:9" ht="14.4">
      <c r="A959" s="10">
        <v>46079</v>
      </c>
      <c r="D959" s="391" t="s">
        <v>1319</v>
      </c>
      <c r="F959" s="39">
        <f>'FLUJO CAJA FEBRERO 2026'!$D$89</f>
        <v>937.62</v>
      </c>
      <c r="G959" s="39">
        <f t="shared" si="15"/>
        <v>210356.83127186325</v>
      </c>
    </row>
    <row r="960" spans="1:9" ht="14.4">
      <c r="A960" s="10">
        <v>46079</v>
      </c>
      <c r="D960" s="8" t="s">
        <v>1329</v>
      </c>
      <c r="F960" s="39">
        <f>'FLUJO CAJA FEBRERO 2026'!D40</f>
        <v>590</v>
      </c>
      <c r="G960" s="39">
        <f t="shared" si="15"/>
        <v>209766.83127186325</v>
      </c>
      <c r="I960" s="63"/>
    </row>
    <row r="961" spans="1:11" ht="14.4">
      <c r="A961" s="10">
        <v>46079</v>
      </c>
      <c r="D961" s="8" t="s">
        <v>1330</v>
      </c>
      <c r="F961" s="39">
        <f>'FLUJO CAJA FEBRERO 2026'!D41</f>
        <v>590</v>
      </c>
      <c r="G961" s="39">
        <f t="shared" si="15"/>
        <v>209176.83127186325</v>
      </c>
    </row>
    <row r="962" spans="1:11" ht="14.4">
      <c r="A962" s="10">
        <v>46079</v>
      </c>
      <c r="D962" s="8" t="s">
        <v>1331</v>
      </c>
      <c r="F962" s="39">
        <f>'FLUJO CAJA FEBRERO 2026'!D42</f>
        <v>826</v>
      </c>
      <c r="G962" s="39">
        <f t="shared" si="15"/>
        <v>208350.83127186325</v>
      </c>
    </row>
    <row r="963" spans="1:11" ht="14.4">
      <c r="A963" s="10">
        <v>46079</v>
      </c>
      <c r="D963" s="8" t="s">
        <v>16</v>
      </c>
      <c r="F963" s="39">
        <v>0.1</v>
      </c>
      <c r="G963" s="39">
        <f t="shared" si="15"/>
        <v>208350.73127186325</v>
      </c>
      <c r="H963" s="63"/>
      <c r="I963" s="63"/>
    </row>
    <row r="964" spans="1:11" ht="14.4">
      <c r="A964" s="10">
        <v>46080</v>
      </c>
      <c r="D964" s="391" t="s">
        <v>1335</v>
      </c>
      <c r="F964" s="39">
        <f>'FLUJO CAJA FEBRERO 2026'!$D$91</f>
        <v>316.32</v>
      </c>
      <c r="G964" s="39">
        <f t="shared" si="15"/>
        <v>208034.41127186324</v>
      </c>
    </row>
    <row r="965" spans="1:11" ht="14.4">
      <c r="A965" s="10">
        <v>46080</v>
      </c>
      <c r="D965" s="391" t="s">
        <v>1337</v>
      </c>
      <c r="F965" s="39">
        <v>37724.39</v>
      </c>
      <c r="G965" s="39">
        <f t="shared" si="15"/>
        <v>170310.02127186325</v>
      </c>
      <c r="H965" s="63">
        <f>G965/3.63</f>
        <v>46917.36123191825</v>
      </c>
    </row>
    <row r="966" spans="1:11" ht="14.4">
      <c r="A966" s="10">
        <v>46080</v>
      </c>
      <c r="D966" s="391" t="s">
        <v>16</v>
      </c>
      <c r="F966" s="39">
        <v>2.2000000000000002</v>
      </c>
      <c r="G966" s="39">
        <f t="shared" si="15"/>
        <v>170307.82127186324</v>
      </c>
    </row>
    <row r="967" spans="1:11" ht="14.4">
      <c r="A967" s="10">
        <v>46081</v>
      </c>
      <c r="D967" s="8" t="s">
        <v>10</v>
      </c>
      <c r="F967" s="39">
        <v>5.5</v>
      </c>
      <c r="G967" s="39">
        <f t="shared" si="15"/>
        <v>170302.32127186324</v>
      </c>
    </row>
    <row r="968" spans="1:11" ht="14.4">
      <c r="A968" s="10">
        <v>46081</v>
      </c>
      <c r="D968" s="8" t="s">
        <v>192</v>
      </c>
      <c r="F968" s="39">
        <v>35</v>
      </c>
      <c r="G968" s="39">
        <f t="shared" si="15"/>
        <v>170267.32127186324</v>
      </c>
    </row>
    <row r="969" spans="1:11" s="14" customFormat="1" ht="14.4">
      <c r="A969" s="13">
        <v>46081</v>
      </c>
      <c r="G969" s="40">
        <f t="shared" si="15"/>
        <v>170267.32127186324</v>
      </c>
    </row>
    <row r="970" spans="1:11" ht="14.4">
      <c r="A970" s="10">
        <v>46082</v>
      </c>
      <c r="G970" s="39">
        <f t="shared" si="15"/>
        <v>170267.32127186324</v>
      </c>
      <c r="J970" s="11">
        <v>170267.32</v>
      </c>
      <c r="K970" s="63">
        <f>+J970-G969</f>
        <v>-1.2718632351607084E-3</v>
      </c>
    </row>
    <row r="971" spans="1:11" ht="14.4">
      <c r="A971" s="10">
        <v>46083</v>
      </c>
      <c r="D971" s="391" t="s">
        <v>1342</v>
      </c>
      <c r="E971" s="39">
        <v>15000</v>
      </c>
      <c r="G971" s="39">
        <f t="shared" si="15"/>
        <v>185267.32127186324</v>
      </c>
      <c r="I971" s="63">
        <f>E971+E973</f>
        <v>23344.47</v>
      </c>
    </row>
    <row r="972" spans="1:11" ht="14.4">
      <c r="A972" s="10">
        <v>46083</v>
      </c>
      <c r="D972" s="8" t="s">
        <v>1338</v>
      </c>
      <c r="E972" s="39"/>
      <c r="F972" s="39">
        <v>0.75</v>
      </c>
      <c r="G972" s="39">
        <f t="shared" si="15"/>
        <v>185266.57127186324</v>
      </c>
    </row>
    <row r="973" spans="1:11" ht="14.4">
      <c r="A973" s="10">
        <v>46083</v>
      </c>
      <c r="D973" s="391" t="s">
        <v>1342</v>
      </c>
      <c r="E973" s="39">
        <v>8344.4699999999993</v>
      </c>
      <c r="F973" s="39"/>
      <c r="G973" s="39">
        <f t="shared" si="15"/>
        <v>193611.04127186324</v>
      </c>
    </row>
    <row r="974" spans="1:11" ht="14.4">
      <c r="A974" s="10">
        <v>46083</v>
      </c>
      <c r="D974" s="8" t="s">
        <v>1338</v>
      </c>
      <c r="F974" s="39">
        <v>0.05</v>
      </c>
      <c r="G974" s="39">
        <f t="shared" si="15"/>
        <v>193610.99127186325</v>
      </c>
      <c r="I974" s="63"/>
    </row>
    <row r="975" spans="1:11" ht="14.4">
      <c r="A975" s="10">
        <v>46084</v>
      </c>
      <c r="D975" s="8" t="s">
        <v>1339</v>
      </c>
      <c r="F975" s="39">
        <v>9000</v>
      </c>
      <c r="G975" s="39">
        <f t="shared" si="15"/>
        <v>184610.99127186325</v>
      </c>
    </row>
    <row r="976" spans="1:11" ht="14.4">
      <c r="A976" s="10">
        <v>46084</v>
      </c>
      <c r="D976" s="8" t="s">
        <v>868</v>
      </c>
      <c r="F976" s="39">
        <v>4.3</v>
      </c>
      <c r="G976" s="39">
        <f t="shared" si="15"/>
        <v>184606.69127186327</v>
      </c>
    </row>
    <row r="977" spans="1:9" ht="14.4">
      <c r="A977" s="10">
        <v>46084</v>
      </c>
      <c r="D977" s="8" t="s">
        <v>1340</v>
      </c>
      <c r="F977" s="39">
        <v>320.22000000000003</v>
      </c>
      <c r="G977" s="39">
        <f t="shared" si="15"/>
        <v>184286.47127186327</v>
      </c>
    </row>
    <row r="978" spans="1:9" ht="14.4">
      <c r="A978" s="10">
        <v>46084</v>
      </c>
      <c r="D978" s="8" t="s">
        <v>1338</v>
      </c>
      <c r="F978" s="39">
        <v>0.36</v>
      </c>
      <c r="G978" s="39">
        <f t="shared" si="15"/>
        <v>184286.11127186328</v>
      </c>
      <c r="I978" s="63"/>
    </row>
    <row r="979" spans="1:9" ht="14.4">
      <c r="A979" s="10">
        <v>46086</v>
      </c>
      <c r="D979" s="291" t="s">
        <v>1014</v>
      </c>
      <c r="F979" s="39">
        <v>38600</v>
      </c>
      <c r="G979" s="39">
        <f t="shared" si="15"/>
        <v>145686.11127186328</v>
      </c>
    </row>
    <row r="980" spans="1:9" ht="14.4">
      <c r="A980" s="10">
        <v>46086</v>
      </c>
      <c r="D980" s="391" t="s">
        <v>868</v>
      </c>
      <c r="F980" s="39">
        <v>4.3</v>
      </c>
      <c r="G980" s="39">
        <f t="shared" si="15"/>
        <v>145681.81127186329</v>
      </c>
    </row>
    <row r="981" spans="1:9" ht="14.4">
      <c r="A981" s="10">
        <v>46087</v>
      </c>
      <c r="D981" s="8" t="s">
        <v>825</v>
      </c>
      <c r="F981" s="39">
        <v>3401.25</v>
      </c>
      <c r="G981" s="39">
        <f t="shared" si="15"/>
        <v>142280.56127186329</v>
      </c>
    </row>
    <row r="982" spans="1:9" ht="14.4">
      <c r="A982" s="10">
        <v>46087</v>
      </c>
      <c r="D982" s="8" t="s">
        <v>827</v>
      </c>
      <c r="F982" s="39">
        <v>8286.8799999999992</v>
      </c>
      <c r="G982" s="39">
        <f t="shared" si="15"/>
        <v>133993.68127186329</v>
      </c>
    </row>
    <row r="983" spans="1:9" ht="14.4">
      <c r="A983" s="10">
        <v>46087</v>
      </c>
      <c r="D983" s="8" t="s">
        <v>826</v>
      </c>
      <c r="F983" s="39">
        <v>3498.77</v>
      </c>
      <c r="G983" s="39">
        <f t="shared" si="15"/>
        <v>130494.91127186328</v>
      </c>
    </row>
    <row r="984" spans="1:9" ht="14.4">
      <c r="A984" s="10">
        <v>46087</v>
      </c>
      <c r="D984" s="8" t="s">
        <v>1338</v>
      </c>
      <c r="F984" s="39">
        <v>0.75</v>
      </c>
      <c r="G984" s="39">
        <f t="shared" si="15"/>
        <v>130494.16127186328</v>
      </c>
    </row>
    <row r="985" spans="1:9" ht="14.4">
      <c r="A985" s="10">
        <v>46087</v>
      </c>
      <c r="D985" s="291" t="s">
        <v>1353</v>
      </c>
      <c r="F985" s="39">
        <v>1327.5</v>
      </c>
      <c r="G985" s="39">
        <f t="shared" si="15"/>
        <v>129166.66127186328</v>
      </c>
      <c r="I985" s="63"/>
    </row>
    <row r="986" spans="1:9" ht="14.4">
      <c r="A986" s="10">
        <v>46087</v>
      </c>
      <c r="D986" s="291" t="s">
        <v>1338</v>
      </c>
      <c r="F986" s="39">
        <v>4.8</v>
      </c>
      <c r="G986" s="39">
        <f t="shared" si="15"/>
        <v>129161.86127186328</v>
      </c>
      <c r="I986" s="63"/>
    </row>
    <row r="987" spans="1:9" ht="14.4">
      <c r="A987" s="10">
        <v>46091</v>
      </c>
      <c r="D987" s="8" t="s">
        <v>1356</v>
      </c>
      <c r="F987" s="39">
        <v>236</v>
      </c>
      <c r="G987" s="39">
        <f t="shared" si="15"/>
        <v>128925.86127186328</v>
      </c>
    </row>
    <row r="988" spans="1:9" ht="14.4">
      <c r="A988" s="10">
        <v>46094</v>
      </c>
      <c r="D988" s="8" t="s">
        <v>590</v>
      </c>
      <c r="F988" s="39">
        <f>'FLUJO CAJA MARZO 2026'!D34</f>
        <v>29838</v>
      </c>
      <c r="G988" s="39">
        <f t="shared" si="15"/>
        <v>99087.861271863279</v>
      </c>
    </row>
    <row r="989" spans="1:9" ht="14.4">
      <c r="A989" s="10">
        <v>46094</v>
      </c>
      <c r="D989" s="291" t="s">
        <v>1158</v>
      </c>
      <c r="F989" s="39">
        <f>'FLUJO CAJA MARZO 2026'!D85</f>
        <v>78665</v>
      </c>
      <c r="G989" s="39">
        <f t="shared" si="15"/>
        <v>20422.861271863279</v>
      </c>
    </row>
    <row r="990" spans="1:9" ht="14.4">
      <c r="A990" s="10">
        <v>46094</v>
      </c>
      <c r="D990" s="391" t="s">
        <v>16</v>
      </c>
      <c r="F990" s="39">
        <v>3.9</v>
      </c>
      <c r="G990" s="39">
        <f t="shared" si="15"/>
        <v>20418.961271863278</v>
      </c>
      <c r="I990" s="63"/>
    </row>
    <row r="991" spans="1:9" ht="14.4">
      <c r="A991" s="10">
        <v>46097</v>
      </c>
      <c r="D991" s="291" t="s">
        <v>1371</v>
      </c>
      <c r="E991" s="39">
        <v>67060</v>
      </c>
      <c r="F991" s="39"/>
      <c r="G991" s="39">
        <f t="shared" si="15"/>
        <v>87478.961271863285</v>
      </c>
    </row>
    <row r="992" spans="1:9" ht="14.4">
      <c r="A992" s="10">
        <v>46097</v>
      </c>
      <c r="D992" s="291" t="s">
        <v>1372</v>
      </c>
      <c r="F992" s="39">
        <f>'FLUJO CAJA MARZO 2026'!$D$86</f>
        <v>64269</v>
      </c>
      <c r="G992" s="39">
        <f t="shared" si="15"/>
        <v>23209.961271863285</v>
      </c>
    </row>
    <row r="993" spans="1:9" ht="14.4">
      <c r="A993" s="10">
        <v>46097</v>
      </c>
      <c r="D993" s="291" t="s">
        <v>1338</v>
      </c>
      <c r="F993" s="39">
        <v>3.2</v>
      </c>
      <c r="G993" s="39">
        <f t="shared" si="15"/>
        <v>23206.761271863284</v>
      </c>
      <c r="I993" s="63"/>
    </row>
    <row r="994" spans="1:9" ht="14.4">
      <c r="A994" s="10">
        <v>46097</v>
      </c>
      <c r="D994" s="8" t="s">
        <v>1373</v>
      </c>
      <c r="F994" s="39">
        <v>142</v>
      </c>
      <c r="G994" s="39">
        <f t="shared" si="15"/>
        <v>23064.761271863284</v>
      </c>
    </row>
    <row r="995" spans="1:9" ht="14.4">
      <c r="A995" s="10">
        <v>46097</v>
      </c>
      <c r="D995" s="8" t="s">
        <v>66</v>
      </c>
      <c r="F995" s="39">
        <v>10</v>
      </c>
      <c r="G995" s="39">
        <f t="shared" si="15"/>
        <v>23054.761271863284</v>
      </c>
      <c r="I995" s="63"/>
    </row>
    <row r="996" spans="1:9" ht="14.4">
      <c r="A996" s="10">
        <v>46098</v>
      </c>
      <c r="D996" s="8" t="s">
        <v>1374</v>
      </c>
      <c r="F996" s="39">
        <v>131.57</v>
      </c>
      <c r="G996" s="39">
        <f t="shared" si="15"/>
        <v>22923.191271863285</v>
      </c>
    </row>
    <row r="997" spans="1:9" ht="14.4">
      <c r="A997" s="10">
        <v>46100</v>
      </c>
      <c r="D997" s="8" t="s">
        <v>1378</v>
      </c>
      <c r="F997" s="39">
        <v>345.76</v>
      </c>
      <c r="G997" s="39">
        <f t="shared" si="15"/>
        <v>22577.431271863286</v>
      </c>
    </row>
    <row r="998" spans="1:9" ht="14.4">
      <c r="A998" s="10">
        <v>46100</v>
      </c>
      <c r="D998" s="8" t="s">
        <v>1377</v>
      </c>
      <c r="F998" s="39">
        <v>356.13</v>
      </c>
      <c r="G998" s="39">
        <f t="shared" si="15"/>
        <v>22221.301271863285</v>
      </c>
    </row>
    <row r="999" spans="1:9" ht="14.4">
      <c r="A999" s="10">
        <v>46104</v>
      </c>
      <c r="D999" s="317" t="s">
        <v>1382</v>
      </c>
      <c r="E999" s="39">
        <v>29944.720000000001</v>
      </c>
      <c r="F999" s="39"/>
      <c r="G999" s="39">
        <f t="shared" si="15"/>
        <v>52166.021271863283</v>
      </c>
    </row>
    <row r="1000" spans="1:9" ht="14.4">
      <c r="A1000" s="10">
        <v>46104</v>
      </c>
      <c r="D1000" s="317" t="s">
        <v>1338</v>
      </c>
      <c r="E1000" s="39"/>
      <c r="F1000" s="39">
        <v>1.45</v>
      </c>
      <c r="G1000" s="39">
        <f t="shared" si="15"/>
        <v>52164.571271863286</v>
      </c>
    </row>
    <row r="1001" spans="1:9" ht="14.4">
      <c r="A1001" s="10">
        <v>46105</v>
      </c>
      <c r="D1001" s="317" t="s">
        <v>1380</v>
      </c>
      <c r="E1001" s="39"/>
      <c r="F1001" s="39">
        <v>2673</v>
      </c>
      <c r="G1001" s="39">
        <f t="shared" ref="G1001:G1064" si="16">G1000+E1001-F1001</f>
        <v>49491.571271863286</v>
      </c>
    </row>
    <row r="1002" spans="1:9" ht="14.4">
      <c r="A1002" s="10">
        <v>46105</v>
      </c>
      <c r="D1002" s="317" t="s">
        <v>1338</v>
      </c>
      <c r="E1002" s="39"/>
      <c r="F1002" s="39">
        <v>0.1</v>
      </c>
      <c r="G1002" s="39">
        <f t="shared" si="16"/>
        <v>49491.471271863287</v>
      </c>
    </row>
    <row r="1003" spans="1:9" ht="14.4">
      <c r="A1003" s="10">
        <v>46106</v>
      </c>
      <c r="D1003" s="317" t="s">
        <v>1383</v>
      </c>
      <c r="E1003" s="39">
        <v>10942.85</v>
      </c>
      <c r="F1003" s="39"/>
      <c r="G1003" s="39">
        <f t="shared" si="16"/>
        <v>60434.321271863286</v>
      </c>
    </row>
    <row r="1004" spans="1:9" ht="14.4">
      <c r="A1004" s="10">
        <v>46106</v>
      </c>
      <c r="D1004" s="317" t="s">
        <v>1338</v>
      </c>
      <c r="E1004" s="39"/>
      <c r="F1004" s="39">
        <v>0.5</v>
      </c>
      <c r="G1004" s="39">
        <f t="shared" si="16"/>
        <v>60433.821271863286</v>
      </c>
    </row>
    <row r="1005" spans="1:9" ht="14.4">
      <c r="A1005" s="10">
        <v>46107</v>
      </c>
      <c r="D1005" s="317" t="s">
        <v>1386</v>
      </c>
      <c r="E1005" s="39">
        <v>53957.69</v>
      </c>
      <c r="F1005" s="39"/>
      <c r="G1005" s="39">
        <f t="shared" si="16"/>
        <v>114391.51127186329</v>
      </c>
    </row>
    <row r="1006" spans="1:9" ht="14.4">
      <c r="A1006" s="10">
        <v>46107</v>
      </c>
      <c r="D1006" s="8" t="s">
        <v>1338</v>
      </c>
      <c r="E1006" s="39"/>
      <c r="F1006" s="39">
        <v>2.65</v>
      </c>
      <c r="G1006" s="39">
        <f t="shared" si="16"/>
        <v>114388.86127186329</v>
      </c>
    </row>
    <row r="1007" spans="1:9" ht="14.4">
      <c r="A1007" s="10">
        <v>46108</v>
      </c>
      <c r="D1007" s="391" t="s">
        <v>1388</v>
      </c>
      <c r="E1007" s="39">
        <v>463183.28</v>
      </c>
      <c r="F1007" s="39"/>
      <c r="G1007" s="39">
        <f t="shared" si="16"/>
        <v>577572.14127186337</v>
      </c>
    </row>
    <row r="1008" spans="1:9" ht="14.4">
      <c r="A1008" s="10">
        <v>46108</v>
      </c>
      <c r="D1008" s="391" t="s">
        <v>1307</v>
      </c>
      <c r="F1008" s="39">
        <v>227814.87</v>
      </c>
      <c r="G1008" s="39">
        <f t="shared" si="16"/>
        <v>349757.27127186337</v>
      </c>
    </row>
    <row r="1009" spans="1:9" ht="14.4">
      <c r="A1009" s="10">
        <v>46108</v>
      </c>
      <c r="D1009" s="391" t="s">
        <v>1308</v>
      </c>
      <c r="F1009" s="39">
        <v>7</v>
      </c>
      <c r="G1009" s="39">
        <f t="shared" si="16"/>
        <v>349750.27127186337</v>
      </c>
    </row>
    <row r="1010" spans="1:9" ht="14.4">
      <c r="A1010" s="10">
        <v>46108</v>
      </c>
      <c r="D1010" s="391" t="s">
        <v>16</v>
      </c>
      <c r="F1010" s="39">
        <v>11.35</v>
      </c>
      <c r="G1010" s="39">
        <f t="shared" si="16"/>
        <v>349738.92127186339</v>
      </c>
      <c r="I1010" s="63"/>
    </row>
    <row r="1011" spans="1:9" ht="14.4">
      <c r="A1011" s="10">
        <v>46108</v>
      </c>
      <c r="D1011" s="391" t="s">
        <v>1388</v>
      </c>
      <c r="F1011" s="39"/>
      <c r="G1011" s="39">
        <f t="shared" si="16"/>
        <v>349738.92127186339</v>
      </c>
    </row>
    <row r="1012" spans="1:9" ht="14.4">
      <c r="A1012" s="10">
        <v>46108</v>
      </c>
      <c r="D1012" s="24" t="s">
        <v>1390</v>
      </c>
      <c r="E1012" s="39">
        <v>120852.65</v>
      </c>
      <c r="G1012" s="39">
        <f t="shared" si="16"/>
        <v>470591.57127186342</v>
      </c>
    </row>
    <row r="1013" spans="1:9" ht="14.4">
      <c r="A1013" s="10">
        <v>46108</v>
      </c>
      <c r="D1013" s="11" t="s">
        <v>1393</v>
      </c>
      <c r="F1013" s="39">
        <v>90546.41</v>
      </c>
      <c r="G1013" s="39">
        <f t="shared" si="16"/>
        <v>380045.16127186338</v>
      </c>
    </row>
    <row r="1014" spans="1:9" ht="14.4">
      <c r="A1014" s="10">
        <v>46108</v>
      </c>
      <c r="D1014" s="11" t="s">
        <v>1392</v>
      </c>
      <c r="F1014" s="39">
        <v>13</v>
      </c>
      <c r="G1014" s="39">
        <f t="shared" si="16"/>
        <v>380032.16127186338</v>
      </c>
    </row>
    <row r="1015" spans="1:9" ht="14.4">
      <c r="A1015" s="10">
        <v>46108</v>
      </c>
      <c r="D1015" s="11" t="s">
        <v>16</v>
      </c>
      <c r="F1015" s="39">
        <v>4.5</v>
      </c>
      <c r="G1015" s="39">
        <f t="shared" si="16"/>
        <v>380027.66127186338</v>
      </c>
      <c r="I1015" s="63"/>
    </row>
    <row r="1016" spans="1:9" ht="14.4">
      <c r="A1016" s="10">
        <v>46108</v>
      </c>
      <c r="D1016" s="8" t="s">
        <v>1395</v>
      </c>
      <c r="F1016" s="39">
        <v>131.57</v>
      </c>
      <c r="G1016" s="39">
        <f t="shared" si="16"/>
        <v>379896.09127186338</v>
      </c>
    </row>
    <row r="1017" spans="1:9" ht="14.4">
      <c r="A1017" s="10">
        <v>46111</v>
      </c>
      <c r="D1017" s="8" t="s">
        <v>1396</v>
      </c>
      <c r="F1017" s="39">
        <f>'FLUJO CAJA MARZO 2026'!$D$75</f>
        <v>185.61</v>
      </c>
      <c r="G1017" s="39">
        <f t="shared" si="16"/>
        <v>379710.48127186339</v>
      </c>
    </row>
    <row r="1018" spans="1:9" ht="14.4">
      <c r="A1018" s="10">
        <v>46111</v>
      </c>
      <c r="D1018" s="8" t="s">
        <v>1402</v>
      </c>
      <c r="F1018" s="39">
        <v>52.05</v>
      </c>
      <c r="G1018" s="39">
        <f t="shared" si="16"/>
        <v>379658.4312718634</v>
      </c>
    </row>
    <row r="1019" spans="1:9" ht="14.4">
      <c r="A1019" s="10">
        <v>46111</v>
      </c>
      <c r="D1019" s="8" t="s">
        <v>868</v>
      </c>
      <c r="F1019" s="39">
        <v>4.3</v>
      </c>
      <c r="G1019" s="39">
        <f t="shared" si="16"/>
        <v>379654.13127186341</v>
      </c>
    </row>
    <row r="1020" spans="1:9" ht="14.4">
      <c r="A1020" s="10">
        <v>46111</v>
      </c>
      <c r="D1020" s="8" t="s">
        <v>1403</v>
      </c>
      <c r="F1020" s="39">
        <v>1979.45</v>
      </c>
      <c r="G1020" s="39">
        <f t="shared" si="16"/>
        <v>377674.6812718634</v>
      </c>
    </row>
    <row r="1021" spans="1:9" ht="14.4">
      <c r="A1021" s="10">
        <v>46111</v>
      </c>
      <c r="D1021" s="8" t="s">
        <v>868</v>
      </c>
      <c r="F1021" s="39">
        <v>4.3</v>
      </c>
      <c r="G1021" s="39">
        <f t="shared" si="16"/>
        <v>377670.38127186341</v>
      </c>
    </row>
    <row r="1022" spans="1:9" ht="14.4">
      <c r="A1022" s="10">
        <v>46111</v>
      </c>
      <c r="D1022" s="11" t="s">
        <v>16</v>
      </c>
      <c r="F1022" s="39">
        <v>0.05</v>
      </c>
      <c r="G1022" s="39">
        <f t="shared" si="16"/>
        <v>377670.33127186343</v>
      </c>
      <c r="I1022" s="63"/>
    </row>
    <row r="1023" spans="1:9" ht="14.4">
      <c r="A1023" s="10">
        <v>46111</v>
      </c>
      <c r="D1023" s="8" t="s">
        <v>1404</v>
      </c>
      <c r="F1023" s="39">
        <v>9304.25</v>
      </c>
      <c r="G1023" s="39">
        <f t="shared" si="16"/>
        <v>368366.08127186343</v>
      </c>
    </row>
    <row r="1024" spans="1:9" ht="14.4">
      <c r="A1024" s="10">
        <v>46111</v>
      </c>
      <c r="D1024" s="11" t="s">
        <v>16</v>
      </c>
      <c r="F1024" s="39">
        <v>0.45</v>
      </c>
      <c r="G1024" s="39">
        <f t="shared" si="16"/>
        <v>368365.63127186341</v>
      </c>
      <c r="I1024" s="63"/>
    </row>
    <row r="1025" spans="1:9" ht="14.4">
      <c r="A1025" s="10">
        <v>46111</v>
      </c>
      <c r="D1025" s="8" t="s">
        <v>1405</v>
      </c>
      <c r="F1025" s="39">
        <v>7614.17</v>
      </c>
      <c r="G1025" s="39">
        <f t="shared" si="16"/>
        <v>360751.46127186343</v>
      </c>
    </row>
    <row r="1026" spans="1:9" ht="14.4">
      <c r="A1026" s="10">
        <v>46111</v>
      </c>
      <c r="D1026" s="8" t="s">
        <v>868</v>
      </c>
      <c r="F1026" s="39">
        <v>41.57</v>
      </c>
      <c r="G1026" s="39">
        <f t="shared" si="16"/>
        <v>360709.89127186342</v>
      </c>
    </row>
    <row r="1027" spans="1:9" ht="14.4">
      <c r="A1027" s="10">
        <v>46111</v>
      </c>
      <c r="D1027" s="11" t="s">
        <v>16</v>
      </c>
      <c r="F1027" s="39">
        <v>0.35</v>
      </c>
      <c r="G1027" s="39">
        <f t="shared" si="16"/>
        <v>360709.54127186345</v>
      </c>
      <c r="I1027" s="63"/>
    </row>
    <row r="1028" spans="1:9" ht="14.4">
      <c r="A1028" s="10">
        <v>46111</v>
      </c>
      <c r="D1028" s="8" t="s">
        <v>1406</v>
      </c>
      <c r="F1028" s="39">
        <v>347.6</v>
      </c>
      <c r="G1028" s="39">
        <f t="shared" si="16"/>
        <v>360361.94127186347</v>
      </c>
    </row>
    <row r="1029" spans="1:9" ht="14.4">
      <c r="A1029" s="10">
        <v>46111</v>
      </c>
      <c r="D1029" s="8" t="s">
        <v>868</v>
      </c>
      <c r="F1029" s="39">
        <v>10.5</v>
      </c>
      <c r="G1029" s="39">
        <f t="shared" si="16"/>
        <v>360351.44127186347</v>
      </c>
    </row>
    <row r="1030" spans="1:9" ht="14.4">
      <c r="A1030" s="10">
        <v>46111</v>
      </c>
      <c r="D1030" s="291" t="s">
        <v>1408</v>
      </c>
      <c r="F1030" s="39">
        <v>460.61</v>
      </c>
      <c r="G1030" s="39">
        <f t="shared" si="16"/>
        <v>359890.83127186348</v>
      </c>
    </row>
    <row r="1031" spans="1:9" ht="14.4">
      <c r="A1031" s="10">
        <v>46111</v>
      </c>
      <c r="D1031" s="291" t="s">
        <v>1409</v>
      </c>
      <c r="F1031" s="39">
        <v>5500</v>
      </c>
      <c r="G1031" s="39">
        <f t="shared" si="16"/>
        <v>354390.83127186348</v>
      </c>
    </row>
    <row r="1032" spans="1:9" ht="14.4">
      <c r="A1032" s="10">
        <v>46111</v>
      </c>
      <c r="D1032" s="291" t="s">
        <v>868</v>
      </c>
      <c r="F1032" s="39">
        <v>4.3</v>
      </c>
      <c r="G1032" s="39">
        <f t="shared" si="16"/>
        <v>354386.5312718635</v>
      </c>
    </row>
    <row r="1033" spans="1:9" ht="14.4">
      <c r="A1033" s="10">
        <v>46111</v>
      </c>
      <c r="D1033" s="291" t="s">
        <v>16</v>
      </c>
      <c r="F1033" s="39">
        <v>0.25</v>
      </c>
      <c r="G1033" s="39">
        <f t="shared" si="16"/>
        <v>354386.2812718635</v>
      </c>
      <c r="I1033" s="63"/>
    </row>
    <row r="1034" spans="1:9" ht="14.4">
      <c r="A1034" s="10">
        <v>46111</v>
      </c>
      <c r="D1034" s="291" t="s">
        <v>1410</v>
      </c>
      <c r="F1034" s="39">
        <v>224.99</v>
      </c>
      <c r="G1034" s="39">
        <f t="shared" si="16"/>
        <v>354161.29127186351</v>
      </c>
    </row>
    <row r="1035" spans="1:9" ht="14.4">
      <c r="A1035" s="10">
        <v>46111</v>
      </c>
      <c r="D1035" s="291" t="s">
        <v>1310</v>
      </c>
      <c r="F1035" s="39">
        <v>4.3</v>
      </c>
      <c r="G1035" s="39">
        <f t="shared" si="16"/>
        <v>354156.99127186352</v>
      </c>
    </row>
    <row r="1036" spans="1:9" ht="14.4">
      <c r="A1036" s="10">
        <v>46111</v>
      </c>
      <c r="D1036" s="8" t="s">
        <v>1411</v>
      </c>
      <c r="F1036" s="39">
        <v>118</v>
      </c>
      <c r="G1036" s="39">
        <f t="shared" si="16"/>
        <v>354038.99127186352</v>
      </c>
    </row>
    <row r="1037" spans="1:9" ht="14.4">
      <c r="A1037" s="10">
        <v>46111</v>
      </c>
      <c r="D1037" s="8" t="s">
        <v>1412</v>
      </c>
      <c r="F1037" s="39">
        <v>433.83</v>
      </c>
      <c r="G1037" s="39">
        <f t="shared" si="16"/>
        <v>353605.1612718635</v>
      </c>
    </row>
    <row r="1038" spans="1:9" ht="14.4">
      <c r="A1038" s="10">
        <v>46111</v>
      </c>
      <c r="D1038" s="291" t="s">
        <v>1413</v>
      </c>
      <c r="F1038" s="39">
        <v>7087.93</v>
      </c>
      <c r="G1038" s="39">
        <f t="shared" si="16"/>
        <v>346517.23127186351</v>
      </c>
    </row>
    <row r="1039" spans="1:9" ht="14.4">
      <c r="A1039" s="10">
        <v>46111</v>
      </c>
      <c r="D1039" s="291" t="s">
        <v>16</v>
      </c>
      <c r="F1039" s="39">
        <v>0.35</v>
      </c>
      <c r="G1039" s="39">
        <f t="shared" si="16"/>
        <v>346516.88127186353</v>
      </c>
      <c r="I1039" s="63"/>
    </row>
    <row r="1040" spans="1:9" ht="14.4">
      <c r="A1040" s="10">
        <v>46111</v>
      </c>
      <c r="D1040" s="291" t="s">
        <v>1419</v>
      </c>
      <c r="F1040" s="39">
        <v>316.32</v>
      </c>
      <c r="G1040" s="39">
        <f t="shared" si="16"/>
        <v>346200.56127186352</v>
      </c>
    </row>
    <row r="1041" spans="1:9" ht="14.4">
      <c r="A1041" s="10">
        <v>46111</v>
      </c>
      <c r="D1041" s="291" t="s">
        <v>1415</v>
      </c>
      <c r="F1041" s="39">
        <v>259.60000000000002</v>
      </c>
      <c r="G1041" s="39">
        <f t="shared" si="16"/>
        <v>345940.96127186355</v>
      </c>
    </row>
    <row r="1042" spans="1:9" ht="14.4">
      <c r="A1042" s="10">
        <v>46111</v>
      </c>
      <c r="D1042" s="291" t="s">
        <v>1418</v>
      </c>
      <c r="F1042" s="39">
        <v>1013.28</v>
      </c>
      <c r="G1042" s="39">
        <f t="shared" si="16"/>
        <v>344927.68127186352</v>
      </c>
    </row>
    <row r="1043" spans="1:9" ht="14.4">
      <c r="A1043" s="10">
        <v>46111</v>
      </c>
      <c r="D1043" s="291" t="s">
        <v>16</v>
      </c>
      <c r="F1043" s="39">
        <v>0.05</v>
      </c>
      <c r="G1043" s="39">
        <f t="shared" si="16"/>
        <v>344927.63127186353</v>
      </c>
      <c r="I1043" s="63"/>
    </row>
    <row r="1044" spans="1:9" ht="14.4">
      <c r="A1044" s="10">
        <v>46112</v>
      </c>
      <c r="D1044" s="11" t="s">
        <v>1457</v>
      </c>
      <c r="F1044" s="39">
        <v>8879</v>
      </c>
      <c r="G1044" s="39">
        <f t="shared" si="16"/>
        <v>336048.63127186353</v>
      </c>
    </row>
    <row r="1045" spans="1:9" ht="14.4">
      <c r="A1045" s="10">
        <v>46112</v>
      </c>
      <c r="D1045" s="8" t="s">
        <v>16</v>
      </c>
      <c r="F1045" s="39">
        <v>0.4</v>
      </c>
      <c r="G1045" s="39">
        <f t="shared" si="16"/>
        <v>336048.23127186351</v>
      </c>
      <c r="I1045" s="63"/>
    </row>
    <row r="1046" spans="1:9" ht="14.4">
      <c r="A1046" s="10">
        <v>46112</v>
      </c>
      <c r="D1046" s="8" t="s">
        <v>1431</v>
      </c>
      <c r="F1046" s="39">
        <v>590</v>
      </c>
      <c r="G1046" s="39">
        <f t="shared" si="16"/>
        <v>335458.23127186351</v>
      </c>
    </row>
    <row r="1047" spans="1:9" ht="14.4">
      <c r="A1047" s="10">
        <v>46112</v>
      </c>
      <c r="D1047" s="8" t="s">
        <v>1432</v>
      </c>
      <c r="F1047" s="39">
        <v>590</v>
      </c>
      <c r="G1047" s="39">
        <f t="shared" si="16"/>
        <v>334868.23127186351</v>
      </c>
    </row>
    <row r="1048" spans="1:9" ht="14.4">
      <c r="A1048" s="10">
        <v>46112</v>
      </c>
      <c r="D1048" s="8" t="s">
        <v>1433</v>
      </c>
      <c r="F1048" s="39">
        <v>826</v>
      </c>
      <c r="G1048" s="39">
        <f t="shared" si="16"/>
        <v>334042.23127186351</v>
      </c>
    </row>
    <row r="1049" spans="1:9" ht="14.4">
      <c r="A1049" s="10">
        <v>46112</v>
      </c>
      <c r="D1049" s="8" t="s">
        <v>16</v>
      </c>
      <c r="F1049" s="39">
        <v>0.1</v>
      </c>
      <c r="G1049" s="39">
        <f t="shared" si="16"/>
        <v>334042.13127186353</v>
      </c>
      <c r="I1049" s="63"/>
    </row>
    <row r="1050" spans="1:9" ht="14.4">
      <c r="A1050" s="10">
        <v>46112</v>
      </c>
      <c r="D1050" s="8" t="s">
        <v>1439</v>
      </c>
      <c r="F1050" s="39">
        <v>35.200000000000003</v>
      </c>
      <c r="G1050" s="39">
        <f t="shared" si="16"/>
        <v>334006.93127186352</v>
      </c>
    </row>
    <row r="1051" spans="1:9" ht="14.4">
      <c r="A1051" s="10">
        <v>46112</v>
      </c>
      <c r="D1051" s="291" t="s">
        <v>1440</v>
      </c>
      <c r="E1051" s="39">
        <v>191081.18</v>
      </c>
      <c r="F1051" s="39"/>
      <c r="G1051" s="39">
        <f t="shared" si="16"/>
        <v>525088.11127186357</v>
      </c>
    </row>
    <row r="1052" spans="1:9" ht="14.4">
      <c r="A1052" s="10">
        <v>46112</v>
      </c>
      <c r="D1052" s="291" t="s">
        <v>1441</v>
      </c>
      <c r="E1052" s="39"/>
      <c r="F1052" s="39">
        <v>141245.82999999999</v>
      </c>
      <c r="G1052" s="39">
        <f t="shared" si="16"/>
        <v>383842.28127186361</v>
      </c>
    </row>
    <row r="1053" spans="1:9" ht="14.4">
      <c r="A1053" s="10">
        <v>46112</v>
      </c>
      <c r="D1053" s="291" t="s">
        <v>16</v>
      </c>
      <c r="E1053" s="39"/>
      <c r="F1053" s="39">
        <v>7.05</v>
      </c>
      <c r="G1053" s="39">
        <f t="shared" si="16"/>
        <v>383835.23127186362</v>
      </c>
      <c r="I1053" s="63"/>
    </row>
    <row r="1054" spans="1:9" ht="14.4">
      <c r="A1054" s="10">
        <v>46112</v>
      </c>
      <c r="D1054" s="8" t="s">
        <v>10</v>
      </c>
      <c r="E1054" s="39"/>
      <c r="F1054" s="39">
        <v>5.5</v>
      </c>
      <c r="G1054" s="39">
        <f t="shared" si="16"/>
        <v>383829.73127186362</v>
      </c>
    </row>
    <row r="1055" spans="1:9" ht="14.4">
      <c r="A1055" s="10">
        <v>46112</v>
      </c>
      <c r="D1055" s="8" t="s">
        <v>192</v>
      </c>
      <c r="E1055" s="39"/>
      <c r="F1055" s="39">
        <v>35</v>
      </c>
      <c r="G1055" s="39">
        <f t="shared" si="16"/>
        <v>383794.73127186362</v>
      </c>
    </row>
    <row r="1056" spans="1:9" s="14" customFormat="1" ht="14.4">
      <c r="A1056" s="13">
        <v>46112</v>
      </c>
      <c r="E1056" s="40"/>
      <c r="F1056" s="40"/>
      <c r="G1056" s="40">
        <f t="shared" si="16"/>
        <v>383794.73127186362</v>
      </c>
    </row>
    <row r="1057" spans="1:9" ht="14.4">
      <c r="A1057" s="10">
        <v>46113</v>
      </c>
      <c r="E1057" s="39"/>
      <c r="F1057" s="39"/>
      <c r="G1057" s="39">
        <f t="shared" si="16"/>
        <v>383794.73127186362</v>
      </c>
    </row>
    <row r="1058" spans="1:9" ht="14.4">
      <c r="A1058" s="10">
        <v>46118</v>
      </c>
      <c r="D1058" s="291" t="s">
        <v>1443</v>
      </c>
      <c r="F1058" s="39">
        <v>1513.36</v>
      </c>
      <c r="G1058" s="39">
        <f t="shared" si="16"/>
        <v>382281.37127186364</v>
      </c>
    </row>
    <row r="1059" spans="1:9" ht="14.4">
      <c r="A1059" s="10">
        <v>46118</v>
      </c>
      <c r="D1059" s="391" t="s">
        <v>868</v>
      </c>
      <c r="F1059" s="39">
        <v>1</v>
      </c>
      <c r="G1059" s="39">
        <f t="shared" si="16"/>
        <v>382280.37127186364</v>
      </c>
    </row>
    <row r="1060" spans="1:9" ht="14.4">
      <c r="A1060" s="10">
        <v>46118</v>
      </c>
      <c r="D1060" s="291" t="s">
        <v>16</v>
      </c>
      <c r="F1060" s="39">
        <v>0.05</v>
      </c>
      <c r="G1060" s="39">
        <f t="shared" si="16"/>
        <v>382280.32127186365</v>
      </c>
      <c r="I1060" s="63"/>
    </row>
    <row r="1061" spans="1:9" ht="14.4">
      <c r="A1061" s="10">
        <v>46120</v>
      </c>
      <c r="D1061" s="291" t="s">
        <v>1014</v>
      </c>
      <c r="F1061" s="39">
        <v>38000</v>
      </c>
      <c r="G1061" s="39">
        <f t="shared" si="16"/>
        <v>344280.32127186365</v>
      </c>
    </row>
    <row r="1062" spans="1:9" ht="14.4">
      <c r="A1062" s="10">
        <v>46120</v>
      </c>
      <c r="D1062" s="391" t="s">
        <v>868</v>
      </c>
      <c r="F1062" s="39">
        <v>4.3</v>
      </c>
      <c r="G1062" s="39">
        <f t="shared" si="16"/>
        <v>344276.02127186366</v>
      </c>
    </row>
    <row r="1063" spans="1:9" ht="14.4">
      <c r="A1063" s="10">
        <v>46120</v>
      </c>
      <c r="D1063" s="8" t="s">
        <v>1455</v>
      </c>
      <c r="F1063" s="39">
        <f>'FLUJO CAJA ABRIL 2026 '!$D$65</f>
        <v>124.49</v>
      </c>
      <c r="G1063" s="39">
        <f t="shared" si="16"/>
        <v>344151.53127186367</v>
      </c>
    </row>
    <row r="1064" spans="1:9" ht="14.4">
      <c r="A1064" s="10">
        <v>46120</v>
      </c>
      <c r="D1064" s="8" t="s">
        <v>1456</v>
      </c>
      <c r="F1064" s="39">
        <f>'FLUJO CAJA ABRIL 2026 '!$D$66</f>
        <v>66</v>
      </c>
      <c r="G1064" s="39">
        <f t="shared" si="16"/>
        <v>344085.53127186367</v>
      </c>
    </row>
    <row r="1065" spans="1:9" ht="14.4">
      <c r="A1065" s="10">
        <v>46121</v>
      </c>
      <c r="D1065" s="8" t="s">
        <v>825</v>
      </c>
      <c r="F1065" s="39">
        <v>8307.6</v>
      </c>
      <c r="G1065" s="39">
        <f t="shared" ref="G1065:G1128" si="17">G1064+E1065-F1065</f>
        <v>335777.93127186369</v>
      </c>
    </row>
    <row r="1066" spans="1:9" ht="14.4">
      <c r="A1066" s="10">
        <v>46121</v>
      </c>
      <c r="D1066" s="8" t="s">
        <v>827</v>
      </c>
      <c r="F1066" s="39">
        <v>3482.53</v>
      </c>
      <c r="G1066" s="39">
        <f t="shared" si="17"/>
        <v>332295.40127186367</v>
      </c>
    </row>
    <row r="1067" spans="1:9" ht="14.4">
      <c r="A1067" s="10">
        <v>46121</v>
      </c>
      <c r="D1067" s="8" t="s">
        <v>826</v>
      </c>
      <c r="F1067" s="39">
        <v>3039.64</v>
      </c>
      <c r="G1067" s="39">
        <f t="shared" si="17"/>
        <v>329255.76127186365</v>
      </c>
    </row>
    <row r="1068" spans="1:9" ht="14.4">
      <c r="A1068" s="10">
        <v>46121</v>
      </c>
      <c r="D1068" s="8" t="s">
        <v>1338</v>
      </c>
      <c r="F1068" s="39">
        <v>0.7</v>
      </c>
      <c r="G1068" s="39">
        <f t="shared" si="17"/>
        <v>329255.06127186364</v>
      </c>
      <c r="I1068" s="63"/>
    </row>
    <row r="1069" spans="1:9" ht="14.4">
      <c r="A1069" s="10">
        <v>46121</v>
      </c>
      <c r="D1069" s="8" t="s">
        <v>1459</v>
      </c>
      <c r="F1069" s="39">
        <f>'FLUJO CAJA ABRIL 2026 '!D67</f>
        <v>295.22000000000003</v>
      </c>
      <c r="G1069" s="39">
        <f t="shared" si="17"/>
        <v>328959.84127186367</v>
      </c>
    </row>
    <row r="1070" spans="1:9" ht="14.4">
      <c r="F1070" s="39"/>
      <c r="G1070" s="39">
        <f t="shared" si="17"/>
        <v>328959.84127186367</v>
      </c>
    </row>
    <row r="1071" spans="1:9" ht="14.4">
      <c r="F1071" s="39"/>
      <c r="G1071" s="39">
        <f t="shared" si="17"/>
        <v>328959.84127186367</v>
      </c>
    </row>
    <row r="1072" spans="1:9" ht="14.4">
      <c r="F1072" s="39"/>
      <c r="G1072" s="39">
        <f t="shared" si="17"/>
        <v>328959.84127186367</v>
      </c>
    </row>
    <row r="1073" spans="6:7" ht="14.4">
      <c r="F1073" s="39"/>
      <c r="G1073" s="39">
        <f t="shared" si="17"/>
        <v>328959.84127186367</v>
      </c>
    </row>
    <row r="1074" spans="6:7" ht="14.4">
      <c r="F1074" s="39"/>
      <c r="G1074" s="39">
        <f t="shared" si="17"/>
        <v>328959.84127186367</v>
      </c>
    </row>
    <row r="1075" spans="6:7" ht="14.4">
      <c r="F1075" s="39"/>
      <c r="G1075" s="39">
        <f t="shared" si="17"/>
        <v>328959.84127186367</v>
      </c>
    </row>
    <row r="1076" spans="6:7" ht="14.4">
      <c r="F1076" s="39"/>
      <c r="G1076" s="39">
        <f t="shared" si="17"/>
        <v>328959.84127186367</v>
      </c>
    </row>
    <row r="1077" spans="6:7" ht="14.4">
      <c r="F1077" s="39"/>
      <c r="G1077" s="39">
        <f t="shared" si="17"/>
        <v>328959.84127186367</v>
      </c>
    </row>
    <row r="1078" spans="6:7" ht="14.4">
      <c r="G1078" s="39">
        <f t="shared" si="17"/>
        <v>328959.84127186367</v>
      </c>
    </row>
    <row r="1079" spans="6:7" ht="14.4">
      <c r="G1079" s="39">
        <f t="shared" si="17"/>
        <v>328959.84127186367</v>
      </c>
    </row>
    <row r="1080" spans="6:7" ht="14.4">
      <c r="G1080" s="39">
        <f t="shared" si="17"/>
        <v>328959.84127186367</v>
      </c>
    </row>
    <row r="1081" spans="6:7" ht="14.4">
      <c r="G1081" s="39">
        <f t="shared" si="17"/>
        <v>328959.84127186367</v>
      </c>
    </row>
    <row r="1082" spans="6:7" ht="14.4">
      <c r="G1082" s="39">
        <f t="shared" si="17"/>
        <v>328959.84127186367</v>
      </c>
    </row>
    <row r="1083" spans="6:7" ht="14.4">
      <c r="G1083" s="39">
        <f t="shared" si="17"/>
        <v>328959.84127186367</v>
      </c>
    </row>
    <row r="1084" spans="6:7" ht="14.4">
      <c r="G1084" s="39">
        <f t="shared" si="17"/>
        <v>328959.84127186367</v>
      </c>
    </row>
    <row r="1085" spans="6:7" ht="14.4">
      <c r="G1085" s="39">
        <f t="shared" si="17"/>
        <v>328959.84127186367</v>
      </c>
    </row>
    <row r="1086" spans="6:7" ht="14.4">
      <c r="G1086" s="39">
        <f t="shared" si="17"/>
        <v>328959.84127186367</v>
      </c>
    </row>
    <row r="1087" spans="6:7" ht="14.4">
      <c r="G1087" s="39">
        <f t="shared" si="17"/>
        <v>328959.84127186367</v>
      </c>
    </row>
    <row r="1088" spans="6:7" ht="14.4">
      <c r="G1088" s="39">
        <f t="shared" si="17"/>
        <v>328959.84127186367</v>
      </c>
    </row>
    <row r="1089" spans="7:7" ht="14.4">
      <c r="G1089" s="39">
        <f t="shared" si="17"/>
        <v>328959.84127186367</v>
      </c>
    </row>
    <row r="1090" spans="7:7" ht="14.4">
      <c r="G1090" s="39">
        <f t="shared" si="17"/>
        <v>328959.84127186367</v>
      </c>
    </row>
    <row r="1091" spans="7:7" ht="14.4">
      <c r="G1091" s="39">
        <f t="shared" si="17"/>
        <v>328959.84127186367</v>
      </c>
    </row>
    <row r="1092" spans="7:7" ht="14.4">
      <c r="G1092" s="39">
        <f t="shared" si="17"/>
        <v>328959.84127186367</v>
      </c>
    </row>
    <row r="1093" spans="7:7" ht="14.4">
      <c r="G1093" s="39">
        <f t="shared" si="17"/>
        <v>328959.84127186367</v>
      </c>
    </row>
    <row r="1094" spans="7:7" ht="14.4">
      <c r="G1094" s="39">
        <f t="shared" si="17"/>
        <v>328959.84127186367</v>
      </c>
    </row>
    <row r="1095" spans="7:7" ht="14.4">
      <c r="G1095" s="39">
        <f t="shared" si="17"/>
        <v>328959.84127186367</v>
      </c>
    </row>
    <row r="1096" spans="7:7" ht="14.4">
      <c r="G1096" s="39">
        <f t="shared" si="17"/>
        <v>328959.84127186367</v>
      </c>
    </row>
    <row r="1097" spans="7:7" ht="14.4">
      <c r="G1097" s="39">
        <f t="shared" si="17"/>
        <v>328959.84127186367</v>
      </c>
    </row>
    <row r="1098" spans="7:7" ht="14.4">
      <c r="G1098" s="39">
        <f t="shared" si="17"/>
        <v>328959.84127186367</v>
      </c>
    </row>
    <row r="1099" spans="7:7" ht="14.4">
      <c r="G1099" s="39">
        <f t="shared" si="17"/>
        <v>328959.84127186367</v>
      </c>
    </row>
    <row r="1100" spans="7:7" ht="14.4">
      <c r="G1100" s="39">
        <f t="shared" si="17"/>
        <v>328959.84127186367</v>
      </c>
    </row>
    <row r="1101" spans="7:7" ht="14.4">
      <c r="G1101" s="39">
        <f t="shared" si="17"/>
        <v>328959.84127186367</v>
      </c>
    </row>
    <row r="1102" spans="7:7" ht="14.4">
      <c r="G1102" s="39">
        <f t="shared" si="17"/>
        <v>328959.84127186367</v>
      </c>
    </row>
    <row r="1103" spans="7:7" ht="14.4">
      <c r="G1103" s="39">
        <f t="shared" si="17"/>
        <v>328959.84127186367</v>
      </c>
    </row>
    <row r="1104" spans="7:7" ht="14.4">
      <c r="G1104" s="39">
        <f t="shared" si="17"/>
        <v>328959.84127186367</v>
      </c>
    </row>
    <row r="1105" spans="7:7" ht="14.4">
      <c r="G1105" s="39">
        <f t="shared" si="17"/>
        <v>328959.84127186367</v>
      </c>
    </row>
    <row r="1106" spans="7:7" ht="14.4">
      <c r="G1106" s="39">
        <f t="shared" si="17"/>
        <v>328959.84127186367</v>
      </c>
    </row>
    <row r="1107" spans="7:7" ht="14.4">
      <c r="G1107" s="39">
        <f t="shared" si="17"/>
        <v>328959.84127186367</v>
      </c>
    </row>
    <row r="1108" spans="7:7" ht="14.4">
      <c r="G1108" s="39">
        <f t="shared" si="17"/>
        <v>328959.84127186367</v>
      </c>
    </row>
    <row r="1109" spans="7:7" ht="14.4">
      <c r="G1109" s="39">
        <f t="shared" si="17"/>
        <v>328959.84127186367</v>
      </c>
    </row>
    <row r="1110" spans="7:7" ht="14.4">
      <c r="G1110" s="39">
        <f t="shared" si="17"/>
        <v>328959.84127186367</v>
      </c>
    </row>
    <row r="1111" spans="7:7" ht="14.4">
      <c r="G1111" s="39">
        <f t="shared" si="17"/>
        <v>328959.84127186367</v>
      </c>
    </row>
    <row r="1112" spans="7:7" ht="14.4">
      <c r="G1112" s="39">
        <f t="shared" si="17"/>
        <v>328959.84127186367</v>
      </c>
    </row>
    <row r="1113" spans="7:7" ht="14.4">
      <c r="G1113" s="39">
        <f t="shared" si="17"/>
        <v>328959.84127186367</v>
      </c>
    </row>
    <row r="1114" spans="7:7" ht="14.4">
      <c r="G1114" s="39">
        <f t="shared" si="17"/>
        <v>328959.84127186367</v>
      </c>
    </row>
    <row r="1115" spans="7:7" ht="14.4">
      <c r="G1115" s="39">
        <f t="shared" si="17"/>
        <v>328959.84127186367</v>
      </c>
    </row>
    <row r="1116" spans="7:7" ht="14.4">
      <c r="G1116" s="39">
        <f t="shared" si="17"/>
        <v>328959.84127186367</v>
      </c>
    </row>
    <row r="1117" spans="7:7" ht="14.4">
      <c r="G1117" s="39">
        <f t="shared" si="17"/>
        <v>328959.84127186367</v>
      </c>
    </row>
    <row r="1118" spans="7:7" ht="14.4">
      <c r="G1118" s="39">
        <f t="shared" si="17"/>
        <v>328959.84127186367</v>
      </c>
    </row>
    <row r="1119" spans="7:7" ht="14.4">
      <c r="G1119" s="39">
        <f t="shared" si="17"/>
        <v>328959.84127186367</v>
      </c>
    </row>
    <row r="1120" spans="7:7" ht="14.4">
      <c r="G1120" s="39">
        <f t="shared" si="17"/>
        <v>328959.84127186367</v>
      </c>
    </row>
    <row r="1121" spans="7:7" ht="14.4">
      <c r="G1121" s="39">
        <f t="shared" si="17"/>
        <v>328959.84127186367</v>
      </c>
    </row>
    <row r="1122" spans="7:7" ht="14.4">
      <c r="G1122" s="39">
        <f t="shared" si="17"/>
        <v>328959.84127186367</v>
      </c>
    </row>
    <row r="1123" spans="7:7" ht="14.4">
      <c r="G1123" s="39">
        <f t="shared" si="17"/>
        <v>328959.84127186367</v>
      </c>
    </row>
    <row r="1124" spans="7:7" ht="14.4">
      <c r="G1124" s="39">
        <f t="shared" si="17"/>
        <v>328959.84127186367</v>
      </c>
    </row>
    <row r="1125" spans="7:7" ht="14.4">
      <c r="G1125" s="39">
        <f t="shared" si="17"/>
        <v>328959.84127186367</v>
      </c>
    </row>
    <row r="1126" spans="7:7" ht="14.4">
      <c r="G1126" s="39">
        <f t="shared" si="17"/>
        <v>328959.84127186367</v>
      </c>
    </row>
    <row r="1127" spans="7:7" ht="14.4">
      <c r="G1127" s="39">
        <f t="shared" si="17"/>
        <v>328959.84127186367</v>
      </c>
    </row>
    <row r="1128" spans="7:7" ht="14.4">
      <c r="G1128" s="39">
        <f t="shared" si="17"/>
        <v>328959.84127186367</v>
      </c>
    </row>
    <row r="1129" spans="7:7" ht="14.4">
      <c r="G1129" s="39">
        <f t="shared" ref="G1129:G1192" si="18">G1128+E1129-F1129</f>
        <v>328959.84127186367</v>
      </c>
    </row>
    <row r="1130" spans="7:7" ht="14.4">
      <c r="G1130" s="39">
        <f t="shared" si="18"/>
        <v>328959.84127186367</v>
      </c>
    </row>
    <row r="1131" spans="7:7" ht="14.4">
      <c r="G1131" s="39">
        <f t="shared" si="18"/>
        <v>328959.84127186367</v>
      </c>
    </row>
    <row r="1132" spans="7:7" ht="14.4">
      <c r="G1132" s="39">
        <f t="shared" si="18"/>
        <v>328959.84127186367</v>
      </c>
    </row>
    <row r="1133" spans="7:7" ht="14.4">
      <c r="G1133" s="39">
        <f t="shared" si="18"/>
        <v>328959.84127186367</v>
      </c>
    </row>
    <row r="1134" spans="7:7" ht="14.4">
      <c r="G1134" s="39">
        <f t="shared" si="18"/>
        <v>328959.84127186367</v>
      </c>
    </row>
    <row r="1135" spans="7:7" ht="14.4">
      <c r="G1135" s="39">
        <f t="shared" si="18"/>
        <v>328959.84127186367</v>
      </c>
    </row>
    <row r="1136" spans="7:7" ht="14.4">
      <c r="G1136" s="39">
        <f t="shared" si="18"/>
        <v>328959.84127186367</v>
      </c>
    </row>
    <row r="1137" spans="7:7" ht="14.4">
      <c r="G1137" s="39">
        <f t="shared" si="18"/>
        <v>328959.84127186367</v>
      </c>
    </row>
    <row r="1138" spans="7:7" ht="14.4">
      <c r="G1138" s="39">
        <f t="shared" si="18"/>
        <v>328959.84127186367</v>
      </c>
    </row>
    <row r="1139" spans="7:7" ht="14.4">
      <c r="G1139" s="39">
        <f t="shared" si="18"/>
        <v>328959.84127186367</v>
      </c>
    </row>
    <row r="1140" spans="7:7" ht="14.4">
      <c r="G1140" s="39">
        <f t="shared" si="18"/>
        <v>328959.84127186367</v>
      </c>
    </row>
    <row r="1141" spans="7:7" ht="14.4">
      <c r="G1141" s="39">
        <f t="shared" si="18"/>
        <v>328959.84127186367</v>
      </c>
    </row>
    <row r="1142" spans="7:7" ht="14.4">
      <c r="G1142" s="39">
        <f t="shared" si="18"/>
        <v>328959.84127186367</v>
      </c>
    </row>
    <row r="1143" spans="7:7" ht="14.4">
      <c r="G1143" s="39">
        <f t="shared" si="18"/>
        <v>328959.84127186367</v>
      </c>
    </row>
    <row r="1144" spans="7:7" ht="14.4">
      <c r="G1144" s="39">
        <f t="shared" si="18"/>
        <v>328959.84127186367</v>
      </c>
    </row>
    <row r="1145" spans="7:7" ht="14.4">
      <c r="G1145" s="39">
        <f t="shared" si="18"/>
        <v>328959.84127186367</v>
      </c>
    </row>
    <row r="1146" spans="7:7" ht="14.4">
      <c r="G1146" s="39">
        <f t="shared" si="18"/>
        <v>328959.84127186367</v>
      </c>
    </row>
    <row r="1147" spans="7:7" ht="14.4">
      <c r="G1147" s="39">
        <f t="shared" si="18"/>
        <v>328959.84127186367</v>
      </c>
    </row>
    <row r="1148" spans="7:7" ht="14.4">
      <c r="G1148" s="39">
        <f t="shared" si="18"/>
        <v>328959.84127186367</v>
      </c>
    </row>
    <row r="1149" spans="7:7" ht="14.4">
      <c r="G1149" s="39">
        <f t="shared" si="18"/>
        <v>328959.84127186367</v>
      </c>
    </row>
    <row r="1150" spans="7:7" ht="14.4">
      <c r="G1150" s="39">
        <f t="shared" si="18"/>
        <v>328959.84127186367</v>
      </c>
    </row>
    <row r="1151" spans="7:7" ht="14.4">
      <c r="G1151" s="39">
        <f t="shared" si="18"/>
        <v>328959.84127186367</v>
      </c>
    </row>
    <row r="1152" spans="7:7" ht="14.4">
      <c r="G1152" s="39">
        <f t="shared" si="18"/>
        <v>328959.84127186367</v>
      </c>
    </row>
    <row r="1153" spans="7:7" ht="14.4">
      <c r="G1153" s="39">
        <f t="shared" si="18"/>
        <v>328959.84127186367</v>
      </c>
    </row>
    <row r="1154" spans="7:7" ht="14.4">
      <c r="G1154" s="39">
        <f t="shared" si="18"/>
        <v>328959.84127186367</v>
      </c>
    </row>
    <row r="1155" spans="7:7" ht="14.4">
      <c r="G1155" s="39">
        <f t="shared" si="18"/>
        <v>328959.84127186367</v>
      </c>
    </row>
    <row r="1156" spans="7:7" ht="14.4">
      <c r="G1156" s="39">
        <f t="shared" si="18"/>
        <v>328959.84127186367</v>
      </c>
    </row>
    <row r="1157" spans="7:7" ht="14.4">
      <c r="G1157" s="39">
        <f t="shared" si="18"/>
        <v>328959.84127186367</v>
      </c>
    </row>
    <row r="1158" spans="7:7" ht="14.4">
      <c r="G1158" s="39">
        <f t="shared" si="18"/>
        <v>328959.84127186367</v>
      </c>
    </row>
    <row r="1159" spans="7:7" ht="14.4">
      <c r="G1159" s="39">
        <f t="shared" si="18"/>
        <v>328959.84127186367</v>
      </c>
    </row>
    <row r="1160" spans="7:7" ht="14.4">
      <c r="G1160" s="39">
        <f t="shared" si="18"/>
        <v>328959.84127186367</v>
      </c>
    </row>
    <row r="1161" spans="7:7" ht="14.4">
      <c r="G1161" s="39">
        <f t="shared" si="18"/>
        <v>328959.84127186367</v>
      </c>
    </row>
    <row r="1162" spans="7:7" ht="14.4">
      <c r="G1162" s="39">
        <f t="shared" si="18"/>
        <v>328959.84127186367</v>
      </c>
    </row>
    <row r="1163" spans="7:7" ht="14.4">
      <c r="G1163" s="39">
        <f t="shared" si="18"/>
        <v>328959.84127186367</v>
      </c>
    </row>
    <row r="1164" spans="7:7" ht="14.4">
      <c r="G1164" s="39">
        <f t="shared" si="18"/>
        <v>328959.84127186367</v>
      </c>
    </row>
    <row r="1165" spans="7:7" ht="14.4">
      <c r="G1165" s="39">
        <f t="shared" si="18"/>
        <v>328959.84127186367</v>
      </c>
    </row>
    <row r="1166" spans="7:7" ht="14.4">
      <c r="G1166" s="39">
        <f t="shared" si="18"/>
        <v>328959.84127186367</v>
      </c>
    </row>
    <row r="1167" spans="7:7" ht="14.4">
      <c r="G1167" s="39">
        <f t="shared" si="18"/>
        <v>328959.84127186367</v>
      </c>
    </row>
    <row r="1168" spans="7:7" ht="14.4">
      <c r="G1168" s="39">
        <f t="shared" si="18"/>
        <v>328959.84127186367</v>
      </c>
    </row>
    <row r="1169" spans="7:7" ht="14.4">
      <c r="G1169" s="39">
        <f t="shared" si="18"/>
        <v>328959.84127186367</v>
      </c>
    </row>
    <row r="1170" spans="7:7" ht="14.4">
      <c r="G1170" s="39">
        <f t="shared" si="18"/>
        <v>328959.84127186367</v>
      </c>
    </row>
    <row r="1171" spans="7:7" ht="14.4">
      <c r="G1171" s="39">
        <f t="shared" si="18"/>
        <v>328959.84127186367</v>
      </c>
    </row>
    <row r="1172" spans="7:7" ht="14.4">
      <c r="G1172" s="39">
        <f t="shared" si="18"/>
        <v>328959.84127186367</v>
      </c>
    </row>
    <row r="1173" spans="7:7" ht="14.4">
      <c r="G1173" s="39">
        <f t="shared" si="18"/>
        <v>328959.84127186367</v>
      </c>
    </row>
    <row r="1174" spans="7:7" ht="14.4">
      <c r="G1174" s="39">
        <f t="shared" si="18"/>
        <v>328959.84127186367</v>
      </c>
    </row>
    <row r="1175" spans="7:7" ht="14.4">
      <c r="G1175" s="39">
        <f t="shared" si="18"/>
        <v>328959.84127186367</v>
      </c>
    </row>
    <row r="1176" spans="7:7" ht="14.4">
      <c r="G1176" s="39">
        <f t="shared" si="18"/>
        <v>328959.84127186367</v>
      </c>
    </row>
    <row r="1177" spans="7:7" ht="14.4">
      <c r="G1177" s="39">
        <f t="shared" si="18"/>
        <v>328959.84127186367</v>
      </c>
    </row>
    <row r="1178" spans="7:7" ht="14.4">
      <c r="G1178" s="39">
        <f t="shared" si="18"/>
        <v>328959.84127186367</v>
      </c>
    </row>
    <row r="1179" spans="7:7" ht="14.4">
      <c r="G1179" s="39">
        <f t="shared" si="18"/>
        <v>328959.84127186367</v>
      </c>
    </row>
    <row r="1180" spans="7:7" ht="14.4">
      <c r="G1180" s="39">
        <f t="shared" si="18"/>
        <v>328959.84127186367</v>
      </c>
    </row>
    <row r="1181" spans="7:7" ht="14.4">
      <c r="G1181" s="39">
        <f t="shared" si="18"/>
        <v>328959.84127186367</v>
      </c>
    </row>
    <row r="1182" spans="7:7" ht="14.4">
      <c r="G1182" s="39">
        <f t="shared" si="18"/>
        <v>328959.84127186367</v>
      </c>
    </row>
    <row r="1183" spans="7:7" ht="14.4">
      <c r="G1183" s="39">
        <f t="shared" si="18"/>
        <v>328959.84127186367</v>
      </c>
    </row>
    <row r="1184" spans="7:7" ht="14.4">
      <c r="G1184" s="39">
        <f t="shared" si="18"/>
        <v>328959.84127186367</v>
      </c>
    </row>
    <row r="1185" spans="7:7" ht="14.4">
      <c r="G1185" s="39">
        <f t="shared" si="18"/>
        <v>328959.84127186367</v>
      </c>
    </row>
    <row r="1186" spans="7:7" ht="14.4">
      <c r="G1186" s="39">
        <f t="shared" si="18"/>
        <v>328959.84127186367</v>
      </c>
    </row>
    <row r="1187" spans="7:7" ht="14.4">
      <c r="G1187" s="39">
        <f t="shared" si="18"/>
        <v>328959.84127186367</v>
      </c>
    </row>
    <row r="1188" spans="7:7" ht="14.4">
      <c r="G1188" s="39">
        <f t="shared" si="18"/>
        <v>328959.84127186367</v>
      </c>
    </row>
    <row r="1189" spans="7:7" ht="14.4">
      <c r="G1189" s="39">
        <f t="shared" si="18"/>
        <v>328959.84127186367</v>
      </c>
    </row>
    <row r="1190" spans="7:7" ht="14.4">
      <c r="G1190" s="39">
        <f t="shared" si="18"/>
        <v>328959.84127186367</v>
      </c>
    </row>
    <row r="1191" spans="7:7" ht="14.4">
      <c r="G1191" s="39">
        <f t="shared" si="18"/>
        <v>328959.84127186367</v>
      </c>
    </row>
    <row r="1192" spans="7:7" ht="14.4">
      <c r="G1192" s="39">
        <f t="shared" si="18"/>
        <v>328959.84127186367</v>
      </c>
    </row>
    <row r="1193" spans="7:7" ht="14.4">
      <c r="G1193" s="39">
        <f t="shared" ref="G1193:G1200" si="19">G1192+E1193-F1193</f>
        <v>328959.84127186367</v>
      </c>
    </row>
    <row r="1194" spans="7:7" ht="14.4">
      <c r="G1194" s="39">
        <f t="shared" si="19"/>
        <v>328959.84127186367</v>
      </c>
    </row>
    <row r="1195" spans="7:7" ht="14.4">
      <c r="G1195" s="39">
        <f t="shared" si="19"/>
        <v>328959.84127186367</v>
      </c>
    </row>
    <row r="1196" spans="7:7" ht="14.4">
      <c r="G1196" s="39">
        <f t="shared" si="19"/>
        <v>328959.84127186367</v>
      </c>
    </row>
    <row r="1197" spans="7:7" ht="14.4">
      <c r="G1197" s="39">
        <f t="shared" si="19"/>
        <v>328959.84127186367</v>
      </c>
    </row>
    <row r="1198" spans="7:7" ht="14.4">
      <c r="G1198" s="39">
        <f t="shared" si="19"/>
        <v>328959.84127186367</v>
      </c>
    </row>
    <row r="1199" spans="7:7" ht="14.4">
      <c r="G1199" s="39">
        <f t="shared" si="19"/>
        <v>328959.84127186367</v>
      </c>
    </row>
    <row r="1200" spans="7:7" ht="14.4">
      <c r="G1200" s="39">
        <f t="shared" si="19"/>
        <v>328959.84127186367</v>
      </c>
    </row>
  </sheetData>
  <protectedRanges>
    <protectedRange sqref="F375:F377" name="Presupuestos_13_1"/>
    <protectedRange sqref="E836" name="Presupuestos_2_1_1_1"/>
  </protectedRanges>
  <autoFilter ref="A4:G815" xr:uid="{54CE810C-0500-49F7-AD98-AC0E90C33A48}"/>
  <pageMargins left="0.7" right="0.7" top="0.75" bottom="0.75" header="0.3" footer="0.3"/>
  <pageSetup paperSize="2833" orientation="portrait" horizontalDpi="180" verticalDpi="18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9D5B-056C-4DAA-AE52-9CE24B639481}">
  <sheetPr codeName="Hoja1"/>
  <dimension ref="A2:L470"/>
  <sheetViews>
    <sheetView showGridLines="0" topLeftCell="A421" zoomScaleNormal="100" workbookViewId="0">
      <selection activeCell="G437" sqref="G437"/>
    </sheetView>
  </sheetViews>
  <sheetFormatPr baseColWidth="10" defaultColWidth="9.109375" defaultRowHeight="12"/>
  <cols>
    <col min="1" max="1" width="12.33203125" style="11" customWidth="1"/>
    <col min="2" max="2" width="3.109375" style="11" customWidth="1"/>
    <col min="3" max="3" width="2.6640625" style="11" customWidth="1"/>
    <col min="4" max="4" width="90.88671875" style="11" customWidth="1"/>
    <col min="5" max="5" width="19" style="11" customWidth="1"/>
    <col min="6" max="6" width="16.33203125" style="11" customWidth="1"/>
    <col min="7" max="7" width="16.88671875" style="11" bestFit="1" customWidth="1"/>
    <col min="8" max="8" width="12.44140625" style="11" bestFit="1" customWidth="1"/>
    <col min="9" max="9" width="17" style="11" customWidth="1"/>
    <col min="10" max="10" width="11.44140625" style="11" bestFit="1" customWidth="1"/>
    <col min="11" max="11" width="12.33203125" style="11" bestFit="1" customWidth="1"/>
    <col min="12" max="12" width="13.5546875" style="11" bestFit="1" customWidth="1"/>
    <col min="13" max="16384" width="9.109375" style="11"/>
  </cols>
  <sheetData>
    <row r="2" spans="1:10" s="8" customFormat="1" ht="12.6">
      <c r="B2" s="1"/>
      <c r="C2" s="2"/>
      <c r="D2" s="3" t="s">
        <v>19</v>
      </c>
      <c r="E2" s="3"/>
      <c r="F2" s="3"/>
      <c r="G2" s="4"/>
      <c r="H2" s="4"/>
      <c r="I2" s="5"/>
    </row>
    <row r="3" spans="1:10" s="8" customFormat="1" ht="12.6">
      <c r="B3" s="1"/>
      <c r="C3" s="2"/>
      <c r="D3" s="3"/>
      <c r="E3" s="3"/>
      <c r="F3" s="3"/>
      <c r="G3" s="4"/>
      <c r="H3" s="4"/>
      <c r="I3" s="5"/>
    </row>
    <row r="4" spans="1:10" ht="15" customHeight="1">
      <c r="A4" s="1" t="s">
        <v>0</v>
      </c>
      <c r="B4" s="1"/>
      <c r="C4" s="2"/>
      <c r="D4" s="22" t="s">
        <v>20</v>
      </c>
      <c r="E4" s="3" t="s">
        <v>1</v>
      </c>
      <c r="F4" s="3" t="s">
        <v>2</v>
      </c>
      <c r="G4" s="4" t="s">
        <v>3</v>
      </c>
      <c r="H4" s="21"/>
      <c r="I4" s="19"/>
    </row>
    <row r="5" spans="1:10" s="8" customFormat="1" ht="12.6">
      <c r="A5" s="10">
        <v>45566</v>
      </c>
      <c r="E5" s="12"/>
      <c r="F5" s="12"/>
      <c r="G5" s="23">
        <v>0</v>
      </c>
      <c r="H5" s="6"/>
      <c r="I5" s="7"/>
    </row>
    <row r="6" spans="1:10" ht="12.6">
      <c r="A6" s="10">
        <v>45575</v>
      </c>
      <c r="B6" s="8"/>
      <c r="C6" s="8"/>
      <c r="D6" s="24" t="s">
        <v>12</v>
      </c>
      <c r="E6" s="9"/>
      <c r="F6" s="26">
        <v>15.84</v>
      </c>
      <c r="G6" s="27">
        <f t="shared" ref="G6:G37" si="0">G5+E6-F6</f>
        <v>-15.84</v>
      </c>
      <c r="H6" s="16"/>
      <c r="I6" s="15"/>
    </row>
    <row r="7" spans="1:10" ht="12.6">
      <c r="A7" s="10">
        <v>45596</v>
      </c>
      <c r="B7" s="8"/>
      <c r="C7" s="8"/>
      <c r="D7" s="11" t="s">
        <v>10</v>
      </c>
      <c r="E7" s="9"/>
      <c r="F7" s="26">
        <v>2</v>
      </c>
      <c r="G7" s="27">
        <f t="shared" si="0"/>
        <v>-17.84</v>
      </c>
      <c r="H7" s="16"/>
      <c r="I7" s="15"/>
    </row>
    <row r="8" spans="1:10" ht="12.6">
      <c r="A8" s="13">
        <v>45596</v>
      </c>
      <c r="B8" s="14"/>
      <c r="C8" s="14"/>
      <c r="D8" s="14"/>
      <c r="E8" s="18"/>
      <c r="F8" s="29"/>
      <c r="G8" s="30">
        <f t="shared" si="0"/>
        <v>-17.84</v>
      </c>
    </row>
    <row r="9" spans="1:10" ht="12.6">
      <c r="A9" s="10">
        <v>45597</v>
      </c>
      <c r="E9" s="9"/>
      <c r="F9" s="28"/>
      <c r="G9" s="27">
        <f t="shared" si="0"/>
        <v>-17.84</v>
      </c>
    </row>
    <row r="10" spans="1:10" ht="12.6">
      <c r="A10" s="10">
        <v>45607</v>
      </c>
      <c r="D10" s="24" t="s">
        <v>21</v>
      </c>
      <c r="E10" s="26">
        <v>15.84</v>
      </c>
      <c r="F10" s="26"/>
      <c r="G10" s="27">
        <f t="shared" si="0"/>
        <v>-2</v>
      </c>
    </row>
    <row r="11" spans="1:10" ht="12.6">
      <c r="A11" s="10">
        <v>45608</v>
      </c>
      <c r="D11" s="11" t="s">
        <v>22</v>
      </c>
      <c r="E11" s="26">
        <v>2595</v>
      </c>
      <c r="F11" s="26"/>
      <c r="G11" s="27">
        <f t="shared" si="0"/>
        <v>2593</v>
      </c>
    </row>
    <row r="12" spans="1:10" ht="12.6">
      <c r="A12" s="10">
        <v>45608</v>
      </c>
      <c r="D12" s="11" t="s">
        <v>16</v>
      </c>
      <c r="E12" s="26"/>
      <c r="F12" s="26">
        <v>0.1</v>
      </c>
      <c r="G12" s="27">
        <f t="shared" si="0"/>
        <v>2592.9</v>
      </c>
    </row>
    <row r="13" spans="1:10" ht="12.6">
      <c r="A13" s="10">
        <v>45610</v>
      </c>
      <c r="D13" s="11" t="s">
        <v>23</v>
      </c>
      <c r="E13" s="26"/>
      <c r="F13" s="26">
        <v>1338.8</v>
      </c>
      <c r="G13" s="31">
        <f t="shared" si="0"/>
        <v>1254.1000000000001</v>
      </c>
      <c r="J13" s="17"/>
    </row>
    <row r="14" spans="1:10" ht="14.4">
      <c r="A14" s="10">
        <v>45610</v>
      </c>
      <c r="D14" s="11" t="s">
        <v>16</v>
      </c>
      <c r="E14" s="190"/>
      <c r="F14" s="26">
        <v>0.05</v>
      </c>
      <c r="G14" s="31">
        <f t="shared" si="0"/>
        <v>1254.0500000000002</v>
      </c>
    </row>
    <row r="15" spans="1:10" ht="12.6">
      <c r="A15" s="10">
        <v>45614</v>
      </c>
      <c r="D15" s="11" t="s">
        <v>24</v>
      </c>
      <c r="E15" s="26"/>
      <c r="F15" s="26">
        <v>1.32</v>
      </c>
      <c r="G15" s="31">
        <f t="shared" si="0"/>
        <v>1252.7300000000002</v>
      </c>
    </row>
    <row r="16" spans="1:10" ht="12.6">
      <c r="A16" s="10">
        <v>45621</v>
      </c>
      <c r="D16" s="11" t="s">
        <v>25</v>
      </c>
      <c r="E16" s="26">
        <v>3833.74</v>
      </c>
      <c r="F16" s="26"/>
      <c r="G16" s="31">
        <f t="shared" si="0"/>
        <v>5086.47</v>
      </c>
    </row>
    <row r="17" spans="1:9" ht="12.6">
      <c r="A17" s="10">
        <v>45621</v>
      </c>
      <c r="D17" s="11" t="s">
        <v>16</v>
      </c>
      <c r="E17" s="26"/>
      <c r="F17" s="26">
        <v>0.15</v>
      </c>
      <c r="G17" s="31">
        <f t="shared" si="0"/>
        <v>5086.3200000000006</v>
      </c>
    </row>
    <row r="18" spans="1:9" ht="12.6">
      <c r="A18" s="10">
        <v>45623</v>
      </c>
      <c r="D18" s="11" t="s">
        <v>17</v>
      </c>
      <c r="E18" s="26"/>
      <c r="F18" s="26">
        <v>81.06</v>
      </c>
      <c r="G18" s="31">
        <f t="shared" si="0"/>
        <v>5005.26</v>
      </c>
    </row>
    <row r="19" spans="1:9" ht="12.6">
      <c r="A19" s="10">
        <v>45624</v>
      </c>
      <c r="D19" s="11" t="s">
        <v>26</v>
      </c>
      <c r="E19" s="26"/>
      <c r="F19" s="26">
        <v>1778.98</v>
      </c>
      <c r="G19" s="31">
        <f t="shared" si="0"/>
        <v>3226.28</v>
      </c>
    </row>
    <row r="20" spans="1:9" ht="12.6">
      <c r="A20" s="10">
        <v>45626</v>
      </c>
      <c r="D20" s="24" t="s">
        <v>10</v>
      </c>
      <c r="E20" s="26"/>
      <c r="F20" s="26">
        <v>2</v>
      </c>
      <c r="G20" s="31">
        <f t="shared" si="0"/>
        <v>3224.28</v>
      </c>
    </row>
    <row r="21" spans="1:9" ht="12.6">
      <c r="A21" s="10">
        <v>45626</v>
      </c>
      <c r="D21" s="24" t="s">
        <v>27</v>
      </c>
      <c r="E21" s="26"/>
      <c r="F21" s="26">
        <v>0.15</v>
      </c>
      <c r="G21" s="31">
        <f t="shared" si="0"/>
        <v>3224.13</v>
      </c>
    </row>
    <row r="22" spans="1:9" ht="12.6">
      <c r="A22" s="10">
        <v>45626</v>
      </c>
      <c r="D22" s="24" t="s">
        <v>12</v>
      </c>
      <c r="E22" s="26"/>
      <c r="F22" s="26">
        <v>13</v>
      </c>
      <c r="G22" s="31">
        <f t="shared" si="0"/>
        <v>3211.13</v>
      </c>
    </row>
    <row r="23" spans="1:9" ht="12.6">
      <c r="A23" s="13">
        <v>45626</v>
      </c>
      <c r="B23" s="14"/>
      <c r="C23" s="14"/>
      <c r="D23" s="14"/>
      <c r="E23" s="191"/>
      <c r="F23" s="66"/>
      <c r="G23" s="30">
        <f t="shared" si="0"/>
        <v>3211.13</v>
      </c>
    </row>
    <row r="24" spans="1:9" ht="12.6">
      <c r="A24" s="10">
        <v>45627</v>
      </c>
      <c r="E24" s="26"/>
      <c r="F24" s="26"/>
      <c r="G24" s="27">
        <f t="shared" si="0"/>
        <v>3211.13</v>
      </c>
    </row>
    <row r="25" spans="1:9" ht="12.6">
      <c r="A25" s="10">
        <v>45628</v>
      </c>
      <c r="D25" s="11" t="s">
        <v>24</v>
      </c>
      <c r="E25" s="26"/>
      <c r="F25" s="26">
        <v>1.32</v>
      </c>
      <c r="G25" s="27">
        <f t="shared" si="0"/>
        <v>3209.81</v>
      </c>
    </row>
    <row r="26" spans="1:9" ht="12.6">
      <c r="A26" s="10">
        <v>45628</v>
      </c>
      <c r="D26" s="11" t="s">
        <v>29</v>
      </c>
      <c r="E26" s="26"/>
      <c r="F26" s="26">
        <v>1.32</v>
      </c>
      <c r="G26" s="27">
        <f t="shared" si="0"/>
        <v>3208.49</v>
      </c>
    </row>
    <row r="27" spans="1:9" ht="12.6">
      <c r="A27" s="10">
        <v>45637</v>
      </c>
      <c r="D27" s="11" t="s">
        <v>28</v>
      </c>
      <c r="E27" s="26"/>
      <c r="F27" s="26">
        <v>815.44</v>
      </c>
      <c r="G27" s="27">
        <f t="shared" si="0"/>
        <v>2393.0499999999997</v>
      </c>
    </row>
    <row r="28" spans="1:9" ht="12.6">
      <c r="A28" s="10">
        <v>45637</v>
      </c>
      <c r="D28" s="11" t="s">
        <v>41</v>
      </c>
      <c r="E28" s="26"/>
      <c r="F28" s="26">
        <v>336.77</v>
      </c>
      <c r="G28" s="27">
        <f t="shared" si="0"/>
        <v>2056.2799999999997</v>
      </c>
      <c r="I28" s="38"/>
    </row>
    <row r="29" spans="1:9" ht="12.6">
      <c r="A29" s="10">
        <v>45637</v>
      </c>
      <c r="D29" s="11" t="s">
        <v>41</v>
      </c>
      <c r="E29" s="26"/>
      <c r="F29" s="26">
        <v>902.55</v>
      </c>
      <c r="G29" s="27">
        <f t="shared" si="0"/>
        <v>1153.7299999999998</v>
      </c>
    </row>
    <row r="30" spans="1:9" ht="12.6">
      <c r="A30" s="10">
        <v>45639</v>
      </c>
      <c r="D30" s="11" t="s">
        <v>43</v>
      </c>
      <c r="E30" s="26">
        <v>6017.36</v>
      </c>
      <c r="F30" s="26"/>
      <c r="G30" s="27">
        <f t="shared" si="0"/>
        <v>7171.0899999999992</v>
      </c>
    </row>
    <row r="31" spans="1:9" ht="12.6">
      <c r="A31" s="10">
        <v>45639</v>
      </c>
      <c r="D31" s="11" t="s">
        <v>16</v>
      </c>
      <c r="E31" s="26"/>
      <c r="F31" s="26">
        <v>0.3</v>
      </c>
      <c r="G31" s="27">
        <f t="shared" si="0"/>
        <v>7170.7899999999991</v>
      </c>
    </row>
    <row r="32" spans="1:9" ht="12.6">
      <c r="A32" s="10">
        <v>45639</v>
      </c>
      <c r="D32" s="11" t="s">
        <v>62</v>
      </c>
      <c r="E32" s="26"/>
      <c r="F32" s="26">
        <v>5986.48</v>
      </c>
      <c r="G32" s="27">
        <f t="shared" si="0"/>
        <v>1184.3099999999995</v>
      </c>
    </row>
    <row r="33" spans="1:9" ht="12.6">
      <c r="A33" s="10">
        <v>45639</v>
      </c>
      <c r="D33" s="11" t="s">
        <v>62</v>
      </c>
      <c r="E33" s="26"/>
      <c r="F33" s="26">
        <v>30.88</v>
      </c>
      <c r="G33" s="27">
        <f t="shared" si="0"/>
        <v>1153.4299999999994</v>
      </c>
    </row>
    <row r="34" spans="1:9" ht="12.6">
      <c r="A34" s="10">
        <v>45642</v>
      </c>
      <c r="D34" s="11" t="s">
        <v>24</v>
      </c>
      <c r="E34" s="26"/>
      <c r="F34" s="26">
        <v>1.32</v>
      </c>
      <c r="G34" s="27">
        <f t="shared" si="0"/>
        <v>1152.1099999999994</v>
      </c>
    </row>
    <row r="35" spans="1:9" ht="12.6">
      <c r="A35" s="10">
        <v>45645</v>
      </c>
      <c r="D35" s="11" t="s">
        <v>68</v>
      </c>
      <c r="E35" s="26"/>
      <c r="F35" s="26">
        <v>938.1</v>
      </c>
      <c r="G35" s="27">
        <f t="shared" si="0"/>
        <v>214.00999999999942</v>
      </c>
    </row>
    <row r="36" spans="1:9" ht="12.6">
      <c r="A36" s="10">
        <v>45657</v>
      </c>
      <c r="D36" s="24" t="s">
        <v>10</v>
      </c>
      <c r="E36" s="26"/>
      <c r="F36" s="26">
        <v>2</v>
      </c>
      <c r="G36" s="27">
        <f t="shared" si="0"/>
        <v>212.00999999999942</v>
      </c>
    </row>
    <row r="37" spans="1:9" ht="12.6">
      <c r="A37" s="10">
        <v>45657</v>
      </c>
      <c r="D37" s="24" t="s">
        <v>12</v>
      </c>
      <c r="E37" s="26"/>
      <c r="F37" s="26">
        <v>13</v>
      </c>
      <c r="G37" s="27">
        <f t="shared" si="0"/>
        <v>199.00999999999942</v>
      </c>
    </row>
    <row r="38" spans="1:9" s="19" customFormat="1" ht="12.6">
      <c r="A38" s="13">
        <v>45657</v>
      </c>
      <c r="B38" s="14"/>
      <c r="C38" s="14"/>
      <c r="D38" s="14"/>
      <c r="E38" s="191"/>
      <c r="F38" s="66"/>
      <c r="G38" s="30">
        <f t="shared" ref="G38:G69" si="1">G37+E38-F38</f>
        <v>199.00999999999942</v>
      </c>
    </row>
    <row r="39" spans="1:9" ht="12.6">
      <c r="A39" s="10">
        <v>45658</v>
      </c>
      <c r="E39" s="26"/>
      <c r="F39" s="26"/>
      <c r="G39" s="27">
        <f t="shared" si="1"/>
        <v>199.00999999999942</v>
      </c>
    </row>
    <row r="40" spans="1:9" ht="12.6">
      <c r="A40" s="10">
        <v>45663</v>
      </c>
      <c r="D40" s="11" t="s">
        <v>21</v>
      </c>
      <c r="E40" s="26">
        <v>13</v>
      </c>
      <c r="F40" s="26"/>
      <c r="G40" s="27">
        <f t="shared" si="1"/>
        <v>212.00999999999942</v>
      </c>
    </row>
    <row r="41" spans="1:9" ht="12.6">
      <c r="A41" s="10">
        <v>45678</v>
      </c>
      <c r="D41" s="11" t="s">
        <v>74</v>
      </c>
      <c r="E41" s="26">
        <v>8565.91</v>
      </c>
      <c r="F41" s="26"/>
      <c r="G41" s="27">
        <f t="shared" si="1"/>
        <v>8777.92</v>
      </c>
    </row>
    <row r="42" spans="1:9" ht="12.6">
      <c r="A42" s="10">
        <v>45678</v>
      </c>
      <c r="D42" s="11" t="s">
        <v>16</v>
      </c>
      <c r="E42" s="26"/>
      <c r="F42" s="26">
        <v>0.4</v>
      </c>
      <c r="G42" s="27">
        <f t="shared" si="1"/>
        <v>8777.52</v>
      </c>
    </row>
    <row r="43" spans="1:9" ht="12.6">
      <c r="A43" s="10">
        <v>45685</v>
      </c>
      <c r="D43" s="11" t="s">
        <v>71</v>
      </c>
      <c r="E43" s="26"/>
      <c r="F43" s="26">
        <v>454.3</v>
      </c>
      <c r="G43" s="27">
        <f t="shared" si="1"/>
        <v>8323.2200000000012</v>
      </c>
    </row>
    <row r="44" spans="1:9" ht="12.6">
      <c r="A44" s="10">
        <v>45685</v>
      </c>
      <c r="D44" s="11" t="s">
        <v>86</v>
      </c>
      <c r="E44" s="26"/>
      <c r="F44" s="26">
        <v>7323.22</v>
      </c>
      <c r="G44" s="27">
        <f t="shared" si="1"/>
        <v>1000.0000000000009</v>
      </c>
    </row>
    <row r="45" spans="1:9" ht="12.6">
      <c r="A45" s="10">
        <v>45685</v>
      </c>
      <c r="D45" s="11" t="s">
        <v>16</v>
      </c>
      <c r="E45" s="26"/>
      <c r="F45" s="26">
        <v>1.32</v>
      </c>
      <c r="G45" s="27">
        <f t="shared" si="1"/>
        <v>998.68000000000086</v>
      </c>
    </row>
    <row r="46" spans="1:9" ht="12.6">
      <c r="A46" s="10">
        <v>45688</v>
      </c>
      <c r="D46" s="24" t="s">
        <v>10</v>
      </c>
      <c r="E46" s="26"/>
      <c r="F46" s="26">
        <v>2</v>
      </c>
      <c r="G46" s="27">
        <f t="shared" si="1"/>
        <v>996.68000000000086</v>
      </c>
      <c r="H46" s="27"/>
      <c r="I46" s="38"/>
    </row>
    <row r="47" spans="1:9" ht="12.6">
      <c r="A47" s="10">
        <v>45688</v>
      </c>
      <c r="D47" s="24" t="s">
        <v>12</v>
      </c>
      <c r="E47" s="26"/>
      <c r="F47" s="26">
        <v>13</v>
      </c>
      <c r="G47" s="27">
        <f t="shared" si="1"/>
        <v>983.68000000000086</v>
      </c>
    </row>
    <row r="48" spans="1:9" s="14" customFormat="1" ht="12.6">
      <c r="A48" s="13">
        <v>45688</v>
      </c>
      <c r="E48" s="66"/>
      <c r="F48" s="66"/>
      <c r="G48" s="30">
        <f t="shared" si="1"/>
        <v>983.68000000000086</v>
      </c>
    </row>
    <row r="49" spans="1:9" ht="12.6">
      <c r="A49" s="10">
        <v>45689</v>
      </c>
      <c r="E49" s="26"/>
      <c r="F49" s="26"/>
      <c r="G49" s="27">
        <f t="shared" si="1"/>
        <v>983.68000000000086</v>
      </c>
    </row>
    <row r="50" spans="1:9" ht="12.6">
      <c r="A50" s="10">
        <v>45709</v>
      </c>
      <c r="D50" s="180" t="s">
        <v>91</v>
      </c>
      <c r="E50" s="26">
        <v>8181.44</v>
      </c>
      <c r="F50" s="26"/>
      <c r="G50" s="27">
        <f t="shared" si="1"/>
        <v>9165.1200000000008</v>
      </c>
    </row>
    <row r="51" spans="1:9" ht="12.6">
      <c r="A51" s="10">
        <v>45709</v>
      </c>
      <c r="D51" s="11" t="s">
        <v>16</v>
      </c>
      <c r="E51" s="26"/>
      <c r="F51" s="26">
        <v>0.4</v>
      </c>
      <c r="G51" s="27">
        <f t="shared" si="1"/>
        <v>9164.7200000000012</v>
      </c>
    </row>
    <row r="52" spans="1:9" ht="12.6">
      <c r="A52" s="10">
        <v>45712</v>
      </c>
      <c r="D52" s="180" t="s">
        <v>92</v>
      </c>
      <c r="E52" s="26">
        <v>1370.8</v>
      </c>
      <c r="F52" s="26"/>
      <c r="G52" s="27">
        <f t="shared" si="1"/>
        <v>10535.52</v>
      </c>
    </row>
    <row r="53" spans="1:9" ht="12.6">
      <c r="A53" s="10">
        <v>45712</v>
      </c>
      <c r="D53" s="11" t="s">
        <v>24</v>
      </c>
      <c r="E53" s="26"/>
      <c r="F53" s="26">
        <v>1.32</v>
      </c>
      <c r="G53" s="27">
        <f t="shared" si="1"/>
        <v>10534.2</v>
      </c>
    </row>
    <row r="54" spans="1:9" ht="12.6">
      <c r="A54" s="10">
        <v>45712</v>
      </c>
      <c r="D54" s="11" t="s">
        <v>16</v>
      </c>
      <c r="E54" s="26"/>
      <c r="F54" s="26">
        <v>0.05</v>
      </c>
      <c r="G54" s="27">
        <f t="shared" si="1"/>
        <v>10534.150000000001</v>
      </c>
      <c r="H54" s="11" t="s">
        <v>83</v>
      </c>
    </row>
    <row r="55" spans="1:9" ht="12.6">
      <c r="A55" s="10">
        <v>45713</v>
      </c>
      <c r="D55" s="11" t="s">
        <v>85</v>
      </c>
      <c r="E55" s="26"/>
      <c r="F55" s="26">
        <v>9434.7999999999993</v>
      </c>
      <c r="G55" s="27">
        <f t="shared" si="1"/>
        <v>1099.3500000000022</v>
      </c>
    </row>
    <row r="56" spans="1:9" ht="12.6">
      <c r="A56" s="10">
        <v>45713</v>
      </c>
      <c r="D56" s="11" t="s">
        <v>87</v>
      </c>
      <c r="E56" s="26"/>
      <c r="F56" s="26">
        <v>348.1</v>
      </c>
      <c r="G56" s="27">
        <f t="shared" si="1"/>
        <v>751.25000000000216</v>
      </c>
    </row>
    <row r="57" spans="1:9" ht="12.6">
      <c r="A57" s="10">
        <v>45716</v>
      </c>
      <c r="D57" s="11" t="s">
        <v>93</v>
      </c>
      <c r="E57" s="26">
        <v>7173.86</v>
      </c>
      <c r="F57" s="26"/>
      <c r="G57" s="27">
        <f t="shared" si="1"/>
        <v>7925.1100000000015</v>
      </c>
    </row>
    <row r="58" spans="1:9" ht="12.6">
      <c r="A58" s="10">
        <v>45716</v>
      </c>
      <c r="D58" s="11" t="s">
        <v>94</v>
      </c>
      <c r="E58" s="26">
        <v>1616.02</v>
      </c>
      <c r="F58" s="26"/>
      <c r="G58" s="27">
        <f t="shared" si="1"/>
        <v>9541.130000000001</v>
      </c>
      <c r="I58" s="38"/>
    </row>
    <row r="59" spans="1:9" ht="12.6">
      <c r="A59" s="10">
        <v>45716</v>
      </c>
      <c r="D59" s="11" t="s">
        <v>16</v>
      </c>
      <c r="E59" s="26"/>
      <c r="F59" s="26">
        <v>0.4</v>
      </c>
      <c r="G59" s="27">
        <f t="shared" si="1"/>
        <v>9540.7300000000014</v>
      </c>
      <c r="I59" s="38"/>
    </row>
    <row r="60" spans="1:9" ht="12.6">
      <c r="A60" s="10">
        <v>45716</v>
      </c>
      <c r="D60" s="11" t="s">
        <v>106</v>
      </c>
      <c r="E60" s="26"/>
      <c r="F60" s="26">
        <f>(E57+E58)-250</f>
        <v>8539.8799999999992</v>
      </c>
      <c r="G60" s="27">
        <f t="shared" si="1"/>
        <v>1000.8500000000022</v>
      </c>
    </row>
    <row r="61" spans="1:9" ht="12.6">
      <c r="A61" s="10">
        <v>45716</v>
      </c>
      <c r="D61" s="24" t="s">
        <v>12</v>
      </c>
      <c r="E61" s="26"/>
      <c r="F61" s="26">
        <v>13</v>
      </c>
      <c r="G61" s="27">
        <f t="shared" si="1"/>
        <v>987.85000000000218</v>
      </c>
    </row>
    <row r="62" spans="1:9" ht="12.6">
      <c r="A62" s="10">
        <v>45716</v>
      </c>
      <c r="D62" s="24" t="s">
        <v>10</v>
      </c>
      <c r="E62" s="26"/>
      <c r="F62" s="26">
        <v>2</v>
      </c>
      <c r="G62" s="27">
        <f t="shared" si="1"/>
        <v>985.85000000000218</v>
      </c>
    </row>
    <row r="63" spans="1:9" s="14" customFormat="1" ht="12.6">
      <c r="A63" s="13">
        <v>45716</v>
      </c>
      <c r="E63" s="66"/>
      <c r="F63" s="66"/>
      <c r="G63" s="30">
        <f t="shared" si="1"/>
        <v>985.85000000000218</v>
      </c>
    </row>
    <row r="64" spans="1:9" ht="12.6">
      <c r="A64" s="10">
        <v>45717</v>
      </c>
      <c r="E64" s="26"/>
      <c r="F64" s="26"/>
      <c r="G64" s="27">
        <f t="shared" si="1"/>
        <v>985.85000000000218</v>
      </c>
    </row>
    <row r="65" spans="1:12" ht="12.6">
      <c r="A65" s="10">
        <v>45719</v>
      </c>
      <c r="D65" s="180" t="s">
        <v>94</v>
      </c>
      <c r="E65" s="26">
        <v>2246.37</v>
      </c>
      <c r="F65" s="26"/>
      <c r="G65" s="27">
        <f t="shared" si="1"/>
        <v>3232.2200000000021</v>
      </c>
    </row>
    <row r="66" spans="1:12" ht="12.6">
      <c r="A66" s="10">
        <v>45719</v>
      </c>
      <c r="D66" s="11" t="s">
        <v>24</v>
      </c>
      <c r="E66" s="26"/>
      <c r="F66" s="26">
        <v>1.32</v>
      </c>
      <c r="G66" s="27">
        <f t="shared" si="1"/>
        <v>3230.9000000000019</v>
      </c>
    </row>
    <row r="67" spans="1:12" ht="12.6">
      <c r="A67" s="10">
        <v>45719</v>
      </c>
      <c r="D67" s="11" t="s">
        <v>16</v>
      </c>
      <c r="E67" s="26"/>
      <c r="F67" s="26">
        <v>0.1</v>
      </c>
      <c r="G67" s="27">
        <f t="shared" si="1"/>
        <v>3230.800000000002</v>
      </c>
    </row>
    <row r="68" spans="1:12" ht="12.6">
      <c r="A68" s="10">
        <v>45726</v>
      </c>
      <c r="D68" s="11" t="s">
        <v>24</v>
      </c>
      <c r="E68" s="26"/>
      <c r="F68" s="26">
        <v>1.32</v>
      </c>
      <c r="G68" s="27">
        <f t="shared" si="1"/>
        <v>3229.4800000000018</v>
      </c>
    </row>
    <row r="69" spans="1:12" ht="12.6">
      <c r="A69" s="10">
        <v>45741</v>
      </c>
      <c r="D69" s="180" t="s">
        <v>166</v>
      </c>
      <c r="E69" s="26">
        <v>12729.47</v>
      </c>
      <c r="F69" s="26"/>
      <c r="G69" s="27">
        <f t="shared" si="1"/>
        <v>15958.95</v>
      </c>
      <c r="I69" s="38"/>
    </row>
    <row r="70" spans="1:12" ht="12.6">
      <c r="A70" s="10">
        <v>45741</v>
      </c>
      <c r="D70" s="11" t="s">
        <v>16</v>
      </c>
      <c r="E70" s="26"/>
      <c r="F70" s="26">
        <v>0.6</v>
      </c>
      <c r="G70" s="27">
        <f>G69+E70-F70</f>
        <v>15958.35</v>
      </c>
      <c r="I70" s="38"/>
    </row>
    <row r="71" spans="1:12" ht="12.6">
      <c r="A71" s="10">
        <v>45742</v>
      </c>
      <c r="D71" s="180" t="s">
        <v>165</v>
      </c>
      <c r="E71" s="26">
        <v>9668.49</v>
      </c>
      <c r="F71" s="26"/>
      <c r="G71" s="27">
        <f>G70+E71-F71</f>
        <v>25626.84</v>
      </c>
    </row>
    <row r="72" spans="1:12" ht="12.6">
      <c r="A72" s="10">
        <v>45742</v>
      </c>
      <c r="D72" s="180" t="s">
        <v>171</v>
      </c>
      <c r="E72" s="26">
        <v>2571.6</v>
      </c>
      <c r="F72" s="26"/>
      <c r="G72" s="27">
        <f t="shared" ref="G72:G135" si="2">G71+E72-F72</f>
        <v>28198.44</v>
      </c>
    </row>
    <row r="73" spans="1:12" ht="12.6">
      <c r="A73" s="10">
        <v>45742</v>
      </c>
      <c r="D73" s="11" t="s">
        <v>16</v>
      </c>
      <c r="E73" s="26"/>
      <c r="F73" s="26">
        <v>0.55000000000000004</v>
      </c>
      <c r="G73" s="27">
        <f t="shared" si="2"/>
        <v>28197.89</v>
      </c>
      <c r="I73" s="38"/>
    </row>
    <row r="74" spans="1:12" ht="12.6">
      <c r="A74" s="10">
        <v>45743</v>
      </c>
      <c r="D74" s="11" t="s">
        <v>175</v>
      </c>
      <c r="E74" s="26"/>
      <c r="F74" s="26">
        <v>348.1</v>
      </c>
      <c r="G74" s="27">
        <f t="shared" si="2"/>
        <v>27849.79</v>
      </c>
    </row>
    <row r="75" spans="1:12" ht="12.6">
      <c r="A75" s="10">
        <v>45744</v>
      </c>
      <c r="D75" s="180" t="s">
        <v>181</v>
      </c>
      <c r="E75" s="26">
        <v>3578.05</v>
      </c>
      <c r="F75" s="26"/>
      <c r="G75" s="27">
        <f t="shared" si="2"/>
        <v>31427.84</v>
      </c>
    </row>
    <row r="76" spans="1:12" ht="12.6">
      <c r="A76" s="10">
        <v>45744</v>
      </c>
      <c r="D76" s="11" t="s">
        <v>16</v>
      </c>
      <c r="E76" s="26"/>
      <c r="F76" s="26">
        <v>0.15</v>
      </c>
      <c r="G76" s="27">
        <f t="shared" si="2"/>
        <v>31427.69</v>
      </c>
      <c r="I76" s="38"/>
    </row>
    <row r="77" spans="1:12" ht="12.6">
      <c r="A77" s="10">
        <v>45744</v>
      </c>
      <c r="D77" s="11" t="s">
        <v>182</v>
      </c>
      <c r="E77" s="26"/>
      <c r="F77" s="26">
        <v>7036.42</v>
      </c>
      <c r="G77" s="27">
        <f t="shared" si="2"/>
        <v>24391.269999999997</v>
      </c>
      <c r="J77" s="38"/>
    </row>
    <row r="78" spans="1:12" ht="12.6">
      <c r="A78" s="10">
        <v>45744</v>
      </c>
      <c r="D78" s="11" t="s">
        <v>182</v>
      </c>
      <c r="E78" s="26"/>
      <c r="F78" s="26">
        <v>18463.580000000002</v>
      </c>
      <c r="G78" s="27">
        <f t="shared" si="2"/>
        <v>5927.6899999999951</v>
      </c>
      <c r="H78" s="188"/>
      <c r="J78" s="38"/>
    </row>
    <row r="79" spans="1:12" ht="12.6">
      <c r="A79" s="10">
        <v>45747</v>
      </c>
      <c r="D79" s="11" t="s">
        <v>24</v>
      </c>
      <c r="E79" s="26"/>
      <c r="F79" s="26">
        <v>1.32</v>
      </c>
      <c r="G79" s="27">
        <f t="shared" si="2"/>
        <v>5926.3699999999953</v>
      </c>
      <c r="J79" s="38"/>
      <c r="L79" s="38"/>
    </row>
    <row r="80" spans="1:12" ht="12.6">
      <c r="A80" s="10">
        <v>45747</v>
      </c>
      <c r="D80" s="24" t="s">
        <v>10</v>
      </c>
      <c r="E80" s="26"/>
      <c r="F80" s="28">
        <v>2</v>
      </c>
      <c r="G80" s="27">
        <f t="shared" si="2"/>
        <v>5924.3699999999953</v>
      </c>
    </row>
    <row r="81" spans="1:10" ht="12.6">
      <c r="A81" s="10">
        <v>45747</v>
      </c>
      <c r="D81" s="24" t="s">
        <v>12</v>
      </c>
      <c r="E81" s="26"/>
      <c r="F81" s="26">
        <v>13</v>
      </c>
      <c r="G81" s="27">
        <f t="shared" si="2"/>
        <v>5911.3699999999953</v>
      </c>
    </row>
    <row r="82" spans="1:10" s="14" customFormat="1" ht="12.6">
      <c r="A82" s="13">
        <v>45747</v>
      </c>
      <c r="E82" s="66"/>
      <c r="F82" s="29"/>
      <c r="G82" s="30">
        <f t="shared" si="2"/>
        <v>5911.3699999999953</v>
      </c>
    </row>
    <row r="83" spans="1:10" ht="12.6">
      <c r="A83" s="10">
        <v>45748</v>
      </c>
      <c r="E83" s="26"/>
      <c r="F83" s="28"/>
      <c r="G83" s="27">
        <f t="shared" si="2"/>
        <v>5911.3699999999953</v>
      </c>
      <c r="I83" s="9"/>
      <c r="J83" s="20"/>
    </row>
    <row r="84" spans="1:10" ht="12.6">
      <c r="A84" s="10">
        <v>45769</v>
      </c>
      <c r="D84" s="180" t="s">
        <v>223</v>
      </c>
      <c r="E84" s="26">
        <v>5589.3</v>
      </c>
      <c r="F84" s="28"/>
      <c r="G84" s="27">
        <f t="shared" si="2"/>
        <v>11500.669999999995</v>
      </c>
      <c r="I84" s="9"/>
    </row>
    <row r="85" spans="1:10" ht="12.6">
      <c r="A85" s="10">
        <v>45769</v>
      </c>
      <c r="D85" s="11" t="s">
        <v>16</v>
      </c>
      <c r="E85" s="26"/>
      <c r="F85" s="28">
        <v>0.25</v>
      </c>
      <c r="G85" s="27">
        <f t="shared" si="2"/>
        <v>11500.419999999995</v>
      </c>
      <c r="I85" s="38"/>
    </row>
    <row r="86" spans="1:10" ht="12.6">
      <c r="A86" s="10">
        <v>45769</v>
      </c>
      <c r="D86" s="11" t="s">
        <v>226</v>
      </c>
      <c r="E86" s="26">
        <v>1685.39</v>
      </c>
      <c r="F86" s="28"/>
      <c r="G86" s="27">
        <f t="shared" si="2"/>
        <v>13185.809999999994</v>
      </c>
    </row>
    <row r="87" spans="1:10" ht="12.6">
      <c r="A87" s="10">
        <v>45769</v>
      </c>
      <c r="D87" s="11" t="s">
        <v>227</v>
      </c>
      <c r="E87" s="26"/>
      <c r="F87" s="28">
        <v>2182.4</v>
      </c>
      <c r="G87" s="27">
        <f t="shared" si="2"/>
        <v>11003.409999999994</v>
      </c>
      <c r="I87" s="38"/>
    </row>
    <row r="88" spans="1:10" ht="12.6">
      <c r="A88" s="10">
        <v>45769</v>
      </c>
      <c r="D88" s="11" t="s">
        <v>224</v>
      </c>
      <c r="E88" s="26"/>
      <c r="F88" s="28">
        <v>5713.69</v>
      </c>
      <c r="G88" s="27">
        <f t="shared" si="2"/>
        <v>5289.7199999999948</v>
      </c>
    </row>
    <row r="89" spans="1:10" ht="12.6">
      <c r="A89" s="10">
        <v>45769</v>
      </c>
      <c r="D89" s="11" t="s">
        <v>224</v>
      </c>
      <c r="E89" s="26"/>
      <c r="F89" s="28">
        <v>150.88999999999999</v>
      </c>
      <c r="G89" s="27">
        <f t="shared" si="2"/>
        <v>5138.8299999999945</v>
      </c>
    </row>
    <row r="90" spans="1:10" ht="12.6">
      <c r="A90" s="10">
        <v>45775</v>
      </c>
      <c r="D90" s="180" t="s">
        <v>270</v>
      </c>
      <c r="E90" s="26">
        <v>14249.81</v>
      </c>
      <c r="F90" s="28"/>
      <c r="G90" s="27">
        <f t="shared" si="2"/>
        <v>19388.639999999992</v>
      </c>
      <c r="I90" s="38"/>
    </row>
    <row r="91" spans="1:10" ht="12.6">
      <c r="A91" s="10">
        <v>45775</v>
      </c>
      <c r="D91" s="11" t="s">
        <v>16</v>
      </c>
      <c r="E91" s="26"/>
      <c r="F91" s="26">
        <v>0.7</v>
      </c>
      <c r="G91" s="27">
        <f t="shared" si="2"/>
        <v>19387.939999999991</v>
      </c>
    </row>
    <row r="92" spans="1:10" ht="12.6">
      <c r="A92" s="10">
        <v>45775</v>
      </c>
      <c r="D92" s="11" t="s">
        <v>233</v>
      </c>
      <c r="E92" s="26"/>
      <c r="F92" s="28">
        <v>16387.939999999999</v>
      </c>
      <c r="G92" s="27">
        <f t="shared" si="2"/>
        <v>2999.9999999999927</v>
      </c>
      <c r="J92" s="38"/>
    </row>
    <row r="93" spans="1:10" ht="12.6">
      <c r="A93" s="10">
        <v>45775</v>
      </c>
      <c r="D93" s="11" t="s">
        <v>24</v>
      </c>
      <c r="E93" s="26"/>
      <c r="F93" s="28">
        <v>1.32</v>
      </c>
      <c r="G93" s="27">
        <f t="shared" si="2"/>
        <v>2998.6799999999926</v>
      </c>
      <c r="J93" s="38"/>
    </row>
    <row r="94" spans="1:10" ht="12.6">
      <c r="A94" s="10">
        <v>45776</v>
      </c>
      <c r="D94" s="11" t="s">
        <v>242</v>
      </c>
      <c r="E94" s="26"/>
      <c r="F94" s="26">
        <v>348.1</v>
      </c>
      <c r="G94" s="27">
        <f t="shared" si="2"/>
        <v>2650.5799999999927</v>
      </c>
    </row>
    <row r="95" spans="1:10" ht="12.6">
      <c r="A95" s="10">
        <v>45777</v>
      </c>
      <c r="D95" s="24" t="s">
        <v>10</v>
      </c>
      <c r="E95" s="26"/>
      <c r="F95" s="28">
        <v>2</v>
      </c>
      <c r="G95" s="27">
        <f t="shared" si="2"/>
        <v>2648.5799999999927</v>
      </c>
    </row>
    <row r="96" spans="1:10" ht="12.6">
      <c r="A96" s="10">
        <v>45777</v>
      </c>
      <c r="D96" s="24" t="s">
        <v>12</v>
      </c>
      <c r="E96" s="26"/>
      <c r="F96" s="26">
        <v>13</v>
      </c>
      <c r="G96" s="27">
        <f t="shared" si="2"/>
        <v>2635.5799999999927</v>
      </c>
    </row>
    <row r="97" spans="1:10" s="14" customFormat="1" ht="12.6">
      <c r="A97" s="13">
        <v>45777</v>
      </c>
      <c r="E97" s="66"/>
      <c r="F97" s="29"/>
      <c r="G97" s="30">
        <f t="shared" si="2"/>
        <v>2635.5799999999927</v>
      </c>
    </row>
    <row r="98" spans="1:10" ht="12.6">
      <c r="A98" s="10">
        <v>45778</v>
      </c>
      <c r="E98" s="26"/>
      <c r="F98" s="28"/>
      <c r="G98" s="27">
        <f t="shared" si="2"/>
        <v>2635.5799999999927</v>
      </c>
    </row>
    <row r="99" spans="1:10" ht="12.6">
      <c r="A99" s="10">
        <v>45782</v>
      </c>
      <c r="D99" s="11" t="s">
        <v>24</v>
      </c>
      <c r="E99" s="26"/>
      <c r="F99" s="28">
        <v>1.32</v>
      </c>
      <c r="G99" s="27">
        <f t="shared" si="2"/>
        <v>2634.2599999999925</v>
      </c>
    </row>
    <row r="100" spans="1:10" ht="12.6">
      <c r="A100" s="10">
        <v>45799</v>
      </c>
      <c r="D100" s="180" t="s">
        <v>401</v>
      </c>
      <c r="E100" s="26">
        <v>22201.83</v>
      </c>
      <c r="F100" s="28"/>
      <c r="G100" s="27">
        <f t="shared" si="2"/>
        <v>24836.089999999993</v>
      </c>
      <c r="H100" s="38">
        <v>22331.83</v>
      </c>
      <c r="I100" s="38">
        <f>H100-E100</f>
        <v>130</v>
      </c>
      <c r="J100" s="243">
        <f>I100/H100</f>
        <v>5.8212873732246748E-3</v>
      </c>
    </row>
    <row r="101" spans="1:10" ht="12.6">
      <c r="A101" s="10">
        <v>45799</v>
      </c>
      <c r="D101" s="11" t="s">
        <v>16</v>
      </c>
      <c r="E101" s="26"/>
      <c r="F101" s="26">
        <v>1.1000000000000001</v>
      </c>
      <c r="G101" s="27">
        <f t="shared" si="2"/>
        <v>24834.989999999994</v>
      </c>
    </row>
    <row r="102" spans="1:10" ht="12.6">
      <c r="A102" s="10">
        <v>45803</v>
      </c>
      <c r="D102" s="11" t="s">
        <v>24</v>
      </c>
      <c r="E102" s="26"/>
      <c r="F102" s="28">
        <v>1.32</v>
      </c>
      <c r="G102" s="27">
        <f t="shared" si="2"/>
        <v>24833.669999999995</v>
      </c>
    </row>
    <row r="103" spans="1:10" ht="12.6">
      <c r="A103" s="10">
        <v>45805</v>
      </c>
      <c r="D103" s="11" t="s">
        <v>276</v>
      </c>
      <c r="E103" s="26"/>
      <c r="F103" s="28">
        <v>22833.67</v>
      </c>
      <c r="G103" s="27">
        <f t="shared" si="2"/>
        <v>1999.9999999999964</v>
      </c>
      <c r="I103" s="38"/>
    </row>
    <row r="104" spans="1:10" ht="12.6">
      <c r="A104" s="10">
        <v>45806</v>
      </c>
      <c r="D104" s="11" t="s">
        <v>285</v>
      </c>
      <c r="E104" s="26"/>
      <c r="F104" s="28">
        <v>359.9</v>
      </c>
      <c r="G104" s="27">
        <f t="shared" si="2"/>
        <v>1640.0999999999963</v>
      </c>
    </row>
    <row r="105" spans="1:10" ht="12.6">
      <c r="A105" s="10">
        <v>45806</v>
      </c>
      <c r="D105" s="11" t="s">
        <v>288</v>
      </c>
      <c r="E105" s="26"/>
      <c r="F105" s="28">
        <v>177</v>
      </c>
      <c r="G105" s="27">
        <f t="shared" si="2"/>
        <v>1463.0999999999963</v>
      </c>
    </row>
    <row r="106" spans="1:10" ht="12.6">
      <c r="A106" s="10">
        <v>45808</v>
      </c>
      <c r="D106" s="24" t="s">
        <v>10</v>
      </c>
      <c r="E106" s="26"/>
      <c r="F106" s="28">
        <v>2</v>
      </c>
      <c r="G106" s="27">
        <f t="shared" si="2"/>
        <v>1461.0999999999963</v>
      </c>
    </row>
    <row r="107" spans="1:10" ht="12.6">
      <c r="A107" s="10">
        <v>45808</v>
      </c>
      <c r="D107" s="24" t="s">
        <v>12</v>
      </c>
      <c r="E107" s="26"/>
      <c r="F107" s="26">
        <v>13</v>
      </c>
      <c r="G107" s="27">
        <f t="shared" si="2"/>
        <v>1448.0999999999963</v>
      </c>
    </row>
    <row r="108" spans="1:10" s="14" customFormat="1" ht="12.6">
      <c r="A108" s="13">
        <v>45808</v>
      </c>
      <c r="G108" s="30">
        <f t="shared" si="2"/>
        <v>1448.0999999999963</v>
      </c>
    </row>
    <row r="109" spans="1:10" ht="12.6">
      <c r="A109" s="10">
        <v>45809</v>
      </c>
      <c r="G109" s="27">
        <f t="shared" si="2"/>
        <v>1448.0999999999963</v>
      </c>
    </row>
    <row r="110" spans="1:10" ht="12.6">
      <c r="A110" s="10">
        <v>45817</v>
      </c>
      <c r="D110" s="11" t="s">
        <v>309</v>
      </c>
      <c r="E110" s="26"/>
      <c r="F110" s="26">
        <v>472</v>
      </c>
      <c r="G110" s="27">
        <f t="shared" si="2"/>
        <v>976.09999999999627</v>
      </c>
    </row>
    <row r="111" spans="1:10" ht="12.6">
      <c r="A111" s="10">
        <v>45827</v>
      </c>
      <c r="D111" s="11" t="s">
        <v>316</v>
      </c>
      <c r="E111" s="26">
        <v>300</v>
      </c>
      <c r="F111" s="26"/>
      <c r="G111" s="27">
        <f t="shared" si="2"/>
        <v>1276.0999999999963</v>
      </c>
    </row>
    <row r="112" spans="1:10" ht="12.6">
      <c r="A112" s="10">
        <v>45827</v>
      </c>
      <c r="D112" s="11" t="s">
        <v>314</v>
      </c>
      <c r="E112" s="26"/>
      <c r="F112" s="26">
        <v>980</v>
      </c>
      <c r="G112" s="27">
        <f t="shared" si="2"/>
        <v>296.09999999999627</v>
      </c>
    </row>
    <row r="113" spans="1:10" ht="12.6">
      <c r="A113" s="10">
        <v>45831</v>
      </c>
      <c r="D113" s="180" t="s">
        <v>317</v>
      </c>
      <c r="E113" s="26">
        <v>28174.85</v>
      </c>
      <c r="F113" s="26"/>
      <c r="G113" s="27">
        <f t="shared" si="2"/>
        <v>28470.949999999993</v>
      </c>
    </row>
    <row r="114" spans="1:10" ht="12.6">
      <c r="A114" s="10">
        <v>45831</v>
      </c>
      <c r="D114" s="11" t="s">
        <v>16</v>
      </c>
      <c r="E114" s="26"/>
      <c r="F114" s="26">
        <v>1.4</v>
      </c>
      <c r="G114" s="27">
        <f t="shared" si="2"/>
        <v>28469.549999999992</v>
      </c>
    </row>
    <row r="115" spans="1:10" ht="12.6">
      <c r="A115" s="10">
        <v>45834</v>
      </c>
      <c r="D115" s="11" t="s">
        <v>323</v>
      </c>
      <c r="E115" s="26"/>
      <c r="F115" s="26">
        <v>182.9</v>
      </c>
      <c r="G115" s="27">
        <f t="shared" si="2"/>
        <v>28286.649999999991</v>
      </c>
      <c r="I115" s="38"/>
    </row>
    <row r="116" spans="1:10" ht="12.6">
      <c r="A116" s="10">
        <v>45834</v>
      </c>
      <c r="D116" s="11" t="s">
        <v>327</v>
      </c>
      <c r="E116" s="26"/>
      <c r="F116" s="26">
        <v>7478.42</v>
      </c>
      <c r="G116" s="27">
        <f t="shared" si="2"/>
        <v>20808.229999999989</v>
      </c>
    </row>
    <row r="117" spans="1:10" ht="12.6">
      <c r="A117" s="10">
        <v>45834</v>
      </c>
      <c r="D117" s="11" t="s">
        <v>327</v>
      </c>
      <c r="E117" s="26"/>
      <c r="F117" s="26">
        <v>18808.23</v>
      </c>
      <c r="G117" s="27">
        <f t="shared" si="2"/>
        <v>1999.9999999999891</v>
      </c>
      <c r="J117" s="38"/>
    </row>
    <row r="118" spans="1:10" ht="12.6">
      <c r="A118" s="10">
        <v>45838</v>
      </c>
      <c r="D118" s="24" t="s">
        <v>10</v>
      </c>
      <c r="E118" s="26"/>
      <c r="F118" s="28">
        <v>2</v>
      </c>
      <c r="G118" s="27">
        <f t="shared" si="2"/>
        <v>1997.9999999999891</v>
      </c>
    </row>
    <row r="119" spans="1:10" ht="12.6">
      <c r="A119" s="10">
        <v>45838</v>
      </c>
      <c r="D119" s="24" t="s">
        <v>12</v>
      </c>
      <c r="E119" s="26"/>
      <c r="F119" s="26">
        <v>13</v>
      </c>
      <c r="G119" s="27">
        <f t="shared" si="2"/>
        <v>1984.9999999999891</v>
      </c>
    </row>
    <row r="120" spans="1:10" ht="12.6">
      <c r="A120" s="10">
        <v>45838</v>
      </c>
      <c r="D120" s="11" t="s">
        <v>24</v>
      </c>
      <c r="E120" s="26"/>
      <c r="F120" s="28">
        <v>1.32</v>
      </c>
      <c r="G120" s="27">
        <f t="shared" si="2"/>
        <v>1983.6799999999891</v>
      </c>
    </row>
    <row r="121" spans="1:10" s="14" customFormat="1" ht="12.6">
      <c r="A121" s="13">
        <v>45838</v>
      </c>
      <c r="G121" s="30">
        <f t="shared" si="2"/>
        <v>1983.6799999999891</v>
      </c>
    </row>
    <row r="122" spans="1:10" ht="12.6">
      <c r="A122" s="10">
        <v>45839</v>
      </c>
      <c r="E122" s="26"/>
      <c r="F122" s="26"/>
      <c r="G122" s="27">
        <f t="shared" si="2"/>
        <v>1983.6799999999891</v>
      </c>
    </row>
    <row r="123" spans="1:10" ht="12.6">
      <c r="A123" s="10">
        <v>45848</v>
      </c>
      <c r="D123" s="11" t="s">
        <v>361</v>
      </c>
      <c r="E123" s="26">
        <v>700</v>
      </c>
      <c r="F123" s="26"/>
      <c r="G123" s="27">
        <f t="shared" si="2"/>
        <v>2683.6799999999894</v>
      </c>
    </row>
    <row r="124" spans="1:10" ht="12.6">
      <c r="A124" s="10">
        <v>45848</v>
      </c>
      <c r="D124" s="11" t="s">
        <v>316</v>
      </c>
      <c r="E124" s="26"/>
      <c r="F124" s="26">
        <v>2683.33</v>
      </c>
      <c r="G124" s="27">
        <f t="shared" si="2"/>
        <v>0.34999999998944986</v>
      </c>
    </row>
    <row r="125" spans="1:10" ht="12.6">
      <c r="A125" s="10">
        <v>45852</v>
      </c>
      <c r="D125" s="11" t="s">
        <v>379</v>
      </c>
      <c r="E125" s="26">
        <v>3900</v>
      </c>
      <c r="F125" s="26"/>
      <c r="G125" s="27">
        <f t="shared" si="2"/>
        <v>3900.3499999999894</v>
      </c>
      <c r="I125" s="38"/>
    </row>
    <row r="126" spans="1:10" ht="12.6">
      <c r="A126" s="10">
        <v>45852</v>
      </c>
      <c r="D126" s="11" t="s">
        <v>16</v>
      </c>
      <c r="E126" s="26"/>
      <c r="F126" s="26">
        <v>0.15</v>
      </c>
      <c r="G126" s="27">
        <f t="shared" si="2"/>
        <v>3900.1999999999894</v>
      </c>
      <c r="I126" s="38"/>
    </row>
    <row r="127" spans="1:10" ht="12.6">
      <c r="A127" s="10">
        <v>45852</v>
      </c>
      <c r="D127" s="11" t="s">
        <v>316</v>
      </c>
      <c r="E127" s="26"/>
      <c r="F127" s="26">
        <v>3900</v>
      </c>
      <c r="G127" s="27">
        <f t="shared" si="2"/>
        <v>0.19999999998935891</v>
      </c>
    </row>
    <row r="128" spans="1:10" ht="12.6">
      <c r="A128" s="10">
        <v>45856</v>
      </c>
      <c r="B128" s="8"/>
      <c r="C128" s="8"/>
      <c r="D128" s="8" t="s">
        <v>393</v>
      </c>
      <c r="E128" s="26">
        <v>5</v>
      </c>
      <c r="F128" s="26"/>
      <c r="G128" s="27">
        <f t="shared" si="2"/>
        <v>5.1999999999893589</v>
      </c>
    </row>
    <row r="129" spans="1:11" ht="12.6">
      <c r="A129" s="10">
        <v>45856</v>
      </c>
      <c r="B129" s="8"/>
      <c r="C129" s="8"/>
      <c r="D129" s="291" t="s">
        <v>392</v>
      </c>
      <c r="E129" s="302">
        <v>1527.89</v>
      </c>
      <c r="F129" s="291"/>
      <c r="G129" s="27">
        <f t="shared" si="2"/>
        <v>1533.0899999999895</v>
      </c>
      <c r="I129" s="19" t="s">
        <v>579</v>
      </c>
      <c r="J129" s="333" t="s">
        <v>576</v>
      </c>
      <c r="K129" s="333" t="s">
        <v>577</v>
      </c>
    </row>
    <row r="130" spans="1:11" ht="12.6">
      <c r="A130" s="10">
        <v>45856</v>
      </c>
      <c r="B130" s="8"/>
      <c r="C130" s="8"/>
      <c r="D130" s="291" t="s">
        <v>16</v>
      </c>
      <c r="E130" s="302"/>
      <c r="F130" s="291">
        <v>0.05</v>
      </c>
      <c r="G130" s="27">
        <f t="shared" si="2"/>
        <v>1533.0399999999895</v>
      </c>
      <c r="I130" s="11" t="s">
        <v>578</v>
      </c>
      <c r="J130" s="38">
        <f>E129</f>
        <v>1527.89</v>
      </c>
      <c r="K130" s="38">
        <f>F130+((F141+F142+F143)/2)+'BCP SOLES BCP'!J290</f>
        <v>2458.874772727273</v>
      </c>
    </row>
    <row r="131" spans="1:11" ht="12.6">
      <c r="A131" s="10">
        <v>45856</v>
      </c>
      <c r="D131" s="11" t="s">
        <v>24</v>
      </c>
      <c r="E131" s="26"/>
      <c r="F131" s="26">
        <v>1.32</v>
      </c>
      <c r="G131" s="27">
        <f t="shared" si="2"/>
        <v>1531.7199999999896</v>
      </c>
      <c r="I131" s="11" t="s">
        <v>580</v>
      </c>
      <c r="J131" s="38">
        <f>E148+E150+E151+E156</f>
        <v>24131.96</v>
      </c>
      <c r="K131" s="38">
        <f>F149+(SUM(F167:F169)/2)+'BCP SOLES BCP'!J313</f>
        <v>14210.198011363638</v>
      </c>
    </row>
    <row r="132" spans="1:11" ht="12.6">
      <c r="A132" s="10">
        <v>45862</v>
      </c>
      <c r="D132" s="180" t="s">
        <v>404</v>
      </c>
      <c r="E132" s="26">
        <v>5371.58</v>
      </c>
      <c r="F132" s="26"/>
      <c r="G132" s="27">
        <f t="shared" si="2"/>
        <v>6903.2999999999893</v>
      </c>
    </row>
    <row r="133" spans="1:11" ht="12.6">
      <c r="A133" s="10">
        <v>45862</v>
      </c>
      <c r="D133" s="180" t="s">
        <v>403</v>
      </c>
      <c r="E133" s="26">
        <v>6761.98</v>
      </c>
      <c r="F133" s="26"/>
      <c r="G133" s="27">
        <f t="shared" si="2"/>
        <v>13665.279999999988</v>
      </c>
    </row>
    <row r="134" spans="1:11" ht="12.6">
      <c r="A134" s="10">
        <v>45862</v>
      </c>
      <c r="D134" s="180" t="s">
        <v>402</v>
      </c>
      <c r="E134" s="26">
        <v>26478.05</v>
      </c>
      <c r="F134" s="26"/>
      <c r="G134" s="27">
        <f t="shared" si="2"/>
        <v>40143.329999999987</v>
      </c>
    </row>
    <row r="135" spans="1:11" ht="12.6">
      <c r="A135" s="10">
        <v>45862</v>
      </c>
      <c r="D135" s="8" t="s">
        <v>16</v>
      </c>
      <c r="E135" s="26"/>
      <c r="F135" s="26">
        <v>1.85</v>
      </c>
      <c r="G135" s="27">
        <f t="shared" si="2"/>
        <v>40141.479999999989</v>
      </c>
    </row>
    <row r="136" spans="1:11" ht="12.6">
      <c r="A136" s="10">
        <v>45863</v>
      </c>
      <c r="D136" s="11" t="s">
        <v>405</v>
      </c>
      <c r="E136" s="26"/>
      <c r="F136" s="26">
        <v>26478.05</v>
      </c>
      <c r="G136" s="27">
        <f t="shared" ref="G136:G199" si="3">G135+E136-F136</f>
        <v>13663.429999999989</v>
      </c>
    </row>
    <row r="137" spans="1:11" ht="12.6">
      <c r="A137" s="10">
        <v>45863</v>
      </c>
      <c r="D137" s="11" t="s">
        <v>405</v>
      </c>
      <c r="E137" s="26"/>
      <c r="F137" s="26">
        <v>5371.58</v>
      </c>
      <c r="G137" s="27">
        <f t="shared" si="3"/>
        <v>8291.8499999999894</v>
      </c>
    </row>
    <row r="138" spans="1:11" ht="12.6">
      <c r="A138" s="10">
        <v>45865</v>
      </c>
      <c r="D138" s="11" t="s">
        <v>414</v>
      </c>
      <c r="E138" s="26"/>
      <c r="F138" s="26">
        <v>3851.94</v>
      </c>
      <c r="G138" s="27">
        <f t="shared" si="3"/>
        <v>4439.9099999999889</v>
      </c>
    </row>
    <row r="139" spans="1:11" ht="12.6">
      <c r="A139" s="10">
        <v>45865</v>
      </c>
      <c r="D139" s="11" t="s">
        <v>415</v>
      </c>
      <c r="E139" s="26"/>
      <c r="F139" s="26">
        <v>1.54</v>
      </c>
      <c r="G139" s="27">
        <f t="shared" si="3"/>
        <v>4438.369999999989</v>
      </c>
      <c r="I139" s="38"/>
    </row>
    <row r="140" spans="1:11" ht="12.6">
      <c r="A140" s="10">
        <v>45868</v>
      </c>
      <c r="D140" s="291" t="s">
        <v>423</v>
      </c>
      <c r="E140" s="336"/>
      <c r="F140" s="336">
        <v>1527.89</v>
      </c>
      <c r="G140" s="27">
        <f t="shared" si="3"/>
        <v>2910.4799999999886</v>
      </c>
    </row>
    <row r="141" spans="1:11" ht="12.6">
      <c r="A141" s="10">
        <v>45868</v>
      </c>
      <c r="D141" s="11" t="s">
        <v>24</v>
      </c>
      <c r="E141" s="26"/>
      <c r="F141" s="26">
        <v>1.32</v>
      </c>
      <c r="G141" s="27">
        <f t="shared" si="3"/>
        <v>2909.1599999999885</v>
      </c>
    </row>
    <row r="142" spans="1:11" ht="12.6">
      <c r="A142" s="10">
        <v>45869</v>
      </c>
      <c r="D142" s="24" t="s">
        <v>10</v>
      </c>
      <c r="E142" s="26"/>
      <c r="F142" s="28">
        <v>2</v>
      </c>
      <c r="G142" s="27">
        <f t="shared" si="3"/>
        <v>2907.1599999999885</v>
      </c>
    </row>
    <row r="143" spans="1:11" ht="12.6">
      <c r="A143" s="10">
        <v>45869</v>
      </c>
      <c r="D143" s="24" t="s">
        <v>12</v>
      </c>
      <c r="E143" s="26"/>
      <c r="F143" s="26">
        <v>13</v>
      </c>
      <c r="G143" s="27">
        <f t="shared" si="3"/>
        <v>2894.1599999999885</v>
      </c>
    </row>
    <row r="144" spans="1:11" s="14" customFormat="1" ht="12.6">
      <c r="A144" s="13">
        <v>45869</v>
      </c>
      <c r="E144" s="66"/>
      <c r="F144" s="29"/>
      <c r="G144" s="30">
        <f t="shared" si="3"/>
        <v>2894.1599999999885</v>
      </c>
    </row>
    <row r="145" spans="1:12" ht="12.6">
      <c r="A145" s="10">
        <v>45870</v>
      </c>
      <c r="E145" s="26"/>
      <c r="F145" s="26"/>
      <c r="G145" s="27">
        <f t="shared" si="3"/>
        <v>2894.1599999999885</v>
      </c>
    </row>
    <row r="146" spans="1:12" ht="12.6">
      <c r="A146" s="10">
        <v>45890</v>
      </c>
      <c r="D146" s="11" t="s">
        <v>470</v>
      </c>
      <c r="E146" s="26"/>
      <c r="F146" s="26">
        <v>80</v>
      </c>
      <c r="G146" s="27">
        <f t="shared" si="3"/>
        <v>2814.1599999999885</v>
      </c>
    </row>
    <row r="147" spans="1:12" ht="12.6">
      <c r="A147" s="10">
        <v>45890</v>
      </c>
      <c r="D147" s="11" t="s">
        <v>479</v>
      </c>
      <c r="E147" s="26">
        <v>20</v>
      </c>
      <c r="F147" s="26"/>
      <c r="G147" s="27">
        <f t="shared" si="3"/>
        <v>2834.1599999999885</v>
      </c>
    </row>
    <row r="148" spans="1:12" ht="12.6">
      <c r="A148" s="10">
        <v>45890</v>
      </c>
      <c r="D148" s="291" t="s">
        <v>481</v>
      </c>
      <c r="E148" s="302">
        <v>13346.79</v>
      </c>
      <c r="F148" s="302"/>
      <c r="G148" s="27">
        <f t="shared" si="3"/>
        <v>16180.94999999999</v>
      </c>
    </row>
    <row r="149" spans="1:12" ht="12.6">
      <c r="A149" s="10">
        <v>45890</v>
      </c>
      <c r="D149" s="291" t="s">
        <v>16</v>
      </c>
      <c r="E149" s="302"/>
      <c r="F149" s="302">
        <v>0.65</v>
      </c>
      <c r="G149" s="27">
        <f t="shared" si="3"/>
        <v>16180.29999999999</v>
      </c>
    </row>
    <row r="150" spans="1:12" ht="12.6">
      <c r="A150" s="10">
        <v>45891</v>
      </c>
      <c r="D150" s="291" t="s">
        <v>499</v>
      </c>
      <c r="E150" s="302">
        <v>1282.8699999999999</v>
      </c>
      <c r="F150" s="302"/>
      <c r="G150" s="27">
        <f t="shared" si="3"/>
        <v>17463.169999999991</v>
      </c>
    </row>
    <row r="151" spans="1:12" ht="12.6">
      <c r="A151" s="10">
        <v>45891</v>
      </c>
      <c r="D151" s="291" t="s">
        <v>502</v>
      </c>
      <c r="E151" s="302">
        <v>5236.6099999999997</v>
      </c>
      <c r="F151" s="302"/>
      <c r="G151" s="27">
        <f t="shared" si="3"/>
        <v>22699.779999999992</v>
      </c>
      <c r="H151" s="26"/>
      <c r="I151" s="338" t="s">
        <v>581</v>
      </c>
    </row>
    <row r="152" spans="1:12" ht="14.4">
      <c r="A152" s="10">
        <v>45891</v>
      </c>
      <c r="D152" s="351" t="s">
        <v>500</v>
      </c>
      <c r="E152" s="26">
        <v>24957.84</v>
      </c>
      <c r="F152" s="26"/>
      <c r="G152" s="27">
        <f t="shared" si="3"/>
        <v>47657.619999999995</v>
      </c>
      <c r="H152" s="26"/>
      <c r="I152" s="185">
        <v>17612.490000000002</v>
      </c>
      <c r="J152" s="38">
        <f>E148+E156</f>
        <v>17612.48</v>
      </c>
      <c r="K152" s="337">
        <f>I152-J152</f>
        <v>1.0000000002037268E-2</v>
      </c>
    </row>
    <row r="153" spans="1:12" ht="12.6">
      <c r="A153" s="10">
        <v>45891</v>
      </c>
      <c r="D153" s="11" t="s">
        <v>16</v>
      </c>
      <c r="E153" s="26"/>
      <c r="F153" s="26">
        <v>1.5</v>
      </c>
      <c r="G153" s="27">
        <f t="shared" si="3"/>
        <v>47656.119999999995</v>
      </c>
    </row>
    <row r="154" spans="1:12" ht="12.6">
      <c r="A154" s="10">
        <v>45891</v>
      </c>
      <c r="D154" s="351" t="s">
        <v>501</v>
      </c>
      <c r="E154" s="26">
        <v>6791.98</v>
      </c>
      <c r="F154" s="26"/>
      <c r="G154" s="27">
        <f t="shared" si="3"/>
        <v>54448.099999999991</v>
      </c>
      <c r="I154" s="338" t="s">
        <v>582</v>
      </c>
    </row>
    <row r="155" spans="1:12" ht="12.6">
      <c r="A155" s="10">
        <v>45894</v>
      </c>
      <c r="D155" s="351" t="s">
        <v>598</v>
      </c>
      <c r="E155" s="26">
        <v>5371.58</v>
      </c>
      <c r="F155" s="26"/>
      <c r="G155" s="27">
        <f t="shared" si="3"/>
        <v>59819.679999999993</v>
      </c>
      <c r="I155" s="11">
        <v>3953.74</v>
      </c>
      <c r="J155" s="38">
        <f>E151</f>
        <v>5236.6099999999997</v>
      </c>
      <c r="K155" s="38">
        <f>+I155-J155</f>
        <v>-1282.8699999999999</v>
      </c>
      <c r="L155" s="19" t="s">
        <v>584</v>
      </c>
    </row>
    <row r="156" spans="1:12" ht="12.6">
      <c r="A156" s="10">
        <v>45894</v>
      </c>
      <c r="D156" s="291" t="s">
        <v>503</v>
      </c>
      <c r="E156" s="336">
        <v>4265.6899999999996</v>
      </c>
      <c r="F156" s="336"/>
      <c r="G156" s="27">
        <f t="shared" si="3"/>
        <v>64085.369999999995</v>
      </c>
    </row>
    <row r="157" spans="1:12" ht="12.6">
      <c r="A157" s="10">
        <v>45894</v>
      </c>
      <c r="D157" s="11" t="s">
        <v>16</v>
      </c>
      <c r="E157" s="26"/>
      <c r="F157" s="26">
        <v>0.45</v>
      </c>
      <c r="G157" s="27">
        <f t="shared" si="3"/>
        <v>64084.92</v>
      </c>
      <c r="I157" s="19" t="s">
        <v>583</v>
      </c>
    </row>
    <row r="158" spans="1:12" ht="12.6">
      <c r="A158" s="10">
        <v>45894</v>
      </c>
      <c r="D158" s="11" t="s">
        <v>24</v>
      </c>
      <c r="E158" s="26"/>
      <c r="F158" s="26">
        <v>1.32</v>
      </c>
      <c r="G158" s="27">
        <f t="shared" si="3"/>
        <v>64083.6</v>
      </c>
      <c r="I158" s="38">
        <v>1282.8699999999999</v>
      </c>
      <c r="J158" s="38">
        <f>E150</f>
        <v>1282.8699999999999</v>
      </c>
      <c r="K158" s="38">
        <f>+I158-J158</f>
        <v>0</v>
      </c>
    </row>
    <row r="159" spans="1:12" ht="12.6">
      <c r="A159" s="10">
        <v>45896</v>
      </c>
      <c r="D159" s="24" t="s">
        <v>506</v>
      </c>
      <c r="E159" s="26"/>
      <c r="F159" s="26">
        <v>2.4</v>
      </c>
      <c r="G159" s="27">
        <f t="shared" si="3"/>
        <v>64081.2</v>
      </c>
    </row>
    <row r="160" spans="1:12" ht="12.6">
      <c r="A160" s="10">
        <v>45896</v>
      </c>
      <c r="D160" s="291" t="s">
        <v>514</v>
      </c>
      <c r="E160" s="26"/>
      <c r="F160" s="26">
        <v>10000</v>
      </c>
      <c r="G160" s="27">
        <f t="shared" si="3"/>
        <v>54081.2</v>
      </c>
    </row>
    <row r="161" spans="1:9" ht="12.6">
      <c r="A161" s="10">
        <v>45896</v>
      </c>
      <c r="D161" s="291" t="s">
        <v>514</v>
      </c>
      <c r="E161" s="26"/>
      <c r="F161" s="26">
        <v>10000</v>
      </c>
      <c r="G161" s="27">
        <f t="shared" si="3"/>
        <v>44081.2</v>
      </c>
    </row>
    <row r="162" spans="1:9" ht="12.6">
      <c r="A162" s="10">
        <v>45897</v>
      </c>
      <c r="D162" s="11" t="s">
        <v>523</v>
      </c>
      <c r="E162" s="26"/>
      <c r="F162" s="26">
        <v>10000</v>
      </c>
      <c r="G162" s="27">
        <f t="shared" si="3"/>
        <v>34081.199999999997</v>
      </c>
    </row>
    <row r="163" spans="1:9" ht="12.6">
      <c r="A163" s="10">
        <v>45897</v>
      </c>
      <c r="D163" s="11" t="s">
        <v>523</v>
      </c>
      <c r="E163" s="26"/>
      <c r="F163" s="26">
        <v>10000</v>
      </c>
      <c r="G163" s="27">
        <f t="shared" si="3"/>
        <v>24081.199999999997</v>
      </c>
    </row>
    <row r="164" spans="1:9" ht="12.6">
      <c r="A164" s="10">
        <v>45897</v>
      </c>
      <c r="D164" s="11" t="s">
        <v>523</v>
      </c>
      <c r="E164" s="26"/>
      <c r="F164" s="26">
        <v>10000</v>
      </c>
      <c r="G164" s="27">
        <f t="shared" si="3"/>
        <v>14081.199999999997</v>
      </c>
    </row>
    <row r="165" spans="1:9" ht="12.6">
      <c r="A165" s="316">
        <v>45897</v>
      </c>
      <c r="B165" s="8"/>
      <c r="C165" s="8"/>
      <c r="D165" s="8" t="s">
        <v>522</v>
      </c>
      <c r="E165" s="26"/>
      <c r="F165" s="26">
        <v>3844.87</v>
      </c>
      <c r="G165" s="27">
        <f t="shared" si="3"/>
        <v>10236.329999999998</v>
      </c>
    </row>
    <row r="166" spans="1:9" ht="12.6">
      <c r="A166" s="316">
        <v>45897</v>
      </c>
      <c r="B166" s="8"/>
      <c r="C166" s="8"/>
      <c r="D166" s="8" t="s">
        <v>415</v>
      </c>
      <c r="E166" s="26"/>
      <c r="F166" s="26">
        <v>1.39</v>
      </c>
      <c r="G166" s="27">
        <f t="shared" si="3"/>
        <v>10234.939999999999</v>
      </c>
      <c r="I166" s="38"/>
    </row>
    <row r="167" spans="1:9" ht="12.6">
      <c r="A167" s="316">
        <v>45897</v>
      </c>
      <c r="B167" s="8"/>
      <c r="C167" s="8"/>
      <c r="D167" s="8" t="s">
        <v>16</v>
      </c>
      <c r="E167" s="26"/>
      <c r="F167" s="26">
        <v>0.15</v>
      </c>
      <c r="G167" s="27">
        <f t="shared" si="3"/>
        <v>10234.789999999999</v>
      </c>
      <c r="I167" s="38"/>
    </row>
    <row r="168" spans="1:9" ht="12.6">
      <c r="A168" s="316">
        <v>45899</v>
      </c>
      <c r="B168" s="8"/>
      <c r="C168" s="8"/>
      <c r="D168" s="317" t="s">
        <v>12</v>
      </c>
      <c r="E168" s="26"/>
      <c r="F168" s="26">
        <v>13</v>
      </c>
      <c r="G168" s="27">
        <f t="shared" si="3"/>
        <v>10221.789999999999</v>
      </c>
      <c r="I168" s="38"/>
    </row>
    <row r="169" spans="1:9" ht="12.6">
      <c r="A169" s="316">
        <v>45899</v>
      </c>
      <c r="B169" s="8"/>
      <c r="C169" s="8"/>
      <c r="D169" s="317" t="s">
        <v>10</v>
      </c>
      <c r="E169" s="26"/>
      <c r="F169" s="28">
        <v>2</v>
      </c>
      <c r="G169" s="27">
        <f t="shared" si="3"/>
        <v>10219.789999999999</v>
      </c>
      <c r="I169" s="38"/>
    </row>
    <row r="170" spans="1:9" s="14" customFormat="1" ht="12.6">
      <c r="A170" s="13">
        <v>45900</v>
      </c>
      <c r="D170" s="318"/>
      <c r="E170" s="66"/>
      <c r="F170" s="66"/>
      <c r="G170" s="30">
        <f t="shared" si="3"/>
        <v>10219.789999999999</v>
      </c>
    </row>
    <row r="171" spans="1:9" ht="12.6">
      <c r="A171" s="10">
        <v>45901</v>
      </c>
      <c r="E171" s="26"/>
      <c r="F171" s="26"/>
      <c r="G171" s="27">
        <f t="shared" si="3"/>
        <v>10219.789999999999</v>
      </c>
    </row>
    <row r="172" spans="1:9" ht="12.6">
      <c r="A172" s="10">
        <v>45902</v>
      </c>
      <c r="D172" s="11" t="s">
        <v>24</v>
      </c>
      <c r="E172" s="26"/>
      <c r="F172" s="26">
        <v>1.32</v>
      </c>
      <c r="G172" s="27">
        <f t="shared" si="3"/>
        <v>10218.469999999999</v>
      </c>
    </row>
    <row r="173" spans="1:9" ht="12.6">
      <c r="A173" s="10">
        <v>45922</v>
      </c>
      <c r="D173" s="291" t="s">
        <v>620</v>
      </c>
      <c r="E173" s="289"/>
      <c r="F173" s="336">
        <v>2.5299999999999998</v>
      </c>
      <c r="G173" s="27">
        <f t="shared" si="3"/>
        <v>10215.939999999999</v>
      </c>
    </row>
    <row r="174" spans="1:9" ht="12.6">
      <c r="A174" s="10">
        <v>45922</v>
      </c>
      <c r="D174" s="291" t="s">
        <v>621</v>
      </c>
      <c r="E174" s="289"/>
      <c r="F174" s="336">
        <v>1.55</v>
      </c>
      <c r="G174" s="27">
        <f t="shared" si="3"/>
        <v>10214.39</v>
      </c>
    </row>
    <row r="175" spans="1:9" ht="12.6">
      <c r="A175" s="10">
        <v>45922</v>
      </c>
      <c r="D175" s="351" t="s">
        <v>624</v>
      </c>
      <c r="E175" s="26">
        <v>6886.93</v>
      </c>
      <c r="F175" s="26"/>
      <c r="G175" s="27">
        <f t="shared" si="3"/>
        <v>17101.32</v>
      </c>
    </row>
    <row r="176" spans="1:9" ht="12.6">
      <c r="A176" s="10">
        <v>45922</v>
      </c>
      <c r="D176" s="351" t="s">
        <v>625</v>
      </c>
      <c r="E176" s="26">
        <v>6949.43</v>
      </c>
      <c r="F176" s="26"/>
      <c r="G176" s="27">
        <f t="shared" si="3"/>
        <v>24050.75</v>
      </c>
    </row>
    <row r="177" spans="1:9" ht="12.6">
      <c r="A177" s="10">
        <v>45922</v>
      </c>
      <c r="D177" s="291" t="s">
        <v>626</v>
      </c>
      <c r="E177" s="382">
        <v>51557.2</v>
      </c>
      <c r="F177" s="336"/>
      <c r="G177" s="27">
        <f t="shared" si="3"/>
        <v>75607.95</v>
      </c>
      <c r="H177" s="27"/>
      <c r="I177" s="38"/>
    </row>
    <row r="178" spans="1:9" ht="12.6">
      <c r="A178" s="10">
        <v>45922</v>
      </c>
      <c r="D178" s="8" t="s">
        <v>16</v>
      </c>
      <c r="E178" s="26"/>
      <c r="F178" s="26">
        <v>2.85</v>
      </c>
      <c r="G178" s="27">
        <f t="shared" si="3"/>
        <v>75605.099999999991</v>
      </c>
      <c r="H178" s="27"/>
      <c r="I178" s="38"/>
    </row>
    <row r="179" spans="1:9" ht="12.6">
      <c r="A179" s="10">
        <v>45922</v>
      </c>
      <c r="D179" s="291" t="s">
        <v>627</v>
      </c>
      <c r="E179" s="336">
        <v>1</v>
      </c>
      <c r="F179" s="336"/>
      <c r="G179" s="27">
        <f t="shared" si="3"/>
        <v>75606.099999999991</v>
      </c>
      <c r="H179" s="27"/>
      <c r="I179" s="38"/>
    </row>
    <row r="180" spans="1:9" ht="12.6">
      <c r="A180" s="10">
        <v>45924</v>
      </c>
      <c r="D180" s="291" t="s">
        <v>626</v>
      </c>
      <c r="E180" s="382">
        <v>4581.53</v>
      </c>
      <c r="F180" s="336"/>
      <c r="G180" s="27">
        <f t="shared" si="3"/>
        <v>80187.62999999999</v>
      </c>
    </row>
    <row r="181" spans="1:9" ht="12.6">
      <c r="A181" s="10">
        <v>45924</v>
      </c>
      <c r="D181" s="291" t="s">
        <v>626</v>
      </c>
      <c r="E181" s="382">
        <v>6451.3</v>
      </c>
      <c r="F181" s="336"/>
      <c r="G181" s="27">
        <f t="shared" si="3"/>
        <v>86638.93</v>
      </c>
      <c r="I181" s="38">
        <f>E177+E180+E181</f>
        <v>62590.03</v>
      </c>
    </row>
    <row r="182" spans="1:9" ht="12.6">
      <c r="A182" s="10">
        <v>45924</v>
      </c>
      <c r="D182" s="8" t="s">
        <v>16</v>
      </c>
      <c r="E182" s="26"/>
      <c r="F182" s="26">
        <v>0.5</v>
      </c>
      <c r="G182" s="27">
        <f t="shared" si="3"/>
        <v>86638.43</v>
      </c>
    </row>
    <row r="183" spans="1:9" ht="12.6">
      <c r="A183" s="10">
        <v>45925</v>
      </c>
      <c r="D183" s="11" t="s">
        <v>648</v>
      </c>
      <c r="E183" s="26"/>
      <c r="F183" s="26">
        <f>'FLUJO CAJA SEPTIEMBRE'!$E$62</f>
        <v>500</v>
      </c>
      <c r="G183" s="27">
        <f t="shared" si="3"/>
        <v>86138.43</v>
      </c>
    </row>
    <row r="184" spans="1:9" ht="12.6">
      <c r="A184" s="10">
        <v>45925</v>
      </c>
      <c r="D184" s="11" t="s">
        <v>655</v>
      </c>
      <c r="E184" s="26"/>
      <c r="F184" s="26">
        <v>1.53</v>
      </c>
      <c r="G184" s="27">
        <f t="shared" si="3"/>
        <v>86136.9</v>
      </c>
    </row>
    <row r="185" spans="1:9" ht="12.6">
      <c r="A185" s="10">
        <v>45925</v>
      </c>
      <c r="D185" s="8" t="s">
        <v>16</v>
      </c>
      <c r="E185" s="26"/>
      <c r="F185" s="26">
        <v>0.5</v>
      </c>
      <c r="G185" s="27">
        <f t="shared" si="3"/>
        <v>86136.4</v>
      </c>
    </row>
    <row r="186" spans="1:9" ht="12.6">
      <c r="A186" s="10">
        <v>45925</v>
      </c>
      <c r="D186" s="291" t="s">
        <v>656</v>
      </c>
      <c r="E186" s="336"/>
      <c r="F186" s="336">
        <v>10000</v>
      </c>
      <c r="G186" s="27">
        <f t="shared" si="3"/>
        <v>76136.399999999994</v>
      </c>
    </row>
    <row r="187" spans="1:9" ht="12.6">
      <c r="A187" s="10">
        <v>45925</v>
      </c>
      <c r="D187" s="291" t="s">
        <v>656</v>
      </c>
      <c r="E187" s="336"/>
      <c r="F187" s="336">
        <v>10000</v>
      </c>
      <c r="G187" s="27">
        <f t="shared" si="3"/>
        <v>66136.399999999994</v>
      </c>
      <c r="H187" s="11">
        <v>3.43</v>
      </c>
    </row>
    <row r="188" spans="1:9" ht="12.6">
      <c r="A188" s="10">
        <v>45925</v>
      </c>
      <c r="D188" s="291" t="s">
        <v>656</v>
      </c>
      <c r="E188" s="336"/>
      <c r="F188" s="336">
        <v>10000</v>
      </c>
      <c r="G188" s="27">
        <f t="shared" si="3"/>
        <v>56136.399999999994</v>
      </c>
    </row>
    <row r="189" spans="1:9" ht="12.6">
      <c r="A189" s="10">
        <v>45925</v>
      </c>
      <c r="D189" s="291" t="s">
        <v>656</v>
      </c>
      <c r="E189" s="336"/>
      <c r="F189" s="336">
        <v>10000</v>
      </c>
      <c r="G189" s="27">
        <f t="shared" si="3"/>
        <v>46136.399999999994</v>
      </c>
    </row>
    <row r="190" spans="1:9" ht="12.6">
      <c r="A190" s="10">
        <v>45925</v>
      </c>
      <c r="D190" s="291" t="s">
        <v>656</v>
      </c>
      <c r="E190" s="336"/>
      <c r="F190" s="336">
        <v>10000</v>
      </c>
      <c r="G190" s="27">
        <f t="shared" si="3"/>
        <v>36136.399999999994</v>
      </c>
    </row>
    <row r="191" spans="1:9" ht="12.6">
      <c r="A191" s="10">
        <v>45925</v>
      </c>
      <c r="D191" s="291" t="s">
        <v>656</v>
      </c>
      <c r="E191" s="336"/>
      <c r="F191" s="336">
        <v>10000</v>
      </c>
      <c r="G191" s="27">
        <f t="shared" si="3"/>
        <v>26136.399999999994</v>
      </c>
    </row>
    <row r="192" spans="1:9" ht="12.6">
      <c r="A192" s="10">
        <v>45926</v>
      </c>
      <c r="D192" s="317" t="s">
        <v>12</v>
      </c>
      <c r="E192" s="26"/>
      <c r="F192" s="26">
        <v>12</v>
      </c>
      <c r="G192" s="27">
        <f t="shared" si="3"/>
        <v>26124.399999999994</v>
      </c>
    </row>
    <row r="193" spans="1:9" ht="12.6">
      <c r="A193" s="10">
        <v>45926</v>
      </c>
      <c r="D193" s="8" t="s">
        <v>794</v>
      </c>
      <c r="E193" s="26"/>
      <c r="F193" s="26">
        <v>4171.059611486804</v>
      </c>
      <c r="G193" s="27">
        <f t="shared" si="3"/>
        <v>21953.340388513192</v>
      </c>
    </row>
    <row r="194" spans="1:9" ht="12.6">
      <c r="A194" s="10">
        <v>45926</v>
      </c>
      <c r="D194" s="8" t="s">
        <v>415</v>
      </c>
      <c r="E194" s="26"/>
      <c r="F194" s="26">
        <f>1.53-0.5</f>
        <v>1.03</v>
      </c>
      <c r="G194" s="27">
        <f t="shared" si="3"/>
        <v>21952.310388513193</v>
      </c>
      <c r="I194" s="38"/>
    </row>
    <row r="195" spans="1:9" ht="12.6">
      <c r="A195" s="10">
        <v>45926</v>
      </c>
      <c r="D195" s="11" t="s">
        <v>16</v>
      </c>
      <c r="E195" s="26"/>
      <c r="F195" s="26">
        <v>0.2</v>
      </c>
      <c r="G195" s="27">
        <f t="shared" si="3"/>
        <v>21952.110388513192</v>
      </c>
    </row>
    <row r="196" spans="1:9" ht="12.6">
      <c r="A196" s="10">
        <v>45929</v>
      </c>
      <c r="D196" s="351" t="s">
        <v>686</v>
      </c>
      <c r="E196" s="26">
        <v>28438.99</v>
      </c>
      <c r="F196" s="26"/>
      <c r="G196" s="27">
        <f t="shared" si="3"/>
        <v>50391.100388513194</v>
      </c>
    </row>
    <row r="197" spans="1:9" ht="12.6">
      <c r="A197" s="10">
        <v>45929</v>
      </c>
      <c r="D197" s="351" t="s">
        <v>687</v>
      </c>
      <c r="E197" s="26">
        <v>554.96</v>
      </c>
      <c r="F197" s="26"/>
      <c r="G197" s="27">
        <f t="shared" si="3"/>
        <v>50946.060388513193</v>
      </c>
    </row>
    <row r="198" spans="1:9" ht="12.6">
      <c r="A198" s="10">
        <v>45929</v>
      </c>
      <c r="D198" s="11" t="s">
        <v>24</v>
      </c>
      <c r="E198" s="26"/>
      <c r="F198" s="26">
        <v>1.32</v>
      </c>
      <c r="G198" s="27">
        <f t="shared" si="3"/>
        <v>50944.740388513193</v>
      </c>
    </row>
    <row r="199" spans="1:9" ht="12.6">
      <c r="A199" s="10">
        <v>45929</v>
      </c>
      <c r="D199" s="11" t="s">
        <v>16</v>
      </c>
      <c r="E199" s="26"/>
      <c r="F199" s="26">
        <v>1.4</v>
      </c>
      <c r="G199" s="27">
        <f t="shared" si="3"/>
        <v>50943.340388513192</v>
      </c>
    </row>
    <row r="200" spans="1:9" ht="12.6">
      <c r="A200" s="316">
        <v>45930</v>
      </c>
      <c r="B200" s="8"/>
      <c r="C200" s="8"/>
      <c r="D200" s="291" t="s">
        <v>626</v>
      </c>
      <c r="E200" s="382">
        <v>1049.49</v>
      </c>
      <c r="F200" s="336"/>
      <c r="G200" s="27">
        <f t="shared" ref="G200:G263" si="4">G199+E200-F200</f>
        <v>51992.83038851319</v>
      </c>
    </row>
    <row r="201" spans="1:9" ht="12.6">
      <c r="A201" s="316">
        <v>45930</v>
      </c>
      <c r="B201" s="8"/>
      <c r="C201" s="8"/>
      <c r="D201" s="317" t="s">
        <v>10</v>
      </c>
      <c r="E201" s="26"/>
      <c r="F201" s="28">
        <v>2</v>
      </c>
      <c r="G201" s="27">
        <f t="shared" si="4"/>
        <v>51990.83038851319</v>
      </c>
    </row>
    <row r="202" spans="1:9" ht="12.6">
      <c r="A202" s="316">
        <v>45930</v>
      </c>
      <c r="D202" s="317" t="s">
        <v>12</v>
      </c>
      <c r="E202" s="26"/>
      <c r="F202" s="26">
        <v>13</v>
      </c>
      <c r="G202" s="27">
        <f t="shared" si="4"/>
        <v>51977.83038851319</v>
      </c>
    </row>
    <row r="203" spans="1:9" ht="12.6">
      <c r="A203" s="316">
        <v>45930</v>
      </c>
      <c r="D203" s="11" t="s">
        <v>16</v>
      </c>
      <c r="E203" s="26"/>
      <c r="F203" s="26">
        <v>0.05</v>
      </c>
      <c r="G203" s="27">
        <f t="shared" si="4"/>
        <v>51977.780388513187</v>
      </c>
    </row>
    <row r="204" spans="1:9" s="14" customFormat="1" ht="12.6">
      <c r="A204" s="13">
        <v>45930</v>
      </c>
      <c r="E204" s="66"/>
      <c r="F204" s="66"/>
      <c r="G204" s="30">
        <f t="shared" si="4"/>
        <v>51977.780388513187</v>
      </c>
    </row>
    <row r="205" spans="1:9" ht="12.6">
      <c r="A205" s="316">
        <v>45931</v>
      </c>
      <c r="E205" s="26"/>
      <c r="F205" s="26"/>
      <c r="G205" s="27">
        <f t="shared" si="4"/>
        <v>51977.780388513187</v>
      </c>
    </row>
    <row r="206" spans="1:9" ht="12.6">
      <c r="A206" s="316">
        <v>45933</v>
      </c>
      <c r="D206" s="11" t="s">
        <v>704</v>
      </c>
      <c r="E206" s="26"/>
      <c r="F206" s="26">
        <v>10000</v>
      </c>
      <c r="G206" s="27">
        <f t="shared" si="4"/>
        <v>41977.780388513187</v>
      </c>
    </row>
    <row r="207" spans="1:9" ht="12.6">
      <c r="A207" s="316">
        <v>45933</v>
      </c>
      <c r="D207" s="11" t="s">
        <v>704</v>
      </c>
      <c r="E207" s="26"/>
      <c r="F207" s="26">
        <v>10000</v>
      </c>
      <c r="G207" s="27">
        <f t="shared" si="4"/>
        <v>31977.780388513187</v>
      </c>
    </row>
    <row r="208" spans="1:9" ht="12.6">
      <c r="A208" s="316">
        <v>45933</v>
      </c>
      <c r="D208" s="11" t="s">
        <v>704</v>
      </c>
      <c r="E208" s="26"/>
      <c r="F208" s="26">
        <v>10000</v>
      </c>
      <c r="G208" s="27">
        <f t="shared" si="4"/>
        <v>21977.780388513187</v>
      </c>
    </row>
    <row r="209" spans="1:9" ht="12.6">
      <c r="A209" s="316">
        <v>45936</v>
      </c>
      <c r="D209" s="11" t="s">
        <v>24</v>
      </c>
      <c r="E209" s="26"/>
      <c r="F209" s="26">
        <v>1.32</v>
      </c>
      <c r="G209" s="27">
        <f t="shared" si="4"/>
        <v>21976.460388513187</v>
      </c>
    </row>
    <row r="210" spans="1:9" ht="12.6">
      <c r="A210" s="316">
        <v>45947</v>
      </c>
      <c r="D210" s="291" t="s">
        <v>725</v>
      </c>
      <c r="E210" s="336"/>
      <c r="F210" s="336">
        <v>10000</v>
      </c>
      <c r="G210" s="27">
        <f t="shared" si="4"/>
        <v>11976.460388513187</v>
      </c>
      <c r="H210" s="11">
        <v>3.306</v>
      </c>
    </row>
    <row r="211" spans="1:9" ht="12.6">
      <c r="A211" s="316">
        <v>45947</v>
      </c>
      <c r="D211" s="291" t="s">
        <v>725</v>
      </c>
      <c r="E211" s="336"/>
      <c r="F211" s="336">
        <v>10000</v>
      </c>
      <c r="G211" s="27">
        <f t="shared" si="4"/>
        <v>1976.4603885131874</v>
      </c>
      <c r="H211" s="11">
        <v>3.306</v>
      </c>
    </row>
    <row r="212" spans="1:9" ht="12.6">
      <c r="A212" s="316">
        <v>45950</v>
      </c>
      <c r="D212" s="351" t="s">
        <v>740</v>
      </c>
      <c r="E212" s="26">
        <v>6758.3</v>
      </c>
      <c r="F212" s="26"/>
      <c r="G212" s="27">
        <f t="shared" si="4"/>
        <v>8734.7603885131866</v>
      </c>
    </row>
    <row r="213" spans="1:9" ht="12.6">
      <c r="A213" s="316">
        <v>45952</v>
      </c>
      <c r="D213" s="351" t="s">
        <v>741</v>
      </c>
      <c r="E213" s="26">
        <v>29708.5</v>
      </c>
      <c r="F213" s="26"/>
      <c r="G213" s="27">
        <f t="shared" si="4"/>
        <v>38443.260388513183</v>
      </c>
    </row>
    <row r="214" spans="1:9" ht="12.6">
      <c r="A214" s="316">
        <v>45952</v>
      </c>
      <c r="D214" s="291" t="s">
        <v>739</v>
      </c>
      <c r="E214" s="26">
        <v>80437.8</v>
      </c>
      <c r="F214" s="26"/>
      <c r="G214" s="27">
        <f t="shared" si="4"/>
        <v>118881.06038851319</v>
      </c>
    </row>
    <row r="215" spans="1:9" ht="12.6">
      <c r="A215" s="316">
        <v>45952</v>
      </c>
      <c r="D215" s="11" t="s">
        <v>16</v>
      </c>
      <c r="E215" s="26"/>
      <c r="F215" s="26">
        <v>5.45</v>
      </c>
      <c r="G215" s="27">
        <f t="shared" si="4"/>
        <v>118875.61038851319</v>
      </c>
      <c r="I215" s="38"/>
    </row>
    <row r="216" spans="1:9" ht="12.6">
      <c r="A216" s="316">
        <v>45953</v>
      </c>
      <c r="D216" s="351" t="s">
        <v>756</v>
      </c>
      <c r="E216" s="26">
        <v>5511.41</v>
      </c>
      <c r="F216" s="26"/>
      <c r="G216" s="27">
        <f t="shared" si="4"/>
        <v>124387.02038851319</v>
      </c>
      <c r="I216" s="38"/>
    </row>
    <row r="217" spans="1:9" ht="12.6">
      <c r="A217" s="316">
        <v>45953</v>
      </c>
      <c r="D217" s="11" t="s">
        <v>16</v>
      </c>
      <c r="E217" s="26"/>
      <c r="F217" s="26">
        <v>0.25</v>
      </c>
      <c r="G217" s="27">
        <f t="shared" si="4"/>
        <v>124386.77038851319</v>
      </c>
    </row>
    <row r="218" spans="1:9" ht="12.6">
      <c r="A218" s="316">
        <v>45954</v>
      </c>
      <c r="D218" s="291" t="s">
        <v>739</v>
      </c>
      <c r="E218" s="26">
        <v>7852.79</v>
      </c>
      <c r="F218" s="26"/>
      <c r="G218" s="27">
        <f t="shared" si="4"/>
        <v>132239.5603885132</v>
      </c>
    </row>
    <row r="219" spans="1:9" ht="12.6">
      <c r="A219" s="316">
        <v>45954</v>
      </c>
      <c r="D219" s="11" t="s">
        <v>16</v>
      </c>
      <c r="E219" s="26"/>
      <c r="F219" s="26">
        <v>0.35</v>
      </c>
      <c r="G219" s="27">
        <f t="shared" si="4"/>
        <v>132239.21038851319</v>
      </c>
    </row>
    <row r="220" spans="1:9" ht="12.6">
      <c r="A220" s="316">
        <v>45957</v>
      </c>
      <c r="D220" s="291" t="s">
        <v>764</v>
      </c>
      <c r="E220" s="26">
        <v>6357.87</v>
      </c>
      <c r="F220" s="26"/>
      <c r="G220" s="27">
        <f t="shared" si="4"/>
        <v>138597.08038851319</v>
      </c>
    </row>
    <row r="221" spans="1:9" ht="12.6">
      <c r="A221" s="316">
        <v>45957</v>
      </c>
      <c r="D221" s="11" t="s">
        <v>16</v>
      </c>
      <c r="E221" s="26"/>
      <c r="F221" s="26">
        <v>0.3</v>
      </c>
      <c r="G221" s="27">
        <f t="shared" si="4"/>
        <v>138596.7803885132</v>
      </c>
      <c r="I221" s="38"/>
    </row>
    <row r="222" spans="1:9" ht="12.6">
      <c r="A222" s="316">
        <v>45957</v>
      </c>
      <c r="D222" s="11" t="s">
        <v>24</v>
      </c>
      <c r="E222" s="26"/>
      <c r="F222" s="26">
        <v>1.32</v>
      </c>
      <c r="G222" s="27">
        <f t="shared" si="4"/>
        <v>138595.46038851319</v>
      </c>
    </row>
    <row r="223" spans="1:9" ht="12.6">
      <c r="A223" s="316">
        <v>45958</v>
      </c>
      <c r="D223" s="391" t="s">
        <v>771</v>
      </c>
      <c r="E223" s="336"/>
      <c r="F223" s="336">
        <v>10000</v>
      </c>
      <c r="G223" s="27">
        <f t="shared" si="4"/>
        <v>128595.46038851319</v>
      </c>
    </row>
    <row r="224" spans="1:9" ht="12.6">
      <c r="A224" s="316">
        <v>45958</v>
      </c>
      <c r="D224" s="391" t="s">
        <v>771</v>
      </c>
      <c r="E224" s="336"/>
      <c r="F224" s="336">
        <v>10000</v>
      </c>
      <c r="G224" s="27">
        <f t="shared" si="4"/>
        <v>118595.46038851319</v>
      </c>
      <c r="H224" s="11">
        <v>3.319</v>
      </c>
    </row>
    <row r="225" spans="1:9" ht="12.6">
      <c r="A225" s="316">
        <v>45958</v>
      </c>
      <c r="D225" s="391" t="s">
        <v>771</v>
      </c>
      <c r="E225" s="336"/>
      <c r="F225" s="336">
        <v>10000</v>
      </c>
      <c r="G225" s="27">
        <f t="shared" si="4"/>
        <v>108595.46038851319</v>
      </c>
      <c r="H225" s="11">
        <v>3.319</v>
      </c>
    </row>
    <row r="226" spans="1:9" ht="12.6">
      <c r="A226" s="316">
        <v>45958</v>
      </c>
      <c r="D226" s="391" t="s">
        <v>771</v>
      </c>
      <c r="E226" s="336"/>
      <c r="F226" s="336">
        <v>10000</v>
      </c>
      <c r="G226" s="27">
        <f t="shared" si="4"/>
        <v>98595.460388513195</v>
      </c>
      <c r="H226" s="11">
        <v>3.319</v>
      </c>
    </row>
    <row r="227" spans="1:9" ht="12.6">
      <c r="A227" s="316">
        <v>45958</v>
      </c>
      <c r="D227" s="391" t="s">
        <v>771</v>
      </c>
      <c r="E227" s="336">
        <v>2885.17</v>
      </c>
      <c r="F227" s="336"/>
      <c r="G227" s="27">
        <f t="shared" si="4"/>
        <v>101480.63038851319</v>
      </c>
      <c r="H227" s="11">
        <v>3.319</v>
      </c>
    </row>
    <row r="228" spans="1:9" ht="12.6">
      <c r="A228" s="316">
        <v>45958</v>
      </c>
      <c r="D228" s="391" t="s">
        <v>771</v>
      </c>
      <c r="E228" s="336"/>
      <c r="F228" s="336">
        <v>2885.17</v>
      </c>
      <c r="G228" s="27">
        <f t="shared" si="4"/>
        <v>98595.460388513195</v>
      </c>
      <c r="H228" s="11">
        <v>3.319</v>
      </c>
    </row>
    <row r="229" spans="1:9" ht="12.6">
      <c r="A229" s="316">
        <v>45958</v>
      </c>
      <c r="D229" s="291" t="s">
        <v>781</v>
      </c>
      <c r="E229" s="8"/>
      <c r="F229" s="393">
        <f>7805.791771</f>
        <v>7805.7917710000002</v>
      </c>
      <c r="G229" s="27">
        <f t="shared" si="4"/>
        <v>90789.668617513191</v>
      </c>
    </row>
    <row r="230" spans="1:9" ht="12.6">
      <c r="A230" s="316">
        <v>45958</v>
      </c>
      <c r="D230" s="291" t="s">
        <v>516</v>
      </c>
      <c r="E230" s="8"/>
      <c r="F230" s="393">
        <f>1.53</f>
        <v>1.53</v>
      </c>
      <c r="G230" s="27">
        <f t="shared" si="4"/>
        <v>90788.138617513192</v>
      </c>
    </row>
    <row r="231" spans="1:9" ht="12.6">
      <c r="A231" s="316">
        <v>45958</v>
      </c>
      <c r="D231" s="391" t="s">
        <v>785</v>
      </c>
      <c r="E231" s="26"/>
      <c r="F231" s="336">
        <v>1645.46</v>
      </c>
      <c r="G231" s="27">
        <f t="shared" si="4"/>
        <v>89142.678617513186</v>
      </c>
    </row>
    <row r="232" spans="1:9" ht="12.6">
      <c r="A232" s="316">
        <v>45958</v>
      </c>
      <c r="D232" s="8" t="s">
        <v>806</v>
      </c>
      <c r="E232" s="26"/>
      <c r="F232" s="26">
        <v>4061.99</v>
      </c>
      <c r="G232" s="27">
        <f t="shared" si="4"/>
        <v>85080.68861751318</v>
      </c>
    </row>
    <row r="233" spans="1:9" ht="12.6">
      <c r="A233" s="316">
        <v>45958</v>
      </c>
      <c r="D233" s="8" t="s">
        <v>415</v>
      </c>
      <c r="E233" s="26"/>
      <c r="F233" s="26">
        <f>1.53</f>
        <v>1.53</v>
      </c>
      <c r="G233" s="27">
        <f t="shared" si="4"/>
        <v>85079.158617513182</v>
      </c>
    </row>
    <row r="234" spans="1:9" ht="12.6">
      <c r="A234" s="316">
        <v>45958</v>
      </c>
      <c r="D234" s="11" t="s">
        <v>16</v>
      </c>
      <c r="E234" s="26"/>
      <c r="F234" s="26">
        <f>1-0.6</f>
        <v>0.4</v>
      </c>
      <c r="G234" s="27">
        <f t="shared" si="4"/>
        <v>85078.758617513187</v>
      </c>
      <c r="I234" s="38"/>
    </row>
    <row r="235" spans="1:9" ht="12.6">
      <c r="A235" s="316">
        <v>45958</v>
      </c>
      <c r="D235" s="8" t="s">
        <v>799</v>
      </c>
      <c r="E235" s="26"/>
      <c r="F235" s="26">
        <v>10000</v>
      </c>
      <c r="G235" s="27">
        <f t="shared" si="4"/>
        <v>75078.758617513187</v>
      </c>
      <c r="H235" s="11">
        <v>3.3180000000000001</v>
      </c>
    </row>
    <row r="236" spans="1:9" ht="12.6">
      <c r="A236" s="316">
        <v>45958</v>
      </c>
      <c r="D236" s="8" t="s">
        <v>799</v>
      </c>
      <c r="E236" s="26"/>
      <c r="F236" s="26">
        <v>10000</v>
      </c>
      <c r="G236" s="27">
        <f t="shared" si="4"/>
        <v>65078.758617513187</v>
      </c>
      <c r="H236" s="11">
        <v>3.3180000000000001</v>
      </c>
    </row>
    <row r="237" spans="1:9" ht="12.6">
      <c r="A237" s="316">
        <v>45958</v>
      </c>
      <c r="D237" s="8" t="s">
        <v>799</v>
      </c>
      <c r="E237" s="26"/>
      <c r="F237" s="26">
        <v>10000</v>
      </c>
      <c r="G237" s="27">
        <f t="shared" si="4"/>
        <v>55078.758617513187</v>
      </c>
      <c r="H237" s="11">
        <v>3.3180000000000001</v>
      </c>
    </row>
    <row r="238" spans="1:9" ht="12.6">
      <c r="A238" s="316">
        <v>45958</v>
      </c>
      <c r="D238" s="8" t="s">
        <v>799</v>
      </c>
      <c r="E238" s="26"/>
      <c r="F238" s="26">
        <v>10000</v>
      </c>
      <c r="G238" s="27">
        <f t="shared" si="4"/>
        <v>45078.758617513187</v>
      </c>
      <c r="H238" s="11">
        <v>3.3180000000000001</v>
      </c>
    </row>
    <row r="239" spans="1:9" ht="12.6">
      <c r="A239" s="316">
        <v>45958</v>
      </c>
      <c r="D239" s="8" t="s">
        <v>799</v>
      </c>
      <c r="E239" s="26"/>
      <c r="F239" s="26">
        <v>10000</v>
      </c>
      <c r="G239" s="27">
        <f t="shared" si="4"/>
        <v>35078.758617513187</v>
      </c>
      <c r="H239" s="11">
        <v>3.3180000000000001</v>
      </c>
    </row>
    <row r="240" spans="1:9" ht="12.6">
      <c r="A240" s="316">
        <v>45958</v>
      </c>
      <c r="D240" s="8" t="s">
        <v>799</v>
      </c>
      <c r="E240" s="26"/>
      <c r="F240" s="26">
        <v>10000</v>
      </c>
      <c r="G240" s="27">
        <f t="shared" si="4"/>
        <v>25078.758617513187</v>
      </c>
      <c r="H240" s="11">
        <v>3.3180000000000001</v>
      </c>
    </row>
    <row r="241" spans="1:9" ht="12.6">
      <c r="A241" s="316">
        <v>45958</v>
      </c>
      <c r="D241" s="8" t="s">
        <v>799</v>
      </c>
      <c r="E241" s="26"/>
      <c r="F241" s="26">
        <v>10000</v>
      </c>
      <c r="G241" s="27">
        <f t="shared" si="4"/>
        <v>15078.758617513187</v>
      </c>
      <c r="H241" s="11">
        <v>3.3180000000000001</v>
      </c>
    </row>
    <row r="242" spans="1:9" ht="12.6">
      <c r="A242" s="316">
        <v>45958</v>
      </c>
      <c r="D242" s="8" t="s">
        <v>799</v>
      </c>
      <c r="E242" s="26"/>
      <c r="F242" s="26">
        <v>10000</v>
      </c>
      <c r="G242" s="27">
        <f t="shared" si="4"/>
        <v>5078.7586175131873</v>
      </c>
      <c r="H242" s="11">
        <v>3.3180000000000001</v>
      </c>
    </row>
    <row r="243" spans="1:9" ht="12.6">
      <c r="A243" s="316">
        <v>45958</v>
      </c>
      <c r="D243" s="8" t="s">
        <v>799</v>
      </c>
      <c r="E243" s="26"/>
      <c r="F243" s="26">
        <v>4078.76</v>
      </c>
      <c r="G243" s="27">
        <f t="shared" si="4"/>
        <v>999.99861751318713</v>
      </c>
      <c r="H243" s="11">
        <v>3.3180000000000001</v>
      </c>
      <c r="I243" s="38"/>
    </row>
    <row r="244" spans="1:9" ht="12.6">
      <c r="A244" s="316">
        <v>45959</v>
      </c>
      <c r="D244" s="391" t="s">
        <v>802</v>
      </c>
      <c r="E244" s="26"/>
      <c r="F244" s="26">
        <v>624.85</v>
      </c>
      <c r="G244" s="27">
        <f t="shared" si="4"/>
        <v>375.14861751318711</v>
      </c>
    </row>
    <row r="245" spans="1:9" ht="12.6">
      <c r="A245" s="316">
        <v>45959</v>
      </c>
      <c r="D245" s="391" t="s">
        <v>803</v>
      </c>
      <c r="E245" s="26"/>
      <c r="F245" s="26">
        <v>87.2</v>
      </c>
      <c r="G245" s="27">
        <f t="shared" si="4"/>
        <v>287.94861751318712</v>
      </c>
    </row>
    <row r="246" spans="1:9" ht="12.6">
      <c r="A246" s="316">
        <v>45959</v>
      </c>
      <c r="D246" s="291" t="s">
        <v>516</v>
      </c>
      <c r="E246" s="26"/>
      <c r="F246" s="26">
        <f>1.53-0.45</f>
        <v>1.08</v>
      </c>
      <c r="G246" s="27">
        <f t="shared" si="4"/>
        <v>286.86861751318713</v>
      </c>
    </row>
    <row r="247" spans="1:9" ht="12.6">
      <c r="A247" s="316">
        <v>45960</v>
      </c>
      <c r="D247" s="317" t="s">
        <v>12</v>
      </c>
      <c r="E247" s="26"/>
      <c r="F247" s="26">
        <v>12</v>
      </c>
      <c r="G247" s="27">
        <f t="shared" si="4"/>
        <v>274.86861751318713</v>
      </c>
    </row>
    <row r="248" spans="1:9" ht="12.6">
      <c r="A248" s="316">
        <v>45960</v>
      </c>
      <c r="D248" s="291" t="s">
        <v>804</v>
      </c>
      <c r="E248" s="393">
        <f>7805.791771</f>
        <v>7805.7917710000002</v>
      </c>
      <c r="F248" s="394"/>
      <c r="G248" s="27">
        <f t="shared" si="4"/>
        <v>8080.6603885131872</v>
      </c>
    </row>
    <row r="249" spans="1:9" ht="12.6">
      <c r="A249" s="316">
        <v>45960</v>
      </c>
      <c r="D249" s="8" t="s">
        <v>805</v>
      </c>
      <c r="E249" s="26">
        <v>4061.99</v>
      </c>
      <c r="F249" s="26"/>
      <c r="G249" s="27">
        <f t="shared" si="4"/>
        <v>12142.650388513186</v>
      </c>
      <c r="I249" s="38"/>
    </row>
    <row r="250" spans="1:9" ht="12.6">
      <c r="A250" s="316">
        <v>45960</v>
      </c>
      <c r="D250" s="8" t="s">
        <v>806</v>
      </c>
      <c r="E250" s="26"/>
      <c r="F250" s="26">
        <v>4061.99</v>
      </c>
      <c r="G250" s="27">
        <f t="shared" si="4"/>
        <v>8080.6603885131863</v>
      </c>
    </row>
    <row r="251" spans="1:9" ht="12.6">
      <c r="A251" s="316">
        <v>45960</v>
      </c>
      <c r="D251" s="8" t="s">
        <v>415</v>
      </c>
      <c r="E251" s="26"/>
      <c r="F251" s="26">
        <f>1.53</f>
        <v>1.53</v>
      </c>
      <c r="G251" s="27">
        <f t="shared" si="4"/>
        <v>8079.1303885131865</v>
      </c>
    </row>
    <row r="252" spans="1:9" ht="12.6">
      <c r="A252" s="316">
        <v>45960</v>
      </c>
      <c r="D252" s="11" t="s">
        <v>16</v>
      </c>
      <c r="E252" s="26"/>
      <c r="F252" s="26">
        <v>1.2</v>
      </c>
      <c r="G252" s="27">
        <f t="shared" si="4"/>
        <v>8077.9303885131867</v>
      </c>
      <c r="I252" s="38"/>
    </row>
    <row r="253" spans="1:9" ht="12.6">
      <c r="A253" s="316">
        <v>45960</v>
      </c>
      <c r="D253" s="291" t="s">
        <v>816</v>
      </c>
      <c r="E253" s="26">
        <v>14071.83</v>
      </c>
      <c r="F253" s="26"/>
      <c r="G253" s="27">
        <f t="shared" si="4"/>
        <v>22149.760388513187</v>
      </c>
    </row>
    <row r="254" spans="1:9" ht="12.6">
      <c r="A254" s="316">
        <v>45960</v>
      </c>
      <c r="D254" s="11" t="s">
        <v>16</v>
      </c>
      <c r="E254" s="26"/>
      <c r="F254" s="26">
        <v>0.7</v>
      </c>
      <c r="G254" s="27">
        <f t="shared" si="4"/>
        <v>22149.060388513186</v>
      </c>
      <c r="I254" s="38"/>
    </row>
    <row r="255" spans="1:9" ht="12.6">
      <c r="A255" s="316">
        <v>45960</v>
      </c>
      <c r="D255" s="391" t="s">
        <v>820</v>
      </c>
      <c r="E255" s="26"/>
      <c r="F255" s="26">
        <v>10000</v>
      </c>
      <c r="G255" s="27">
        <f t="shared" si="4"/>
        <v>12149.060388513186</v>
      </c>
      <c r="H255" s="26"/>
      <c r="I255" s="38"/>
    </row>
    <row r="256" spans="1:9" ht="12.6">
      <c r="A256" s="316">
        <v>45960</v>
      </c>
      <c r="D256" s="391" t="s">
        <v>820</v>
      </c>
      <c r="E256" s="26"/>
      <c r="F256" s="26">
        <v>4071.83</v>
      </c>
      <c r="G256" s="27">
        <f t="shared" si="4"/>
        <v>8077.230388513186</v>
      </c>
    </row>
    <row r="257" spans="1:9" ht="12.6">
      <c r="A257" s="316">
        <v>45961</v>
      </c>
      <c r="D257" s="317" t="s">
        <v>10</v>
      </c>
      <c r="E257" s="26"/>
      <c r="F257" s="28">
        <v>2</v>
      </c>
      <c r="G257" s="27">
        <f t="shared" si="4"/>
        <v>8075.230388513186</v>
      </c>
    </row>
    <row r="258" spans="1:9" ht="12.6">
      <c r="A258" s="316">
        <v>45961</v>
      </c>
      <c r="D258" s="317" t="s">
        <v>12</v>
      </c>
      <c r="E258" s="26"/>
      <c r="F258" s="26">
        <v>13</v>
      </c>
      <c r="G258" s="27">
        <f t="shared" si="4"/>
        <v>8062.230388513186</v>
      </c>
    </row>
    <row r="259" spans="1:9" s="14" customFormat="1" ht="12.6">
      <c r="A259" s="13">
        <v>45961</v>
      </c>
      <c r="E259" s="66"/>
      <c r="F259" s="66"/>
      <c r="G259" s="30">
        <f t="shared" si="4"/>
        <v>8062.230388513186</v>
      </c>
    </row>
    <row r="260" spans="1:9" ht="12.6">
      <c r="A260" s="316">
        <v>45962</v>
      </c>
      <c r="E260" s="26"/>
      <c r="F260" s="26"/>
      <c r="G260" s="27">
        <f t="shared" si="4"/>
        <v>8062.230388513186</v>
      </c>
    </row>
    <row r="261" spans="1:9" ht="12.6">
      <c r="A261" s="316">
        <v>45964</v>
      </c>
      <c r="D261" s="11" t="s">
        <v>24</v>
      </c>
      <c r="E261" s="26"/>
      <c r="F261" s="26">
        <v>1.32</v>
      </c>
      <c r="G261" s="27">
        <f t="shared" si="4"/>
        <v>8060.9103885131863</v>
      </c>
      <c r="I261" s="38"/>
    </row>
    <row r="262" spans="1:9" ht="12.6">
      <c r="A262" s="316">
        <v>45972</v>
      </c>
      <c r="D262" s="11" t="s">
        <v>865</v>
      </c>
      <c r="E262" s="26"/>
      <c r="F262" s="26">
        <v>1602.78</v>
      </c>
      <c r="G262" s="27">
        <f t="shared" si="4"/>
        <v>6458.1303885131865</v>
      </c>
    </row>
    <row r="263" spans="1:9" ht="12.6">
      <c r="A263" s="316">
        <v>45972</v>
      </c>
      <c r="D263" s="8" t="s">
        <v>866</v>
      </c>
      <c r="E263" s="26"/>
      <c r="F263" s="26">
        <v>1.53</v>
      </c>
      <c r="G263" s="27">
        <f t="shared" si="4"/>
        <v>6456.6003885131868</v>
      </c>
    </row>
    <row r="264" spans="1:9" ht="12.6">
      <c r="A264" s="316">
        <v>45973</v>
      </c>
      <c r="D264" s="291" t="s">
        <v>873</v>
      </c>
      <c r="E264" s="26">
        <v>34170.870000000003</v>
      </c>
      <c r="F264" s="26"/>
      <c r="G264" s="27">
        <f t="shared" ref="G264:G327" si="5">G263+E264-F264</f>
        <v>40627.470388513189</v>
      </c>
    </row>
    <row r="265" spans="1:9" ht="12.6">
      <c r="A265" s="316">
        <v>45973</v>
      </c>
      <c r="D265" s="291" t="s">
        <v>16</v>
      </c>
      <c r="E265" s="26"/>
      <c r="F265" s="26">
        <v>1.7</v>
      </c>
      <c r="G265" s="27">
        <f t="shared" si="5"/>
        <v>40625.770388513192</v>
      </c>
    </row>
    <row r="266" spans="1:9" ht="12.6">
      <c r="A266" s="316">
        <v>45974</v>
      </c>
      <c r="D266" s="291" t="s">
        <v>879</v>
      </c>
      <c r="E266" s="26">
        <v>3379.89</v>
      </c>
      <c r="F266" s="26"/>
      <c r="G266" s="27">
        <f t="shared" si="5"/>
        <v>44005.660388513192</v>
      </c>
    </row>
    <row r="267" spans="1:9" ht="12.6">
      <c r="A267" s="316">
        <v>45974</v>
      </c>
      <c r="D267" s="291" t="s">
        <v>16</v>
      </c>
      <c r="E267" s="26"/>
      <c r="F267" s="26">
        <v>0.25</v>
      </c>
      <c r="G267" s="27">
        <f t="shared" si="5"/>
        <v>44005.410388513192</v>
      </c>
      <c r="I267" s="38"/>
    </row>
    <row r="268" spans="1:9" ht="12.6">
      <c r="A268" s="316">
        <v>45974</v>
      </c>
      <c r="D268" s="391" t="s">
        <v>881</v>
      </c>
      <c r="E268" s="26"/>
      <c r="F268" s="26">
        <v>10000</v>
      </c>
      <c r="G268" s="27">
        <f t="shared" si="5"/>
        <v>34005.410388513192</v>
      </c>
    </row>
    <row r="269" spans="1:9" ht="12.6">
      <c r="A269" s="316">
        <v>45974</v>
      </c>
      <c r="D269" s="391" t="s">
        <v>881</v>
      </c>
      <c r="E269" s="26"/>
      <c r="F269" s="26">
        <v>10000</v>
      </c>
      <c r="G269" s="27">
        <f t="shared" si="5"/>
        <v>24005.410388513192</v>
      </c>
    </row>
    <row r="270" spans="1:9" ht="12.6">
      <c r="A270" s="316">
        <v>45974</v>
      </c>
      <c r="D270" s="391" t="s">
        <v>881</v>
      </c>
      <c r="E270" s="26"/>
      <c r="F270" s="26">
        <v>10000</v>
      </c>
      <c r="G270" s="27">
        <f t="shared" si="5"/>
        <v>14005.410388513192</v>
      </c>
    </row>
    <row r="271" spans="1:9" ht="12.6">
      <c r="A271" s="316">
        <v>45974</v>
      </c>
      <c r="D271" s="391" t="s">
        <v>881</v>
      </c>
      <c r="E271" s="26"/>
      <c r="F271" s="26">
        <v>7575</v>
      </c>
      <c r="G271" s="27">
        <f t="shared" si="5"/>
        <v>6430.4103885131917</v>
      </c>
    </row>
    <row r="272" spans="1:9" ht="12.6">
      <c r="A272" s="316">
        <v>45974</v>
      </c>
      <c r="D272" s="391" t="s">
        <v>886</v>
      </c>
      <c r="E272" s="26"/>
      <c r="F272" s="26">
        <v>2367</v>
      </c>
      <c r="G272" s="27">
        <f t="shared" si="5"/>
        <v>4063.4103885131917</v>
      </c>
    </row>
    <row r="273" spans="1:9" ht="12.6">
      <c r="A273" s="316">
        <v>45974</v>
      </c>
      <c r="D273" s="291" t="s">
        <v>16</v>
      </c>
      <c r="E273" s="26"/>
      <c r="F273" s="26">
        <v>0.1</v>
      </c>
      <c r="G273" s="27">
        <f t="shared" si="5"/>
        <v>4063.3103885131918</v>
      </c>
    </row>
    <row r="274" spans="1:9" ht="12.6">
      <c r="A274" s="316">
        <v>45974</v>
      </c>
      <c r="D274" s="24" t="s">
        <v>872</v>
      </c>
      <c r="E274" s="26">
        <v>0.1</v>
      </c>
      <c r="F274" s="26"/>
      <c r="G274" s="27">
        <f t="shared" si="5"/>
        <v>4063.4103885131917</v>
      </c>
    </row>
    <row r="275" spans="1:9" ht="12.6">
      <c r="A275" s="316">
        <v>45978</v>
      </c>
      <c r="D275" s="24" t="s">
        <v>24</v>
      </c>
      <c r="E275" s="26"/>
      <c r="F275" s="26">
        <v>1.32</v>
      </c>
      <c r="G275" s="27">
        <f t="shared" si="5"/>
        <v>4062.0903885131916</v>
      </c>
    </row>
    <row r="276" spans="1:9" ht="12.6">
      <c r="A276" s="316">
        <v>45979</v>
      </c>
      <c r="D276" s="291" t="s">
        <v>1084</v>
      </c>
      <c r="E276" s="26">
        <v>170228.48000000001</v>
      </c>
      <c r="F276" s="26"/>
      <c r="G276" s="27">
        <f t="shared" si="5"/>
        <v>174290.57038851321</v>
      </c>
    </row>
    <row r="277" spans="1:9" ht="12.6">
      <c r="A277" s="316">
        <v>45979</v>
      </c>
      <c r="D277" s="291" t="s">
        <v>1085</v>
      </c>
      <c r="E277" s="26">
        <v>12939.14</v>
      </c>
      <c r="F277" s="26"/>
      <c r="G277" s="27">
        <f t="shared" si="5"/>
        <v>187229.71038851322</v>
      </c>
    </row>
    <row r="278" spans="1:9" ht="12.6">
      <c r="A278" s="316">
        <v>45979</v>
      </c>
      <c r="D278" s="291" t="s">
        <v>16</v>
      </c>
      <c r="E278" s="26"/>
      <c r="F278" s="26">
        <v>9.1</v>
      </c>
      <c r="G278" s="27">
        <f t="shared" si="5"/>
        <v>187220.61038851322</v>
      </c>
      <c r="I278" s="38"/>
    </row>
    <row r="279" spans="1:9" ht="12.6">
      <c r="A279" s="316">
        <v>45981</v>
      </c>
      <c r="D279" s="351" t="s">
        <v>938</v>
      </c>
      <c r="E279" s="26">
        <v>6776.3</v>
      </c>
      <c r="F279" s="26"/>
      <c r="G279" s="27">
        <f t="shared" si="5"/>
        <v>193996.91038851321</v>
      </c>
    </row>
    <row r="280" spans="1:9" ht="12.6">
      <c r="A280" s="316">
        <v>45981</v>
      </c>
      <c r="D280" s="351" t="s">
        <v>939</v>
      </c>
      <c r="E280" s="26">
        <v>29409.42</v>
      </c>
      <c r="F280" s="26"/>
      <c r="G280" s="27">
        <f t="shared" si="5"/>
        <v>223406.33038851322</v>
      </c>
    </row>
    <row r="281" spans="1:9" ht="12.6">
      <c r="A281" s="316">
        <v>45981</v>
      </c>
      <c r="D281" s="11" t="s">
        <v>16</v>
      </c>
      <c r="E281" s="26"/>
      <c r="F281" s="26">
        <v>1.45</v>
      </c>
      <c r="G281" s="27">
        <f t="shared" si="5"/>
        <v>223404.88038851321</v>
      </c>
    </row>
    <row r="282" spans="1:9" ht="12.6">
      <c r="A282" s="316">
        <v>45985</v>
      </c>
      <c r="D282" s="11" t="s">
        <v>24</v>
      </c>
      <c r="E282" s="26"/>
      <c r="F282" s="26">
        <v>1.32</v>
      </c>
      <c r="G282" s="27">
        <f t="shared" si="5"/>
        <v>223403.5603885132</v>
      </c>
    </row>
    <row r="283" spans="1:9" ht="12.6">
      <c r="A283" s="316">
        <v>45987</v>
      </c>
      <c r="D283" s="11" t="s">
        <v>941</v>
      </c>
      <c r="E283" s="26"/>
      <c r="F283" s="26">
        <v>12</v>
      </c>
      <c r="G283" s="27">
        <f t="shared" si="5"/>
        <v>223391.5603885132</v>
      </c>
    </row>
    <row r="284" spans="1:9" ht="12.6">
      <c r="A284" s="316">
        <v>45987</v>
      </c>
      <c r="D284" s="8" t="s">
        <v>967</v>
      </c>
      <c r="E284" s="26"/>
      <c r="F284" s="26">
        <v>30000</v>
      </c>
      <c r="G284" s="27">
        <f t="shared" si="5"/>
        <v>193391.5603885132</v>
      </c>
    </row>
    <row r="285" spans="1:9" ht="12.6">
      <c r="A285" s="316">
        <v>45987</v>
      </c>
      <c r="D285" s="8" t="s">
        <v>967</v>
      </c>
      <c r="E285" s="26"/>
      <c r="F285" s="26">
        <v>30000</v>
      </c>
      <c r="G285" s="27">
        <f t="shared" si="5"/>
        <v>163391.5603885132</v>
      </c>
    </row>
    <row r="286" spans="1:9" ht="12.6">
      <c r="A286" s="316">
        <v>45987</v>
      </c>
      <c r="D286" s="8" t="s">
        <v>967</v>
      </c>
      <c r="E286" s="26"/>
      <c r="F286" s="26">
        <v>13000</v>
      </c>
      <c r="G286" s="27">
        <f t="shared" si="5"/>
        <v>150391.5603885132</v>
      </c>
    </row>
    <row r="287" spans="1:9" ht="12.6">
      <c r="A287" s="316">
        <v>45987</v>
      </c>
      <c r="D287" s="391" t="s">
        <v>968</v>
      </c>
      <c r="E287" s="26"/>
      <c r="F287" s="26">
        <v>30000</v>
      </c>
      <c r="G287" s="27">
        <f t="shared" si="5"/>
        <v>120391.5603885132</v>
      </c>
    </row>
    <row r="288" spans="1:9" ht="12.6">
      <c r="A288" s="316">
        <v>45987</v>
      </c>
      <c r="D288" s="391" t="s">
        <v>968</v>
      </c>
      <c r="E288" s="26"/>
      <c r="F288" s="26">
        <v>30000</v>
      </c>
      <c r="G288" s="27">
        <f t="shared" si="5"/>
        <v>90391.5603885132</v>
      </c>
    </row>
    <row r="289" spans="1:9" ht="12.6">
      <c r="A289" s="316">
        <v>45987</v>
      </c>
      <c r="D289" s="391" t="s">
        <v>968</v>
      </c>
      <c r="E289" s="26"/>
      <c r="F289" s="26">
        <v>30000</v>
      </c>
      <c r="G289" s="27">
        <f t="shared" si="5"/>
        <v>60391.5603885132</v>
      </c>
    </row>
    <row r="290" spans="1:9" ht="12.6">
      <c r="A290" s="316">
        <v>45987</v>
      </c>
      <c r="D290" s="391" t="s">
        <v>968</v>
      </c>
      <c r="E290" s="26"/>
      <c r="F290" s="26">
        <v>30000</v>
      </c>
      <c r="G290" s="27">
        <f t="shared" si="5"/>
        <v>30391.5603885132</v>
      </c>
    </row>
    <row r="291" spans="1:9" ht="12.6">
      <c r="A291" s="316">
        <v>45987</v>
      </c>
      <c r="D291" s="391" t="s">
        <v>968</v>
      </c>
      <c r="E291" s="26"/>
      <c r="F291" s="26">
        <v>15000</v>
      </c>
      <c r="G291" s="27">
        <f t="shared" si="5"/>
        <v>15391.5603885132</v>
      </c>
    </row>
    <row r="292" spans="1:9" ht="12.6">
      <c r="A292" s="316">
        <v>45987</v>
      </c>
      <c r="D292" s="291" t="s">
        <v>971</v>
      </c>
      <c r="E292" s="26"/>
      <c r="F292" s="26">
        <f>'FLUJO CAJA NOVIEMBRE'!$E$132+'FLUJO CAJA NOVIEMBRE'!$E$133+'FLUJO CAJA NOVIEMBRE'!$E$134</f>
        <v>4642.92</v>
      </c>
      <c r="G292" s="27">
        <f t="shared" si="5"/>
        <v>10748.6403885132</v>
      </c>
    </row>
    <row r="293" spans="1:9" ht="12.6">
      <c r="A293" s="316">
        <v>45987</v>
      </c>
      <c r="D293" s="291" t="s">
        <v>972</v>
      </c>
      <c r="E293" s="26"/>
      <c r="F293" s="26">
        <v>0.3</v>
      </c>
      <c r="G293" s="27">
        <f t="shared" si="5"/>
        <v>10748.340388513201</v>
      </c>
    </row>
    <row r="294" spans="1:9" ht="12.6">
      <c r="A294" s="316">
        <v>45987</v>
      </c>
      <c r="D294" s="291" t="s">
        <v>16</v>
      </c>
      <c r="E294" s="26"/>
      <c r="F294" s="26">
        <v>0.2</v>
      </c>
      <c r="G294" s="27">
        <f t="shared" si="5"/>
        <v>10748.1403885132</v>
      </c>
      <c r="I294" s="38"/>
    </row>
    <row r="295" spans="1:9" ht="12.6">
      <c r="A295" s="316">
        <v>45988</v>
      </c>
      <c r="D295" s="11" t="s">
        <v>980</v>
      </c>
      <c r="E295" s="26"/>
      <c r="F295" s="26">
        <f>'FLUJO CAJA NOVIEMBRE'!$E$70</f>
        <v>3976.3966752293582</v>
      </c>
      <c r="G295" s="27">
        <f t="shared" si="5"/>
        <v>6771.7437132838422</v>
      </c>
    </row>
    <row r="296" spans="1:9" ht="12.6">
      <c r="A296" s="316">
        <v>45988</v>
      </c>
      <c r="D296" s="11" t="s">
        <v>981</v>
      </c>
      <c r="E296" s="26"/>
      <c r="F296" s="26">
        <v>0.3</v>
      </c>
      <c r="G296" s="27">
        <f t="shared" si="5"/>
        <v>6771.443713283842</v>
      </c>
    </row>
    <row r="297" spans="1:9" ht="12.6">
      <c r="A297" s="316">
        <v>45988</v>
      </c>
      <c r="D297" s="11" t="s">
        <v>16</v>
      </c>
      <c r="E297" s="26"/>
      <c r="F297" s="26">
        <v>0.15</v>
      </c>
      <c r="G297" s="27">
        <f t="shared" si="5"/>
        <v>6771.2937132838424</v>
      </c>
      <c r="I297" s="38"/>
    </row>
    <row r="298" spans="1:9" ht="12.6">
      <c r="A298" s="316">
        <v>45988</v>
      </c>
      <c r="D298" s="291" t="s">
        <v>984</v>
      </c>
      <c r="E298" s="26"/>
      <c r="F298" s="26">
        <v>174.4</v>
      </c>
      <c r="G298" s="27">
        <f t="shared" si="5"/>
        <v>6596.8937132838428</v>
      </c>
    </row>
    <row r="299" spans="1:9" ht="12.6">
      <c r="A299" s="316">
        <v>45988</v>
      </c>
      <c r="D299" s="291" t="s">
        <v>972</v>
      </c>
      <c r="E299" s="26"/>
      <c r="F299" s="26">
        <v>1.53</v>
      </c>
      <c r="G299" s="27">
        <f t="shared" si="5"/>
        <v>6595.363713283843</v>
      </c>
    </row>
    <row r="300" spans="1:9" ht="12.6">
      <c r="A300" s="316">
        <v>45989</v>
      </c>
      <c r="D300" s="351" t="s">
        <v>1008</v>
      </c>
      <c r="E300" s="26">
        <v>6096.99</v>
      </c>
      <c r="F300" s="26"/>
      <c r="G300" s="27">
        <f t="shared" si="5"/>
        <v>12692.353713283843</v>
      </c>
    </row>
    <row r="301" spans="1:9" ht="12.6">
      <c r="A301" s="316">
        <v>45989</v>
      </c>
      <c r="D301" s="8" t="s">
        <v>16</v>
      </c>
      <c r="E301" s="26"/>
      <c r="F301" s="26">
        <v>0.3</v>
      </c>
      <c r="G301" s="27">
        <f t="shared" si="5"/>
        <v>12692.053713283844</v>
      </c>
    </row>
    <row r="302" spans="1:9" ht="12.6">
      <c r="A302" s="316">
        <v>45989</v>
      </c>
      <c r="D302" s="317" t="s">
        <v>10</v>
      </c>
      <c r="E302" s="26"/>
      <c r="F302" s="26">
        <v>2</v>
      </c>
      <c r="G302" s="27">
        <f t="shared" si="5"/>
        <v>12690.053713283844</v>
      </c>
    </row>
    <row r="303" spans="1:9" ht="12.6">
      <c r="A303" s="316">
        <v>45989</v>
      </c>
      <c r="D303" s="317" t="s">
        <v>12</v>
      </c>
      <c r="F303" s="26">
        <v>13</v>
      </c>
      <c r="G303" s="27">
        <f t="shared" si="5"/>
        <v>12677.053713283844</v>
      </c>
    </row>
    <row r="304" spans="1:9" s="14" customFormat="1" ht="12.6">
      <c r="A304" s="13">
        <v>45991</v>
      </c>
      <c r="E304" s="66"/>
      <c r="F304" s="66"/>
      <c r="G304" s="30">
        <f t="shared" si="5"/>
        <v>12677.053713283844</v>
      </c>
    </row>
    <row r="305" spans="1:9" ht="12.6">
      <c r="A305" s="316">
        <v>45992</v>
      </c>
      <c r="G305" s="27">
        <f t="shared" si="5"/>
        <v>12677.053713283844</v>
      </c>
    </row>
    <row r="306" spans="1:9" ht="12.6">
      <c r="A306" s="316">
        <v>45992</v>
      </c>
      <c r="D306" s="11" t="s">
        <v>24</v>
      </c>
      <c r="E306" s="26"/>
      <c r="F306" s="26">
        <v>1.32</v>
      </c>
      <c r="G306" s="27">
        <f t="shared" si="5"/>
        <v>12675.733713283844</v>
      </c>
    </row>
    <row r="307" spans="1:9" ht="12.6">
      <c r="A307" s="316">
        <v>46002</v>
      </c>
      <c r="D307" s="11" t="s">
        <v>1044</v>
      </c>
      <c r="F307" s="26">
        <v>5241.1099999999997</v>
      </c>
      <c r="G307" s="27">
        <f t="shared" si="5"/>
        <v>7434.6237132838442</v>
      </c>
    </row>
    <row r="308" spans="1:9" ht="12.6">
      <c r="A308" s="316">
        <v>46002</v>
      </c>
      <c r="D308" s="8" t="s">
        <v>1045</v>
      </c>
      <c r="F308" s="26">
        <v>0.3</v>
      </c>
      <c r="G308" s="27">
        <f t="shared" si="5"/>
        <v>7434.323713283844</v>
      </c>
    </row>
    <row r="309" spans="1:9" ht="12.6">
      <c r="A309" s="316">
        <v>46002</v>
      </c>
      <c r="D309" s="8" t="s">
        <v>16</v>
      </c>
      <c r="F309" s="26">
        <v>0.25</v>
      </c>
      <c r="G309" s="27">
        <f t="shared" si="5"/>
        <v>7434.073713283844</v>
      </c>
      <c r="I309" s="38"/>
    </row>
    <row r="310" spans="1:9" ht="12.6">
      <c r="A310" s="316">
        <v>46007</v>
      </c>
      <c r="D310" s="291" t="s">
        <v>1054</v>
      </c>
      <c r="F310" s="26">
        <v>7434</v>
      </c>
      <c r="G310" s="27">
        <f t="shared" si="5"/>
        <v>7.3713283843972022E-2</v>
      </c>
      <c r="H310" s="27">
        <v>3.2959999999999998</v>
      </c>
    </row>
    <row r="311" spans="1:9" ht="12.6">
      <c r="A311" s="316">
        <v>46007</v>
      </c>
      <c r="D311" s="391" t="s">
        <v>1059</v>
      </c>
      <c r="E311" s="26">
        <v>450</v>
      </c>
      <c r="G311" s="27">
        <f t="shared" si="5"/>
        <v>450.07371328384397</v>
      </c>
    </row>
    <row r="312" spans="1:9" ht="12.6">
      <c r="A312" s="316">
        <v>46007</v>
      </c>
      <c r="D312" s="291" t="s">
        <v>1054</v>
      </c>
      <c r="F312" s="26">
        <v>450</v>
      </c>
      <c r="G312" s="27">
        <f t="shared" si="5"/>
        <v>7.3713283843972022E-2</v>
      </c>
    </row>
    <row r="313" spans="1:9" ht="12.6">
      <c r="A313" s="316">
        <v>46008</v>
      </c>
      <c r="D313" s="351" t="s">
        <v>1061</v>
      </c>
      <c r="E313" s="26">
        <v>31190.49</v>
      </c>
      <c r="G313" s="27">
        <f t="shared" si="5"/>
        <v>31190.563713283846</v>
      </c>
    </row>
    <row r="314" spans="1:9" ht="12.6">
      <c r="A314" s="316">
        <v>46008</v>
      </c>
      <c r="D314" s="351" t="s">
        <v>1063</v>
      </c>
      <c r="E314" s="26">
        <v>8613.07</v>
      </c>
      <c r="G314" s="27">
        <f t="shared" si="5"/>
        <v>39803.633713283845</v>
      </c>
    </row>
    <row r="315" spans="1:9" ht="12.6">
      <c r="A315" s="316">
        <v>46008</v>
      </c>
      <c r="D315" s="8" t="s">
        <v>16</v>
      </c>
      <c r="E315" s="26"/>
      <c r="F315" s="26">
        <v>1.55</v>
      </c>
      <c r="G315" s="27">
        <f t="shared" si="5"/>
        <v>39802.083713283842</v>
      </c>
      <c r="I315" s="38"/>
    </row>
    <row r="316" spans="1:9" ht="12.6">
      <c r="A316" s="316">
        <v>46009</v>
      </c>
      <c r="D316" s="351" t="s">
        <v>1066</v>
      </c>
      <c r="E316" s="26">
        <v>6643.15</v>
      </c>
      <c r="G316" s="27">
        <f t="shared" si="5"/>
        <v>46445.233713283844</v>
      </c>
    </row>
    <row r="317" spans="1:9" ht="12.6">
      <c r="A317" s="316">
        <v>46009</v>
      </c>
      <c r="D317" s="8" t="s">
        <v>16</v>
      </c>
      <c r="F317" s="26">
        <v>0.3</v>
      </c>
      <c r="G317" s="27">
        <f t="shared" si="5"/>
        <v>46444.933713283841</v>
      </c>
      <c r="I317" s="38"/>
    </row>
    <row r="318" spans="1:9" ht="12.6">
      <c r="A318" s="316">
        <v>46013</v>
      </c>
      <c r="D318" s="11" t="s">
        <v>24</v>
      </c>
      <c r="F318" s="26">
        <v>1.32</v>
      </c>
      <c r="G318" s="27">
        <f t="shared" si="5"/>
        <v>46443.613713283841</v>
      </c>
    </row>
    <row r="319" spans="1:9" ht="12.6">
      <c r="A319" s="316">
        <v>46014</v>
      </c>
      <c r="D319" s="11" t="s">
        <v>1074</v>
      </c>
      <c r="F319" s="26">
        <v>10000</v>
      </c>
      <c r="G319" s="27">
        <f t="shared" si="5"/>
        <v>36443.613713283841</v>
      </c>
    </row>
    <row r="320" spans="1:9" ht="12.6">
      <c r="A320" s="316">
        <v>46014</v>
      </c>
      <c r="D320" s="11" t="s">
        <v>1074</v>
      </c>
      <c r="F320" s="26">
        <v>10000</v>
      </c>
      <c r="G320" s="27">
        <f t="shared" si="5"/>
        <v>26443.613713283841</v>
      </c>
    </row>
    <row r="321" spans="1:9" ht="12.6">
      <c r="A321" s="316">
        <v>46014</v>
      </c>
      <c r="D321" s="11" t="s">
        <v>1074</v>
      </c>
      <c r="F321" s="26">
        <v>10000</v>
      </c>
      <c r="G321" s="27">
        <f t="shared" si="5"/>
        <v>16443.613713283841</v>
      </c>
    </row>
    <row r="322" spans="1:9" ht="12.6">
      <c r="A322" s="316">
        <v>46014</v>
      </c>
      <c r="D322" s="11" t="s">
        <v>1074</v>
      </c>
      <c r="F322" s="26">
        <v>10000</v>
      </c>
      <c r="G322" s="27">
        <f t="shared" si="5"/>
        <v>6443.6137132838412</v>
      </c>
    </row>
    <row r="323" spans="1:9" ht="12.6">
      <c r="A323" s="316">
        <v>46017</v>
      </c>
      <c r="D323" s="291" t="s">
        <v>1086</v>
      </c>
      <c r="E323" s="26">
        <v>97928.1</v>
      </c>
      <c r="G323" s="27">
        <f t="shared" si="5"/>
        <v>104371.71371328385</v>
      </c>
    </row>
    <row r="324" spans="1:9" ht="12.6">
      <c r="A324" s="316">
        <v>46017</v>
      </c>
      <c r="D324" s="291" t="s">
        <v>16</v>
      </c>
      <c r="E324" s="26"/>
      <c r="F324" s="26">
        <v>4.8499999999999996</v>
      </c>
      <c r="G324" s="27">
        <f t="shared" si="5"/>
        <v>104366.86371328385</v>
      </c>
      <c r="I324" s="38"/>
    </row>
    <row r="325" spans="1:9" ht="12.6">
      <c r="A325" s="316">
        <v>46017</v>
      </c>
      <c r="D325" s="391" t="s">
        <v>1087</v>
      </c>
      <c r="F325" s="26">
        <v>10000</v>
      </c>
      <c r="G325" s="27">
        <f t="shared" si="5"/>
        <v>94366.863713283848</v>
      </c>
    </row>
    <row r="326" spans="1:9" ht="12.6">
      <c r="A326" s="316">
        <v>46017</v>
      </c>
      <c r="D326" s="391" t="s">
        <v>1087</v>
      </c>
      <c r="F326" s="26">
        <v>10000</v>
      </c>
      <c r="G326" s="27">
        <f t="shared" si="5"/>
        <v>84366.863713283848</v>
      </c>
    </row>
    <row r="327" spans="1:9" ht="12.6">
      <c r="A327" s="316">
        <v>46017</v>
      </c>
      <c r="D327" s="391" t="s">
        <v>1087</v>
      </c>
      <c r="F327" s="26">
        <v>10000</v>
      </c>
      <c r="G327" s="27">
        <f t="shared" si="5"/>
        <v>74366.863713283848</v>
      </c>
    </row>
    <row r="328" spans="1:9" ht="12.6">
      <c r="A328" s="316">
        <v>46017</v>
      </c>
      <c r="D328" s="391" t="s">
        <v>1087</v>
      </c>
      <c r="F328" s="26">
        <v>10000</v>
      </c>
      <c r="G328" s="27">
        <f t="shared" ref="G328:G391" si="6">G327+E328-F328</f>
        <v>64366.863713283848</v>
      </c>
    </row>
    <row r="329" spans="1:9" ht="12.6">
      <c r="A329" s="316">
        <v>46017</v>
      </c>
      <c r="D329" s="391" t="s">
        <v>1087</v>
      </c>
      <c r="F329" s="26">
        <v>10000</v>
      </c>
      <c r="G329" s="27">
        <f t="shared" si="6"/>
        <v>54366.863713283848</v>
      </c>
    </row>
    <row r="330" spans="1:9" ht="12.6">
      <c r="A330" s="316">
        <v>46017</v>
      </c>
      <c r="D330" s="391" t="s">
        <v>1087</v>
      </c>
      <c r="F330" s="26">
        <v>10000</v>
      </c>
      <c r="G330" s="27">
        <f t="shared" si="6"/>
        <v>44366.863713283848</v>
      </c>
    </row>
    <row r="331" spans="1:9" ht="12.6">
      <c r="A331" s="316">
        <v>46017</v>
      </c>
      <c r="D331" s="391" t="s">
        <v>1087</v>
      </c>
      <c r="F331" s="26">
        <v>10000</v>
      </c>
      <c r="G331" s="27">
        <f t="shared" si="6"/>
        <v>34366.863713283848</v>
      </c>
    </row>
    <row r="332" spans="1:9" ht="12.6">
      <c r="A332" s="316">
        <v>46017</v>
      </c>
      <c r="D332" s="391" t="s">
        <v>1087</v>
      </c>
      <c r="F332" s="26">
        <v>10000</v>
      </c>
      <c r="G332" s="27">
        <f t="shared" si="6"/>
        <v>24366.863713283848</v>
      </c>
    </row>
    <row r="333" spans="1:9" ht="12.6">
      <c r="A333" s="316">
        <v>46017</v>
      </c>
      <c r="D333" s="391" t="s">
        <v>1087</v>
      </c>
      <c r="F333" s="26">
        <v>10000</v>
      </c>
      <c r="G333" s="27">
        <f t="shared" si="6"/>
        <v>14366.863713283848</v>
      </c>
    </row>
    <row r="334" spans="1:9" ht="12.6">
      <c r="A334" s="316">
        <v>46017</v>
      </c>
      <c r="D334" s="391" t="s">
        <v>1087</v>
      </c>
      <c r="F334" s="26">
        <v>7928.1</v>
      </c>
      <c r="G334" s="27">
        <f t="shared" si="6"/>
        <v>6438.7637132838481</v>
      </c>
    </row>
    <row r="335" spans="1:9" ht="12.6">
      <c r="A335" s="316">
        <v>46017</v>
      </c>
      <c r="D335" s="391" t="s">
        <v>1092</v>
      </c>
      <c r="F335" s="26">
        <v>132.03</v>
      </c>
      <c r="G335" s="27">
        <f t="shared" si="6"/>
        <v>6306.7337132838484</v>
      </c>
    </row>
    <row r="336" spans="1:9" ht="12.6">
      <c r="A336" s="316">
        <v>46017</v>
      </c>
      <c r="D336" s="391" t="s">
        <v>1098</v>
      </c>
      <c r="F336" s="26">
        <v>87.2</v>
      </c>
      <c r="G336" s="27">
        <f t="shared" si="6"/>
        <v>6219.5337132838486</v>
      </c>
    </row>
    <row r="337" spans="1:9" ht="12.6">
      <c r="A337" s="316">
        <v>46017</v>
      </c>
      <c r="D337" s="391" t="s">
        <v>1099</v>
      </c>
      <c r="F337" s="26">
        <v>1.53</v>
      </c>
      <c r="G337" s="27">
        <f t="shared" si="6"/>
        <v>6218.0037132838488</v>
      </c>
    </row>
    <row r="338" spans="1:9" ht="12.6">
      <c r="A338" s="316">
        <v>46020</v>
      </c>
      <c r="D338" s="291" t="s">
        <v>1117</v>
      </c>
      <c r="E338" s="26">
        <v>6587.35</v>
      </c>
      <c r="F338" s="26"/>
      <c r="G338" s="27">
        <f t="shared" si="6"/>
        <v>12805.35371328385</v>
      </c>
    </row>
    <row r="339" spans="1:9" ht="12.6">
      <c r="A339" s="316">
        <v>46020</v>
      </c>
      <c r="D339" s="291" t="s">
        <v>16</v>
      </c>
      <c r="E339" s="26"/>
      <c r="F339" s="26">
        <v>0.3</v>
      </c>
      <c r="G339" s="27">
        <f t="shared" si="6"/>
        <v>12805.053713283851</v>
      </c>
    </row>
    <row r="340" spans="1:9" ht="12.6">
      <c r="A340" s="316">
        <v>46020</v>
      </c>
      <c r="D340" s="291" t="s">
        <v>16</v>
      </c>
      <c r="E340" s="26"/>
      <c r="F340" s="26">
        <v>1.32</v>
      </c>
      <c r="G340" s="27">
        <f t="shared" si="6"/>
        <v>12803.733713283851</v>
      </c>
      <c r="I340" s="38"/>
    </row>
    <row r="341" spans="1:9" ht="12.6">
      <c r="A341" s="316">
        <v>46021</v>
      </c>
      <c r="D341" s="317" t="s">
        <v>12</v>
      </c>
      <c r="E341" s="26"/>
      <c r="F341" s="26">
        <v>12</v>
      </c>
      <c r="G341" s="27">
        <f t="shared" si="6"/>
        <v>12791.733713283851</v>
      </c>
      <c r="I341" s="38"/>
    </row>
    <row r="342" spans="1:9" ht="12.6">
      <c r="A342" s="316">
        <v>46021</v>
      </c>
      <c r="D342" s="11" t="s">
        <v>1119</v>
      </c>
      <c r="F342" s="26">
        <v>4339.99</v>
      </c>
      <c r="G342" s="27">
        <f t="shared" si="6"/>
        <v>8451.7437132838513</v>
      </c>
    </row>
    <row r="343" spans="1:9" ht="12.6">
      <c r="A343" s="316">
        <v>46021</v>
      </c>
      <c r="D343" s="11" t="s">
        <v>866</v>
      </c>
      <c r="F343" s="26">
        <v>0.3</v>
      </c>
      <c r="G343" s="27">
        <f t="shared" si="6"/>
        <v>8451.443713283852</v>
      </c>
      <c r="I343" s="38"/>
    </row>
    <row r="344" spans="1:9" ht="12.6">
      <c r="A344" s="316">
        <v>46021</v>
      </c>
      <c r="D344" s="8" t="s">
        <v>16</v>
      </c>
      <c r="F344" s="26">
        <v>0.2</v>
      </c>
      <c r="G344" s="27">
        <f t="shared" si="6"/>
        <v>8451.2437132838513</v>
      </c>
    </row>
    <row r="345" spans="1:9" ht="12.6">
      <c r="A345" s="316">
        <v>46022</v>
      </c>
      <c r="D345" s="317" t="s">
        <v>10</v>
      </c>
      <c r="E345" s="26"/>
      <c r="F345" s="26">
        <v>2</v>
      </c>
      <c r="G345" s="27">
        <f t="shared" si="6"/>
        <v>8449.2437132838513</v>
      </c>
    </row>
    <row r="346" spans="1:9" ht="12.6">
      <c r="A346" s="316">
        <v>46022</v>
      </c>
      <c r="D346" s="317" t="s">
        <v>12</v>
      </c>
      <c r="F346" s="26">
        <v>13</v>
      </c>
      <c r="G346" s="27">
        <f t="shared" si="6"/>
        <v>8436.2437132838513</v>
      </c>
    </row>
    <row r="347" spans="1:9" s="14" customFormat="1" ht="12.6">
      <c r="A347" s="13">
        <v>46022</v>
      </c>
      <c r="G347" s="30">
        <f t="shared" si="6"/>
        <v>8436.2437132838513</v>
      </c>
    </row>
    <row r="348" spans="1:9" ht="12.6">
      <c r="A348" s="316">
        <v>46023</v>
      </c>
      <c r="G348" s="27">
        <f t="shared" si="6"/>
        <v>8436.2437132838513</v>
      </c>
    </row>
    <row r="349" spans="1:9" ht="12.6">
      <c r="A349" s="316">
        <v>46027</v>
      </c>
      <c r="D349" s="11" t="s">
        <v>24</v>
      </c>
      <c r="F349" s="26">
        <v>1.32</v>
      </c>
      <c r="G349" s="27">
        <f t="shared" si="6"/>
        <v>8434.9237132838516</v>
      </c>
    </row>
    <row r="350" spans="1:9" ht="12.6">
      <c r="A350" s="316">
        <v>46031</v>
      </c>
      <c r="D350" s="351" t="s">
        <v>1167</v>
      </c>
      <c r="E350" s="26">
        <v>11140.06</v>
      </c>
      <c r="F350" s="453"/>
      <c r="G350" s="27">
        <f t="shared" si="6"/>
        <v>19574.983713283851</v>
      </c>
      <c r="H350" s="38"/>
    </row>
    <row r="351" spans="1:9" ht="12.6">
      <c r="A351" s="316">
        <v>46031</v>
      </c>
      <c r="D351" s="8" t="s">
        <v>16</v>
      </c>
      <c r="E351" s="26"/>
      <c r="F351" s="26">
        <v>0.55000000000000004</v>
      </c>
      <c r="G351" s="27">
        <f t="shared" si="6"/>
        <v>19574.433713283852</v>
      </c>
    </row>
    <row r="352" spans="1:9" ht="12.6">
      <c r="A352" s="316">
        <v>46034</v>
      </c>
      <c r="D352" s="11" t="s">
        <v>24</v>
      </c>
      <c r="E352" s="26"/>
      <c r="F352" s="26">
        <v>1.32</v>
      </c>
      <c r="G352" s="27">
        <f t="shared" si="6"/>
        <v>19573.113713283852</v>
      </c>
    </row>
    <row r="353" spans="1:11" ht="12.6">
      <c r="A353" s="316">
        <v>46041</v>
      </c>
      <c r="D353" s="8" t="s">
        <v>1157</v>
      </c>
      <c r="E353" s="26"/>
      <c r="F353" s="26">
        <v>10000</v>
      </c>
      <c r="G353" s="27">
        <f t="shared" si="6"/>
        <v>9573.1137132838521</v>
      </c>
    </row>
    <row r="354" spans="1:11" ht="12.6">
      <c r="A354" s="316">
        <v>46042</v>
      </c>
      <c r="D354" s="291" t="s">
        <v>1168</v>
      </c>
      <c r="E354" s="26">
        <v>101465.47</v>
      </c>
      <c r="G354" s="27">
        <f t="shared" si="6"/>
        <v>111038.58371328385</v>
      </c>
    </row>
    <row r="355" spans="1:11" ht="12.6">
      <c r="A355" s="316">
        <v>46042</v>
      </c>
      <c r="D355" s="291" t="s">
        <v>1169</v>
      </c>
      <c r="E355" s="26">
        <v>6446.58</v>
      </c>
      <c r="G355" s="27">
        <f t="shared" si="6"/>
        <v>117485.16371328385</v>
      </c>
    </row>
    <row r="356" spans="1:11" ht="12.6">
      <c r="A356" s="316">
        <v>46042</v>
      </c>
      <c r="D356" s="291" t="s">
        <v>16</v>
      </c>
      <c r="E356" s="26"/>
      <c r="F356" s="26">
        <v>5.35</v>
      </c>
      <c r="G356" s="27">
        <f t="shared" si="6"/>
        <v>117479.81371328385</v>
      </c>
      <c r="I356" s="38"/>
    </row>
    <row r="357" spans="1:11" ht="12.6">
      <c r="A357" s="316">
        <v>46044</v>
      </c>
      <c r="D357" s="351" t="s">
        <v>1237</v>
      </c>
      <c r="E357" s="26">
        <v>19068.62</v>
      </c>
      <c r="G357" s="27">
        <f t="shared" si="6"/>
        <v>136548.43371328386</v>
      </c>
    </row>
    <row r="358" spans="1:11" ht="12.6">
      <c r="A358" s="316">
        <v>46044</v>
      </c>
      <c r="D358" s="291" t="s">
        <v>1178</v>
      </c>
      <c r="E358" s="26"/>
      <c r="F358" s="26">
        <v>7160.88</v>
      </c>
      <c r="G358" s="27">
        <f t="shared" si="6"/>
        <v>129387.55371328385</v>
      </c>
    </row>
    <row r="359" spans="1:11" ht="12.6">
      <c r="A359" s="316">
        <v>46044</v>
      </c>
      <c r="D359" s="291" t="s">
        <v>16</v>
      </c>
      <c r="E359" s="26"/>
      <c r="F359" s="26">
        <v>1.3</v>
      </c>
      <c r="G359" s="27">
        <f t="shared" si="6"/>
        <v>129386.25371328385</v>
      </c>
    </row>
    <row r="360" spans="1:11" ht="12.6">
      <c r="A360" s="316">
        <v>46048</v>
      </c>
      <c r="D360" s="351" t="s">
        <v>1187</v>
      </c>
      <c r="E360" s="26">
        <v>5706.68</v>
      </c>
      <c r="F360" s="26"/>
      <c r="G360" s="27">
        <f t="shared" si="6"/>
        <v>135092.93371328386</v>
      </c>
    </row>
    <row r="361" spans="1:11" ht="12.6">
      <c r="A361" s="316">
        <v>46048</v>
      </c>
      <c r="D361" s="351" t="s">
        <v>16</v>
      </c>
      <c r="F361" s="26">
        <v>0.25</v>
      </c>
      <c r="G361" s="27">
        <f t="shared" si="6"/>
        <v>135092.68371328386</v>
      </c>
      <c r="I361" s="38"/>
    </row>
    <row r="362" spans="1:11" ht="12.6">
      <c r="A362" s="316">
        <v>46049</v>
      </c>
      <c r="D362" s="11" t="s">
        <v>12</v>
      </c>
      <c r="F362" s="26">
        <v>12</v>
      </c>
      <c r="G362" s="27">
        <f t="shared" si="6"/>
        <v>135080.68371328386</v>
      </c>
      <c r="I362" s="38"/>
      <c r="J362" s="11" t="s">
        <v>1197</v>
      </c>
    </row>
    <row r="363" spans="1:11" ht="12.6">
      <c r="A363" s="316">
        <v>46049</v>
      </c>
      <c r="D363" s="11" t="s">
        <v>24</v>
      </c>
      <c r="E363" s="26"/>
      <c r="F363" s="26">
        <v>1.32</v>
      </c>
      <c r="G363" s="27">
        <f t="shared" si="6"/>
        <v>135079.36371328385</v>
      </c>
      <c r="I363" s="38">
        <v>107942.06</v>
      </c>
      <c r="J363" s="38">
        <v>7160.88</v>
      </c>
      <c r="K363" s="38">
        <f>I363-J363</f>
        <v>100781.18</v>
      </c>
    </row>
    <row r="364" spans="1:11" ht="12.6">
      <c r="A364" s="316">
        <v>46050</v>
      </c>
      <c r="D364" s="11" t="s">
        <v>1196</v>
      </c>
      <c r="F364" s="26">
        <v>10000</v>
      </c>
      <c r="G364" s="27">
        <f t="shared" si="6"/>
        <v>125079.36371328385</v>
      </c>
      <c r="H364" s="11">
        <v>3.2719999999999998</v>
      </c>
      <c r="I364" s="461" t="s">
        <v>1198</v>
      </c>
      <c r="J364" s="38">
        <f>'FLUJO CAJA ENERO 2026'!G13</f>
        <v>35915.360000000001</v>
      </c>
    </row>
    <row r="365" spans="1:11" ht="12.6">
      <c r="A365" s="316">
        <v>46050</v>
      </c>
      <c r="D365" s="11" t="s">
        <v>1196</v>
      </c>
      <c r="F365" s="26">
        <v>10000</v>
      </c>
      <c r="G365" s="27">
        <f t="shared" si="6"/>
        <v>115079.36371328385</v>
      </c>
      <c r="H365" s="11">
        <v>3.2719999999999998</v>
      </c>
    </row>
    <row r="366" spans="1:11" ht="12.6">
      <c r="A366" s="316">
        <v>46050</v>
      </c>
      <c r="D366" s="11" t="s">
        <v>1196</v>
      </c>
      <c r="F366" s="26">
        <v>10000</v>
      </c>
      <c r="G366" s="27">
        <f t="shared" si="6"/>
        <v>105079.36371328385</v>
      </c>
      <c r="H366" s="11">
        <v>3.2719999999999998</v>
      </c>
    </row>
    <row r="367" spans="1:11" ht="12.6">
      <c r="A367" s="316">
        <v>46050</v>
      </c>
      <c r="D367" s="11" t="s">
        <v>1196</v>
      </c>
      <c r="F367" s="26">
        <v>5000</v>
      </c>
      <c r="G367" s="27">
        <f t="shared" si="6"/>
        <v>100079.36371328385</v>
      </c>
      <c r="H367" s="11">
        <v>3.2719999999999998</v>
      </c>
    </row>
    <row r="368" spans="1:11" ht="12.6">
      <c r="A368" s="316">
        <v>46050</v>
      </c>
      <c r="D368" s="391" t="s">
        <v>1199</v>
      </c>
      <c r="F368" s="26">
        <v>100000</v>
      </c>
      <c r="G368" s="27">
        <f t="shared" si="6"/>
        <v>79.363713283848483</v>
      </c>
      <c r="H368" s="11">
        <v>3.2719999999999998</v>
      </c>
    </row>
    <row r="369" spans="1:7" ht="12.6">
      <c r="A369" s="316">
        <v>46051</v>
      </c>
      <c r="D369" s="291" t="s">
        <v>1207</v>
      </c>
      <c r="E369" s="26">
        <v>200.64</v>
      </c>
      <c r="F369" s="26"/>
      <c r="G369" s="27">
        <f t="shared" si="6"/>
        <v>280.00371328384847</v>
      </c>
    </row>
    <row r="370" spans="1:7" ht="12.6">
      <c r="A370" s="316">
        <v>46051</v>
      </c>
      <c r="D370" s="291" t="s">
        <v>1204</v>
      </c>
      <c r="F370" s="26">
        <v>132.03</v>
      </c>
      <c r="G370" s="27">
        <f t="shared" si="6"/>
        <v>147.97371328384847</v>
      </c>
    </row>
    <row r="371" spans="1:7" ht="12.6">
      <c r="A371" s="316">
        <v>46053</v>
      </c>
      <c r="D371" s="11" t="s">
        <v>10</v>
      </c>
      <c r="F371" s="26">
        <v>2</v>
      </c>
      <c r="G371" s="27">
        <f t="shared" si="6"/>
        <v>145.97371328384847</v>
      </c>
    </row>
    <row r="372" spans="1:7" ht="12.6">
      <c r="A372" s="316">
        <v>46053</v>
      </c>
      <c r="D372" s="317" t="s">
        <v>12</v>
      </c>
      <c r="F372" s="26">
        <v>13</v>
      </c>
      <c r="G372" s="27">
        <f t="shared" si="6"/>
        <v>132.97371328384847</v>
      </c>
    </row>
    <row r="373" spans="1:7" s="14" customFormat="1" ht="12.6">
      <c r="A373" s="13">
        <v>46053</v>
      </c>
      <c r="D373" s="465"/>
      <c r="F373" s="66"/>
      <c r="G373" s="30">
        <f t="shared" si="6"/>
        <v>132.97371328384847</v>
      </c>
    </row>
    <row r="374" spans="1:7" ht="12.6">
      <c r="A374" s="316">
        <v>46054</v>
      </c>
      <c r="D374" s="462"/>
      <c r="F374" s="26"/>
      <c r="G374" s="27">
        <f t="shared" si="6"/>
        <v>132.97371328384847</v>
      </c>
    </row>
    <row r="375" spans="1:7" ht="12.6">
      <c r="A375" s="316">
        <v>46055</v>
      </c>
      <c r="D375" s="11" t="s">
        <v>24</v>
      </c>
      <c r="E375" s="26"/>
      <c r="F375" s="26">
        <v>1.32</v>
      </c>
      <c r="G375" s="27">
        <f t="shared" si="6"/>
        <v>131.65371328384848</v>
      </c>
    </row>
    <row r="376" spans="1:7" ht="12.6">
      <c r="A376" s="316">
        <v>46065</v>
      </c>
      <c r="D376" s="391" t="s">
        <v>1266</v>
      </c>
      <c r="E376" s="26">
        <v>1823.76</v>
      </c>
      <c r="F376" s="26"/>
      <c r="G376" s="27">
        <f t="shared" si="6"/>
        <v>1955.4137132838484</v>
      </c>
    </row>
    <row r="377" spans="1:7" ht="12.6">
      <c r="A377" s="316">
        <v>46065</v>
      </c>
      <c r="D377" s="391" t="s">
        <v>16</v>
      </c>
      <c r="E377" s="26"/>
      <c r="F377" s="26">
        <v>0.05</v>
      </c>
      <c r="G377" s="27">
        <f t="shared" si="6"/>
        <v>1955.3637132838485</v>
      </c>
    </row>
    <row r="378" spans="1:7" ht="12.6">
      <c r="A378" s="316">
        <v>46069</v>
      </c>
      <c r="D378" s="11" t="s">
        <v>24</v>
      </c>
      <c r="E378" s="26"/>
      <c r="F378" s="26">
        <v>1.32</v>
      </c>
      <c r="G378" s="27">
        <f t="shared" si="6"/>
        <v>1954.0437132838485</v>
      </c>
    </row>
    <row r="379" spans="1:7" ht="12.6">
      <c r="A379" s="316">
        <v>46071</v>
      </c>
      <c r="D379" s="391" t="s">
        <v>1279</v>
      </c>
      <c r="E379" s="26">
        <v>222.41</v>
      </c>
      <c r="F379" s="26"/>
      <c r="G379" s="27">
        <f t="shared" si="6"/>
        <v>2176.4537132838486</v>
      </c>
    </row>
    <row r="380" spans="1:7" ht="12.6">
      <c r="A380" s="316">
        <v>46071</v>
      </c>
      <c r="D380" s="11" t="s">
        <v>1282</v>
      </c>
      <c r="E380" s="26">
        <v>1180</v>
      </c>
      <c r="F380" s="26"/>
      <c r="G380" s="27">
        <f t="shared" si="6"/>
        <v>3356.4537132838486</v>
      </c>
    </row>
    <row r="381" spans="1:7" ht="12.6">
      <c r="A381" s="316">
        <v>46071</v>
      </c>
      <c r="D381" s="11" t="s">
        <v>1283</v>
      </c>
      <c r="E381" s="26">
        <v>1180</v>
      </c>
      <c r="F381" s="26"/>
      <c r="G381" s="27">
        <f t="shared" si="6"/>
        <v>4536.4537132838486</v>
      </c>
    </row>
    <row r="382" spans="1:7" ht="12.6">
      <c r="A382" s="316">
        <v>46071</v>
      </c>
      <c r="D382" s="11" t="s">
        <v>1284</v>
      </c>
      <c r="E382" s="26">
        <v>1180</v>
      </c>
      <c r="F382" s="26"/>
      <c r="G382" s="27">
        <f t="shared" si="6"/>
        <v>5716.4537132838486</v>
      </c>
    </row>
    <row r="383" spans="1:7" ht="12.6">
      <c r="A383" s="316">
        <v>46071</v>
      </c>
      <c r="D383" s="391" t="s">
        <v>1280</v>
      </c>
      <c r="E383" s="26">
        <v>9774.9</v>
      </c>
      <c r="F383" s="26"/>
      <c r="G383" s="27">
        <f t="shared" si="6"/>
        <v>15491.353713283848</v>
      </c>
    </row>
    <row r="384" spans="1:7" ht="12.6">
      <c r="A384" s="316">
        <v>46071</v>
      </c>
      <c r="D384" s="391" t="s">
        <v>1285</v>
      </c>
      <c r="E384" s="26">
        <v>95475.65</v>
      </c>
      <c r="F384" s="26"/>
      <c r="G384" s="27">
        <f t="shared" si="6"/>
        <v>110967.00371328385</v>
      </c>
    </row>
    <row r="385" spans="1:9" ht="12.6">
      <c r="A385" s="316">
        <v>46071</v>
      </c>
      <c r="D385" s="391" t="s">
        <v>16</v>
      </c>
      <c r="E385" s="26"/>
      <c r="F385" s="26">
        <v>5.35</v>
      </c>
      <c r="G385" s="27">
        <f t="shared" si="6"/>
        <v>110961.65371328384</v>
      </c>
    </row>
    <row r="386" spans="1:9" ht="12.6">
      <c r="A386" s="316">
        <v>46076</v>
      </c>
      <c r="D386" s="11" t="s">
        <v>1290</v>
      </c>
      <c r="E386" s="26">
        <v>29365.65</v>
      </c>
      <c r="F386" s="26"/>
      <c r="G386" s="27">
        <f t="shared" si="6"/>
        <v>140327.30371328385</v>
      </c>
    </row>
    <row r="387" spans="1:9" ht="12.6">
      <c r="A387" s="316">
        <v>46076</v>
      </c>
      <c r="D387" s="11" t="s">
        <v>24</v>
      </c>
      <c r="E387" s="26"/>
      <c r="F387" s="26">
        <v>1.32</v>
      </c>
      <c r="G387" s="27">
        <f t="shared" si="6"/>
        <v>140325.98371328384</v>
      </c>
    </row>
    <row r="388" spans="1:9" ht="12.6">
      <c r="A388" s="316">
        <v>46076</v>
      </c>
      <c r="D388" s="11" t="s">
        <v>16</v>
      </c>
      <c r="E388" s="26"/>
      <c r="F388" s="26">
        <v>1.45</v>
      </c>
      <c r="G388" s="27">
        <f t="shared" si="6"/>
        <v>140324.53371328383</v>
      </c>
    </row>
    <row r="389" spans="1:9" ht="12.6">
      <c r="A389" s="316">
        <v>46078</v>
      </c>
      <c r="D389" s="11" t="s">
        <v>1298</v>
      </c>
      <c r="E389" s="26">
        <v>5709.61</v>
      </c>
      <c r="F389" s="26"/>
      <c r="G389" s="27">
        <f t="shared" si="6"/>
        <v>146034.14371328382</v>
      </c>
    </row>
    <row r="390" spans="1:9" ht="12.6">
      <c r="A390" s="316">
        <v>46078</v>
      </c>
      <c r="D390" s="11" t="s">
        <v>16</v>
      </c>
      <c r="E390" s="26"/>
      <c r="F390" s="26">
        <v>0.25</v>
      </c>
      <c r="G390" s="27">
        <f t="shared" si="6"/>
        <v>146033.89371328382</v>
      </c>
    </row>
    <row r="391" spans="1:9" ht="12.6">
      <c r="A391" s="316">
        <v>46079</v>
      </c>
      <c r="D391" s="391" t="s">
        <v>1305</v>
      </c>
      <c r="E391" s="26"/>
      <c r="F391" s="26">
        <v>100000</v>
      </c>
      <c r="G391" s="27">
        <f t="shared" si="6"/>
        <v>46033.893713283818</v>
      </c>
      <c r="H391" s="11">
        <v>3.2829999999999999</v>
      </c>
      <c r="I391" s="38">
        <f>F391*H391</f>
        <v>328300</v>
      </c>
    </row>
    <row r="392" spans="1:9" ht="12.6">
      <c r="A392" s="316">
        <v>46079</v>
      </c>
      <c r="D392" s="11" t="s">
        <v>1306</v>
      </c>
      <c r="E392" s="26"/>
      <c r="F392" s="26">
        <f>44000-9300</f>
        <v>34700</v>
      </c>
      <c r="G392" s="27">
        <f t="shared" ref="G392:G455" si="7">G391+E392-F392</f>
        <v>11333.893713283818</v>
      </c>
      <c r="H392" s="11">
        <v>3.2829999999999999</v>
      </c>
      <c r="I392" s="38">
        <f>F392*H392</f>
        <v>113920.09999999999</v>
      </c>
    </row>
    <row r="393" spans="1:9" ht="12.6">
      <c r="A393" s="316">
        <v>46079</v>
      </c>
      <c r="D393" s="291" t="s">
        <v>1309</v>
      </c>
      <c r="E393" s="26"/>
      <c r="F393" s="26">
        <v>86.08</v>
      </c>
      <c r="G393" s="27">
        <f t="shared" si="7"/>
        <v>11247.813713283818</v>
      </c>
      <c r="I393" s="38">
        <f>SUM(I391:I392)</f>
        <v>442220.1</v>
      </c>
    </row>
    <row r="394" spans="1:9" ht="12.6">
      <c r="A394" s="316">
        <v>46079</v>
      </c>
      <c r="D394" s="291" t="s">
        <v>1310</v>
      </c>
      <c r="E394" s="26"/>
      <c r="F394" s="26">
        <v>1.53</v>
      </c>
      <c r="G394" s="27">
        <f t="shared" si="7"/>
        <v>11246.283713283818</v>
      </c>
    </row>
    <row r="395" spans="1:9" ht="12.6">
      <c r="A395" s="316">
        <v>46079</v>
      </c>
      <c r="D395" s="291" t="s">
        <v>1311</v>
      </c>
      <c r="E395" s="26"/>
      <c r="F395" s="26">
        <v>1512.89</v>
      </c>
      <c r="G395" s="27">
        <f t="shared" si="7"/>
        <v>9733.3937132838182</v>
      </c>
    </row>
    <row r="396" spans="1:9" ht="12.6">
      <c r="A396" s="316">
        <v>46079</v>
      </c>
      <c r="D396" s="391" t="s">
        <v>16</v>
      </c>
      <c r="E396" s="26"/>
      <c r="F396" s="26">
        <v>0.05</v>
      </c>
      <c r="G396" s="27">
        <f t="shared" si="7"/>
        <v>9733.3437132838189</v>
      </c>
    </row>
    <row r="397" spans="1:9" ht="12.6">
      <c r="A397" s="316">
        <v>46081</v>
      </c>
      <c r="D397" s="11" t="s">
        <v>10</v>
      </c>
      <c r="F397" s="26">
        <v>2</v>
      </c>
      <c r="G397" s="27">
        <f t="shared" si="7"/>
        <v>9731.3437132838189</v>
      </c>
      <c r="I397" s="38"/>
    </row>
    <row r="398" spans="1:9" ht="12.6">
      <c r="A398" s="316">
        <v>46081</v>
      </c>
      <c r="D398" s="317" t="s">
        <v>12</v>
      </c>
      <c r="F398" s="26">
        <v>13</v>
      </c>
      <c r="G398" s="27">
        <f t="shared" si="7"/>
        <v>9718.3437132838189</v>
      </c>
    </row>
    <row r="399" spans="1:9" s="14" customFormat="1" ht="12.6">
      <c r="A399" s="13">
        <v>46081</v>
      </c>
      <c r="E399" s="66"/>
      <c r="G399" s="30">
        <f t="shared" si="7"/>
        <v>9718.3437132838189</v>
      </c>
    </row>
    <row r="400" spans="1:9" ht="12" customHeight="1">
      <c r="A400" s="316">
        <v>46082</v>
      </c>
      <c r="E400" s="26"/>
      <c r="G400" s="27">
        <f t="shared" si="7"/>
        <v>9718.3437132838189</v>
      </c>
    </row>
    <row r="401" spans="1:8" ht="12.6">
      <c r="A401" s="316">
        <v>46083</v>
      </c>
      <c r="D401" s="291" t="s">
        <v>1344</v>
      </c>
      <c r="E401" s="26">
        <v>5511.5</v>
      </c>
      <c r="G401" s="27">
        <f t="shared" si="7"/>
        <v>15229.843713283819</v>
      </c>
    </row>
    <row r="402" spans="1:8" ht="12.6">
      <c r="A402" s="316">
        <v>46083</v>
      </c>
      <c r="D402" s="11" t="s">
        <v>24</v>
      </c>
      <c r="E402" s="26"/>
      <c r="F402" s="26">
        <v>1.32</v>
      </c>
      <c r="G402" s="27">
        <f t="shared" si="7"/>
        <v>15228.523713283819</v>
      </c>
    </row>
    <row r="403" spans="1:8" ht="12.6">
      <c r="A403" s="316">
        <v>46083</v>
      </c>
      <c r="D403" s="11" t="s">
        <v>16</v>
      </c>
      <c r="F403" s="26">
        <v>0.25</v>
      </c>
      <c r="G403" s="27">
        <f t="shared" si="7"/>
        <v>15228.273713283819</v>
      </c>
    </row>
    <row r="404" spans="1:8" ht="12.6">
      <c r="A404" s="316">
        <v>46085</v>
      </c>
      <c r="D404" s="11" t="s">
        <v>12</v>
      </c>
      <c r="F404" s="26">
        <v>12</v>
      </c>
      <c r="G404" s="27">
        <f t="shared" si="7"/>
        <v>15216.273713283819</v>
      </c>
    </row>
    <row r="405" spans="1:8" ht="12.6">
      <c r="A405" s="316">
        <v>46090</v>
      </c>
      <c r="D405" s="11" t="s">
        <v>1362</v>
      </c>
      <c r="E405" s="26">
        <v>1180</v>
      </c>
      <c r="F405" s="26"/>
      <c r="G405" s="27">
        <f t="shared" si="7"/>
        <v>16396.273713283819</v>
      </c>
    </row>
    <row r="406" spans="1:8" ht="12.6">
      <c r="A406" s="316">
        <v>46090</v>
      </c>
      <c r="D406" s="11" t="s">
        <v>24</v>
      </c>
      <c r="E406" s="26"/>
      <c r="F406" s="26">
        <v>1.32</v>
      </c>
      <c r="G406" s="27">
        <f t="shared" si="7"/>
        <v>16394.95371328382</v>
      </c>
    </row>
    <row r="407" spans="1:8" ht="12.6">
      <c r="A407" s="316">
        <v>46090</v>
      </c>
      <c r="D407" s="11" t="s">
        <v>16</v>
      </c>
      <c r="E407" s="26"/>
      <c r="F407" s="26">
        <v>0.05</v>
      </c>
      <c r="G407" s="27">
        <f t="shared" si="7"/>
        <v>16394.90371328382</v>
      </c>
    </row>
    <row r="408" spans="1:8" ht="12.6">
      <c r="A408" s="316">
        <v>46092</v>
      </c>
      <c r="D408" s="11" t="s">
        <v>1363</v>
      </c>
      <c r="E408" s="26">
        <v>441.32</v>
      </c>
      <c r="F408" s="26"/>
      <c r="G408" s="27">
        <f t="shared" si="7"/>
        <v>16836.22371328382</v>
      </c>
    </row>
    <row r="409" spans="1:8" ht="12.6">
      <c r="A409" s="316">
        <v>46092</v>
      </c>
      <c r="D409" s="11" t="s">
        <v>1364</v>
      </c>
      <c r="E409" s="26">
        <v>21885.35</v>
      </c>
      <c r="F409" s="26"/>
      <c r="G409" s="27">
        <f t="shared" si="7"/>
        <v>38721.573713283819</v>
      </c>
    </row>
    <row r="410" spans="1:8" ht="12.6">
      <c r="A410" s="316">
        <v>46092</v>
      </c>
      <c r="D410" s="11" t="s">
        <v>16</v>
      </c>
      <c r="E410" s="26"/>
      <c r="F410" s="26">
        <v>1.05</v>
      </c>
      <c r="G410" s="27">
        <f t="shared" si="7"/>
        <v>38720.523713283816</v>
      </c>
    </row>
    <row r="411" spans="1:8" ht="12.6">
      <c r="A411" s="316">
        <v>46097</v>
      </c>
      <c r="D411" s="291" t="s">
        <v>1371</v>
      </c>
      <c r="E411" s="26"/>
      <c r="F411" s="26">
        <v>20000</v>
      </c>
      <c r="G411" s="27">
        <f t="shared" si="7"/>
        <v>18720.523713283816</v>
      </c>
      <c r="H411" s="38"/>
    </row>
    <row r="412" spans="1:8" ht="12.6">
      <c r="A412" s="316">
        <v>46097</v>
      </c>
      <c r="D412" s="11" t="s">
        <v>24</v>
      </c>
      <c r="E412" s="26"/>
      <c r="F412" s="26">
        <v>1.32</v>
      </c>
      <c r="G412" s="27">
        <f t="shared" si="7"/>
        <v>18719.203713283816</v>
      </c>
    </row>
    <row r="413" spans="1:8" ht="12.6">
      <c r="A413" s="316">
        <v>46098</v>
      </c>
      <c r="D413" s="11" t="s">
        <v>1376</v>
      </c>
      <c r="E413" s="26">
        <v>6800.73</v>
      </c>
      <c r="F413" s="26"/>
      <c r="G413" s="27">
        <f t="shared" si="7"/>
        <v>25519.933713283815</v>
      </c>
    </row>
    <row r="414" spans="1:8" ht="12.6">
      <c r="A414" s="316">
        <v>46098</v>
      </c>
      <c r="D414" s="11" t="s">
        <v>1376</v>
      </c>
      <c r="E414" s="26">
        <v>128831.31</v>
      </c>
      <c r="F414" s="26"/>
      <c r="G414" s="27">
        <f t="shared" si="7"/>
        <v>154351.24371328382</v>
      </c>
    </row>
    <row r="415" spans="1:8" ht="12.6">
      <c r="A415" s="316">
        <v>46098</v>
      </c>
      <c r="D415" s="11" t="s">
        <v>16</v>
      </c>
      <c r="E415" s="26"/>
      <c r="F415" s="26">
        <v>6.7</v>
      </c>
      <c r="G415" s="27">
        <f t="shared" si="7"/>
        <v>154344.54371328381</v>
      </c>
    </row>
    <row r="416" spans="1:8" ht="12.6">
      <c r="A416" s="316">
        <v>46101</v>
      </c>
      <c r="D416" s="11" t="s">
        <v>1381</v>
      </c>
      <c r="E416" s="26">
        <v>29346.63</v>
      </c>
      <c r="F416" s="26"/>
      <c r="G416" s="27">
        <f t="shared" si="7"/>
        <v>183691.17371328382</v>
      </c>
    </row>
    <row r="417" spans="1:9" ht="12.6">
      <c r="A417" s="316">
        <v>46101</v>
      </c>
      <c r="D417" s="11" t="s">
        <v>16</v>
      </c>
      <c r="E417" s="26"/>
      <c r="F417" s="26">
        <v>1.45</v>
      </c>
      <c r="G417" s="27">
        <f t="shared" si="7"/>
        <v>183689.72371328381</v>
      </c>
    </row>
    <row r="418" spans="1:9" ht="12.6">
      <c r="A418" s="316">
        <v>46104</v>
      </c>
      <c r="D418" s="11" t="s">
        <v>24</v>
      </c>
      <c r="E418" s="26"/>
      <c r="F418" s="26">
        <v>1.32</v>
      </c>
      <c r="G418" s="27">
        <f t="shared" si="7"/>
        <v>183688.4037132838</v>
      </c>
    </row>
    <row r="419" spans="1:9" ht="12.6">
      <c r="A419" s="316">
        <v>46107</v>
      </c>
      <c r="D419" s="11" t="s">
        <v>12</v>
      </c>
      <c r="F419" s="26">
        <v>12</v>
      </c>
      <c r="G419" s="27">
        <f t="shared" si="7"/>
        <v>183676.4037132838</v>
      </c>
    </row>
    <row r="420" spans="1:9" ht="12.6">
      <c r="A420" s="316">
        <v>46108</v>
      </c>
      <c r="D420" s="391" t="s">
        <v>1388</v>
      </c>
      <c r="F420" s="26">
        <v>135632</v>
      </c>
      <c r="G420" s="27">
        <f t="shared" si="7"/>
        <v>48044.403713283798</v>
      </c>
    </row>
    <row r="421" spans="1:9" ht="12.6">
      <c r="A421" s="316">
        <v>46108</v>
      </c>
      <c r="D421" s="11" t="s">
        <v>1389</v>
      </c>
      <c r="E421" s="26">
        <v>6177.88</v>
      </c>
      <c r="F421" s="26"/>
      <c r="G421" s="27">
        <f t="shared" si="7"/>
        <v>54222.283713283796</v>
      </c>
    </row>
    <row r="422" spans="1:9" ht="12.6">
      <c r="A422" s="316">
        <v>46108</v>
      </c>
      <c r="D422" s="11" t="s">
        <v>16</v>
      </c>
      <c r="E422" s="26"/>
      <c r="F422" s="26">
        <v>0.3</v>
      </c>
      <c r="G422" s="27">
        <f t="shared" si="7"/>
        <v>54221.983713283793</v>
      </c>
      <c r="I422" s="38"/>
    </row>
    <row r="423" spans="1:9" ht="12.6">
      <c r="A423" s="316">
        <v>46108</v>
      </c>
      <c r="D423" s="24" t="s">
        <v>1390</v>
      </c>
      <c r="E423" s="26"/>
      <c r="F423" s="26">
        <v>35524</v>
      </c>
      <c r="G423" s="27">
        <f t="shared" si="7"/>
        <v>18697.983713283793</v>
      </c>
      <c r="H423" s="11">
        <v>3.4020000000000001</v>
      </c>
    </row>
    <row r="424" spans="1:9" ht="12.6">
      <c r="A424" s="316">
        <v>46111</v>
      </c>
      <c r="D424" s="291" t="s">
        <v>1437</v>
      </c>
      <c r="E424" s="26">
        <v>56216.88</v>
      </c>
      <c r="F424" s="26"/>
      <c r="G424" s="27">
        <f t="shared" si="7"/>
        <v>74914.86371328379</v>
      </c>
    </row>
    <row r="425" spans="1:9" ht="12.6">
      <c r="A425" s="316">
        <v>46111</v>
      </c>
      <c r="D425" s="291" t="s">
        <v>1309</v>
      </c>
      <c r="E425" s="26"/>
      <c r="F425" s="26">
        <v>86.08</v>
      </c>
      <c r="G425" s="27">
        <f t="shared" si="7"/>
        <v>74828.783713283789</v>
      </c>
    </row>
    <row r="426" spans="1:9" ht="12.6">
      <c r="A426" s="316">
        <v>46111</v>
      </c>
      <c r="D426" s="291" t="s">
        <v>1310</v>
      </c>
      <c r="F426" s="26">
        <v>1.53</v>
      </c>
      <c r="G426" s="27">
        <f t="shared" si="7"/>
        <v>74827.25371328379</v>
      </c>
    </row>
    <row r="427" spans="1:9" ht="12.6">
      <c r="A427" s="316">
        <v>46111</v>
      </c>
      <c r="D427" s="291" t="s">
        <v>1311</v>
      </c>
      <c r="F427" s="26">
        <v>193.73</v>
      </c>
      <c r="G427" s="27">
        <f t="shared" si="7"/>
        <v>74633.523713283794</v>
      </c>
      <c r="I427" s="38"/>
    </row>
    <row r="428" spans="1:9" ht="12.6">
      <c r="A428" s="316">
        <v>46111</v>
      </c>
      <c r="D428" s="391" t="s">
        <v>16</v>
      </c>
      <c r="F428" s="26">
        <v>2.8</v>
      </c>
      <c r="G428" s="27">
        <f t="shared" si="7"/>
        <v>74630.723713283791</v>
      </c>
    </row>
    <row r="429" spans="1:9" ht="12.6">
      <c r="A429" s="316">
        <v>46111</v>
      </c>
      <c r="D429" s="291" t="s">
        <v>1407</v>
      </c>
      <c r="F429" s="26">
        <v>3255.07</v>
      </c>
      <c r="G429" s="27">
        <f t="shared" si="7"/>
        <v>71375.653713283784</v>
      </c>
    </row>
    <row r="430" spans="1:9" ht="12.6">
      <c r="A430" s="316">
        <v>46111</v>
      </c>
      <c r="D430" s="291" t="s">
        <v>1310</v>
      </c>
      <c r="F430" s="26">
        <v>0.15</v>
      </c>
      <c r="G430" s="27">
        <f t="shared" si="7"/>
        <v>71375.50371328379</v>
      </c>
      <c r="I430" s="38"/>
    </row>
    <row r="431" spans="1:9" ht="12.6">
      <c r="A431" s="316">
        <v>46111</v>
      </c>
      <c r="D431" s="11" t="s">
        <v>24</v>
      </c>
      <c r="F431" s="26">
        <v>1.32</v>
      </c>
      <c r="G431" s="27">
        <f t="shared" si="7"/>
        <v>71374.183713283783</v>
      </c>
    </row>
    <row r="432" spans="1:9" ht="12.6">
      <c r="A432" s="316">
        <v>46111</v>
      </c>
      <c r="D432" s="291" t="s">
        <v>1440</v>
      </c>
      <c r="F432" s="26">
        <v>56216.88</v>
      </c>
      <c r="G432" s="27">
        <f t="shared" si="7"/>
        <v>15157.303713283785</v>
      </c>
      <c r="H432" s="11">
        <v>3.399</v>
      </c>
      <c r="I432" s="38"/>
    </row>
    <row r="433" spans="1:7" ht="12.6">
      <c r="A433" s="316">
        <v>46112</v>
      </c>
      <c r="D433" s="11" t="s">
        <v>10</v>
      </c>
      <c r="F433" s="26">
        <v>2</v>
      </c>
      <c r="G433" s="27">
        <f t="shared" si="7"/>
        <v>15155.303713283785</v>
      </c>
    </row>
    <row r="434" spans="1:7" ht="12.6">
      <c r="A434" s="316">
        <v>46112</v>
      </c>
      <c r="D434" s="317" t="s">
        <v>12</v>
      </c>
      <c r="F434" s="26">
        <v>13</v>
      </c>
      <c r="G434" s="27">
        <f t="shared" si="7"/>
        <v>15142.303713283785</v>
      </c>
    </row>
    <row r="435" spans="1:7" s="14" customFormat="1" ht="12.6">
      <c r="A435" s="13">
        <v>46112</v>
      </c>
      <c r="F435" s="66"/>
      <c r="G435" s="30">
        <f t="shared" si="7"/>
        <v>15142.303713283785</v>
      </c>
    </row>
    <row r="436" spans="1:7" ht="12.6">
      <c r="A436" s="316">
        <v>46113</v>
      </c>
      <c r="F436" s="26"/>
      <c r="G436" s="27">
        <f t="shared" si="7"/>
        <v>15142.303713283785</v>
      </c>
    </row>
    <row r="437" spans="1:7" ht="12.6">
      <c r="A437" s="316">
        <v>46118</v>
      </c>
      <c r="D437" s="11" t="s">
        <v>24</v>
      </c>
      <c r="F437" s="26">
        <v>1.32</v>
      </c>
      <c r="G437" s="27">
        <f t="shared" si="7"/>
        <v>15140.983713283786</v>
      </c>
    </row>
    <row r="438" spans="1:7" ht="12.6">
      <c r="A438" s="316"/>
      <c r="G438" s="27">
        <f t="shared" si="7"/>
        <v>15140.983713283786</v>
      </c>
    </row>
    <row r="439" spans="1:7" ht="12.6">
      <c r="A439" s="316"/>
      <c r="G439" s="27">
        <f t="shared" si="7"/>
        <v>15140.983713283786</v>
      </c>
    </row>
    <row r="440" spans="1:7" ht="12.6">
      <c r="A440" s="316"/>
      <c r="G440" s="27">
        <f t="shared" si="7"/>
        <v>15140.983713283786</v>
      </c>
    </row>
    <row r="441" spans="1:7" ht="12.6">
      <c r="A441" s="316"/>
      <c r="G441" s="27">
        <f t="shared" si="7"/>
        <v>15140.983713283786</v>
      </c>
    </row>
    <row r="442" spans="1:7" ht="12.6">
      <c r="A442" s="316"/>
      <c r="G442" s="27">
        <f t="shared" si="7"/>
        <v>15140.983713283786</v>
      </c>
    </row>
    <row r="443" spans="1:7" ht="12.6">
      <c r="A443" s="316"/>
      <c r="G443" s="27">
        <f t="shared" si="7"/>
        <v>15140.983713283786</v>
      </c>
    </row>
    <row r="444" spans="1:7" ht="12.6">
      <c r="A444" s="316"/>
      <c r="G444" s="27">
        <f t="shared" si="7"/>
        <v>15140.983713283786</v>
      </c>
    </row>
    <row r="445" spans="1:7" ht="12.6">
      <c r="A445" s="316"/>
      <c r="G445" s="27">
        <f t="shared" si="7"/>
        <v>15140.983713283786</v>
      </c>
    </row>
    <row r="446" spans="1:7" ht="12.6">
      <c r="A446" s="316"/>
      <c r="G446" s="27">
        <f t="shared" si="7"/>
        <v>15140.983713283786</v>
      </c>
    </row>
    <row r="447" spans="1:7" ht="12.6">
      <c r="A447" s="316"/>
      <c r="G447" s="27">
        <f t="shared" si="7"/>
        <v>15140.983713283786</v>
      </c>
    </row>
    <row r="448" spans="1:7" ht="12.6">
      <c r="G448" s="27">
        <f t="shared" si="7"/>
        <v>15140.983713283786</v>
      </c>
    </row>
    <row r="449" spans="7:7" ht="12.6">
      <c r="G449" s="27">
        <f t="shared" si="7"/>
        <v>15140.983713283786</v>
      </c>
    </row>
    <row r="450" spans="7:7" ht="12.6">
      <c r="G450" s="27">
        <f t="shared" si="7"/>
        <v>15140.983713283786</v>
      </c>
    </row>
    <row r="451" spans="7:7" ht="12.6">
      <c r="G451" s="27">
        <f t="shared" si="7"/>
        <v>15140.983713283786</v>
      </c>
    </row>
    <row r="452" spans="7:7" ht="12.6">
      <c r="G452" s="27">
        <f t="shared" si="7"/>
        <v>15140.983713283786</v>
      </c>
    </row>
    <row r="453" spans="7:7" ht="12.6">
      <c r="G453" s="27">
        <f t="shared" si="7"/>
        <v>15140.983713283786</v>
      </c>
    </row>
    <row r="454" spans="7:7" ht="12.6">
      <c r="G454" s="27">
        <f t="shared" si="7"/>
        <v>15140.983713283786</v>
      </c>
    </row>
    <row r="455" spans="7:7" ht="12.6">
      <c r="G455" s="27">
        <f t="shared" si="7"/>
        <v>15140.983713283786</v>
      </c>
    </row>
    <row r="456" spans="7:7" ht="12.6">
      <c r="G456" s="27">
        <f t="shared" ref="G456:G470" si="8">G455+E456-F456</f>
        <v>15140.983713283786</v>
      </c>
    </row>
    <row r="457" spans="7:7" ht="12.6">
      <c r="G457" s="27">
        <f t="shared" si="8"/>
        <v>15140.983713283786</v>
      </c>
    </row>
    <row r="458" spans="7:7" ht="12.6">
      <c r="G458" s="27">
        <f t="shared" si="8"/>
        <v>15140.983713283786</v>
      </c>
    </row>
    <row r="459" spans="7:7" ht="12.6">
      <c r="G459" s="27">
        <f t="shared" si="8"/>
        <v>15140.983713283786</v>
      </c>
    </row>
    <row r="460" spans="7:7" ht="12.6">
      <c r="G460" s="27">
        <f t="shared" si="8"/>
        <v>15140.983713283786</v>
      </c>
    </row>
    <row r="461" spans="7:7" ht="12.6">
      <c r="G461" s="27">
        <f t="shared" si="8"/>
        <v>15140.983713283786</v>
      </c>
    </row>
    <row r="462" spans="7:7" ht="12.6">
      <c r="G462" s="27">
        <f t="shared" si="8"/>
        <v>15140.983713283786</v>
      </c>
    </row>
    <row r="463" spans="7:7" ht="12.6">
      <c r="G463" s="27">
        <f t="shared" si="8"/>
        <v>15140.983713283786</v>
      </c>
    </row>
    <row r="464" spans="7:7" ht="12.6">
      <c r="G464" s="27">
        <f t="shared" si="8"/>
        <v>15140.983713283786</v>
      </c>
    </row>
    <row r="465" spans="7:7" ht="12.6">
      <c r="G465" s="27">
        <f t="shared" si="8"/>
        <v>15140.983713283786</v>
      </c>
    </row>
    <row r="466" spans="7:7" ht="12.6">
      <c r="G466" s="27">
        <f t="shared" si="8"/>
        <v>15140.983713283786</v>
      </c>
    </row>
    <row r="467" spans="7:7" ht="12.6">
      <c r="G467" s="27">
        <f t="shared" si="8"/>
        <v>15140.983713283786</v>
      </c>
    </row>
    <row r="468" spans="7:7" ht="12.6">
      <c r="G468" s="27">
        <f t="shared" si="8"/>
        <v>15140.983713283786</v>
      </c>
    </row>
    <row r="469" spans="7:7" ht="12.6">
      <c r="G469" s="27">
        <f t="shared" si="8"/>
        <v>15140.983713283786</v>
      </c>
    </row>
    <row r="470" spans="7:7" ht="12.6">
      <c r="G470" s="27">
        <f t="shared" si="8"/>
        <v>15140.983713283786</v>
      </c>
    </row>
  </sheetData>
  <autoFilter ref="A4:N4" xr:uid="{745FDCE8-2B95-4299-8F71-BD6BC237DF5B}"/>
  <pageMargins left="0.7" right="0.7" top="0.75" bottom="0.75" header="0.3" footer="0.3"/>
  <pageSetup paperSize="2833" orientation="portrait" horizontalDpi="180" verticalDpi="180" r:id="rId1"/>
  <ignoredErrors>
    <ignoredError sqref="K131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0E1A-E38F-4F73-A6AA-2AFDA9663EB7}">
  <dimension ref="B1:D23"/>
  <sheetViews>
    <sheetView showGridLines="0" topLeftCell="A4" zoomScale="80" zoomScaleNormal="80" workbookViewId="0">
      <selection activeCell="D21" sqref="D21"/>
    </sheetView>
  </sheetViews>
  <sheetFormatPr baseColWidth="10" defaultRowHeight="14.4"/>
  <cols>
    <col min="1" max="2" width="11.5546875" customWidth="1"/>
    <col min="3" max="3" width="30.44140625" bestFit="1" customWidth="1"/>
    <col min="4" max="4" width="14.33203125" bestFit="1" customWidth="1"/>
  </cols>
  <sheetData>
    <row r="1" spans="2:4" ht="15" thickBot="1"/>
    <row r="2" spans="2:4" ht="15" thickBot="1">
      <c r="B2" s="44" t="s">
        <v>44</v>
      </c>
      <c r="C2" s="45" t="s">
        <v>45</v>
      </c>
      <c r="D2" s="46" t="s">
        <v>46</v>
      </c>
    </row>
    <row r="3" spans="2:4">
      <c r="B3" s="56">
        <v>45560</v>
      </c>
      <c r="C3" s="57" t="s">
        <v>47</v>
      </c>
      <c r="D3" s="58">
        <v>500</v>
      </c>
    </row>
    <row r="4" spans="2:4">
      <c r="B4" s="47">
        <v>45560</v>
      </c>
      <c r="C4" s="48" t="s">
        <v>48</v>
      </c>
      <c r="D4" s="49">
        <v>90</v>
      </c>
    </row>
    <row r="5" spans="2:4">
      <c r="B5" s="47">
        <v>45560</v>
      </c>
      <c r="C5" s="50" t="s">
        <v>49</v>
      </c>
      <c r="D5" s="49">
        <v>150</v>
      </c>
    </row>
    <row r="6" spans="2:4">
      <c r="B6" s="47">
        <v>45560</v>
      </c>
      <c r="C6" s="50" t="s">
        <v>50</v>
      </c>
      <c r="D6" s="49">
        <v>25</v>
      </c>
    </row>
    <row r="7" spans="2:4">
      <c r="B7" s="47">
        <v>45566</v>
      </c>
      <c r="C7" s="48" t="s">
        <v>51</v>
      </c>
      <c r="D7" s="49">
        <v>500</v>
      </c>
    </row>
    <row r="8" spans="2:4">
      <c r="B8" s="47">
        <v>45566</v>
      </c>
      <c r="C8" s="48" t="s">
        <v>48</v>
      </c>
      <c r="D8" s="51">
        <v>90</v>
      </c>
    </row>
    <row r="9" spans="2:4">
      <c r="B9" s="47">
        <v>45566</v>
      </c>
      <c r="C9" s="50" t="s">
        <v>50</v>
      </c>
      <c r="D9" s="51">
        <v>25</v>
      </c>
    </row>
    <row r="10" spans="2:4">
      <c r="B10" s="59">
        <v>45608</v>
      </c>
      <c r="C10" s="60" t="s">
        <v>52</v>
      </c>
      <c r="D10" s="49">
        <v>348.1</v>
      </c>
    </row>
    <row r="11" spans="2:4">
      <c r="B11" s="59">
        <v>45608</v>
      </c>
      <c r="C11" s="60" t="s">
        <v>53</v>
      </c>
      <c r="D11" s="52">
        <v>1020.7</v>
      </c>
    </row>
    <row r="12" spans="2:4">
      <c r="B12" s="59">
        <v>45608</v>
      </c>
      <c r="C12" s="60" t="s">
        <v>54</v>
      </c>
      <c r="D12" s="49">
        <f>2620-D10-D11</f>
        <v>1251.2</v>
      </c>
    </row>
    <row r="13" spans="2:4">
      <c r="B13" s="59">
        <v>45623</v>
      </c>
      <c r="C13" s="60" t="s">
        <v>56</v>
      </c>
      <c r="D13" s="49" t="e">
        <f>629.51/'Diferencia Cambio S&amp;P'!$S$26</f>
        <v>#DIV/0!</v>
      </c>
    </row>
    <row r="14" spans="2:4">
      <c r="B14" s="59">
        <v>45624</v>
      </c>
      <c r="C14" s="60" t="s">
        <v>57</v>
      </c>
      <c r="D14" s="49" t="e">
        <f>6536.4/'Diferencia Cambio S&amp;P'!$S$26</f>
        <v>#DIV/0!</v>
      </c>
    </row>
    <row r="15" spans="2:4">
      <c r="B15" s="59">
        <v>45638</v>
      </c>
      <c r="C15" s="60" t="s">
        <v>58</v>
      </c>
      <c r="D15" s="49" t="e">
        <f>914.43/'Diferencia Cambio S&amp;P'!$S$26</f>
        <v>#DIV/0!</v>
      </c>
    </row>
    <row r="16" spans="2:4" ht="48" customHeight="1">
      <c r="B16" s="59">
        <v>45638</v>
      </c>
      <c r="C16" s="61" t="s">
        <v>59</v>
      </c>
      <c r="D16" s="49" t="e">
        <f>3270/'Diferencia Cambio S&amp;P'!$S$26</f>
        <v>#DIV/0!</v>
      </c>
    </row>
    <row r="17" spans="2:4" ht="48" customHeight="1">
      <c r="B17" s="59">
        <v>45642</v>
      </c>
      <c r="C17" s="60" t="s">
        <v>63</v>
      </c>
      <c r="D17" s="49" t="e">
        <f>702/'Diferencia Cambio S&amp;P'!$S$26</f>
        <v>#DIV/0!</v>
      </c>
    </row>
    <row r="18" spans="2:4">
      <c r="B18" s="59">
        <v>45646</v>
      </c>
      <c r="C18" s="60" t="s">
        <v>60</v>
      </c>
      <c r="D18" s="49">
        <v>938.1</v>
      </c>
    </row>
    <row r="19" spans="2:4">
      <c r="B19" s="59">
        <v>45646</v>
      </c>
      <c r="C19" s="61" t="s">
        <v>64</v>
      </c>
      <c r="D19" s="49" t="e">
        <f>('BCP SOLES BCP'!$F$7+'BCP SOLES BCP'!$F$8+'BCP SOLES BCP'!$F$9+'BCP SOLES BCP'!$F$13+'BCP SOLES BCP'!$F$14+'BCP SOLES BCP'!$F$15+'BCP SOLES BCP'!$F$18+'BCP SOLES BCP'!$F$23+'BCP SOLES BCP'!$F$24+'BCP SOLES BCP'!$F$25+'BCP SOLES BCP'!$F$26+'BCP SOLES BCP'!$F$34+'BCP SOLES BCP'!$F$38)/'Diferencia Cambio S&amp;P'!$S$26</f>
        <v>#DIV/0!</v>
      </c>
    </row>
    <row r="20" spans="2:4">
      <c r="B20" s="59">
        <v>45646</v>
      </c>
      <c r="C20" s="61" t="s">
        <v>65</v>
      </c>
      <c r="D20" s="49">
        <f>'BCP USD BCP'!$F$6+'BCP USD BCP'!$F$7+'BCP USD BCP'!$F$12+'BCP USD BCP'!$F$14+'BCP USD BCP'!$F$15+'BCP USD BCP'!$F$17+'BCP USD BCP'!$F$20+'BCP USD BCP'!$F$21+'BCP USD BCP'!$F$22+'BCP USD BCP'!$F$25+'BCP USD BCP'!$F$26+'BCP USD BCP'!$F$31</f>
        <v>37.549999999999997</v>
      </c>
    </row>
    <row r="21" spans="2:4">
      <c r="B21" s="64">
        <v>45653</v>
      </c>
      <c r="C21" s="60" t="s">
        <v>57</v>
      </c>
      <c r="D21" s="65" t="e">
        <f>'BCP SOLES BCP'!F44/'Diferencia Cambio S&amp;P'!$S$26</f>
        <v>#DIV/0!</v>
      </c>
    </row>
    <row r="22" spans="2:4" ht="15" thickBot="1">
      <c r="B22" s="53">
        <v>45653</v>
      </c>
      <c r="C22" s="61" t="s">
        <v>65</v>
      </c>
      <c r="D22" s="54" t="e">
        <f>('BCP SOLES BCP'!$F$45+'BCP SOLES BCP'!$F$46)/'Diferencia Cambio S&amp;P'!$S$26</f>
        <v>#DIV/0!</v>
      </c>
    </row>
    <row r="23" spans="2:4" ht="15" thickBot="1">
      <c r="B23" s="520" t="s">
        <v>55</v>
      </c>
      <c r="C23" s="520"/>
      <c r="D23" s="55" t="e">
        <f>SUM(D3:D22)</f>
        <v>#DIV/0!</v>
      </c>
    </row>
  </sheetData>
  <mergeCells count="1">
    <mergeCell ref="B23:C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0AD6-D912-486D-ABC5-66C2C0C93CE6}">
  <dimension ref="A1:S80"/>
  <sheetViews>
    <sheetView showGridLines="0" topLeftCell="A27" zoomScale="85" zoomScaleNormal="85" workbookViewId="0">
      <selection activeCell="G31" sqref="G31"/>
    </sheetView>
  </sheetViews>
  <sheetFormatPr baseColWidth="10" defaultColWidth="9.109375" defaultRowHeight="14.4" outlineLevelRow="1"/>
  <cols>
    <col min="1" max="1" width="2.109375" style="68" customWidth="1"/>
    <col min="2" max="2" width="18.88671875" style="67" bestFit="1" customWidth="1"/>
    <col min="3" max="3" width="54.33203125" style="68" bestFit="1" customWidth="1"/>
    <col min="4" max="4" width="24.44140625" style="69" customWidth="1"/>
    <col min="5" max="5" width="19.33203125" style="69" bestFit="1" customWidth="1"/>
    <col min="6" max="6" width="23.5546875" style="68" customWidth="1"/>
    <col min="7" max="7" width="16.88671875" style="68" customWidth="1"/>
    <col min="8" max="8" width="7.6640625" style="68" hidden="1" customWidth="1"/>
    <col min="9" max="9" width="12.109375" style="68" hidden="1" customWidth="1"/>
    <col min="10" max="10" width="16.5546875" style="68" customWidth="1"/>
    <col min="11" max="11" width="2.109375" style="68" customWidth="1"/>
    <col min="12" max="12" width="2.33203125" style="68" customWidth="1"/>
    <col min="13" max="14" width="15.5546875" style="68" bestFit="1" customWidth="1"/>
    <col min="15" max="15" width="6.33203125" style="68" bestFit="1" customWidth="1"/>
    <col min="16" max="16" width="19.33203125" style="68" bestFit="1" customWidth="1"/>
    <col min="17" max="17" width="15.33203125" style="68" bestFit="1" customWidth="1"/>
    <col min="18" max="18" width="14" style="68" bestFit="1" customWidth="1"/>
    <col min="19" max="19" width="13" style="68" bestFit="1" customWidth="1"/>
    <col min="20" max="16384" width="9.109375" style="68"/>
  </cols>
  <sheetData>
    <row r="1" spans="2:17" hidden="1">
      <c r="D1" s="69">
        <v>42400</v>
      </c>
    </row>
    <row r="2" spans="2:17">
      <c r="D2" s="70"/>
      <c r="E2" s="70"/>
      <c r="I2" s="71"/>
    </row>
    <row r="3" spans="2:17">
      <c r="E3" s="72"/>
      <c r="I3" s="71"/>
    </row>
    <row r="4" spans="2:17" ht="15.6">
      <c r="B4" s="73"/>
      <c r="C4" s="73"/>
      <c r="D4" s="74" t="s">
        <v>109</v>
      </c>
      <c r="E4" s="75">
        <v>45719</v>
      </c>
      <c r="I4" s="71"/>
    </row>
    <row r="5" spans="2:17">
      <c r="D5" s="70"/>
      <c r="E5" s="70"/>
      <c r="I5" s="71"/>
    </row>
    <row r="6" spans="2:17">
      <c r="C6" s="76" t="s">
        <v>110</v>
      </c>
      <c r="D6" s="39">
        <v>3.68</v>
      </c>
      <c r="E6" s="70"/>
      <c r="I6" s="71"/>
      <c r="J6" s="85">
        <v>12800.27</v>
      </c>
    </row>
    <row r="7" spans="2:17" ht="15.6">
      <c r="C7" s="77"/>
      <c r="D7" s="521" t="s">
        <v>111</v>
      </c>
      <c r="E7" s="521"/>
      <c r="I7" s="71"/>
      <c r="J7" s="85">
        <v>12729.47</v>
      </c>
    </row>
    <row r="8" spans="2:17">
      <c r="D8" s="78" t="s">
        <v>142</v>
      </c>
      <c r="E8" s="78" t="s">
        <v>112</v>
      </c>
      <c r="J8" s="181">
        <f>J6-J7</f>
        <v>70.800000000001091</v>
      </c>
    </row>
    <row r="9" spans="2:17" s="79" customFormat="1" ht="15.6">
      <c r="C9" s="80" t="s">
        <v>113</v>
      </c>
      <c r="D9" s="159">
        <f>SUBTOTAL(9,D10:D11)</f>
        <v>38615.269000000015</v>
      </c>
      <c r="E9" s="81">
        <f>SUBTOTAL(9,E10:E11)</f>
        <v>10493.279619565219</v>
      </c>
      <c r="F9" s="82"/>
      <c r="I9" s="71"/>
    </row>
    <row r="10" spans="2:17" s="71" customFormat="1" outlineLevel="1">
      <c r="B10" s="83"/>
      <c r="C10" s="84" t="s">
        <v>141</v>
      </c>
      <c r="D10" s="39">
        <f>'BCP SOLES BCP'!$G$93+1521.83</f>
        <v>26725.925000000003</v>
      </c>
      <c r="E10" s="85">
        <f>D10/$D$6</f>
        <v>7262.4796195652179</v>
      </c>
      <c r="F10" s="86"/>
    </row>
    <row r="11" spans="2:17" s="71" customFormat="1" outlineLevel="1">
      <c r="B11" s="83"/>
      <c r="C11" s="84" t="s">
        <v>114</v>
      </c>
      <c r="D11" s="39">
        <f>E11*$D$6</f>
        <v>11889.344000000008</v>
      </c>
      <c r="E11" s="85">
        <f>'BCP USD BCP'!$G$67</f>
        <v>3230.800000000002</v>
      </c>
      <c r="F11" s="86"/>
    </row>
    <row r="12" spans="2:17" s="71" customFormat="1" ht="15.6">
      <c r="B12" s="83"/>
      <c r="C12" s="87" t="s">
        <v>115</v>
      </c>
      <c r="D12" s="159">
        <f>SUBTOTAL(9,D13:D15)</f>
        <v>89149.454400000002</v>
      </c>
      <c r="E12" s="81">
        <f>SUBTOTAL(9,E13:E15)</f>
        <v>25084.559999999998</v>
      </c>
      <c r="F12" s="182" t="s">
        <v>173</v>
      </c>
      <c r="G12" s="182" t="s">
        <v>172</v>
      </c>
      <c r="J12" s="183" t="s">
        <v>174</v>
      </c>
    </row>
    <row r="13" spans="2:17" s="71" customFormat="1" outlineLevel="1">
      <c r="B13" s="176" t="s">
        <v>169</v>
      </c>
      <c r="C13" s="177" t="s">
        <v>170</v>
      </c>
      <c r="D13" s="40">
        <f>E13*3.54</f>
        <v>45312.955799999996</v>
      </c>
      <c r="E13" s="185">
        <f>12729.47+70.8</f>
        <v>12800.269999999999</v>
      </c>
      <c r="F13" s="85">
        <f>14132.55</f>
        <v>14132.55</v>
      </c>
      <c r="G13" s="71">
        <f>32.29+1300</f>
        <v>1332.29</v>
      </c>
      <c r="J13" s="179">
        <f>F13-G13</f>
        <v>12800.259999999998</v>
      </c>
    </row>
    <row r="14" spans="2:17" s="71" customFormat="1" outlineLevel="1">
      <c r="B14" s="176" t="s">
        <v>169</v>
      </c>
      <c r="C14" s="177" t="s">
        <v>168</v>
      </c>
      <c r="D14" s="40">
        <f>E14*3.54</f>
        <v>34633.554600000003</v>
      </c>
      <c r="E14" s="178">
        <v>9783.49</v>
      </c>
      <c r="F14" s="88"/>
      <c r="G14" s="89"/>
    </row>
    <row r="15" spans="2:17" s="71" customFormat="1" outlineLevel="1">
      <c r="B15" s="176" t="s">
        <v>169</v>
      </c>
      <c r="C15" s="177" t="s">
        <v>167</v>
      </c>
      <c r="D15" s="40">
        <f>E15*3.68</f>
        <v>9202.9440000000013</v>
      </c>
      <c r="E15" s="178">
        <v>2500.8000000000002</v>
      </c>
      <c r="F15" s="184">
        <v>2571.6</v>
      </c>
      <c r="G15" s="179">
        <f>E15-F15</f>
        <v>-70.799999999999727</v>
      </c>
    </row>
    <row r="16" spans="2:17" s="71" customFormat="1" ht="15.6">
      <c r="B16" s="83"/>
      <c r="C16" s="90" t="s">
        <v>117</v>
      </c>
      <c r="D16" s="91">
        <f>SUBTOTAL(9,D9:D14)</f>
        <v>118561.77940000001</v>
      </c>
      <c r="E16" s="92">
        <f>SUBTOTAL(9,E9:E14)</f>
        <v>33077.039619565214</v>
      </c>
      <c r="F16" s="93"/>
      <c r="G16" s="93"/>
      <c r="J16" s="89"/>
      <c r="K16" s="94"/>
      <c r="O16" s="95"/>
      <c r="P16" s="96"/>
      <c r="Q16" s="97"/>
    </row>
    <row r="17" spans="1:19" s="71" customFormat="1" ht="15.6">
      <c r="B17" s="83"/>
      <c r="C17" s="98"/>
      <c r="D17" s="99"/>
      <c r="E17" s="99"/>
      <c r="G17" s="100"/>
      <c r="O17" s="96"/>
      <c r="P17" s="96"/>
    </row>
    <row r="18" spans="1:19" s="71" customFormat="1" ht="15.6">
      <c r="B18" s="83"/>
      <c r="N18" s="101"/>
      <c r="O18" s="102"/>
      <c r="P18" s="103"/>
    </row>
    <row r="19" spans="1:19" s="71" customFormat="1" ht="15.6">
      <c r="B19" s="521" t="s">
        <v>118</v>
      </c>
      <c r="C19" s="521"/>
      <c r="D19" s="521" t="s">
        <v>111</v>
      </c>
      <c r="E19" s="521"/>
      <c r="F19" s="521" t="s">
        <v>109</v>
      </c>
      <c r="G19" s="521"/>
      <c r="H19" s="171"/>
      <c r="I19" s="171"/>
      <c r="J19" s="175">
        <v>45717</v>
      </c>
      <c r="K19" s="103"/>
      <c r="L19" s="103"/>
      <c r="N19" s="101"/>
      <c r="R19" s="89"/>
      <c r="S19" s="89"/>
    </row>
    <row r="20" spans="1:19" s="71" customFormat="1" ht="16.2" thickBot="1">
      <c r="B20" s="104" t="s">
        <v>119</v>
      </c>
      <c r="C20" s="105" t="s">
        <v>120</v>
      </c>
      <c r="D20" s="78" t="s">
        <v>150</v>
      </c>
      <c r="E20" s="78" t="s">
        <v>112</v>
      </c>
      <c r="F20" s="106" t="s">
        <v>121</v>
      </c>
      <c r="G20" s="101" t="s">
        <v>122</v>
      </c>
      <c r="H20" s="101"/>
      <c r="I20" s="101"/>
      <c r="J20" s="107" t="s">
        <v>123</v>
      </c>
      <c r="N20" s="108"/>
      <c r="R20" s="89"/>
      <c r="S20" s="109"/>
    </row>
    <row r="21" spans="1:19" s="71" customFormat="1" ht="16.2" thickBot="1">
      <c r="B21" s="83"/>
      <c r="C21" s="110" t="s">
        <v>124</v>
      </c>
      <c r="D21" s="160">
        <f>SUBTOTAL(9,D22:D24)</f>
        <v>5005.54</v>
      </c>
      <c r="E21" s="111">
        <f>SUBTOTAL(9,E22:E24)</f>
        <v>1360.2010869565215</v>
      </c>
      <c r="F21" s="112"/>
      <c r="J21" s="113"/>
    </row>
    <row r="22" spans="1:19" s="71" customFormat="1" ht="28.8" outlineLevel="1">
      <c r="A22" s="86"/>
      <c r="B22" s="114"/>
      <c r="C22" s="172" t="s">
        <v>151</v>
      </c>
      <c r="D22" s="39">
        <v>1964.78</v>
      </c>
      <c r="E22" s="115">
        <f>D22/$D$6</f>
        <v>533.90760869565213</v>
      </c>
      <c r="F22" s="116">
        <v>45723</v>
      </c>
      <c r="G22" s="71" t="s">
        <v>126</v>
      </c>
      <c r="H22" s="71">
        <f>IF(OR(G22="Sin pagar",G22="Pagar"),_xlfn.SINGLE(NETWORKDAYS($J$19,F22,FestivosPerú!$A$2:$A$15)),0)</f>
        <v>0</v>
      </c>
      <c r="I22" s="71">
        <f>NETWORKDAYS($J$19,F22,FestivosPerú!$A$2:$A$15)</f>
        <v>5</v>
      </c>
      <c r="J22" s="117">
        <f t="shared" ref="J22:J29" si="0">H22</f>
        <v>0</v>
      </c>
      <c r="K22" s="89"/>
      <c r="L22" s="89"/>
      <c r="M22" s="118"/>
      <c r="N22" s="118"/>
    </row>
    <row r="23" spans="1:19" s="71" customFormat="1" ht="28.8" outlineLevel="1">
      <c r="A23" s="86"/>
      <c r="B23" s="114"/>
      <c r="C23" s="172" t="s">
        <v>152</v>
      </c>
      <c r="D23" s="39">
        <v>2313.08</v>
      </c>
      <c r="E23" s="115">
        <f>D23/$D$6</f>
        <v>628.55434782608688</v>
      </c>
      <c r="F23" s="116">
        <v>45723</v>
      </c>
      <c r="G23" s="71" t="s">
        <v>126</v>
      </c>
      <c r="H23" s="71">
        <f>IF(OR(G23="Sin pagar",G23="Pagar"),_xlfn.SINGLE(NETWORKDAYS($J$19,F23,FestivosPerú!$A$2:$A$15)),0)</f>
        <v>0</v>
      </c>
      <c r="I23" s="71">
        <f>NETWORKDAYS($J$19,F23,FestivosPerú!$A$2:$A$15)</f>
        <v>5</v>
      </c>
      <c r="J23" s="117">
        <f t="shared" si="0"/>
        <v>0</v>
      </c>
      <c r="K23" s="89"/>
      <c r="L23" s="89"/>
      <c r="M23" s="118"/>
      <c r="N23" s="118"/>
    </row>
    <row r="24" spans="1:19" s="71" customFormat="1" ht="29.4" outlineLevel="1" thickBot="1">
      <c r="A24" s="86"/>
      <c r="B24" s="114"/>
      <c r="C24" s="172" t="s">
        <v>153</v>
      </c>
      <c r="D24" s="39">
        <v>727.68000000000006</v>
      </c>
      <c r="E24" s="115">
        <f>D24/$D$6</f>
        <v>197.73913043478262</v>
      </c>
      <c r="F24" s="116">
        <v>45723</v>
      </c>
      <c r="G24" s="71" t="s">
        <v>126</v>
      </c>
      <c r="H24" s="71">
        <f>IF(OR(G24="Sin pagar",G24="Pagar"),_xlfn.SINGLE(NETWORKDAYS($J$19,F24,FestivosPerú!$A$2:$A$15)),0)</f>
        <v>0</v>
      </c>
      <c r="I24" s="71">
        <f>NETWORKDAYS($J$19,F24,FestivosPerú!$A$2:$A$15)</f>
        <v>5</v>
      </c>
      <c r="J24" s="117">
        <f t="shared" si="0"/>
        <v>0</v>
      </c>
      <c r="K24" s="89"/>
      <c r="L24" s="89"/>
      <c r="M24" s="118"/>
      <c r="N24" s="118"/>
    </row>
    <row r="25" spans="1:19" s="71" customFormat="1" ht="16.2" thickBot="1">
      <c r="B25" s="83"/>
      <c r="C25" s="110" t="s">
        <v>125</v>
      </c>
      <c r="D25" s="160">
        <f>SUBTOTAL(9,D26:D27)</f>
        <v>12189</v>
      </c>
      <c r="E25" s="111">
        <f>SUBTOTAL(9,E26:E27)</f>
        <v>3312.228260869565</v>
      </c>
      <c r="J25" s="113">
        <f t="shared" si="0"/>
        <v>0</v>
      </c>
    </row>
    <row r="26" spans="1:19" s="71" customFormat="1" outlineLevel="1">
      <c r="B26" s="173"/>
      <c r="C26" s="84" t="s">
        <v>78</v>
      </c>
      <c r="D26" s="39">
        <v>11110</v>
      </c>
      <c r="E26" s="115">
        <f>D26/$D$6</f>
        <v>3019.0217391304345</v>
      </c>
      <c r="F26" s="116">
        <v>45728</v>
      </c>
      <c r="G26" s="71" t="s">
        <v>126</v>
      </c>
      <c r="H26" s="71">
        <f>IF(OR(G26="Sin pagar",G26="Pagar"),_xlfn.SINGLE(NETWORKDAYS($J$19,F26,FestivosPerú!$A$2:$A$15)),0)</f>
        <v>0</v>
      </c>
      <c r="I26" s="71">
        <f>NETWORKDAYS($J$19,F26,FestivosPerú!$A$2:$A$15)</f>
        <v>8</v>
      </c>
      <c r="J26" s="117">
        <f t="shared" si="0"/>
        <v>0</v>
      </c>
      <c r="K26" s="120"/>
      <c r="L26" s="94"/>
      <c r="M26" s="118"/>
      <c r="N26" s="118"/>
    </row>
    <row r="27" spans="1:19" s="71" customFormat="1" ht="15" outlineLevel="1" thickBot="1">
      <c r="B27" s="119"/>
      <c r="C27" s="84" t="s">
        <v>149</v>
      </c>
      <c r="D27" s="39">
        <v>1079</v>
      </c>
      <c r="E27" s="115">
        <f>D27/$D$6</f>
        <v>293.20652173913044</v>
      </c>
      <c r="F27" s="116">
        <v>45733</v>
      </c>
      <c r="G27" s="71" t="s">
        <v>126</v>
      </c>
      <c r="H27" s="71">
        <f>IF(OR(G27="Sin pagar",G27="Pagar"),_xlfn.SINGLE(NETWORKDAYS($J$19,F27,FestivosPerú!$A$2:$A$15)),0)</f>
        <v>0</v>
      </c>
      <c r="I27" s="71">
        <f>NETWORKDAYS($J$19,F27,FestivosPerú!$A$2:$A$15)</f>
        <v>11</v>
      </c>
      <c r="J27" s="117">
        <f t="shared" si="0"/>
        <v>0</v>
      </c>
      <c r="K27" s="120"/>
      <c r="L27" s="94"/>
      <c r="M27" s="118"/>
      <c r="N27" s="118"/>
    </row>
    <row r="28" spans="1:19" s="71" customFormat="1" ht="16.2" thickBot="1">
      <c r="B28" s="83"/>
      <c r="C28" s="110" t="s">
        <v>144</v>
      </c>
      <c r="D28" s="160">
        <f>SUBTOTAL(9,D29:D29)</f>
        <v>1281.008</v>
      </c>
      <c r="E28" s="111">
        <f>SUBTOTAL(9,E29:E29)</f>
        <v>348.1</v>
      </c>
      <c r="J28" s="113">
        <f t="shared" si="0"/>
        <v>0</v>
      </c>
      <c r="K28" s="89"/>
      <c r="L28" s="89"/>
      <c r="N28" s="118"/>
    </row>
    <row r="29" spans="1:19" s="71" customFormat="1" ht="15" outlineLevel="1" thickBot="1">
      <c r="B29" s="83">
        <v>5628</v>
      </c>
      <c r="C29" s="84" t="s">
        <v>148</v>
      </c>
      <c r="D29" s="39">
        <f>$E$29*$D$6</f>
        <v>1281.008</v>
      </c>
      <c r="E29" s="115">
        <v>348.1</v>
      </c>
      <c r="F29" s="116">
        <v>45743</v>
      </c>
      <c r="G29" s="71" t="s">
        <v>126</v>
      </c>
      <c r="H29" s="71">
        <f>IF(OR(G29="Sin pagar",G29="Pagar"),_xlfn.SINGLE(NETWORKDAYS($J$19,F29,FestivosPerú!$A$2:$A$15)),0)</f>
        <v>0</v>
      </c>
      <c r="I29" s="71">
        <f>NETWORKDAYS($J$19,F29,FestivosPerú!$A$2:$A$15)</f>
        <v>19</v>
      </c>
      <c r="J29" s="117">
        <f t="shared" si="0"/>
        <v>0</v>
      </c>
      <c r="M29" s="121"/>
      <c r="N29" s="86"/>
    </row>
    <row r="30" spans="1:19" s="71" customFormat="1" ht="15.75" customHeight="1" thickBot="1">
      <c r="C30" s="110" t="s">
        <v>162</v>
      </c>
      <c r="D30" s="160">
        <f>SUBTOTAL(9,D31:D31)</f>
        <v>1254</v>
      </c>
      <c r="E30" s="111">
        <f>SUBTOTAL(9,E31:E31)</f>
        <v>340.76086956521738</v>
      </c>
      <c r="M30" s="122"/>
      <c r="N30" s="187"/>
      <c r="P30" s="123"/>
    </row>
    <row r="31" spans="1:19" s="71" customFormat="1" ht="15" outlineLevel="1" thickBot="1">
      <c r="B31" s="83"/>
      <c r="C31" s="84" t="s">
        <v>163</v>
      </c>
      <c r="D31" s="39">
        <v>1254</v>
      </c>
      <c r="E31" s="115">
        <f>D31/D6</f>
        <v>340.76086956521738</v>
      </c>
      <c r="F31" s="112">
        <v>45727</v>
      </c>
      <c r="G31" s="71" t="s">
        <v>116</v>
      </c>
      <c r="H31" s="71">
        <f>IF(OR(G31="Sin pagar",G31="Pagar"),_xlfn.SINGLE(NETWORKDAYS($J$19,F31,FestivosPerú!$A$2:$A$15)),0)</f>
        <v>7</v>
      </c>
      <c r="I31" s="71">
        <f>NETWORKDAYS($J$19,F31,FestivosPerú!$A$2:$A$15)</f>
        <v>7</v>
      </c>
      <c r="J31" s="117">
        <f>H31</f>
        <v>7</v>
      </c>
      <c r="N31" s="187"/>
    </row>
    <row r="32" spans="1:19" s="71" customFormat="1" ht="15.75" customHeight="1" thickBot="1">
      <c r="C32" s="110" t="s">
        <v>127</v>
      </c>
      <c r="D32" s="160">
        <f>SUBTOTAL(9,D33:D33)</f>
        <v>116.16260869565217</v>
      </c>
      <c r="E32" s="111">
        <f>SUBTOTAL(9,E33:E33)</f>
        <v>31.565926275992435</v>
      </c>
      <c r="M32" s="122"/>
      <c r="N32" s="187"/>
      <c r="P32" s="187"/>
    </row>
    <row r="33" spans="1:16" s="71" customFormat="1" ht="15" outlineLevel="1" thickBot="1">
      <c r="B33" s="83"/>
      <c r="C33" s="84" t="s">
        <v>127</v>
      </c>
      <c r="D33" s="39">
        <f>('BCP SOLES BCP'!$F$98+'BCP SOLES BCP'!$F$105+'BCP SOLES BCP'!$F$108+'BCP SOLES BCP'!$F$113+'BCP SOLES BCP'!$F$115+'BCP SOLES BCP'!$F$117+'BCP SOLES BCP'!$F$119+'BCP SOLES BCP'!$F$122+'BCP SOLES BCP'!$F$124+'BCP SOLES BCP'!$F$126+'BCP SOLES BCP'!$F$127)+(('BCP USD BCP'!$F$66+'BCP USD BCP'!$F$67+'BCP USD BCP'!$F$68+'BCP USD BCP'!$F$70+'BCP USD BCP'!$F$73+'BCP USD BCP'!$F$76+'BCP USD BCP'!$F$79+'BCP USD BCP'!$F$80+'BCP USD BCP'!$F$81)/$D$6)</f>
        <v>116.16260869565217</v>
      </c>
      <c r="E33" s="115">
        <f>D33/D6</f>
        <v>31.565926275992435</v>
      </c>
      <c r="F33" s="112">
        <v>45747</v>
      </c>
      <c r="G33" s="71" t="s">
        <v>126</v>
      </c>
      <c r="H33" s="71">
        <f>IF(OR(G33="Sin pagar",G33="Pagar"),_xlfn.SINGLE(NETWORKDAYS($J$19,F33,FestivosPerú!$A$2:$A$15)),0)</f>
        <v>0</v>
      </c>
      <c r="I33" s="71">
        <f>NETWORKDAYS($J$19,F33,FestivosPerú!$A$2:$A$15)</f>
        <v>21</v>
      </c>
      <c r="J33" s="117">
        <f>H33</f>
        <v>0</v>
      </c>
    </row>
    <row r="34" spans="1:16" s="71" customFormat="1" ht="16.2" thickBot="1">
      <c r="C34" s="110" t="s">
        <v>128</v>
      </c>
      <c r="D34" s="160">
        <f>SUBTOTAL(9,D35:D38)</f>
        <v>47268.854182333336</v>
      </c>
      <c r="E34" s="111">
        <f>SUBTOTAL(9,E35:E38)</f>
        <v>12844.797332155797</v>
      </c>
      <c r="K34" s="89"/>
      <c r="L34" s="124"/>
    </row>
    <row r="35" spans="1:16" s="71" customFormat="1" outlineLevel="1">
      <c r="B35" s="125"/>
      <c r="C35" s="84" t="s">
        <v>143</v>
      </c>
      <c r="D35" s="39">
        <v>13204.759299666666</v>
      </c>
      <c r="E35" s="115">
        <f>D35/$D$6</f>
        <v>3588.2498096920285</v>
      </c>
      <c r="F35" s="112">
        <v>45744</v>
      </c>
      <c r="G35" s="71" t="s">
        <v>126</v>
      </c>
      <c r="H35" s="71">
        <f>IF(OR(G35="Sin pagar",G35="Pagar"),_xlfn.SINGLE(NETWORKDAYS($J$19,F35,FestivosPerú!$A$2:$A$15)),0)</f>
        <v>0</v>
      </c>
      <c r="I35" s="71">
        <f>NETWORKDAYS($J$19,F35,FestivosPerú!$A$2:$A$15)</f>
        <v>20</v>
      </c>
      <c r="J35" s="117">
        <f>H35</f>
        <v>0</v>
      </c>
      <c r="K35" s="120"/>
      <c r="L35" s="120"/>
    </row>
    <row r="36" spans="1:16" s="126" customFormat="1" outlineLevel="1">
      <c r="B36" s="125"/>
      <c r="C36" s="84" t="s">
        <v>147</v>
      </c>
      <c r="D36" s="39">
        <v>12481.715083000001</v>
      </c>
      <c r="E36" s="115">
        <f>D36/$D$6</f>
        <v>3391.7704029891306</v>
      </c>
      <c r="F36" s="112">
        <v>45744</v>
      </c>
      <c r="G36" s="71" t="s">
        <v>126</v>
      </c>
      <c r="H36" s="71">
        <f>IF(OR(G36="Sin pagar",G36="Pagar"),_xlfn.SINGLE(NETWORKDAYS($J$19,F36,FestivosPerú!$A$2:$A$15)),0)</f>
        <v>0</v>
      </c>
      <c r="I36" s="71">
        <f>NETWORKDAYS($J$19,F36,FestivosPerú!$A$2:$A$15)</f>
        <v>20</v>
      </c>
      <c r="J36" s="117">
        <f>H36</f>
        <v>0</v>
      </c>
      <c r="L36" s="127"/>
    </row>
    <row r="37" spans="1:16" s="71" customFormat="1" outlineLevel="1">
      <c r="B37" s="125"/>
      <c r="C37" s="84" t="s">
        <v>146</v>
      </c>
      <c r="D37" s="39">
        <v>13725.329799666666</v>
      </c>
      <c r="E37" s="115">
        <f>D37/$D$6</f>
        <v>3729.7091846920289</v>
      </c>
      <c r="F37" s="112">
        <v>45744</v>
      </c>
      <c r="G37" s="71" t="s">
        <v>126</v>
      </c>
      <c r="H37" s="71">
        <f>IF(OR(G37="Sin pagar",G37="Pagar"),_xlfn.SINGLE(NETWORKDAYS($J$19,F37,FestivosPerú!$A$2:$A$15)),0)</f>
        <v>0</v>
      </c>
      <c r="I37" s="71">
        <f>NETWORKDAYS($J$19,F37,FestivosPerú!$A$2:$A$15)</f>
        <v>20</v>
      </c>
      <c r="J37" s="117">
        <f>H37</f>
        <v>0</v>
      </c>
      <c r="K37" s="120"/>
      <c r="L37" s="120"/>
      <c r="N37" s="187"/>
    </row>
    <row r="38" spans="1:16" s="71" customFormat="1" ht="15" outlineLevel="1" thickBot="1">
      <c r="B38" s="125"/>
      <c r="C38" s="84" t="s">
        <v>176</v>
      </c>
      <c r="D38" s="39">
        <v>7857.05</v>
      </c>
      <c r="E38" s="115">
        <f>D38/$D$6</f>
        <v>2135.0679347826085</v>
      </c>
      <c r="F38" s="112">
        <v>45744</v>
      </c>
      <c r="G38" s="71" t="s">
        <v>126</v>
      </c>
      <c r="H38" s="71">
        <f>IF(OR(G38="Sin pagar",G38="Pagar"),_xlfn.SINGLE(NETWORKDAYS($J$19,F38,FestivosPerú!$A$2:$A$15)),0)</f>
        <v>0</v>
      </c>
      <c r="I38" s="71">
        <f>NETWORKDAYS($J$19,F38,FestivosPerú!$A$2:$A$15)</f>
        <v>20</v>
      </c>
      <c r="J38" s="117">
        <f>H38</f>
        <v>0</v>
      </c>
      <c r="K38" s="120"/>
      <c r="L38" s="120"/>
    </row>
    <row r="39" spans="1:16" s="71" customFormat="1" ht="16.2" thickBot="1">
      <c r="C39" s="110" t="s">
        <v>177</v>
      </c>
      <c r="D39" s="160">
        <f>SUBTOTAL(9,D40:D42)</f>
        <v>17893.41</v>
      </c>
      <c r="E39" s="111">
        <f>SUBTOTAL(9,E40:E42)</f>
        <v>4862.339673913043</v>
      </c>
      <c r="K39" s="89"/>
      <c r="L39" s="124"/>
      <c r="N39" s="122"/>
      <c r="O39" s="101"/>
    </row>
    <row r="40" spans="1:16" s="71" customFormat="1" outlineLevel="1">
      <c r="B40" s="125"/>
      <c r="C40" s="186" t="s">
        <v>178</v>
      </c>
      <c r="D40" s="39">
        <v>7044.25</v>
      </c>
      <c r="E40" s="115">
        <f>D40/$D$6</f>
        <v>1914.1983695652173</v>
      </c>
      <c r="F40" s="112">
        <v>45744</v>
      </c>
      <c r="G40" s="71" t="s">
        <v>126</v>
      </c>
      <c r="H40" s="71">
        <f>IF(OR(G40="Sin pagar",G40="Pagar"),_xlfn.SINGLE(NETWORKDAYS($J$19,F40,FestivosPerú!$A$2:$A$15)),0)</f>
        <v>0</v>
      </c>
      <c r="I40" s="71">
        <f>NETWORKDAYS($J$19,F40,FestivosPerú!$A$2:$A$15)</f>
        <v>20</v>
      </c>
      <c r="J40" s="117">
        <f>H40</f>
        <v>0</v>
      </c>
      <c r="K40" s="120"/>
      <c r="L40" s="120"/>
      <c r="N40" s="122"/>
    </row>
    <row r="41" spans="1:16" s="71" customFormat="1" outlineLevel="1">
      <c r="B41" s="125"/>
      <c r="C41" s="186" t="s">
        <v>179</v>
      </c>
      <c r="D41" s="39">
        <v>10437.219999999999</v>
      </c>
      <c r="E41" s="115">
        <f>D41/$D$6</f>
        <v>2836.2010869565215</v>
      </c>
      <c r="F41" s="112">
        <v>45744</v>
      </c>
      <c r="G41" s="71" t="s">
        <v>126</v>
      </c>
      <c r="H41" s="71">
        <f>IF(OR(G41="Sin pagar",G41="Pagar"),_xlfn.SINGLE(NETWORKDAYS($J$19,F41,FestivosPerú!$A$2:$A$15)),0)</f>
        <v>0</v>
      </c>
      <c r="I41" s="71">
        <f>NETWORKDAYS($J$19,F41,FestivosPerú!$A$2:$A$15)</f>
        <v>20</v>
      </c>
      <c r="J41" s="117">
        <f>H41</f>
        <v>0</v>
      </c>
      <c r="K41" s="120"/>
      <c r="L41" s="120"/>
    </row>
    <row r="42" spans="1:16" s="126" customFormat="1" ht="15" outlineLevel="1" thickBot="1">
      <c r="B42" s="125"/>
      <c r="C42" s="186" t="s">
        <v>180</v>
      </c>
      <c r="D42" s="39">
        <v>411.94</v>
      </c>
      <c r="E42" s="115">
        <f>D42/$D$6</f>
        <v>111.94021739130434</v>
      </c>
      <c r="F42" s="112">
        <v>45744</v>
      </c>
      <c r="G42" s="71" t="s">
        <v>126</v>
      </c>
      <c r="H42" s="71">
        <f>IF(OR(G42="Sin pagar",G42="Pagar"),_xlfn.SINGLE(NETWORKDAYS($J$19,F42,FestivosPerú!$A$2:$A$15)),0)</f>
        <v>0</v>
      </c>
      <c r="I42" s="71">
        <f>NETWORKDAYS($J$19,F42,FestivosPerú!$A$2:$A$15)</f>
        <v>20</v>
      </c>
      <c r="J42" s="117">
        <f>H42</f>
        <v>0</v>
      </c>
      <c r="L42" s="127"/>
    </row>
    <row r="43" spans="1:16" s="71" customFormat="1" ht="16.2" thickBot="1">
      <c r="A43" s="126"/>
      <c r="B43" s="125"/>
      <c r="C43" s="110" t="s">
        <v>129</v>
      </c>
      <c r="D43" s="160">
        <f>SUBTOTAL(9,D44:D47)</f>
        <v>587.29999999999995</v>
      </c>
      <c r="E43" s="111">
        <f>SUBTOTAL(9,E44:E47)</f>
        <v>128.7391304347826</v>
      </c>
      <c r="L43" s="89"/>
    </row>
    <row r="44" spans="1:16" s="71" customFormat="1" ht="28.8" outlineLevel="1">
      <c r="A44" s="126"/>
      <c r="B44" s="128" t="s">
        <v>161</v>
      </c>
      <c r="C44" s="84" t="s">
        <v>156</v>
      </c>
      <c r="D44" s="39">
        <v>327</v>
      </c>
      <c r="E44" s="115">
        <f>D44/$D$6</f>
        <v>88.858695652173907</v>
      </c>
      <c r="F44" s="112">
        <v>45724</v>
      </c>
      <c r="G44" s="71" t="s">
        <v>126</v>
      </c>
      <c r="H44" s="71">
        <f>IF(OR(G44="Sin pagar",G44="Pagar"),_xlfn.SINGLE(NETWORKDAYS($J$19,F44,FestivosPerú!$A$2:$A$15)),0)</f>
        <v>0</v>
      </c>
      <c r="I44" s="71">
        <f>NETWORKDAYS($J$19,F44,FestivosPerú!$A$2:$A$15)</f>
        <v>5</v>
      </c>
      <c r="J44" s="117">
        <f>H44</f>
        <v>0</v>
      </c>
      <c r="L44" s="89"/>
    </row>
    <row r="45" spans="1:16" s="71" customFormat="1" ht="28.8" outlineLevel="1">
      <c r="A45" s="126"/>
      <c r="B45" s="128"/>
      <c r="C45" s="84" t="s">
        <v>157</v>
      </c>
      <c r="D45" s="39">
        <v>116.95</v>
      </c>
      <c r="E45" s="115">
        <f>D45/$D$6</f>
        <v>31.779891304347824</v>
      </c>
      <c r="F45" s="112">
        <v>45724</v>
      </c>
      <c r="G45" s="71" t="s">
        <v>126</v>
      </c>
      <c r="H45" s="71">
        <f>IF(OR(G45="Sin pagar",G45="Pagar"),_xlfn.SINGLE(NETWORKDAYS($J$19,F45,FestivosPerú!$A$2:$A$15)),0)</f>
        <v>0</v>
      </c>
      <c r="I45" s="71">
        <f>NETWORKDAYS($J$19,F45,FestivosPerú!$A$2:$A$15)</f>
        <v>5</v>
      </c>
      <c r="J45" s="117">
        <f>H45</f>
        <v>0</v>
      </c>
      <c r="L45" s="89"/>
    </row>
    <row r="46" spans="1:16" s="71" customFormat="1" ht="28.8" outlineLevel="1">
      <c r="A46" s="126"/>
      <c r="B46" s="128"/>
      <c r="C46" s="84" t="s">
        <v>158</v>
      </c>
      <c r="D46" s="39">
        <v>113.54</v>
      </c>
      <c r="E46" s="115">
        <v>0</v>
      </c>
      <c r="F46" s="112">
        <v>45724</v>
      </c>
      <c r="G46" s="71" t="s">
        <v>126</v>
      </c>
      <c r="H46" s="71">
        <f>IF(OR(G46="Sin pagar",G46="Pagar"),_xlfn.SINGLE(NETWORKDAYS($J$19,F46,FestivosPerú!$A$2:$A$15)),0)</f>
        <v>0</v>
      </c>
      <c r="I46" s="71">
        <f>NETWORKDAYS($J$19,F46,FestivosPerú!$A$2:$A$15)</f>
        <v>5</v>
      </c>
      <c r="J46" s="117">
        <f>H46</f>
        <v>0</v>
      </c>
      <c r="L46" s="89"/>
    </row>
    <row r="47" spans="1:16" s="71" customFormat="1" ht="29.4" outlineLevel="1" thickBot="1">
      <c r="A47" s="126"/>
      <c r="B47" s="128"/>
      <c r="C47" s="84" t="s">
        <v>159</v>
      </c>
      <c r="D47" s="39">
        <v>29.81</v>
      </c>
      <c r="E47" s="115">
        <f>D47/$D$6</f>
        <v>8.1005434782608692</v>
      </c>
      <c r="F47" s="112">
        <v>45724</v>
      </c>
      <c r="G47" s="71" t="s">
        <v>126</v>
      </c>
      <c r="H47" s="71">
        <f>IF(OR(G47="Sin pagar",G47="Pagar"),_xlfn.SINGLE(NETWORKDAYS($J$19,F47,FestivosPerú!$A$2:$A$15)),0)</f>
        <v>0</v>
      </c>
      <c r="I47" s="71">
        <f>NETWORKDAYS($J$19,F47,FestivosPerú!$A$2:$A$15)</f>
        <v>5</v>
      </c>
      <c r="J47" s="117">
        <f>H47</f>
        <v>0</v>
      </c>
      <c r="L47" s="89"/>
    </row>
    <row r="48" spans="1:16" s="71" customFormat="1" ht="14.25" customHeight="1">
      <c r="B48" s="83"/>
      <c r="C48" s="129" t="s">
        <v>130</v>
      </c>
      <c r="D48" s="169">
        <f>SUBTOTAL(9,D21:D47)</f>
        <v>85595.274791028976</v>
      </c>
      <c r="E48" s="130">
        <f>SUBTOTAL(9,E21:E47)</f>
        <v>23228.732280170912</v>
      </c>
      <c r="K48" s="68"/>
      <c r="L48" s="68"/>
      <c r="N48" s="68"/>
      <c r="O48" s="68"/>
      <c r="P48" s="68"/>
    </row>
    <row r="49" spans="1:16" ht="15.6">
      <c r="A49" s="71"/>
      <c r="E49" s="131"/>
      <c r="F49" s="132"/>
      <c r="G49" s="133"/>
      <c r="H49" s="133"/>
      <c r="I49" s="133"/>
      <c r="J49" s="133"/>
    </row>
    <row r="50" spans="1:16" ht="15.6">
      <c r="A50" s="71"/>
      <c r="C50" s="134" t="s">
        <v>3</v>
      </c>
      <c r="D50" s="170">
        <f>D16-D48</f>
        <v>32966.504608971038</v>
      </c>
      <c r="E50" s="135">
        <f>E16-E48</f>
        <v>9848.3073393943014</v>
      </c>
      <c r="F50" s="136"/>
      <c r="G50" s="137"/>
      <c r="J50" s="137"/>
    </row>
    <row r="51" spans="1:16" s="141" customFormat="1" ht="15.6">
      <c r="A51" s="71"/>
      <c r="B51" s="138"/>
      <c r="C51" s="134" t="s">
        <v>131</v>
      </c>
      <c r="D51" s="139">
        <f>IF($D$16=0,0,D50/$D$16)</f>
        <v>0.27805338934522633</v>
      </c>
      <c r="E51" s="139">
        <f>IF($E$16=0,0,E50/$E$16)</f>
        <v>0.29773847516780144</v>
      </c>
      <c r="F51" s="140"/>
      <c r="G51" s="137"/>
      <c r="J51" s="142"/>
      <c r="K51" s="68"/>
      <c r="L51" s="68"/>
      <c r="N51" s="68"/>
      <c r="O51" s="68"/>
      <c r="P51" s="68"/>
    </row>
    <row r="52" spans="1:16">
      <c r="A52" s="71"/>
      <c r="F52" s="140"/>
      <c r="G52" s="137"/>
    </row>
    <row r="54" spans="1:16" ht="15" thickBot="1"/>
    <row r="55" spans="1:16" ht="15" thickBot="1">
      <c r="C55" s="143" t="s">
        <v>132</v>
      </c>
      <c r="D55" s="144" t="s">
        <v>133</v>
      </c>
      <c r="E55" s="145" t="s">
        <v>134</v>
      </c>
      <c r="F55" s="145" t="s">
        <v>135</v>
      </c>
    </row>
    <row r="56" spans="1:16">
      <c r="C56" s="146">
        <v>45717</v>
      </c>
      <c r="D56" s="147">
        <v>45725</v>
      </c>
      <c r="E56" s="161">
        <f>SUMIFS($D$20:$D$53,$F$20:$F$53,"&gt;="&amp;C56,$F$20:$F$53,"&lt;="&amp;D56,$G$20:$G$53,$D$69)</f>
        <v>0</v>
      </c>
      <c r="F56" s="148">
        <f>SUMIFS($E$20:$E$53,$F$20:$F$53,"&gt;="&amp;C56,$F$20:$F$53,"&lt;="&amp;D56,$G$20:$G$53,$D$69)</f>
        <v>0</v>
      </c>
    </row>
    <row r="57" spans="1:16">
      <c r="C57" s="149">
        <v>45726</v>
      </c>
      <c r="D57" s="150">
        <v>45732</v>
      </c>
      <c r="E57" s="162">
        <f>SUMIFS($D$20:$D$53,$F$20:$F$53,"&gt;="&amp;C57,$F$20:$F$53,"&lt;="&amp;D57,$G$20:$G$53,$D$69)</f>
        <v>1254</v>
      </c>
      <c r="F57" s="151">
        <f>SUMIFS($E$20:$E$53,$F$20:$F$53,"&gt;="&amp;C57,$F$20:$F$53,"&lt;="&amp;D57,$G$20:$G$53,$D$69)</f>
        <v>340.76086956521738</v>
      </c>
    </row>
    <row r="58" spans="1:16">
      <c r="C58" s="149">
        <v>45733</v>
      </c>
      <c r="D58" s="150">
        <v>45739</v>
      </c>
      <c r="E58" s="162">
        <f>SUMIFS($D$20:$D$53,$F$20:$F$53,"&gt;="&amp;C58,$F$20:$F$53,"&lt;="&amp;D58,$G$20:$G$53,$D$69)</f>
        <v>0</v>
      </c>
      <c r="F58" s="151">
        <f>SUMIFS($E$20:$E$53,$F$20:$F$53,"&gt;="&amp;C58,$F$20:$F$53,"&lt;="&amp;D58,$G$20:$G$53,$D$69)</f>
        <v>0</v>
      </c>
    </row>
    <row r="59" spans="1:16" ht="15" thickBot="1">
      <c r="C59" s="163">
        <v>45740</v>
      </c>
      <c r="D59" s="164">
        <v>45747</v>
      </c>
      <c r="E59" s="165">
        <f>SUMIFS($D$20:$D$53,$F$20:$F$53,"&gt;="&amp;C59,$F$20:$F$53,"&lt;="&amp;D59,$G$20:$G$53,$D$69)</f>
        <v>0</v>
      </c>
      <c r="F59" s="166">
        <f>SUMIFS($E$20:$E$53,$F$20:$F$53,"&gt;="&amp;C59,$F$20:$F$53,"&lt;="&amp;D59,$G$20:$G$53,$D$69)</f>
        <v>0</v>
      </c>
    </row>
    <row r="60" spans="1:16" ht="15.6">
      <c r="C60" s="524" t="s">
        <v>136</v>
      </c>
      <c r="D60" s="524"/>
      <c r="E60" s="152">
        <f>SUM(E56:E59)</f>
        <v>1254</v>
      </c>
      <c r="F60" s="153">
        <f>SUM(F56:F59)</f>
        <v>340.76086956521738</v>
      </c>
      <c r="G60" s="77"/>
      <c r="K60" s="137"/>
      <c r="M60" s="154"/>
    </row>
    <row r="63" spans="1:16">
      <c r="C63" s="525"/>
      <c r="D63" s="526"/>
    </row>
    <row r="64" spans="1:16">
      <c r="C64" s="522" t="s">
        <v>137</v>
      </c>
      <c r="D64" s="522"/>
      <c r="E64" s="39">
        <f>SUM(E56:E58)</f>
        <v>1254</v>
      </c>
      <c r="F64" s="154">
        <f>SUM(F56:F58)</f>
        <v>340.76086956521738</v>
      </c>
      <c r="J64" s="155"/>
    </row>
    <row r="65" spans="3:10">
      <c r="C65" s="523" t="s">
        <v>138</v>
      </c>
      <c r="D65" s="523"/>
      <c r="E65" s="156">
        <f>E63-E64</f>
        <v>-1254</v>
      </c>
      <c r="F65" s="157">
        <f>F63-F64</f>
        <v>-340.76086956521738</v>
      </c>
      <c r="G65" s="154"/>
      <c r="J65" s="154"/>
    </row>
    <row r="68" spans="3:10">
      <c r="D68" s="69" t="s">
        <v>126</v>
      </c>
      <c r="E68" s="39">
        <f>SUMIFS($D$20:$D$53,$F$20:$F$53,"&gt;="&amp;C56,$F$20:$F$53,"&lt;="&amp;$D$59,$G$20:$G$53,$D$68)</f>
        <v>84341.274791028976</v>
      </c>
      <c r="F68" s="154">
        <f>SUMIFS($E$20:$E$53,$F$20:$F$53,"&gt;="&amp;C56,$F$20:$F$53,"&lt;="&amp;D59,$G$20:$G$53,$D$68)</f>
        <v>22887.971410605696</v>
      </c>
    </row>
    <row r="69" spans="3:10">
      <c r="D69" s="71" t="s">
        <v>116</v>
      </c>
      <c r="E69" s="39">
        <f>SUMIFS($D$20:$D$53,$F$20:$F$53,"&gt;="&amp;C56,$F$20:$F$53,"&lt;="&amp;$D$59,$G$20:$G$53,$D$69)</f>
        <v>1254</v>
      </c>
      <c r="F69" s="154">
        <f>SUMIFS($E$20:$E$53,$F$20:$F$53,"&gt;="&amp;C56,$F$20:$F$53,"&lt;="&amp;D59,$G$20:$G$53,$D$69)</f>
        <v>340.76086956521738</v>
      </c>
    </row>
    <row r="70" spans="3:10">
      <c r="D70" s="158" t="s">
        <v>139</v>
      </c>
      <c r="E70" s="167">
        <f>SUM(E68:E69)</f>
        <v>85595.274791028976</v>
      </c>
      <c r="F70" s="168">
        <f>SUM(F68:F69)</f>
        <v>23228.732280170912</v>
      </c>
    </row>
    <row r="71" spans="3:10">
      <c r="D71" s="158" t="s">
        <v>140</v>
      </c>
      <c r="E71" s="167">
        <f>(D48-E70)*0</f>
        <v>0</v>
      </c>
      <c r="F71" s="168">
        <f>F70-E48</f>
        <v>0</v>
      </c>
    </row>
    <row r="74" spans="3:10">
      <c r="D74" s="192" t="s">
        <v>198</v>
      </c>
      <c r="E74" s="39">
        <f>D50</f>
        <v>32966.504608971038</v>
      </c>
    </row>
    <row r="75" spans="3:10">
      <c r="D75" s="192" t="s">
        <v>199</v>
      </c>
      <c r="E75" s="39">
        <f>'BCP SOLES BCP'!G128</f>
        <v>32966.500817666645</v>
      </c>
    </row>
    <row r="76" spans="3:10">
      <c r="C76" s="69"/>
      <c r="D76" s="192" t="s">
        <v>39</v>
      </c>
      <c r="E76" s="39">
        <f>E75-E74</f>
        <v>-3.7913043925072998E-3</v>
      </c>
      <c r="F76" s="69"/>
    </row>
    <row r="77" spans="3:10">
      <c r="C77" s="69"/>
      <c r="D77" s="192" t="s">
        <v>200</v>
      </c>
      <c r="E77" s="39">
        <f>E76/$D$6</f>
        <v>-1.0302457588335053E-3</v>
      </c>
      <c r="F77" s="154"/>
    </row>
    <row r="78" spans="3:10">
      <c r="D78" s="39"/>
      <c r="F78" s="69"/>
    </row>
    <row r="79" spans="3:10">
      <c r="D79" s="39"/>
    </row>
    <row r="80" spans="3:10">
      <c r="D80" s="39"/>
    </row>
  </sheetData>
  <protectedRanges>
    <protectedRange sqref="F16:G16 D52:E52 D10:E11 D13:D15" name="Presupuestos"/>
    <protectedRange sqref="D8:E8 D20:E20" name="Presupuestos_1"/>
    <protectedRange sqref="D29:E29" name="Presupuestos_13_1"/>
    <protectedRange sqref="D42:E42 D36 E35:E38 E40:E41" name="Presupuestos_2_1_1_1"/>
    <protectedRange sqref="D40:D41 K40:K41 E44:E47 D35 K35 D37:D38 K37:K38" name="Presupuestos_6_1_1_1"/>
    <protectedRange sqref="D33:E33 D31:E31" name="Presupuestos_7_1"/>
    <protectedRange sqref="D44:D47" name="Presupuestos_5_3"/>
  </protectedRanges>
  <autoFilter ref="A20:S47" xr:uid="{EA0A6CEB-7F02-4D7E-83B8-9DB3685FCE4F}"/>
  <mergeCells count="8">
    <mergeCell ref="F19:G19"/>
    <mergeCell ref="C64:D64"/>
    <mergeCell ref="C65:D65"/>
    <mergeCell ref="D7:E7"/>
    <mergeCell ref="B19:C19"/>
    <mergeCell ref="D19:E19"/>
    <mergeCell ref="C60:D60"/>
    <mergeCell ref="C63:D63"/>
  </mergeCells>
  <dataValidations count="3">
    <dataValidation type="list" allowBlank="1" showInputMessage="1" showErrorMessage="1" sqref="B13:B15" xr:uid="{73937214-3A84-40C3-9413-A0EDD1636628}">
      <formula1>"Sin Pagar,Pagado"</formula1>
    </dataValidation>
    <dataValidation type="list" allowBlank="1" showInputMessage="1" showErrorMessage="1" sqref="D19 D7" xr:uid="{9FD4F2F4-22B0-4394-B75F-5DC27F660263}">
      <formula1>"ENERO,FEBRERO,MARZO,ABRIL,MAYO,JUNIO,JULIO,AGOSTO,SEPTIEMBRE,OCTUBRE,NOVIEMBRE,DICIEMBRE"</formula1>
    </dataValidation>
    <dataValidation type="list" allowBlank="1" showInputMessage="1" showErrorMessage="1" sqref="G26:G27 D68:D69 G53:G54 G44:G47 G31 G35:G38 G21:G24 G29 G33 G40:G42" xr:uid="{F2AA86EC-805D-4327-A751-B08E38D1C8D4}">
      <formula1>"Cancelado,Pagar,Sin Pagar"</formula1>
    </dataValidation>
  </dataValidations>
  <pageMargins left="0.7" right="0.7" top="0.75" bottom="0.75" header="0.3" footer="0.3"/>
  <ignoredErrors>
    <ignoredError sqref="D28:E28 E27 D32:E32 E33 D29 E31" formula="1"/>
    <ignoredError sqref="H43:J43 H22:J29 J44:J47 J31 H39:I39 H32:J33 H40:I40 J40 J39 J35:J38 J41:J42" unlockedFormula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C4A4-EB8E-478B-913E-B0571D026A7A}">
  <dimension ref="A1:S82"/>
  <sheetViews>
    <sheetView showGridLines="0" topLeftCell="A59" zoomScale="85" zoomScaleNormal="85" workbookViewId="0">
      <selection activeCell="D78" sqref="D78:E81"/>
    </sheetView>
  </sheetViews>
  <sheetFormatPr baseColWidth="10" defaultColWidth="9.109375" defaultRowHeight="14.4" outlineLevelRow="1"/>
  <cols>
    <col min="1" max="1" width="2.109375" style="195" customWidth="1"/>
    <col min="2" max="2" width="18.88671875" style="194" bestFit="1" customWidth="1"/>
    <col min="3" max="3" width="54.33203125" style="195" bestFit="1" customWidth="1"/>
    <col min="4" max="4" width="24.44140625" style="196" customWidth="1"/>
    <col min="5" max="5" width="19.33203125" style="196" bestFit="1" customWidth="1"/>
    <col min="6" max="6" width="23.5546875" style="195" customWidth="1"/>
    <col min="7" max="7" width="16.88671875" style="195" customWidth="1"/>
    <col min="8" max="8" width="7.6640625" style="195" hidden="1" customWidth="1"/>
    <col min="9" max="9" width="12.109375" style="195" hidden="1" customWidth="1"/>
    <col min="10" max="10" width="16.5546875" style="195" customWidth="1"/>
    <col min="11" max="11" width="2.109375" style="195" customWidth="1"/>
    <col min="12" max="12" width="2.33203125" style="195" customWidth="1"/>
    <col min="13" max="14" width="15.5546875" style="195" bestFit="1" customWidth="1"/>
    <col min="15" max="15" width="6.33203125" style="195" bestFit="1" customWidth="1"/>
    <col min="16" max="16" width="19.33203125" style="195" bestFit="1" customWidth="1"/>
    <col min="17" max="17" width="15.33203125" style="195" bestFit="1" customWidth="1"/>
    <col min="18" max="18" width="14" style="195" bestFit="1" customWidth="1"/>
    <col min="19" max="19" width="13" style="195" bestFit="1" customWidth="1"/>
    <col min="20" max="16384" width="9.109375" style="195"/>
  </cols>
  <sheetData>
    <row r="1" spans="2:17" hidden="1">
      <c r="D1" s="196">
        <v>42400</v>
      </c>
    </row>
    <row r="2" spans="2:17">
      <c r="D2" s="70"/>
      <c r="E2" s="70"/>
      <c r="I2" s="71"/>
    </row>
    <row r="3" spans="2:17">
      <c r="E3" s="72"/>
      <c r="I3" s="71"/>
    </row>
    <row r="4" spans="2:17" ht="15.6">
      <c r="B4" s="73"/>
      <c r="C4" s="73"/>
      <c r="D4" s="74" t="s">
        <v>109</v>
      </c>
      <c r="E4" s="75">
        <v>45748</v>
      </c>
      <c r="I4" s="71"/>
    </row>
    <row r="5" spans="2:17">
      <c r="D5" s="70"/>
      <c r="E5" s="70"/>
      <c r="I5" s="71"/>
    </row>
    <row r="6" spans="2:17">
      <c r="C6" s="76" t="s">
        <v>110</v>
      </c>
      <c r="D6" s="39">
        <v>3.68</v>
      </c>
      <c r="E6" s="70"/>
      <c r="I6" s="71"/>
      <c r="J6" s="85"/>
    </row>
    <row r="7" spans="2:17" ht="15.6">
      <c r="C7" s="77"/>
      <c r="D7" s="521" t="s">
        <v>201</v>
      </c>
      <c r="E7" s="521"/>
      <c r="I7" s="71"/>
      <c r="J7" s="85"/>
    </row>
    <row r="8" spans="2:17">
      <c r="D8" s="78" t="s">
        <v>142</v>
      </c>
      <c r="E8" s="78" t="s">
        <v>112</v>
      </c>
      <c r="J8" s="181"/>
    </row>
    <row r="9" spans="2:17" s="79" customFormat="1" ht="15.6">
      <c r="C9" s="80" t="s">
        <v>113</v>
      </c>
      <c r="D9" s="159">
        <f>SUBTOTAL(9,D10:D11)</f>
        <v>54720.34241766663</v>
      </c>
      <c r="E9" s="81">
        <f>SUBTOTAL(9,E10:E11)</f>
        <v>14869.658265670279</v>
      </c>
      <c r="F9" s="82"/>
      <c r="I9" s="71"/>
    </row>
    <row r="10" spans="2:17" s="71" customFormat="1" outlineLevel="1">
      <c r="B10" s="83"/>
      <c r="C10" s="84" t="s">
        <v>141</v>
      </c>
      <c r="D10" s="39">
        <f>'BCP SOLES BCP'!$G$128</f>
        <v>32966.500817666645</v>
      </c>
      <c r="E10" s="85">
        <f>D10/$D$6</f>
        <v>8958.2882656702841</v>
      </c>
      <c r="F10" s="86"/>
    </row>
    <row r="11" spans="2:17" s="71" customFormat="1" outlineLevel="1">
      <c r="B11" s="83"/>
      <c r="C11" s="84" t="s">
        <v>114</v>
      </c>
      <c r="D11" s="39">
        <f>E11*$D$6</f>
        <v>21753.841599999985</v>
      </c>
      <c r="E11" s="85">
        <f>'BCP USD BCP'!$G$82</f>
        <v>5911.3699999999953</v>
      </c>
      <c r="F11" s="86"/>
    </row>
    <row r="12" spans="2:17" s="71" customFormat="1" ht="15.6">
      <c r="B12" s="83"/>
      <c r="C12" s="87" t="s">
        <v>115</v>
      </c>
      <c r="D12" s="159">
        <f>SUBTOTAL(9,D13:D15)</f>
        <v>72838.859800000006</v>
      </c>
      <c r="E12" s="81">
        <f>SUBTOTAL(9,E13:E15)</f>
        <v>19869.11</v>
      </c>
      <c r="F12" s="182"/>
      <c r="G12" s="182"/>
      <c r="J12" s="183"/>
    </row>
    <row r="13" spans="2:17" s="71" customFormat="1" outlineLevel="1">
      <c r="B13" s="176" t="s">
        <v>169</v>
      </c>
      <c r="C13" s="212" t="s">
        <v>214</v>
      </c>
      <c r="D13" s="213">
        <v>20189.1525</v>
      </c>
      <c r="E13" s="178">
        <f>D13/3.63</f>
        <v>5561.75</v>
      </c>
      <c r="F13" s="85"/>
      <c r="J13" s="179"/>
    </row>
    <row r="14" spans="2:17" s="71" customFormat="1" outlineLevel="1">
      <c r="B14" s="176" t="s">
        <v>169</v>
      </c>
      <c r="C14" s="214" t="s">
        <v>222</v>
      </c>
      <c r="D14" s="213">
        <v>100.0065</v>
      </c>
      <c r="E14" s="178">
        <f>D14/3.63</f>
        <v>27.55</v>
      </c>
      <c r="F14" s="85"/>
      <c r="J14" s="179"/>
    </row>
    <row r="15" spans="2:17" s="71" customFormat="1" outlineLevel="1">
      <c r="B15" s="176" t="s">
        <v>169</v>
      </c>
      <c r="C15" s="177" t="s">
        <v>247</v>
      </c>
      <c r="D15" s="40">
        <f>$E$15*$D$6</f>
        <v>52549.700799999999</v>
      </c>
      <c r="E15" s="185">
        <v>14279.81</v>
      </c>
      <c r="F15" s="88"/>
      <c r="G15" s="89"/>
    </row>
    <row r="16" spans="2:17" s="71" customFormat="1" ht="15.6">
      <c r="B16" s="83"/>
      <c r="C16" s="90" t="s">
        <v>117</v>
      </c>
      <c r="D16" s="91">
        <f>SUBTOTAL(9,D9:D15)</f>
        <v>127559.20221766664</v>
      </c>
      <c r="E16" s="92">
        <f>SUBTOTAL(9,E9:E15)</f>
        <v>34738.768265670282</v>
      </c>
      <c r="F16" s="93"/>
      <c r="G16" s="93"/>
      <c r="J16" s="89"/>
      <c r="K16" s="94"/>
      <c r="O16" s="95"/>
      <c r="P16" s="96"/>
      <c r="Q16" s="97"/>
    </row>
    <row r="17" spans="1:19" s="71" customFormat="1" ht="15.6">
      <c r="B17" s="83"/>
      <c r="C17" s="98"/>
      <c r="D17" s="99"/>
      <c r="E17" s="99"/>
      <c r="G17" s="100"/>
      <c r="O17" s="96"/>
      <c r="P17" s="96"/>
    </row>
    <row r="18" spans="1:19" s="71" customFormat="1" ht="15.6">
      <c r="B18" s="83"/>
      <c r="N18" s="101"/>
      <c r="O18" s="102"/>
      <c r="P18" s="103"/>
    </row>
    <row r="19" spans="1:19" s="71" customFormat="1" ht="15.6">
      <c r="B19" s="521" t="s">
        <v>118</v>
      </c>
      <c r="C19" s="521"/>
      <c r="D19" s="521" t="s">
        <v>201</v>
      </c>
      <c r="E19" s="521"/>
      <c r="F19" s="521" t="s">
        <v>109</v>
      </c>
      <c r="G19" s="521"/>
      <c r="H19" s="193"/>
      <c r="I19" s="193"/>
      <c r="J19" s="175">
        <v>45748</v>
      </c>
      <c r="K19" s="103"/>
      <c r="L19" s="103"/>
      <c r="N19" s="101"/>
      <c r="R19" s="89"/>
      <c r="S19" s="89"/>
    </row>
    <row r="20" spans="1:19" s="71" customFormat="1" ht="16.2" thickBot="1">
      <c r="B20" s="104" t="s">
        <v>119</v>
      </c>
      <c r="C20" s="105" t="s">
        <v>120</v>
      </c>
      <c r="D20" s="78" t="s">
        <v>150</v>
      </c>
      <c r="E20" s="78" t="s">
        <v>112</v>
      </c>
      <c r="F20" s="106" t="s">
        <v>121</v>
      </c>
      <c r="G20" s="101" t="s">
        <v>122</v>
      </c>
      <c r="H20" s="101"/>
      <c r="I20" s="101"/>
      <c r="J20" s="107" t="s">
        <v>123</v>
      </c>
      <c r="N20" s="108"/>
      <c r="R20" s="89"/>
      <c r="S20" s="109"/>
    </row>
    <row r="21" spans="1:19" s="71" customFormat="1" ht="16.2" thickBot="1">
      <c r="B21" s="83"/>
      <c r="C21" s="110" t="s">
        <v>124</v>
      </c>
      <c r="D21" s="160">
        <f>SUBTOTAL(9,D22:D24)</f>
        <v>7339.8</v>
      </c>
      <c r="E21" s="111">
        <f>SUBTOTAL(9,E22:E24)</f>
        <v>1994.5108695652175</v>
      </c>
      <c r="F21" s="112"/>
      <c r="J21" s="113"/>
    </row>
    <row r="22" spans="1:19" s="71" customFormat="1" ht="28.8" outlineLevel="1">
      <c r="A22" s="86"/>
      <c r="B22" s="114"/>
      <c r="C22" s="172" t="s">
        <v>151</v>
      </c>
      <c r="D22" s="39">
        <v>1964.78</v>
      </c>
      <c r="E22" s="115">
        <f>D22/$D$6</f>
        <v>533.90760869565213</v>
      </c>
      <c r="F22" s="116">
        <v>45755</v>
      </c>
      <c r="G22" s="71" t="s">
        <v>126</v>
      </c>
      <c r="H22" s="71">
        <f>IF(OR(G22="Sin pagar",G22="Pagar"),_xlfn.SINGLE(NETWORKDAYS($J$19,F22,FestivosPerú!$A$2:$A$15)),0)</f>
        <v>0</v>
      </c>
      <c r="I22" s="71">
        <f>NETWORKDAYS($J$19,F22,FestivosPerú!$A$2:$A$15)</f>
        <v>6</v>
      </c>
      <c r="J22" s="117">
        <f t="shared" ref="J22:J29" si="0">H22</f>
        <v>0</v>
      </c>
      <c r="K22" s="89"/>
      <c r="L22" s="89"/>
      <c r="M22" s="118"/>
      <c r="N22" s="118"/>
    </row>
    <row r="23" spans="1:19" s="71" customFormat="1" ht="28.8" outlineLevel="1">
      <c r="A23" s="86"/>
      <c r="B23" s="114"/>
      <c r="C23" s="172" t="s">
        <v>152</v>
      </c>
      <c r="D23" s="39">
        <v>2339.1799999999998</v>
      </c>
      <c r="E23" s="115">
        <f>D23/$D$6</f>
        <v>635.64673913043475</v>
      </c>
      <c r="F23" s="116">
        <v>45755</v>
      </c>
      <c r="G23" s="71" t="s">
        <v>126</v>
      </c>
      <c r="H23" s="71">
        <f>IF(OR(G23="Sin pagar",G23="Pagar"),_xlfn.SINGLE(NETWORKDAYS($J$19,F23,FestivosPerú!$A$2:$A$15)),0)</f>
        <v>0</v>
      </c>
      <c r="I23" s="71">
        <f>NETWORKDAYS($J$19,F23,FestivosPerú!$A$2:$A$15)</f>
        <v>6</v>
      </c>
      <c r="J23" s="117">
        <f t="shared" si="0"/>
        <v>0</v>
      </c>
      <c r="K23" s="89"/>
      <c r="L23" s="89"/>
      <c r="M23" s="118"/>
      <c r="N23" s="118"/>
    </row>
    <row r="24" spans="1:19" s="71" customFormat="1" ht="29.4" outlineLevel="1" thickBot="1">
      <c r="A24" s="86"/>
      <c r="B24" s="114"/>
      <c r="C24" s="172" t="s">
        <v>153</v>
      </c>
      <c r="D24" s="39">
        <v>3035.84</v>
      </c>
      <c r="E24" s="115">
        <f>D24/$D$6</f>
        <v>824.95652173913049</v>
      </c>
      <c r="F24" s="116">
        <v>45755</v>
      </c>
      <c r="G24" s="71" t="s">
        <v>126</v>
      </c>
      <c r="H24" s="71">
        <f>IF(OR(G24="Sin pagar",G24="Pagar"),_xlfn.SINGLE(NETWORKDAYS($J$19,F24,FestivosPerú!$A$2:$A$15)),0)</f>
        <v>0</v>
      </c>
      <c r="I24" s="71">
        <f>NETWORKDAYS($J$19,F24,FestivosPerú!$A$2:$A$15)</f>
        <v>6</v>
      </c>
      <c r="J24" s="117">
        <f t="shared" si="0"/>
        <v>0</v>
      </c>
      <c r="K24" s="89"/>
      <c r="L24" s="89"/>
      <c r="M24" s="118"/>
      <c r="N24" s="118"/>
    </row>
    <row r="25" spans="1:19" s="71" customFormat="1" ht="16.2" thickBot="1">
      <c r="B25" s="83"/>
      <c r="C25" s="110" t="s">
        <v>125</v>
      </c>
      <c r="D25" s="160">
        <f>SUBTOTAL(9,D26:D27)</f>
        <v>14903</v>
      </c>
      <c r="E25" s="111">
        <f>SUBTOTAL(9,E26:E27)</f>
        <v>4049.728260869565</v>
      </c>
      <c r="J25" s="113">
        <f t="shared" si="0"/>
        <v>0</v>
      </c>
    </row>
    <row r="26" spans="1:19" s="71" customFormat="1" outlineLevel="1">
      <c r="B26" s="173"/>
      <c r="C26" s="84" t="s">
        <v>78</v>
      </c>
      <c r="D26" s="39">
        <v>13330</v>
      </c>
      <c r="E26" s="115">
        <f>D26/$D$6</f>
        <v>3622.282608695652</v>
      </c>
      <c r="F26" s="116">
        <v>45761</v>
      </c>
      <c r="G26" s="71" t="s">
        <v>126</v>
      </c>
      <c r="H26" s="71">
        <f>IF(OR(G26="Sin pagar",G26="Pagar"),_xlfn.SINGLE(NETWORKDAYS($J$19,F26,FestivosPerú!$A$2:$A$15)),0)</f>
        <v>0</v>
      </c>
      <c r="I26" s="71">
        <f>NETWORKDAYS($J$19,F26,FestivosPerú!$A$2:$A$15)</f>
        <v>10</v>
      </c>
      <c r="J26" s="117">
        <f t="shared" si="0"/>
        <v>0</v>
      </c>
      <c r="K26" s="120"/>
      <c r="L26" s="94"/>
      <c r="M26" s="118"/>
      <c r="N26" s="118"/>
    </row>
    <row r="27" spans="1:19" s="71" customFormat="1" ht="15" outlineLevel="1" thickBot="1">
      <c r="B27" s="119"/>
      <c r="C27" s="84" t="s">
        <v>149</v>
      </c>
      <c r="D27" s="39">
        <v>1573</v>
      </c>
      <c r="E27" s="115">
        <f>D27/$D$6</f>
        <v>427.445652173913</v>
      </c>
      <c r="F27" s="116">
        <v>45762</v>
      </c>
      <c r="G27" s="71" t="s">
        <v>126</v>
      </c>
      <c r="H27" s="71">
        <f>IF(OR(G27="Sin pagar",G27="Pagar"),_xlfn.SINGLE(NETWORKDAYS($J$19,F27,FestivosPerú!$A$2:$A$15)),0)</f>
        <v>0</v>
      </c>
      <c r="I27" s="71">
        <f>NETWORKDAYS($J$19,F27,FestivosPerú!$A$2:$A$15)</f>
        <v>11</v>
      </c>
      <c r="J27" s="117">
        <f t="shared" si="0"/>
        <v>0</v>
      </c>
      <c r="K27" s="120"/>
      <c r="L27" s="94"/>
      <c r="M27" s="118" t="s">
        <v>213</v>
      </c>
      <c r="N27" s="118"/>
    </row>
    <row r="28" spans="1:19" s="71" customFormat="1" ht="16.2" thickBot="1">
      <c r="B28" s="83"/>
      <c r="C28" s="110" t="s">
        <v>144</v>
      </c>
      <c r="D28" s="160">
        <f>SUBTOTAL(9,D29:D29)</f>
        <v>1281.008</v>
      </c>
      <c r="E28" s="111">
        <f>SUBTOTAL(9,E29:E29)</f>
        <v>348.1</v>
      </c>
      <c r="J28" s="113">
        <f t="shared" si="0"/>
        <v>0</v>
      </c>
      <c r="K28" s="89"/>
      <c r="L28" s="89"/>
      <c r="N28" s="118"/>
    </row>
    <row r="29" spans="1:19" s="71" customFormat="1" ht="15" outlineLevel="1" thickBot="1">
      <c r="B29" s="83">
        <v>5752</v>
      </c>
      <c r="C29" s="84" t="s">
        <v>238</v>
      </c>
      <c r="D29" s="39">
        <f>$E$29*$D$6</f>
        <v>1281.008</v>
      </c>
      <c r="E29" s="115">
        <v>348.1</v>
      </c>
      <c r="F29" s="116">
        <v>45776</v>
      </c>
      <c r="G29" s="71" t="s">
        <v>126</v>
      </c>
      <c r="H29" s="71">
        <f>IF(OR(G29="Sin pagar",G29="Pagar"),_xlfn.SINGLE(NETWORKDAYS($J$19,F29,FestivosPerú!$A$2:$A$15)),0)</f>
        <v>0</v>
      </c>
      <c r="I29" s="71">
        <f>NETWORKDAYS($J$19,F29,FestivosPerú!$A$2:$A$15)</f>
        <v>20</v>
      </c>
      <c r="J29" s="117">
        <f t="shared" si="0"/>
        <v>0</v>
      </c>
      <c r="M29" s="121"/>
      <c r="N29" s="86"/>
    </row>
    <row r="30" spans="1:19" s="71" customFormat="1" ht="15.75" customHeight="1" thickBot="1">
      <c r="C30" s="110" t="s">
        <v>162</v>
      </c>
      <c r="D30" s="160">
        <f>SUBTOTAL(9,D31:D34)</f>
        <v>1832.17</v>
      </c>
      <c r="E30" s="111">
        <f>SUBTOTAL(9,E31:E34)</f>
        <v>497.87228260869563</v>
      </c>
      <c r="M30" s="122"/>
      <c r="N30" s="187"/>
      <c r="P30" s="123"/>
    </row>
    <row r="31" spans="1:19" s="71" customFormat="1" ht="28.8" outlineLevel="1">
      <c r="B31" s="83">
        <v>159827721</v>
      </c>
      <c r="C31" s="84" t="s">
        <v>204</v>
      </c>
      <c r="D31" s="39">
        <v>227.08</v>
      </c>
      <c r="E31" s="115">
        <f>D31/$D$6</f>
        <v>61.706521739130437</v>
      </c>
      <c r="F31" s="112">
        <v>45749</v>
      </c>
      <c r="G31" s="71" t="s">
        <v>126</v>
      </c>
      <c r="H31" s="71">
        <f>IF(OR(G31="Sin pagar",G31="Pagar"),_xlfn.SINGLE(NETWORKDAYS($J$19,F31,FestivosPerú!$A$2:$A$15)),0)</f>
        <v>0</v>
      </c>
      <c r="I31" s="71">
        <f>NETWORKDAYS($J$19,F31,FestivosPerú!$A$2:$A$15)</f>
        <v>2</v>
      </c>
      <c r="J31" s="117">
        <f>H31</f>
        <v>0</v>
      </c>
      <c r="N31" s="187"/>
    </row>
    <row r="32" spans="1:19" s="71" customFormat="1" ht="28.8" outlineLevel="1">
      <c r="B32" s="83">
        <v>159827700</v>
      </c>
      <c r="C32" s="84" t="s">
        <v>203</v>
      </c>
      <c r="D32" s="39">
        <v>233.89</v>
      </c>
      <c r="E32" s="115">
        <f>D32/$D$6</f>
        <v>63.557065217391298</v>
      </c>
      <c r="F32" s="112">
        <v>45749</v>
      </c>
      <c r="G32" s="71" t="s">
        <v>126</v>
      </c>
      <c r="H32" s="71">
        <f>IF(OR(G32="Sin pagar",G32="Pagar"),_xlfn.SINGLE(NETWORKDAYS($J$19,F32,FestivosPerú!$A$2:$A$15)),0)</f>
        <v>0</v>
      </c>
      <c r="I32" s="71">
        <f>NETWORKDAYS($J$19,F32,FestivosPerú!$A$2:$A$15)</f>
        <v>2</v>
      </c>
      <c r="J32" s="117">
        <f>H32</f>
        <v>0</v>
      </c>
      <c r="N32" s="187"/>
    </row>
    <row r="33" spans="1:16" s="71" customFormat="1" ht="28.8" outlineLevel="1">
      <c r="B33" s="83">
        <v>159827866</v>
      </c>
      <c r="C33" s="84" t="s">
        <v>205</v>
      </c>
      <c r="D33" s="39">
        <v>118</v>
      </c>
      <c r="E33" s="115">
        <f>D33/$D$6</f>
        <v>32.065217391304344</v>
      </c>
      <c r="F33" s="112">
        <v>45749</v>
      </c>
      <c r="G33" s="71" t="s">
        <v>126</v>
      </c>
      <c r="H33" s="71">
        <f>IF(OR(G33="Sin pagar",G33="Pagar"),_xlfn.SINGLE(NETWORKDAYS($J$19,F33,FestivosPerú!$A$2:$A$15)),0)</f>
        <v>0</v>
      </c>
      <c r="I33" s="71">
        <f>NETWORKDAYS($J$19,F33,FestivosPerú!$A$2:$A$15)</f>
        <v>2</v>
      </c>
      <c r="J33" s="117">
        <f>H33</f>
        <v>0</v>
      </c>
      <c r="N33" s="187"/>
    </row>
    <row r="34" spans="1:16" s="71" customFormat="1" ht="15" outlineLevel="1" thickBot="1">
      <c r="B34" s="83"/>
      <c r="C34" s="84" t="s">
        <v>237</v>
      </c>
      <c r="D34" s="39">
        <v>1253.2</v>
      </c>
      <c r="E34" s="115">
        <f>D34/D6</f>
        <v>340.54347826086956</v>
      </c>
      <c r="F34" s="112">
        <v>45776</v>
      </c>
      <c r="G34" s="71" t="s">
        <v>126</v>
      </c>
      <c r="H34" s="71">
        <f>IF(OR(G34="Sin pagar",G34="Pagar"),_xlfn.SINGLE(NETWORKDAYS($J$19,F34,FestivosPerú!$A$2:$A$15)),0)</f>
        <v>0</v>
      </c>
      <c r="I34" s="71">
        <f>NETWORKDAYS($J$19,F34,FestivosPerú!$A$2:$A$15)</f>
        <v>20</v>
      </c>
      <c r="J34" s="117">
        <f>H34</f>
        <v>0</v>
      </c>
      <c r="N34" s="187"/>
    </row>
    <row r="35" spans="1:16" s="71" customFormat="1" ht="15.75" customHeight="1" thickBot="1">
      <c r="C35" s="110" t="s">
        <v>127</v>
      </c>
      <c r="D35" s="160">
        <f>SUBTOTAL(9,D36:D36)</f>
        <v>478.02120000000002</v>
      </c>
      <c r="E35" s="111">
        <f>SUBTOTAL(9,E36:E36)</f>
        <v>129.89706521739132</v>
      </c>
      <c r="M35" s="122"/>
      <c r="N35" s="187"/>
      <c r="P35" s="187"/>
    </row>
    <row r="36" spans="1:16" s="71" customFormat="1" ht="15" outlineLevel="1" thickBot="1">
      <c r="B36" s="83"/>
      <c r="C36" s="84" t="s">
        <v>127</v>
      </c>
      <c r="D36" s="39">
        <v>478.02120000000002</v>
      </c>
      <c r="E36" s="115">
        <f>$D$36/$D$6</f>
        <v>129.89706521739132</v>
      </c>
      <c r="F36" s="112">
        <v>45777</v>
      </c>
      <c r="G36" s="71" t="s">
        <v>126</v>
      </c>
      <c r="H36" s="71">
        <f>IF(OR(G36="Sin pagar",G36="Pagar"),_xlfn.SINGLE(NETWORKDAYS($J$19,F36,FestivosPerú!$A$2:$A$15)),0)</f>
        <v>0</v>
      </c>
      <c r="I36" s="71">
        <f>NETWORKDAYS($J$19,F36,FestivosPerú!$A$2:$A$15)</f>
        <v>21</v>
      </c>
      <c r="J36" s="117">
        <f>H36</f>
        <v>0</v>
      </c>
    </row>
    <row r="37" spans="1:16" s="71" customFormat="1" ht="16.2" thickBot="1">
      <c r="C37" s="110" t="s">
        <v>128</v>
      </c>
      <c r="D37" s="160">
        <f>SUBTOTAL(9,D38:D41)</f>
        <v>56729.819799666671</v>
      </c>
      <c r="E37" s="111">
        <f>SUBTOTAL(9,E38:E41)</f>
        <v>15415.711902083332</v>
      </c>
      <c r="K37" s="89"/>
      <c r="L37" s="124"/>
    </row>
    <row r="38" spans="1:16" s="71" customFormat="1" outlineLevel="1">
      <c r="B38" s="125"/>
      <c r="C38" s="84" t="s">
        <v>210</v>
      </c>
      <c r="D38" s="39">
        <v>24477.58</v>
      </c>
      <c r="E38" s="115">
        <f>D38/$D$6</f>
        <v>6651.516304347826</v>
      </c>
      <c r="F38" s="112">
        <v>45769</v>
      </c>
      <c r="G38" s="71" t="s">
        <v>126</v>
      </c>
      <c r="H38" s="71">
        <f>IF(OR(G38="Sin pagar",G38="Pagar"),_xlfn.SINGLE(NETWORKDAYS($J$19,F38,FestivosPerú!$A$2:$A$15)),0)</f>
        <v>0</v>
      </c>
      <c r="I38" s="71">
        <f>NETWORKDAYS($J$19,F38,FestivosPerú!$A$2:$A$15)</f>
        <v>15</v>
      </c>
      <c r="J38" s="117">
        <f>H38</f>
        <v>0</v>
      </c>
      <c r="K38" s="120"/>
      <c r="L38" s="120"/>
    </row>
    <row r="39" spans="1:16" s="126" customFormat="1" outlineLevel="1">
      <c r="B39" s="125"/>
      <c r="C39" s="84" t="s">
        <v>211</v>
      </c>
      <c r="D39" s="39">
        <v>8135.5</v>
      </c>
      <c r="E39" s="115">
        <f>D39/$D$6</f>
        <v>2210.733695652174</v>
      </c>
      <c r="F39" s="112">
        <v>45770</v>
      </c>
      <c r="G39" s="71" t="s">
        <v>126</v>
      </c>
      <c r="H39" s="71">
        <f>IF(OR(G39="Sin pagar",G39="Pagar"),_xlfn.SINGLE(NETWORKDAYS($J$19,F39,FestivosPerú!$A$2:$A$15)),0)</f>
        <v>0</v>
      </c>
      <c r="I39" s="71">
        <f>NETWORKDAYS($J$19,F39,FestivosPerú!$A$2:$A$15)</f>
        <v>16</v>
      </c>
      <c r="J39" s="117">
        <f>H39</f>
        <v>0</v>
      </c>
      <c r="L39" s="127"/>
    </row>
    <row r="40" spans="1:16" s="71" customFormat="1" outlineLevel="1">
      <c r="B40" s="125"/>
      <c r="C40" s="84" t="s">
        <v>146</v>
      </c>
      <c r="D40" s="39">
        <v>13725.329799666666</v>
      </c>
      <c r="E40" s="115">
        <f>D40/$D$6</f>
        <v>3729.7091846920289</v>
      </c>
      <c r="F40" s="112">
        <v>45775</v>
      </c>
      <c r="G40" s="71" t="s">
        <v>126</v>
      </c>
      <c r="H40" s="71">
        <f>IF(OR(G40="Sin pagar",G40="Pagar"),_xlfn.SINGLE(NETWORKDAYS($J$19,F40,FestivosPerú!$A$2:$A$15)),0)</f>
        <v>0</v>
      </c>
      <c r="I40" s="71">
        <f>NETWORKDAYS($J$19,F40,FestivosPerú!$A$2:$A$15)</f>
        <v>19</v>
      </c>
      <c r="J40" s="117">
        <f>H40</f>
        <v>0</v>
      </c>
      <c r="K40" s="120"/>
      <c r="L40" s="120"/>
      <c r="N40" s="187"/>
    </row>
    <row r="41" spans="1:16" s="71" customFormat="1" ht="15" outlineLevel="1" thickBot="1">
      <c r="B41" s="125"/>
      <c r="C41" s="84" t="s">
        <v>176</v>
      </c>
      <c r="D41" s="39">
        <v>10391.41</v>
      </c>
      <c r="E41" s="115">
        <f>D41/$D$6</f>
        <v>2823.752717391304</v>
      </c>
      <c r="F41" s="112">
        <v>45776</v>
      </c>
      <c r="G41" s="71" t="s">
        <v>126</v>
      </c>
      <c r="H41" s="71">
        <f>IF(OR(G41="Sin pagar",G41="Pagar"),_xlfn.SINGLE(NETWORKDAYS($J$19,F41,FestivosPerú!$A$2:$A$15)),0)</f>
        <v>0</v>
      </c>
      <c r="I41" s="71">
        <f>NETWORKDAYS($J$19,F41,FestivosPerú!$A$2:$A$15)</f>
        <v>20</v>
      </c>
      <c r="J41" s="117">
        <f>H41</f>
        <v>0</v>
      </c>
      <c r="K41" s="120"/>
      <c r="L41" s="120"/>
    </row>
    <row r="42" spans="1:16" s="71" customFormat="1" ht="16.2" thickBot="1">
      <c r="C42" s="110" t="s">
        <v>177</v>
      </c>
      <c r="D42" s="160">
        <f>SUBTOTAL(9,D43:D44)</f>
        <v>4341.3599999999997</v>
      </c>
      <c r="E42" s="111">
        <f>SUBTOTAL(9,E43:E44)</f>
        <v>1179.7173913043478</v>
      </c>
      <c r="K42" s="89"/>
      <c r="L42" s="124"/>
      <c r="N42" s="122"/>
      <c r="O42" s="101"/>
    </row>
    <row r="43" spans="1:16" s="71" customFormat="1" outlineLevel="1">
      <c r="B43" s="125"/>
      <c r="C43" s="186" t="s">
        <v>178</v>
      </c>
      <c r="D43" s="39">
        <v>3642.99</v>
      </c>
      <c r="E43" s="115">
        <f>D43/$D$6</f>
        <v>989.94293478260863</v>
      </c>
      <c r="F43" s="112">
        <v>45775</v>
      </c>
      <c r="G43" s="71" t="s">
        <v>126</v>
      </c>
      <c r="H43" s="71">
        <f>IF(OR(G43="Sin pagar",G43="Pagar"),_xlfn.SINGLE(NETWORKDAYS($J$19,F43,FestivosPerú!$A$2:$A$15)),0)</f>
        <v>0</v>
      </c>
      <c r="I43" s="71">
        <f>NETWORKDAYS($J$19,F43,FestivosPerú!$A$2:$A$15)</f>
        <v>19</v>
      </c>
      <c r="J43" s="117">
        <f>H43</f>
        <v>0</v>
      </c>
      <c r="K43" s="120"/>
      <c r="L43" s="120"/>
      <c r="N43" s="122"/>
    </row>
    <row r="44" spans="1:16" s="126" customFormat="1" ht="15" outlineLevel="1" thickBot="1">
      <c r="B44" s="125"/>
      <c r="C44" s="186" t="s">
        <v>236</v>
      </c>
      <c r="D44" s="39">
        <v>698.37</v>
      </c>
      <c r="E44" s="115">
        <f>D44/$D$6</f>
        <v>189.77445652173913</v>
      </c>
      <c r="F44" s="112">
        <v>45776</v>
      </c>
      <c r="G44" s="71" t="s">
        <v>126</v>
      </c>
      <c r="H44" s="71">
        <f>IF(OR(G44="Sin pagar",G44="Pagar"),_xlfn.SINGLE(NETWORKDAYS($J$19,F44,FestivosPerú!$A$2:$A$15)),0)</f>
        <v>0</v>
      </c>
      <c r="I44" s="71">
        <f>NETWORKDAYS($J$19,F44,FestivosPerú!$A$2:$A$15)</f>
        <v>20</v>
      </c>
      <c r="J44" s="117">
        <f>H44</f>
        <v>0</v>
      </c>
      <c r="L44" s="127"/>
    </row>
    <row r="45" spans="1:16" s="71" customFormat="1" ht="16.2" thickBot="1">
      <c r="A45" s="126"/>
      <c r="B45" s="125"/>
      <c r="C45" s="110" t="s">
        <v>129</v>
      </c>
      <c r="D45" s="160">
        <f>SUBTOTAL(9,D46:D46)</f>
        <v>301.97000000000003</v>
      </c>
      <c r="E45" s="111">
        <f>SUBTOTAL(9,E46:E46)</f>
        <v>82.057065217391312</v>
      </c>
      <c r="L45" s="89"/>
    </row>
    <row r="46" spans="1:16" s="71" customFormat="1" ht="15" outlineLevel="1" thickBot="1">
      <c r="A46" s="126"/>
      <c r="B46" s="128"/>
      <c r="C46" s="84" t="s">
        <v>212</v>
      </c>
      <c r="D46" s="39">
        <v>301.97000000000003</v>
      </c>
      <c r="E46" s="115">
        <f>D46/$D$6</f>
        <v>82.057065217391312</v>
      </c>
      <c r="F46" s="112">
        <v>45761</v>
      </c>
      <c r="G46" s="71" t="s">
        <v>126</v>
      </c>
      <c r="H46" s="71">
        <f>IF(OR(G46="Sin pagar",G46="Pagar"),_xlfn.SINGLE(NETWORKDAYS($J$19,F46,FestivosPerú!$A$2:$A$15)),0)</f>
        <v>0</v>
      </c>
      <c r="I46" s="71">
        <f>NETWORKDAYS($J$19,F46,FestivosPerú!$A$2:$A$15)</f>
        <v>10</v>
      </c>
      <c r="J46" s="117">
        <f>H46</f>
        <v>0</v>
      </c>
      <c r="L46" s="89"/>
    </row>
    <row r="47" spans="1:16" ht="15.6">
      <c r="C47" s="129" t="s">
        <v>130</v>
      </c>
      <c r="D47" s="169">
        <f>SUBTOTAL(9,D21:D46)</f>
        <v>87207.148999666679</v>
      </c>
      <c r="E47" s="130">
        <f>SUBTOTAL(9,E21:E46)</f>
        <v>23697.594836865941</v>
      </c>
    </row>
    <row r="48" spans="1:16" s="217" customFormat="1">
      <c r="B48" s="216"/>
      <c r="D48" s="218"/>
      <c r="E48" s="218"/>
    </row>
    <row r="49" spans="1:13" ht="15.6">
      <c r="C49" s="134" t="s">
        <v>3</v>
      </c>
      <c r="D49" s="170">
        <f>D16-D47</f>
        <v>40352.053217999957</v>
      </c>
      <c r="E49" s="135">
        <f>E16-E47</f>
        <v>11041.173428804341</v>
      </c>
    </row>
    <row r="50" spans="1:13" ht="15.6">
      <c r="C50" s="134" t="s">
        <v>131</v>
      </c>
      <c r="D50" s="139">
        <f>IF($D$16=0,0,D49/$D$16)</f>
        <v>0.31633980549002916</v>
      </c>
      <c r="E50" s="139">
        <f>IF($E$16=0,0,E49/$E$16)</f>
        <v>0.3178343384073149</v>
      </c>
    </row>
    <row r="52" spans="1:13">
      <c r="A52" s="71"/>
      <c r="F52" s="140"/>
      <c r="G52" s="137"/>
    </row>
    <row r="54" spans="1:13" ht="15" thickBot="1"/>
    <row r="55" spans="1:13" ht="15" thickBot="1">
      <c r="C55" s="143" t="s">
        <v>132</v>
      </c>
      <c r="D55" s="144" t="s">
        <v>133</v>
      </c>
      <c r="E55" s="145" t="s">
        <v>134</v>
      </c>
      <c r="F55" s="145" t="s">
        <v>135</v>
      </c>
    </row>
    <row r="56" spans="1:13">
      <c r="C56" s="197">
        <v>45748</v>
      </c>
      <c r="D56" s="198">
        <v>45753</v>
      </c>
      <c r="E56" s="199">
        <f>SUMIFS($D$20:$D$53,$F$20:$F$53,"&gt;="&amp;C56,$F$20:$F$53,"&lt;="&amp;D56,$G$20:$G$53,$D$70)</f>
        <v>0</v>
      </c>
      <c r="F56" s="200">
        <f>SUMIFS($E$20:$E$53,$F$20:$F$53,"&gt;="&amp;C56,$F$20:$F$53,"&lt;="&amp;D56,$G$20:$G$53,$D$70)</f>
        <v>0</v>
      </c>
    </row>
    <row r="57" spans="1:13">
      <c r="C57" s="201">
        <v>45761</v>
      </c>
      <c r="D57" s="202">
        <v>45767</v>
      </c>
      <c r="E57" s="203">
        <f>SUMIFS($D$20:$D$53,$F$20:$F$53,"&gt;="&amp;C57,$F$20:$F$53,"&lt;="&amp;D57,$G$20:$G$53,$D$70)</f>
        <v>0</v>
      </c>
      <c r="F57" s="204">
        <f>SUMIFS($E$20:$E$53,$F$20:$F$53,"&gt;="&amp;C57,$F$20:$F$53,"&lt;="&amp;D57,$G$20:$G$53,$D$70)</f>
        <v>0</v>
      </c>
      <c r="G57" s="195" t="s">
        <v>206</v>
      </c>
    </row>
    <row r="58" spans="1:13">
      <c r="C58" s="201">
        <v>45768</v>
      </c>
      <c r="D58" s="202">
        <v>45774</v>
      </c>
      <c r="E58" s="203">
        <f>SUMIFS($D$20:$D$53,$F$20:$F$53,"&gt;="&amp;C58,$F$20:$F$53,"&lt;="&amp;D58,$G$20:$G$53,$D$70)</f>
        <v>0</v>
      </c>
      <c r="F58" s="204">
        <f>SUMIFS($E$20:$E$53,$F$20:$F$53,"&gt;="&amp;C58,$F$20:$F$53,"&lt;="&amp;D58,$G$20:$G$53,$D$70)</f>
        <v>0</v>
      </c>
      <c r="G58" s="195" t="s">
        <v>202</v>
      </c>
    </row>
    <row r="59" spans="1:13" ht="15" thickBot="1">
      <c r="C59" s="205">
        <v>45775</v>
      </c>
      <c r="D59" s="206">
        <v>45777</v>
      </c>
      <c r="E59" s="207">
        <f>SUMIFS($D$20:$D$53,$F$20:$F$53,"&gt;="&amp;C59,$F$20:$F$53,"&lt;="&amp;D59,$G$20:$G$53,$D$70)</f>
        <v>0</v>
      </c>
      <c r="F59" s="208">
        <f>SUMIFS($E$20:$E$53,$F$20:$F$53,"&gt;="&amp;C59,$F$20:$F$53,"&lt;="&amp;D59,$G$20:$G$53,$D$70)</f>
        <v>0</v>
      </c>
      <c r="G59" s="195" t="s">
        <v>207</v>
      </c>
    </row>
    <row r="60" spans="1:13" ht="15.6">
      <c r="C60" s="524" t="s">
        <v>136</v>
      </c>
      <c r="D60" s="524"/>
      <c r="E60" s="152">
        <f>SUM(E56:E59)</f>
        <v>0</v>
      </c>
      <c r="F60" s="153">
        <f>SUM(F56:F59)</f>
        <v>0</v>
      </c>
      <c r="G60" s="77"/>
      <c r="K60" s="137"/>
      <c r="M60" s="154"/>
    </row>
    <row r="63" spans="1:13">
      <c r="C63" s="525"/>
      <c r="D63" s="526"/>
    </row>
    <row r="64" spans="1:13">
      <c r="C64" s="525"/>
      <c r="D64" s="526"/>
    </row>
    <row r="65" spans="2:6">
      <c r="C65" s="522" t="s">
        <v>208</v>
      </c>
      <c r="D65" s="522"/>
      <c r="E65" s="39">
        <f>'BCP SOLES BCP'!$G$207+('BCP USD BCP'!$G$213*'FLUJO CAJA ABRIL'!$D$6)</f>
        <v>175939.73538639522</v>
      </c>
      <c r="F65" s="154">
        <f>'BCP USD BCP'!$G$104+('BCP SOLES BCP'!$G$160/'FLUJO CAJA ABRIL'!$D$6)</f>
        <v>13013.863809148545</v>
      </c>
    </row>
    <row r="66" spans="2:6">
      <c r="C66" s="522" t="s">
        <v>239</v>
      </c>
      <c r="D66" s="522"/>
      <c r="E66" s="39">
        <f>SUM(E59)</f>
        <v>0</v>
      </c>
      <c r="F66" s="154">
        <f>SUM(F59)</f>
        <v>0</v>
      </c>
    </row>
    <row r="67" spans="2:6" s="217" customFormat="1">
      <c r="B67" s="216"/>
      <c r="C67" s="523" t="s">
        <v>138</v>
      </c>
      <c r="D67" s="523"/>
      <c r="E67" s="156">
        <f>E65-E66</f>
        <v>175939.73538639522</v>
      </c>
      <c r="F67" s="157">
        <f>F65-F66</f>
        <v>13013.863809148545</v>
      </c>
    </row>
    <row r="69" spans="2:6">
      <c r="D69" s="196" t="s">
        <v>126</v>
      </c>
      <c r="E69" s="39">
        <f>SUMIFS($D$20:$D$52,$F$20:$F$52,"&gt;="&amp;C56,$F$20:$F$52,"&lt;="&amp;$D$59,$G$20:$G$52,$D$69)</f>
        <v>87207.148999666679</v>
      </c>
      <c r="F69" s="154">
        <f>SUMIFS($E$20:$E$52,$F$20:$F$52,"&gt;="&amp;C56,$F$20:$F$52,"&lt;="&amp;D59,$G$20:$G$52,$D$69)</f>
        <v>23697.594836865941</v>
      </c>
    </row>
    <row r="70" spans="2:6">
      <c r="D70" s="71" t="s">
        <v>116</v>
      </c>
      <c r="E70" s="39">
        <f>SUMIFS($D$20:$D$52,$F$20:$F$52,"&gt;="&amp;C56,$F$20:$F$52,"&lt;="&amp;$D$59,$G$20:$G$52,$D$70)</f>
        <v>0</v>
      </c>
      <c r="F70" s="154">
        <f>SUMIFS($E$20:$E$52,$F$20:$F$52,"&gt;="&amp;C56,$F$20:$F$52,"&lt;="&amp;D59,$G$20:$G$52,$D$70)</f>
        <v>0</v>
      </c>
    </row>
    <row r="72" spans="2:6">
      <c r="D72" s="158" t="s">
        <v>139</v>
      </c>
      <c r="E72" s="167">
        <f>SUM(E69:E71)</f>
        <v>87207.148999666679</v>
      </c>
      <c r="F72" s="168">
        <f>SUM(F69:F71)</f>
        <v>23697.594836865941</v>
      </c>
    </row>
    <row r="73" spans="2:6">
      <c r="D73" s="158" t="s">
        <v>140</v>
      </c>
      <c r="E73" s="167">
        <f>(D47-E72)</f>
        <v>0</v>
      </c>
      <c r="F73" s="168">
        <f>F72-E47</f>
        <v>0</v>
      </c>
    </row>
    <row r="78" spans="2:6">
      <c r="D78" s="222" t="s">
        <v>198</v>
      </c>
      <c r="E78" s="39">
        <f>D49</f>
        <v>40352.053217999957</v>
      </c>
    </row>
    <row r="79" spans="2:6">
      <c r="D79" s="222" t="s">
        <v>199</v>
      </c>
      <c r="E79" s="39">
        <f>'BCP SOLES BCP'!$G$168+('BCP USD BCP'!G99*$D$6)</f>
        <v>40352.057617666636</v>
      </c>
    </row>
    <row r="80" spans="2:6">
      <c r="D80" s="222" t="s">
        <v>39</v>
      </c>
      <c r="E80" s="39">
        <f>E79-E78</f>
        <v>4.3996666790917516E-3</v>
      </c>
      <c r="F80" s="196"/>
    </row>
    <row r="81" spans="4:5">
      <c r="D81" s="222" t="s">
        <v>200</v>
      </c>
      <c r="E81" s="39">
        <f>E80/$D$6</f>
        <v>1.1955615975792803E-3</v>
      </c>
    </row>
    <row r="82" spans="4:5">
      <c r="D82" s="39"/>
    </row>
  </sheetData>
  <protectedRanges>
    <protectedRange sqref="F16:G16 D52:E52 D10:E11 D13:D15" name="Presupuestos"/>
    <protectedRange sqref="D8:E8 D20:E20" name="Presupuestos_1"/>
    <protectedRange sqref="D29:E29" name="Presupuestos_13_1"/>
    <protectedRange sqref="D44:E44 D39 E38:E41 E43" name="Presupuestos_2_1_1_1"/>
    <protectedRange sqref="K43 D43 D38 K38 D40:D41 K40:K41 E46" name="Presupuestos_6_1_1_1"/>
    <protectedRange sqref="D36:E36 D31:E34" name="Presupuestos_7_1"/>
    <protectedRange sqref="D46" name="Presupuestos_5_3"/>
  </protectedRanges>
  <autoFilter ref="A20:S46" xr:uid="{205FA4B1-5869-493D-B71F-3C68237E8EEA}"/>
  <mergeCells count="10">
    <mergeCell ref="C67:D67"/>
    <mergeCell ref="D7:E7"/>
    <mergeCell ref="B19:C19"/>
    <mergeCell ref="D19:E19"/>
    <mergeCell ref="F19:G19"/>
    <mergeCell ref="C60:D60"/>
    <mergeCell ref="C63:D63"/>
    <mergeCell ref="C65:D65"/>
    <mergeCell ref="C66:D66"/>
    <mergeCell ref="C64:D64"/>
  </mergeCells>
  <dataValidations count="3">
    <dataValidation type="list" allowBlank="1" showInputMessage="1" showErrorMessage="1" sqref="G26:G27 G31:G34 G53:G54 G43:G44 G21:G24 G29 G36 G46 G38:G41 D69:D70" xr:uid="{639DAD9C-2ACB-4CBC-B46E-80B3F6B7CF6E}">
      <formula1>"Cancelado,Pagar,Sin Pagar"</formula1>
    </dataValidation>
    <dataValidation type="list" allowBlank="1" showInputMessage="1" showErrorMessage="1" sqref="D19 D7" xr:uid="{DF410FDF-7AB4-4FC6-B718-E0A678823EA1}">
      <formula1>"ENERO,FEBRERO,MARZO,ABRIL,MAYO,JUNIO,JULIO,AGOSTO,SEPTIEMBRE,OCTUBRE,NOVIEMBRE,DICIEMBRE"</formula1>
    </dataValidation>
    <dataValidation type="list" allowBlank="1" showInputMessage="1" showErrorMessage="1" sqref="B13:B15" xr:uid="{91B427EA-1122-408C-A198-00FF375E2623}">
      <formula1>"Sin Pagar,Pagado"</formula1>
    </dataValidation>
  </dataValidations>
  <pageMargins left="0.7" right="0.7" top="0.75" bottom="0.75" header="0.3" footer="0.3"/>
  <pageSetup orientation="portrait" r:id="rId1"/>
  <ignoredErrors>
    <ignoredError sqref="J34:J43 J22:J30 J31:J33 J44:J46" unlockedFormula="1"/>
    <ignoredError sqref="D51:E51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5E3B-6A96-436F-89D7-5281BD6D3AE5}">
  <dimension ref="A1:S94"/>
  <sheetViews>
    <sheetView showGridLines="0" topLeftCell="B32" zoomScale="85" zoomScaleNormal="85" workbookViewId="0">
      <selection activeCell="D86" sqref="D86:E89"/>
    </sheetView>
  </sheetViews>
  <sheetFormatPr baseColWidth="10" defaultColWidth="9.109375" defaultRowHeight="14.4" outlineLevelRow="1"/>
  <cols>
    <col min="1" max="1" width="2.109375" style="221" customWidth="1"/>
    <col min="2" max="2" width="18.88671875" style="220" bestFit="1" customWidth="1"/>
    <col min="3" max="3" width="54.33203125" style="221" bestFit="1" customWidth="1"/>
    <col min="4" max="4" width="24.44140625" style="222" customWidth="1"/>
    <col min="5" max="5" width="19.33203125" style="222" bestFit="1" customWidth="1"/>
    <col min="6" max="6" width="23.5546875" style="221" customWidth="1"/>
    <col min="7" max="7" width="16.88671875" style="221" customWidth="1"/>
    <col min="8" max="8" width="7.6640625" style="221" hidden="1" customWidth="1"/>
    <col min="9" max="9" width="12.109375" style="221" hidden="1" customWidth="1"/>
    <col min="10" max="10" width="16.5546875" style="221" customWidth="1"/>
    <col min="11" max="11" width="2.109375" style="221" customWidth="1"/>
    <col min="12" max="12" width="2.33203125" style="221" customWidth="1"/>
    <col min="13" max="14" width="15.5546875" style="221" bestFit="1" customWidth="1"/>
    <col min="15" max="15" width="11.5546875" style="221" bestFit="1" customWidth="1"/>
    <col min="16" max="16" width="19.33203125" style="221" bestFit="1" customWidth="1"/>
    <col min="17" max="17" width="15.33203125" style="221" bestFit="1" customWidth="1"/>
    <col min="18" max="18" width="14" style="221" bestFit="1" customWidth="1"/>
    <col min="19" max="19" width="13" style="221" bestFit="1" customWidth="1"/>
    <col min="20" max="16384" width="9.109375" style="221"/>
  </cols>
  <sheetData>
    <row r="1" spans="2:17" hidden="1">
      <c r="D1" s="222">
        <v>42400</v>
      </c>
    </row>
    <row r="2" spans="2:17">
      <c r="D2" s="70"/>
      <c r="E2" s="70"/>
      <c r="I2" s="71"/>
    </row>
    <row r="3" spans="2:17">
      <c r="E3" s="72"/>
      <c r="I3" s="71"/>
    </row>
    <row r="4" spans="2:17" ht="15.6">
      <c r="B4" s="73"/>
      <c r="C4" s="73"/>
      <c r="D4" s="74" t="s">
        <v>109</v>
      </c>
      <c r="E4" s="75">
        <v>45778</v>
      </c>
      <c r="I4" s="71"/>
    </row>
    <row r="5" spans="2:17">
      <c r="D5" s="70"/>
      <c r="E5" s="70"/>
      <c r="I5" s="71"/>
    </row>
    <row r="6" spans="2:17">
      <c r="C6" s="76" t="s">
        <v>110</v>
      </c>
      <c r="D6" s="39">
        <v>3.66</v>
      </c>
      <c r="E6" s="70"/>
      <c r="I6" s="71"/>
      <c r="J6" s="85"/>
    </row>
    <row r="7" spans="2:17" ht="15.6">
      <c r="C7" s="77"/>
      <c r="D7" s="521" t="s">
        <v>243</v>
      </c>
      <c r="E7" s="521"/>
      <c r="I7" s="71"/>
      <c r="J7" s="85"/>
    </row>
    <row r="8" spans="2:17">
      <c r="D8" s="78" t="s">
        <v>142</v>
      </c>
      <c r="E8" s="78" t="s">
        <v>112</v>
      </c>
      <c r="J8" s="181"/>
    </row>
    <row r="9" spans="2:17" s="79" customFormat="1" ht="15.6">
      <c r="C9" s="80" t="s">
        <v>113</v>
      </c>
      <c r="D9" s="159">
        <f>SUBTOTAL(9,D10:D11)</f>
        <v>40299.372417666629</v>
      </c>
      <c r="E9" s="81">
        <f>SUBTOTAL(9,E10:E11)</f>
        <v>11010.757491165747</v>
      </c>
      <c r="F9" s="82"/>
      <c r="I9" s="71"/>
    </row>
    <row r="10" spans="2:17" s="71" customFormat="1" outlineLevel="1">
      <c r="B10" s="83"/>
      <c r="C10" s="84" t="s">
        <v>141</v>
      </c>
      <c r="D10" s="39">
        <f>'BCP SOLES BCP'!$G$168</f>
        <v>30657.980817666659</v>
      </c>
      <c r="E10" s="85">
        <f>D10/$D$6</f>
        <v>8376.4974911657537</v>
      </c>
      <c r="F10" s="86"/>
    </row>
    <row r="11" spans="2:17" s="71" customFormat="1" outlineLevel="1">
      <c r="B11" s="83"/>
      <c r="C11" s="84" t="s">
        <v>114</v>
      </c>
      <c r="D11" s="39">
        <f>E11*$D$6</f>
        <v>9641.3915999999736</v>
      </c>
      <c r="E11" s="85">
        <f>'BCP USD BCP'!$G$99</f>
        <v>2634.2599999999925</v>
      </c>
      <c r="F11" s="86"/>
    </row>
    <row r="12" spans="2:17" s="71" customFormat="1" ht="15.6">
      <c r="B12" s="83"/>
      <c r="C12" s="87" t="s">
        <v>115</v>
      </c>
      <c r="D12" s="159" t="e">
        <f>SUBTOTAL(9,D13:D13)</f>
        <v>#REF!</v>
      </c>
      <c r="E12" s="81" t="e">
        <f>SUBTOTAL(9,E13:E13)</f>
        <v>#REF!</v>
      </c>
      <c r="F12" s="182"/>
      <c r="G12" s="182"/>
      <c r="J12" s="183"/>
    </row>
    <row r="13" spans="2:17" s="71" customFormat="1" outlineLevel="1">
      <c r="B13" s="176" t="s">
        <v>169</v>
      </c>
      <c r="C13" s="177" t="s">
        <v>267</v>
      </c>
      <c r="D13" s="40" t="e">
        <f>$E$13*'Diferencia Cambio S&amp;P'!#REF!</f>
        <v>#REF!</v>
      </c>
      <c r="E13" s="185" t="e">
        <f>'Diferencia Cambio S&amp;P'!#REF!</f>
        <v>#REF!</v>
      </c>
      <c r="F13" s="88"/>
      <c r="G13" s="89"/>
    </row>
    <row r="14" spans="2:17" s="71" customFormat="1" ht="15.6">
      <c r="B14" s="83"/>
      <c r="C14" s="90" t="s">
        <v>117</v>
      </c>
      <c r="D14" s="226" t="e">
        <f>SUBTOTAL(9,D9:D13)</f>
        <v>#REF!</v>
      </c>
      <c r="E14" s="92" t="e">
        <f>SUBTOTAL(9,E9:E13)</f>
        <v>#REF!</v>
      </c>
      <c r="F14" s="93"/>
      <c r="G14" s="93"/>
      <c r="J14" s="89"/>
      <c r="K14" s="94"/>
      <c r="O14" s="95"/>
      <c r="P14" s="96"/>
      <c r="Q14" s="97"/>
    </row>
    <row r="15" spans="2:17" s="71" customFormat="1" ht="15.6">
      <c r="B15" s="83"/>
      <c r="C15" s="98"/>
      <c r="D15" s="99"/>
      <c r="E15" s="99"/>
      <c r="G15" s="100"/>
      <c r="O15" s="96"/>
      <c r="P15" s="96"/>
    </row>
    <row r="16" spans="2:17" s="71" customFormat="1" ht="15.6">
      <c r="B16" s="83"/>
      <c r="N16" s="101"/>
      <c r="O16" s="102"/>
      <c r="P16" s="103"/>
    </row>
    <row r="17" spans="1:19" s="71" customFormat="1" ht="15.6">
      <c r="B17" s="521" t="s">
        <v>118</v>
      </c>
      <c r="C17" s="521"/>
      <c r="D17" s="521" t="s">
        <v>201</v>
      </c>
      <c r="E17" s="521"/>
      <c r="F17" s="521" t="s">
        <v>109</v>
      </c>
      <c r="G17" s="521"/>
      <c r="H17" s="219"/>
      <c r="I17" s="219"/>
      <c r="J17" s="175">
        <v>45778</v>
      </c>
      <c r="K17" s="103"/>
      <c r="L17" s="103"/>
      <c r="N17" s="101"/>
      <c r="R17" s="89"/>
      <c r="S17" s="89"/>
    </row>
    <row r="18" spans="1:19" s="71" customFormat="1" ht="16.2" thickBot="1">
      <c r="B18" s="104" t="s">
        <v>119</v>
      </c>
      <c r="C18" s="105" t="s">
        <v>120</v>
      </c>
      <c r="D18" s="78" t="s">
        <v>150</v>
      </c>
      <c r="E18" s="78" t="s">
        <v>112</v>
      </c>
      <c r="F18" s="106" t="s">
        <v>121</v>
      </c>
      <c r="G18" s="101" t="s">
        <v>122</v>
      </c>
      <c r="H18" s="101"/>
      <c r="I18" s="101"/>
      <c r="J18" s="107" t="s">
        <v>123</v>
      </c>
      <c r="N18" s="108"/>
      <c r="R18" s="89"/>
      <c r="S18" s="109"/>
    </row>
    <row r="19" spans="1:19" s="71" customFormat="1" ht="16.2" thickBot="1">
      <c r="B19" s="83"/>
      <c r="C19" s="110" t="s">
        <v>124</v>
      </c>
      <c r="D19" s="160">
        <f>SUBTOTAL(9,D20:D22)</f>
        <v>5518.2199999999993</v>
      </c>
      <c r="E19" s="111">
        <f>SUBTOTAL(9,E20:E22)</f>
        <v>1507.710382513661</v>
      </c>
      <c r="F19" s="112"/>
      <c r="J19" s="113"/>
    </row>
    <row r="20" spans="1:19" s="71" customFormat="1" ht="28.8" outlineLevel="1">
      <c r="A20" s="86"/>
      <c r="B20" s="114"/>
      <c r="C20" s="172" t="s">
        <v>151</v>
      </c>
      <c r="D20" s="39">
        <v>1199.54</v>
      </c>
      <c r="E20" s="115">
        <f>D20/$D$6</f>
        <v>327.74316939890707</v>
      </c>
      <c r="F20" s="116">
        <v>45785</v>
      </c>
      <c r="G20" s="71" t="s">
        <v>126</v>
      </c>
      <c r="H20" s="71">
        <f>IF(OR(G20="Sin pagar",G20="Pagar"),_xlfn.SINGLE(NETWORKDAYS($J$17,F20,FestivosPerú!$A$2:$A$15)),0)</f>
        <v>0</v>
      </c>
      <c r="I20" s="71">
        <f>NETWORKDAYS($J$17,F20,FestivosPerú!$A$2:$A$15)</f>
        <v>5</v>
      </c>
      <c r="J20" s="117">
        <f t="shared" ref="J20:J54" si="0">H20</f>
        <v>0</v>
      </c>
      <c r="K20" s="89"/>
      <c r="L20" s="89"/>
      <c r="M20" s="118"/>
      <c r="N20" s="118"/>
    </row>
    <row r="21" spans="1:19" s="71" customFormat="1" ht="28.8" outlineLevel="1">
      <c r="A21" s="86"/>
      <c r="B21" s="114"/>
      <c r="C21" s="172" t="s">
        <v>152</v>
      </c>
      <c r="D21" s="39">
        <v>2161.35</v>
      </c>
      <c r="E21" s="115">
        <f>D21/$D$6</f>
        <v>590.53278688524586</v>
      </c>
      <c r="F21" s="116">
        <v>45785</v>
      </c>
      <c r="G21" s="71" t="s">
        <v>126</v>
      </c>
      <c r="H21" s="71">
        <f>IF(OR(G21="Sin pagar",G21="Pagar"),_xlfn.SINGLE(NETWORKDAYS($J$17,F21,FestivosPerú!$A$2:$A$15)),0)</f>
        <v>0</v>
      </c>
      <c r="I21" s="71">
        <f>NETWORKDAYS($J$17,F21,FestivosPerú!$A$2:$A$15)</f>
        <v>5</v>
      </c>
      <c r="J21" s="117">
        <f t="shared" si="0"/>
        <v>0</v>
      </c>
      <c r="K21" s="89"/>
      <c r="L21" s="89"/>
      <c r="M21" s="118"/>
      <c r="N21" s="118"/>
    </row>
    <row r="22" spans="1:19" s="71" customFormat="1" ht="29.4" outlineLevel="1" thickBot="1">
      <c r="A22" s="86"/>
      <c r="B22" s="114"/>
      <c r="C22" s="172" t="s">
        <v>153</v>
      </c>
      <c r="D22" s="39">
        <v>2157.33</v>
      </c>
      <c r="E22" s="115">
        <f>D22/$D$6</f>
        <v>589.43442622950818</v>
      </c>
      <c r="F22" s="116">
        <v>45785</v>
      </c>
      <c r="G22" s="71" t="s">
        <v>126</v>
      </c>
      <c r="H22" s="71">
        <f>IF(OR(G22="Sin pagar",G22="Pagar"),_xlfn.SINGLE(NETWORKDAYS($J$17,F22,FestivosPerú!$A$2:$A$15)),0)</f>
        <v>0</v>
      </c>
      <c r="I22" s="71">
        <f>NETWORKDAYS($J$17,F22,FestivosPerú!$A$2:$A$15)</f>
        <v>5</v>
      </c>
      <c r="J22" s="117">
        <f t="shared" si="0"/>
        <v>0</v>
      </c>
      <c r="K22" s="89"/>
      <c r="L22" s="89"/>
      <c r="M22" s="118"/>
      <c r="N22" s="118"/>
    </row>
    <row r="23" spans="1:19" s="71" customFormat="1" ht="16.2" thickBot="1">
      <c r="B23" s="83"/>
      <c r="C23" s="110" t="s">
        <v>125</v>
      </c>
      <c r="D23" s="160">
        <f>SUBTOTAL(9,D24:D25)</f>
        <v>13769</v>
      </c>
      <c r="E23" s="111">
        <f>SUBTOTAL(9,E24:E25)</f>
        <v>3762.021857923497</v>
      </c>
      <c r="J23" s="113">
        <f>H23</f>
        <v>0</v>
      </c>
    </row>
    <row r="24" spans="1:19" s="71" customFormat="1" outlineLevel="1">
      <c r="B24" s="173"/>
      <c r="C24" s="84" t="s">
        <v>78</v>
      </c>
      <c r="D24" s="39">
        <v>12653</v>
      </c>
      <c r="E24" s="115">
        <f>D24/$D$6</f>
        <v>3457.1038251366117</v>
      </c>
      <c r="F24" s="116">
        <v>45790</v>
      </c>
      <c r="G24" s="71" t="s">
        <v>126</v>
      </c>
      <c r="H24" s="71">
        <f>IF(OR(G24="Sin pagar",G24="Pagar"),_xlfn.SINGLE(NETWORKDAYS($J$17,F24,FestivosPerú!$A$2:$A$15)),0)</f>
        <v>0</v>
      </c>
      <c r="I24" s="71">
        <f>NETWORKDAYS($J$17,F24,FestivosPerú!$A$2:$A$15)</f>
        <v>8</v>
      </c>
      <c r="J24" s="117">
        <f t="shared" si="0"/>
        <v>0</v>
      </c>
      <c r="K24" s="120"/>
      <c r="L24" s="94"/>
      <c r="M24" s="118"/>
      <c r="N24" s="118"/>
    </row>
    <row r="25" spans="1:19" s="71" customFormat="1" ht="15" outlineLevel="1" thickBot="1">
      <c r="B25" s="119"/>
      <c r="C25" s="84" t="s">
        <v>263</v>
      </c>
      <c r="D25" s="39">
        <v>1116</v>
      </c>
      <c r="E25" s="115">
        <f>D25/$D$6</f>
        <v>304.91803278688525</v>
      </c>
      <c r="F25" s="116">
        <v>45793</v>
      </c>
      <c r="G25" s="71" t="s">
        <v>126</v>
      </c>
      <c r="H25" s="71">
        <f>IF(OR(G25="Sin pagar",G25="Pagar"),_xlfn.SINGLE(NETWORKDAYS($J$17,F25,FestivosPerú!$A$2:$A$15)),0)</f>
        <v>0</v>
      </c>
      <c r="I25" s="71">
        <f>NETWORKDAYS($J$17,F25,FestivosPerú!$A$2:$A$15)</f>
        <v>11</v>
      </c>
      <c r="J25" s="117">
        <f t="shared" si="0"/>
        <v>0</v>
      </c>
      <c r="K25" s="120"/>
      <c r="L25" s="94"/>
      <c r="M25" s="118" t="s">
        <v>245</v>
      </c>
      <c r="N25" s="118"/>
    </row>
    <row r="26" spans="1:19" s="71" customFormat="1" ht="16.2" thickBot="1">
      <c r="B26" s="83"/>
      <c r="C26" s="110" t="s">
        <v>144</v>
      </c>
      <c r="D26" s="160">
        <f>SUBTOTAL(9,D27:D31)</f>
        <v>3617.0540000000001</v>
      </c>
      <c r="E26" s="111">
        <f>SUBTOTAL(9,E27:E31)</f>
        <v>988.2661202185792</v>
      </c>
      <c r="J26" s="113">
        <f>H26</f>
        <v>0</v>
      </c>
      <c r="K26" s="89"/>
      <c r="L26" s="89"/>
      <c r="N26" s="118"/>
    </row>
    <row r="27" spans="1:19" s="71" customFormat="1" outlineLevel="1">
      <c r="B27" s="83">
        <v>5984</v>
      </c>
      <c r="C27" s="84" t="s">
        <v>244</v>
      </c>
      <c r="D27" s="39">
        <f>E27*$D$6</f>
        <v>1317.2339999999999</v>
      </c>
      <c r="E27" s="115">
        <v>359.9</v>
      </c>
      <c r="F27" s="112">
        <v>45806</v>
      </c>
      <c r="G27" s="71" t="s">
        <v>126</v>
      </c>
      <c r="H27" s="71">
        <f>IF(OR(G27="Sin pagar",G27="Pagar"),_xlfn.SINGLE(NETWORKDAYS($J$17,F27,FestivosPerú!$A$2:$A$15)),0)</f>
        <v>0</v>
      </c>
      <c r="I27" s="71">
        <f>NETWORKDAYS($J$17,F27,FestivosPerú!$A$2:$A$15)</f>
        <v>20</v>
      </c>
      <c r="J27" s="117">
        <f t="shared" si="0"/>
        <v>0</v>
      </c>
      <c r="M27" s="121"/>
      <c r="N27" s="86"/>
    </row>
    <row r="28" spans="1:19" s="71" customFormat="1" outlineLevel="1">
      <c r="B28" s="83">
        <v>6035</v>
      </c>
      <c r="C28" s="84" t="s">
        <v>244</v>
      </c>
      <c r="D28" s="39">
        <f>E28*$D$6</f>
        <v>647.82000000000005</v>
      </c>
      <c r="E28" s="115">
        <v>177</v>
      </c>
      <c r="F28" s="112">
        <v>45806</v>
      </c>
      <c r="G28" s="71" t="s">
        <v>126</v>
      </c>
      <c r="H28" s="71">
        <f>IF(OR(G28="Sin pagar",G28="Pagar"),_xlfn.SINGLE(NETWORKDAYS($J$17,F28,FestivosPerú!$A$2:$A$15)),0)</f>
        <v>0</v>
      </c>
      <c r="I28" s="71">
        <f>NETWORKDAYS($J$17,F28,FestivosPerú!$A$2:$A$15)</f>
        <v>20</v>
      </c>
      <c r="J28" s="117">
        <f>H28</f>
        <v>0</v>
      </c>
      <c r="M28" s="121"/>
      <c r="N28" s="86"/>
    </row>
    <row r="29" spans="1:19" s="71" customFormat="1" outlineLevel="1">
      <c r="B29" s="83">
        <v>5984</v>
      </c>
      <c r="C29" s="84" t="s">
        <v>273</v>
      </c>
      <c r="D29" s="39">
        <f>(E29*$D$6)*0</f>
        <v>0</v>
      </c>
      <c r="E29" s="115">
        <f>472*0</f>
        <v>0</v>
      </c>
      <c r="F29" s="116">
        <v>45814</v>
      </c>
      <c r="G29" s="71" t="s">
        <v>116</v>
      </c>
      <c r="H29" s="71">
        <f>IF(OR(G29="Sin pagar",G29="Pagar"),_xlfn.SINGLE(NETWORKDAYS($J$17,F29,FestivosPerú!$A$2:$A$15)),0)</f>
        <v>26</v>
      </c>
      <c r="I29" s="71">
        <f>NETWORKDAYS($J$17,F29,FestivosPerú!$A$2:$A$15)</f>
        <v>26</v>
      </c>
      <c r="J29" s="117">
        <f>H29</f>
        <v>26</v>
      </c>
      <c r="M29" s="121"/>
      <c r="N29" s="86"/>
    </row>
    <row r="30" spans="1:19" s="71" customFormat="1" outlineLevel="1">
      <c r="B30" s="83" t="s">
        <v>274</v>
      </c>
      <c r="C30" s="84" t="s">
        <v>286</v>
      </c>
      <c r="D30" s="39">
        <f>700*1.18</f>
        <v>826</v>
      </c>
      <c r="E30" s="115">
        <f>$D$30/$D$6</f>
        <v>225.68306010928961</v>
      </c>
      <c r="F30" s="112">
        <v>45806</v>
      </c>
      <c r="G30" s="71" t="s">
        <v>126</v>
      </c>
      <c r="H30" s="71">
        <f>IF(OR(G30="Sin pagar",G30="Pagar"),_xlfn.SINGLE(NETWORKDAYS($J$17,F30,FestivosPerú!$A$2:$A$15)),0)</f>
        <v>0</v>
      </c>
      <c r="I30" s="71">
        <f>NETWORKDAYS($J$17,F30,FestivosPerú!$A$2:$A$15)</f>
        <v>20</v>
      </c>
      <c r="J30" s="117">
        <f t="shared" si="0"/>
        <v>0</v>
      </c>
      <c r="M30" s="121"/>
      <c r="N30" s="86"/>
    </row>
    <row r="31" spans="1:19" s="71" customFormat="1" ht="15" outlineLevel="1" thickBot="1">
      <c r="B31" s="83" t="s">
        <v>292</v>
      </c>
      <c r="C31" s="84" t="s">
        <v>286</v>
      </c>
      <c r="D31" s="39">
        <f>700*1.18</f>
        <v>826</v>
      </c>
      <c r="E31" s="115">
        <f>$D$30/$D$6</f>
        <v>225.68306010928961</v>
      </c>
      <c r="F31" s="112">
        <v>45811</v>
      </c>
      <c r="G31" s="71" t="s">
        <v>126</v>
      </c>
      <c r="H31" s="71">
        <f>IF(OR(G31="Sin pagar",G31="Pagar"),_xlfn.SINGLE(NETWORKDAYS($J$17,F31,FestivosPerú!$A$2:$A$15)),0)</f>
        <v>0</v>
      </c>
      <c r="I31" s="71">
        <f>NETWORKDAYS($J$17,F31,FestivosPerú!$A$2:$A$15)</f>
        <v>23</v>
      </c>
      <c r="J31" s="117">
        <f>H31</f>
        <v>0</v>
      </c>
      <c r="M31" s="121"/>
      <c r="N31" s="86"/>
    </row>
    <row r="32" spans="1:19" s="71" customFormat="1" ht="15.75" customHeight="1" thickBot="1">
      <c r="C32" s="110" t="s">
        <v>162</v>
      </c>
      <c r="D32" s="160">
        <f>SUBTOTAL(9,D33:D41)</f>
        <v>3244.5200000000004</v>
      </c>
      <c r="E32" s="111">
        <f>SUBTOTAL(9,E33:E41)</f>
        <v>886.48087431693989</v>
      </c>
      <c r="M32" s="122"/>
      <c r="N32" s="187"/>
      <c r="P32" s="123"/>
    </row>
    <row r="33" spans="2:16" s="71" customFormat="1" outlineLevel="1">
      <c r="B33" s="83" t="s">
        <v>258</v>
      </c>
      <c r="C33" s="84" t="s">
        <v>253</v>
      </c>
      <c r="D33" s="39">
        <v>118</v>
      </c>
      <c r="E33" s="115">
        <f>D33/$D$6</f>
        <v>32.240437158469945</v>
      </c>
      <c r="F33" s="112">
        <v>45786</v>
      </c>
      <c r="G33" s="71" t="s">
        <v>126</v>
      </c>
      <c r="H33" s="71">
        <f>IF(OR(G33="Sin pagar",G33="Pagar"),_xlfn.SINGLE(NETWORKDAYS($J$17,F33,FestivosPerú!$A$2:$A$15)),0)</f>
        <v>0</v>
      </c>
      <c r="I33" s="71">
        <f>NETWORKDAYS($J$17,F33,FestivosPerú!$A$2:$A$15)</f>
        <v>6</v>
      </c>
      <c r="J33" s="117">
        <f t="shared" si="0"/>
        <v>0</v>
      </c>
      <c r="N33" s="187"/>
    </row>
    <row r="34" spans="2:16" s="71" customFormat="1" outlineLevel="1">
      <c r="B34" s="83" t="s">
        <v>257</v>
      </c>
      <c r="C34" s="84" t="s">
        <v>254</v>
      </c>
      <c r="D34" s="39">
        <v>354.04</v>
      </c>
      <c r="E34" s="115">
        <f>D34/$D$6</f>
        <v>96.732240437158467</v>
      </c>
      <c r="F34" s="112">
        <v>45786</v>
      </c>
      <c r="G34" s="71" t="s">
        <v>126</v>
      </c>
      <c r="H34" s="71">
        <f>IF(OR(G34="Sin pagar",G34="Pagar"),_xlfn.SINGLE(NETWORKDAYS($J$17,F34,FestivosPerú!$A$2:$A$15)),0)</f>
        <v>0</v>
      </c>
      <c r="I34" s="71">
        <f>NETWORKDAYS($J$17,F34,FestivosPerú!$A$2:$A$15)</f>
        <v>6</v>
      </c>
      <c r="J34" s="117">
        <f t="shared" si="0"/>
        <v>0</v>
      </c>
      <c r="N34" s="187"/>
    </row>
    <row r="35" spans="2:16" s="71" customFormat="1" outlineLevel="1">
      <c r="B35" s="83" t="s">
        <v>256</v>
      </c>
      <c r="C35" s="84" t="s">
        <v>255</v>
      </c>
      <c r="D35" s="39">
        <v>343.73</v>
      </c>
      <c r="E35" s="115">
        <f>D35/$D$6</f>
        <v>93.915300546448094</v>
      </c>
      <c r="F35" s="112">
        <v>45786</v>
      </c>
      <c r="G35" s="71" t="s">
        <v>126</v>
      </c>
      <c r="H35" s="71">
        <f>IF(OR(G35="Sin pagar",G35="Pagar"),_xlfn.SINGLE(NETWORKDAYS($J$17,F35,FestivosPerú!$A$2:$A$15)),0)</f>
        <v>0</v>
      </c>
      <c r="I35" s="71">
        <f>NETWORKDAYS($J$17,F35,FestivosPerú!$A$2:$A$15)</f>
        <v>6</v>
      </c>
      <c r="J35" s="117">
        <f>H35</f>
        <v>0</v>
      </c>
      <c r="N35" s="187"/>
    </row>
    <row r="36" spans="2:16" s="71" customFormat="1" outlineLevel="1">
      <c r="B36" s="83"/>
      <c r="C36" s="84" t="s">
        <v>284</v>
      </c>
      <c r="D36" s="39">
        <v>1613</v>
      </c>
      <c r="E36" s="115">
        <f>D36/D6</f>
        <v>440.71038251366116</v>
      </c>
      <c r="F36" s="112">
        <v>45806</v>
      </c>
      <c r="G36" s="71" t="s">
        <v>126</v>
      </c>
      <c r="H36" s="71">
        <f>IF(OR(G36="Sin pagar",G36="Pagar"),_xlfn.SINGLE(NETWORKDAYS($J$17,F36,FestivosPerú!$A$2:$A$15)),0)</f>
        <v>0</v>
      </c>
      <c r="I36" s="71">
        <f>NETWORKDAYS($J$17,F36,FestivosPerú!$A$2:$A$15)</f>
        <v>20</v>
      </c>
      <c r="J36" s="117">
        <f>H36</f>
        <v>0</v>
      </c>
      <c r="N36" s="187"/>
    </row>
    <row r="37" spans="2:16" s="71" customFormat="1" outlineLevel="1">
      <c r="B37" s="83"/>
      <c r="C37" s="84" t="s">
        <v>248</v>
      </c>
      <c r="D37" s="39">
        <f>1253.2*0</f>
        <v>0</v>
      </c>
      <c r="E37" s="115">
        <f>$D$37/$D$6</f>
        <v>0</v>
      </c>
      <c r="F37" s="112">
        <v>45808</v>
      </c>
      <c r="G37" s="71" t="s">
        <v>126</v>
      </c>
      <c r="H37" s="71">
        <f>IF(OR(G37="Sin pagar",G37="Pagar"),_xlfn.SINGLE(NETWORKDAYS($J$17,F37,FestivosPerú!$A$2:$A$15)),0)</f>
        <v>0</v>
      </c>
      <c r="I37" s="71">
        <f>NETWORKDAYS($J$17,F37,FestivosPerú!$A$2:$A$15)</f>
        <v>21</v>
      </c>
      <c r="J37" s="117">
        <f t="shared" si="0"/>
        <v>0</v>
      </c>
      <c r="N37" s="187"/>
    </row>
    <row r="38" spans="2:16" s="71" customFormat="1" outlineLevel="1">
      <c r="B38" s="83" t="s">
        <v>272</v>
      </c>
      <c r="C38" s="84" t="s">
        <v>289</v>
      </c>
      <c r="D38" s="39">
        <f>118</f>
        <v>118</v>
      </c>
      <c r="E38" s="115">
        <f>D38/$D$6</f>
        <v>32.240437158469945</v>
      </c>
      <c r="F38" s="112">
        <v>45811</v>
      </c>
      <c r="G38" s="71" t="s">
        <v>126</v>
      </c>
      <c r="H38" s="71">
        <f>IF(OR(G38="Sin pagar",G38="Pagar"),_xlfn.SINGLE(NETWORKDAYS($J$17,F38,FestivosPerú!$A$2:$A$15)),0)</f>
        <v>0</v>
      </c>
      <c r="I38" s="71">
        <f>NETWORKDAYS($J$17,F38,FestivosPerú!$A$2:$A$15)</f>
        <v>23</v>
      </c>
      <c r="J38" s="117">
        <f>H38</f>
        <v>0</v>
      </c>
      <c r="N38" s="187"/>
    </row>
    <row r="39" spans="2:16" s="71" customFormat="1" outlineLevel="1">
      <c r="B39" s="83" t="s">
        <v>272</v>
      </c>
      <c r="C39" s="84" t="s">
        <v>290</v>
      </c>
      <c r="D39" s="39">
        <f>354.03</f>
        <v>354.03</v>
      </c>
      <c r="E39" s="115">
        <f>D39/$D$6</f>
        <v>96.729508196721298</v>
      </c>
      <c r="F39" s="112">
        <v>45811</v>
      </c>
      <c r="G39" s="71" t="s">
        <v>126</v>
      </c>
      <c r="H39" s="71">
        <f>IF(OR(G39="Sin pagar",G39="Pagar"),_xlfn.SINGLE(NETWORKDAYS($J$17,F39,FestivosPerú!$A$2:$A$15)),0)</f>
        <v>0</v>
      </c>
      <c r="I39" s="71">
        <f>NETWORKDAYS($J$17,F39,FestivosPerú!$A$2:$A$15)</f>
        <v>23</v>
      </c>
      <c r="J39" s="117">
        <f>H39</f>
        <v>0</v>
      </c>
      <c r="N39" s="187"/>
    </row>
    <row r="40" spans="2:16" s="71" customFormat="1" outlineLevel="1">
      <c r="B40" s="83" t="s">
        <v>272</v>
      </c>
      <c r="C40" s="84" t="s">
        <v>291</v>
      </c>
      <c r="D40" s="39">
        <f>343.72</f>
        <v>343.72</v>
      </c>
      <c r="E40" s="115">
        <f>D40/$D$6</f>
        <v>93.91256830601094</v>
      </c>
      <c r="F40" s="112">
        <v>45811</v>
      </c>
      <c r="G40" s="71" t="s">
        <v>126</v>
      </c>
      <c r="H40" s="71">
        <f>IF(OR(G40="Sin pagar",G40="Pagar"),_xlfn.SINGLE(NETWORKDAYS($J$17,F40,FestivosPerú!$A$2:$A$15)),0)</f>
        <v>0</v>
      </c>
      <c r="I40" s="71">
        <f>NETWORKDAYS($J$17,F40,FestivosPerú!$A$2:$A$15)</f>
        <v>23</v>
      </c>
      <c r="J40" s="117">
        <f>H40</f>
        <v>0</v>
      </c>
      <c r="N40" s="187"/>
    </row>
    <row r="41" spans="2:16" s="71" customFormat="1" ht="15" outlineLevel="1" thickBot="1">
      <c r="B41" s="83" t="s">
        <v>272</v>
      </c>
      <c r="C41" s="84" t="s">
        <v>296</v>
      </c>
      <c r="D41" s="39">
        <f>2508*0</f>
        <v>0</v>
      </c>
      <c r="E41" s="115">
        <f>$D$41/$D$6</f>
        <v>0</v>
      </c>
      <c r="F41" s="112">
        <v>45811</v>
      </c>
      <c r="G41" s="71" t="s">
        <v>116</v>
      </c>
      <c r="H41" s="71">
        <f>IF(OR(G41="Sin pagar",G41="Pagar"),_xlfn.SINGLE(NETWORKDAYS($J$17,F41,FestivosPerú!$A$2:$A$15)),0)</f>
        <v>23</v>
      </c>
      <c r="I41" s="71">
        <f>NETWORKDAYS($J$17,F41,FestivosPerú!$A$2:$A$15)</f>
        <v>23</v>
      </c>
      <c r="J41" s="117">
        <f>H41</f>
        <v>23</v>
      </c>
      <c r="N41" s="187"/>
    </row>
    <row r="42" spans="2:16" s="71" customFormat="1" ht="15.75" customHeight="1" thickBot="1">
      <c r="C42" s="110" t="s">
        <v>127</v>
      </c>
      <c r="D42" s="160">
        <f>SUBTOTAL(9,D43:D43)</f>
        <v>3740.87</v>
      </c>
      <c r="E42" s="111">
        <f>SUBTOTAL(9,E43:E43)</f>
        <v>1022.0956284153004</v>
      </c>
      <c r="M42" s="122"/>
      <c r="N42" s="187"/>
      <c r="P42" s="187"/>
    </row>
    <row r="43" spans="2:16" s="71" customFormat="1" ht="15" outlineLevel="1" thickBot="1">
      <c r="B43" s="83"/>
      <c r="C43" s="84" t="s">
        <v>127</v>
      </c>
      <c r="D43" s="39">
        <f>('BCP SOLES BCP'!$F$173+'BCP SOLES BCP'!$F$179+'BCP SOLES BCP'!$F$181+'BCP SOLES BCP'!$F$185+'BCP SOLES BCP'!$F$188+'BCP SOLES BCP'!$F$190+'BCP SOLES BCP'!$F$192+'BCP SOLES BCP'!$F$194+'BCP SOLES BCP'!$F$199+'BCP SOLES BCP'!$F$200+'BCP SOLES BCP'!$F$201)+(('BCP USD BCP'!F99+'BCP USD BCP'!F101+'BCP USD BCP'!F102+'BCP USD BCP'!F106+'BCP USD BCP'!F107*$D$6))+3517.81</f>
        <v>3740.87</v>
      </c>
      <c r="E43" s="115">
        <f>$D$43/$D$6</f>
        <v>1022.0956284153004</v>
      </c>
      <c r="F43" s="112">
        <v>45808</v>
      </c>
      <c r="G43" s="71" t="s">
        <v>126</v>
      </c>
      <c r="H43" s="71">
        <f>IF(OR(G43="Sin pagar",G43="Pagar"),_xlfn.SINGLE(NETWORKDAYS($J$17,F43,FestivosPerú!$A$2:$A$15)),0)</f>
        <v>0</v>
      </c>
      <c r="I43" s="71">
        <f>NETWORKDAYS($J$17,F43,FestivosPerú!$A$2:$A$15)</f>
        <v>21</v>
      </c>
      <c r="J43" s="117">
        <f t="shared" si="0"/>
        <v>0</v>
      </c>
    </row>
    <row r="44" spans="2:16" s="71" customFormat="1" ht="16.2" thickBot="1">
      <c r="C44" s="110" t="s">
        <v>128</v>
      </c>
      <c r="D44" s="160">
        <f>SUBTOTAL(9,D45:D47)</f>
        <v>35146.753660999995</v>
      </c>
      <c r="E44" s="111">
        <f>SUBTOTAL(9,E45:E47)</f>
        <v>9602.938158743169</v>
      </c>
      <c r="K44" s="89"/>
      <c r="L44" s="124"/>
    </row>
    <row r="45" spans="2:16" s="71" customFormat="1" outlineLevel="1">
      <c r="B45" s="125"/>
      <c r="C45" s="84" t="s">
        <v>146</v>
      </c>
      <c r="D45" s="39">
        <v>13447.123660999998</v>
      </c>
      <c r="E45" s="115">
        <f>D45/$D$6</f>
        <v>3674.0775030054638</v>
      </c>
      <c r="F45" s="112">
        <v>45805</v>
      </c>
      <c r="G45" s="71" t="s">
        <v>126</v>
      </c>
      <c r="H45" s="71">
        <f>IF(OR(G45="Sin pagar",G45="Pagar"),_xlfn.SINGLE(NETWORKDAYS($J$17,F45,FestivosPerú!$A$2:$A$15)),0)</f>
        <v>0</v>
      </c>
      <c r="I45" s="71">
        <f>NETWORKDAYS($J$17,F45,FestivosPerú!$A$2:$A$15)</f>
        <v>19</v>
      </c>
      <c r="J45" s="117">
        <f t="shared" si="0"/>
        <v>0</v>
      </c>
      <c r="K45" s="120"/>
      <c r="L45" s="120"/>
      <c r="N45" s="187"/>
    </row>
    <row r="46" spans="2:16" s="71" customFormat="1" outlineLevel="1">
      <c r="B46" s="125"/>
      <c r="C46" s="84" t="s">
        <v>176</v>
      </c>
      <c r="D46" s="39">
        <v>10842.7</v>
      </c>
      <c r="E46" s="115">
        <f>D46/$D$6</f>
        <v>2962.4863387978144</v>
      </c>
      <c r="F46" s="112">
        <v>45805</v>
      </c>
      <c r="G46" s="71" t="s">
        <v>126</v>
      </c>
      <c r="H46" s="71">
        <f>IF(OR(G46="Sin pagar",G46="Pagar"),_xlfn.SINGLE(NETWORKDAYS($J$17,F46,FestivosPerú!$A$2:$A$15)),0)</f>
        <v>0</v>
      </c>
      <c r="I46" s="71">
        <f>NETWORKDAYS($J$17,F46,FestivosPerú!$A$2:$A$15)</f>
        <v>19</v>
      </c>
      <c r="J46" s="117">
        <f t="shared" si="0"/>
        <v>0</v>
      </c>
      <c r="K46" s="120"/>
      <c r="L46" s="120"/>
    </row>
    <row r="47" spans="2:16" s="71" customFormat="1" ht="15" outlineLevel="1" thickBot="1">
      <c r="B47" s="125"/>
      <c r="C47" s="84" t="s">
        <v>275</v>
      </c>
      <c r="D47" s="39">
        <v>10856.93</v>
      </c>
      <c r="E47" s="115">
        <f>D47/$D$6</f>
        <v>2966.3743169398908</v>
      </c>
      <c r="F47" s="112">
        <v>45805</v>
      </c>
      <c r="G47" s="71" t="s">
        <v>126</v>
      </c>
      <c r="H47" s="71">
        <f>IF(OR(G47="Sin pagar",G47="Pagar"),_xlfn.SINGLE(NETWORKDAYS($J$17,F47,FestivosPerú!$A$2:$A$15)),0)</f>
        <v>0</v>
      </c>
      <c r="I47" s="71">
        <f>NETWORKDAYS($J$17,F47,FestivosPerú!$A$2:$A$15)</f>
        <v>19</v>
      </c>
      <c r="J47" s="117">
        <f t="shared" si="0"/>
        <v>0</v>
      </c>
      <c r="K47" s="120"/>
      <c r="L47" s="120"/>
    </row>
    <row r="48" spans="2:16" s="71" customFormat="1" ht="16.2" thickBot="1">
      <c r="C48" s="110" t="s">
        <v>177</v>
      </c>
      <c r="D48" s="160">
        <f>SUBTOTAL(9,D49:D50)</f>
        <v>11893.83</v>
      </c>
      <c r="E48" s="111">
        <f>SUBTOTAL(9,E49:E50)</f>
        <v>3249.6803278688521</v>
      </c>
      <c r="K48" s="89"/>
      <c r="L48" s="124"/>
      <c r="N48" s="122"/>
      <c r="O48" s="101"/>
    </row>
    <row r="49" spans="1:14" s="71" customFormat="1" outlineLevel="1">
      <c r="B49" s="125"/>
      <c r="C49" s="186" t="s">
        <v>178</v>
      </c>
      <c r="D49" s="39">
        <v>1400.27</v>
      </c>
      <c r="E49" s="232">
        <f>D49/$D$6</f>
        <v>382.58743169398906</v>
      </c>
      <c r="F49" s="112">
        <v>45805</v>
      </c>
      <c r="G49" s="71" t="s">
        <v>126</v>
      </c>
      <c r="H49" s="71">
        <f>IF(OR(G49="Sin pagar",G49="Pagar"),_xlfn.SINGLE(NETWORKDAYS($J$17,F49,FestivosPerú!$A$2:$A$15)),0)</f>
        <v>0</v>
      </c>
      <c r="I49" s="71">
        <f>NETWORKDAYS($J$17,F49,FestivosPerú!$A$2:$A$15)</f>
        <v>19</v>
      </c>
      <c r="J49" s="117">
        <f t="shared" si="0"/>
        <v>0</v>
      </c>
      <c r="K49" s="120"/>
      <c r="L49" s="120"/>
      <c r="N49" s="122"/>
    </row>
    <row r="50" spans="1:14" s="126" customFormat="1" ht="15" outlineLevel="1" thickBot="1">
      <c r="B50" s="125"/>
      <c r="C50" s="186" t="s">
        <v>236</v>
      </c>
      <c r="D50" s="39">
        <v>10493.56</v>
      </c>
      <c r="E50" s="232">
        <f>D50/$D$6</f>
        <v>2867.0928961748632</v>
      </c>
      <c r="F50" s="112">
        <v>45806</v>
      </c>
      <c r="G50" s="71" t="s">
        <v>126</v>
      </c>
      <c r="H50" s="71">
        <f>IF(OR(G50="Sin pagar",G50="Pagar"),_xlfn.SINGLE(NETWORKDAYS($J$17,F50,FestivosPerú!$A$2:$A$15)),0)</f>
        <v>0</v>
      </c>
      <c r="I50" s="71">
        <f>NETWORKDAYS($J$17,F50,FestivosPerú!$A$2:$A$15)</f>
        <v>20</v>
      </c>
      <c r="J50" s="117">
        <f t="shared" si="0"/>
        <v>0</v>
      </c>
      <c r="L50" s="127"/>
    </row>
    <row r="51" spans="1:14" s="71" customFormat="1" ht="16.2" thickBot="1">
      <c r="A51" s="126"/>
      <c r="B51" s="125"/>
      <c r="C51" s="110" t="s">
        <v>129</v>
      </c>
      <c r="D51" s="160">
        <f>SUBTOTAL(9,D52:D55)</f>
        <v>4877</v>
      </c>
      <c r="E51" s="111">
        <f>SUBTOTAL(9,E52:E55)</f>
        <v>1332.5136612021859</v>
      </c>
      <c r="L51" s="89"/>
    </row>
    <row r="52" spans="1:14" s="71" customFormat="1" outlineLevel="1">
      <c r="A52" s="126"/>
      <c r="B52" s="128"/>
      <c r="C52" s="84" t="s">
        <v>260</v>
      </c>
      <c r="D52" s="39">
        <v>4700</v>
      </c>
      <c r="E52" s="115">
        <f>D52/$D$6</f>
        <v>1284.1530054644809</v>
      </c>
      <c r="F52" s="112">
        <v>45793</v>
      </c>
      <c r="G52" s="71" t="s">
        <v>126</v>
      </c>
      <c r="H52" s="71">
        <f>IF(OR(G52="Sin pagar",G52="Pagar"),_xlfn.SINGLE(NETWORKDAYS($J$17,F52,FestivosPerú!$A$2:$A$15)),0)</f>
        <v>0</v>
      </c>
      <c r="I52" s="71">
        <f>NETWORKDAYS($J$17,F52,FestivosPerú!$A$2:$A$15)</f>
        <v>11</v>
      </c>
      <c r="J52" s="117">
        <f t="shared" si="0"/>
        <v>0</v>
      </c>
      <c r="L52" s="89"/>
    </row>
    <row r="53" spans="1:14" s="71" customFormat="1" outlineLevel="1">
      <c r="A53" s="126"/>
      <c r="B53" s="128" t="s">
        <v>265</v>
      </c>
      <c r="C53" s="84" t="s">
        <v>264</v>
      </c>
      <c r="D53" s="39">
        <v>177</v>
      </c>
      <c r="E53" s="115">
        <f>D53/$D$6</f>
        <v>48.360655737704917</v>
      </c>
      <c r="F53" s="112">
        <v>45796</v>
      </c>
      <c r="G53" s="71" t="s">
        <v>126</v>
      </c>
      <c r="H53" s="71">
        <f>IF(OR(G53="Sin pagar",G53="Pagar"),_xlfn.SINGLE(NETWORKDAYS($J$17,F53,FestivosPerú!$A$2:$A$15)),0)</f>
        <v>0</v>
      </c>
      <c r="I53" s="71">
        <f>NETWORKDAYS($J$17,F53,FestivosPerú!$A$2:$A$15)</f>
        <v>12</v>
      </c>
      <c r="J53" s="117">
        <f>H53</f>
        <v>0</v>
      </c>
      <c r="L53" s="89"/>
    </row>
    <row r="54" spans="1:14" s="71" customFormat="1" outlineLevel="1">
      <c r="A54" s="126"/>
      <c r="B54" s="128"/>
      <c r="C54" s="84" t="s">
        <v>261</v>
      </c>
      <c r="D54" s="39">
        <f>2000*0</f>
        <v>0</v>
      </c>
      <c r="E54" s="232">
        <f>D54/$D$6</f>
        <v>0</v>
      </c>
      <c r="F54" s="112">
        <v>45814</v>
      </c>
      <c r="G54" s="71" t="s">
        <v>116</v>
      </c>
      <c r="H54" s="71">
        <f>IF(OR(G54="Sin pagar",G54="Pagar"),_xlfn.SINGLE(NETWORKDAYS($J$17,F54,FestivosPerú!$A$2:$A$15)),0)</f>
        <v>26</v>
      </c>
      <c r="I54" s="71">
        <f>NETWORKDAYS($J$17,F54,FestivosPerú!$A$2:$A$15)</f>
        <v>26</v>
      </c>
      <c r="J54" s="117">
        <f t="shared" si="0"/>
        <v>26</v>
      </c>
      <c r="L54" s="89"/>
    </row>
    <row r="55" spans="1:14" s="71" customFormat="1" ht="15" outlineLevel="1" thickBot="1">
      <c r="A55" s="126"/>
      <c r="B55" s="128" t="s">
        <v>272</v>
      </c>
      <c r="C55" s="84" t="s">
        <v>271</v>
      </c>
      <c r="D55" s="39">
        <f>(125*1.19)*0</f>
        <v>0</v>
      </c>
      <c r="E55" s="115">
        <f>D55/$D$6</f>
        <v>0</v>
      </c>
      <c r="F55" s="112">
        <v>45814</v>
      </c>
      <c r="G55" s="71" t="s">
        <v>116</v>
      </c>
      <c r="H55" s="71">
        <f>IF(OR(G55="Sin pagar",G55="Pagar"),_xlfn.SINGLE(NETWORKDAYS($J$17,F55,FestivosPerú!$A$2:$A$15)),0)</f>
        <v>26</v>
      </c>
      <c r="I55" s="71">
        <f>NETWORKDAYS($J$17,F55,FestivosPerú!$A$2:$A$15)</f>
        <v>26</v>
      </c>
      <c r="J55" s="117">
        <f>H55</f>
        <v>26</v>
      </c>
      <c r="L55" s="89"/>
    </row>
    <row r="56" spans="1:14" ht="15.6">
      <c r="C56" s="129" t="s">
        <v>130</v>
      </c>
      <c r="D56" s="227">
        <f>SUBTOTAL(9,D19:D55)</f>
        <v>81807.247660999987</v>
      </c>
      <c r="E56" s="228">
        <f>SUBTOTAL(9,E19:E55)</f>
        <v>22351.70701120219</v>
      </c>
    </row>
    <row r="57" spans="1:14" s="224" customFormat="1" ht="15.6">
      <c r="B57" s="223"/>
      <c r="C57" s="134" t="s">
        <v>3</v>
      </c>
      <c r="D57" s="229" t="e">
        <f>D14-D56</f>
        <v>#REF!</v>
      </c>
      <c r="E57" s="230" t="e">
        <f>E14-E56</f>
        <v>#REF!</v>
      </c>
    </row>
    <row r="58" spans="1:14" ht="15.6">
      <c r="C58" s="134" t="s">
        <v>131</v>
      </c>
      <c r="D58" s="139" t="e">
        <f>IF($D$14=0,0,D56/$D$14)</f>
        <v>#REF!</v>
      </c>
      <c r="E58" s="139" t="e">
        <f>IF($E$14=0,0,E56/$E$14)</f>
        <v>#REF!</v>
      </c>
    </row>
    <row r="62" spans="1:14" ht="15" thickBot="1"/>
    <row r="63" spans="1:14">
      <c r="C63" s="197">
        <v>45778</v>
      </c>
      <c r="D63" s="198">
        <v>45781</v>
      </c>
      <c r="E63" s="199">
        <f t="shared" ref="E63:E68" si="1">SUMIFS($D$18:$D$60,$F$18:$F$60,"&gt;="&amp;C63,$F$18:$F$60,"&lt;="&amp;D63,$G$18:$G$60,$D$80)</f>
        <v>0</v>
      </c>
      <c r="F63" s="200">
        <f t="shared" ref="F63:F68" si="2">SUMIFS($E$18:$E$60,$F$18:$F$60,"&gt;="&amp;C63,$F$18:$F$60,"&lt;="&amp;D63,$G$18:$G$60,$D$80)</f>
        <v>0</v>
      </c>
    </row>
    <row r="64" spans="1:14">
      <c r="C64" s="201">
        <v>45782</v>
      </c>
      <c r="D64" s="202">
        <v>45788</v>
      </c>
      <c r="E64" s="203">
        <f t="shared" si="1"/>
        <v>0</v>
      </c>
      <c r="F64" s="204">
        <f t="shared" si="2"/>
        <v>0</v>
      </c>
      <c r="G64" s="221" t="s">
        <v>206</v>
      </c>
    </row>
    <row r="65" spans="2:15">
      <c r="C65" s="201">
        <v>45789</v>
      </c>
      <c r="D65" s="202">
        <v>45795</v>
      </c>
      <c r="E65" s="203">
        <f t="shared" si="1"/>
        <v>0</v>
      </c>
      <c r="F65" s="204">
        <f t="shared" si="2"/>
        <v>0</v>
      </c>
      <c r="G65" s="221" t="s">
        <v>259</v>
      </c>
      <c r="N65" s="233"/>
      <c r="O65" s="233"/>
    </row>
    <row r="66" spans="2:15">
      <c r="C66" s="201">
        <v>45796</v>
      </c>
      <c r="D66" s="202">
        <v>45802</v>
      </c>
      <c r="E66" s="203">
        <f t="shared" si="1"/>
        <v>0</v>
      </c>
      <c r="F66" s="204">
        <f t="shared" si="2"/>
        <v>0</v>
      </c>
      <c r="G66" s="221" t="s">
        <v>207</v>
      </c>
    </row>
    <row r="67" spans="2:15">
      <c r="C67" s="201">
        <v>45803</v>
      </c>
      <c r="D67" s="202">
        <v>45808</v>
      </c>
      <c r="E67" s="203">
        <f t="shared" si="1"/>
        <v>0</v>
      </c>
      <c r="F67" s="204">
        <f t="shared" si="2"/>
        <v>0</v>
      </c>
    </row>
    <row r="68" spans="2:15" s="236" customFormat="1" ht="15" thickBot="1">
      <c r="B68" s="235"/>
      <c r="C68" s="205">
        <v>45809</v>
      </c>
      <c r="D68" s="206">
        <v>45814</v>
      </c>
      <c r="E68" s="207">
        <f t="shared" si="1"/>
        <v>0</v>
      </c>
      <c r="F68" s="208">
        <f t="shared" si="2"/>
        <v>0</v>
      </c>
    </row>
    <row r="69" spans="2:15" ht="15.6">
      <c r="C69" s="524" t="s">
        <v>136</v>
      </c>
      <c r="D69" s="524"/>
      <c r="E69" s="152">
        <f>SUM(E63:E68)</f>
        <v>0</v>
      </c>
      <c r="F69" s="153">
        <f>SUM(F63:F68)</f>
        <v>0</v>
      </c>
      <c r="G69" s="77"/>
      <c r="K69" s="137"/>
      <c r="M69" s="154"/>
    </row>
    <row r="72" spans="2:15">
      <c r="C72" s="525"/>
      <c r="D72" s="526"/>
    </row>
    <row r="73" spans="2:15">
      <c r="C73" s="525"/>
      <c r="D73" s="526"/>
    </row>
    <row r="74" spans="2:15">
      <c r="C74" s="522" t="s">
        <v>208</v>
      </c>
      <c r="D74" s="522"/>
      <c r="E74" s="39">
        <f>'BCP SOLES BCP'!$G$300+('BCP USD BCP'!$G$299*$D$6)</f>
        <v>67029.554417285544</v>
      </c>
      <c r="F74" s="154">
        <f>'BCP USD BCP'!$G$299+('BCP SOLES BCP'!$G$300/$D$6)</f>
        <v>18314.085906362172</v>
      </c>
    </row>
    <row r="75" spans="2:15">
      <c r="C75" s="522" t="s">
        <v>246</v>
      </c>
      <c r="D75" s="522"/>
      <c r="E75" s="39">
        <f>SUM(E63:E66)</f>
        <v>0</v>
      </c>
      <c r="F75" s="154">
        <f>SUM(F63:F66)</f>
        <v>0</v>
      </c>
    </row>
    <row r="76" spans="2:15">
      <c r="C76" s="523" t="s">
        <v>138</v>
      </c>
      <c r="D76" s="523"/>
      <c r="E76" s="156">
        <f>E74-E75</f>
        <v>67029.554417285544</v>
      </c>
      <c r="F76" s="157">
        <f>F74-F75</f>
        <v>18314.085906362172</v>
      </c>
    </row>
    <row r="79" spans="2:15" s="224" customFormat="1">
      <c r="B79" s="223"/>
      <c r="D79" s="231" t="s">
        <v>126</v>
      </c>
      <c r="E79" s="39">
        <f>SUMIFS($D$20:$D$60,$F$20:$F$60,"&gt;="&amp;C63,$F$20:$F$60,"&lt;="&amp;$D$68,$G$20:$G$60,$D$79)</f>
        <v>81807.247660999987</v>
      </c>
      <c r="F79" s="154">
        <f>SUMIFS($E$20:$E$60,$F$20:$F$60,"&gt;="&amp;C63,$F$20:$F$60,"&lt;="&amp;D68,$G$20:$G$60,$D$79)</f>
        <v>22351.70701120219</v>
      </c>
    </row>
    <row r="80" spans="2:15">
      <c r="D80" s="71" t="s">
        <v>116</v>
      </c>
      <c r="E80" s="39">
        <f>SUMIFS($D$18:$D$59,$F$18:$F$59,"&gt;="&amp;C63,$F$18:$F$59,"&lt;="&amp;$D$67,$G$18:$G$59,$D$80)</f>
        <v>0</v>
      </c>
      <c r="F80" s="154">
        <f>SUMIFS($E$18:$E$59,$F$18:$F$59,"&gt;="&amp;C63,$F$18:$F$59,"&lt;="&amp;D67,$G$18:$G$59,$D$80)</f>
        <v>0</v>
      </c>
    </row>
    <row r="81" spans="2:6" s="224" customFormat="1">
      <c r="B81" s="223"/>
      <c r="D81" s="225" t="s">
        <v>249</v>
      </c>
      <c r="E81" s="167">
        <f>SUM(E79:E80)</f>
        <v>81807.247660999987</v>
      </c>
      <c r="F81" s="168">
        <f>SUM(F79:F80)</f>
        <v>22351.70701120219</v>
      </c>
    </row>
    <row r="83" spans="2:6">
      <c r="D83" s="158" t="s">
        <v>140</v>
      </c>
      <c r="E83" s="167">
        <f>(D56-E81)</f>
        <v>0</v>
      </c>
      <c r="F83" s="168">
        <f>F81-E56</f>
        <v>0</v>
      </c>
    </row>
    <row r="86" spans="2:6">
      <c r="D86" s="237" t="s">
        <v>198</v>
      </c>
      <c r="E86" s="39" t="e">
        <f>D57</f>
        <v>#REF!</v>
      </c>
    </row>
    <row r="87" spans="2:6">
      <c r="D87" s="237" t="s">
        <v>199</v>
      </c>
      <c r="E87" s="39">
        <f>'BCP SOLES BCP'!$G$207+('BCP USD BCP'!$G$108*'FLUJO CAJA MAYO'!$D$6)</f>
        <v>39768.583156666667</v>
      </c>
    </row>
    <row r="88" spans="2:6">
      <c r="D88" s="237" t="s">
        <v>39</v>
      </c>
      <c r="E88" s="39" t="e">
        <f>E87-E86</f>
        <v>#REF!</v>
      </c>
    </row>
    <row r="89" spans="2:6">
      <c r="D89" s="237" t="s">
        <v>200</v>
      </c>
      <c r="E89" s="39" t="e">
        <f>E88/$D$6</f>
        <v>#REF!</v>
      </c>
    </row>
    <row r="94" spans="2:6">
      <c r="E94" s="39"/>
      <c r="F94" s="222"/>
    </row>
  </sheetData>
  <protectedRanges>
    <protectedRange sqref="F14:G14 D59:E59 D10:E11 D13" name="Presupuestos"/>
    <protectedRange sqref="D8:E8 D18:E18" name="Presupuestos_1"/>
    <protectedRange sqref="D27:E31" name="Presupuestos_13_1"/>
    <protectedRange sqref="D50:E50 E49 E45:E47" name="Presupuestos_2_1_1_1"/>
    <protectedRange sqref="K49 D49 K45:K47 D45:D47 E52:E55" name="Presupuestos_6_1_1_1"/>
    <protectedRange sqref="D43:E43 D33:E41" name="Presupuestos_7_1"/>
    <protectedRange sqref="D52:D55" name="Presupuestos_5_3"/>
  </protectedRanges>
  <autoFilter ref="B18:J58" xr:uid="{89F45837-AA18-4B89-B346-31E3C5581EF6}"/>
  <mergeCells count="10">
    <mergeCell ref="C76:D76"/>
    <mergeCell ref="D7:E7"/>
    <mergeCell ref="B17:C17"/>
    <mergeCell ref="D17:E17"/>
    <mergeCell ref="F17:G17"/>
    <mergeCell ref="C69:D69"/>
    <mergeCell ref="C72:D72"/>
    <mergeCell ref="C73:D73"/>
    <mergeCell ref="C74:D74"/>
    <mergeCell ref="C75:D75"/>
  </mergeCells>
  <conditionalFormatting sqref="J20:J22 J36:J37 J27:J29 J52:J55">
    <cfRule type="cellIs" dxfId="368" priority="71" operator="between">
      <formula>1</formula>
      <formula>5</formula>
    </cfRule>
    <cfRule type="cellIs" dxfId="367" priority="72" operator="between">
      <formula>16</formula>
      <formula>60</formula>
    </cfRule>
  </conditionalFormatting>
  <conditionalFormatting sqref="J20:J22 J36:J37 J27:J29 J52:J55">
    <cfRule type="cellIs" dxfId="366" priority="69" operator="lessThan">
      <formula>0</formula>
    </cfRule>
  </conditionalFormatting>
  <conditionalFormatting sqref="J24">
    <cfRule type="cellIs" dxfId="365" priority="65" operator="lessThan">
      <formula>0</formula>
    </cfRule>
  </conditionalFormatting>
  <conditionalFormatting sqref="J25">
    <cfRule type="cellIs" dxfId="364" priority="61" operator="lessThan">
      <formula>0</formula>
    </cfRule>
  </conditionalFormatting>
  <conditionalFormatting sqref="J29:J31">
    <cfRule type="cellIs" dxfId="363" priority="53" operator="lessThan">
      <formula>0</formula>
    </cfRule>
  </conditionalFormatting>
  <conditionalFormatting sqref="J33">
    <cfRule type="cellIs" dxfId="362" priority="49" operator="lessThan">
      <formula>0</formula>
    </cfRule>
  </conditionalFormatting>
  <conditionalFormatting sqref="J34:J36">
    <cfRule type="cellIs" dxfId="361" priority="45" operator="lessThan">
      <formula>0</formula>
    </cfRule>
  </conditionalFormatting>
  <conditionalFormatting sqref="J43">
    <cfRule type="cellIs" dxfId="360" priority="33" operator="lessThan">
      <formula>0</formula>
    </cfRule>
  </conditionalFormatting>
  <conditionalFormatting sqref="J45:J47">
    <cfRule type="cellIs" dxfId="359" priority="29" operator="lessThan">
      <formula>0</formula>
    </cfRule>
  </conditionalFormatting>
  <conditionalFormatting sqref="J49">
    <cfRule type="cellIs" dxfId="358" priority="25" operator="lessThan">
      <formula>0</formula>
    </cfRule>
  </conditionalFormatting>
  <conditionalFormatting sqref="J50">
    <cfRule type="cellIs" dxfId="357" priority="21" operator="lessThan">
      <formula>0</formula>
    </cfRule>
  </conditionalFormatting>
  <conditionalFormatting sqref="J38:J40">
    <cfRule type="cellIs" dxfId="356" priority="13" operator="lessThan">
      <formula>0</formula>
    </cfRule>
  </conditionalFormatting>
  <conditionalFormatting sqref="J41">
    <cfRule type="cellIs" dxfId="355" priority="1" operator="lessThan">
      <formula>0</formula>
    </cfRule>
  </conditionalFormatting>
  <dataValidations disablePrompts="1" count="3">
    <dataValidation type="list" allowBlank="1" showInputMessage="1" showErrorMessage="1" sqref="D17 D7" xr:uid="{F010A5B9-ABB4-4130-BF6C-0264BB882F8C}">
      <formula1>"ENERO,FEBRERO,MARZO,ABRIL,MAYO,JUNIO,JULIO,AGOSTO,SEPTIEMBRE,OCTUBRE,NOVIEMBRE,DICIEMBRE"</formula1>
    </dataValidation>
    <dataValidation type="list" allowBlank="1" showInputMessage="1" showErrorMessage="1" sqref="G19:G22 G60:G61 D78:D80 G24:G25 G43 G49:G50 G45:G47 G52:G55 G27:G31 G33:G41" xr:uid="{8F92BA47-B46D-486D-B231-ACAEC2646150}">
      <formula1>"Cancelado,Pagar,Sin Pagar"</formula1>
    </dataValidation>
    <dataValidation type="list" allowBlank="1" showInputMessage="1" showErrorMessage="1" sqref="B13" xr:uid="{DAC2E2FD-D571-4277-894D-2F142FD3DAEE}">
      <formula1>"Sin Pagar,Pagado"</formula1>
    </dataValidation>
  </dataValidations>
  <pageMargins left="0.7" right="0.7" top="0.75" bottom="0.75" header="0.3" footer="0.3"/>
  <pageSetup orientation="portrait" r:id="rId1"/>
  <ignoredErrors>
    <ignoredError sqref="J42:J56 J20:J30 J32:J40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B71A-3B33-46C5-B52A-105317876ABE}">
  <dimension ref="A1:S80"/>
  <sheetViews>
    <sheetView showGridLines="0" topLeftCell="A47" zoomScale="90" zoomScaleNormal="90" workbookViewId="0">
      <selection activeCell="F27" sqref="F27"/>
    </sheetView>
  </sheetViews>
  <sheetFormatPr baseColWidth="10" defaultColWidth="9.109375" defaultRowHeight="14.4" outlineLevelRow="1"/>
  <cols>
    <col min="1" max="1" width="2.109375" style="236" customWidth="1"/>
    <col min="2" max="2" width="18.88671875" style="235" bestFit="1" customWidth="1"/>
    <col min="3" max="3" width="54.33203125" style="236" bestFit="1" customWidth="1"/>
    <col min="4" max="4" width="24.44140625" style="237" customWidth="1"/>
    <col min="5" max="5" width="19.33203125" style="237" bestFit="1" customWidth="1"/>
    <col min="6" max="6" width="20.109375" style="236" bestFit="1" customWidth="1"/>
    <col min="7" max="7" width="16.88671875" style="236" customWidth="1"/>
    <col min="8" max="8" width="7.6640625" style="236" hidden="1" customWidth="1"/>
    <col min="9" max="9" width="12.109375" style="236" hidden="1" customWidth="1"/>
    <col min="10" max="10" width="16.5546875" style="236" customWidth="1"/>
    <col min="11" max="11" width="2.109375" style="236" customWidth="1"/>
    <col min="12" max="12" width="2.33203125" style="236" customWidth="1"/>
    <col min="13" max="14" width="15.5546875" style="236" bestFit="1" customWidth="1"/>
    <col min="15" max="15" width="11.5546875" style="236" bestFit="1" customWidth="1"/>
    <col min="16" max="16" width="19.33203125" style="236" bestFit="1" customWidth="1"/>
    <col min="17" max="17" width="15.33203125" style="236" bestFit="1" customWidth="1"/>
    <col min="18" max="18" width="14" style="236" bestFit="1" customWidth="1"/>
    <col min="19" max="19" width="13" style="236" bestFit="1" customWidth="1"/>
    <col min="20" max="16384" width="9.109375" style="236"/>
  </cols>
  <sheetData>
    <row r="1" spans="2:17" hidden="1">
      <c r="D1" s="237">
        <v>42400</v>
      </c>
    </row>
    <row r="2" spans="2:17">
      <c r="D2" s="70"/>
      <c r="E2" s="70"/>
      <c r="I2" s="71"/>
    </row>
    <row r="3" spans="2:17">
      <c r="E3" s="72"/>
      <c r="I3" s="71"/>
    </row>
    <row r="4" spans="2:17" ht="15.6">
      <c r="B4" s="73"/>
      <c r="C4" s="73"/>
      <c r="D4" s="74" t="s">
        <v>109</v>
      </c>
      <c r="E4" s="75">
        <v>45809</v>
      </c>
      <c r="I4" s="71"/>
    </row>
    <row r="5" spans="2:17">
      <c r="D5" s="70"/>
      <c r="E5" s="70"/>
      <c r="I5" s="71"/>
    </row>
    <row r="6" spans="2:17">
      <c r="C6" s="76" t="s">
        <v>110</v>
      </c>
      <c r="D6" s="39">
        <v>3.62</v>
      </c>
      <c r="E6" s="70"/>
      <c r="I6" s="71"/>
      <c r="J6" s="85"/>
    </row>
    <row r="7" spans="2:17" ht="15.6">
      <c r="C7" s="77"/>
      <c r="D7" s="521" t="s">
        <v>302</v>
      </c>
      <c r="E7" s="521"/>
      <c r="I7" s="71"/>
      <c r="J7" s="85"/>
    </row>
    <row r="8" spans="2:17">
      <c r="D8" s="78" t="s">
        <v>142</v>
      </c>
      <c r="E8" s="78" t="s">
        <v>112</v>
      </c>
      <c r="J8" s="181"/>
    </row>
    <row r="9" spans="2:17" s="79" customFormat="1" ht="15.6">
      <c r="C9" s="80" t="s">
        <v>113</v>
      </c>
      <c r="D9" s="159">
        <f>SUBTOTAL(9,D10:D11)</f>
        <v>37709.259156666667</v>
      </c>
      <c r="E9" s="81">
        <f>SUBTOTAL(9,E10:E11)</f>
        <v>10416.922418968694</v>
      </c>
      <c r="F9" s="82"/>
      <c r="I9" s="71"/>
    </row>
    <row r="10" spans="2:17" s="71" customFormat="1" outlineLevel="1">
      <c r="B10" s="83"/>
      <c r="C10" s="84" t="s">
        <v>141</v>
      </c>
      <c r="D10" s="39">
        <f>'BCP SOLES BCP'!$G$207-3014.44+508.02+505.02</f>
        <v>32467.137156666682</v>
      </c>
      <c r="E10" s="85">
        <f>D10/$D$6</f>
        <v>8968.8224189686971</v>
      </c>
      <c r="F10" s="86"/>
    </row>
    <row r="11" spans="2:17" s="71" customFormat="1" outlineLevel="1">
      <c r="B11" s="83"/>
      <c r="C11" s="84" t="s">
        <v>114</v>
      </c>
      <c r="D11" s="39">
        <f>E11*$D$6</f>
        <v>5242.1219999999867</v>
      </c>
      <c r="E11" s="85">
        <f>'BCP USD BCP'!$G$108</f>
        <v>1448.0999999999963</v>
      </c>
      <c r="F11" s="86"/>
    </row>
    <row r="12" spans="2:17" s="71" customFormat="1" ht="15.6">
      <c r="B12" s="83"/>
      <c r="C12" s="87" t="s">
        <v>115</v>
      </c>
      <c r="D12" s="159">
        <f>SUBTOTAL(9,D13:D13)</f>
        <v>99548.157449999999</v>
      </c>
      <c r="E12" s="81">
        <f>SUBTOTAL(9,E13:E13)</f>
        <v>28304.85</v>
      </c>
      <c r="F12" s="182"/>
      <c r="G12" s="182"/>
      <c r="J12" s="183"/>
    </row>
    <row r="13" spans="2:17" s="71" customFormat="1" outlineLevel="1">
      <c r="B13" s="176" t="s">
        <v>169</v>
      </c>
      <c r="C13" s="177" t="s">
        <v>315</v>
      </c>
      <c r="D13" s="40">
        <f>$E$13*'Diferencia Cambio S&amp;P'!$K$22</f>
        <v>99548.157449999999</v>
      </c>
      <c r="E13" s="185">
        <f>'Diferencia Cambio S&amp;P'!$J$22</f>
        <v>28304.85</v>
      </c>
      <c r="F13" s="88"/>
      <c r="G13" s="89"/>
    </row>
    <row r="14" spans="2:17" s="71" customFormat="1" ht="15.6">
      <c r="B14" s="83"/>
      <c r="C14" s="90" t="s">
        <v>117</v>
      </c>
      <c r="D14" s="226">
        <f>SUBTOTAL(9,D9:D13)</f>
        <v>137257.41660666667</v>
      </c>
      <c r="E14" s="92">
        <f>SUBTOTAL(9,E9:E13)</f>
        <v>38721.772418968692</v>
      </c>
      <c r="F14" s="93"/>
      <c r="G14" s="93"/>
      <c r="J14" s="89"/>
      <c r="K14" s="94"/>
      <c r="O14" s="95"/>
      <c r="P14" s="96"/>
      <c r="Q14" s="97"/>
    </row>
    <row r="15" spans="2:17" s="71" customFormat="1" ht="15.6">
      <c r="B15" s="83"/>
      <c r="C15" s="98"/>
      <c r="D15" s="99"/>
      <c r="E15" s="99"/>
      <c r="G15" s="100"/>
      <c r="O15" s="96"/>
      <c r="P15" s="96"/>
    </row>
    <row r="16" spans="2:17" s="71" customFormat="1" ht="15.6">
      <c r="B16" s="83"/>
      <c r="N16" s="101"/>
      <c r="O16" s="102"/>
      <c r="P16" s="103"/>
    </row>
    <row r="17" spans="1:19" s="71" customFormat="1" ht="15.6">
      <c r="B17" s="521" t="s">
        <v>118</v>
      </c>
      <c r="C17" s="521"/>
      <c r="D17" s="521" t="s">
        <v>201</v>
      </c>
      <c r="E17" s="521"/>
      <c r="F17" s="521" t="s">
        <v>109</v>
      </c>
      <c r="G17" s="521"/>
      <c r="H17" s="234"/>
      <c r="I17" s="234"/>
      <c r="J17" s="175">
        <v>45809</v>
      </c>
      <c r="K17" s="103"/>
      <c r="L17" s="103"/>
      <c r="N17" s="101"/>
      <c r="R17" s="89"/>
      <c r="S17" s="89"/>
    </row>
    <row r="18" spans="1:19" s="71" customFormat="1" ht="16.2" thickBot="1">
      <c r="B18" s="104" t="s">
        <v>119</v>
      </c>
      <c r="C18" s="105" t="s">
        <v>120</v>
      </c>
      <c r="D18" s="78" t="s">
        <v>150</v>
      </c>
      <c r="E18" s="78" t="s">
        <v>112</v>
      </c>
      <c r="F18" s="106" t="s">
        <v>121</v>
      </c>
      <c r="G18" s="101" t="s">
        <v>122</v>
      </c>
      <c r="H18" s="101"/>
      <c r="I18" s="101"/>
      <c r="J18" s="107" t="s">
        <v>123</v>
      </c>
      <c r="N18" s="108"/>
      <c r="R18" s="89"/>
      <c r="S18" s="109"/>
    </row>
    <row r="19" spans="1:19" s="71" customFormat="1" ht="16.2" thickBot="1">
      <c r="B19" s="83"/>
      <c r="C19" s="110" t="s">
        <v>124</v>
      </c>
      <c r="D19" s="160">
        <f>SUBTOTAL(9,D20:D21)</f>
        <v>5688.08</v>
      </c>
      <c r="E19" s="111">
        <f>SUBTOTAL(9,E20:E21)</f>
        <v>1571.2928176795581</v>
      </c>
      <c r="F19" s="112"/>
      <c r="J19" s="113"/>
    </row>
    <row r="20" spans="1:19" s="71" customFormat="1" ht="28.8" outlineLevel="1">
      <c r="A20" s="86"/>
      <c r="B20" s="114"/>
      <c r="C20" s="172" t="s">
        <v>311</v>
      </c>
      <c r="D20" s="39">
        <f>3274.57+623.23</f>
        <v>3897.8</v>
      </c>
      <c r="E20" s="115">
        <f>D20/$D$6</f>
        <v>1076.7403314917128</v>
      </c>
      <c r="F20" s="116">
        <v>45817</v>
      </c>
      <c r="G20" s="71" t="s">
        <v>126</v>
      </c>
      <c r="H20" s="71">
        <f>IF(OR(G20="Sin pagar",G20="Pagar"),_xlfn.SINGLE(NETWORKDAYS($J$17,F20,FestivosPerú!$A$2:$A$15)),0)</f>
        <v>0</v>
      </c>
      <c r="I20" s="71">
        <f>NETWORKDAYS($J$17,F20,FestivosPerú!$A$2:$A$15)</f>
        <v>6</v>
      </c>
      <c r="J20" s="117">
        <f t="shared" ref="J20:J28" si="0">H20</f>
        <v>0</v>
      </c>
      <c r="K20" s="89"/>
      <c r="L20" s="89"/>
      <c r="M20" s="118"/>
      <c r="N20" s="118"/>
    </row>
    <row r="21" spans="1:19" s="71" customFormat="1" ht="29.4" outlineLevel="1" thickBot="1">
      <c r="A21" s="86"/>
      <c r="B21" s="114"/>
      <c r="C21" s="172" t="s">
        <v>310</v>
      </c>
      <c r="D21" s="39">
        <v>1790.28</v>
      </c>
      <c r="E21" s="115">
        <f>D21/$D$6</f>
        <v>494.55248618784526</v>
      </c>
      <c r="F21" s="116">
        <v>45817</v>
      </c>
      <c r="G21" s="71" t="s">
        <v>126</v>
      </c>
      <c r="H21" s="71">
        <f>IF(OR(G21="Sin pagar",G21="Pagar"),_xlfn.SINGLE(NETWORKDAYS($J$17,F21,FestivosPerú!$A$2:$A$15)),0)</f>
        <v>0</v>
      </c>
      <c r="I21" s="71">
        <f>NETWORKDAYS($J$17,F21,FestivosPerú!$A$2:$A$15)</f>
        <v>6</v>
      </c>
      <c r="J21" s="117">
        <f t="shared" si="0"/>
        <v>0</v>
      </c>
      <c r="K21" s="89"/>
      <c r="L21" s="89"/>
      <c r="M21" s="118"/>
      <c r="N21" s="118"/>
    </row>
    <row r="22" spans="1:19" s="71" customFormat="1" ht="16.2" thickBot="1">
      <c r="B22" s="83"/>
      <c r="C22" s="110" t="s">
        <v>125</v>
      </c>
      <c r="D22" s="160">
        <f>SUBTOTAL(9,D23:D24)</f>
        <v>11084</v>
      </c>
      <c r="E22" s="111">
        <f>SUBTOTAL(9,E23:E24)</f>
        <v>3061.8784530386738</v>
      </c>
      <c r="J22" s="113">
        <f t="shared" si="0"/>
        <v>0</v>
      </c>
    </row>
    <row r="23" spans="1:19" s="71" customFormat="1" outlineLevel="1">
      <c r="B23" s="173"/>
      <c r="C23" s="84" t="s">
        <v>301</v>
      </c>
      <c r="D23" s="39">
        <v>9857</v>
      </c>
      <c r="E23" s="115">
        <f>D23/$D$6</f>
        <v>2722.9281767955799</v>
      </c>
      <c r="F23" s="116">
        <v>45820</v>
      </c>
      <c r="G23" s="71" t="s">
        <v>126</v>
      </c>
      <c r="H23" s="71">
        <f>IF(OR(G23="Sin pagar",G23="Pagar"),_xlfn.SINGLE(NETWORKDAYS($J$17,F23,FestivosPerú!$A$2:$A$15)),0)</f>
        <v>0</v>
      </c>
      <c r="I23" s="71">
        <f>NETWORKDAYS($J$17,F23,FestivosPerú!$A$2:$A$15)</f>
        <v>9</v>
      </c>
      <c r="J23" s="117">
        <f t="shared" si="0"/>
        <v>0</v>
      </c>
      <c r="K23" s="120"/>
      <c r="L23" s="94"/>
      <c r="M23" s="118"/>
      <c r="N23" s="118"/>
    </row>
    <row r="24" spans="1:19" s="71" customFormat="1" ht="15" outlineLevel="1" thickBot="1">
      <c r="B24" s="119"/>
      <c r="C24" s="84" t="s">
        <v>297</v>
      </c>
      <c r="D24" s="39">
        <v>1227</v>
      </c>
      <c r="E24" s="115">
        <f>D24/$D$6</f>
        <v>338.95027624309392</v>
      </c>
      <c r="F24" s="116">
        <v>45824</v>
      </c>
      <c r="G24" s="71" t="s">
        <v>126</v>
      </c>
      <c r="H24" s="71">
        <f>IF(OR(G24="Sin pagar",G24="Pagar"),_xlfn.SINGLE(NETWORKDAYS($J$17,F24,FestivosPerú!$A$2:$A$15)),0)</f>
        <v>0</v>
      </c>
      <c r="I24" s="71">
        <f>NETWORKDAYS($J$17,F24,FestivosPerú!$A$2:$A$15)</f>
        <v>11</v>
      </c>
      <c r="J24" s="117">
        <f t="shared" si="0"/>
        <v>0</v>
      </c>
      <c r="K24" s="120"/>
      <c r="L24" s="94"/>
      <c r="M24" s="118" t="s">
        <v>245</v>
      </c>
      <c r="N24" s="118"/>
    </row>
    <row r="25" spans="1:19" s="71" customFormat="1" ht="16.2" thickBot="1">
      <c r="B25" s="83"/>
      <c r="C25" s="110" t="s">
        <v>144</v>
      </c>
      <c r="D25" s="160">
        <f>SUBTOTAL(9,D26:D28)</f>
        <v>3786.7380000000003</v>
      </c>
      <c r="E25" s="111">
        <f>SUBTOTAL(9,E26:E28)</f>
        <v>1046.060220994475</v>
      </c>
      <c r="J25" s="113">
        <f t="shared" si="0"/>
        <v>0</v>
      </c>
      <c r="K25" s="89"/>
      <c r="L25" s="89"/>
      <c r="N25" s="118"/>
    </row>
    <row r="26" spans="1:19" s="71" customFormat="1" outlineLevel="1">
      <c r="B26" s="83" t="s">
        <v>308</v>
      </c>
      <c r="C26" s="84" t="s">
        <v>273</v>
      </c>
      <c r="D26" s="39">
        <f>(E26*$D$6)</f>
        <v>1708.64</v>
      </c>
      <c r="E26" s="115">
        <f>472</f>
        <v>472</v>
      </c>
      <c r="F26" s="116">
        <v>45817</v>
      </c>
      <c r="G26" s="71" t="s">
        <v>126</v>
      </c>
      <c r="H26" s="71">
        <f>IF(OR(G26="Sin pagar",G26="Pagar"),_xlfn.SINGLE(NETWORKDAYS($J$17,F26,FestivosPerú!$A$2:$A$15)),0)</f>
        <v>0</v>
      </c>
      <c r="I26" s="71">
        <f>NETWORKDAYS($J$17,F26,FestivosPerú!$A$2:$A$15)</f>
        <v>6</v>
      </c>
      <c r="J26" s="117">
        <f t="shared" si="0"/>
        <v>0</v>
      </c>
      <c r="M26" s="121"/>
      <c r="N26" s="86"/>
    </row>
    <row r="27" spans="1:19" s="71" customFormat="1" ht="28.8" outlineLevel="1">
      <c r="B27" s="83" t="s">
        <v>321</v>
      </c>
      <c r="C27" s="84" t="s">
        <v>322</v>
      </c>
      <c r="D27" s="39">
        <f>E27*D6</f>
        <v>662.09800000000007</v>
      </c>
      <c r="E27" s="115">
        <v>182.9</v>
      </c>
      <c r="F27" s="116">
        <v>45834</v>
      </c>
      <c r="G27" s="71" t="s">
        <v>126</v>
      </c>
      <c r="H27" s="71">
        <f>IF(OR(G27="Sin pagar",G27="Pagar"),_xlfn.SINGLE(NETWORKDAYS($J$17,F27,FestivosPerú!$A$2:$A$15)),0)</f>
        <v>0</v>
      </c>
      <c r="I27" s="71">
        <f>NETWORKDAYS($J$17,F27,FestivosPerú!$A$2:$A$15)</f>
        <v>19</v>
      </c>
      <c r="J27" s="117">
        <f t="shared" si="0"/>
        <v>0</v>
      </c>
      <c r="M27" s="121"/>
      <c r="N27" s="86"/>
    </row>
    <row r="28" spans="1:19" s="71" customFormat="1" ht="15" outlineLevel="1" thickBot="1">
      <c r="B28" s="83" t="s">
        <v>274</v>
      </c>
      <c r="C28" s="84" t="s">
        <v>298</v>
      </c>
      <c r="D28" s="39">
        <v>1416</v>
      </c>
      <c r="E28" s="115">
        <f>$D$28/$D$6</f>
        <v>391.16022099447514</v>
      </c>
      <c r="F28" s="116">
        <v>45834</v>
      </c>
      <c r="G28" s="71" t="s">
        <v>126</v>
      </c>
      <c r="H28" s="71">
        <f>IF(OR(G28="Sin pagar",G28="Pagar"),_xlfn.SINGLE(NETWORKDAYS($J$17,F28,FestivosPerú!$A$2:$A$15)),0)</f>
        <v>0</v>
      </c>
      <c r="I28" s="71">
        <f>NETWORKDAYS($J$17,F28,FestivosPerú!$A$2:$A$15)</f>
        <v>19</v>
      </c>
      <c r="J28" s="117">
        <f t="shared" si="0"/>
        <v>0</v>
      </c>
      <c r="M28" s="121"/>
      <c r="N28" s="86"/>
    </row>
    <row r="29" spans="1:19" s="71" customFormat="1" ht="15.75" customHeight="1" thickBot="1">
      <c r="C29" s="110" t="s">
        <v>162</v>
      </c>
      <c r="D29" s="160">
        <f>SUBTOTAL(9,D30:D34)</f>
        <v>8339.75</v>
      </c>
      <c r="E29" s="111">
        <f>SUBTOTAL(9,E30:E34)</f>
        <v>2996.6160220994475</v>
      </c>
      <c r="M29" s="122"/>
      <c r="N29" s="187"/>
      <c r="P29" s="187"/>
    </row>
    <row r="30" spans="1:19" s="71" customFormat="1" outlineLevel="1">
      <c r="B30" s="83" t="s">
        <v>305</v>
      </c>
      <c r="C30" s="84" t="s">
        <v>289</v>
      </c>
      <c r="D30" s="39">
        <f>118</f>
        <v>118</v>
      </c>
      <c r="E30" s="115">
        <f>D30/$D$6</f>
        <v>32.596685082872931</v>
      </c>
      <c r="F30" s="112">
        <v>45810</v>
      </c>
      <c r="G30" s="71" t="s">
        <v>126</v>
      </c>
      <c r="H30" s="71">
        <f>IF(OR(G30="Sin pagar",G30="Pagar"),_xlfn.SINGLE(NETWORKDAYS($J$17,F30,FestivosPerú!$A$2:$A$15)),0)</f>
        <v>0</v>
      </c>
      <c r="I30" s="71">
        <f>NETWORKDAYS($J$17,F30,FestivosPerú!$A$2:$A$15)</f>
        <v>1</v>
      </c>
      <c r="J30" s="117">
        <f>H30</f>
        <v>0</v>
      </c>
    </row>
    <row r="31" spans="1:19" s="71" customFormat="1" outlineLevel="1">
      <c r="B31" s="83" t="s">
        <v>307</v>
      </c>
      <c r="C31" s="84" t="s">
        <v>290</v>
      </c>
      <c r="D31" s="39">
        <f>354.03</f>
        <v>354.03</v>
      </c>
      <c r="E31" s="115">
        <f>D31/$D$6</f>
        <v>97.798342541436455</v>
      </c>
      <c r="F31" s="112">
        <v>45810</v>
      </c>
      <c r="G31" s="71" t="s">
        <v>126</v>
      </c>
      <c r="H31" s="71">
        <f>IF(OR(G31="Sin pagar",G31="Pagar"),_xlfn.SINGLE(NETWORKDAYS($J$17,F31,FestivosPerú!$A$2:$A$15)),0)</f>
        <v>0</v>
      </c>
      <c r="I31" s="71">
        <f>NETWORKDAYS($J$17,F31,FestivosPerú!$A$2:$A$15)</f>
        <v>1</v>
      </c>
      <c r="J31" s="117">
        <f>H31</f>
        <v>0</v>
      </c>
    </row>
    <row r="32" spans="1:19" s="71" customFormat="1" outlineLevel="1">
      <c r="B32" s="83" t="s">
        <v>306</v>
      </c>
      <c r="C32" s="84" t="s">
        <v>291</v>
      </c>
      <c r="D32" s="39">
        <f>343.72</f>
        <v>343.72</v>
      </c>
      <c r="E32" s="115">
        <f>D32/$D$6</f>
        <v>94.950276243093924</v>
      </c>
      <c r="F32" s="112">
        <v>45810</v>
      </c>
      <c r="G32" s="71" t="s">
        <v>126</v>
      </c>
      <c r="H32" s="71">
        <f>IF(OR(G32="Sin pagar",G32="Pagar"),_xlfn.SINGLE(NETWORKDAYS($J$17,F32,FestivosPerú!$A$2:$A$15)),0)</f>
        <v>0</v>
      </c>
      <c r="I32" s="71">
        <f>NETWORKDAYS($J$17,F32,FestivosPerú!$A$2:$A$15)</f>
        <v>1</v>
      </c>
      <c r="J32" s="117">
        <f>H32</f>
        <v>0</v>
      </c>
    </row>
    <row r="33" spans="1:16" s="71" customFormat="1" outlineLevel="1">
      <c r="B33" s="83" t="s">
        <v>272</v>
      </c>
      <c r="C33" s="84" t="s">
        <v>296</v>
      </c>
      <c r="D33" s="39">
        <f>2508*2</f>
        <v>5016</v>
      </c>
      <c r="E33" s="115">
        <f>$D$33/$D$6</f>
        <v>1385.6353591160221</v>
      </c>
      <c r="F33" s="112">
        <v>45813</v>
      </c>
      <c r="G33" s="71" t="s">
        <v>126</v>
      </c>
      <c r="H33" s="71">
        <f>IF(OR(G33="Sin pagar",G33="Pagar"),_xlfn.SINGLE(NETWORKDAYS($J$17,F33,FestivosPerú!$A$2:$A$15)),0)</f>
        <v>0</v>
      </c>
      <c r="I33" s="71">
        <f>NETWORKDAYS($J$17,F33,FestivosPerú!$A$2:$A$15)</f>
        <v>4</v>
      </c>
      <c r="J33" s="117">
        <f>H33</f>
        <v>0</v>
      </c>
    </row>
    <row r="34" spans="1:16" s="71" customFormat="1" ht="15" outlineLevel="1" thickBot="1">
      <c r="B34" s="83" t="s">
        <v>272</v>
      </c>
      <c r="C34" s="84" t="s">
        <v>334</v>
      </c>
      <c r="D34" s="39">
        <v>2508</v>
      </c>
      <c r="E34" s="115">
        <f>$D$33/$D$6</f>
        <v>1385.6353591160221</v>
      </c>
      <c r="F34" s="112">
        <v>45821</v>
      </c>
      <c r="G34" s="71" t="s">
        <v>126</v>
      </c>
      <c r="H34" s="71">
        <f>IF(OR(G34="Sin pagar",G34="Pagar"),_xlfn.SINGLE(NETWORKDAYS($J$17,F34,FestivosPerú!$A$2:$A$15)),0)</f>
        <v>0</v>
      </c>
      <c r="I34" s="71">
        <f>NETWORKDAYS($J$17,F34,FestivosPerú!$A$2:$A$15)</f>
        <v>10</v>
      </c>
      <c r="J34" s="117">
        <f>H34</f>
        <v>0</v>
      </c>
    </row>
    <row r="35" spans="1:16" s="71" customFormat="1" ht="15.75" customHeight="1" thickBot="1">
      <c r="C35" s="110" t="s">
        <v>127</v>
      </c>
      <c r="D35" s="160">
        <f>SUBTOTAL(9,D36:D36)</f>
        <v>292.52419687500009</v>
      </c>
      <c r="E35" s="111">
        <f>SUBTOTAL(9,E36:E36)</f>
        <v>80.807789191988974</v>
      </c>
      <c r="M35" s="122"/>
      <c r="N35" s="187"/>
      <c r="P35" s="187"/>
    </row>
    <row r="36" spans="1:16" s="71" customFormat="1" ht="15" outlineLevel="1" thickBot="1">
      <c r="B36" s="125"/>
      <c r="C36" s="84" t="s">
        <v>127</v>
      </c>
      <c r="D36" s="39">
        <f>('BCP SOLES BCP'!$F$209+'BCP SOLES BCP'!$F$211+'BCP SOLES BCP'!$F$213+'BCP SOLES BCP'!$F$216+'BCP SOLES BCP'!$F$218+'BCP SOLES BCP'!$F$221+'BCP SOLES BCP'!$F$223+'BCP SOLES BCP'!$F$224+'BCP SOLES BCP'!$F$232+'BCP SOLES BCP'!$F$234+'BCP SOLES BCP'!$F$236+'BCP SOLES BCP'!$F$238+'BCP SOLES BCP'!$F$240+'BCP SOLES BCP'!$F$242+'BCP SOLES BCP'!$F$243+'BCP SOLES BCP'!$F$244+'BCP SOLES BCP'!$F$245)+('BCP USD BCP'!F114+'BCP USD BCP'!F118+'BCP USD BCP'!F119+'BCP USD BCP'!F120*$D$6)</f>
        <v>292.52419687500009</v>
      </c>
      <c r="E36" s="115">
        <f>$D$36/$D$6</f>
        <v>80.807789191988974</v>
      </c>
      <c r="F36" s="112">
        <v>45838</v>
      </c>
      <c r="G36" s="71" t="s">
        <v>126</v>
      </c>
      <c r="H36" s="71">
        <f>IF(OR(G36="Sin pagar",G36="Pagar"),_xlfn.SINGLE(NETWORKDAYS($J$17,F36,FestivosPerú!$A$2:$A$15)),0)</f>
        <v>0</v>
      </c>
      <c r="I36" s="71">
        <f>NETWORKDAYS($J$17,F36,FestivosPerú!$A$2:$A$15)</f>
        <v>21</v>
      </c>
      <c r="J36" s="117">
        <f>H36</f>
        <v>0</v>
      </c>
      <c r="K36" s="120"/>
      <c r="L36" s="120"/>
    </row>
    <row r="37" spans="1:16" s="71" customFormat="1" ht="16.2" thickBot="1">
      <c r="C37" s="110" t="s">
        <v>128</v>
      </c>
      <c r="D37" s="160">
        <f>SUBTOTAL(9,D38:D40)</f>
        <v>34849.090364124997</v>
      </c>
      <c r="E37" s="111">
        <f>SUBTOTAL(9,E38:E40)</f>
        <v>9626.8205425759661</v>
      </c>
      <c r="K37" s="89"/>
      <c r="L37" s="124"/>
      <c r="N37" s="122"/>
      <c r="O37" s="101"/>
    </row>
    <row r="38" spans="1:16" s="71" customFormat="1" outlineLevel="1">
      <c r="B38" s="125"/>
      <c r="C38" s="186" t="s">
        <v>146</v>
      </c>
      <c r="D38" s="39">
        <v>13319.616160999998</v>
      </c>
      <c r="E38" s="115">
        <f>D38/$D$6</f>
        <v>3679.4519781767949</v>
      </c>
      <c r="F38" s="112">
        <v>45834</v>
      </c>
      <c r="G38" s="71" t="s">
        <v>126</v>
      </c>
      <c r="H38" s="71">
        <f>IF(OR(G38="Sin pagar",G38="Pagar"),_xlfn.SINGLE(NETWORKDAYS($J$17,F38,FestivosPerú!$A$2:$A$15)),0)</f>
        <v>0</v>
      </c>
      <c r="I38" s="71">
        <f>NETWORKDAYS($J$17,F38,FestivosPerú!$A$2:$A$15)</f>
        <v>19</v>
      </c>
      <c r="J38" s="117">
        <f>H38</f>
        <v>0</v>
      </c>
      <c r="K38" s="120"/>
      <c r="L38" s="120"/>
      <c r="N38" s="122"/>
    </row>
    <row r="39" spans="1:16" s="71" customFormat="1" outlineLevel="1">
      <c r="B39" s="125"/>
      <c r="C39" s="186" t="s">
        <v>176</v>
      </c>
      <c r="D39" s="39">
        <v>10717.392910999999</v>
      </c>
      <c r="E39" s="115">
        <f>D39/$D$6</f>
        <v>2960.6057765193368</v>
      </c>
      <c r="F39" s="112">
        <v>45834</v>
      </c>
      <c r="G39" s="71" t="s">
        <v>126</v>
      </c>
      <c r="H39" s="71">
        <f>IF(OR(G39="Sin pagar",G39="Pagar"),_xlfn.SINGLE(NETWORKDAYS($J$17,F39,FestivosPerú!$A$2:$A$15)),0)</f>
        <v>0</v>
      </c>
      <c r="I39" s="71">
        <f>NETWORKDAYS($J$17,F39,FestivosPerú!$A$2:$A$15)</f>
        <v>19</v>
      </c>
      <c r="J39" s="117">
        <f>H39</f>
        <v>0</v>
      </c>
      <c r="K39" s="120"/>
      <c r="L39" s="120"/>
    </row>
    <row r="40" spans="1:16" s="126" customFormat="1" ht="15" outlineLevel="1" thickBot="1">
      <c r="B40" s="125"/>
      <c r="C40" s="186" t="s">
        <v>275</v>
      </c>
      <c r="D40" s="39">
        <v>10812.081292125</v>
      </c>
      <c r="E40" s="115">
        <f>D40/$D$6</f>
        <v>2986.7627878798339</v>
      </c>
      <c r="F40" s="112">
        <v>45834</v>
      </c>
      <c r="G40" s="71" t="s">
        <v>126</v>
      </c>
      <c r="H40" s="71">
        <f>IF(OR(G40="Sin pagar",G40="Pagar"),_xlfn.SINGLE(NETWORKDAYS($J$17,F40,FestivosPerú!$A$2:$A$15)),0)</f>
        <v>0</v>
      </c>
      <c r="I40" s="71">
        <f>NETWORKDAYS($J$17,F40,FestivosPerú!$A$2:$A$15)</f>
        <v>19</v>
      </c>
      <c r="J40" s="117">
        <f>H40</f>
        <v>0</v>
      </c>
      <c r="L40" s="127"/>
    </row>
    <row r="41" spans="1:16" s="71" customFormat="1" ht="16.2" thickBot="1">
      <c r="A41" s="126"/>
      <c r="B41" s="125"/>
      <c r="C41" s="110" t="s">
        <v>177</v>
      </c>
      <c r="D41" s="160">
        <f>SUBTOTAL(9,D42:D44)</f>
        <v>32819.93</v>
      </c>
      <c r="E41" s="111">
        <f>SUBTOTAL(9,E42:E44)</f>
        <v>9066.2790055248606</v>
      </c>
      <c r="L41" s="89"/>
    </row>
    <row r="42" spans="1:16" s="71" customFormat="1" outlineLevel="1">
      <c r="A42" s="126"/>
      <c r="B42" s="128"/>
      <c r="C42" s="84" t="s">
        <v>178</v>
      </c>
      <c r="D42" s="39">
        <v>14539.09</v>
      </c>
      <c r="E42" s="115">
        <f>D42/$D$6</f>
        <v>4016.3232044198894</v>
      </c>
      <c r="F42" s="112">
        <v>45834</v>
      </c>
      <c r="G42" s="71" t="s">
        <v>126</v>
      </c>
      <c r="H42" s="71">
        <f>IF(OR(G42="Sin pagar",G42="Pagar"),_xlfn.SINGLE(NETWORKDAYS($J$17,F42,FestivosPerú!$A$2:$A$15)),0)</f>
        <v>0</v>
      </c>
      <c r="I42" s="71">
        <f>NETWORKDAYS($J$17,F42,FestivosPerú!$A$2:$A$15)</f>
        <v>19</v>
      </c>
      <c r="J42" s="117">
        <f>H42</f>
        <v>0</v>
      </c>
      <c r="L42" s="89"/>
    </row>
    <row r="43" spans="1:16" s="71" customFormat="1" outlineLevel="1">
      <c r="A43" s="126"/>
      <c r="B43" s="128"/>
      <c r="C43" s="84" t="s">
        <v>236</v>
      </c>
      <c r="D43" s="39">
        <v>9067.27</v>
      </c>
      <c r="E43" s="115">
        <f>D43/$D$6</f>
        <v>2504.7707182320441</v>
      </c>
      <c r="F43" s="112">
        <v>45835</v>
      </c>
      <c r="G43" s="71" t="s">
        <v>126</v>
      </c>
      <c r="H43" s="71">
        <f>IF(OR(G43="Sin pagar",G43="Pagar"),_xlfn.SINGLE(NETWORKDAYS($J$17,F43,FestivosPerú!$A$2:$A$15)),0)</f>
        <v>0</v>
      </c>
      <c r="I43" s="71">
        <f>NETWORKDAYS($J$17,F43,FestivosPerú!$A$2:$A$15)</f>
        <v>20</v>
      </c>
      <c r="J43" s="117">
        <f>H43</f>
        <v>0</v>
      </c>
      <c r="L43" s="89"/>
    </row>
    <row r="44" spans="1:16" s="71" customFormat="1" ht="15" outlineLevel="1" thickBot="1">
      <c r="A44" s="126"/>
      <c r="B44" s="128"/>
      <c r="C44" s="84" t="s">
        <v>326</v>
      </c>
      <c r="D44" s="39">
        <v>9213.57</v>
      </c>
      <c r="E44" s="115">
        <f>D44/$D$6</f>
        <v>2545.185082872928</v>
      </c>
      <c r="F44" s="112">
        <v>45835</v>
      </c>
      <c r="G44" s="71" t="s">
        <v>126</v>
      </c>
      <c r="H44" s="71">
        <f>IF(OR(G44="Sin pagar",G44="Pagar"),_xlfn.SINGLE(NETWORKDAYS($J$17,F44,FestivosPerú!$A$2:$A$15)),0)</f>
        <v>0</v>
      </c>
      <c r="I44" s="71">
        <f>NETWORKDAYS($J$17,F44,FestivosPerú!$A$2:$A$15)</f>
        <v>20</v>
      </c>
      <c r="J44" s="117">
        <f>H44</f>
        <v>0</v>
      </c>
      <c r="L44" s="89"/>
    </row>
    <row r="45" spans="1:16" s="71" customFormat="1" ht="16.2" thickBot="1">
      <c r="A45" s="126"/>
      <c r="B45" s="125"/>
      <c r="C45" s="110" t="s">
        <v>129</v>
      </c>
      <c r="D45" s="160">
        <f>SUBTOTAL(9,D46:D48)</f>
        <v>3592.26</v>
      </c>
      <c r="E45" s="111">
        <f>SUBTOTAL(9,E46:E48)</f>
        <v>987.73480662983422</v>
      </c>
      <c r="L45" s="89"/>
    </row>
    <row r="46" spans="1:16" s="71" customFormat="1" ht="28.8" outlineLevel="1">
      <c r="A46" s="126"/>
      <c r="B46" s="128"/>
      <c r="C46" s="84" t="s">
        <v>314</v>
      </c>
      <c r="D46" s="39">
        <f>E46*3.637</f>
        <v>3564.26</v>
      </c>
      <c r="E46" s="115">
        <f>'BCP USD BCP'!F112</f>
        <v>980</v>
      </c>
      <c r="F46" s="112">
        <v>45827</v>
      </c>
      <c r="G46" s="71" t="s">
        <v>126</v>
      </c>
      <c r="H46" s="71">
        <f>IF(OR(G46="Sin pagar",G46="Pagar"),_xlfn.SINGLE(NETWORKDAYS($J$17,F46,FestivosPerú!$A$2:$A$15)),0)</f>
        <v>0</v>
      </c>
      <c r="I46" s="71">
        <f>NETWORKDAYS($J$17,F46,FestivosPerú!$A$2:$A$15)</f>
        <v>14</v>
      </c>
      <c r="J46" s="117">
        <f>H46</f>
        <v>0</v>
      </c>
      <c r="L46" s="89"/>
    </row>
    <row r="47" spans="1:16" s="71" customFormat="1" ht="28.8" outlineLevel="1">
      <c r="A47" s="126"/>
      <c r="B47" s="128"/>
      <c r="C47" s="84" t="s">
        <v>320</v>
      </c>
      <c r="D47" s="39">
        <v>28</v>
      </c>
      <c r="E47" s="115">
        <f>D47/$D$6</f>
        <v>7.7348066298342539</v>
      </c>
      <c r="F47" s="112">
        <v>45833</v>
      </c>
      <c r="G47" s="71" t="s">
        <v>126</v>
      </c>
      <c r="H47" s="71">
        <f>IF(OR(G47="Sin pagar",G47="Pagar"),_xlfn.SINGLE(NETWORKDAYS($J$17,F47,FestivosPerú!$A$2:$A$15)),0)</f>
        <v>0</v>
      </c>
      <c r="I47" s="71">
        <f>NETWORKDAYS($J$17,F47,FestivosPerú!$A$2:$A$15)</f>
        <v>18</v>
      </c>
      <c r="J47" s="117">
        <f>H47</f>
        <v>0</v>
      </c>
      <c r="L47" s="89"/>
    </row>
    <row r="48" spans="1:16" s="71" customFormat="1" ht="15" outlineLevel="1" thickBot="1">
      <c r="A48" s="126"/>
      <c r="B48" s="128"/>
      <c r="C48" s="84" t="s">
        <v>299</v>
      </c>
      <c r="D48" s="39">
        <f>150*0</f>
        <v>0</v>
      </c>
      <c r="E48" s="115">
        <f>D48/$D$6</f>
        <v>0</v>
      </c>
      <c r="F48" s="112">
        <v>45842</v>
      </c>
      <c r="G48" s="71" t="s">
        <v>116</v>
      </c>
      <c r="H48" s="71">
        <f>IF(OR(G48="Sin pagar",G48="Pagar"),_xlfn.SINGLE(NETWORKDAYS($J$17,F48,FestivosPerú!$A$2:$A$15)),0)</f>
        <v>25</v>
      </c>
      <c r="I48" s="71">
        <f>NETWORKDAYS($J$17,F48,FestivosPerú!$A$2:$A$15)</f>
        <v>25</v>
      </c>
      <c r="J48" s="117">
        <f>H48</f>
        <v>25</v>
      </c>
      <c r="L48" s="89"/>
    </row>
    <row r="49" spans="1:16" ht="15.6">
      <c r="C49" s="129" t="s">
        <v>130</v>
      </c>
      <c r="D49" s="227">
        <f>SUBTOTAL(9,D19:D48)</f>
        <v>100452.37256100001</v>
      </c>
      <c r="E49" s="228">
        <f>SUBTOTAL(9,E19:E48)</f>
        <v>28437.489657734804</v>
      </c>
    </row>
    <row r="50" spans="1:16" s="238" customFormat="1" ht="15.6">
      <c r="B50" s="239"/>
      <c r="C50" s="240"/>
      <c r="D50" s="241"/>
      <c r="E50" s="242"/>
    </row>
    <row r="51" spans="1:16" ht="15.6">
      <c r="A51" s="71"/>
      <c r="C51" s="134" t="s">
        <v>3</v>
      </c>
      <c r="D51" s="170">
        <f>D14-D49</f>
        <v>36805.044045666655</v>
      </c>
      <c r="E51" s="135">
        <f>E14-E49</f>
        <v>10284.282761233888</v>
      </c>
      <c r="F51" s="136"/>
      <c r="G51" s="137"/>
      <c r="J51" s="137"/>
    </row>
    <row r="52" spans="1:16" s="141" customFormat="1" ht="15.6">
      <c r="A52" s="71"/>
      <c r="B52" s="138"/>
      <c r="C52" s="134" t="s">
        <v>131</v>
      </c>
      <c r="D52" s="139">
        <f>IF($D$14=0,0,D51/$D$14)</f>
        <v>0.26814612248704539</v>
      </c>
      <c r="E52" s="139">
        <f>IF($E$14=0,0,E51/$E$14)</f>
        <v>0.26559431861636351</v>
      </c>
      <c r="F52" s="140"/>
      <c r="G52" s="137"/>
      <c r="J52" s="142"/>
      <c r="K52" s="236"/>
      <c r="L52" s="236"/>
      <c r="N52" s="236"/>
      <c r="O52" s="236"/>
      <c r="P52" s="236"/>
    </row>
    <row r="54" spans="1:16" ht="15" thickBot="1"/>
    <row r="55" spans="1:16" ht="15" thickBot="1">
      <c r="C55" s="143" t="s">
        <v>132</v>
      </c>
      <c r="D55" s="144" t="s">
        <v>133</v>
      </c>
      <c r="E55" s="145" t="s">
        <v>303</v>
      </c>
      <c r="F55" s="145" t="s">
        <v>304</v>
      </c>
    </row>
    <row r="56" spans="1:16">
      <c r="C56" s="197">
        <v>45809</v>
      </c>
      <c r="D56" s="198">
        <v>45816</v>
      </c>
      <c r="E56" s="199">
        <f>SUMIFS($D$18:$D$53,$F$18:$F$53,"&gt;="&amp;C56,$F$18:$F$53,"&lt;="&amp;D56,$G$18:$G$53,$D$71)</f>
        <v>0</v>
      </c>
      <c r="F56" s="200">
        <f>SUMIFS($E$18:$E$53,$F$18:$F$53,"&gt;="&amp;C56,$F$18:$F$53,"&lt;="&amp;D56,$G$18:$G$53,$D$71)</f>
        <v>0</v>
      </c>
    </row>
    <row r="57" spans="1:16">
      <c r="C57" s="201">
        <v>45817</v>
      </c>
      <c r="D57" s="202">
        <v>45823</v>
      </c>
      <c r="E57" s="203">
        <f>SUMIFS($D$18:$D$53,$F$18:$F$53,"&gt;="&amp;C57,$F$18:$F$53,"&lt;="&amp;D57,$G$18:$G$53,$D$71)</f>
        <v>0</v>
      </c>
      <c r="F57" s="204">
        <f>SUMIFS($E$18:$E$53,$F$18:$F$53,"&gt;="&amp;C57,$F$18:$F$53,"&lt;="&amp;D57,$G$18:$G$53,$D$71)</f>
        <v>0</v>
      </c>
      <c r="G57" s="236" t="s">
        <v>300</v>
      </c>
    </row>
    <row r="58" spans="1:16">
      <c r="C58" s="201">
        <v>45824</v>
      </c>
      <c r="D58" s="202">
        <v>45830</v>
      </c>
      <c r="E58" s="203">
        <f>SUMIFS($D$18:$D$53,$F$18:$F$53,"&gt;="&amp;C58,$F$18:$F$53,"&lt;="&amp;D58,$G$18:$G$53,$D$71)</f>
        <v>0</v>
      </c>
      <c r="F58" s="204">
        <f>SUMIFS($E$18:$E$53,$F$18:$F$53,"&gt;="&amp;C58,$F$18:$F$53,"&lt;="&amp;D58,$G$18:$G$53,$D$71)</f>
        <v>0</v>
      </c>
    </row>
    <row r="59" spans="1:16" ht="15" thickBot="1">
      <c r="C59" s="205">
        <v>45831</v>
      </c>
      <c r="D59" s="206">
        <v>45838</v>
      </c>
      <c r="E59" s="207">
        <f>SUMIFS($D$18:$D$53,$F$18:$F$53,"&gt;="&amp;C59,$F$18:$F$53,"&lt;="&amp;D59,$G$18:$G$53,$D$71)</f>
        <v>0</v>
      </c>
      <c r="F59" s="208">
        <f>SUMIFS($E$18:$E$53,$F$18:$F$53,"&gt;="&amp;C59,$F$18:$F$53,"&lt;="&amp;D59,$G$18:$G$53,$D$71)</f>
        <v>0</v>
      </c>
      <c r="G59" s="236" t="s">
        <v>207</v>
      </c>
    </row>
    <row r="60" spans="1:16" ht="15.6">
      <c r="C60" s="524" t="s">
        <v>136</v>
      </c>
      <c r="D60" s="524"/>
      <c r="E60" s="227">
        <f>SUM(E56:E59)</f>
        <v>0</v>
      </c>
      <c r="F60" s="153">
        <f>SUM(F56:F59)</f>
        <v>0</v>
      </c>
      <c r="G60" s="77"/>
      <c r="K60" s="137"/>
      <c r="M60" s="154"/>
    </row>
    <row r="63" spans="1:16">
      <c r="C63" s="525"/>
      <c r="D63" s="526"/>
    </row>
    <row r="64" spans="1:16">
      <c r="C64" s="525"/>
      <c r="D64" s="526"/>
    </row>
    <row r="65" spans="3:6">
      <c r="C65" s="522" t="s">
        <v>208</v>
      </c>
      <c r="D65" s="522"/>
      <c r="E65" s="39">
        <f>'BCP SOLES BCP'!$G$300+('BCP USD BCP'!$G$299*$D$6)</f>
        <v>66765.739868754201</v>
      </c>
      <c r="F65" s="154">
        <f>'BCP USD BCP'!$G$299+('BCP SOLES BCP'!$G$300/$D$6)</f>
        <v>18443.574549379613</v>
      </c>
    </row>
    <row r="66" spans="3:6">
      <c r="C66" s="522" t="s">
        <v>319</v>
      </c>
      <c r="D66" s="522"/>
      <c r="E66" s="39">
        <f>SUM(E56:E59)</f>
        <v>0</v>
      </c>
      <c r="F66" s="154">
        <f>SUM(F56:F59)</f>
        <v>0</v>
      </c>
    </row>
    <row r="67" spans="3:6">
      <c r="C67" s="523" t="s">
        <v>138</v>
      </c>
      <c r="D67" s="523"/>
      <c r="E67" s="156">
        <f>E65-E66</f>
        <v>66765.739868754201</v>
      </c>
      <c r="F67" s="157">
        <f>F65-F66</f>
        <v>18443.574549379613</v>
      </c>
    </row>
    <row r="70" spans="3:6">
      <c r="D70" s="231" t="s">
        <v>126</v>
      </c>
      <c r="E70" s="39">
        <f>SUMIFS($D$20:$D$53,$F$20:$F$53,"&gt;="&amp;$C$56,$F$20:$F$53,"&lt;="&amp;$D$59,$G$20:$G$53,$D$70)</f>
        <v>100452.37256100001</v>
      </c>
      <c r="F70" s="154">
        <f>SUMIFS($E$20:$E$53,$F$20:$F$53,"&gt;="&amp;$C$56,$F$20:$F$53,"&lt;="&amp;$D$59,$G$20:$G$53,$D$70)</f>
        <v>28437.489657734804</v>
      </c>
    </row>
    <row r="71" spans="3:6">
      <c r="D71" s="231" t="s">
        <v>116</v>
      </c>
      <c r="E71" s="39">
        <f>SUMIFS($D$18:$D$53,$F$18:$F$53,"&gt;="&amp;C56,$F$18:$F$53,"&lt;="&amp;D59,$G$18:$G$53,$D$71)</f>
        <v>0</v>
      </c>
      <c r="F71" s="154">
        <f>SUMIFS($E$18:$E$53,$F$18:$F$53,"&gt;="&amp;$C$56,$F$18:$F$53,"&lt;="&amp;$D$59,$G$18:$G$53,$D$71)</f>
        <v>0</v>
      </c>
    </row>
    <row r="72" spans="3:6">
      <c r="D72" s="237" t="s">
        <v>249</v>
      </c>
      <c r="E72" s="167">
        <f>SUM(E70:E71)</f>
        <v>100452.37256100001</v>
      </c>
      <c r="F72" s="168">
        <f>SUM(F70:F71)</f>
        <v>28437.489657734804</v>
      </c>
    </row>
    <row r="74" spans="3:6">
      <c r="D74" s="158" t="s">
        <v>140</v>
      </c>
      <c r="E74" s="167">
        <f>(D49-E72)</f>
        <v>0</v>
      </c>
      <c r="F74" s="168">
        <f>(F72-E49)</f>
        <v>0</v>
      </c>
    </row>
    <row r="77" spans="3:6">
      <c r="D77" s="248" t="s">
        <v>198</v>
      </c>
      <c r="E77" s="39">
        <f>D51</f>
        <v>36805.044045666655</v>
      </c>
    </row>
    <row r="78" spans="3:6">
      <c r="D78" s="248" t="s">
        <v>199</v>
      </c>
      <c r="E78" s="39">
        <f>'BCP SOLES BCP'!$G$246+('BCP USD BCP'!$G$121*D6)</f>
        <v>36805.042595666637</v>
      </c>
    </row>
    <row r="79" spans="3:6">
      <c r="D79" s="248" t="s">
        <v>39</v>
      </c>
      <c r="E79" s="39">
        <f>E78-E77</f>
        <v>-1.4500000179396011E-3</v>
      </c>
    </row>
    <row r="80" spans="3:6">
      <c r="D80" s="248" t="s">
        <v>200</v>
      </c>
      <c r="E80" s="39">
        <f>E79/$D$6</f>
        <v>-4.005524911435362E-4</v>
      </c>
    </row>
  </sheetData>
  <protectedRanges>
    <protectedRange sqref="F14:G14 D53:E53 D10:E11 D13" name="Presupuestos"/>
    <protectedRange sqref="D8:E8 D18:E18" name="Presupuestos_1"/>
    <protectedRange sqref="D26:E26 D28:E28" name="Presupuestos_13_1"/>
    <protectedRange sqref="D44 E38:E40 E42:E44" name="Presupuestos_2_1_1_1"/>
    <protectedRange sqref="K43 D43 E27 K38:K40 E46:E48" name="Presupuestos_6_1_1_1"/>
    <protectedRange sqref="D36:E36 D30:E34" name="Presupuestos_7_1"/>
    <protectedRange sqref="D27 D46:D48" name="Presupuestos_5_3"/>
    <protectedRange sqref="D38:D40" name="Presupuestos_6_1_1_1_1"/>
  </protectedRanges>
  <autoFilter ref="A18:S52" xr:uid="{B057C26A-AC32-4199-8D72-3EFB1B659D38}"/>
  <mergeCells count="10">
    <mergeCell ref="F17:G17"/>
    <mergeCell ref="C64:D64"/>
    <mergeCell ref="C65:D65"/>
    <mergeCell ref="C66:D66"/>
    <mergeCell ref="C67:D67"/>
    <mergeCell ref="C60:D60"/>
    <mergeCell ref="C63:D63"/>
    <mergeCell ref="D7:E7"/>
    <mergeCell ref="B17:C17"/>
    <mergeCell ref="D17:E17"/>
  </mergeCells>
  <conditionalFormatting sqref="J26:J28 J20:J21 J30:J34">
    <cfRule type="cellIs" dxfId="354" priority="75" operator="between">
      <formula>1</formula>
      <formula>5</formula>
    </cfRule>
    <cfRule type="cellIs" dxfId="353" priority="76" operator="between">
      <formula>16</formula>
      <formula>60</formula>
    </cfRule>
  </conditionalFormatting>
  <conditionalFormatting sqref="J26:J28 J20:J21 J30:J34">
    <cfRule type="cellIs" dxfId="352" priority="73" operator="lessThan">
      <formula>0</formula>
    </cfRule>
  </conditionalFormatting>
  <conditionalFormatting sqref="J23">
    <cfRule type="cellIs" dxfId="351" priority="69" operator="lessThan">
      <formula>0</formula>
    </cfRule>
  </conditionalFormatting>
  <conditionalFormatting sqref="J24">
    <cfRule type="cellIs" dxfId="350" priority="65" operator="lessThan">
      <formula>0</formula>
    </cfRule>
  </conditionalFormatting>
  <conditionalFormatting sqref="J26:J28">
    <cfRule type="cellIs" dxfId="349" priority="61" operator="lessThan">
      <formula>0</formula>
    </cfRule>
  </conditionalFormatting>
  <conditionalFormatting sqref="J36">
    <cfRule type="cellIs" dxfId="348" priority="49" operator="lessThan">
      <formula>0</formula>
    </cfRule>
  </conditionalFormatting>
  <conditionalFormatting sqref="J38:J40">
    <cfRule type="cellIs" dxfId="347" priority="45" operator="lessThan">
      <formula>0</formula>
    </cfRule>
  </conditionalFormatting>
  <conditionalFormatting sqref="J42">
    <cfRule type="cellIs" dxfId="346" priority="13" operator="lessThan">
      <formula>0</formula>
    </cfRule>
  </conditionalFormatting>
  <conditionalFormatting sqref="J43">
    <cfRule type="cellIs" dxfId="345" priority="9" operator="lessThan">
      <formula>0</formula>
    </cfRule>
  </conditionalFormatting>
  <conditionalFormatting sqref="J44">
    <cfRule type="cellIs" dxfId="344" priority="5" operator="lessThan">
      <formula>0</formula>
    </cfRule>
  </conditionalFormatting>
  <conditionalFormatting sqref="J46:J48">
    <cfRule type="cellIs" dxfId="343" priority="1" operator="lessThan">
      <formula>0</formula>
    </cfRule>
  </conditionalFormatting>
  <dataValidations disablePrompts="1" count="3">
    <dataValidation type="list" allowBlank="1" showInputMessage="1" showErrorMessage="1" sqref="B13" xr:uid="{0B63D143-C8D1-4590-93E7-C6D237C2D1A4}">
      <formula1>"Sin Pagar,Pagado"</formula1>
    </dataValidation>
    <dataValidation type="list" allowBlank="1" showInputMessage="1" showErrorMessage="1" sqref="G42:G44 G23:G24 G36 G26:G28 G19:G21 G46:G48 G38:G40 D69:D71 G30:G34" xr:uid="{1448AA71-2150-4AE5-8EBC-A65F1F0A601B}">
      <formula1>"Cancelado,Pagar,Sin Pagar"</formula1>
    </dataValidation>
    <dataValidation type="list" allowBlank="1" showInputMessage="1" showErrorMessage="1" sqref="D17 D7" xr:uid="{B79CF32B-74AA-40DA-9A37-E074F634D93C}">
      <formula1>"ENERO,FEBRERO,MARZO,ABRIL,MAYO,JUNIO,JULIO,AGOSTO,SEPTIEMBRE,OCTUBRE,NOVIEMBRE,DICIEMBRE"</formula1>
    </dataValidation>
  </dataValidations>
  <pageMargins left="0.7" right="0.7" top="0.75" bottom="0.75" header="0.3" footer="0.3"/>
  <pageSetup orientation="portrait" r:id="rId1"/>
  <ignoredErrors>
    <ignoredError sqref="J20:J33 J35:J45 J48 J46:J4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7C06-E401-4A13-9E1A-B29768C21391}">
  <dimension ref="A1:S141"/>
  <sheetViews>
    <sheetView showGridLines="0" topLeftCell="A37" zoomScale="90" zoomScaleNormal="90" workbookViewId="0">
      <selection activeCell="F27" sqref="F27"/>
    </sheetView>
  </sheetViews>
  <sheetFormatPr baseColWidth="10" defaultColWidth="9.109375" defaultRowHeight="14.4" outlineLevelRow="1"/>
  <cols>
    <col min="1" max="1" width="2.109375" style="247" customWidth="1"/>
    <col min="2" max="2" width="18.88671875" style="246" bestFit="1" customWidth="1"/>
    <col min="3" max="3" width="54.33203125" style="247" bestFit="1" customWidth="1"/>
    <col min="4" max="4" width="24.44140625" style="248" customWidth="1"/>
    <col min="5" max="5" width="19.33203125" style="248" bestFit="1" customWidth="1"/>
    <col min="6" max="6" width="20.109375" style="247" bestFit="1" customWidth="1"/>
    <col min="7" max="7" width="16.88671875" style="247" customWidth="1"/>
    <col min="8" max="8" width="7.6640625" style="247" hidden="1" customWidth="1"/>
    <col min="9" max="9" width="12.109375" style="247" hidden="1" customWidth="1"/>
    <col min="10" max="10" width="16.5546875" style="247" customWidth="1"/>
    <col min="11" max="11" width="2.109375" style="247" customWidth="1"/>
    <col min="12" max="12" width="2.33203125" style="247" customWidth="1"/>
    <col min="13" max="14" width="15.5546875" style="247" bestFit="1" customWidth="1"/>
    <col min="15" max="15" width="11.5546875" style="247" bestFit="1" customWidth="1"/>
    <col min="16" max="16" width="19.33203125" style="247" bestFit="1" customWidth="1"/>
    <col min="17" max="17" width="15.33203125" style="247" bestFit="1" customWidth="1"/>
    <col min="18" max="18" width="14" style="247" bestFit="1" customWidth="1"/>
    <col min="19" max="19" width="13" style="247" bestFit="1" customWidth="1"/>
    <col min="20" max="16384" width="9.109375" style="247"/>
  </cols>
  <sheetData>
    <row r="1" spans="2:10" hidden="1">
      <c r="D1" s="248">
        <v>42400</v>
      </c>
    </row>
    <row r="2" spans="2:10">
      <c r="D2" s="70"/>
      <c r="E2" s="70"/>
      <c r="I2" s="71"/>
    </row>
    <row r="3" spans="2:10">
      <c r="E3" s="72"/>
      <c r="I3" s="71"/>
    </row>
    <row r="4" spans="2:10" ht="15.6">
      <c r="B4" s="73"/>
      <c r="C4" s="73"/>
      <c r="D4" s="74" t="s">
        <v>109</v>
      </c>
      <c r="E4" s="75">
        <v>45839</v>
      </c>
      <c r="I4" s="71"/>
    </row>
    <row r="5" spans="2:10">
      <c r="D5" s="70"/>
      <c r="E5" s="70"/>
      <c r="I5" s="71"/>
    </row>
    <row r="6" spans="2:10">
      <c r="C6" s="76" t="s">
        <v>110</v>
      </c>
      <c r="D6" s="39">
        <v>3.5552000000000001</v>
      </c>
      <c r="E6" s="70"/>
      <c r="I6" s="71"/>
      <c r="J6" s="85"/>
    </row>
    <row r="7" spans="2:10" ht="15.6">
      <c r="C7" s="77"/>
      <c r="D7" s="521" t="s">
        <v>443</v>
      </c>
      <c r="E7" s="521"/>
      <c r="I7" s="71"/>
      <c r="J7" s="85"/>
    </row>
    <row r="8" spans="2:10">
      <c r="D8" s="78" t="s">
        <v>142</v>
      </c>
      <c r="E8" s="78" t="s">
        <v>112</v>
      </c>
      <c r="J8" s="181"/>
    </row>
    <row r="9" spans="2:10" s="79" customFormat="1" ht="15.6">
      <c r="C9" s="80" t="s">
        <v>113</v>
      </c>
      <c r="D9" s="159">
        <f>SUBTOTAL(9,D10:D12)</f>
        <v>40586.610131666639</v>
      </c>
      <c r="E9" s="81">
        <f>SUBTOTAL(9,E10:E12)</f>
        <v>11416.125712102454</v>
      </c>
      <c r="F9" s="82"/>
      <c r="I9" s="71"/>
    </row>
    <row r="10" spans="2:10" s="71" customFormat="1" outlineLevel="1">
      <c r="B10" s="83"/>
      <c r="C10" s="84" t="s">
        <v>141</v>
      </c>
      <c r="D10" s="39">
        <f>'BCP SOLES BCP'!$G$246-9955.17</f>
        <v>19668.950995666681</v>
      </c>
      <c r="E10" s="85">
        <f>D10/$D$6</f>
        <v>5532.4457121024643</v>
      </c>
      <c r="F10" s="86"/>
    </row>
    <row r="11" spans="2:10" s="71" customFormat="1" outlineLevel="1">
      <c r="B11" s="83"/>
      <c r="C11" s="84" t="s">
        <v>114</v>
      </c>
      <c r="D11" s="39">
        <f>E11*$D$6</f>
        <v>7052.3791359999614</v>
      </c>
      <c r="E11" s="85">
        <f>'BCP USD BCP'!$G$121</f>
        <v>1983.6799999999891</v>
      </c>
      <c r="F11" s="86"/>
    </row>
    <row r="12" spans="2:10" s="71" customFormat="1" outlineLevel="1">
      <c r="B12" s="83"/>
      <c r="C12" s="84" t="s">
        <v>383</v>
      </c>
      <c r="D12" s="39">
        <f>E12*$D$6</f>
        <v>13865.28</v>
      </c>
      <c r="E12" s="85">
        <v>3900</v>
      </c>
      <c r="F12" s="86"/>
    </row>
    <row r="13" spans="2:10" s="71" customFormat="1" ht="15.6">
      <c r="B13" s="83"/>
      <c r="C13" s="87" t="s">
        <v>115</v>
      </c>
      <c r="D13" s="159">
        <f>SUBTOTAL(9,D14:D18)</f>
        <v>140880.47766</v>
      </c>
      <c r="E13" s="81">
        <f>SUBTOTAL(9,E14:E18)</f>
        <v>40139.5</v>
      </c>
      <c r="F13" s="182"/>
      <c r="G13" s="182"/>
      <c r="J13" s="183"/>
    </row>
    <row r="14" spans="2:10" s="71" customFormat="1" outlineLevel="1">
      <c r="B14" s="176" t="s">
        <v>169</v>
      </c>
      <c r="C14" s="177" t="s">
        <v>385</v>
      </c>
      <c r="D14" s="40">
        <f>$E$14*'Diferencia Cambio S&amp;P'!$K$23</f>
        <v>92937.955499999996</v>
      </c>
      <c r="E14" s="185">
        <f>'BCP USD BCP'!E134</f>
        <v>26478.05</v>
      </c>
      <c r="F14" s="88"/>
      <c r="G14" s="89"/>
    </row>
    <row r="15" spans="2:10" s="71" customFormat="1" ht="28.8" outlineLevel="1">
      <c r="B15" s="176" t="s">
        <v>169</v>
      </c>
      <c r="C15" s="177" t="s">
        <v>386</v>
      </c>
      <c r="D15" s="40">
        <f>$E$15*'Diferencia Cambio S&amp;P'!$K$24</f>
        <v>18854.245799999997</v>
      </c>
      <c r="E15" s="185">
        <f>'BCP USD BCP'!E132</f>
        <v>5371.58</v>
      </c>
      <c r="F15" s="88"/>
      <c r="G15" s="89"/>
    </row>
    <row r="16" spans="2:10" s="71" customFormat="1" outlineLevel="1">
      <c r="B16" s="176" t="s">
        <v>169</v>
      </c>
      <c r="C16" s="177" t="s">
        <v>397</v>
      </c>
      <c r="D16" s="40">
        <f>$E$16*'Diferencia Cambio S&amp;P'!$K$25</f>
        <v>23734.549799999997</v>
      </c>
      <c r="E16" s="185">
        <f>'BCP USD BCP'!E133</f>
        <v>6761.98</v>
      </c>
      <c r="F16" s="88"/>
      <c r="G16" s="89"/>
    </row>
    <row r="17" spans="1:19" s="71" customFormat="1" outlineLevel="1">
      <c r="B17" s="176" t="s">
        <v>169</v>
      </c>
      <c r="C17" s="177" t="s">
        <v>387</v>
      </c>
      <c r="D17" s="40">
        <f>E17*3.504</f>
        <v>5353.7265600000001</v>
      </c>
      <c r="E17" s="185">
        <f>'BCP USD BCP'!E129</f>
        <v>1527.89</v>
      </c>
      <c r="F17" s="88"/>
      <c r="G17" s="89"/>
    </row>
    <row r="18" spans="1:19" s="71" customFormat="1" outlineLevel="1">
      <c r="B18" s="252" t="s">
        <v>116</v>
      </c>
      <c r="C18" s="186" t="s">
        <v>398</v>
      </c>
      <c r="D18" s="39">
        <f>E18*3.44</f>
        <v>0</v>
      </c>
      <c r="E18" s="271">
        <f>1282.87*0</f>
        <v>0</v>
      </c>
      <c r="F18" s="88"/>
      <c r="G18" s="89"/>
    </row>
    <row r="19" spans="1:19" s="71" customFormat="1" ht="15.6">
      <c r="B19" s="83"/>
      <c r="C19" s="90" t="s">
        <v>117</v>
      </c>
      <c r="D19" s="226">
        <f>SUBTOTAL(9,D9:D18)</f>
        <v>181467.08779166665</v>
      </c>
      <c r="E19" s="92">
        <f>SUBTOTAL(9,E9:E18)</f>
        <v>51555.625712102454</v>
      </c>
      <c r="F19" s="93"/>
      <c r="G19" s="93"/>
      <c r="J19" s="89"/>
      <c r="K19" s="94"/>
      <c r="O19" s="95"/>
      <c r="P19" s="96"/>
      <c r="Q19" s="97"/>
    </row>
    <row r="20" spans="1:19" s="71" customFormat="1" ht="15.6">
      <c r="B20" s="83"/>
      <c r="C20" s="98"/>
      <c r="D20" s="99"/>
      <c r="E20" s="99"/>
      <c r="G20" s="100"/>
      <c r="O20" s="96"/>
      <c r="P20" s="96"/>
    </row>
    <row r="21" spans="1:19" s="71" customFormat="1" ht="15.6">
      <c r="B21" s="83"/>
      <c r="N21" s="101"/>
      <c r="O21" s="102"/>
      <c r="P21" s="103"/>
    </row>
    <row r="22" spans="1:19" s="71" customFormat="1" ht="15.6">
      <c r="B22" s="521" t="s">
        <v>118</v>
      </c>
      <c r="C22" s="521"/>
      <c r="D22" s="521" t="s">
        <v>201</v>
      </c>
      <c r="E22" s="521"/>
      <c r="F22" s="521" t="s">
        <v>109</v>
      </c>
      <c r="G22" s="521"/>
      <c r="H22" s="245"/>
      <c r="I22" s="245"/>
      <c r="J22" s="175">
        <v>45809</v>
      </c>
      <c r="K22" s="103"/>
      <c r="L22" s="103"/>
      <c r="N22" s="101"/>
      <c r="R22" s="89"/>
      <c r="S22" s="89"/>
    </row>
    <row r="23" spans="1:19" s="71" customFormat="1" ht="16.2" thickBot="1">
      <c r="B23" s="104" t="s">
        <v>119</v>
      </c>
      <c r="C23" s="105" t="s">
        <v>120</v>
      </c>
      <c r="D23" s="78" t="s">
        <v>150</v>
      </c>
      <c r="E23" s="78" t="s">
        <v>112</v>
      </c>
      <c r="F23" s="106" t="s">
        <v>121</v>
      </c>
      <c r="G23" s="101" t="s">
        <v>122</v>
      </c>
      <c r="H23" s="101"/>
      <c r="I23" s="101"/>
      <c r="J23" s="107" t="s">
        <v>123</v>
      </c>
      <c r="N23" s="108"/>
      <c r="R23" s="89"/>
      <c r="S23" s="109"/>
    </row>
    <row r="24" spans="1:19" s="71" customFormat="1" ht="16.2" thickBot="1">
      <c r="B24" s="83"/>
      <c r="C24" s="110" t="s">
        <v>124</v>
      </c>
      <c r="D24" s="160">
        <f>SUBTOTAL(9,D25:D26)</f>
        <v>5517.91</v>
      </c>
      <c r="E24" s="111">
        <f>SUBTOTAL(9,E25:E26)</f>
        <v>1552.0673942394237</v>
      </c>
      <c r="F24" s="112"/>
      <c r="J24" s="113"/>
    </row>
    <row r="25" spans="1:19" s="71" customFormat="1" ht="28.8" outlineLevel="1">
      <c r="A25" s="86"/>
      <c r="B25" s="83">
        <v>2220819158</v>
      </c>
      <c r="C25" s="172" t="s">
        <v>311</v>
      </c>
      <c r="D25" s="39">
        <v>3727.63</v>
      </c>
      <c r="E25" s="115">
        <f>D25/$D$6</f>
        <v>1048.5007875787578</v>
      </c>
      <c r="F25" s="116">
        <v>45842</v>
      </c>
      <c r="G25" s="71" t="s">
        <v>126</v>
      </c>
      <c r="H25" s="71">
        <f>IF(OR(G25="Sin pagar",G25="Pagar"),_xlfn.SINGLE(NETWORKDAYS($J$22,F25,FestivosPerú!$A$2:$A$15)),0)</f>
        <v>0</v>
      </c>
      <c r="I25" s="71">
        <f>NETWORKDAYS($J$22,F25,FestivosPerú!$A$2:$A$15)</f>
        <v>25</v>
      </c>
      <c r="J25" s="117">
        <f t="shared" ref="J25:J31" si="0">H25</f>
        <v>0</v>
      </c>
      <c r="K25" s="89"/>
      <c r="L25" s="89"/>
      <c r="M25" s="118"/>
      <c r="N25" s="118"/>
    </row>
    <row r="26" spans="1:19" s="71" customFormat="1" ht="29.4" outlineLevel="1" thickBot="1">
      <c r="A26" s="86"/>
      <c r="B26" s="83">
        <v>2516822828</v>
      </c>
      <c r="C26" s="172" t="s">
        <v>310</v>
      </c>
      <c r="D26" s="39">
        <v>1790.28</v>
      </c>
      <c r="E26" s="115">
        <f>D26/$D$6</f>
        <v>503.56660666066603</v>
      </c>
      <c r="F26" s="116">
        <v>45842</v>
      </c>
      <c r="G26" s="71" t="s">
        <v>126</v>
      </c>
      <c r="H26" s="71">
        <f>IF(OR(G26="Sin pagar",G26="Pagar"),_xlfn.SINGLE(NETWORKDAYS($J$22,F26,FestivosPerú!$A$2:$A$15)),0)</f>
        <v>0</v>
      </c>
      <c r="I26" s="71">
        <f>NETWORKDAYS($J$22,F26,FestivosPerú!$A$2:$A$15)</f>
        <v>25</v>
      </c>
      <c r="J26" s="117">
        <f>H26</f>
        <v>0</v>
      </c>
      <c r="K26" s="89"/>
      <c r="L26" s="89"/>
      <c r="M26" s="118"/>
      <c r="N26" s="118"/>
    </row>
    <row r="27" spans="1:19" s="71" customFormat="1" ht="16.2" thickBot="1">
      <c r="B27" s="83"/>
      <c r="C27" s="110" t="s">
        <v>125</v>
      </c>
      <c r="D27" s="160">
        <f>SUBTOTAL(9,D28:D29)</f>
        <v>11486.35</v>
      </c>
      <c r="E27" s="111">
        <f>SUBTOTAL(9,E28:E29)</f>
        <v>3230.8590234023404</v>
      </c>
      <c r="J27" s="113">
        <f t="shared" si="0"/>
        <v>0</v>
      </c>
    </row>
    <row r="28" spans="1:19" s="71" customFormat="1" outlineLevel="1">
      <c r="B28" s="173"/>
      <c r="C28" s="84" t="s">
        <v>301</v>
      </c>
      <c r="D28" s="39">
        <v>9946</v>
      </c>
      <c r="E28" s="115">
        <f>D28/$D$6</f>
        <v>2797.5922592259226</v>
      </c>
      <c r="F28" s="116">
        <v>45847</v>
      </c>
      <c r="G28" s="71" t="s">
        <v>126</v>
      </c>
      <c r="H28" s="71">
        <f>IF(OR(G28="Sin pagar",G28="Pagar"),_xlfn.SINGLE(NETWORKDAYS($J$22,F28,FestivosPerú!$A$2:$A$15)),0)</f>
        <v>0</v>
      </c>
      <c r="I28" s="71">
        <f>NETWORKDAYS($J$22,F28,FestivosPerú!$A$2:$A$15)</f>
        <v>28</v>
      </c>
      <c r="J28" s="117">
        <f t="shared" si="0"/>
        <v>0</v>
      </c>
      <c r="K28" s="120"/>
      <c r="L28" s="94"/>
      <c r="M28" s="118"/>
      <c r="N28" s="118"/>
    </row>
    <row r="29" spans="1:19" s="71" customFormat="1" ht="15" outlineLevel="1" thickBot="1">
      <c r="B29" s="119"/>
      <c r="C29" s="84" t="s">
        <v>338</v>
      </c>
      <c r="D29" s="39">
        <v>1540.35</v>
      </c>
      <c r="E29" s="115">
        <f>D29/$D$6</f>
        <v>433.26676417641761</v>
      </c>
      <c r="F29" s="116">
        <v>45854</v>
      </c>
      <c r="G29" s="71" t="s">
        <v>126</v>
      </c>
      <c r="H29" s="71">
        <f>IF(OR(G29="Sin pagar",G29="Pagar"),_xlfn.SINGLE(NETWORKDAYS($J$22,F29,FestivosPerú!$A$2:$A$15)),0)</f>
        <v>0</v>
      </c>
      <c r="I29" s="71">
        <f>NETWORKDAYS($J$22,F29,FestivosPerú!$A$2:$A$15)</f>
        <v>33</v>
      </c>
      <c r="J29" s="117">
        <f t="shared" si="0"/>
        <v>0</v>
      </c>
      <c r="K29" s="120"/>
      <c r="L29" s="94"/>
      <c r="M29" s="118" t="s">
        <v>245</v>
      </c>
      <c r="N29" s="118"/>
    </row>
    <row r="30" spans="1:19" s="71" customFormat="1" ht="16.2" thickBot="1">
      <c r="B30" s="83"/>
      <c r="C30" s="110" t="s">
        <v>144</v>
      </c>
      <c r="D30" s="160">
        <f>SUBTOTAL(9,D31:D34)</f>
        <v>3422</v>
      </c>
      <c r="E30" s="111">
        <f>SUBTOTAL(9,E31:E34)</f>
        <v>647.22097209720971</v>
      </c>
      <c r="J30" s="113">
        <f t="shared" si="0"/>
        <v>0</v>
      </c>
      <c r="K30" s="89"/>
      <c r="L30" s="89"/>
      <c r="N30" s="118"/>
    </row>
    <row r="31" spans="1:19" s="71" customFormat="1" outlineLevel="1">
      <c r="B31" s="83" t="s">
        <v>424</v>
      </c>
      <c r="C31" s="84" t="s">
        <v>425</v>
      </c>
      <c r="D31" s="39">
        <v>1416</v>
      </c>
      <c r="E31" s="115">
        <f>$D$31/$D$6</f>
        <v>398.28982898289826</v>
      </c>
      <c r="F31" s="116">
        <v>45867</v>
      </c>
      <c r="G31" s="71" t="s">
        <v>126</v>
      </c>
      <c r="H31" s="71">
        <f>IF(OR(G31="Sin pagar",G31="Pagar"),_xlfn.SINGLE(NETWORKDAYS($J$22,F31,FestivosPerú!$A$2:$A$15)),0)</f>
        <v>0</v>
      </c>
      <c r="I31" s="71">
        <f>NETWORKDAYS($J$22,F31,FestivosPerú!$A$2:$A$15)</f>
        <v>40</v>
      </c>
      <c r="J31" s="117">
        <f t="shared" si="0"/>
        <v>0</v>
      </c>
      <c r="M31" s="121"/>
      <c r="N31" s="86"/>
    </row>
    <row r="32" spans="1:19" s="71" customFormat="1" outlineLevel="1">
      <c r="B32" s="83" t="s">
        <v>429</v>
      </c>
      <c r="C32" s="84" t="s">
        <v>426</v>
      </c>
      <c r="D32" s="39">
        <v>295</v>
      </c>
      <c r="E32" s="115">
        <f>$D$32/$D$6</f>
        <v>82.97704770477047</v>
      </c>
      <c r="F32" s="116">
        <v>45867</v>
      </c>
      <c r="G32" s="71" t="s">
        <v>126</v>
      </c>
      <c r="H32" s="71">
        <f>IF(OR(G32="Sin pagar",G32="Pagar"),_xlfn.SINGLE(NETWORKDAYS($J$22,F32,FestivosPerú!$A$2:$A$15)),0)</f>
        <v>0</v>
      </c>
      <c r="I32" s="71">
        <f>NETWORKDAYS($J$22,F32,FestivosPerú!$A$2:$A$15)</f>
        <v>40</v>
      </c>
      <c r="J32" s="117">
        <f>H32</f>
        <v>0</v>
      </c>
      <c r="M32" s="121"/>
      <c r="N32" s="86"/>
    </row>
    <row r="33" spans="2:16" s="71" customFormat="1" outlineLevel="1">
      <c r="B33" s="83" t="s">
        <v>430</v>
      </c>
      <c r="C33" s="84" t="s">
        <v>427</v>
      </c>
      <c r="D33" s="39">
        <v>295</v>
      </c>
      <c r="E33" s="115">
        <f>$D$32/$D$6</f>
        <v>82.97704770477047</v>
      </c>
      <c r="F33" s="116">
        <v>45867</v>
      </c>
      <c r="G33" s="71" t="s">
        <v>126</v>
      </c>
      <c r="H33" s="71">
        <f>IF(OR(G33="Sin pagar",G33="Pagar"),_xlfn.SINGLE(NETWORKDAYS($J$22,F33,FestivosPerú!$A$2:$A$15)),0)</f>
        <v>0</v>
      </c>
      <c r="I33" s="71">
        <f>NETWORKDAYS($J$22,F33,FestivosPerú!$A$2:$A$15)</f>
        <v>40</v>
      </c>
      <c r="J33" s="117">
        <f>H33</f>
        <v>0</v>
      </c>
      <c r="M33" s="121"/>
      <c r="N33" s="86"/>
    </row>
    <row r="34" spans="2:16" s="71" customFormat="1" ht="15" outlineLevel="1" thickBot="1">
      <c r="B34" s="83" t="s">
        <v>431</v>
      </c>
      <c r="C34" s="84" t="s">
        <v>428</v>
      </c>
      <c r="D34" s="39">
        <v>1416</v>
      </c>
      <c r="E34" s="115">
        <f>$D$32/$D$6</f>
        <v>82.97704770477047</v>
      </c>
      <c r="F34" s="116">
        <v>45867</v>
      </c>
      <c r="G34" s="71" t="s">
        <v>126</v>
      </c>
      <c r="H34" s="71">
        <f>IF(OR(G34="Sin pagar",G34="Pagar"),_xlfn.SINGLE(NETWORKDAYS($J$22,F34,FestivosPerú!$A$2:$A$15)),0)</f>
        <v>0</v>
      </c>
      <c r="I34" s="71">
        <f>NETWORKDAYS($J$22,F34,FestivosPerú!$A$2:$A$15)</f>
        <v>40</v>
      </c>
      <c r="J34" s="117">
        <f>H34</f>
        <v>0</v>
      </c>
      <c r="M34" s="121"/>
      <c r="N34" s="86"/>
    </row>
    <row r="35" spans="2:16" s="71" customFormat="1" ht="15.75" customHeight="1" thickBot="1">
      <c r="C35" s="110" t="s">
        <v>162</v>
      </c>
      <c r="D35" s="160">
        <f>SUBTOTAL(9,D36:D45)</f>
        <v>5216.7000000000007</v>
      </c>
      <c r="E35" s="111">
        <f>SUBTOTAL(9,E36:E45)</f>
        <v>1467.3436093609359</v>
      </c>
      <c r="M35" s="122"/>
      <c r="N35" s="187"/>
      <c r="P35" s="187"/>
    </row>
    <row r="36" spans="2:16" s="71" customFormat="1" outlineLevel="1">
      <c r="B36" s="254" t="s">
        <v>305</v>
      </c>
      <c r="C36" s="186" t="s">
        <v>362</v>
      </c>
      <c r="D36" s="39">
        <v>1613</v>
      </c>
      <c r="E36" s="115">
        <f t="shared" ref="E36:E45" si="1">D36/$D$6</f>
        <v>453.70162016201618</v>
      </c>
      <c r="F36" s="112">
        <v>45840</v>
      </c>
      <c r="G36" s="71" t="s">
        <v>126</v>
      </c>
      <c r="H36" s="71">
        <f>IF(OR(G36="Sin pagar",G36="Pagar"),_xlfn.SINGLE(NETWORKDAYS($J$22,F36,FestivosPerú!$A$2:$A$15)),0)</f>
        <v>0</v>
      </c>
      <c r="I36" s="71">
        <f>NETWORKDAYS($J$22,F36,FestivosPerú!$A$2:$A$15)</f>
        <v>23</v>
      </c>
      <c r="J36" s="117">
        <f t="shared" ref="J36:J45" si="2">H36</f>
        <v>0</v>
      </c>
    </row>
    <row r="37" spans="2:16" s="71" customFormat="1" outlineLevel="1">
      <c r="B37" s="254" t="s">
        <v>357</v>
      </c>
      <c r="C37" s="186" t="s">
        <v>346</v>
      </c>
      <c r="D37" s="39">
        <f>118</f>
        <v>118</v>
      </c>
      <c r="E37" s="115">
        <f t="shared" si="1"/>
        <v>33.190819081908188</v>
      </c>
      <c r="F37" s="112">
        <v>45842</v>
      </c>
      <c r="G37" s="71" t="s">
        <v>126</v>
      </c>
      <c r="H37" s="71">
        <f>IF(OR(G37="Sin pagar",G37="Pagar"),_xlfn.SINGLE(NETWORKDAYS($J$22,F37,FestivosPerú!$A$2:$A$15)),0)</f>
        <v>0</v>
      </c>
      <c r="I37" s="71">
        <f>NETWORKDAYS($J$22,F37,FestivosPerú!$A$2:$A$15)</f>
        <v>25</v>
      </c>
      <c r="J37" s="117">
        <f t="shared" si="2"/>
        <v>0</v>
      </c>
    </row>
    <row r="38" spans="2:16" s="71" customFormat="1" outlineLevel="1">
      <c r="B38" s="254" t="s">
        <v>356</v>
      </c>
      <c r="C38" s="186" t="s">
        <v>345</v>
      </c>
      <c r="D38" s="39">
        <f>354.03</f>
        <v>354.03</v>
      </c>
      <c r="E38" s="115">
        <f t="shared" si="1"/>
        <v>99.580895589558949</v>
      </c>
      <c r="F38" s="112">
        <v>45842</v>
      </c>
      <c r="G38" s="71" t="s">
        <v>126</v>
      </c>
      <c r="H38" s="71">
        <f>IF(OR(G38="Sin pagar",G38="Pagar"),_xlfn.SINGLE(NETWORKDAYS($J$22,F38,FestivosPerú!$A$2:$A$15)),0)</f>
        <v>0</v>
      </c>
      <c r="I38" s="71">
        <f>NETWORKDAYS($J$22,F38,FestivosPerú!$A$2:$A$15)</f>
        <v>25</v>
      </c>
      <c r="J38" s="117">
        <f t="shared" si="2"/>
        <v>0</v>
      </c>
    </row>
    <row r="39" spans="2:16" s="71" customFormat="1" outlineLevel="1">
      <c r="B39" s="254" t="s">
        <v>354</v>
      </c>
      <c r="C39" s="186" t="s">
        <v>344</v>
      </c>
      <c r="D39" s="39">
        <f>343.72</f>
        <v>343.72</v>
      </c>
      <c r="E39" s="115">
        <f t="shared" si="1"/>
        <v>96.68091809180919</v>
      </c>
      <c r="F39" s="112">
        <v>45842</v>
      </c>
      <c r="G39" s="71" t="s">
        <v>126</v>
      </c>
      <c r="H39" s="71">
        <f>IF(OR(G39="Sin pagar",G39="Pagar"),_xlfn.SINGLE(NETWORKDAYS($J$22,F39,FestivosPerú!$A$2:$A$15)),0)</f>
        <v>0</v>
      </c>
      <c r="I39" s="71">
        <f>NETWORKDAYS($J$22,F39,FestivosPerú!$A$2:$A$15)</f>
        <v>25</v>
      </c>
      <c r="J39" s="117">
        <f t="shared" si="2"/>
        <v>0</v>
      </c>
    </row>
    <row r="40" spans="2:16" s="71" customFormat="1" outlineLevel="1">
      <c r="B40" s="254" t="s">
        <v>355</v>
      </c>
      <c r="C40" s="186" t="s">
        <v>347</v>
      </c>
      <c r="D40" s="39">
        <v>179.6</v>
      </c>
      <c r="E40" s="115">
        <f t="shared" si="1"/>
        <v>50.517551755175511</v>
      </c>
      <c r="F40" s="112">
        <v>45842</v>
      </c>
      <c r="G40" s="71" t="s">
        <v>126</v>
      </c>
      <c r="H40" s="71">
        <f>IF(OR(G40="Sin pagar",G40="Pagar"),_xlfn.SINGLE(NETWORKDAYS($J$22,F40,FestivosPerú!$A$2:$A$15)),0)</f>
        <v>0</v>
      </c>
      <c r="I40" s="71">
        <f>NETWORKDAYS($J$22,F40,FestivosPerú!$A$2:$A$15)</f>
        <v>25</v>
      </c>
      <c r="J40" s="117">
        <f t="shared" si="2"/>
        <v>0</v>
      </c>
    </row>
    <row r="41" spans="2:16" s="71" customFormat="1" outlineLevel="1">
      <c r="B41" s="254" t="s">
        <v>272</v>
      </c>
      <c r="C41" s="186" t="s">
        <v>362</v>
      </c>
      <c r="D41" s="39">
        <v>1613</v>
      </c>
      <c r="E41" s="115">
        <f t="shared" si="1"/>
        <v>453.70162016201618</v>
      </c>
      <c r="F41" s="112">
        <v>45871</v>
      </c>
      <c r="G41" s="71" t="s">
        <v>126</v>
      </c>
      <c r="H41" s="71">
        <f>IF(OR(G41="Sin pagar",G41="Pagar"),_xlfn.SINGLE(NETWORKDAYS($J$22,F41,FestivosPerú!$A$2:$A$15)),0)</f>
        <v>0</v>
      </c>
      <c r="I41" s="71">
        <f>NETWORKDAYS($J$22,F41,FestivosPerú!$A$2:$A$15)</f>
        <v>43</v>
      </c>
      <c r="J41" s="117">
        <f t="shared" si="2"/>
        <v>0</v>
      </c>
    </row>
    <row r="42" spans="2:16" s="71" customFormat="1" outlineLevel="1">
      <c r="B42" s="254" t="s">
        <v>272</v>
      </c>
      <c r="C42" s="186" t="s">
        <v>345</v>
      </c>
      <c r="D42" s="209">
        <f>354.03</f>
        <v>354.03</v>
      </c>
      <c r="E42" s="115">
        <f t="shared" si="1"/>
        <v>99.580895589558949</v>
      </c>
      <c r="F42" s="112">
        <v>45873</v>
      </c>
      <c r="G42" s="71" t="s">
        <v>126</v>
      </c>
      <c r="H42" s="71">
        <f>IF(OR(G42="Sin pagar",G42="Pagar"),_xlfn.SINGLE(NETWORKDAYS($J$22,F42,FestivosPerú!$A$2:$A$15)),0)</f>
        <v>0</v>
      </c>
      <c r="I42" s="71">
        <f>NETWORKDAYS($J$22,F42,FestivosPerú!$A$2:$A$15)</f>
        <v>44</v>
      </c>
      <c r="J42" s="117">
        <f t="shared" si="2"/>
        <v>0</v>
      </c>
    </row>
    <row r="43" spans="2:16" s="71" customFormat="1" outlineLevel="1">
      <c r="B43" s="254" t="s">
        <v>272</v>
      </c>
      <c r="C43" s="186" t="s">
        <v>436</v>
      </c>
      <c r="D43" s="209">
        <f>343.72</f>
        <v>343.72</v>
      </c>
      <c r="E43" s="115">
        <f t="shared" si="1"/>
        <v>96.68091809180919</v>
      </c>
      <c r="F43" s="112">
        <v>45873</v>
      </c>
      <c r="G43" s="71" t="s">
        <v>126</v>
      </c>
      <c r="H43" s="71">
        <f>IF(OR(G43="Sin pagar",G43="Pagar"),_xlfn.SINGLE(NETWORKDAYS($J$22,F43,FestivosPerú!$A$2:$A$15)),0)</f>
        <v>0</v>
      </c>
      <c r="I43" s="71">
        <f>NETWORKDAYS($J$22,F43,FestivosPerú!$A$2:$A$15)</f>
        <v>44</v>
      </c>
      <c r="J43" s="117">
        <f t="shared" si="2"/>
        <v>0</v>
      </c>
    </row>
    <row r="44" spans="2:16" s="71" customFormat="1" outlineLevel="1">
      <c r="B44" s="254" t="s">
        <v>272</v>
      </c>
      <c r="C44" s="186" t="s">
        <v>437</v>
      </c>
      <c r="D44" s="209">
        <f>118</f>
        <v>118</v>
      </c>
      <c r="E44" s="115">
        <f t="shared" si="1"/>
        <v>33.190819081908188</v>
      </c>
      <c r="F44" s="112">
        <v>45873</v>
      </c>
      <c r="G44" s="71" t="s">
        <v>126</v>
      </c>
      <c r="H44" s="71">
        <f>IF(OR(G44="Sin pagar",G44="Pagar"),_xlfn.SINGLE(NETWORKDAYS($J$22,F44,FestivosPerú!$A$2:$A$15)),0)</f>
        <v>0</v>
      </c>
      <c r="I44" s="71">
        <f>NETWORKDAYS($J$22,F44,FestivosPerú!$A$2:$A$15)</f>
        <v>44</v>
      </c>
      <c r="J44" s="117">
        <f t="shared" si="2"/>
        <v>0</v>
      </c>
    </row>
    <row r="45" spans="2:16" s="71" customFormat="1" ht="15" outlineLevel="1" thickBot="1">
      <c r="B45" s="254" t="s">
        <v>272</v>
      </c>
      <c r="C45" s="186" t="s">
        <v>438</v>
      </c>
      <c r="D45" s="209">
        <v>179.6</v>
      </c>
      <c r="E45" s="115">
        <f t="shared" si="1"/>
        <v>50.517551755175511</v>
      </c>
      <c r="F45" s="112">
        <v>45873</v>
      </c>
      <c r="G45" s="71" t="s">
        <v>126</v>
      </c>
      <c r="H45" s="71">
        <f>IF(OR(G45="Sin pagar",G45="Pagar"),_xlfn.SINGLE(NETWORKDAYS($J$22,F45,FestivosPerú!$A$2:$A$15)),0)</f>
        <v>0</v>
      </c>
      <c r="I45" s="71">
        <f>NETWORKDAYS($J$22,F45,FestivosPerú!$A$2:$A$15)</f>
        <v>44</v>
      </c>
      <c r="J45" s="117">
        <f t="shared" si="2"/>
        <v>0</v>
      </c>
    </row>
    <row r="46" spans="2:16" s="71" customFormat="1" ht="15.75" customHeight="1" thickBot="1">
      <c r="C46" s="110" t="s">
        <v>127</v>
      </c>
      <c r="D46" s="160">
        <f>SUBTOTAL(9,D47:D47)</f>
        <v>385.06760000000008</v>
      </c>
      <c r="E46" s="111">
        <f>SUBTOTAL(9,E47:E47)</f>
        <v>108.31109360936095</v>
      </c>
      <c r="M46" s="122"/>
      <c r="N46" s="187"/>
      <c r="P46" s="187"/>
    </row>
    <row r="47" spans="2:16" s="71" customFormat="1" ht="15" outlineLevel="1" thickBot="1">
      <c r="B47" s="125"/>
      <c r="C47" s="84" t="s">
        <v>127</v>
      </c>
      <c r="D47" s="39">
        <f>('BCP SOLES BCP'!$F$249+'BCP SOLES BCP'!$F$251+'BCP SOLES BCP'!$F$257+'BCP SOLES BCP'!$F$261+'BCP SOLES BCP'!$F$265+'BCP SOLES BCP'!$F$266+'BCP SOLES BCP'!$F$268+'BCP SOLES BCP'!$F$269+'BCP SOLES BCP'!$F$270+'BCP SOLES BCP'!$F$272+'BCP SOLES BCP'!$F$274+'BCP SOLES BCP'!$F$277+'BCP SOLES BCP'!$F$279+'BCP SOLES BCP'!$F$281+'BCP SOLES BCP'!$F$282+'BCP SOLES BCP'!$F$285+'BCP SOLES BCP'!F292+'BCP SOLES BCP'!$F$294+'BCP SOLES BCP'!$F$296+'BCP SOLES BCP'!$F$301+'BCP SOLES BCP'!$F$302+'BCP SOLES BCP'!$F$307)+(('BCP USD BCP'!$F$126+'BCP USD BCP'!$F$130+'BCP USD BCP'!$F$131+'BCP USD BCP'!$F$135+'BCP USD BCP'!$F$139+'BCP USD BCP'!$F$141+'BCP USD BCP'!$F$142+'BCP USD BCP'!$F$143*$D$6))</f>
        <v>385.06760000000008</v>
      </c>
      <c r="E47" s="115">
        <f>$D$47/$D$6</f>
        <v>108.31109360936095</v>
      </c>
      <c r="F47" s="112">
        <v>45869</v>
      </c>
      <c r="G47" s="71" t="s">
        <v>126</v>
      </c>
      <c r="H47" s="71">
        <f>IF(OR(G47="Sin pagar",G47="Pagar"),_xlfn.SINGLE(NETWORKDAYS($J$22,F47,FestivosPerú!$A$2:$A$15)),0)</f>
        <v>0</v>
      </c>
      <c r="I47" s="71">
        <f>NETWORKDAYS($J$22,F47,FestivosPerú!$A$2:$A$15)</f>
        <v>42</v>
      </c>
      <c r="J47" s="117">
        <f>H47</f>
        <v>0</v>
      </c>
      <c r="K47" s="120"/>
      <c r="L47" s="120"/>
    </row>
    <row r="48" spans="2:16" s="71" customFormat="1" ht="16.2" thickBot="1">
      <c r="C48" s="110" t="s">
        <v>128</v>
      </c>
      <c r="D48" s="160">
        <f>SUBTOTAL(9,D49:D56)</f>
        <v>76996.573549631532</v>
      </c>
      <c r="E48" s="111">
        <f>SUBTOTAL(9,E49:E56)</f>
        <v>25204.63663534664</v>
      </c>
      <c r="K48" s="89"/>
      <c r="L48" s="124"/>
      <c r="N48" s="122"/>
      <c r="O48" s="101"/>
    </row>
    <row r="49" spans="1:14" s="71" customFormat="1" outlineLevel="1">
      <c r="B49" s="125"/>
      <c r="C49" s="186" t="s">
        <v>358</v>
      </c>
      <c r="D49" s="39">
        <v>16996.95</v>
      </c>
      <c r="E49" s="115">
        <f t="shared" ref="E49:E54" si="3">D49/$D$6</f>
        <v>4780.8702745274531</v>
      </c>
      <c r="F49" s="112">
        <v>45849</v>
      </c>
      <c r="G49" s="71" t="s">
        <v>126</v>
      </c>
      <c r="H49" s="71">
        <f>IF(OR(G49="Sin pagar",G49="Pagar"),_xlfn.SINGLE(NETWORKDAYS($J$22,F49,FestivosPerú!$A$2:$A$15)),0)</f>
        <v>0</v>
      </c>
      <c r="I49" s="71">
        <f>NETWORKDAYS($J$22,F49,FestivosPerú!$A$2:$A$15)</f>
        <v>30</v>
      </c>
      <c r="J49" s="117">
        <f t="shared" ref="J49:J54" si="4">H49</f>
        <v>0</v>
      </c>
      <c r="K49" s="120"/>
      <c r="L49" s="120"/>
      <c r="M49" s="253"/>
      <c r="N49" s="122"/>
    </row>
    <row r="50" spans="1:14" s="71" customFormat="1" outlineLevel="1">
      <c r="B50" s="125"/>
      <c r="C50" s="186" t="s">
        <v>359</v>
      </c>
      <c r="D50" s="39">
        <v>7630</v>
      </c>
      <c r="E50" s="115">
        <f t="shared" si="3"/>
        <v>2146.152115211521</v>
      </c>
      <c r="F50" s="112">
        <v>45852</v>
      </c>
      <c r="G50" s="71" t="s">
        <v>126</v>
      </c>
      <c r="H50" s="71">
        <f>IF(OR(G50="Sin pagar",G50="Pagar"),_xlfn.SINGLE(NETWORKDAYS($J$22,F50,FestivosPerú!$A$2:$A$15)),0)</f>
        <v>0</v>
      </c>
      <c r="I50" s="71">
        <f>NETWORKDAYS($J$22,F50,FestivosPerú!$A$2:$A$15)</f>
        <v>31</v>
      </c>
      <c r="J50" s="117">
        <f t="shared" si="4"/>
        <v>0</v>
      </c>
      <c r="K50" s="120"/>
      <c r="L50" s="120"/>
      <c r="M50" s="253"/>
    </row>
    <row r="51" spans="1:14" s="126" customFormat="1" outlineLevel="1">
      <c r="B51" s="125"/>
      <c r="C51" s="186" t="s">
        <v>360</v>
      </c>
      <c r="D51" s="39">
        <v>5086.67</v>
      </c>
      <c r="E51" s="115">
        <f t="shared" si="3"/>
        <v>1430.76901440144</v>
      </c>
      <c r="F51" s="112">
        <v>45852</v>
      </c>
      <c r="G51" s="71" t="s">
        <v>126</v>
      </c>
      <c r="H51" s="71">
        <f>IF(OR(G51="Sin pagar",G51="Pagar"),_xlfn.SINGLE(NETWORKDAYS($J$22,F51,FestivosPerú!$A$2:$A$15)),0)</f>
        <v>0</v>
      </c>
      <c r="I51" s="71">
        <f>NETWORKDAYS($J$22,F51,FestivosPerú!$A$2:$A$15)</f>
        <v>31</v>
      </c>
      <c r="J51" s="117">
        <f t="shared" si="4"/>
        <v>0</v>
      </c>
      <c r="L51" s="127"/>
      <c r="M51" s="253"/>
    </row>
    <row r="52" spans="1:14" s="71" customFormat="1" outlineLevel="1">
      <c r="B52" s="125"/>
      <c r="C52" s="186" t="s">
        <v>146</v>
      </c>
      <c r="D52" s="39">
        <v>13823.91</v>
      </c>
      <c r="E52" s="115">
        <f t="shared" si="3"/>
        <v>3888.3635238523852</v>
      </c>
      <c r="F52" s="112">
        <v>45863</v>
      </c>
      <c r="G52" s="71" t="s">
        <v>126</v>
      </c>
      <c r="H52" s="71">
        <f>IF(OR(G52="Sin pagar",G52="Pagar"),_xlfn.SINGLE(NETWORKDAYS($J$22,F52,FestivosPerú!$A$2:$A$15)),0)</f>
        <v>0</v>
      </c>
      <c r="I52" s="71">
        <f>NETWORKDAYS($J$22,F52,FestivosPerú!$A$2:$A$15)</f>
        <v>39</v>
      </c>
      <c r="J52" s="117">
        <f t="shared" si="4"/>
        <v>0</v>
      </c>
      <c r="K52" s="120"/>
      <c r="L52" s="120"/>
      <c r="M52" s="253"/>
      <c r="N52" s="122"/>
    </row>
    <row r="53" spans="1:14" s="71" customFormat="1" outlineLevel="1">
      <c r="B53" s="125"/>
      <c r="C53" s="186" t="s">
        <v>176</v>
      </c>
      <c r="D53" s="39">
        <v>10903.283862749999</v>
      </c>
      <c r="E53" s="115">
        <f t="shared" si="3"/>
        <v>3066.8552719256295</v>
      </c>
      <c r="F53" s="112">
        <v>45863</v>
      </c>
      <c r="G53" s="71" t="s">
        <v>126</v>
      </c>
      <c r="H53" s="71">
        <f>IF(OR(G53="Sin pagar",G53="Pagar"),_xlfn.SINGLE(NETWORKDAYS($J$22,F53,FestivosPerú!$A$2:$A$15)),0)</f>
        <v>0</v>
      </c>
      <c r="I53" s="71">
        <f>NETWORKDAYS($J$22,F53,FestivosPerú!$A$2:$A$15)</f>
        <v>39</v>
      </c>
      <c r="J53" s="117">
        <f t="shared" si="4"/>
        <v>0</v>
      </c>
      <c r="K53" s="120"/>
      <c r="L53" s="120"/>
      <c r="M53" s="253"/>
    </row>
    <row r="54" spans="1:14" s="126" customFormat="1" outlineLevel="1">
      <c r="B54" s="125"/>
      <c r="C54" s="186" t="s">
        <v>275</v>
      </c>
      <c r="D54" s="39">
        <v>10983.892446234375</v>
      </c>
      <c r="E54" s="115">
        <f t="shared" si="3"/>
        <v>3089.528703373755</v>
      </c>
      <c r="F54" s="112">
        <v>45863</v>
      </c>
      <c r="G54" s="71" t="s">
        <v>126</v>
      </c>
      <c r="H54" s="71">
        <f>IF(OR(G54="Sin pagar",G54="Pagar"),_xlfn.SINGLE(NETWORKDAYS($J$22,F54,FestivosPerú!$A$2:$A$15)),0)</f>
        <v>0</v>
      </c>
      <c r="I54" s="71">
        <f>NETWORKDAYS($J$22,F54,FestivosPerú!$A$2:$A$15)</f>
        <v>39</v>
      </c>
      <c r="J54" s="117">
        <f t="shared" si="4"/>
        <v>0</v>
      </c>
      <c r="L54" s="127"/>
      <c r="M54" s="253"/>
    </row>
    <row r="55" spans="1:14" s="126" customFormat="1" outlineLevel="1">
      <c r="B55" s="125"/>
      <c r="C55" s="186" t="s">
        <v>409</v>
      </c>
      <c r="D55" s="39">
        <v>10488.400769</v>
      </c>
      <c r="E55" s="115">
        <f>D55/$D$6</f>
        <v>2950.1577320544552</v>
      </c>
      <c r="F55" s="112">
        <v>45865</v>
      </c>
      <c r="G55" s="71" t="s">
        <v>126</v>
      </c>
      <c r="H55" s="71">
        <f>IF(OR(G55="Sin pagar",G55="Pagar"),_xlfn.SINGLE(NETWORKDAYS($J$22,F55,FestivosPerú!$A$2:$A$15)),0)</f>
        <v>0</v>
      </c>
      <c r="I55" s="71">
        <f>NETWORKDAYS($J$22,F55,FestivosPerú!$A$2:$A$15)</f>
        <v>39</v>
      </c>
      <c r="J55" s="117">
        <f>H55</f>
        <v>0</v>
      </c>
      <c r="L55" s="127"/>
      <c r="M55" s="253"/>
    </row>
    <row r="56" spans="1:14" s="126" customFormat="1" ht="15" outlineLevel="1" thickBot="1">
      <c r="B56" s="125"/>
      <c r="C56" s="186" t="s">
        <v>410</v>
      </c>
      <c r="D56" s="39">
        <f>E56/D6</f>
        <v>1083.4664716471648</v>
      </c>
      <c r="E56" s="115">
        <v>3851.94</v>
      </c>
      <c r="F56" s="112">
        <v>45865</v>
      </c>
      <c r="G56" s="71" t="s">
        <v>126</v>
      </c>
      <c r="H56" s="71">
        <f>IF(OR(G56="Sin pagar",G56="Pagar"),_xlfn.SINGLE(NETWORKDAYS($J$22,F56,FestivosPerú!$A$2:$A$15)),0)</f>
        <v>0</v>
      </c>
      <c r="I56" s="71">
        <f>NETWORKDAYS($J$22,F56,FestivosPerú!$A$2:$A$15)</f>
        <v>39</v>
      </c>
      <c r="J56" s="117">
        <f>H56</f>
        <v>0</v>
      </c>
      <c r="L56" s="127"/>
      <c r="M56" s="253"/>
    </row>
    <row r="57" spans="1:14" s="71" customFormat="1" ht="16.2" thickBot="1">
      <c r="A57" s="126"/>
      <c r="B57" s="125"/>
      <c r="C57" s="110" t="s">
        <v>177</v>
      </c>
      <c r="D57" s="160">
        <f>SUBTOTAL(9,D58:D61)</f>
        <v>21311.670000000002</v>
      </c>
      <c r="E57" s="111">
        <f>SUBTOTAL(9,E58:E61)</f>
        <v>5994.5066381638153</v>
      </c>
      <c r="L57" s="89"/>
    </row>
    <row r="58" spans="1:14" s="71" customFormat="1" outlineLevel="1">
      <c r="A58" s="126"/>
      <c r="B58" s="128"/>
      <c r="C58" s="84" t="s">
        <v>178</v>
      </c>
      <c r="D58" s="39">
        <v>3280.08</v>
      </c>
      <c r="E58" s="115">
        <f>D58/$D$6</f>
        <v>922.61476147614758</v>
      </c>
      <c r="F58" s="112">
        <v>45855</v>
      </c>
      <c r="G58" s="71" t="s">
        <v>126</v>
      </c>
      <c r="H58" s="71">
        <f>IF(OR(G58="Sin pagar",G58="Pagar"),_xlfn.SINGLE(NETWORKDAYS($J$22,F58,FestivosPerú!$A$2:$A$15)),0)</f>
        <v>0</v>
      </c>
      <c r="I58" s="71">
        <f>NETWORKDAYS($J$22,F58,FestivosPerú!$A$2:$A$15)</f>
        <v>34</v>
      </c>
      <c r="J58" s="117">
        <f>H58</f>
        <v>0</v>
      </c>
      <c r="L58" s="89"/>
    </row>
    <row r="59" spans="1:14" s="71" customFormat="1" outlineLevel="1">
      <c r="A59" s="126"/>
      <c r="B59" s="128"/>
      <c r="C59" s="84" t="s">
        <v>178</v>
      </c>
      <c r="D59" s="39">
        <v>4594.33</v>
      </c>
      <c r="E59" s="115">
        <f>D59/$D$6</f>
        <v>1292.2845409540953</v>
      </c>
      <c r="F59" s="112">
        <v>45866</v>
      </c>
      <c r="G59" s="71" t="s">
        <v>126</v>
      </c>
      <c r="H59" s="71">
        <f>IF(OR(G59="Sin pagar",G59="Pagar"),_xlfn.SINGLE(NETWORKDAYS($J$22,F59,FestivosPerú!$A$2:$A$15)),0)</f>
        <v>0</v>
      </c>
      <c r="I59" s="71">
        <f>NETWORKDAYS($J$22,F59,FestivosPerú!$A$2:$A$15)</f>
        <v>39</v>
      </c>
      <c r="J59" s="117">
        <f>H59</f>
        <v>0</v>
      </c>
      <c r="L59" s="89"/>
    </row>
    <row r="60" spans="1:14" s="71" customFormat="1" outlineLevel="1">
      <c r="A60" s="126"/>
      <c r="B60" s="128"/>
      <c r="C60" s="84" t="s">
        <v>236</v>
      </c>
      <c r="D60" s="39">
        <v>12323.06</v>
      </c>
      <c r="E60" s="115">
        <f>D60/$D$6</f>
        <v>3466.2072457245722</v>
      </c>
      <c r="F60" s="112">
        <v>45866</v>
      </c>
      <c r="G60" s="71" t="s">
        <v>126</v>
      </c>
      <c r="H60" s="71">
        <f>IF(OR(G60="Sin pagar",G60="Pagar"),_xlfn.SINGLE(NETWORKDAYS($J$22,F60,FestivosPerú!$A$2:$A$15)),0)</f>
        <v>0</v>
      </c>
      <c r="I60" s="71">
        <f>NETWORKDAYS($J$22,F60,FestivosPerú!$A$2:$A$15)</f>
        <v>39</v>
      </c>
      <c r="J60" s="117">
        <f>H60</f>
        <v>0</v>
      </c>
      <c r="L60" s="89"/>
    </row>
    <row r="61" spans="1:14" s="71" customFormat="1" ht="15" outlineLevel="1" thickBot="1">
      <c r="A61" s="126"/>
      <c r="B61" s="128"/>
      <c r="C61" s="84" t="s">
        <v>326</v>
      </c>
      <c r="D61" s="39">
        <v>1114.2</v>
      </c>
      <c r="E61" s="115">
        <f>D61/$D$6</f>
        <v>313.40009000900091</v>
      </c>
      <c r="F61" s="112">
        <v>45866</v>
      </c>
      <c r="G61" s="71" t="s">
        <v>126</v>
      </c>
      <c r="H61" s="71">
        <f>IF(OR(G61="Sin pagar",G61="Pagar"),_xlfn.SINGLE(NETWORKDAYS($J$22,F61,FestivosPerú!$A$2:$A$15)),0)</f>
        <v>0</v>
      </c>
      <c r="I61" s="71">
        <f>NETWORKDAYS($J$22,F61,FestivosPerú!$A$2:$A$15)</f>
        <v>39</v>
      </c>
      <c r="J61" s="117">
        <f>H61</f>
        <v>0</v>
      </c>
      <c r="L61" s="89"/>
    </row>
    <row r="62" spans="1:14" s="71" customFormat="1" ht="16.2" thickBot="1">
      <c r="A62" s="126"/>
      <c r="B62" s="125"/>
      <c r="C62" s="110" t="s">
        <v>129</v>
      </c>
      <c r="D62" s="160">
        <f>SUBTOTAL(9,D63:D63)</f>
        <v>0</v>
      </c>
      <c r="E62" s="111">
        <f>SUBTOTAL(9,E63:E63)</f>
        <v>0</v>
      </c>
      <c r="L62" s="89"/>
    </row>
    <row r="63" spans="1:14" s="71" customFormat="1" ht="15" outlineLevel="1" thickBot="1">
      <c r="A63" s="126"/>
      <c r="B63" s="128"/>
      <c r="C63" s="84" t="s">
        <v>335</v>
      </c>
      <c r="D63" s="39">
        <v>0</v>
      </c>
      <c r="E63" s="115">
        <f>D63/$D$6</f>
        <v>0</v>
      </c>
      <c r="F63" s="112">
        <v>45869</v>
      </c>
      <c r="G63" s="71" t="s">
        <v>126</v>
      </c>
      <c r="H63" s="71">
        <f>IF(OR(G63="Sin pagar",G63="Pagar"),_xlfn.SINGLE(NETWORKDAYS($J$22,F63,FestivosPerú!$A$2:$A$15)),0)</f>
        <v>0</v>
      </c>
      <c r="I63" s="71">
        <f>NETWORKDAYS($J$22,F63,FestivosPerú!$A$2:$A$15)</f>
        <v>42</v>
      </c>
      <c r="J63" s="117">
        <f>H63</f>
        <v>0</v>
      </c>
      <c r="L63" s="89"/>
    </row>
    <row r="64" spans="1:14" s="71" customFormat="1" ht="16.2" thickBot="1">
      <c r="A64" s="126"/>
      <c r="B64" s="125"/>
      <c r="C64" s="110" t="s">
        <v>439</v>
      </c>
      <c r="D64" s="160">
        <f>SUBTOTAL(9,D65:D69)</f>
        <v>6724.07</v>
      </c>
      <c r="E64" s="111">
        <f>SUBTOTAL(9,E65:E69)</f>
        <v>1891.3338208820883</v>
      </c>
      <c r="L64" s="89"/>
    </row>
    <row r="65" spans="1:16" s="71" customFormat="1" outlineLevel="1">
      <c r="A65" s="126"/>
      <c r="B65" s="128"/>
      <c r="C65" s="291" t="s">
        <v>416</v>
      </c>
      <c r="D65" s="39">
        <f>'BCP SOLES BCP'!F286</f>
        <v>3562.39</v>
      </c>
      <c r="E65" s="115">
        <f>D65/$D$6</f>
        <v>1002.0223897389739</v>
      </c>
      <c r="F65" s="112">
        <v>45866</v>
      </c>
      <c r="G65" s="71" t="s">
        <v>126</v>
      </c>
      <c r="J65" s="117"/>
      <c r="L65" s="89"/>
    </row>
    <row r="66" spans="1:16" s="71" customFormat="1" outlineLevel="1">
      <c r="A66" s="126"/>
      <c r="B66" s="128"/>
      <c r="C66" s="291" t="s">
        <v>418</v>
      </c>
      <c r="D66" s="39">
        <f>'BCP SOLES BCP'!F288</f>
        <v>3027.61</v>
      </c>
      <c r="E66" s="115">
        <f>D66/$D$6</f>
        <v>851.60047254725475</v>
      </c>
      <c r="F66" s="112">
        <v>45866</v>
      </c>
      <c r="G66" s="71" t="s">
        <v>126</v>
      </c>
      <c r="J66" s="117"/>
      <c r="L66" s="89"/>
    </row>
    <row r="67" spans="1:16" s="71" customFormat="1" outlineLevel="1">
      <c r="A67" s="126"/>
      <c r="B67" s="128"/>
      <c r="C67" s="291" t="s">
        <v>434</v>
      </c>
      <c r="D67" s="39">
        <f>'BCP SOLES BCP'!F305</f>
        <v>70</v>
      </c>
      <c r="E67" s="115">
        <f>D67/$D$6</f>
        <v>19.689468946894689</v>
      </c>
      <c r="F67" s="112">
        <v>45870</v>
      </c>
      <c r="G67" s="71" t="s">
        <v>126</v>
      </c>
      <c r="J67" s="117"/>
      <c r="L67" s="89"/>
    </row>
    <row r="68" spans="1:16" s="71" customFormat="1" outlineLevel="1">
      <c r="A68" s="126"/>
      <c r="B68" s="128"/>
      <c r="C68" s="291" t="s">
        <v>434</v>
      </c>
      <c r="D68" s="39">
        <f>'BCP SOLES BCP'!F309</f>
        <v>54.17</v>
      </c>
      <c r="E68" s="115">
        <f>D68/$D$6</f>
        <v>15.236836183618362</v>
      </c>
      <c r="F68" s="112">
        <v>45873</v>
      </c>
      <c r="G68" s="71" t="s">
        <v>126</v>
      </c>
      <c r="J68" s="117"/>
      <c r="L68" s="89"/>
    </row>
    <row r="69" spans="1:16" s="71" customFormat="1" ht="15" outlineLevel="1" thickBot="1">
      <c r="A69" s="126"/>
      <c r="B69" s="128"/>
      <c r="C69" s="291" t="s">
        <v>440</v>
      </c>
      <c r="D69" s="39">
        <f>'BCP SOLES BCP'!F287+'BCP SOLES BCP'!F289+'BCP SOLES BCP'!F290</f>
        <v>9.9</v>
      </c>
      <c r="E69" s="115">
        <f>D69/$D$6</f>
        <v>2.7846534653465347</v>
      </c>
      <c r="F69" s="112">
        <v>45874</v>
      </c>
      <c r="G69" s="71" t="s">
        <v>126</v>
      </c>
      <c r="J69" s="117"/>
      <c r="L69" s="89"/>
    </row>
    <row r="70" spans="1:16" ht="15.6">
      <c r="C70" s="129" t="s">
        <v>130</v>
      </c>
      <c r="D70" s="227">
        <f>SUBTOTAL(9,D24:D69)</f>
        <v>131060.34114963152</v>
      </c>
      <c r="E70" s="228">
        <f>SUBTOTAL(9,E24:E69)</f>
        <v>40096.279187101813</v>
      </c>
    </row>
    <row r="71" spans="1:16" s="238" customFormat="1" ht="15.6">
      <c r="B71" s="239"/>
      <c r="C71" s="240"/>
      <c r="D71" s="241"/>
      <c r="E71" s="242"/>
    </row>
    <row r="72" spans="1:16" ht="15.6">
      <c r="A72" s="71"/>
      <c r="C72" s="134" t="s">
        <v>3</v>
      </c>
      <c r="D72" s="170">
        <f>D19-D70</f>
        <v>50406.746642035127</v>
      </c>
      <c r="E72" s="135">
        <f>E19-E70</f>
        <v>11459.346525000641</v>
      </c>
      <c r="F72" s="136"/>
      <c r="G72" s="137"/>
      <c r="J72" s="137"/>
    </row>
    <row r="73" spans="1:16" s="141" customFormat="1" ht="15.6">
      <c r="A73" s="71"/>
      <c r="B73" s="138"/>
      <c r="C73" s="134" t="s">
        <v>131</v>
      </c>
      <c r="D73" s="139">
        <f>IF($D$19=0,0,D72/$D$19)</f>
        <v>0.27777349190672312</v>
      </c>
      <c r="E73" s="139">
        <f>IF($E$19=0,0,E72/$E$19)</f>
        <v>0.2222715051310222</v>
      </c>
      <c r="F73" s="140"/>
      <c r="G73" s="137"/>
      <c r="J73" s="142"/>
      <c r="K73" s="247"/>
      <c r="L73" s="247"/>
      <c r="N73" s="247"/>
      <c r="O73" s="247"/>
      <c r="P73" s="247"/>
    </row>
    <row r="76" spans="1:16" ht="15" thickBot="1">
      <c r="C76" s="143" t="s">
        <v>132</v>
      </c>
      <c r="D76" s="144" t="s">
        <v>133</v>
      </c>
      <c r="E76" s="145" t="s">
        <v>303</v>
      </c>
      <c r="F76" s="145" t="s">
        <v>304</v>
      </c>
    </row>
    <row r="77" spans="1:16">
      <c r="C77" s="197">
        <v>45839</v>
      </c>
      <c r="D77" s="198">
        <v>45844</v>
      </c>
      <c r="E77" s="199">
        <f t="shared" ref="E77:E82" si="5">SUMIFS($D$23:$D$74,$F$23:$F$74,"&gt;="&amp;C77,$F$23:$F$74,"&lt;="&amp;D77,$G$23:$G$74,$D$94)</f>
        <v>0</v>
      </c>
      <c r="F77" s="200">
        <f t="shared" ref="F77:F82" si="6">SUMIFS($E$23:$E$74,$F$23:$F$74,"&gt;="&amp;C77,$F$23:$F$74,"&lt;="&amp;D77,$G$23:$G$74,$D$94)</f>
        <v>0</v>
      </c>
      <c r="G77" s="247" t="s">
        <v>336</v>
      </c>
    </row>
    <row r="78" spans="1:16">
      <c r="C78" s="201">
        <v>45845</v>
      </c>
      <c r="D78" s="202">
        <v>45851</v>
      </c>
      <c r="E78" s="203">
        <f t="shared" si="5"/>
        <v>0</v>
      </c>
      <c r="F78" s="204">
        <f t="shared" si="6"/>
        <v>0</v>
      </c>
      <c r="G78" s="247" t="s">
        <v>337</v>
      </c>
    </row>
    <row r="79" spans="1:16">
      <c r="C79" s="201">
        <v>45852</v>
      </c>
      <c r="D79" s="202">
        <v>45858</v>
      </c>
      <c r="E79" s="203">
        <f t="shared" si="5"/>
        <v>0</v>
      </c>
      <c r="F79" s="204">
        <f t="shared" si="6"/>
        <v>0</v>
      </c>
      <c r="G79" s="247" t="s">
        <v>338</v>
      </c>
    </row>
    <row r="80" spans="1:16">
      <c r="C80" s="201">
        <v>45859</v>
      </c>
      <c r="D80" s="202">
        <v>45865</v>
      </c>
      <c r="E80" s="203">
        <f t="shared" si="5"/>
        <v>0</v>
      </c>
      <c r="F80" s="204">
        <f t="shared" si="6"/>
        <v>0</v>
      </c>
      <c r="G80" s="247" t="s">
        <v>339</v>
      </c>
    </row>
    <row r="81" spans="2:13">
      <c r="C81" s="201">
        <v>45866</v>
      </c>
      <c r="D81" s="202">
        <v>45869</v>
      </c>
      <c r="E81" s="203">
        <f t="shared" si="5"/>
        <v>0</v>
      </c>
      <c r="F81" s="204">
        <f t="shared" si="6"/>
        <v>0</v>
      </c>
      <c r="G81" s="247" t="s">
        <v>340</v>
      </c>
    </row>
    <row r="82" spans="2:13" s="294" customFormat="1" ht="15" thickBot="1">
      <c r="B82" s="293"/>
      <c r="C82" s="205">
        <v>45870</v>
      </c>
      <c r="D82" s="206">
        <v>45874</v>
      </c>
      <c r="E82" s="207">
        <f t="shared" si="5"/>
        <v>0</v>
      </c>
      <c r="F82" s="208">
        <f t="shared" si="6"/>
        <v>0</v>
      </c>
      <c r="G82" s="294" t="s">
        <v>441</v>
      </c>
    </row>
    <row r="83" spans="2:13" ht="15.6">
      <c r="C83" s="524" t="s">
        <v>136</v>
      </c>
      <c r="D83" s="524"/>
      <c r="E83" s="227">
        <f>SUM(E77:E82)</f>
        <v>0</v>
      </c>
      <c r="F83" s="153">
        <f>SUM(F77:F82)</f>
        <v>0</v>
      </c>
      <c r="G83" s="77"/>
      <c r="K83" s="137"/>
      <c r="M83" s="154"/>
    </row>
    <row r="86" spans="2:13">
      <c r="C86" s="525"/>
      <c r="D86" s="526"/>
      <c r="J86" s="154">
        <f>F79+'BCP SOLES BCP'!J259</f>
        <v>0</v>
      </c>
    </row>
    <row r="87" spans="2:13">
      <c r="C87" s="525"/>
      <c r="D87" s="526"/>
    </row>
    <row r="88" spans="2:13">
      <c r="C88" s="522" t="s">
        <v>208</v>
      </c>
      <c r="D88" s="522"/>
      <c r="E88" s="39">
        <f>'BCP SOLES BCP'!$G$300+('BCP USD BCP'!$G$299*$D$6)</f>
        <v>66338.360300133412</v>
      </c>
      <c r="F88" s="154">
        <f>'BCP USD BCP'!$G$299+('BCP SOLES BCP'!$G$300/$D$6)</f>
        <v>18659.529787391257</v>
      </c>
    </row>
    <row r="89" spans="2:13">
      <c r="C89" s="522" t="s">
        <v>341</v>
      </c>
      <c r="D89" s="522"/>
      <c r="E89" s="39">
        <f>SUM(E77:E79)</f>
        <v>0</v>
      </c>
      <c r="F89" s="154">
        <f>SUM(F77:F79)</f>
        <v>0</v>
      </c>
    </row>
    <row r="90" spans="2:13">
      <c r="C90" s="523" t="s">
        <v>138</v>
      </c>
      <c r="D90" s="523"/>
      <c r="E90" s="156">
        <f>E88-E89</f>
        <v>66338.360300133412</v>
      </c>
      <c r="F90" s="157">
        <f>F88-F89</f>
        <v>18659.529787391257</v>
      </c>
    </row>
    <row r="93" spans="2:13">
      <c r="D93" s="231" t="s">
        <v>126</v>
      </c>
      <c r="E93" s="39">
        <f>SUMIFS($D$23:$D$74,$F$23:$F$74,"&gt;="&amp;C77,$F$23:$F$74,"&lt;="&amp;D82,$G$23:$G$74,$D$93)</f>
        <v>131060.34114963152</v>
      </c>
      <c r="F93" s="154">
        <f>SUMIFS($E$23:$E$74,$F$23:$F$74,"&gt;="&amp;$C$77,$F$23:$F$74,"&lt;="&amp;$D$82,$G$23:$G$74,$D$93)</f>
        <v>40096.279187101813</v>
      </c>
    </row>
    <row r="94" spans="2:13">
      <c r="D94" s="231" t="s">
        <v>116</v>
      </c>
      <c r="E94" s="39">
        <f>SUMIFS($D$23:$D$74,$F$23:$F$74,"&gt;="&amp;C77,$F$23:$F$74,"&lt;="&amp;D82,$G$23:$G$74,$D$94)</f>
        <v>0</v>
      </c>
      <c r="F94" s="154">
        <f>SUMIFS($E$23:$E$74,$F$23:$F$74,"&gt;="&amp;$C$77,$F$23:$F$74,"&lt;="&amp;$D$81,$G$23:$G$74,$D$94)</f>
        <v>0</v>
      </c>
    </row>
    <row r="95" spans="2:13">
      <c r="D95" s="248" t="s">
        <v>249</v>
      </c>
      <c r="E95" s="167">
        <f>SUM(E93:E94)</f>
        <v>131060.34114963152</v>
      </c>
      <c r="F95" s="168">
        <f>SUM(F93:F94)</f>
        <v>40096.279187101813</v>
      </c>
    </row>
    <row r="96" spans="2:13">
      <c r="D96" s="248" t="s">
        <v>140</v>
      </c>
      <c r="E96" s="167">
        <f>D70-E95</f>
        <v>0</v>
      </c>
      <c r="F96" s="168">
        <f>E70-F95</f>
        <v>0</v>
      </c>
    </row>
    <row r="97" spans="2:6" s="294" customFormat="1">
      <c r="B97" s="293"/>
      <c r="D97" s="295"/>
      <c r="E97" s="167"/>
      <c r="F97" s="168"/>
    </row>
    <row r="99" spans="2:6" s="294" customFormat="1">
      <c r="B99" s="293"/>
      <c r="D99" s="295" t="s">
        <v>198</v>
      </c>
      <c r="E99" s="39">
        <f>D72</f>
        <v>50406.746642035127</v>
      </c>
    </row>
    <row r="100" spans="2:6" s="294" customFormat="1">
      <c r="B100" s="293"/>
      <c r="D100" s="295" t="s">
        <v>199</v>
      </c>
      <c r="E100" s="39">
        <f>'BCP SOLES BCP'!G309+('BCP USD BCP'!G144*$D$6)</f>
        <v>50406.750858666644</v>
      </c>
    </row>
    <row r="101" spans="2:6" s="294" customFormat="1">
      <c r="B101" s="293"/>
      <c r="D101" s="295" t="s">
        <v>39</v>
      </c>
      <c r="E101" s="39">
        <f>E99-E100</f>
        <v>-4.2166315179201774E-3</v>
      </c>
    </row>
    <row r="102" spans="2:6" s="294" customFormat="1">
      <c r="B102" s="293"/>
      <c r="D102" s="295" t="s">
        <v>200</v>
      </c>
      <c r="E102" s="39">
        <f>E101/D6</f>
        <v>-1.1860462190369536E-3</v>
      </c>
    </row>
    <row r="103" spans="2:6" s="294" customFormat="1">
      <c r="B103" s="293"/>
      <c r="D103" s="295"/>
      <c r="E103" s="295"/>
    </row>
    <row r="104" spans="2:6" s="294" customFormat="1">
      <c r="B104" s="293"/>
      <c r="D104" s="295"/>
      <c r="E104" s="295"/>
    </row>
    <row r="105" spans="2:6" s="294" customFormat="1">
      <c r="B105" s="293"/>
      <c r="D105" s="295"/>
      <c r="E105" s="295"/>
    </row>
    <row r="106" spans="2:6" s="294" customFormat="1">
      <c r="B106" s="293"/>
      <c r="D106" s="295"/>
      <c r="E106" s="295"/>
    </row>
    <row r="107" spans="2:6" s="294" customFormat="1">
      <c r="B107" s="293"/>
      <c r="D107" s="295"/>
      <c r="E107" s="295"/>
    </row>
    <row r="108" spans="2:6" s="294" customFormat="1">
      <c r="B108" s="293"/>
      <c r="D108" s="295"/>
      <c r="E108" s="295"/>
    </row>
    <row r="109" spans="2:6" s="294" customFormat="1">
      <c r="B109" s="293"/>
      <c r="D109" s="295"/>
      <c r="E109" s="295"/>
    </row>
    <row r="110" spans="2:6" s="294" customFormat="1">
      <c r="B110" s="293"/>
      <c r="D110" s="295"/>
      <c r="E110" s="295"/>
    </row>
    <row r="111" spans="2:6" s="294" customFormat="1">
      <c r="B111" s="293"/>
      <c r="D111" s="295"/>
      <c r="E111" s="295"/>
    </row>
    <row r="112" spans="2:6" s="294" customFormat="1">
      <c r="B112" s="293"/>
      <c r="D112" s="295"/>
      <c r="E112" s="295"/>
    </row>
    <row r="113" spans="2:5" s="294" customFormat="1">
      <c r="B113" s="293"/>
      <c r="D113" s="295"/>
      <c r="E113" s="295"/>
    </row>
    <row r="114" spans="2:5" s="294" customFormat="1">
      <c r="B114" s="293"/>
      <c r="D114" s="295"/>
      <c r="E114" s="295"/>
    </row>
    <row r="115" spans="2:5" s="294" customFormat="1">
      <c r="B115" s="293"/>
      <c r="D115" s="295"/>
      <c r="E115" s="295"/>
    </row>
    <row r="116" spans="2:5" s="294" customFormat="1">
      <c r="B116" s="293"/>
      <c r="D116" s="295"/>
      <c r="E116" s="295"/>
    </row>
    <row r="117" spans="2:5" s="294" customFormat="1">
      <c r="B117" s="293"/>
      <c r="D117" s="295"/>
      <c r="E117" s="295"/>
    </row>
    <row r="118" spans="2:5" s="294" customFormat="1">
      <c r="B118" s="293"/>
      <c r="D118" s="295"/>
      <c r="E118" s="295"/>
    </row>
    <row r="119" spans="2:5" s="294" customFormat="1">
      <c r="B119" s="293"/>
      <c r="D119" s="295"/>
      <c r="E119" s="295"/>
    </row>
    <row r="120" spans="2:5" s="294" customFormat="1">
      <c r="B120" s="293"/>
      <c r="D120" s="295"/>
      <c r="E120" s="295"/>
    </row>
    <row r="121" spans="2:5" s="294" customFormat="1">
      <c r="B121" s="293"/>
      <c r="D121" s="295"/>
      <c r="E121" s="295"/>
    </row>
    <row r="122" spans="2:5" s="294" customFormat="1">
      <c r="B122" s="293"/>
      <c r="D122" s="295"/>
      <c r="E122" s="295"/>
    </row>
    <row r="123" spans="2:5" s="294" customFormat="1">
      <c r="B123" s="293"/>
      <c r="D123" s="295"/>
      <c r="E123" s="295"/>
    </row>
    <row r="124" spans="2:5" s="294" customFormat="1">
      <c r="B124" s="293"/>
      <c r="D124" s="295"/>
      <c r="E124" s="295"/>
    </row>
    <row r="125" spans="2:5" s="294" customFormat="1">
      <c r="B125" s="293"/>
      <c r="D125" s="295"/>
      <c r="E125" s="295"/>
    </row>
    <row r="126" spans="2:5" s="294" customFormat="1">
      <c r="B126" s="293"/>
      <c r="D126" s="295"/>
      <c r="E126" s="295"/>
    </row>
    <row r="127" spans="2:5" s="294" customFormat="1">
      <c r="B127" s="293"/>
      <c r="D127" s="295"/>
      <c r="E127" s="295"/>
    </row>
    <row r="128" spans="2:5" s="294" customFormat="1" ht="15" thickBot="1">
      <c r="B128" s="293"/>
      <c r="D128" s="295"/>
      <c r="E128" s="295"/>
    </row>
    <row r="129" spans="3:7">
      <c r="C129" s="527" t="s">
        <v>377</v>
      </c>
      <c r="D129" s="528"/>
      <c r="E129" s="528"/>
      <c r="F129" s="528"/>
      <c r="G129" s="529"/>
    </row>
    <row r="130" spans="3:7">
      <c r="C130" s="259"/>
      <c r="D130" s="257"/>
      <c r="E130" s="257"/>
      <c r="F130" s="260"/>
      <c r="G130" s="261"/>
    </row>
    <row r="131" spans="3:7">
      <c r="C131" s="262" t="s">
        <v>338</v>
      </c>
      <c r="D131" s="39">
        <f>D29</f>
        <v>1540.35</v>
      </c>
      <c r="E131" s="115">
        <f>D131/$D$6</f>
        <v>433.26676417641761</v>
      </c>
      <c r="F131" s="263">
        <v>45852</v>
      </c>
      <c r="G131" s="261"/>
    </row>
    <row r="132" spans="3:7">
      <c r="C132" s="264" t="s">
        <v>359</v>
      </c>
      <c r="D132" s="39">
        <f>D50</f>
        <v>7630</v>
      </c>
      <c r="E132" s="115">
        <f>D132/$D$6</f>
        <v>2146.152115211521</v>
      </c>
      <c r="F132" s="263">
        <v>45852</v>
      </c>
      <c r="G132" s="261"/>
    </row>
    <row r="133" spans="3:7">
      <c r="C133" s="264" t="s">
        <v>360</v>
      </c>
      <c r="D133" s="39">
        <f>D51</f>
        <v>5086.67</v>
      </c>
      <c r="E133" s="115">
        <f>D133/$D$6</f>
        <v>1430.76901440144</v>
      </c>
      <c r="F133" s="263">
        <v>45852</v>
      </c>
      <c r="G133" s="261"/>
    </row>
    <row r="134" spans="3:7">
      <c r="C134" s="262" t="s">
        <v>374</v>
      </c>
      <c r="D134" s="39" t="e">
        <f>#REF!</f>
        <v>#REF!</v>
      </c>
      <c r="E134" s="115" t="e">
        <f>D134/$D$6</f>
        <v>#REF!</v>
      </c>
      <c r="F134" s="263">
        <v>45856</v>
      </c>
      <c r="G134" s="261"/>
    </row>
    <row r="135" spans="3:7">
      <c r="C135" s="265" t="s">
        <v>61</v>
      </c>
      <c r="D135" s="167" t="e">
        <f>SUM(D131:D134)</f>
        <v>#REF!</v>
      </c>
      <c r="E135" s="258" t="e">
        <f>SUM(E131:E134)</f>
        <v>#REF!</v>
      </c>
      <c r="F135" s="260"/>
      <c r="G135" s="261"/>
    </row>
    <row r="136" spans="3:7">
      <c r="C136" s="259"/>
      <c r="D136" s="257"/>
      <c r="E136" s="257"/>
      <c r="F136" s="260"/>
      <c r="G136" s="261"/>
    </row>
    <row r="137" spans="3:7">
      <c r="C137" s="262" t="s">
        <v>378</v>
      </c>
      <c r="D137" s="39">
        <f>'BCP SOLES BCP'!G261</f>
        <v>3857.5109956666811</v>
      </c>
      <c r="E137" s="115">
        <f>D137/'Diferencia Cambio S&amp;P'!S23</f>
        <v>1096.5068208262312</v>
      </c>
      <c r="F137" s="260"/>
      <c r="G137" s="261"/>
    </row>
    <row r="138" spans="3:7">
      <c r="C138" s="264" t="s">
        <v>375</v>
      </c>
      <c r="D138" s="39" t="e">
        <f>D135-D137</f>
        <v>#REF!</v>
      </c>
      <c r="E138" s="115" t="e">
        <f>D138/'Diferencia Cambio S&amp;P'!S23</f>
        <v>#REF!</v>
      </c>
      <c r="F138" s="260"/>
      <c r="G138" s="261"/>
    </row>
    <row r="139" spans="3:7">
      <c r="C139" s="264" t="s">
        <v>376</v>
      </c>
      <c r="D139" s="39">
        <f>E139*'Diferencia Cambio S&amp;P'!S23</f>
        <v>13720.199999999999</v>
      </c>
      <c r="E139" s="115">
        <v>3900</v>
      </c>
      <c r="F139" s="270" t="e">
        <f>E139-E138</f>
        <v>#REF!</v>
      </c>
      <c r="G139" s="261"/>
    </row>
    <row r="140" spans="3:7">
      <c r="C140" s="265" t="s">
        <v>61</v>
      </c>
      <c r="D140" s="167">
        <f>D139+D137</f>
        <v>17577.710995666679</v>
      </c>
      <c r="E140" s="258">
        <f>E139+E137</f>
        <v>4996.506820826231</v>
      </c>
      <c r="F140" s="260"/>
      <c r="G140" s="261"/>
    </row>
    <row r="141" spans="3:7" ht="15" thickBot="1">
      <c r="C141" s="266"/>
      <c r="D141" s="267"/>
      <c r="E141" s="267"/>
      <c r="F141" s="268"/>
      <c r="G141" s="269"/>
    </row>
  </sheetData>
  <protectedRanges>
    <protectedRange sqref="F19:G19 D74:E74 D10:E12 D14:D18" name="Presupuestos"/>
    <protectedRange sqref="D8:E8 D23:E23" name="Presupuestos_1"/>
    <protectedRange sqref="D31:E34" name="Presupuestos_13_1"/>
    <protectedRange sqref="D61 E132:E133 E58:E61 E49:E56" name="Presupuestos_2_1_1_1"/>
    <protectedRange sqref="K60 D60 K49:K56 E63 E134 E65:E69" name="Presupuestos_6_1_1_1"/>
    <protectedRange sqref="D47:E47 D36:E45" name="Presupuestos_7_1"/>
    <protectedRange sqref="D58 D63 D134 D65:D69" name="Presupuestos_5_3"/>
    <protectedRange sqref="D132:D133 D49:D56" name="Presupuestos_6_1_1_1_1"/>
  </protectedRanges>
  <autoFilter ref="A23:S73" xr:uid="{D3DFDCAE-1A32-463E-A12B-7600D36D7881}"/>
  <mergeCells count="11">
    <mergeCell ref="C87:D87"/>
    <mergeCell ref="C88:D88"/>
    <mergeCell ref="C89:D89"/>
    <mergeCell ref="C129:G129"/>
    <mergeCell ref="C90:D90"/>
    <mergeCell ref="D7:E7"/>
    <mergeCell ref="B22:C22"/>
    <mergeCell ref="D22:E22"/>
    <mergeCell ref="F22:G22"/>
    <mergeCell ref="C83:D83"/>
    <mergeCell ref="C86:D86"/>
  </mergeCells>
  <conditionalFormatting sqref="J25:J26 J63 J58:J61 J31:J34 J36:J45 J65:J69">
    <cfRule type="cellIs" dxfId="342" priority="67" operator="between">
      <formula>1</formula>
      <formula>5</formula>
    </cfRule>
    <cfRule type="cellIs" dxfId="341" priority="68" operator="between">
      <formula>16</formula>
      <formula>60</formula>
    </cfRule>
  </conditionalFormatting>
  <conditionalFormatting sqref="J25:J26 J63 J58:J61 J31:J34 J36:J45 J65:J69">
    <cfRule type="cellIs" dxfId="340" priority="65" operator="lessThan">
      <formula>0</formula>
    </cfRule>
  </conditionalFormatting>
  <conditionalFormatting sqref="J28">
    <cfRule type="cellIs" dxfId="339" priority="15" operator="between">
      <formula>1</formula>
      <formula>5</formula>
    </cfRule>
    <cfRule type="cellIs" dxfId="338" priority="16" operator="between">
      <formula>16</formula>
      <formula>60</formula>
    </cfRule>
  </conditionalFormatting>
  <conditionalFormatting sqref="J28">
    <cfRule type="cellIs" dxfId="337" priority="14" operator="lessThan">
      <formula>0</formula>
    </cfRule>
  </conditionalFormatting>
  <conditionalFormatting sqref="J29">
    <cfRule type="cellIs" dxfId="336" priority="12" operator="between">
      <formula>1</formula>
      <formula>5</formula>
    </cfRule>
    <cfRule type="cellIs" dxfId="335" priority="13" operator="between">
      <formula>16</formula>
      <formula>60</formula>
    </cfRule>
  </conditionalFormatting>
  <conditionalFormatting sqref="J29">
    <cfRule type="cellIs" dxfId="334" priority="11" operator="lessThan">
      <formula>0</formula>
    </cfRule>
  </conditionalFormatting>
  <conditionalFormatting sqref="J49">
    <cfRule type="cellIs" dxfId="333" priority="10" operator="lessThan">
      <formula>0</formula>
    </cfRule>
  </conditionalFormatting>
  <conditionalFormatting sqref="J50:J56">
    <cfRule type="cellIs" dxfId="332" priority="8" operator="between">
      <formula>1</formula>
      <formula>5</formula>
    </cfRule>
    <cfRule type="cellIs" dxfId="331" priority="9" operator="between">
      <formula>16</formula>
      <formula>60</formula>
    </cfRule>
  </conditionalFormatting>
  <conditionalFormatting sqref="J50:J56">
    <cfRule type="cellIs" dxfId="330" priority="7" operator="lessThan">
      <formula>0</formula>
    </cfRule>
  </conditionalFormatting>
  <conditionalFormatting sqref="J47">
    <cfRule type="cellIs" dxfId="329" priority="2" operator="between">
      <formula>1</formula>
      <formula>5</formula>
    </cfRule>
    <cfRule type="cellIs" dxfId="328" priority="3" operator="between">
      <formula>16</formula>
      <formula>60</formula>
    </cfRule>
  </conditionalFormatting>
  <conditionalFormatting sqref="J47">
    <cfRule type="cellIs" dxfId="327" priority="1" operator="lessThan">
      <formula>0</formula>
    </cfRule>
  </conditionalFormatting>
  <dataValidations count="3">
    <dataValidation type="list" allowBlank="1" showInputMessage="1" showErrorMessage="1" sqref="D22 D7" xr:uid="{3DB2A694-7B95-4352-AB12-B62679EE541A}">
      <formula1>"ENERO,FEBRERO,MARZO,ABRIL,MAYO,JUNIO,JULIO,AGOSTO,SEPTIEMBRE,OCTUBRE,NOVIEMBRE,DICIEMBRE"</formula1>
    </dataValidation>
    <dataValidation type="list" allowBlank="1" showInputMessage="1" showErrorMessage="1" sqref="G49:G56 G28:G29 G31:G34 G65:G69 G24:G26 G47 G36:G45 G58:G61 G63 D92:D94" xr:uid="{E13A0CB0-2037-495D-8B69-865FF2F3AD34}">
      <formula1>"Cancelado,Pagar,Sin Pagar"</formula1>
    </dataValidation>
    <dataValidation type="list" allowBlank="1" showInputMessage="1" showErrorMessage="1" sqref="B14:B18" xr:uid="{D078B1CE-154E-4F69-9FFF-A654243EEC39}">
      <formula1>"Sin Pagar,Pagado"</formula1>
    </dataValidation>
  </dataValidations>
  <pageMargins left="0.7" right="0.7" top="0.75" bottom="0.75" header="0.3" footer="0.3"/>
  <pageSetup orientation="portrait" r:id="rId1"/>
  <ignoredErrors>
    <ignoredError sqref="J54:J63 J25:J40 J48:J53 J46 J41:J45 J47" unlocked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5869-AF8A-4369-BFEF-843B0D14B09B}">
  <dimension ref="A1:S162"/>
  <sheetViews>
    <sheetView showGridLines="0" topLeftCell="A6" zoomScale="90" zoomScaleNormal="90" workbookViewId="0">
      <selection activeCell="F27" sqref="F27"/>
    </sheetView>
  </sheetViews>
  <sheetFormatPr baseColWidth="10" defaultColWidth="9.109375" defaultRowHeight="14.4" outlineLevelRow="1"/>
  <cols>
    <col min="1" max="1" width="2.109375" style="294" customWidth="1"/>
    <col min="2" max="2" width="12.5546875" style="293" bestFit="1" customWidth="1"/>
    <col min="3" max="3" width="54.33203125" style="294" bestFit="1" customWidth="1"/>
    <col min="4" max="4" width="24.44140625" style="295" customWidth="1"/>
    <col min="5" max="5" width="19.33203125" style="295" bestFit="1" customWidth="1"/>
    <col min="6" max="6" width="20.109375" style="294" bestFit="1" customWidth="1"/>
    <col min="7" max="7" width="16.88671875" style="294" customWidth="1"/>
    <col min="8" max="8" width="7.6640625" style="294" hidden="1" customWidth="1"/>
    <col min="9" max="9" width="12.109375" style="294" hidden="1" customWidth="1"/>
    <col min="10" max="10" width="16.5546875" style="294" customWidth="1"/>
    <col min="11" max="11" width="2.109375" style="294" customWidth="1"/>
    <col min="12" max="12" width="2.33203125" style="294" customWidth="1"/>
    <col min="13" max="14" width="15.5546875" style="294" bestFit="1" customWidth="1"/>
    <col min="15" max="15" width="11.5546875" style="294" bestFit="1" customWidth="1"/>
    <col min="16" max="16" width="19.33203125" style="294" bestFit="1" customWidth="1"/>
    <col min="17" max="17" width="15.33203125" style="294" bestFit="1" customWidth="1"/>
    <col min="18" max="18" width="14" style="294" bestFit="1" customWidth="1"/>
    <col min="19" max="19" width="13" style="294" bestFit="1" customWidth="1"/>
    <col min="20" max="16384" width="9.109375" style="294"/>
  </cols>
  <sheetData>
    <row r="1" spans="2:13" hidden="1">
      <c r="D1" s="295">
        <v>42400</v>
      </c>
    </row>
    <row r="2" spans="2:13">
      <c r="D2" s="70"/>
      <c r="E2" s="70"/>
      <c r="I2" s="71"/>
    </row>
    <row r="3" spans="2:13">
      <c r="E3" s="72"/>
      <c r="I3" s="71"/>
    </row>
    <row r="4" spans="2:13" ht="15.6">
      <c r="B4" s="73"/>
      <c r="C4" s="73"/>
      <c r="D4" s="74" t="s">
        <v>109</v>
      </c>
      <c r="E4" s="75">
        <v>45870</v>
      </c>
      <c r="I4" s="71"/>
    </row>
    <row r="5" spans="2:13">
      <c r="D5" s="70"/>
      <c r="E5" s="70"/>
      <c r="I5" s="71"/>
    </row>
    <row r="6" spans="2:13">
      <c r="C6" s="76" t="s">
        <v>110</v>
      </c>
      <c r="D6" s="39">
        <v>3.52</v>
      </c>
      <c r="E6" s="70"/>
      <c r="I6" s="71"/>
      <c r="J6" s="85"/>
    </row>
    <row r="7" spans="2:13" ht="15.6">
      <c r="C7" s="77"/>
      <c r="D7" s="521" t="s">
        <v>442</v>
      </c>
      <c r="E7" s="521"/>
      <c r="I7" s="71"/>
      <c r="J7" s="85"/>
    </row>
    <row r="8" spans="2:13">
      <c r="D8" s="78" t="s">
        <v>142</v>
      </c>
      <c r="E8" s="78" t="s">
        <v>112</v>
      </c>
      <c r="J8" s="181"/>
    </row>
    <row r="9" spans="2:13" s="79" customFormat="1" ht="15.6">
      <c r="C9" s="80" t="s">
        <v>113</v>
      </c>
      <c r="D9" s="159">
        <f>SUBTOTAL(9,D10:D12)</f>
        <v>50375.276426666642</v>
      </c>
      <c r="E9" s="81">
        <f>SUBTOTAL(9,E10:E12)</f>
        <v>14311.158075757568</v>
      </c>
      <c r="F9" s="82"/>
      <c r="I9" s="71"/>
    </row>
    <row r="10" spans="2:13" s="71" customFormat="1" outlineLevel="1">
      <c r="B10" s="83"/>
      <c r="C10" s="84" t="s">
        <v>141</v>
      </c>
      <c r="D10" s="39">
        <f>'BCP SOLES BCP'!$G$309</f>
        <v>40117.433226666682</v>
      </c>
      <c r="E10" s="85">
        <f>D10/$D$6</f>
        <v>11396.998075757579</v>
      </c>
      <c r="F10" s="86"/>
    </row>
    <row r="11" spans="2:13" s="71" customFormat="1" outlineLevel="1">
      <c r="B11" s="83"/>
      <c r="C11" s="84" t="s">
        <v>114</v>
      </c>
      <c r="D11" s="39">
        <f>E11*$D$6</f>
        <v>10187.44319999996</v>
      </c>
      <c r="E11" s="85">
        <f>'BCP USD BCP'!$G$144</f>
        <v>2894.1599999999885</v>
      </c>
      <c r="F11" s="86"/>
    </row>
    <row r="12" spans="2:13" s="71" customFormat="1" outlineLevel="1">
      <c r="B12" s="83"/>
      <c r="C12" s="84" t="s">
        <v>480</v>
      </c>
      <c r="D12" s="39">
        <f>E12*$D$6</f>
        <v>70.400000000000006</v>
      </c>
      <c r="E12" s="85">
        <v>20</v>
      </c>
      <c r="F12" s="86"/>
    </row>
    <row r="13" spans="2:13" s="71" customFormat="1" ht="15.6">
      <c r="B13" s="83"/>
      <c r="C13" s="87" t="s">
        <v>115</v>
      </c>
      <c r="D13" s="159">
        <f>SUBTOTAL(9,D14:D20)</f>
        <v>215690.38360000003</v>
      </c>
      <c r="E13" s="81">
        <f>SUBTOTAL(9,E14:E20)</f>
        <v>61866.332386363632</v>
      </c>
      <c r="F13" s="303"/>
      <c r="G13" s="303"/>
      <c r="J13" s="183"/>
    </row>
    <row r="14" spans="2:13" s="71" customFormat="1" outlineLevel="1">
      <c r="B14" s="176" t="s">
        <v>169</v>
      </c>
      <c r="C14" s="177" t="s">
        <v>398</v>
      </c>
      <c r="D14" s="40">
        <f>E14*3.44</f>
        <v>4413.0727999999999</v>
      </c>
      <c r="E14" s="185">
        <f>1282.87</f>
        <v>1282.8699999999999</v>
      </c>
      <c r="G14" s="271">
        <f>E14+E15+E16</f>
        <v>22849.1</v>
      </c>
      <c r="M14" s="304"/>
    </row>
    <row r="15" spans="2:13" s="71" customFormat="1" outlineLevel="1">
      <c r="B15" s="176" t="s">
        <v>169</v>
      </c>
      <c r="C15" s="177" t="s">
        <v>475</v>
      </c>
      <c r="D15" s="40">
        <f>E15*3.44</f>
        <v>60586.965600000003</v>
      </c>
      <c r="E15" s="185">
        <v>17612.490000000002</v>
      </c>
      <c r="F15" s="271"/>
      <c r="G15" s="271"/>
      <c r="M15" s="305"/>
    </row>
    <row r="16" spans="2:13" s="71" customFormat="1" outlineLevel="1">
      <c r="B16" s="176" t="s">
        <v>169</v>
      </c>
      <c r="C16" s="177" t="s">
        <v>476</v>
      </c>
      <c r="D16" s="40">
        <f>E16*3.44</f>
        <v>13600.865599999999</v>
      </c>
      <c r="E16" s="185">
        <v>3953.74</v>
      </c>
      <c r="F16" s="271"/>
      <c r="G16" s="271"/>
    </row>
    <row r="17" spans="1:19" s="71" customFormat="1" hidden="1" outlineLevel="1">
      <c r="B17" s="176"/>
      <c r="C17" s="177"/>
      <c r="D17" s="328">
        <f>6249.86-181.07+41.34</f>
        <v>6110.13</v>
      </c>
      <c r="E17" s="329">
        <f>D17/D6</f>
        <v>1735.8323863636365</v>
      </c>
      <c r="F17" s="271"/>
      <c r="G17" s="271"/>
    </row>
    <row r="18" spans="1:19" s="71" customFormat="1" outlineLevel="1">
      <c r="B18" s="176" t="s">
        <v>169</v>
      </c>
      <c r="C18" s="177" t="s">
        <v>477</v>
      </c>
      <c r="D18" s="40">
        <f>$E$18*'Diferencia Cambio S&amp;P'!$K$23</f>
        <v>88163.618399999992</v>
      </c>
      <c r="E18" s="185">
        <v>25117.84</v>
      </c>
      <c r="F18" s="88"/>
      <c r="G18" s="89"/>
    </row>
    <row r="19" spans="1:19" s="71" customFormat="1" outlineLevel="1">
      <c r="B19" s="176" t="s">
        <v>169</v>
      </c>
      <c r="C19" s="177" t="s">
        <v>482</v>
      </c>
      <c r="D19" s="40">
        <f>E19*$D$6</f>
        <v>23907.7696</v>
      </c>
      <c r="E19" s="185">
        <v>6791.98</v>
      </c>
      <c r="F19" s="88"/>
      <c r="G19" s="89"/>
    </row>
    <row r="20" spans="1:19" s="71" customFormat="1" ht="28.8" outlineLevel="1">
      <c r="B20" s="176" t="s">
        <v>116</v>
      </c>
      <c r="C20" s="177" t="s">
        <v>478</v>
      </c>
      <c r="D20" s="40">
        <f>E20*$D$6</f>
        <v>18907.961599999999</v>
      </c>
      <c r="E20" s="185">
        <v>5371.58</v>
      </c>
      <c r="F20" s="271"/>
      <c r="G20" s="303"/>
    </row>
    <row r="21" spans="1:19" s="71" customFormat="1" ht="15.6">
      <c r="B21" s="83"/>
      <c r="C21" s="90" t="s">
        <v>117</v>
      </c>
      <c r="D21" s="226">
        <f>SUBTOTAL(9,D9:D20)</f>
        <v>266065.66002666659</v>
      </c>
      <c r="E21" s="92">
        <f>SUBTOTAL(9,E9:E20)</f>
        <v>76177.490462121204</v>
      </c>
      <c r="F21" s="93"/>
      <c r="G21" s="93"/>
      <c r="J21" s="89"/>
      <c r="K21" s="94"/>
      <c r="O21" s="95"/>
      <c r="P21" s="96"/>
      <c r="Q21" s="97"/>
    </row>
    <row r="22" spans="1:19" s="71" customFormat="1" ht="15.6">
      <c r="B22" s="83"/>
      <c r="C22" s="98"/>
      <c r="D22" s="99"/>
      <c r="E22" s="99"/>
      <c r="G22" s="100"/>
      <c r="O22" s="96"/>
      <c r="P22" s="96"/>
    </row>
    <row r="23" spans="1:19" s="71" customFormat="1" ht="15.6">
      <c r="B23" s="83"/>
      <c r="N23" s="101"/>
      <c r="O23" s="102"/>
      <c r="P23" s="103"/>
    </row>
    <row r="24" spans="1:19" s="71" customFormat="1" ht="15.6">
      <c r="B24" s="521" t="s">
        <v>118</v>
      </c>
      <c r="C24" s="521"/>
      <c r="D24" s="521" t="s">
        <v>442</v>
      </c>
      <c r="E24" s="521"/>
      <c r="F24" s="521" t="s">
        <v>109</v>
      </c>
      <c r="G24" s="521"/>
      <c r="H24" s="292"/>
      <c r="I24" s="292"/>
      <c r="J24" s="175">
        <v>45870</v>
      </c>
      <c r="K24" s="103"/>
      <c r="L24" s="103"/>
      <c r="N24" s="101"/>
      <c r="R24" s="89"/>
      <c r="S24" s="89"/>
    </row>
    <row r="25" spans="1:19" s="71" customFormat="1" ht="16.2" thickBot="1">
      <c r="B25" s="104" t="s">
        <v>119</v>
      </c>
      <c r="C25" s="105" t="s">
        <v>120</v>
      </c>
      <c r="D25" s="78" t="s">
        <v>150</v>
      </c>
      <c r="E25" s="78" t="s">
        <v>112</v>
      </c>
      <c r="F25" s="106" t="s">
        <v>121</v>
      </c>
      <c r="G25" s="101" t="s">
        <v>122</v>
      </c>
      <c r="H25" s="101"/>
      <c r="I25" s="101"/>
      <c r="J25" s="107" t="s">
        <v>123</v>
      </c>
      <c r="N25" s="108"/>
      <c r="R25" s="89"/>
      <c r="S25" s="109"/>
    </row>
    <row r="26" spans="1:19" s="71" customFormat="1" ht="16.2" thickBot="1">
      <c r="B26" s="83"/>
      <c r="C26" s="110" t="s">
        <v>124</v>
      </c>
      <c r="D26" s="160">
        <f>SUBTOTAL(9,D27:D29)</f>
        <v>9411.880000000001</v>
      </c>
      <c r="E26" s="111">
        <f>SUBTOTAL(9,E27:E29)</f>
        <v>2673.8295454545455</v>
      </c>
      <c r="F26" s="112"/>
      <c r="J26" s="113"/>
    </row>
    <row r="27" spans="1:19" s="71" customFormat="1" ht="28.8" outlineLevel="1">
      <c r="A27" s="86"/>
      <c r="B27" s="83">
        <v>2220819158</v>
      </c>
      <c r="C27" s="172" t="s">
        <v>311</v>
      </c>
      <c r="D27" s="39">
        <f>3271.3+623.91</f>
        <v>3895.21</v>
      </c>
      <c r="E27" s="115">
        <f>D27/$D$6</f>
        <v>1106.59375</v>
      </c>
      <c r="F27" s="116">
        <v>45875</v>
      </c>
      <c r="G27" s="71" t="s">
        <v>126</v>
      </c>
      <c r="H27" s="71">
        <f>IF(OR(G27="Sin pagar",G27="Pagar"),_xlfn.SINGLE(NETWORKDAYS($J$24,F27,FestivosPerú!$A$2:$A$15)),0)</f>
        <v>0</v>
      </c>
      <c r="I27" s="71">
        <f>NETWORKDAYS($J$24,F27,FestivosPerú!$A$2:$A$15)</f>
        <v>3</v>
      </c>
      <c r="J27" s="117">
        <f t="shared" ref="J27:J33" si="0">H27</f>
        <v>0</v>
      </c>
      <c r="K27" s="89"/>
      <c r="L27" s="89"/>
      <c r="M27" s="118"/>
      <c r="N27" s="118"/>
    </row>
    <row r="28" spans="1:19" s="71" customFormat="1" ht="28.8" outlineLevel="1">
      <c r="A28" s="86"/>
      <c r="B28" s="83">
        <v>2516822828</v>
      </c>
      <c r="C28" s="172" t="s">
        <v>445</v>
      </c>
      <c r="D28" s="39">
        <f>1654.07+410.08</f>
        <v>2064.15</v>
      </c>
      <c r="E28" s="115">
        <f>D28/$D$6</f>
        <v>586.40625</v>
      </c>
      <c r="F28" s="116">
        <v>45875</v>
      </c>
      <c r="G28" s="71" t="s">
        <v>126</v>
      </c>
      <c r="H28" s="71">
        <f>IF(OR(G28="Sin pagar",G28="Pagar"),_xlfn.SINGLE(NETWORKDAYS($J$24,F28,FestivosPerú!$A$2:$A$15)),0)</f>
        <v>0</v>
      </c>
      <c r="I28" s="71">
        <f>NETWORKDAYS($J$24,F28,FestivosPerú!$A$2:$A$15)</f>
        <v>3</v>
      </c>
      <c r="J28" s="117">
        <f>H28</f>
        <v>0</v>
      </c>
      <c r="K28" s="89"/>
      <c r="L28" s="89"/>
      <c r="M28" s="118"/>
      <c r="N28" s="118"/>
    </row>
    <row r="29" spans="1:19" s="71" customFormat="1" ht="29.4" outlineLevel="1" thickBot="1">
      <c r="A29" s="86"/>
      <c r="B29" s="83">
        <v>2609515342</v>
      </c>
      <c r="C29" s="172" t="s">
        <v>444</v>
      </c>
      <c r="D29" s="39">
        <f>2688.5+764.02</f>
        <v>3452.52</v>
      </c>
      <c r="E29" s="115">
        <f>D29/$D$6</f>
        <v>980.8295454545455</v>
      </c>
      <c r="F29" s="116">
        <v>45875</v>
      </c>
      <c r="G29" s="71" t="s">
        <v>126</v>
      </c>
      <c r="H29" s="71">
        <f>IF(OR(G29="Sin pagar",G29="Pagar"),_xlfn.SINGLE(NETWORKDAYS($J$24,F29,FestivosPerú!$A$2:$A$15)),0)</f>
        <v>0</v>
      </c>
      <c r="I29" s="71">
        <f>NETWORKDAYS($J$24,F29,FestivosPerú!$A$2:$A$15)</f>
        <v>3</v>
      </c>
      <c r="J29" s="117">
        <f>H29</f>
        <v>0</v>
      </c>
      <c r="K29" s="89"/>
      <c r="L29" s="89"/>
      <c r="M29" s="118"/>
      <c r="N29" s="118"/>
    </row>
    <row r="30" spans="1:19" s="71" customFormat="1" ht="16.2" thickBot="1">
      <c r="B30" s="83"/>
      <c r="C30" s="110" t="s">
        <v>125</v>
      </c>
      <c r="D30" s="160">
        <f>SUBTOTAL(9,D31:D32)</f>
        <v>15813</v>
      </c>
      <c r="E30" s="111">
        <f>SUBTOTAL(9,E31:E32)</f>
        <v>4492.329545454546</v>
      </c>
      <c r="J30" s="113">
        <f t="shared" si="0"/>
        <v>0</v>
      </c>
    </row>
    <row r="31" spans="1:19" s="71" customFormat="1" outlineLevel="1">
      <c r="B31" s="173"/>
      <c r="C31" s="84" t="s">
        <v>301</v>
      </c>
      <c r="D31" s="39">
        <v>13751</v>
      </c>
      <c r="E31" s="115">
        <f>D31/$D$6</f>
        <v>3906.534090909091</v>
      </c>
      <c r="F31" s="116">
        <v>45882</v>
      </c>
      <c r="G31" s="71" t="s">
        <v>126</v>
      </c>
      <c r="H31" s="71">
        <f>IF(OR(G31="Sin pagar",G31="Pagar"),_xlfn.SINGLE(NETWORKDAYS($J$24,F31,FestivosPerú!$A$2:$A$15)),0)</f>
        <v>0</v>
      </c>
      <c r="I31" s="71">
        <f>NETWORKDAYS($J$24,F31,FestivosPerú!$A$2:$A$15)</f>
        <v>8</v>
      </c>
      <c r="J31" s="117">
        <f>H31</f>
        <v>0</v>
      </c>
      <c r="K31" s="120"/>
      <c r="L31" s="94"/>
      <c r="M31" s="118"/>
      <c r="N31" s="118"/>
    </row>
    <row r="32" spans="1:19" s="71" customFormat="1" ht="15" outlineLevel="1" thickBot="1">
      <c r="B32" s="119"/>
      <c r="C32" s="84" t="s">
        <v>463</v>
      </c>
      <c r="D32" s="39">
        <v>2062</v>
      </c>
      <c r="E32" s="115">
        <f>D32/$D$6</f>
        <v>585.7954545454545</v>
      </c>
      <c r="F32" s="116">
        <v>45887</v>
      </c>
      <c r="G32" s="71" t="s">
        <v>126</v>
      </c>
      <c r="H32" s="71">
        <f>IF(OR(G32="Sin pagar",G32="Pagar"),_xlfn.SINGLE(NETWORKDAYS($J$24,F32,FestivosPerú!$A$2:$A$15)),0)</f>
        <v>0</v>
      </c>
      <c r="I32" s="71">
        <f>NETWORKDAYS($J$24,F32,FestivosPerú!$A$2:$A$15)</f>
        <v>11</v>
      </c>
      <c r="J32" s="117">
        <f t="shared" si="0"/>
        <v>0</v>
      </c>
      <c r="K32" s="120"/>
      <c r="L32" s="94"/>
      <c r="M32" s="300" t="s">
        <v>245</v>
      </c>
      <c r="N32" s="118"/>
    </row>
    <row r="33" spans="2:16" s="71" customFormat="1" ht="16.2" thickBot="1">
      <c r="B33" s="83"/>
      <c r="C33" s="110" t="s">
        <v>144</v>
      </c>
      <c r="D33" s="160">
        <f>SUBTOTAL(9,D34:D36)</f>
        <v>3448.5</v>
      </c>
      <c r="E33" s="111">
        <f>SUBTOTAL(9,E34:E36)</f>
        <v>979.6875</v>
      </c>
      <c r="J33" s="117">
        <f t="shared" si="0"/>
        <v>0</v>
      </c>
      <c r="K33" s="89"/>
      <c r="L33" s="89"/>
      <c r="N33" s="118"/>
    </row>
    <row r="34" spans="2:16" s="71" customFormat="1" outlineLevel="1">
      <c r="B34" s="83" t="s">
        <v>551</v>
      </c>
      <c r="C34" s="84" t="s">
        <v>451</v>
      </c>
      <c r="D34" s="39">
        <v>1416</v>
      </c>
      <c r="E34" s="115">
        <f>D34/$D$6</f>
        <v>402.27272727272725</v>
      </c>
      <c r="F34" s="116">
        <v>45898</v>
      </c>
      <c r="G34" s="71" t="s">
        <v>126</v>
      </c>
      <c r="H34" s="71">
        <f>IF(OR(G34="Sin pagar",G34="Pagar"),_xlfn.SINGLE(NETWORKDAYS($J$24,F34,FestivosPerú!$A$2:$A$15)),0)</f>
        <v>0</v>
      </c>
      <c r="I34" s="71">
        <f>NETWORKDAYS($J$24,F34,FestivosPerú!$A$2:$A$15)</f>
        <v>20</v>
      </c>
      <c r="J34" s="117">
        <f>H34</f>
        <v>0</v>
      </c>
      <c r="M34" s="299"/>
      <c r="N34" s="86"/>
    </row>
    <row r="35" spans="2:16" s="71" customFormat="1" outlineLevel="1">
      <c r="B35" s="83" t="s">
        <v>550</v>
      </c>
      <c r="C35" s="84" t="s">
        <v>452</v>
      </c>
      <c r="D35" s="39">
        <v>1416</v>
      </c>
      <c r="E35" s="115">
        <f>D35/$D$6</f>
        <v>402.27272727272725</v>
      </c>
      <c r="F35" s="116">
        <v>45898</v>
      </c>
      <c r="G35" s="71" t="s">
        <v>126</v>
      </c>
      <c r="H35" s="71">
        <f>IF(OR(G35="Sin pagar",G35="Pagar"),_xlfn.SINGLE(NETWORKDAYS($J$24,F35,FestivosPerú!$A$2:$A$15)),0)</f>
        <v>0</v>
      </c>
      <c r="I35" s="71">
        <f>NETWORKDAYS($J$24,F35,FestivosPerú!$A$2:$A$15)</f>
        <v>20</v>
      </c>
      <c r="J35" s="117">
        <f>H35</f>
        <v>0</v>
      </c>
      <c r="M35" s="299"/>
      <c r="N35" s="86"/>
    </row>
    <row r="36" spans="2:16" s="71" customFormat="1" ht="15" outlineLevel="1" thickBot="1">
      <c r="B36" s="83" t="s">
        <v>556</v>
      </c>
      <c r="C36" s="84" t="s">
        <v>552</v>
      </c>
      <c r="D36" s="39">
        <v>616.5</v>
      </c>
      <c r="E36" s="115">
        <f>D36/$D$6</f>
        <v>175.14204545454547</v>
      </c>
      <c r="F36" s="116">
        <v>45898</v>
      </c>
      <c r="G36" s="71" t="s">
        <v>126</v>
      </c>
      <c r="H36" s="71">
        <f>IF(OR(G36="Sin pagar",G36="Pagar"),_xlfn.SINGLE(NETWORKDAYS($J$24,F36,FestivosPerú!$A$2:$A$15)),0)</f>
        <v>0</v>
      </c>
      <c r="I36" s="71">
        <f>NETWORKDAYS($J$24,F36,FestivosPerú!$A$2:$A$15)</f>
        <v>20</v>
      </c>
      <c r="J36" s="117">
        <f>H36</f>
        <v>0</v>
      </c>
      <c r="M36" s="299"/>
      <c r="N36" s="86"/>
    </row>
    <row r="37" spans="2:16" s="71" customFormat="1" ht="15.75" customHeight="1" thickBot="1">
      <c r="C37" s="110" t="s">
        <v>162</v>
      </c>
      <c r="D37" s="160">
        <f>SUBTOTAL(9,D38:D51)</f>
        <v>11176.11</v>
      </c>
      <c r="E37" s="111">
        <f>SUBTOTAL(9,E38:E51)</f>
        <v>3175.0312500000009</v>
      </c>
      <c r="J37" s="117"/>
      <c r="M37" s="122"/>
      <c r="N37" s="187"/>
      <c r="P37" s="187"/>
    </row>
    <row r="38" spans="2:16" s="71" customFormat="1" outlineLevel="1">
      <c r="B38" s="254" t="s">
        <v>272</v>
      </c>
      <c r="C38" s="186" t="s">
        <v>362</v>
      </c>
      <c r="D38" s="39">
        <v>1613</v>
      </c>
      <c r="E38" s="115">
        <f t="shared" ref="E38:E43" si="1">D38/$D$6</f>
        <v>458.23863636363637</v>
      </c>
      <c r="F38" s="112">
        <v>45871</v>
      </c>
      <c r="G38" s="71" t="s">
        <v>126</v>
      </c>
      <c r="H38" s="71">
        <f>IF(OR(G38="Sin pagar",G38="Pagar"),_xlfn.SINGLE(NETWORKDAYS($J$24,F38,FestivosPerú!$A$2:$A$15)),0)</f>
        <v>0</v>
      </c>
      <c r="I38" s="71">
        <f>NETWORKDAYS($J$24,F38,FestivosPerú!$A$2:$A$15)</f>
        <v>1</v>
      </c>
      <c r="J38" s="117">
        <f t="shared" ref="J38:J43" si="2">H38</f>
        <v>0</v>
      </c>
    </row>
    <row r="39" spans="2:16" s="71" customFormat="1" outlineLevel="1">
      <c r="B39" s="254" t="s">
        <v>272</v>
      </c>
      <c r="C39" s="186" t="s">
        <v>345</v>
      </c>
      <c r="D39" s="209">
        <f>354.03</f>
        <v>354.03</v>
      </c>
      <c r="E39" s="115">
        <f t="shared" si="1"/>
        <v>100.57670454545453</v>
      </c>
      <c r="F39" s="112">
        <v>45873</v>
      </c>
      <c r="G39" s="71" t="s">
        <v>126</v>
      </c>
      <c r="H39" s="71">
        <f>IF(OR(G39="Sin pagar",G39="Pagar"),_xlfn.SINGLE(NETWORKDAYS($J$24,F39,FestivosPerú!$A$2:$A$15)),0)</f>
        <v>0</v>
      </c>
      <c r="I39" s="71">
        <f>NETWORKDAYS($J$24,F39,FestivosPerú!$A$2:$A$15)</f>
        <v>2</v>
      </c>
      <c r="J39" s="117">
        <f t="shared" si="2"/>
        <v>0</v>
      </c>
    </row>
    <row r="40" spans="2:16" s="71" customFormat="1" outlineLevel="1">
      <c r="B40" s="254" t="s">
        <v>272</v>
      </c>
      <c r="C40" s="186" t="s">
        <v>485</v>
      </c>
      <c r="D40" s="209">
        <f>343.72</f>
        <v>343.72</v>
      </c>
      <c r="E40" s="115">
        <f t="shared" si="1"/>
        <v>97.64772727272728</v>
      </c>
      <c r="F40" s="112">
        <v>45873</v>
      </c>
      <c r="G40" s="71" t="s">
        <v>126</v>
      </c>
      <c r="H40" s="71">
        <f>IF(OR(G40="Sin pagar",G40="Pagar"),_xlfn.SINGLE(NETWORKDAYS($J$24,F40,FestivosPerú!$A$2:$A$15)),0)</f>
        <v>0</v>
      </c>
      <c r="I40" s="71">
        <f>NETWORKDAYS($J$24,F40,FestivosPerú!$A$2:$A$15)</f>
        <v>2</v>
      </c>
      <c r="J40" s="117">
        <f t="shared" si="2"/>
        <v>0</v>
      </c>
    </row>
    <row r="41" spans="2:16" s="71" customFormat="1" outlineLevel="1">
      <c r="B41" s="254" t="s">
        <v>272</v>
      </c>
      <c r="C41" s="186" t="s">
        <v>486</v>
      </c>
      <c r="D41" s="209">
        <f>118</f>
        <v>118</v>
      </c>
      <c r="E41" s="115">
        <f t="shared" si="1"/>
        <v>33.522727272727273</v>
      </c>
      <c r="F41" s="112">
        <v>45873</v>
      </c>
      <c r="G41" s="71" t="s">
        <v>126</v>
      </c>
      <c r="H41" s="71">
        <f>IF(OR(G41="Sin pagar",G41="Pagar"),_xlfn.SINGLE(NETWORKDAYS($J$24,F41,FestivosPerú!$A$2:$A$15)),0)</f>
        <v>0</v>
      </c>
      <c r="I41" s="71">
        <f>NETWORKDAYS($J$24,F41,FestivosPerú!$A$2:$A$15)</f>
        <v>2</v>
      </c>
      <c r="J41" s="117">
        <f t="shared" si="2"/>
        <v>0</v>
      </c>
    </row>
    <row r="42" spans="2:16" s="71" customFormat="1" outlineLevel="1">
      <c r="B42" s="254" t="s">
        <v>272</v>
      </c>
      <c r="C42" s="186" t="s">
        <v>487</v>
      </c>
      <c r="D42" s="209">
        <v>179.6</v>
      </c>
      <c r="E42" s="115">
        <f t="shared" si="1"/>
        <v>51.022727272727273</v>
      </c>
      <c r="F42" s="112">
        <v>45873</v>
      </c>
      <c r="G42" s="71" t="s">
        <v>126</v>
      </c>
      <c r="H42" s="71">
        <f>IF(OR(G42="Sin pagar",G42="Pagar"),_xlfn.SINGLE(NETWORKDAYS($J$24,F42,FestivosPerú!$A$2:$A$15)),0)</f>
        <v>0</v>
      </c>
      <c r="I42" s="71">
        <f>NETWORKDAYS($J$24,F42,FestivosPerú!$A$2:$A$15)</f>
        <v>2</v>
      </c>
      <c r="J42" s="117">
        <f t="shared" si="2"/>
        <v>0</v>
      </c>
    </row>
    <row r="43" spans="2:16" s="71" customFormat="1" outlineLevel="1">
      <c r="B43" s="254" t="s">
        <v>272</v>
      </c>
      <c r="C43" s="186" t="s">
        <v>458</v>
      </c>
      <c r="D43" s="209">
        <v>2508</v>
      </c>
      <c r="E43" s="115">
        <f t="shared" si="1"/>
        <v>712.5</v>
      </c>
      <c r="F43" s="112">
        <v>45891</v>
      </c>
      <c r="G43" s="71" t="s">
        <v>126</v>
      </c>
      <c r="H43" s="71">
        <f>IF(OR(G43="Sin pagar",G43="Pagar"),_xlfn.SINGLE(NETWORKDAYS($J$24,F43,FestivosPerú!$A$2:$A$15)),0)</f>
        <v>0</v>
      </c>
      <c r="I43" s="71">
        <f>NETWORKDAYS($J$24,F43,FestivosPerú!$A$2:$A$15)</f>
        <v>15</v>
      </c>
      <c r="J43" s="117">
        <f t="shared" si="2"/>
        <v>0</v>
      </c>
    </row>
    <row r="44" spans="2:16" s="71" customFormat="1" outlineLevel="1">
      <c r="B44" s="254" t="s">
        <v>272</v>
      </c>
      <c r="C44" s="186" t="s">
        <v>459</v>
      </c>
      <c r="D44" s="209">
        <v>2503.11</v>
      </c>
      <c r="E44" s="115">
        <f t="shared" ref="E44:E51" si="3">D44/$D$6</f>
        <v>711.1107954545455</v>
      </c>
      <c r="F44" s="112">
        <v>45891</v>
      </c>
      <c r="G44" s="71" t="s">
        <v>126</v>
      </c>
      <c r="H44" s="71">
        <f>IF(OR(G44="Sin pagar",G44="Pagar"),_xlfn.SINGLE(NETWORKDAYS($J$24,F44,FestivosPerú!$A$2:$A$15)),0)</f>
        <v>0</v>
      </c>
      <c r="I44" s="71">
        <f>NETWORKDAYS($J$24,F44,FestivosPerú!$A$2:$A$15)</f>
        <v>15</v>
      </c>
      <c r="J44" s="117">
        <f t="shared" ref="J44:J51" si="4">H44</f>
        <v>0</v>
      </c>
    </row>
    <row r="45" spans="2:16" s="71" customFormat="1" outlineLevel="1">
      <c r="B45" s="254" t="s">
        <v>272</v>
      </c>
      <c r="C45" s="186" t="s">
        <v>532</v>
      </c>
      <c r="D45" s="209">
        <f>343.72</f>
        <v>343.72</v>
      </c>
      <c r="E45" s="115">
        <f t="shared" si="3"/>
        <v>97.64772727272728</v>
      </c>
      <c r="F45" s="112">
        <v>45895</v>
      </c>
      <c r="G45" s="71" t="s">
        <v>126</v>
      </c>
      <c r="H45" s="71">
        <f>IF(OR(G45="Sin pagar",G45="Pagar"),_xlfn.SINGLE(NETWORKDAYS($J$24,F45,FestivosPerú!$A$2:$A$15)),0)</f>
        <v>0</v>
      </c>
      <c r="I45" s="71">
        <f>NETWORKDAYS($J$24,F45,FestivosPerú!$A$2:$A$15)</f>
        <v>17</v>
      </c>
      <c r="J45" s="117">
        <f t="shared" si="4"/>
        <v>0</v>
      </c>
    </row>
    <row r="46" spans="2:16" s="71" customFormat="1" outlineLevel="1">
      <c r="B46" s="254" t="s">
        <v>272</v>
      </c>
      <c r="C46" s="186" t="s">
        <v>533</v>
      </c>
      <c r="D46" s="209">
        <f>354.03</f>
        <v>354.03</v>
      </c>
      <c r="E46" s="115">
        <f t="shared" si="3"/>
        <v>100.57670454545453</v>
      </c>
      <c r="F46" s="112">
        <v>45895</v>
      </c>
      <c r="G46" s="71" t="s">
        <v>126</v>
      </c>
      <c r="H46" s="71">
        <f>IF(OR(G46="Sin pagar",G46="Pagar"),_xlfn.SINGLE(NETWORKDAYS($J$24,F46,FestivosPerú!$A$2:$A$15)),0)</f>
        <v>0</v>
      </c>
      <c r="I46" s="71">
        <f>NETWORKDAYS($J$24,F46,FestivosPerú!$A$2:$A$15)</f>
        <v>17</v>
      </c>
      <c r="J46" s="117">
        <f t="shared" si="4"/>
        <v>0</v>
      </c>
    </row>
    <row r="47" spans="2:16" s="71" customFormat="1" outlineLevel="1">
      <c r="B47" s="254" t="s">
        <v>272</v>
      </c>
      <c r="C47" s="186" t="s">
        <v>534</v>
      </c>
      <c r="D47" s="209">
        <f>118</f>
        <v>118</v>
      </c>
      <c r="E47" s="115">
        <f t="shared" si="3"/>
        <v>33.522727272727273</v>
      </c>
      <c r="F47" s="112">
        <v>45895</v>
      </c>
      <c r="G47" s="71" t="s">
        <v>126</v>
      </c>
      <c r="H47" s="71">
        <f>IF(OR(G47="Sin pagar",G47="Pagar"),_xlfn.SINGLE(NETWORKDAYS($J$24,F47,FestivosPerú!$A$2:$A$15)),0)</f>
        <v>0</v>
      </c>
      <c r="I47" s="71">
        <f>NETWORKDAYS($J$24,F47,FestivosPerú!$A$2:$A$15)</f>
        <v>17</v>
      </c>
      <c r="J47" s="117">
        <f t="shared" si="4"/>
        <v>0</v>
      </c>
    </row>
    <row r="48" spans="2:16" s="71" customFormat="1" outlineLevel="1">
      <c r="B48" s="254" t="s">
        <v>272</v>
      </c>
      <c r="C48" s="186" t="s">
        <v>535</v>
      </c>
      <c r="D48" s="209">
        <v>179.6</v>
      </c>
      <c r="E48" s="115">
        <f t="shared" si="3"/>
        <v>51.022727272727273</v>
      </c>
      <c r="F48" s="112">
        <v>45895</v>
      </c>
      <c r="G48" s="71" t="s">
        <v>126</v>
      </c>
      <c r="H48" s="71">
        <f>IF(OR(G48="Sin pagar",G48="Pagar"),_xlfn.SINGLE(NETWORKDAYS($J$24,F48,FestivosPerú!$A$2:$A$15)),0)</f>
        <v>0</v>
      </c>
      <c r="I48" s="71">
        <f>NETWORKDAYS($J$24,F48,FestivosPerú!$A$2:$A$15)</f>
        <v>17</v>
      </c>
      <c r="J48" s="117">
        <f t="shared" si="4"/>
        <v>0</v>
      </c>
    </row>
    <row r="49" spans="1:16" s="71" customFormat="1" outlineLevel="1">
      <c r="B49" s="254" t="s">
        <v>272</v>
      </c>
      <c r="C49" s="186" t="s">
        <v>362</v>
      </c>
      <c r="D49" s="39">
        <v>1613</v>
      </c>
      <c r="E49" s="115">
        <f t="shared" si="3"/>
        <v>458.23863636363637</v>
      </c>
      <c r="F49" s="112">
        <v>45902</v>
      </c>
      <c r="G49" s="71" t="s">
        <v>126</v>
      </c>
      <c r="H49" s="71">
        <f>IF(OR(G49="Sin pagar",G49="Pagar"),_xlfn.SINGLE(NETWORKDAYS($J$24,F49,FestivosPerú!$A$2:$A$15)),0)</f>
        <v>0</v>
      </c>
      <c r="I49" s="71">
        <f>NETWORKDAYS($J$24,F49,FestivosPerú!$A$2:$A$15)</f>
        <v>22</v>
      </c>
      <c r="J49" s="117">
        <f t="shared" si="4"/>
        <v>0</v>
      </c>
    </row>
    <row r="50" spans="1:16" s="71" customFormat="1" ht="28.8" outlineLevel="1">
      <c r="B50" s="254" t="s">
        <v>272</v>
      </c>
      <c r="C50" s="186" t="s">
        <v>559</v>
      </c>
      <c r="D50" s="209">
        <v>22.3</v>
      </c>
      <c r="E50" s="115">
        <f t="shared" si="3"/>
        <v>6.3352272727272725</v>
      </c>
      <c r="F50" s="112">
        <v>45904</v>
      </c>
      <c r="G50" s="71" t="s">
        <v>126</v>
      </c>
      <c r="H50" s="71">
        <f>IF(OR(G50="Sin pagar",G50="Pagar"),_xlfn.SINGLE(NETWORKDAYS($J$24,F50,FestivosPerú!$A$2:$A$15)),0)</f>
        <v>0</v>
      </c>
      <c r="I50" s="71">
        <f>NETWORKDAYS($J$24,F50,FestivosPerú!$A$2:$A$15)</f>
        <v>24</v>
      </c>
      <c r="J50" s="117">
        <f t="shared" si="4"/>
        <v>0</v>
      </c>
    </row>
    <row r="51" spans="1:16" s="71" customFormat="1" ht="29.4" outlineLevel="1" thickBot="1">
      <c r="B51" s="254" t="s">
        <v>272</v>
      </c>
      <c r="C51" s="186" t="s">
        <v>560</v>
      </c>
      <c r="D51" s="39">
        <v>926</v>
      </c>
      <c r="E51" s="115">
        <f t="shared" si="3"/>
        <v>263.06818181818181</v>
      </c>
      <c r="F51" s="112">
        <v>45904</v>
      </c>
      <c r="G51" s="71" t="s">
        <v>126</v>
      </c>
      <c r="H51" s="71">
        <f>IF(OR(G51="Sin pagar",G51="Pagar"),_xlfn.SINGLE(NETWORKDAYS($J$24,F51,FestivosPerú!$A$2:$A$15)),0)</f>
        <v>0</v>
      </c>
      <c r="I51" s="71">
        <f>NETWORKDAYS($J$24,F51,FestivosPerú!$A$2:$A$15)</f>
        <v>24</v>
      </c>
      <c r="J51" s="117">
        <f t="shared" si="4"/>
        <v>0</v>
      </c>
    </row>
    <row r="52" spans="1:16" s="71" customFormat="1" ht="15.75" customHeight="1" thickBot="1">
      <c r="C52" s="110" t="s">
        <v>127</v>
      </c>
      <c r="D52" s="160">
        <f>SUBTOTAL(9,D53:D53)</f>
        <v>318.97920000000005</v>
      </c>
      <c r="E52" s="111">
        <f>SUBTOTAL(9,E53:E53)</f>
        <v>90.619090909090929</v>
      </c>
      <c r="M52" s="122"/>
      <c r="N52" s="187"/>
      <c r="P52" s="187"/>
    </row>
    <row r="53" spans="1:16" s="71" customFormat="1" ht="15" outlineLevel="1" thickBot="1">
      <c r="B53" s="125"/>
      <c r="C53" s="84" t="s">
        <v>127</v>
      </c>
      <c r="D53" s="39">
        <f>('BCP SOLES BCP'!$F$307+'BCP SOLES BCP'!$F$311+'BCP SOLES BCP'!$F$313+'BCP SOLES BCP'!$F$315+'BCP SOLES BCP'!$F$331+'BCP SOLES BCP'!$F$333+'BCP SOLES BCP'!$F$355+'BCP SOLES BCP'!$F$357+'BCP SOLES BCP'!$F$359+'BCP SOLES BCP'!$F$361+'BCP SOLES BCP'!$F$363+'BCP SOLES BCP'!$F$365+'BCP SOLES BCP'!$F$367+'BCP SOLES BCP'!$F$378+'BCP SOLES BCP'!$F$381+'BCP SOLES BCP'!$F$382+'BCP SOLES BCP'!$F$383)+(('BCP USD BCP'!F153+'BCP USD BCP'!F157+'BCP USD BCP'!F158+'BCP USD BCP'!F159+'BCP USD BCP'!F166+'BCP USD BCP'!F167+'BCP USD BCP'!F168+'BCP USD BCP'!F169)*$D$6)+'BCP SOLES BCP'!$F$387</f>
        <v>318.97920000000005</v>
      </c>
      <c r="E53" s="115">
        <f>$D$53/$D$6</f>
        <v>90.619090909090929</v>
      </c>
      <c r="F53" s="112">
        <v>45900</v>
      </c>
      <c r="G53" s="71" t="s">
        <v>126</v>
      </c>
      <c r="H53" s="71">
        <f>IF(OR(G53="Sin pagar",G53="Pagar"),_xlfn.SINGLE(NETWORKDAYS($J$24,F53,FestivosPerú!$A$2:$A$15)),0)</f>
        <v>0</v>
      </c>
      <c r="I53" s="71">
        <f>NETWORKDAYS($J$24,F53,FestivosPerú!$A$2:$A$15)</f>
        <v>20</v>
      </c>
      <c r="J53" s="117">
        <f>H53</f>
        <v>0</v>
      </c>
      <c r="K53" s="120"/>
      <c r="L53" s="120"/>
    </row>
    <row r="54" spans="1:16" s="71" customFormat="1" ht="16.2" thickBot="1">
      <c r="C54" s="110" t="s">
        <v>539</v>
      </c>
      <c r="D54" s="160">
        <f>SUBTOTAL(9,D55:D59)</f>
        <v>59750.582399999999</v>
      </c>
      <c r="E54" s="310">
        <f>SUBTOTAL(9,E55:E59)</f>
        <v>16974.597272727271</v>
      </c>
      <c r="J54" s="301"/>
      <c r="K54" s="89"/>
      <c r="L54" s="124"/>
      <c r="N54" s="122"/>
      <c r="O54" s="101"/>
    </row>
    <row r="55" spans="1:16" s="71" customFormat="1" outlineLevel="1">
      <c r="B55" s="183" t="s">
        <v>33</v>
      </c>
      <c r="C55" s="186" t="s">
        <v>146</v>
      </c>
      <c r="D55" s="39">
        <v>13974.66</v>
      </c>
      <c r="E55" s="232">
        <f>D55/$D$6</f>
        <v>3970.0738636363635</v>
      </c>
      <c r="F55" s="112">
        <v>45897</v>
      </c>
      <c r="G55" s="71" t="s">
        <v>126</v>
      </c>
      <c r="H55" s="71">
        <f>IF(OR(G55="Sin pagar",G55="Pagar"),_xlfn.SINGLE(NETWORKDAYS($J$24,F55,FestivosPerú!$A$2:$A$15)),0)</f>
        <v>0</v>
      </c>
      <c r="I55" s="71">
        <f>NETWORKDAYS($J$24,F55,FestivosPerú!$A$2:$A$15)</f>
        <v>19</v>
      </c>
      <c r="J55" s="117">
        <f>H55</f>
        <v>0</v>
      </c>
      <c r="K55" s="120"/>
      <c r="L55" s="120"/>
      <c r="M55" s="253"/>
      <c r="N55" s="122"/>
    </row>
    <row r="56" spans="1:16" s="71" customFormat="1" outlineLevel="1">
      <c r="B56" s="183" t="s">
        <v>33</v>
      </c>
      <c r="C56" s="186" t="s">
        <v>176</v>
      </c>
      <c r="D56" s="39">
        <v>10903.29</v>
      </c>
      <c r="E56" s="232">
        <f>D56/$D$6</f>
        <v>3097.5255681818185</v>
      </c>
      <c r="F56" s="112">
        <v>45897</v>
      </c>
      <c r="G56" s="71" t="s">
        <v>126</v>
      </c>
      <c r="H56" s="71">
        <f>IF(OR(G56="Sin pagar",G56="Pagar"),_xlfn.SINGLE(NETWORKDAYS($J$24,F56,FestivosPerú!$A$2:$A$15)),0)</f>
        <v>0</v>
      </c>
      <c r="I56" s="71">
        <f>NETWORKDAYS($J$24,F56,FestivosPerú!$A$2:$A$15)</f>
        <v>19</v>
      </c>
      <c r="J56" s="117">
        <f>H56</f>
        <v>0</v>
      </c>
      <c r="K56" s="120"/>
      <c r="L56" s="120"/>
      <c r="M56" s="253"/>
    </row>
    <row r="57" spans="1:16" s="126" customFormat="1" outlineLevel="1">
      <c r="B57" s="183" t="s">
        <v>33</v>
      </c>
      <c r="C57" s="186" t="s">
        <v>275</v>
      </c>
      <c r="D57" s="39">
        <v>10983.9</v>
      </c>
      <c r="E57" s="232">
        <f>D57/$D$6</f>
        <v>3120.426136363636</v>
      </c>
      <c r="F57" s="112">
        <v>45897</v>
      </c>
      <c r="G57" s="71" t="s">
        <v>126</v>
      </c>
      <c r="H57" s="71">
        <f>IF(OR(G57="Sin pagar",G57="Pagar"),_xlfn.SINGLE(NETWORKDAYS($J$24,F57,FestivosPerú!$A$2:$A$15)),0)</f>
        <v>0</v>
      </c>
      <c r="I57" s="71">
        <f>NETWORKDAYS($J$24,F57,FestivosPerú!$A$2:$A$15)</f>
        <v>19</v>
      </c>
      <c r="J57" s="117">
        <f>H57</f>
        <v>0</v>
      </c>
      <c r="L57" s="127"/>
      <c r="M57" s="309">
        <f>SUM(D55:D58)+SUM(D61:D63)</f>
        <v>63490.270000000004</v>
      </c>
    </row>
    <row r="58" spans="1:16" s="126" customFormat="1" outlineLevel="1">
      <c r="B58" s="183" t="s">
        <v>33</v>
      </c>
      <c r="C58" s="186" t="s">
        <v>409</v>
      </c>
      <c r="D58" s="39">
        <v>10354.790000000001</v>
      </c>
      <c r="E58" s="232">
        <f>D58/$D$6</f>
        <v>2941.701704545455</v>
      </c>
      <c r="F58" s="112">
        <v>45897</v>
      </c>
      <c r="G58" s="71" t="s">
        <v>126</v>
      </c>
      <c r="H58" s="71">
        <f>IF(OR(G58="Sin pagar",G58="Pagar"),_xlfn.SINGLE(NETWORKDAYS($J$24,F58,FestivosPerú!$A$2:$A$15)),0)</f>
        <v>0</v>
      </c>
      <c r="I58" s="71">
        <f>NETWORKDAYS($J$24,F58,FestivosPerú!$A$2:$A$15)</f>
        <v>19</v>
      </c>
      <c r="J58" s="117">
        <f>H58</f>
        <v>0</v>
      </c>
      <c r="L58" s="127"/>
      <c r="M58" s="253"/>
    </row>
    <row r="59" spans="1:16" s="126" customFormat="1" ht="15" outlineLevel="1" thickBot="1">
      <c r="B59" s="125" t="s">
        <v>4</v>
      </c>
      <c r="C59" s="186" t="s">
        <v>410</v>
      </c>
      <c r="D59" s="39">
        <f>E59*D6</f>
        <v>13533.9424</v>
      </c>
      <c r="E59" s="308">
        <v>3844.87</v>
      </c>
      <c r="F59" s="112">
        <v>45897</v>
      </c>
      <c r="G59" s="71" t="s">
        <v>126</v>
      </c>
      <c r="H59" s="71">
        <f>IF(OR(G59="Sin pagar",G59="Pagar"),_xlfn.SINGLE(NETWORKDAYS($J$24,F59,FestivosPerú!$A$2:$A$15)),0)</f>
        <v>0</v>
      </c>
      <c r="I59" s="71">
        <f>NETWORKDAYS($J$24,F59,FestivosPerú!$A$2:$A$15)</f>
        <v>19</v>
      </c>
      <c r="J59" s="117">
        <f>H59</f>
        <v>0</v>
      </c>
      <c r="L59" s="127"/>
      <c r="M59" s="253"/>
    </row>
    <row r="60" spans="1:16" s="71" customFormat="1" ht="16.2" thickBot="1">
      <c r="A60" s="126"/>
      <c r="B60" s="125"/>
      <c r="C60" s="110" t="s">
        <v>177</v>
      </c>
      <c r="D60" s="160">
        <f>SUBTOTAL(9,D61:D63)</f>
        <v>17273.63</v>
      </c>
      <c r="E60" s="111">
        <f>SUBTOTAL(9,E61:E63)</f>
        <v>4907.28125</v>
      </c>
      <c r="L60" s="89"/>
    </row>
    <row r="61" spans="1:16" s="71" customFormat="1" outlineLevel="1">
      <c r="A61" s="126"/>
      <c r="B61" s="128"/>
      <c r="C61" s="84" t="s">
        <v>178</v>
      </c>
      <c r="D61" s="39">
        <v>3741.84</v>
      </c>
      <c r="E61" s="232">
        <f>D61/$D$6</f>
        <v>1063.0227272727273</v>
      </c>
      <c r="F61" s="112">
        <v>45897</v>
      </c>
      <c r="G61" s="71" t="s">
        <v>126</v>
      </c>
      <c r="H61" s="71">
        <f>IF(OR(G61="Sin pagar",G61="Pagar"),_xlfn.SINGLE(NETWORKDAYS($J$24,F61,FestivosPerú!$A$2:$A$15)),0)</f>
        <v>0</v>
      </c>
      <c r="I61" s="71">
        <f>NETWORKDAYS($J$24,F61,FestivosPerú!$A$2:$A$15)</f>
        <v>19</v>
      </c>
      <c r="J61" s="117">
        <f>H61</f>
        <v>0</v>
      </c>
      <c r="L61" s="89"/>
    </row>
    <row r="62" spans="1:16" s="71" customFormat="1" outlineLevel="1">
      <c r="A62" s="126"/>
      <c r="B62" s="128"/>
      <c r="C62" s="84" t="s">
        <v>236</v>
      </c>
      <c r="D62" s="39">
        <v>8445.52</v>
      </c>
      <c r="E62" s="232">
        <f>D62/$D$6</f>
        <v>2399.2954545454545</v>
      </c>
      <c r="F62" s="112">
        <v>45897</v>
      </c>
      <c r="G62" s="71" t="s">
        <v>126</v>
      </c>
      <c r="H62" s="71">
        <f>IF(OR(G62="Sin pagar",G62="Pagar"),_xlfn.SINGLE(NETWORKDAYS($J$24,F62,FestivosPerú!$A$2:$A$15)),0)</f>
        <v>0</v>
      </c>
      <c r="I62" s="71">
        <f>NETWORKDAYS($J$24,F62,FestivosPerú!$A$2:$A$15)</f>
        <v>19</v>
      </c>
      <c r="J62" s="117">
        <f>H62</f>
        <v>0</v>
      </c>
      <c r="L62" s="89"/>
    </row>
    <row r="63" spans="1:16" s="71" customFormat="1" ht="15" outlineLevel="1" thickBot="1">
      <c r="A63" s="126"/>
      <c r="B63" s="128"/>
      <c r="C63" s="84" t="s">
        <v>326</v>
      </c>
      <c r="D63" s="39">
        <v>5086.2700000000004</v>
      </c>
      <c r="E63" s="232">
        <f>D63/$D$6</f>
        <v>1444.9630681818182</v>
      </c>
      <c r="F63" s="112">
        <v>45897</v>
      </c>
      <c r="G63" s="71" t="s">
        <v>126</v>
      </c>
      <c r="H63" s="71">
        <f>IF(OR(G63="Sin pagar",G63="Pagar"),_xlfn.SINGLE(NETWORKDAYS($J$24,F63,FestivosPerú!$A$2:$A$15)),0)</f>
        <v>0</v>
      </c>
      <c r="I63" s="71">
        <f>NETWORKDAYS($J$24,F63,FestivosPerú!$A$2:$A$15)</f>
        <v>19</v>
      </c>
      <c r="J63" s="117">
        <f>H63</f>
        <v>0</v>
      </c>
      <c r="L63" s="89"/>
    </row>
    <row r="64" spans="1:16" s="71" customFormat="1" ht="16.2" thickBot="1">
      <c r="A64" s="126"/>
      <c r="B64" s="125"/>
      <c r="C64" s="110" t="s">
        <v>129</v>
      </c>
      <c r="D64" s="160">
        <f>SUBTOTAL(9,D65:D68)</f>
        <v>1760.73</v>
      </c>
      <c r="E64" s="111">
        <f>SUBTOTAL(9,E65:E68)</f>
        <v>5286.5376000000006</v>
      </c>
      <c r="L64" s="89"/>
    </row>
    <row r="65" spans="1:16" s="71" customFormat="1" outlineLevel="1">
      <c r="A65" s="126"/>
      <c r="B65" s="128"/>
      <c r="C65" s="84" t="s">
        <v>469</v>
      </c>
      <c r="D65" s="39">
        <f>E65*D6</f>
        <v>281.60000000000002</v>
      </c>
      <c r="E65" s="115">
        <v>80</v>
      </c>
      <c r="F65" s="112">
        <v>45891</v>
      </c>
      <c r="G65" s="71" t="s">
        <v>126</v>
      </c>
      <c r="H65" s="71">
        <f>IF(OR(G65="Sin pagar",G65="Pagar"),_xlfn.SINGLE(NETWORKDAYS($J$24,F65,FestivosPerú!$A$2:$A$15)),0)</f>
        <v>0</v>
      </c>
      <c r="I65" s="71">
        <f>NETWORKDAYS($J$24,F65,FestivosPerú!$A$2:$A$15)</f>
        <v>15</v>
      </c>
      <c r="J65" s="117">
        <f>H65</f>
        <v>0</v>
      </c>
      <c r="L65" s="89"/>
    </row>
    <row r="66" spans="1:16" s="71" customFormat="1" outlineLevel="1">
      <c r="A66" s="126"/>
      <c r="B66" s="128"/>
      <c r="C66" s="84" t="s">
        <v>505</v>
      </c>
      <c r="D66" s="39">
        <v>151.63</v>
      </c>
      <c r="E66" s="115">
        <f>D66*$D$6</f>
        <v>533.73760000000004</v>
      </c>
      <c r="F66" s="112">
        <v>45895</v>
      </c>
      <c r="G66" s="71" t="s">
        <v>126</v>
      </c>
      <c r="H66" s="71">
        <f>IF(OR(G66="Sin pagar",G66="Pagar"),_xlfn.SINGLE(NETWORKDAYS($J$24,F66,FestivosPerú!$A$2:$A$15)),0)</f>
        <v>0</v>
      </c>
      <c r="I66" s="71">
        <f>NETWORKDAYS($J$24,F66,FestivosPerú!$A$2:$A$15)</f>
        <v>17</v>
      </c>
      <c r="J66" s="117">
        <f>H66</f>
        <v>0</v>
      </c>
      <c r="L66" s="89"/>
    </row>
    <row r="67" spans="1:16" s="71" customFormat="1" outlineLevel="1">
      <c r="A67" s="126"/>
      <c r="B67" s="128" t="s">
        <v>549</v>
      </c>
      <c r="C67" s="84" t="s">
        <v>548</v>
      </c>
      <c r="D67" s="39">
        <v>1327.5</v>
      </c>
      <c r="E67" s="115">
        <f>D67*$D$6</f>
        <v>4672.8</v>
      </c>
      <c r="F67" s="112">
        <v>45898</v>
      </c>
      <c r="G67" s="71" t="s">
        <v>126</v>
      </c>
      <c r="H67" s="71">
        <f>IF(OR(G67="Sin pagar",G67="Pagar"),_xlfn.SINGLE(NETWORKDAYS($J$24,F67,FestivosPerú!$A$2:$A$15)),0)</f>
        <v>0</v>
      </c>
      <c r="I67" s="71">
        <f>NETWORKDAYS($J$24,F67,FestivosPerú!$A$2:$A$15)</f>
        <v>20</v>
      </c>
      <c r="J67" s="117">
        <f>H67</f>
        <v>0</v>
      </c>
      <c r="L67" s="89"/>
    </row>
    <row r="68" spans="1:16" s="71" customFormat="1" ht="15" outlineLevel="1" thickBot="1">
      <c r="A68" s="126"/>
      <c r="B68" s="128"/>
      <c r="C68" s="84" t="s">
        <v>447</v>
      </c>
      <c r="D68" s="39">
        <f>E68*D6</f>
        <v>0</v>
      </c>
      <c r="E68" s="115">
        <f>3900*0</f>
        <v>0</v>
      </c>
      <c r="F68" s="112">
        <v>45900</v>
      </c>
      <c r="G68" s="71" t="s">
        <v>126</v>
      </c>
      <c r="H68" s="71">
        <f>IF(OR(G68="Sin pagar",G68="Pagar"),_xlfn.SINGLE(NETWORKDAYS($J$24,F68,FestivosPerú!$A$2:$A$15)),0)</f>
        <v>0</v>
      </c>
      <c r="I68" s="71">
        <f>NETWORKDAYS($J$24,F68,FestivosPerú!$A$2:$A$15)</f>
        <v>20</v>
      </c>
      <c r="J68" s="117">
        <f>H68</f>
        <v>0</v>
      </c>
      <c r="L68" s="89"/>
    </row>
    <row r="69" spans="1:16" s="71" customFormat="1" ht="15.75" customHeight="1" thickBot="1">
      <c r="C69" s="311" t="s">
        <v>565</v>
      </c>
      <c r="D69" s="312">
        <f>SUBTOTAL(9,D70:D70)</f>
        <v>2105.4380000000001</v>
      </c>
      <c r="E69" s="313">
        <f>SUBTOTAL(9,E70:E70)</f>
        <v>598.13579545454547</v>
      </c>
      <c r="M69" s="122"/>
      <c r="N69" s="187"/>
      <c r="P69" s="187"/>
    </row>
    <row r="70" spans="1:16" s="71" customFormat="1" ht="15" outlineLevel="1" thickBot="1">
      <c r="A70" s="126"/>
      <c r="B70" s="128"/>
      <c r="C70" s="84" t="s">
        <v>127</v>
      </c>
      <c r="D70" s="39">
        <f>('BCP SOLES BCP'!$F$320+'BCP SOLES BCP'!F327+'BCP SOLES BCP'!$F$329+'BCP SOLES BCP'!$F$326+'BCP SOLES BCP'!$F$337+'BCP SOLES BCP'!$F$339+'BCP SOLES BCP'!$F$341+'BCP SOLES BCP'!$F$344+'BCP SOLES BCP'!F347+'BCP SOLES BCP'!$F$348)+(('BCP USD BCP'!F149*'FLUJO CAJA AGOSTO'!$D$6))+2064.15</f>
        <v>2105.4380000000001</v>
      </c>
      <c r="E70" s="115">
        <f>$D$70/$D$6</f>
        <v>598.13579545454547</v>
      </c>
      <c r="F70" s="112">
        <v>45900</v>
      </c>
      <c r="G70" s="71" t="s">
        <v>116</v>
      </c>
      <c r="H70" s="71">
        <f>IF(OR(G70="Sin pagar",G70="Pagar"),_xlfn.SINGLE(NETWORKDAYS($J$24,F70,FestivosPerú!$A$2:$A$15)),0)</f>
        <v>20</v>
      </c>
      <c r="I70" s="71">
        <f>NETWORKDAYS($J$24,F70,FestivosPerú!$A$2:$A$15)</f>
        <v>20</v>
      </c>
      <c r="J70" s="117">
        <f>H70</f>
        <v>20</v>
      </c>
      <c r="L70" s="89"/>
    </row>
    <row r="71" spans="1:16" s="71" customFormat="1" ht="16.2" thickBot="1">
      <c r="A71" s="126"/>
      <c r="B71" s="125"/>
      <c r="C71" s="311" t="s">
        <v>540</v>
      </c>
      <c r="D71" s="312">
        <f>SUBTOTAL(9,D72:D83)</f>
        <v>3495.9700000000007</v>
      </c>
      <c r="E71" s="313">
        <f>SUBTOTAL(9,E72:E83)</f>
        <v>993.17329545454515</v>
      </c>
      <c r="J71" s="117"/>
      <c r="L71" s="89"/>
    </row>
    <row r="72" spans="1:16" s="71" customFormat="1" ht="28.8" outlineLevel="1">
      <c r="A72" s="86"/>
      <c r="B72" s="83" t="s">
        <v>272</v>
      </c>
      <c r="C72" s="172" t="s">
        <v>461</v>
      </c>
      <c r="D72" s="39">
        <f>(401.94+0.8)+(55.07+0.11)</f>
        <v>457.92</v>
      </c>
      <c r="E72" s="115">
        <f t="shared" ref="E72:E79" si="5">D72/$D$6</f>
        <v>130.09090909090909</v>
      </c>
      <c r="F72" s="116">
        <v>45882</v>
      </c>
      <c r="G72" s="71" t="s">
        <v>126</v>
      </c>
      <c r="H72" s="71">
        <f>IF(OR(G72="Sin pagar",G72="Pagar"),_xlfn.SINGLE(NETWORKDAYS($J$24,F72,FestivosPerú!$A$2:$A$15)),0)</f>
        <v>0</v>
      </c>
      <c r="I72" s="71">
        <f>NETWORKDAYS($J$24,F72,FestivosPerú!$A$2:$A$15)</f>
        <v>8</v>
      </c>
      <c r="J72" s="117">
        <f t="shared" ref="J72:J79" si="6">H72</f>
        <v>0</v>
      </c>
      <c r="K72" s="89"/>
      <c r="L72" s="89"/>
      <c r="M72" s="118"/>
      <c r="N72" s="118"/>
    </row>
    <row r="73" spans="1:16" s="71" customFormat="1" ht="28.8" outlineLevel="1">
      <c r="A73" s="86"/>
      <c r="B73" s="83" t="s">
        <v>272</v>
      </c>
      <c r="C73" s="172" t="s">
        <v>460</v>
      </c>
      <c r="D73" s="39">
        <f>(347.68+0.7)+(101.52+0.2)</f>
        <v>450.1</v>
      </c>
      <c r="E73" s="115">
        <f t="shared" si="5"/>
        <v>127.86931818181819</v>
      </c>
      <c r="F73" s="116">
        <v>45882</v>
      </c>
      <c r="G73" s="71" t="s">
        <v>126</v>
      </c>
      <c r="H73" s="71">
        <f>IF(OR(G73="Sin pagar",G73="Pagar"),_xlfn.SINGLE(NETWORKDAYS($J$24,F73,FestivosPerú!$A$2:$A$15)),0)</f>
        <v>0</v>
      </c>
      <c r="I73" s="71">
        <f>NETWORKDAYS($J$24,F73,FestivosPerú!$A$2:$A$15)</f>
        <v>8</v>
      </c>
      <c r="J73" s="117">
        <f t="shared" si="6"/>
        <v>0</v>
      </c>
      <c r="K73" s="89"/>
      <c r="L73" s="89"/>
      <c r="M73" s="118"/>
      <c r="N73" s="118"/>
    </row>
    <row r="74" spans="1:16" s="71" customFormat="1" ht="28.8" outlineLevel="1">
      <c r="A74" s="86"/>
      <c r="B74" s="83" t="s">
        <v>272</v>
      </c>
      <c r="C74" s="172" t="s">
        <v>466</v>
      </c>
      <c r="D74" s="39">
        <v>11.98</v>
      </c>
      <c r="E74" s="115">
        <f t="shared" si="5"/>
        <v>3.4034090909090908</v>
      </c>
      <c r="F74" s="116">
        <v>45882</v>
      </c>
      <c r="G74" s="71" t="s">
        <v>126</v>
      </c>
      <c r="H74" s="71">
        <f>IF(OR(G74="Sin pagar",G74="Pagar"),_xlfn.SINGLE(NETWORKDAYS($J$24,F74,FestivosPerú!$A$2:$A$15)),0)</f>
        <v>0</v>
      </c>
      <c r="I74" s="71">
        <f>NETWORKDAYS($J$24,F74,FestivosPerú!$A$2:$A$15)</f>
        <v>8</v>
      </c>
      <c r="J74" s="117">
        <f t="shared" si="6"/>
        <v>0</v>
      </c>
      <c r="K74" s="89"/>
      <c r="L74" s="89"/>
      <c r="M74" s="118"/>
      <c r="N74" s="118"/>
    </row>
    <row r="75" spans="1:16" s="71" customFormat="1" ht="16.5" customHeight="1" outlineLevel="1">
      <c r="A75" s="126"/>
      <c r="B75" s="128" t="s">
        <v>272</v>
      </c>
      <c r="C75" s="84" t="s">
        <v>456</v>
      </c>
      <c r="D75" s="39">
        <v>675</v>
      </c>
      <c r="E75" s="115">
        <f t="shared" si="5"/>
        <v>191.76136363636363</v>
      </c>
      <c r="F75" s="116">
        <v>45883</v>
      </c>
      <c r="G75" s="71" t="s">
        <v>126</v>
      </c>
      <c r="H75" s="71">
        <f>IF(OR(G75="Sin pagar",G75="Pagar"),_xlfn.SINGLE(NETWORKDAYS($J$24,F75,FestivosPerú!$A$2:$A$15)),0)</f>
        <v>0</v>
      </c>
      <c r="I75" s="71">
        <f>NETWORKDAYS($J$24,F75,FestivosPerú!$A$2:$A$15)</f>
        <v>9</v>
      </c>
      <c r="J75" s="117">
        <f t="shared" si="6"/>
        <v>0</v>
      </c>
      <c r="L75" s="89"/>
    </row>
    <row r="76" spans="1:16" s="71" customFormat="1" outlineLevel="1">
      <c r="B76" s="119"/>
      <c r="C76" s="84" t="s">
        <v>463</v>
      </c>
      <c r="D76" s="39">
        <v>1536</v>
      </c>
      <c r="E76" s="115">
        <f t="shared" si="5"/>
        <v>436.36363636363637</v>
      </c>
      <c r="F76" s="116">
        <v>45888</v>
      </c>
      <c r="G76" s="71" t="s">
        <v>126</v>
      </c>
      <c r="H76" s="71">
        <f>IF(OR(G76="Sin pagar",G76="Pagar"),_xlfn.SINGLE(NETWORKDAYS($J$24,F76,FestivosPerú!$A$2:$A$15)),0)</f>
        <v>0</v>
      </c>
      <c r="I76" s="71">
        <f>NETWORKDAYS($J$24,F76,FestivosPerú!$A$2:$A$15)</f>
        <v>12</v>
      </c>
      <c r="J76" s="117">
        <f t="shared" si="6"/>
        <v>0</v>
      </c>
      <c r="K76" s="120"/>
      <c r="L76" s="94"/>
      <c r="M76" s="300" t="s">
        <v>245</v>
      </c>
      <c r="N76" s="118"/>
    </row>
    <row r="77" spans="1:16" s="71" customFormat="1" outlineLevel="1">
      <c r="B77" s="119"/>
      <c r="C77" s="172" t="s">
        <v>471</v>
      </c>
      <c r="D77" s="39">
        <v>1</v>
      </c>
      <c r="E77" s="115">
        <f t="shared" si="5"/>
        <v>0.28409090909090912</v>
      </c>
      <c r="F77" s="116">
        <v>45890</v>
      </c>
      <c r="G77" s="71" t="s">
        <v>126</v>
      </c>
      <c r="H77" s="71">
        <f>IF(OR(G77="Sin pagar",G77="Pagar"),_xlfn.SINGLE(NETWORKDAYS($J$24,F77,FestivosPerú!$A$2:$A$15)),0)</f>
        <v>0</v>
      </c>
      <c r="I77" s="71">
        <f>NETWORKDAYS($J$24,F77,FestivosPerú!$A$2:$A$15)</f>
        <v>14</v>
      </c>
      <c r="J77" s="117">
        <f t="shared" si="6"/>
        <v>0</v>
      </c>
      <c r="K77" s="120"/>
      <c r="L77" s="94"/>
      <c r="M77" s="300"/>
      <c r="N77" s="118"/>
    </row>
    <row r="78" spans="1:16" s="71" customFormat="1" outlineLevel="1">
      <c r="B78" s="119"/>
      <c r="C78" s="172" t="s">
        <v>472</v>
      </c>
      <c r="D78" s="39">
        <v>1</v>
      </c>
      <c r="E78" s="115">
        <f t="shared" si="5"/>
        <v>0.28409090909090912</v>
      </c>
      <c r="F78" s="116">
        <v>45890</v>
      </c>
      <c r="G78" s="71" t="s">
        <v>126</v>
      </c>
      <c r="H78" s="71">
        <f>IF(OR(G78="Sin pagar",G78="Pagar"),_xlfn.SINGLE(NETWORKDAYS($J$24,F78,FestivosPerú!$A$2:$A$15)),0)</f>
        <v>0</v>
      </c>
      <c r="I78" s="71">
        <f>NETWORKDAYS($J$24,F78,FestivosPerú!$A$2:$A$15)</f>
        <v>14</v>
      </c>
      <c r="J78" s="117">
        <f t="shared" si="6"/>
        <v>0</v>
      </c>
      <c r="K78" s="120"/>
      <c r="L78" s="94"/>
      <c r="M78" s="300"/>
      <c r="N78" s="118"/>
    </row>
    <row r="79" spans="1:16" s="71" customFormat="1" outlineLevel="1">
      <c r="B79" s="119"/>
      <c r="C79" s="172" t="s">
        <v>473</v>
      </c>
      <c r="D79" s="39">
        <v>5.8</v>
      </c>
      <c r="E79" s="115">
        <f t="shared" si="5"/>
        <v>1.6477272727272727</v>
      </c>
      <c r="F79" s="116">
        <v>45890</v>
      </c>
      <c r="G79" s="71" t="s">
        <v>126</v>
      </c>
      <c r="H79" s="71">
        <f>IF(OR(G79="Sin pagar",G79="Pagar"),_xlfn.SINGLE(NETWORKDAYS($J$24,F79,FestivosPerú!$A$2:$A$15)),0)</f>
        <v>0</v>
      </c>
      <c r="I79" s="71">
        <f>NETWORKDAYS($J$24,F79,FestivosPerú!$A$2:$A$15)</f>
        <v>14</v>
      </c>
      <c r="J79" s="117">
        <f t="shared" si="6"/>
        <v>0</v>
      </c>
      <c r="K79" s="120"/>
      <c r="L79" s="94"/>
      <c r="M79" s="300"/>
      <c r="N79" s="118"/>
    </row>
    <row r="80" spans="1:16" s="71" customFormat="1" outlineLevel="1">
      <c r="B80" s="119"/>
      <c r="C80" s="172" t="s">
        <v>483</v>
      </c>
      <c r="D80" s="39">
        <v>5.8</v>
      </c>
      <c r="E80" s="115">
        <f>D80/$D$6</f>
        <v>1.6477272727272727</v>
      </c>
      <c r="F80" s="116">
        <v>45891</v>
      </c>
      <c r="G80" s="71" t="s">
        <v>126</v>
      </c>
      <c r="H80" s="71">
        <f>IF(OR(G80="Sin pagar",G80="Pagar"),_xlfn.SINGLE(NETWORKDAYS($J$24,F80,FestivosPerú!$A$2:$A$15)),0)</f>
        <v>0</v>
      </c>
      <c r="I80" s="71">
        <f>NETWORKDAYS($J$24,F80,FestivosPerú!$A$2:$A$15)</f>
        <v>15</v>
      </c>
      <c r="J80" s="117">
        <f>H80</f>
        <v>0</v>
      </c>
      <c r="K80" s="120"/>
      <c r="L80" s="94"/>
      <c r="M80" s="300"/>
      <c r="N80" s="118"/>
    </row>
    <row r="81" spans="1:16" s="71" customFormat="1" outlineLevel="1">
      <c r="B81">
        <v>2871306</v>
      </c>
      <c r="C81" s="172" t="s">
        <v>541</v>
      </c>
      <c r="D81" s="39">
        <v>55.34</v>
      </c>
      <c r="E81" s="115">
        <f>D81/$D$6</f>
        <v>15.72159090909091</v>
      </c>
      <c r="F81" s="116">
        <v>45897</v>
      </c>
      <c r="G81" s="71" t="s">
        <v>126</v>
      </c>
      <c r="H81" s="71">
        <f>IF(OR(G81="Sin pagar",G81="Pagar"),_xlfn.SINGLE(NETWORKDAYS($J$24,F81,FestivosPerú!$A$2:$A$15)),0)</f>
        <v>0</v>
      </c>
      <c r="I81" s="71">
        <f>NETWORKDAYS($J$24,F81,FestivosPerú!$A$2:$A$15)</f>
        <v>19</v>
      </c>
      <c r="J81" s="117">
        <f>H81</f>
        <v>0</v>
      </c>
      <c r="K81" s="120"/>
      <c r="L81" s="94"/>
      <c r="M81" s="300"/>
      <c r="N81" s="118"/>
    </row>
    <row r="82" spans="1:16" s="71" customFormat="1" outlineLevel="1">
      <c r="B82">
        <v>2869454</v>
      </c>
      <c r="C82" s="172" t="s">
        <v>543</v>
      </c>
      <c r="D82" s="39">
        <v>226.03</v>
      </c>
      <c r="E82" s="115">
        <f>D82/$D$6</f>
        <v>64.213068181818187</v>
      </c>
      <c r="F82" s="116">
        <v>45897</v>
      </c>
      <c r="G82" s="71" t="s">
        <v>126</v>
      </c>
      <c r="H82" s="71">
        <f>IF(OR(G82="Sin pagar",G82="Pagar"),_xlfn.SINGLE(NETWORKDAYS($J$24,F82,FestivosPerú!$A$2:$A$15)),0)</f>
        <v>0</v>
      </c>
      <c r="I82" s="71">
        <f>NETWORKDAYS($J$24,F82,FestivosPerú!$A$2:$A$15)</f>
        <v>19</v>
      </c>
      <c r="J82" s="117">
        <f>H82</f>
        <v>0</v>
      </c>
      <c r="K82" s="120"/>
      <c r="L82" s="94"/>
      <c r="M82" s="300"/>
      <c r="N82" s="118"/>
    </row>
    <row r="83" spans="1:16" s="71" customFormat="1" ht="15" outlineLevel="1" thickBot="1">
      <c r="B83">
        <v>2855245</v>
      </c>
      <c r="C83" s="172" t="s">
        <v>542</v>
      </c>
      <c r="D83" s="39">
        <v>70</v>
      </c>
      <c r="E83" s="115">
        <f>D83/$D$6</f>
        <v>19.886363636363637</v>
      </c>
      <c r="F83" s="116">
        <v>45897</v>
      </c>
      <c r="G83" s="71" t="s">
        <v>126</v>
      </c>
      <c r="H83" s="71">
        <f>IF(OR(G83="Sin pagar",G83="Pagar"),_xlfn.SINGLE(NETWORKDAYS($J$24,F83,FestivosPerú!$A$2:$A$15)),0)</f>
        <v>0</v>
      </c>
      <c r="I83" s="71">
        <f>NETWORKDAYS($J$24,F83,FestivosPerú!$A$2:$A$15)</f>
        <v>19</v>
      </c>
      <c r="J83" s="117">
        <f>H83</f>
        <v>0</v>
      </c>
      <c r="K83" s="120"/>
      <c r="L83" s="94"/>
      <c r="M83" s="300"/>
      <c r="N83" s="118"/>
    </row>
    <row r="84" spans="1:16" s="71" customFormat="1" ht="16.2" thickBot="1">
      <c r="C84" s="311" t="s">
        <v>507</v>
      </c>
      <c r="D84" s="312">
        <f>SUBTOTAL(9,D85:D90)</f>
        <v>46321.129061</v>
      </c>
      <c r="E84" s="313">
        <f>SUBTOTAL(9,E85:E90)</f>
        <v>13159.411665056816</v>
      </c>
      <c r="J84" s="301"/>
      <c r="K84" s="89"/>
      <c r="L84" s="124"/>
      <c r="N84" s="122"/>
      <c r="O84" s="101"/>
    </row>
    <row r="85" spans="1:16" s="71" customFormat="1" outlineLevel="1">
      <c r="B85" s="125"/>
      <c r="C85" s="186" t="s">
        <v>508</v>
      </c>
      <c r="D85" s="39">
        <v>4749.8589599999996</v>
      </c>
      <c r="E85" s="115">
        <f t="shared" ref="E85:E90" si="7">D85/$D$6</f>
        <v>1349.3917499999998</v>
      </c>
      <c r="F85" s="112">
        <v>45896</v>
      </c>
      <c r="G85" s="71" t="s">
        <v>126</v>
      </c>
      <c r="H85" s="71">
        <f>IF(OR(G85="Sin pagar",G85="Pagar"),_xlfn.SINGLE(NETWORKDAYS($J$24,F85,FestivosPerú!$A$2:$A$15)),0)</f>
        <v>0</v>
      </c>
      <c r="I85" s="71">
        <f>NETWORKDAYS($J$24,F85,FestivosPerú!$A$2:$A$15)</f>
        <v>18</v>
      </c>
      <c r="J85" s="117">
        <f t="shared" ref="J85:J90" si="8">H85</f>
        <v>0</v>
      </c>
      <c r="K85" s="120"/>
      <c r="L85" s="120"/>
      <c r="M85" s="253"/>
      <c r="N85" s="122"/>
    </row>
    <row r="86" spans="1:16" s="71" customFormat="1" outlineLevel="1">
      <c r="B86" s="125"/>
      <c r="C86" s="186" t="s">
        <v>509</v>
      </c>
      <c r="D86" s="39">
        <v>8458.3101009999991</v>
      </c>
      <c r="E86" s="115">
        <f t="shared" si="7"/>
        <v>2402.9290059659088</v>
      </c>
      <c r="F86" s="112">
        <v>45897</v>
      </c>
      <c r="G86" s="71" t="s">
        <v>126</v>
      </c>
      <c r="H86" s="71">
        <f>IF(OR(G86="Sin pagar",G86="Pagar"),_xlfn.SINGLE(NETWORKDAYS($J$24,F86,FestivosPerú!$A$2:$A$15)),0)</f>
        <v>0</v>
      </c>
      <c r="I86" s="71">
        <f>NETWORKDAYS($J$24,F86,FestivosPerú!$A$2:$A$15)</f>
        <v>19</v>
      </c>
      <c r="J86" s="117">
        <f t="shared" si="8"/>
        <v>0</v>
      </c>
      <c r="K86" s="120"/>
      <c r="L86" s="120"/>
      <c r="M86" s="253"/>
    </row>
    <row r="87" spans="1:16" s="126" customFormat="1" outlineLevel="1">
      <c r="B87" s="125"/>
      <c r="C87" s="186" t="s">
        <v>510</v>
      </c>
      <c r="D87" s="39">
        <v>10782.57</v>
      </c>
      <c r="E87" s="115">
        <f t="shared" si="7"/>
        <v>3063.2301136363635</v>
      </c>
      <c r="F87" s="112">
        <v>45896</v>
      </c>
      <c r="G87" s="71" t="s">
        <v>126</v>
      </c>
      <c r="H87" s="71">
        <f>IF(OR(G87="Sin pagar",G87="Pagar"),_xlfn.SINGLE(NETWORKDAYS($J$24,F87,FestivosPerú!$A$2:$A$15)),0)</f>
        <v>0</v>
      </c>
      <c r="I87" s="71">
        <f>NETWORKDAYS($J$24,F87,FestivosPerú!$A$2:$A$15)</f>
        <v>18</v>
      </c>
      <c r="J87" s="117">
        <f t="shared" si="8"/>
        <v>0</v>
      </c>
      <c r="L87" s="127"/>
      <c r="M87" s="253"/>
    </row>
    <row r="88" spans="1:16" s="126" customFormat="1" outlineLevel="1">
      <c r="B88" s="125"/>
      <c r="C88" s="186" t="s">
        <v>511</v>
      </c>
      <c r="D88" s="39">
        <v>11437.26</v>
      </c>
      <c r="E88" s="115">
        <f t="shared" si="7"/>
        <v>3249.221590909091</v>
      </c>
      <c r="F88" s="112">
        <v>45896</v>
      </c>
      <c r="G88" s="71" t="s">
        <v>126</v>
      </c>
      <c r="H88" s="71">
        <f>IF(OR(G88="Sin pagar",G88="Pagar"),_xlfn.SINGLE(NETWORKDAYS($J$24,F88,FestivosPerú!$A$2:$A$15)),0)</f>
        <v>0</v>
      </c>
      <c r="I88" s="71">
        <f>NETWORKDAYS($J$24,F88,FestivosPerú!$A$2:$A$15)</f>
        <v>18</v>
      </c>
      <c r="J88" s="117">
        <f t="shared" si="8"/>
        <v>0</v>
      </c>
      <c r="L88" s="127"/>
      <c r="M88" s="253"/>
    </row>
    <row r="89" spans="1:16" s="126" customFormat="1" outlineLevel="1">
      <c r="B89" s="125"/>
      <c r="C89" s="186" t="s">
        <v>512</v>
      </c>
      <c r="D89" s="39">
        <v>5577.54</v>
      </c>
      <c r="E89" s="115">
        <f t="shared" si="7"/>
        <v>1584.528409090909</v>
      </c>
      <c r="F89" s="112">
        <v>45896</v>
      </c>
      <c r="G89" s="71" t="s">
        <v>126</v>
      </c>
      <c r="H89" s="71">
        <f>IF(OR(G89="Sin pagar",G89="Pagar"),_xlfn.SINGLE(NETWORKDAYS($J$24,F89,FestivosPerú!$A$2:$A$15)),0)</f>
        <v>0</v>
      </c>
      <c r="I89" s="71">
        <f>NETWORKDAYS($J$24,F89,FestivosPerú!$A$2:$A$15)</f>
        <v>18</v>
      </c>
      <c r="J89" s="117">
        <f t="shared" si="8"/>
        <v>0</v>
      </c>
      <c r="L89" s="127"/>
      <c r="M89" s="253"/>
    </row>
    <row r="90" spans="1:16" s="71" customFormat="1" ht="15" outlineLevel="1" thickBot="1">
      <c r="B90" s="119"/>
      <c r="C90" s="172" t="s">
        <v>513</v>
      </c>
      <c r="D90" s="39">
        <v>5315.59</v>
      </c>
      <c r="E90" s="115">
        <f t="shared" si="7"/>
        <v>1510.1107954545455</v>
      </c>
      <c r="F90" s="112">
        <v>45896</v>
      </c>
      <c r="G90" s="71" t="s">
        <v>126</v>
      </c>
      <c r="H90" s="71">
        <f>IF(OR(G90="Sin pagar",G90="Pagar"),_xlfn.SINGLE(NETWORKDAYS($J$24,F90,FestivosPerú!$A$2:$A$15)),0)</f>
        <v>0</v>
      </c>
      <c r="I90" s="71">
        <f>NETWORKDAYS($J$24,F90,FestivosPerú!$A$2:$A$15)</f>
        <v>18</v>
      </c>
      <c r="J90" s="117">
        <f t="shared" si="8"/>
        <v>0</v>
      </c>
      <c r="K90" s="120"/>
      <c r="L90" s="94"/>
      <c r="M90" s="300"/>
      <c r="N90" s="118"/>
    </row>
    <row r="91" spans="1:16" ht="15.6">
      <c r="C91" s="129" t="s">
        <v>130</v>
      </c>
      <c r="D91" s="227">
        <f>SUBTOTAL(9,D26:D90)</f>
        <v>170875.94866100003</v>
      </c>
      <c r="E91" s="228">
        <f>SUBTOTAL(9,E26:E90)</f>
        <v>53330.633810511361</v>
      </c>
    </row>
    <row r="92" spans="1:16" s="238" customFormat="1" ht="15.6">
      <c r="B92" s="239"/>
      <c r="C92" s="240"/>
      <c r="D92" s="241"/>
      <c r="E92" s="242"/>
    </row>
    <row r="93" spans="1:16" ht="15.6">
      <c r="A93" s="71"/>
      <c r="C93" s="134" t="s">
        <v>3</v>
      </c>
      <c r="D93" s="170">
        <f>D21-D91</f>
        <v>95189.711365666561</v>
      </c>
      <c r="E93" s="135">
        <f>E21-E91</f>
        <v>22846.856651609844</v>
      </c>
      <c r="F93" s="136"/>
      <c r="G93" s="137"/>
      <c r="J93" s="137"/>
    </row>
    <row r="94" spans="1:16" s="141" customFormat="1" ht="15.6">
      <c r="A94" s="71"/>
      <c r="B94" s="138"/>
      <c r="C94" s="134" t="s">
        <v>131</v>
      </c>
      <c r="D94" s="139">
        <f>IF($D$21=0,0,D93/$D$21)</f>
        <v>0.35776774558628166</v>
      </c>
      <c r="E94" s="139">
        <f>IF($E$21=0,0,E93/$E$21)</f>
        <v>0.29991611055985501</v>
      </c>
      <c r="F94" s="140"/>
      <c r="G94" s="137"/>
      <c r="J94" s="142"/>
      <c r="K94" s="294"/>
      <c r="L94" s="294"/>
      <c r="N94" s="294"/>
      <c r="O94" s="294"/>
      <c r="P94" s="294"/>
    </row>
    <row r="96" spans="1:16" ht="15" thickBot="1"/>
    <row r="97" spans="2:13">
      <c r="C97" s="197">
        <v>45870</v>
      </c>
      <c r="D97" s="198">
        <v>45872</v>
      </c>
      <c r="E97" s="199">
        <f>SUMIFS($D$25:$D$95,$F$25:$F$95,"&gt;="&amp;C97,$F$25:$F$95,"&lt;="&amp;D97,$G$25:$G$95,$D$119)</f>
        <v>0</v>
      </c>
      <c r="F97" s="324">
        <f>SUMIFS($D$25:$D$95,$F$25:$F$95,"&gt;="&amp;D97,$F$25:$F$95,"&lt;="&amp;E97,$G$25:$G$95,$D$119)</f>
        <v>0</v>
      </c>
    </row>
    <row r="98" spans="2:13">
      <c r="C98" s="201">
        <v>45873</v>
      </c>
      <c r="D98" s="202">
        <v>45874</v>
      </c>
      <c r="E98" s="203">
        <f t="shared" ref="E98:E107" si="9">SUMIFS($D$25:$D$95,$F$25:$F$95,"&gt;="&amp;C98,$F$25:$F$95,"&lt;="&amp;D98,$G$25:$G$95,$D$119)</f>
        <v>0</v>
      </c>
      <c r="F98" s="204">
        <f t="shared" ref="F98:F107" si="10">SUMIFS($E$25:$E$95,$F$25:$F$95,"&gt;="&amp;C98,$F$25:$F$95,"&lt;="&amp;D98,$G$25:$G$95,$D$119)</f>
        <v>0</v>
      </c>
    </row>
    <row r="99" spans="2:13">
      <c r="C99" s="201">
        <v>45875</v>
      </c>
      <c r="D99" s="202">
        <v>45875</v>
      </c>
      <c r="E99" s="203">
        <f t="shared" si="9"/>
        <v>0</v>
      </c>
      <c r="F99" s="204">
        <f t="shared" si="10"/>
        <v>0</v>
      </c>
      <c r="G99" s="297" t="s">
        <v>453</v>
      </c>
    </row>
    <row r="100" spans="2:13">
      <c r="C100" s="201">
        <v>45876</v>
      </c>
      <c r="D100" s="202">
        <v>45879</v>
      </c>
      <c r="E100" s="203">
        <f t="shared" si="9"/>
        <v>0</v>
      </c>
      <c r="F100" s="204">
        <f t="shared" si="10"/>
        <v>0</v>
      </c>
      <c r="G100" s="294" t="s">
        <v>448</v>
      </c>
    </row>
    <row r="101" spans="2:13">
      <c r="C101" s="201">
        <v>45880</v>
      </c>
      <c r="D101" s="202">
        <v>45882</v>
      </c>
      <c r="E101" s="203">
        <f t="shared" si="9"/>
        <v>0</v>
      </c>
      <c r="F101" s="204">
        <f t="shared" si="10"/>
        <v>0</v>
      </c>
      <c r="G101" s="294" t="s">
        <v>462</v>
      </c>
    </row>
    <row r="102" spans="2:13" s="297" customFormat="1">
      <c r="B102" s="296"/>
      <c r="C102" s="201">
        <v>45883</v>
      </c>
      <c r="D102" s="325">
        <v>45883</v>
      </c>
      <c r="E102" s="203">
        <f t="shared" si="9"/>
        <v>0</v>
      </c>
      <c r="F102" s="204">
        <f t="shared" si="10"/>
        <v>0</v>
      </c>
      <c r="G102" s="297" t="s">
        <v>449</v>
      </c>
    </row>
    <row r="103" spans="2:13" s="297" customFormat="1">
      <c r="B103" s="296"/>
      <c r="C103" s="201">
        <v>45887</v>
      </c>
      <c r="D103" s="202">
        <v>45890</v>
      </c>
      <c r="E103" s="203">
        <f t="shared" si="9"/>
        <v>0</v>
      </c>
      <c r="F103" s="204">
        <f t="shared" si="10"/>
        <v>0</v>
      </c>
    </row>
    <row r="104" spans="2:13" s="297" customFormat="1">
      <c r="B104" s="296"/>
      <c r="C104" s="201">
        <v>45891</v>
      </c>
      <c r="D104" s="202">
        <v>45891</v>
      </c>
      <c r="E104" s="203">
        <f t="shared" si="9"/>
        <v>0</v>
      </c>
      <c r="F104" s="204">
        <f t="shared" si="10"/>
        <v>0</v>
      </c>
      <c r="G104" s="297" t="s">
        <v>450</v>
      </c>
    </row>
    <row r="105" spans="2:13" s="297" customFormat="1">
      <c r="B105" s="296"/>
      <c r="C105" s="201">
        <v>45892</v>
      </c>
      <c r="D105" s="202">
        <v>45893</v>
      </c>
      <c r="E105" s="203">
        <f t="shared" si="9"/>
        <v>0</v>
      </c>
      <c r="F105" s="204">
        <f t="shared" si="10"/>
        <v>0</v>
      </c>
    </row>
    <row r="106" spans="2:13">
      <c r="C106" s="326">
        <v>45894</v>
      </c>
      <c r="D106" s="327">
        <v>45900</v>
      </c>
      <c r="E106" s="203">
        <f t="shared" si="9"/>
        <v>2105.4380000000001</v>
      </c>
      <c r="F106" s="204">
        <f t="shared" si="10"/>
        <v>598.13579545454547</v>
      </c>
    </row>
    <row r="107" spans="2:13" s="321" customFormat="1" ht="15" thickBot="1">
      <c r="B107" s="320"/>
      <c r="C107" s="314">
        <v>45901</v>
      </c>
      <c r="D107" s="315">
        <v>45907</v>
      </c>
      <c r="E107" s="207">
        <f t="shared" si="9"/>
        <v>0</v>
      </c>
      <c r="F107" s="208">
        <f t="shared" si="10"/>
        <v>0</v>
      </c>
    </row>
    <row r="108" spans="2:13" ht="15.6">
      <c r="C108" s="524" t="s">
        <v>136</v>
      </c>
      <c r="D108" s="524"/>
      <c r="E108" s="323">
        <f>SUM(E97:E107)</f>
        <v>2105.4380000000001</v>
      </c>
      <c r="F108" s="153">
        <f>SUM(F97:F107)</f>
        <v>598.13579545454547</v>
      </c>
      <c r="G108" s="77"/>
      <c r="K108" s="137"/>
      <c r="M108" s="154"/>
    </row>
    <row r="111" spans="2:13">
      <c r="C111" s="525"/>
      <c r="D111" s="526"/>
    </row>
    <row r="112" spans="2:13">
      <c r="C112" s="525"/>
      <c r="D112" s="526"/>
    </row>
    <row r="113" spans="3:6">
      <c r="C113" s="522" t="s">
        <v>208</v>
      </c>
      <c r="D113" s="522"/>
      <c r="E113" s="39">
        <f>'BCP SOLES BCP'!$G$503+('BCP USD BCP'!$G$299*$D$6)</f>
        <v>88313.468333267578</v>
      </c>
      <c r="F113" s="154">
        <f>('BCP SOLES BCP'!$G$503/D6)+'BCP USD BCP'!$G$299</f>
        <v>25089.053503769195</v>
      </c>
    </row>
    <row r="114" spans="3:6">
      <c r="C114" s="522" t="s">
        <v>446</v>
      </c>
      <c r="D114" s="522"/>
      <c r="E114" s="39">
        <f>SUM(E97:E106)</f>
        <v>2105.4380000000001</v>
      </c>
      <c r="F114" s="154">
        <f>SUM(F97:F106)</f>
        <v>598.13579545454547</v>
      </c>
    </row>
    <row r="115" spans="3:6">
      <c r="C115" s="523" t="s">
        <v>138</v>
      </c>
      <c r="D115" s="523"/>
      <c r="E115" s="156">
        <f>E113-E114</f>
        <v>86208.030333267583</v>
      </c>
      <c r="F115" s="157">
        <f>F113-F114</f>
        <v>24490.91770831465</v>
      </c>
    </row>
    <row r="118" spans="3:6">
      <c r="D118" s="231" t="s">
        <v>126</v>
      </c>
      <c r="E118" s="39">
        <f>SUMIFS($D$25:$D$95,$F$25:$F$95,"&gt;="&amp;C97,$F$25:$F$95,"&lt;="&amp;D107,$G$25:$G$95,$D$118)</f>
        <v>168770.51066100004</v>
      </c>
      <c r="F118" s="154">
        <f>SUMIFS($E$25:$E$95,$F$25:$F$95,"&gt;="&amp;$C$97,$F$25:$F$95,"&lt;="&amp;$D$107,$G$25:$G$95,$D$118)</f>
        <v>52732.498015056815</v>
      </c>
    </row>
    <row r="119" spans="3:6">
      <c r="D119" s="231" t="s">
        <v>116</v>
      </c>
      <c r="E119" s="39">
        <f>SUMIFS($D$25:$D$95,$F$25:$F$95,"&gt;="&amp;C97,$F$25:$F$95,"&lt;="&amp;D106,$G$25:$G$95,$D$119)</f>
        <v>2105.4380000000001</v>
      </c>
      <c r="F119" s="154">
        <f>SUMIFS($E$25:$E$95,$F$25:$F$95,"&gt;="&amp;$C$97,$F$25:$F$95,"&lt;="&amp;$D$106,$G$25:$G$95,$D$119)</f>
        <v>598.13579545454547</v>
      </c>
    </row>
    <row r="120" spans="3:6">
      <c r="D120" s="295" t="s">
        <v>249</v>
      </c>
      <c r="E120" s="167">
        <f>SUM(E118:E119)</f>
        <v>170875.94866100003</v>
      </c>
      <c r="F120" s="168">
        <f>SUM(F118:F119)</f>
        <v>53330.633810511361</v>
      </c>
    </row>
    <row r="121" spans="3:6">
      <c r="D121" s="295" t="s">
        <v>140</v>
      </c>
      <c r="E121" s="167">
        <f>D91-E120</f>
        <v>0</v>
      </c>
      <c r="F121" s="168">
        <f>E91-F120</f>
        <v>0</v>
      </c>
    </row>
    <row r="122" spans="3:6">
      <c r="E122" s="167"/>
      <c r="F122" s="168"/>
    </row>
    <row r="125" spans="3:6">
      <c r="D125" s="322" t="s">
        <v>198</v>
      </c>
      <c r="E125" s="39">
        <f>D93</f>
        <v>95189.711365666561</v>
      </c>
    </row>
    <row r="126" spans="3:6">
      <c r="D126" s="322" t="s">
        <v>199</v>
      </c>
      <c r="E126" s="39">
        <f>'BCP SOLES BCP'!$G$390+('BCP USD BCP'!$G$172*$D$6)</f>
        <v>95189.70762666667</v>
      </c>
    </row>
    <row r="127" spans="3:6">
      <c r="D127" s="322" t="s">
        <v>39</v>
      </c>
      <c r="E127" s="39">
        <f>E125-E126</f>
        <v>3.7389998906292021E-3</v>
      </c>
    </row>
    <row r="128" spans="3:6">
      <c r="D128" s="322" t="s">
        <v>200</v>
      </c>
      <c r="E128" s="39">
        <f>E127/D6</f>
        <v>1.0622158780196596E-3</v>
      </c>
    </row>
    <row r="150" spans="3:7">
      <c r="C150" s="527" t="s">
        <v>377</v>
      </c>
      <c r="D150" s="528"/>
      <c r="E150" s="528"/>
      <c r="F150" s="528"/>
      <c r="G150" s="529"/>
    </row>
    <row r="151" spans="3:7">
      <c r="C151" s="259"/>
      <c r="F151" s="260"/>
      <c r="G151" s="261"/>
    </row>
    <row r="152" spans="3:7">
      <c r="C152" s="262" t="s">
        <v>338</v>
      </c>
      <c r="D152" s="39">
        <f>D32</f>
        <v>2062</v>
      </c>
      <c r="E152" s="115">
        <f>D152/$D$6</f>
        <v>585.7954545454545</v>
      </c>
      <c r="F152" s="263">
        <v>45852</v>
      </c>
      <c r="G152" s="261"/>
    </row>
    <row r="153" spans="3:7">
      <c r="C153" s="264" t="s">
        <v>359</v>
      </c>
      <c r="D153" s="39" t="e">
        <f>#REF!</f>
        <v>#REF!</v>
      </c>
      <c r="E153" s="115" t="e">
        <f>D153/$D$6</f>
        <v>#REF!</v>
      </c>
      <c r="F153" s="263">
        <v>45852</v>
      </c>
      <c r="G153" s="261"/>
    </row>
    <row r="154" spans="3:7">
      <c r="C154" s="264" t="s">
        <v>360</v>
      </c>
      <c r="D154" s="39" t="e">
        <f>#REF!</f>
        <v>#REF!</v>
      </c>
      <c r="E154" s="115" t="e">
        <f>D154/$D$6</f>
        <v>#REF!</v>
      </c>
      <c r="F154" s="263">
        <v>45852</v>
      </c>
      <c r="G154" s="261"/>
    </row>
    <row r="155" spans="3:7">
      <c r="C155" s="262" t="s">
        <v>374</v>
      </c>
      <c r="D155" s="39" t="e">
        <f>#REF!</f>
        <v>#REF!</v>
      </c>
      <c r="E155" s="115" t="e">
        <f>D155/$D$6</f>
        <v>#REF!</v>
      </c>
      <c r="F155" s="263">
        <v>45856</v>
      </c>
      <c r="G155" s="261"/>
    </row>
    <row r="156" spans="3:7">
      <c r="C156" s="265" t="s">
        <v>61</v>
      </c>
      <c r="D156" s="167" t="e">
        <f>SUM(D152:D155)</f>
        <v>#REF!</v>
      </c>
      <c r="E156" s="258" t="e">
        <f>SUM(E152:E155)</f>
        <v>#REF!</v>
      </c>
      <c r="F156" s="260"/>
      <c r="G156" s="261"/>
    </row>
    <row r="157" spans="3:7">
      <c r="C157" s="259"/>
      <c r="F157" s="260"/>
      <c r="G157" s="261"/>
    </row>
    <row r="158" spans="3:7">
      <c r="C158" s="262" t="s">
        <v>378</v>
      </c>
      <c r="D158" s="39">
        <f>'BCP SOLES BCP'!G261</f>
        <v>3857.5109956666811</v>
      </c>
      <c r="E158" s="115">
        <f>D158/'Diferencia Cambio S&amp;P'!S23</f>
        <v>1096.5068208262312</v>
      </c>
      <c r="F158" s="260"/>
      <c r="G158" s="261"/>
    </row>
    <row r="159" spans="3:7">
      <c r="C159" s="264" t="s">
        <v>375</v>
      </c>
      <c r="D159" s="39" t="e">
        <f>D156-D158</f>
        <v>#REF!</v>
      </c>
      <c r="E159" s="115" t="e">
        <f>D159/'Diferencia Cambio S&amp;P'!S23</f>
        <v>#REF!</v>
      </c>
      <c r="F159" s="260"/>
      <c r="G159" s="261"/>
    </row>
    <row r="160" spans="3:7">
      <c r="C160" s="264" t="s">
        <v>376</v>
      </c>
      <c r="D160" s="39">
        <f>E160*'Diferencia Cambio S&amp;P'!S23</f>
        <v>13720.199999999999</v>
      </c>
      <c r="E160" s="115">
        <v>3900</v>
      </c>
      <c r="F160" s="270" t="e">
        <f>E160-E159</f>
        <v>#REF!</v>
      </c>
      <c r="G160" s="261"/>
    </row>
    <row r="161" spans="3:7">
      <c r="C161" s="265" t="s">
        <v>61</v>
      </c>
      <c r="D161" s="167">
        <f>D160+D158</f>
        <v>17577.710995666679</v>
      </c>
      <c r="E161" s="258">
        <f>E160+E158</f>
        <v>4996.506820826231</v>
      </c>
      <c r="F161" s="260"/>
      <c r="G161" s="261"/>
    </row>
    <row r="162" spans="3:7" ht="15" thickBot="1">
      <c r="C162" s="266"/>
      <c r="D162" s="267"/>
      <c r="E162" s="267"/>
      <c r="F162" s="268"/>
      <c r="G162" s="269"/>
    </row>
  </sheetData>
  <protectedRanges>
    <protectedRange sqref="F21:G21 D95:E95 D10:E12 D14:D20" name="Presupuestos"/>
    <protectedRange sqref="D8:E8 D25:E25" name="Presupuestos_1"/>
    <protectedRange sqref="D34:E36" name="Presupuestos_13_1"/>
    <protectedRange sqref="D63 E153:E154 E61:E63 E55:E59 E85:E90" name="Presupuestos_2_1_1_1"/>
    <protectedRange sqref="K62 D62 K55:K59 E155 K85:K89 E65:E68" name="Presupuestos_6_1_1_1"/>
    <protectedRange sqref="D53:E53 D38:E51 E70" name="Presupuestos_7_1"/>
    <protectedRange sqref="D155 D65:D68 D70" name="Presupuestos_5_3"/>
    <protectedRange sqref="D153:D154 D55:D59 D85:D89" name="Presupuestos_6_1_1_1_1"/>
  </protectedRanges>
  <autoFilter ref="A25:S94" xr:uid="{C07A125D-E49C-4222-817F-51627976FD20}"/>
  <mergeCells count="11">
    <mergeCell ref="C112:D112"/>
    <mergeCell ref="C113:D113"/>
    <mergeCell ref="C114:D114"/>
    <mergeCell ref="C115:D115"/>
    <mergeCell ref="C150:G150"/>
    <mergeCell ref="D7:E7"/>
    <mergeCell ref="B24:C24"/>
    <mergeCell ref="D24:E24"/>
    <mergeCell ref="F24:G24"/>
    <mergeCell ref="C108:D108"/>
    <mergeCell ref="C111:D111"/>
  </mergeCells>
  <conditionalFormatting sqref="J55:J59 J61:J63 J27:J29 J33 J37:J42 J68 J70:J71">
    <cfRule type="cellIs" dxfId="326" priority="59" operator="between">
      <formula>1</formula>
      <formula>5</formula>
    </cfRule>
    <cfRule type="cellIs" dxfId="325" priority="60" operator="between">
      <formula>16</formula>
      <formula>60</formula>
    </cfRule>
  </conditionalFormatting>
  <conditionalFormatting sqref="J55:J59 J61:J63 J27:J29 J33 J37:J42 J68 J70:J71">
    <cfRule type="cellIs" dxfId="324" priority="58" operator="lessThan">
      <formula>0</formula>
    </cfRule>
  </conditionalFormatting>
  <conditionalFormatting sqref="J53">
    <cfRule type="cellIs" dxfId="323" priority="46" operator="between">
      <formula>1</formula>
      <formula>5</formula>
    </cfRule>
    <cfRule type="cellIs" dxfId="322" priority="47" operator="between">
      <formula>16</formula>
      <formula>60</formula>
    </cfRule>
  </conditionalFormatting>
  <conditionalFormatting sqref="J53">
    <cfRule type="cellIs" dxfId="321" priority="45" operator="lessThan">
      <formula>0</formula>
    </cfRule>
  </conditionalFormatting>
  <conditionalFormatting sqref="J31:J32 J72:J83">
    <cfRule type="cellIs" dxfId="320" priority="41" operator="lessThan">
      <formula>0</formula>
    </cfRule>
    <cfRule type="cellIs" dxfId="319" priority="42" operator="between">
      <formula>6</formula>
      <formula>15</formula>
    </cfRule>
    <cfRule type="cellIs" dxfId="318" priority="43" operator="between">
      <formula>1</formula>
      <formula>5</formula>
    </cfRule>
    <cfRule type="cellIs" dxfId="284" priority="44" operator="between">
      <formula>16</formula>
      <formula>60</formula>
    </cfRule>
  </conditionalFormatting>
  <conditionalFormatting sqref="J43:J44">
    <cfRule type="cellIs" dxfId="317" priority="37" operator="lessThan">
      <formula>0</formula>
    </cfRule>
    <cfRule type="cellIs" dxfId="316" priority="38" operator="between">
      <formula>6</formula>
      <formula>15</formula>
    </cfRule>
    <cfRule type="cellIs" dxfId="315" priority="39" operator="between">
      <formula>1</formula>
      <formula>5</formula>
    </cfRule>
    <cfRule type="cellIs" dxfId="283" priority="40" operator="between">
      <formula>16</formula>
      <formula>60</formula>
    </cfRule>
  </conditionalFormatting>
  <conditionalFormatting sqref="J34:J36">
    <cfRule type="cellIs" dxfId="314" priority="33" operator="lessThan">
      <formula>0</formula>
    </cfRule>
    <cfRule type="cellIs" dxfId="313" priority="34" operator="between">
      <formula>6</formula>
      <formula>15</formula>
    </cfRule>
    <cfRule type="cellIs" dxfId="312" priority="35" operator="between">
      <formula>1</formula>
      <formula>5</formula>
    </cfRule>
    <cfRule type="cellIs" dxfId="282" priority="36" operator="between">
      <formula>16</formula>
      <formula>60</formula>
    </cfRule>
  </conditionalFormatting>
  <conditionalFormatting sqref="J65:J67">
    <cfRule type="cellIs" dxfId="311" priority="25" operator="lessThan">
      <formula>0</formula>
    </cfRule>
    <cfRule type="cellIs" dxfId="310" priority="26" operator="between">
      <formula>6</formula>
      <formula>15</formula>
    </cfRule>
    <cfRule type="cellIs" dxfId="309" priority="27" operator="between">
      <formula>1</formula>
      <formula>5</formula>
    </cfRule>
    <cfRule type="cellIs" dxfId="281" priority="28" operator="between">
      <formula>16</formula>
      <formula>60</formula>
    </cfRule>
  </conditionalFormatting>
  <conditionalFormatting sqref="J85:J90">
    <cfRule type="cellIs" dxfId="308" priority="23" operator="between">
      <formula>1</formula>
      <formula>5</formula>
    </cfRule>
    <cfRule type="cellIs" dxfId="307" priority="24" operator="between">
      <formula>16</formula>
      <formula>60</formula>
    </cfRule>
  </conditionalFormatting>
  <conditionalFormatting sqref="J85:J90">
    <cfRule type="cellIs" dxfId="306" priority="22" operator="lessThan">
      <formula>0</formula>
    </cfRule>
  </conditionalFormatting>
  <conditionalFormatting sqref="J45">
    <cfRule type="cellIs" dxfId="305" priority="20" operator="between">
      <formula>1</formula>
      <formula>5</formula>
    </cfRule>
    <cfRule type="cellIs" dxfId="304" priority="21" operator="between">
      <formula>16</formula>
      <formula>60</formula>
    </cfRule>
  </conditionalFormatting>
  <conditionalFormatting sqref="J45">
    <cfRule type="cellIs" dxfId="303" priority="19" operator="lessThan">
      <formula>0</formula>
    </cfRule>
  </conditionalFormatting>
  <conditionalFormatting sqref="J46">
    <cfRule type="cellIs" dxfId="302" priority="17" operator="between">
      <formula>1</formula>
      <formula>5</formula>
    </cfRule>
    <cfRule type="cellIs" dxfId="301" priority="18" operator="between">
      <formula>16</formula>
      <formula>60</formula>
    </cfRule>
  </conditionalFormatting>
  <conditionalFormatting sqref="J46">
    <cfRule type="cellIs" dxfId="300" priority="16" operator="lessThan">
      <formula>0</formula>
    </cfRule>
  </conditionalFormatting>
  <conditionalFormatting sqref="J47">
    <cfRule type="cellIs" dxfId="299" priority="14" operator="between">
      <formula>1</formula>
      <formula>5</formula>
    </cfRule>
    <cfRule type="cellIs" dxfId="298" priority="15" operator="between">
      <formula>16</formula>
      <formula>60</formula>
    </cfRule>
  </conditionalFormatting>
  <conditionalFormatting sqref="J47">
    <cfRule type="cellIs" dxfId="297" priority="13" operator="lessThan">
      <formula>0</formula>
    </cfRule>
  </conditionalFormatting>
  <conditionalFormatting sqref="J48">
    <cfRule type="cellIs" dxfId="296" priority="11" operator="between">
      <formula>1</formula>
      <formula>5</formula>
    </cfRule>
    <cfRule type="cellIs" dxfId="295" priority="12" operator="between">
      <formula>16</formula>
      <formula>60</formula>
    </cfRule>
  </conditionalFormatting>
  <conditionalFormatting sqref="J48">
    <cfRule type="cellIs" dxfId="294" priority="10" operator="lessThan">
      <formula>0</formula>
    </cfRule>
  </conditionalFormatting>
  <conditionalFormatting sqref="J50">
    <cfRule type="cellIs" dxfId="293" priority="8" operator="between">
      <formula>1</formula>
      <formula>5</formula>
    </cfRule>
    <cfRule type="cellIs" dxfId="292" priority="9" operator="between">
      <formula>16</formula>
      <formula>60</formula>
    </cfRule>
  </conditionalFormatting>
  <conditionalFormatting sqref="J50">
    <cfRule type="cellIs" dxfId="291" priority="7" operator="lessThan">
      <formula>0</formula>
    </cfRule>
  </conditionalFormatting>
  <conditionalFormatting sqref="J49">
    <cfRule type="cellIs" dxfId="290" priority="5" operator="between">
      <formula>1</formula>
      <formula>5</formula>
    </cfRule>
    <cfRule type="cellIs" dxfId="289" priority="6" operator="between">
      <formula>16</formula>
      <formula>60</formula>
    </cfRule>
  </conditionalFormatting>
  <conditionalFormatting sqref="J49">
    <cfRule type="cellIs" dxfId="288" priority="4" operator="lessThan">
      <formula>0</formula>
    </cfRule>
  </conditionalFormatting>
  <conditionalFormatting sqref="J51">
    <cfRule type="cellIs" dxfId="287" priority="2" operator="between">
      <formula>1</formula>
      <formula>5</formula>
    </cfRule>
    <cfRule type="cellIs" dxfId="286" priority="3" operator="between">
      <formula>16</formula>
      <formula>60</formula>
    </cfRule>
  </conditionalFormatting>
  <conditionalFormatting sqref="J51">
    <cfRule type="cellIs" dxfId="285" priority="1" operator="lessThan">
      <formula>0</formula>
    </cfRule>
  </conditionalFormatting>
  <dataValidations count="3">
    <dataValidation type="list" allowBlank="1" showInputMessage="1" showErrorMessage="1" sqref="G26:G29 G55:G59 D117:D119 G53 G85:G90 G38:G51 G72:G83 G61:G63 G31:G32 G34:G36 G65:G68 G70" xr:uid="{B28948C2-205E-4093-9A18-D4C8885748D7}">
      <formula1>"Cancelado,Pagar,Sin Pagar"</formula1>
    </dataValidation>
    <dataValidation type="list" allowBlank="1" showInputMessage="1" showErrorMessage="1" sqref="D24 D7" xr:uid="{205C74A6-6877-40B8-8279-FC33637D1AC0}">
      <formula1>"ENERO,FEBRERO,MARZO,ABRIL,MAYO,JUNIO,JULIO,AGOSTO,SEPTIEMBRE,OCTUBRE,NOVIEMBRE,DICIEMBRE"</formula1>
    </dataValidation>
    <dataValidation type="list" allowBlank="1" showInputMessage="1" showErrorMessage="1" sqref="B14:B20" xr:uid="{1034F362-5BD2-4015-8E00-9B7CC59CAE1A}">
      <formula1>"Sin Pagar,Pagado"</formula1>
    </dataValidation>
  </dataValidations>
  <pageMargins left="0.7" right="0.7" top="0.75" bottom="0.75" header="0.3" footer="0.3"/>
  <pageSetup orientation="portrait" r:id="rId1"/>
  <ignoredErrors>
    <ignoredError sqref="G30 G33 G52 G37:G42 G54 G60 G64 G71 H37:I44 H75:I75 H71:I73 H52:I64 H27:J35 J70:J90 J37:J67 H68:J68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7B37-6957-45CC-801C-1627FA3FEEAD}">
  <dimension ref="A1:S173"/>
  <sheetViews>
    <sheetView showGridLines="0" topLeftCell="A159" zoomScaleNormal="100" workbookViewId="0">
      <selection activeCell="F27" sqref="F27"/>
    </sheetView>
  </sheetViews>
  <sheetFormatPr baseColWidth="10" defaultColWidth="9.109375" defaultRowHeight="14.4" outlineLevelRow="1"/>
  <cols>
    <col min="1" max="1" width="2.109375" style="321" customWidth="1"/>
    <col min="2" max="2" width="16.44140625" style="320" customWidth="1"/>
    <col min="3" max="3" width="58.6640625" style="321" customWidth="1"/>
    <col min="4" max="4" width="24.44140625" style="322" customWidth="1"/>
    <col min="5" max="5" width="19.33203125" style="322" bestFit="1" customWidth="1"/>
    <col min="6" max="6" width="20.109375" style="321" bestFit="1" customWidth="1"/>
    <col min="7" max="7" width="16.88671875" style="321" customWidth="1"/>
    <col min="8" max="8" width="7.6640625" style="321" hidden="1" customWidth="1"/>
    <col min="9" max="9" width="12.109375" style="321" hidden="1" customWidth="1"/>
    <col min="10" max="10" width="16.5546875" style="321" customWidth="1"/>
    <col min="11" max="11" width="2.109375" style="321" customWidth="1"/>
    <col min="12" max="12" width="2.33203125" style="321" customWidth="1"/>
    <col min="13" max="14" width="15.5546875" style="321" bestFit="1" customWidth="1"/>
    <col min="15" max="15" width="13.88671875" style="321" bestFit="1" customWidth="1"/>
    <col min="16" max="16" width="19.33203125" style="321" bestFit="1" customWidth="1"/>
    <col min="17" max="17" width="15.33203125" style="321" bestFit="1" customWidth="1"/>
    <col min="18" max="18" width="14" style="321" bestFit="1" customWidth="1"/>
    <col min="19" max="19" width="13" style="321" bestFit="1" customWidth="1"/>
    <col min="20" max="16384" width="9.109375" style="321"/>
  </cols>
  <sheetData>
    <row r="1" spans="2:16" hidden="1">
      <c r="D1" s="322">
        <v>42400</v>
      </c>
    </row>
    <row r="2" spans="2:16">
      <c r="D2" s="70"/>
      <c r="E2" s="70"/>
      <c r="I2" s="71"/>
    </row>
    <row r="3" spans="2:16">
      <c r="E3" s="72"/>
      <c r="I3" s="71"/>
    </row>
    <row r="4" spans="2:16" ht="15.6">
      <c r="B4" s="73"/>
      <c r="C4" s="73"/>
      <c r="D4" s="74" t="s">
        <v>109</v>
      </c>
      <c r="E4" s="75">
        <v>45901</v>
      </c>
      <c r="I4" s="71"/>
    </row>
    <row r="5" spans="2:16">
      <c r="D5" s="70"/>
      <c r="E5" s="70"/>
      <c r="I5" s="71"/>
    </row>
    <row r="6" spans="2:16">
      <c r="C6" s="76" t="s">
        <v>110</v>
      </c>
      <c r="D6" s="39">
        <v>3.52</v>
      </c>
      <c r="E6" s="70"/>
      <c r="I6" s="71"/>
      <c r="J6" s="85"/>
    </row>
    <row r="7" spans="2:16" ht="15.6">
      <c r="C7" s="77"/>
      <c r="D7" s="521" t="s">
        <v>563</v>
      </c>
      <c r="E7" s="521"/>
      <c r="I7" s="71"/>
      <c r="J7" s="85"/>
    </row>
    <row r="8" spans="2:16">
      <c r="D8" s="78" t="s">
        <v>142</v>
      </c>
      <c r="E8" s="78" t="s">
        <v>112</v>
      </c>
      <c r="J8" s="181"/>
    </row>
    <row r="9" spans="2:16" s="79" customFormat="1" ht="15.6">
      <c r="C9" s="80" t="s">
        <v>113</v>
      </c>
      <c r="D9" s="159">
        <f>SUBTOTAL(9,D10:D12)</f>
        <v>102958.86762666667</v>
      </c>
      <c r="E9" s="81">
        <f>SUBTOTAL(9,E10:E12)</f>
        <v>29249.678303030305</v>
      </c>
      <c r="F9" s="82"/>
      <c r="I9" s="71"/>
    </row>
    <row r="10" spans="2:16" s="71" customFormat="1" outlineLevel="1">
      <c r="B10" s="83"/>
      <c r="C10" s="84" t="s">
        <v>141</v>
      </c>
      <c r="D10" s="39">
        <f>'BCP SOLES BCP'!$G$389-2746.43</f>
        <v>58538.413226666671</v>
      </c>
      <c r="E10" s="85">
        <f>D10/$D$6</f>
        <v>16630.231030303032</v>
      </c>
      <c r="F10" s="86"/>
    </row>
    <row r="11" spans="2:16" s="71" customFormat="1" outlineLevel="1">
      <c r="B11" s="83"/>
      <c r="C11" s="84" t="s">
        <v>114</v>
      </c>
      <c r="D11" s="39">
        <f>E11*$D$6</f>
        <v>35969.0144</v>
      </c>
      <c r="E11" s="85">
        <f>'BCP USD BCP'!$G$172</f>
        <v>10218.469999999999</v>
      </c>
      <c r="F11" s="86"/>
    </row>
    <row r="12" spans="2:16" s="71" customFormat="1" ht="28.8" outlineLevel="1">
      <c r="B12" s="83"/>
      <c r="C12" s="84" t="s">
        <v>685</v>
      </c>
      <c r="D12" s="39">
        <v>8451.44</v>
      </c>
      <c r="E12" s="85">
        <f>D12/$D$6</f>
        <v>2400.977272727273</v>
      </c>
      <c r="F12" s="86"/>
    </row>
    <row r="13" spans="2:16" s="71" customFormat="1" ht="15.6">
      <c r="B13" s="83"/>
      <c r="C13" s="87" t="s">
        <v>115</v>
      </c>
      <c r="D13" s="159">
        <f>SUBTOTAL(9,D14:D21)</f>
        <v>374773.80159999995</v>
      </c>
      <c r="E13" s="81">
        <f>SUBTOTAL(9,E14:E21)</f>
        <v>106469.83</v>
      </c>
      <c r="F13" s="303"/>
      <c r="G13" s="303"/>
      <c r="J13" s="183"/>
    </row>
    <row r="14" spans="2:16" s="71" customFormat="1" outlineLevel="1">
      <c r="B14" s="176" t="s">
        <v>169</v>
      </c>
      <c r="C14" s="177" t="s">
        <v>594</v>
      </c>
      <c r="D14" s="40">
        <f t="shared" ref="D14:D21" si="0">E14*$D$6</f>
        <v>13972.886400000001</v>
      </c>
      <c r="E14" s="185">
        <v>3969.57</v>
      </c>
      <c r="F14" s="271"/>
      <c r="G14" s="271"/>
      <c r="J14" s="305" t="s">
        <v>6</v>
      </c>
      <c r="M14" s="305" t="s">
        <v>169</v>
      </c>
      <c r="N14" s="305" t="s">
        <v>690</v>
      </c>
    </row>
    <row r="15" spans="2:16" s="71" customFormat="1" outlineLevel="1">
      <c r="B15" s="176" t="s">
        <v>116</v>
      </c>
      <c r="C15" s="370" t="s">
        <v>691</v>
      </c>
      <c r="D15" s="213">
        <f>E15*$D$6</f>
        <v>206344.05439999999</v>
      </c>
      <c r="E15" s="178">
        <v>58620.47</v>
      </c>
      <c r="F15" s="271"/>
      <c r="G15" s="96" t="s">
        <v>616</v>
      </c>
      <c r="H15" s="101"/>
      <c r="I15" s="101"/>
      <c r="J15" s="354">
        <v>67639.08</v>
      </c>
      <c r="M15" s="304">
        <f>SUM(E14:E16)</f>
        <v>63639.520000000004</v>
      </c>
      <c r="N15" s="304">
        <f>J15-M15</f>
        <v>3999.5599999999977</v>
      </c>
      <c r="O15" s="304" t="s">
        <v>732</v>
      </c>
      <c r="P15" s="304"/>
    </row>
    <row r="16" spans="2:16" s="71" customFormat="1" outlineLevel="1">
      <c r="B16" s="176" t="s">
        <v>169</v>
      </c>
      <c r="C16" s="177" t="s">
        <v>615</v>
      </c>
      <c r="D16" s="40">
        <f>E16*$D$6</f>
        <v>3694.1696000000002</v>
      </c>
      <c r="E16" s="185">
        <v>1049.48</v>
      </c>
      <c r="F16" s="271"/>
      <c r="G16" s="89"/>
      <c r="J16" s="304"/>
      <c r="M16" s="305"/>
    </row>
    <row r="17" spans="1:19" s="71" customFormat="1" outlineLevel="1">
      <c r="B17" s="176" t="s">
        <v>169</v>
      </c>
      <c r="C17" s="177" t="s">
        <v>587</v>
      </c>
      <c r="D17" s="40">
        <f t="shared" si="0"/>
        <v>100105.2448</v>
      </c>
      <c r="E17" s="178">
        <v>28438.99</v>
      </c>
      <c r="F17" s="88"/>
      <c r="G17" s="96"/>
      <c r="H17" s="101"/>
      <c r="I17" s="101"/>
      <c r="J17" s="354" t="s">
        <v>730</v>
      </c>
      <c r="M17" s="304">
        <v>63669.51</v>
      </c>
      <c r="N17" s="83" t="s">
        <v>733</v>
      </c>
      <c r="O17" s="304">
        <f>M17-M15</f>
        <v>29.989999999997963</v>
      </c>
    </row>
    <row r="18" spans="1:19" s="71" customFormat="1" outlineLevel="1">
      <c r="B18" s="176" t="s">
        <v>169</v>
      </c>
      <c r="C18" s="177" t="s">
        <v>585</v>
      </c>
      <c r="D18" s="40">
        <f t="shared" si="0"/>
        <v>24241.993600000002</v>
      </c>
      <c r="E18" s="178">
        <v>6886.93</v>
      </c>
      <c r="F18" s="88"/>
      <c r="J18" s="354" t="s">
        <v>731</v>
      </c>
      <c r="M18" s="304">
        <v>3969.57</v>
      </c>
    </row>
    <row r="19" spans="1:19" s="71" customFormat="1" ht="28.8" outlineLevel="1">
      <c r="B19" s="176" t="s">
        <v>169</v>
      </c>
      <c r="C19" s="177" t="s">
        <v>586</v>
      </c>
      <c r="D19" s="40">
        <f t="shared" si="0"/>
        <v>19094.240000000002</v>
      </c>
      <c r="E19" s="178">
        <v>5424.5</v>
      </c>
      <c r="F19" s="271"/>
      <c r="J19" s="101" t="s">
        <v>61</v>
      </c>
      <c r="K19" s="101"/>
      <c r="L19" s="101"/>
      <c r="M19" s="383">
        <f>SUM(M17:M18)</f>
        <v>67639.08</v>
      </c>
    </row>
    <row r="20" spans="1:19" s="71" customFormat="1" outlineLevel="1">
      <c r="B20" s="176" t="s">
        <v>169</v>
      </c>
      <c r="C20" s="177" t="s">
        <v>588</v>
      </c>
      <c r="D20" s="40">
        <f t="shared" si="0"/>
        <v>1953.4592000000002</v>
      </c>
      <c r="E20" s="178">
        <v>554.96</v>
      </c>
      <c r="F20" s="88"/>
      <c r="G20" s="89"/>
    </row>
    <row r="21" spans="1:19" s="71" customFormat="1" ht="28.8" outlineLevel="1">
      <c r="B21" s="176" t="s">
        <v>169</v>
      </c>
      <c r="C21" s="177" t="s">
        <v>617</v>
      </c>
      <c r="D21" s="40">
        <f t="shared" si="0"/>
        <v>5367.7536</v>
      </c>
      <c r="E21" s="178">
        <v>1524.93</v>
      </c>
      <c r="F21" s="271"/>
      <c r="G21" s="303"/>
      <c r="M21" s="304"/>
    </row>
    <row r="22" spans="1:19" s="71" customFormat="1" ht="15.6">
      <c r="B22" s="83"/>
      <c r="C22" s="90" t="s">
        <v>117</v>
      </c>
      <c r="D22" s="226">
        <f>SUBTOTAL(9,D9:D21)</f>
        <v>477732.66922666662</v>
      </c>
      <c r="E22" s="92">
        <f>SUBTOTAL(9,E9:E21)</f>
        <v>135719.50830303028</v>
      </c>
      <c r="F22" s="93"/>
      <c r="G22" s="93"/>
      <c r="J22" s="89"/>
      <c r="K22" s="94"/>
      <c r="O22" s="95"/>
      <c r="P22" s="96"/>
      <c r="Q22" s="97"/>
    </row>
    <row r="23" spans="1:19" s="71" customFormat="1" ht="15.6">
      <c r="B23" s="83"/>
      <c r="C23" s="98"/>
      <c r="D23" s="99"/>
      <c r="E23" s="99"/>
      <c r="G23" s="100"/>
      <c r="O23" s="96"/>
      <c r="P23" s="96"/>
    </row>
    <row r="24" spans="1:19" s="71" customFormat="1" ht="15.6">
      <c r="B24" s="83"/>
      <c r="N24" s="101"/>
      <c r="O24" s="102"/>
      <c r="P24" s="103"/>
    </row>
    <row r="25" spans="1:19" s="71" customFormat="1" ht="15.6">
      <c r="B25" s="521" t="s">
        <v>118</v>
      </c>
      <c r="C25" s="521"/>
      <c r="D25" s="521" t="s">
        <v>563</v>
      </c>
      <c r="E25" s="521"/>
      <c r="F25" s="521" t="s">
        <v>109</v>
      </c>
      <c r="G25" s="521"/>
      <c r="H25" s="319"/>
      <c r="I25" s="319"/>
      <c r="J25" s="175">
        <v>45901</v>
      </c>
      <c r="K25" s="103"/>
      <c r="L25" s="103"/>
      <c r="N25" s="101"/>
      <c r="R25" s="89"/>
      <c r="S25" s="89"/>
    </row>
    <row r="26" spans="1:19" s="71" customFormat="1" ht="16.2" thickBot="1">
      <c r="B26" s="104" t="s">
        <v>119</v>
      </c>
      <c r="C26" s="105" t="s">
        <v>120</v>
      </c>
      <c r="D26" s="78" t="s">
        <v>150</v>
      </c>
      <c r="E26" s="78" t="s">
        <v>112</v>
      </c>
      <c r="F26" s="106" t="s">
        <v>121</v>
      </c>
      <c r="G26" s="101" t="s">
        <v>122</v>
      </c>
      <c r="H26" s="101"/>
      <c r="I26" s="101"/>
      <c r="J26" s="107" t="s">
        <v>123</v>
      </c>
      <c r="N26" s="108"/>
      <c r="R26" s="89"/>
      <c r="S26" s="109"/>
    </row>
    <row r="27" spans="1:19" s="71" customFormat="1" ht="16.2" thickBot="1">
      <c r="B27" s="83"/>
      <c r="C27" s="110" t="s">
        <v>124</v>
      </c>
      <c r="D27" s="160">
        <f>SUBTOTAL(9,D28:D30)</f>
        <v>9411.8799999999992</v>
      </c>
      <c r="E27" s="111">
        <f>SUBTOTAL(9,E28:E30)</f>
        <v>2673.8295454545455</v>
      </c>
      <c r="F27" s="112"/>
      <c r="J27" s="113"/>
    </row>
    <row r="28" spans="1:19" s="71" customFormat="1" ht="28.8" outlineLevel="1">
      <c r="A28" s="86"/>
      <c r="B28" s="330">
        <v>2221299016</v>
      </c>
      <c r="C28" s="172" t="s">
        <v>311</v>
      </c>
      <c r="D28" s="39">
        <f>3271.3+623.91</f>
        <v>3895.21</v>
      </c>
      <c r="E28" s="115">
        <f>D28/$D$6</f>
        <v>1106.59375</v>
      </c>
      <c r="F28" s="116">
        <v>45905</v>
      </c>
      <c r="G28" s="71" t="s">
        <v>126</v>
      </c>
      <c r="H28" s="71">
        <f>IF(OR(G28="Sin pagar",G28="Pagar"),_xlfn.SINGLE(NETWORKDAYS($J$25,F28,FestivosPerú!$A$2:$A$15)),0)</f>
        <v>0</v>
      </c>
      <c r="I28" s="71">
        <f>NETWORKDAYS($J$25,F28,FestivosPerú!$A$2:$A$15)</f>
        <v>5</v>
      </c>
      <c r="J28" s="117">
        <f t="shared" ref="J28:J34" si="1">H28</f>
        <v>0</v>
      </c>
      <c r="K28" s="89"/>
      <c r="L28" s="89"/>
      <c r="M28" s="118"/>
      <c r="N28" s="118"/>
    </row>
    <row r="29" spans="1:19" s="71" customFormat="1" ht="28.8" outlineLevel="1">
      <c r="A29" s="86"/>
      <c r="B29" s="331">
        <v>2517102692</v>
      </c>
      <c r="C29" s="172" t="s">
        <v>445</v>
      </c>
      <c r="D29" s="39">
        <v>3452.52</v>
      </c>
      <c r="E29" s="115">
        <f>D29/$D$6</f>
        <v>980.8295454545455</v>
      </c>
      <c r="F29" s="116">
        <v>45905</v>
      </c>
      <c r="G29" s="71" t="s">
        <v>126</v>
      </c>
      <c r="H29" s="71">
        <f>IF(OR(G29="Sin pagar",G29="Pagar"),_xlfn.SINGLE(NETWORKDAYS($J$25,F29,FestivosPerú!$A$2:$A$15)),0)</f>
        <v>0</v>
      </c>
      <c r="I29" s="71">
        <f>NETWORKDAYS($J$25,F29,FestivosPerú!$A$2:$A$15)</f>
        <v>5</v>
      </c>
      <c r="J29" s="117">
        <f>H29</f>
        <v>0</v>
      </c>
      <c r="K29" s="89"/>
      <c r="L29" s="89"/>
      <c r="M29" s="118"/>
      <c r="N29" s="118"/>
    </row>
    <row r="30" spans="1:19" s="71" customFormat="1" ht="29.4" outlineLevel="1" thickBot="1">
      <c r="A30" s="86"/>
      <c r="B30" s="330">
        <v>2609613414</v>
      </c>
      <c r="C30" s="172" t="s">
        <v>444</v>
      </c>
      <c r="D30" s="39">
        <v>2064.15</v>
      </c>
      <c r="E30" s="115">
        <f>D30/$D$6</f>
        <v>586.40625</v>
      </c>
      <c r="F30" s="116">
        <v>45905</v>
      </c>
      <c r="G30" s="71" t="s">
        <v>126</v>
      </c>
      <c r="H30" s="71">
        <f>IF(OR(G30="Sin pagar",G30="Pagar"),_xlfn.SINGLE(NETWORKDAYS($J$25,F30,FestivosPerú!$A$2:$A$15)),0)</f>
        <v>0</v>
      </c>
      <c r="I30" s="71">
        <f>NETWORKDAYS($J$25,F30,FestivosPerú!$A$2:$A$15)</f>
        <v>5</v>
      </c>
      <c r="J30" s="117">
        <f>H30</f>
        <v>0</v>
      </c>
      <c r="K30" s="89"/>
      <c r="L30" s="89"/>
      <c r="M30" s="118"/>
      <c r="N30" s="118"/>
    </row>
    <row r="31" spans="1:19" s="71" customFormat="1" ht="16.2" thickBot="1">
      <c r="B31" s="83"/>
      <c r="C31" s="110" t="s">
        <v>125</v>
      </c>
      <c r="D31" s="160">
        <f>SUBTOTAL(9,D32:D33)</f>
        <v>14224</v>
      </c>
      <c r="E31" s="111">
        <f>SUBTOTAL(9,E32:E33)</f>
        <v>4040.909090909091</v>
      </c>
      <c r="J31" s="113">
        <f t="shared" si="1"/>
        <v>0</v>
      </c>
    </row>
    <row r="32" spans="1:19" s="71" customFormat="1" outlineLevel="1">
      <c r="B32" s="173"/>
      <c r="C32" s="84" t="s">
        <v>301</v>
      </c>
      <c r="D32" s="39">
        <v>14185</v>
      </c>
      <c r="E32" s="115">
        <f>D32/$D$6</f>
        <v>4029.8295454545455</v>
      </c>
      <c r="F32" s="116">
        <v>45915</v>
      </c>
      <c r="G32" s="71" t="s">
        <v>126</v>
      </c>
      <c r="H32" s="71">
        <f>IF(OR(G32="Sin pagar",G32="Pagar"),_xlfn.SINGLE(NETWORKDAYS($J$25,F32,FestivosPerú!$A$2:$A$15)),0)</f>
        <v>0</v>
      </c>
      <c r="I32" s="71">
        <f>NETWORKDAYS($J$25,F32,FestivosPerú!$A$2:$A$15)</f>
        <v>11</v>
      </c>
      <c r="J32" s="117">
        <f>H32</f>
        <v>0</v>
      </c>
      <c r="K32" s="120"/>
      <c r="L32" s="94"/>
      <c r="M32" s="118"/>
      <c r="N32" s="118"/>
    </row>
    <row r="33" spans="2:16" s="71" customFormat="1" ht="15" outlineLevel="1" thickBot="1">
      <c r="B33" s="119"/>
      <c r="C33" s="84" t="s">
        <v>564</v>
      </c>
      <c r="D33" s="39">
        <v>39</v>
      </c>
      <c r="E33" s="115">
        <f>D33/$D$6</f>
        <v>11.079545454545455</v>
      </c>
      <c r="F33" s="116">
        <v>45915</v>
      </c>
      <c r="G33" s="71" t="s">
        <v>126</v>
      </c>
      <c r="H33" s="71">
        <f>IF(OR(G33="Sin pagar",G33="Pagar"),_xlfn.SINGLE(NETWORKDAYS($J$25,F33,FestivosPerú!$A$2:$A$15)),0)</f>
        <v>0</v>
      </c>
      <c r="I33" s="71">
        <f>NETWORKDAYS($J$25,F33,FestivosPerú!$A$2:$A$15)</f>
        <v>11</v>
      </c>
      <c r="J33" s="117">
        <f t="shared" si="1"/>
        <v>0</v>
      </c>
      <c r="K33" s="120"/>
      <c r="L33" s="94"/>
      <c r="M33" s="300" t="s">
        <v>245</v>
      </c>
      <c r="N33" s="118"/>
    </row>
    <row r="34" spans="2:16" s="71" customFormat="1" ht="16.2" thickBot="1">
      <c r="B34" s="83"/>
      <c r="C34" s="110" t="s">
        <v>144</v>
      </c>
      <c r="D34" s="160">
        <f>SUBTOTAL(9,D35:D36)</f>
        <v>2832</v>
      </c>
      <c r="E34" s="111">
        <f>SUBTOTAL(9,E35:E36)</f>
        <v>804.5454545454545</v>
      </c>
      <c r="J34" s="117">
        <f t="shared" si="1"/>
        <v>0</v>
      </c>
      <c r="K34" s="89"/>
      <c r="L34" s="89"/>
      <c r="N34" s="118"/>
    </row>
    <row r="35" spans="2:16" s="71" customFormat="1" outlineLevel="1">
      <c r="B35" s="83" t="s">
        <v>640</v>
      </c>
      <c r="C35" s="84" t="s">
        <v>638</v>
      </c>
      <c r="D35" s="39">
        <v>1416</v>
      </c>
      <c r="E35" s="115">
        <f>D35/$D$6</f>
        <v>402.27272727272725</v>
      </c>
      <c r="F35" s="116">
        <v>45929</v>
      </c>
      <c r="G35" s="71" t="s">
        <v>126</v>
      </c>
      <c r="H35" s="71">
        <f>IF(OR(G35="Sin pagar",G35="Pagar"),_xlfn.SINGLE(NETWORKDAYS($J$25,F35,FestivosPerú!$A$2:$A$15)),0)</f>
        <v>0</v>
      </c>
      <c r="I35" s="71">
        <f>NETWORKDAYS($J$25,F35,FestivosPerú!$A$2:$A$15)</f>
        <v>21</v>
      </c>
      <c r="J35" s="117">
        <f>H35</f>
        <v>0</v>
      </c>
      <c r="M35" s="299"/>
      <c r="N35" s="86"/>
    </row>
    <row r="36" spans="2:16" s="71" customFormat="1" ht="15" outlineLevel="1" thickBot="1">
      <c r="B36" s="83" t="s">
        <v>641</v>
      </c>
      <c r="C36" s="84" t="s">
        <v>639</v>
      </c>
      <c r="D36" s="39">
        <v>1416</v>
      </c>
      <c r="E36" s="115">
        <f>D36/$D$6</f>
        <v>402.27272727272725</v>
      </c>
      <c r="F36" s="116">
        <v>45929</v>
      </c>
      <c r="G36" s="71" t="s">
        <v>126</v>
      </c>
      <c r="H36" s="71">
        <f>IF(OR(G36="Sin pagar",G36="Pagar"),_xlfn.SINGLE(NETWORKDAYS($J$25,F36,FestivosPerú!$A$2:$A$15)),0)</f>
        <v>0</v>
      </c>
      <c r="I36" s="71">
        <f>NETWORKDAYS($J$25,F36,FestivosPerú!$A$2:$A$15)</f>
        <v>21</v>
      </c>
      <c r="J36" s="117">
        <f>H36</f>
        <v>0</v>
      </c>
      <c r="M36" s="299"/>
      <c r="N36" s="86"/>
    </row>
    <row r="37" spans="2:16" s="71" customFormat="1" ht="15" customHeight="1" thickBot="1">
      <c r="C37" s="110" t="s">
        <v>162</v>
      </c>
      <c r="D37" s="160">
        <f>SUBTOTAL(9,D38:D45)</f>
        <v>5173.07</v>
      </c>
      <c r="E37" s="111">
        <f>SUBTOTAL(9,E38:E45)</f>
        <v>1469.622159090909</v>
      </c>
      <c r="J37" s="117"/>
      <c r="M37" s="122"/>
      <c r="N37" s="187"/>
      <c r="P37" s="187"/>
    </row>
    <row r="38" spans="2:16" s="71" customFormat="1" outlineLevel="1">
      <c r="B38" s="254" t="s">
        <v>272</v>
      </c>
      <c r="C38" s="186" t="s">
        <v>755</v>
      </c>
      <c r="D38" s="39">
        <v>1613</v>
      </c>
      <c r="E38" s="115">
        <f t="shared" ref="E38:E44" si="2">D38/$D$6</f>
        <v>458.23863636363637</v>
      </c>
      <c r="F38" s="112">
        <v>45902</v>
      </c>
      <c r="G38" s="71" t="s">
        <v>126</v>
      </c>
      <c r="H38" s="71">
        <f>IF(OR(G38="Sin pagar",G38="Pagar"),_xlfn.SINGLE(NETWORKDAYS($J$25,F38,FestivosPerú!$A$2:$A$15)),0)</f>
        <v>0</v>
      </c>
      <c r="I38" s="71">
        <f>NETWORKDAYS($J$25,F38,FestivosPerú!$A$2:$A$15)</f>
        <v>2</v>
      </c>
      <c r="J38" s="117" t="s">
        <v>754</v>
      </c>
    </row>
    <row r="39" spans="2:16" s="71" customFormat="1" outlineLevel="1">
      <c r="B39" s="254" t="s">
        <v>272</v>
      </c>
      <c r="C39" s="186" t="s">
        <v>559</v>
      </c>
      <c r="D39" s="209">
        <v>22.3</v>
      </c>
      <c r="E39" s="115">
        <f t="shared" si="2"/>
        <v>6.3352272727272725</v>
      </c>
      <c r="F39" s="112">
        <v>45904</v>
      </c>
      <c r="G39" s="71" t="s">
        <v>126</v>
      </c>
      <c r="H39" s="71">
        <f>IF(OR(G39="Sin pagar",G39="Pagar"),_xlfn.SINGLE(NETWORKDAYS($J$25,F39,FestivosPerú!$A$2:$A$15)),0)</f>
        <v>0</v>
      </c>
      <c r="I39" s="71">
        <f>NETWORKDAYS($J$25,F39,FestivosPerú!$A$2:$A$15)</f>
        <v>4</v>
      </c>
      <c r="J39" s="117">
        <f t="shared" ref="J39:J44" si="3">H39</f>
        <v>0</v>
      </c>
    </row>
    <row r="40" spans="2:16" s="71" customFormat="1" ht="28.8" outlineLevel="1">
      <c r="B40" s="254" t="s">
        <v>272</v>
      </c>
      <c r="C40" s="186" t="s">
        <v>752</v>
      </c>
      <c r="D40" s="39">
        <v>926</v>
      </c>
      <c r="E40" s="115">
        <f t="shared" si="2"/>
        <v>263.06818181818181</v>
      </c>
      <c r="F40" s="112">
        <v>45904</v>
      </c>
      <c r="G40" s="71" t="s">
        <v>126</v>
      </c>
      <c r="H40" s="71">
        <f>IF(OR(G40="Sin pagar",G40="Pagar"),_xlfn.SINGLE(NETWORKDAYS($J$25,F40,FestivosPerú!$A$2:$A$15)),0)</f>
        <v>0</v>
      </c>
      <c r="I40" s="71">
        <f>NETWORKDAYS($J$25,F40,FestivosPerú!$A$2:$A$15)</f>
        <v>4</v>
      </c>
      <c r="J40" s="117">
        <f t="shared" si="3"/>
        <v>0</v>
      </c>
    </row>
    <row r="41" spans="2:16" s="71" customFormat="1" outlineLevel="1">
      <c r="B41" s="254" t="s">
        <v>272</v>
      </c>
      <c r="C41" s="361" t="s">
        <v>631</v>
      </c>
      <c r="D41" s="362">
        <v>345.06</v>
      </c>
      <c r="E41" s="363">
        <f t="shared" si="2"/>
        <v>98.028409090909093</v>
      </c>
      <c r="F41" s="116">
        <v>45924</v>
      </c>
      <c r="G41" s="71" t="s">
        <v>126</v>
      </c>
      <c r="H41" s="71">
        <f>IF(OR(G41="Sin pagar",G41="Pagar"),_xlfn.SINGLE(NETWORKDAYS($J$25,F41,FestivosPerú!$A$2:$A$15)),0)</f>
        <v>0</v>
      </c>
      <c r="I41" s="71">
        <f>NETWORKDAYS($J$25,F41,FestivosPerú!$A$2:$A$15)</f>
        <v>18</v>
      </c>
      <c r="J41" s="117">
        <f t="shared" si="3"/>
        <v>0</v>
      </c>
    </row>
    <row r="42" spans="2:16" s="71" customFormat="1" outlineLevel="1">
      <c r="B42" s="254" t="s">
        <v>272</v>
      </c>
      <c r="C42" s="361" t="s">
        <v>630</v>
      </c>
      <c r="D42" s="362">
        <v>355.41</v>
      </c>
      <c r="E42" s="363">
        <f t="shared" si="2"/>
        <v>100.96875</v>
      </c>
      <c r="F42" s="116">
        <v>45924</v>
      </c>
      <c r="G42" s="71" t="s">
        <v>126</v>
      </c>
      <c r="H42" s="71">
        <f>IF(OR(G42="Sin pagar",G42="Pagar"),_xlfn.SINGLE(NETWORKDAYS($J$25,F42,FestivosPerú!$A$2:$A$15)),0)</f>
        <v>0</v>
      </c>
      <c r="I42" s="71">
        <f>NETWORKDAYS($J$25,F42,FestivosPerú!$A$2:$A$15)</f>
        <v>18</v>
      </c>
      <c r="J42" s="117">
        <f t="shared" si="3"/>
        <v>0</v>
      </c>
    </row>
    <row r="43" spans="2:16" s="71" customFormat="1" outlineLevel="1">
      <c r="B43" s="254" t="s">
        <v>272</v>
      </c>
      <c r="C43" s="361" t="s">
        <v>628</v>
      </c>
      <c r="D43" s="362">
        <f>118</f>
        <v>118</v>
      </c>
      <c r="E43" s="363">
        <f t="shared" si="2"/>
        <v>33.522727272727273</v>
      </c>
      <c r="F43" s="116">
        <v>45924</v>
      </c>
      <c r="G43" s="71" t="s">
        <v>126</v>
      </c>
      <c r="H43" s="71">
        <f>IF(OR(G43="Sin pagar",G43="Pagar"),_xlfn.SINGLE(NETWORKDAYS($J$25,F43,FestivosPerú!$A$2:$A$15)),0)</f>
        <v>0</v>
      </c>
      <c r="I43" s="71">
        <f>NETWORKDAYS($J$25,F43,FestivosPerú!$A$2:$A$15)</f>
        <v>18</v>
      </c>
      <c r="J43" s="117">
        <f t="shared" si="3"/>
        <v>0</v>
      </c>
    </row>
    <row r="44" spans="2:16" s="71" customFormat="1" outlineLevel="1">
      <c r="B44" s="254" t="s">
        <v>272</v>
      </c>
      <c r="C44" s="361" t="s">
        <v>629</v>
      </c>
      <c r="D44" s="362">
        <v>180.3</v>
      </c>
      <c r="E44" s="363">
        <f t="shared" si="2"/>
        <v>51.221590909090914</v>
      </c>
      <c r="F44" s="116">
        <v>45924</v>
      </c>
      <c r="G44" s="71" t="s">
        <v>126</v>
      </c>
      <c r="H44" s="71">
        <f>IF(OR(G44="Sin pagar",G44="Pagar"),_xlfn.SINGLE(NETWORKDAYS($J$25,F44,FestivosPerú!$A$2:$A$15)),0)</f>
        <v>0</v>
      </c>
      <c r="I44" s="71">
        <f>NETWORKDAYS($J$25,F44,FestivosPerú!$A$2:$A$15)</f>
        <v>18</v>
      </c>
      <c r="J44" s="117">
        <f t="shared" si="3"/>
        <v>0</v>
      </c>
    </row>
    <row r="45" spans="2:16" s="71" customFormat="1" ht="15" outlineLevel="1" thickBot="1">
      <c r="B45" s="254" t="s">
        <v>272</v>
      </c>
      <c r="C45" s="186" t="s">
        <v>362</v>
      </c>
      <c r="D45" s="39">
        <v>1613</v>
      </c>
      <c r="E45" s="115">
        <f>D45/$D$6</f>
        <v>458.23863636363637</v>
      </c>
      <c r="F45" s="112">
        <v>45932</v>
      </c>
      <c r="G45" s="71" t="s">
        <v>126</v>
      </c>
      <c r="H45" s="71">
        <f>IF(OR(G45="Sin pagar",G45="Pagar"),_xlfn.SINGLE(NETWORKDAYS($J$25,F45,FestivosPerú!$A$2:$A$15)),0)</f>
        <v>0</v>
      </c>
      <c r="I45" s="71">
        <f>NETWORKDAYS($J$25,F45,FestivosPerú!$A$2:$A$15)</f>
        <v>24</v>
      </c>
      <c r="J45" s="117">
        <f>H45</f>
        <v>0</v>
      </c>
    </row>
    <row r="46" spans="2:16" s="71" customFormat="1" ht="15.75" customHeight="1" thickBot="1">
      <c r="C46" s="110" t="s">
        <v>127</v>
      </c>
      <c r="D46" s="160">
        <f>SUBTOTAL(9,D47:D47)</f>
        <v>368.32025153124994</v>
      </c>
      <c r="E46" s="111">
        <f>SUBTOTAL(9,E47:E47)</f>
        <v>104.6364350941051</v>
      </c>
      <c r="M46" s="122"/>
      <c r="N46" s="187"/>
      <c r="P46" s="187"/>
    </row>
    <row r="47" spans="2:16" s="71" customFormat="1" ht="15" outlineLevel="1" thickBot="1">
      <c r="B47" s="125"/>
      <c r="C47" s="84" t="s">
        <v>127</v>
      </c>
      <c r="D47" s="39">
        <f>(('BCP USD BCP'!$F$172+'BCP USD BCP'!$F$178+'BCP USD BCP'!$F$182+'BCP USD BCP'!$F$184+'BCP USD BCP'!$F$185+'BCP USD BCP'!$F$192+'BCP USD BCP'!$F$194+'BCP USD BCP'!$F$195+'BCP USD BCP'!$F$198+'BCP USD BCP'!$F$199+'BCP USD BCP'!$F$201+'BCP USD BCP'!$F$202+6.5)*$D$6)+(('BCP SOLES BCP'!F387+'BCP SOLES BCP'!F400+'BCP SOLES BCP'!F401+'BCP SOLES BCP'!F428+'BCP SOLES BCP'!F429+'BCP SOLES BCP'!F455+'BCP SOLES BCP'!F457+'BCP SOLES BCP'!F459+'BCP SOLES BCP'!F461+'BCP SOLES BCP'!F463+'BCP SOLES BCP'!F465+'BCP SOLES BCP'!F467+'BCP SOLES BCP'!F469+'BCP SOLES BCP'!F471+'BCP SOLES BCP'!F474+20.25))</f>
        <v>368.32025153124994</v>
      </c>
      <c r="E47" s="115">
        <f>$D$47/$D$6</f>
        <v>104.6364350941051</v>
      </c>
      <c r="F47" s="112">
        <v>45930</v>
      </c>
      <c r="G47" s="71" t="s">
        <v>126</v>
      </c>
      <c r="H47" s="71">
        <f>IF(OR(G47="Sin pagar",G47="Pagar"),_xlfn.SINGLE(NETWORKDAYS($J$25,F47,FestivosPerú!$A$2:$A$15)),0)</f>
        <v>0</v>
      </c>
      <c r="I47" s="71">
        <f>NETWORKDAYS($J$25,F47,FestivosPerú!$A$2:$A$15)</f>
        <v>22</v>
      </c>
      <c r="J47" s="117">
        <f>H47</f>
        <v>0</v>
      </c>
      <c r="K47" s="120"/>
      <c r="L47" s="120"/>
    </row>
    <row r="48" spans="2:16" s="71" customFormat="1" ht="16.2" thickBot="1">
      <c r="C48" s="110" t="s">
        <v>539</v>
      </c>
      <c r="D48" s="160">
        <f>SUBTOTAL(9,D49:D54)</f>
        <v>69178.877678906254</v>
      </c>
      <c r="E48" s="310">
        <f>SUBTOTAL(9,E49:E54)</f>
        <v>19653.090249689274</v>
      </c>
      <c r="J48" s="301"/>
      <c r="K48" s="89"/>
      <c r="L48" s="124"/>
      <c r="N48" s="122"/>
      <c r="O48" s="101"/>
    </row>
    <row r="49" spans="1:16" s="71" customFormat="1" outlineLevel="1">
      <c r="B49" s="183" t="s">
        <v>33</v>
      </c>
      <c r="C49" s="186" t="s">
        <v>146</v>
      </c>
      <c r="D49" s="39">
        <v>12509.140440874999</v>
      </c>
      <c r="E49" s="232">
        <f>D49/$D$6</f>
        <v>3553.7330797940335</v>
      </c>
      <c r="F49" s="112">
        <v>45926</v>
      </c>
      <c r="G49" s="71" t="s">
        <v>126</v>
      </c>
      <c r="H49" s="71">
        <f>IF(OR(G49="Sin pagar",G49="Pagar"),_xlfn.SINGLE(NETWORKDAYS($J$25,F49,FestivosPerú!$A$2:$A$15)),0)</f>
        <v>0</v>
      </c>
      <c r="I49" s="71">
        <f>NETWORKDAYS($J$25,F49,FestivosPerú!$A$2:$A$15)</f>
        <v>20</v>
      </c>
      <c r="J49" s="117">
        <f t="shared" ref="J49:J54" si="4">H49</f>
        <v>0</v>
      </c>
      <c r="K49" s="120"/>
      <c r="L49" s="120"/>
      <c r="M49" s="253"/>
      <c r="N49" s="122"/>
    </row>
    <row r="50" spans="1:16" s="71" customFormat="1" outlineLevel="1">
      <c r="B50" s="183" t="s">
        <v>33</v>
      </c>
      <c r="C50" s="186" t="s">
        <v>176</v>
      </c>
      <c r="D50" s="39">
        <v>10250.3914018125</v>
      </c>
      <c r="E50" s="232">
        <f>D50/$D$6</f>
        <v>2912.0430118785512</v>
      </c>
      <c r="F50" s="112">
        <v>45926</v>
      </c>
      <c r="G50" s="71" t="s">
        <v>126</v>
      </c>
      <c r="H50" s="71">
        <f>IF(OR(G50="Sin pagar",G50="Pagar"),_xlfn.SINGLE(NETWORKDAYS($J$25,F50,FestivosPerú!$A$2:$A$15)),0)</f>
        <v>0</v>
      </c>
      <c r="I50" s="71">
        <f>NETWORKDAYS($J$25,F50,FestivosPerú!$A$2:$A$15)</f>
        <v>20</v>
      </c>
      <c r="J50" s="117">
        <f t="shared" si="4"/>
        <v>0</v>
      </c>
      <c r="K50" s="120"/>
      <c r="L50" s="120"/>
      <c r="M50" s="253"/>
    </row>
    <row r="51" spans="1:16" s="126" customFormat="1" outlineLevel="1">
      <c r="B51" s="183" t="s">
        <v>33</v>
      </c>
      <c r="C51" s="186" t="s">
        <v>275</v>
      </c>
      <c r="D51" s="39">
        <v>10380.27774846875</v>
      </c>
      <c r="E51" s="232">
        <f>D51/$D$6</f>
        <v>2948.9425421786223</v>
      </c>
      <c r="F51" s="112">
        <v>45926</v>
      </c>
      <c r="G51" s="71" t="s">
        <v>126</v>
      </c>
      <c r="H51" s="71">
        <f>IF(OR(G51="Sin pagar",G51="Pagar"),_xlfn.SINGLE(NETWORKDAYS($J$25,F51,FestivosPerú!$A$2:$A$15)),0)</f>
        <v>0</v>
      </c>
      <c r="I51" s="71">
        <f>NETWORKDAYS($J$25,F51,FestivosPerú!$A$2:$A$15)</f>
        <v>20</v>
      </c>
      <c r="J51" s="117">
        <f t="shared" si="4"/>
        <v>0</v>
      </c>
      <c r="L51" s="127"/>
      <c r="M51" s="309"/>
    </row>
    <row r="52" spans="1:16" s="126" customFormat="1" outlineLevel="1">
      <c r="B52" s="183" t="s">
        <v>33</v>
      </c>
      <c r="C52" s="186" t="s">
        <v>409</v>
      </c>
      <c r="D52" s="39">
        <v>10138.900987749999</v>
      </c>
      <c r="E52" s="232">
        <f>D52/$D$6</f>
        <v>2880.3695987926135</v>
      </c>
      <c r="F52" s="112">
        <v>45926</v>
      </c>
      <c r="G52" s="71" t="s">
        <v>126</v>
      </c>
      <c r="H52" s="71">
        <f>IF(OR(G52="Sin pagar",G52="Pagar"),_xlfn.SINGLE(NETWORKDAYS($J$25,F52,FestivosPerú!$A$2:$A$15)),0)</f>
        <v>0</v>
      </c>
      <c r="I52" s="71">
        <f>NETWORKDAYS($J$25,F52,FestivosPerú!$A$2:$A$15)</f>
        <v>20</v>
      </c>
      <c r="J52" s="117">
        <f t="shared" si="4"/>
        <v>0</v>
      </c>
      <c r="L52" s="127"/>
      <c r="M52" s="253"/>
    </row>
    <row r="53" spans="1:16" s="126" customFormat="1" outlineLevel="1">
      <c r="B53" s="183" t="s">
        <v>33</v>
      </c>
      <c r="C53" s="186" t="s">
        <v>671</v>
      </c>
      <c r="D53" s="39">
        <v>11218.035899999999</v>
      </c>
      <c r="E53" s="232">
        <f>D53/$D$6</f>
        <v>3186.9420170454541</v>
      </c>
      <c r="F53" s="112">
        <v>45926</v>
      </c>
      <c r="G53" s="71" t="s">
        <v>126</v>
      </c>
      <c r="H53" s="71">
        <f>IF(OR(G53="Sin pagar",G53="Pagar"),_xlfn.SINGLE(NETWORKDAYS($J$25,F53,FestivosPerú!$A$2:$A$15)),0)</f>
        <v>0</v>
      </c>
      <c r="I53" s="71">
        <f>NETWORKDAYS($J$25,F53,FestivosPerú!$A$2:$A$15)</f>
        <v>20</v>
      </c>
      <c r="J53" s="117">
        <f>H53</f>
        <v>0</v>
      </c>
      <c r="L53" s="127"/>
      <c r="M53" s="253"/>
    </row>
    <row r="54" spans="1:16" s="126" customFormat="1" ht="15" outlineLevel="1" thickBot="1">
      <c r="B54" s="125" t="s">
        <v>4</v>
      </c>
      <c r="C54" s="186" t="s">
        <v>410</v>
      </c>
      <c r="D54" s="39">
        <f>E54*D6</f>
        <v>14682.131200000002</v>
      </c>
      <c r="E54" s="232">
        <v>4171.0600000000004</v>
      </c>
      <c r="F54" s="112">
        <v>45926</v>
      </c>
      <c r="G54" s="71" t="s">
        <v>126</v>
      </c>
      <c r="H54" s="71">
        <f>IF(OR(G54="Sin pagar",G54="Pagar"),_xlfn.SINGLE(NETWORKDAYS($J$25,F54,FestivosPerú!$A$2:$A$15)),0)</f>
        <v>0</v>
      </c>
      <c r="I54" s="71">
        <f>NETWORKDAYS($J$25,F54,FestivosPerú!$A$2:$A$15)</f>
        <v>20</v>
      </c>
      <c r="J54" s="117">
        <f t="shared" si="4"/>
        <v>0</v>
      </c>
      <c r="L54" s="127"/>
      <c r="M54" s="253"/>
    </row>
    <row r="55" spans="1:16" s="71" customFormat="1" ht="16.2" thickBot="1">
      <c r="A55" s="126"/>
      <c r="B55" s="125"/>
      <c r="C55" s="110" t="s">
        <v>177</v>
      </c>
      <c r="D55" s="160">
        <f>SUBTOTAL(9,D56:D59)</f>
        <v>15006.03</v>
      </c>
      <c r="E55" s="111">
        <f>SUBTOTAL(9,E56:E59)</f>
        <v>4263.076704545454</v>
      </c>
      <c r="L55" s="89"/>
    </row>
    <row r="56" spans="1:16" s="71" customFormat="1" outlineLevel="1">
      <c r="A56" s="126"/>
      <c r="B56" s="128"/>
      <c r="C56" s="84" t="s">
        <v>178</v>
      </c>
      <c r="D56" s="39">
        <v>739.78</v>
      </c>
      <c r="E56" s="232">
        <f>D56/$D$6</f>
        <v>210.16477272727272</v>
      </c>
      <c r="F56" s="112">
        <v>45926</v>
      </c>
      <c r="G56" s="71" t="s">
        <v>126</v>
      </c>
      <c r="H56" s="71">
        <f>IF(OR(G56="Sin pagar",G56="Pagar"),_xlfn.SINGLE(NETWORKDAYS($J$25,F56,FestivosPerú!$A$2:$A$15)),0)</f>
        <v>0</v>
      </c>
      <c r="I56" s="71">
        <f>NETWORKDAYS($J$25,F56,FestivosPerú!$A$2:$A$15)</f>
        <v>20</v>
      </c>
      <c r="J56" s="117">
        <f>H56</f>
        <v>0</v>
      </c>
      <c r="L56" s="89"/>
    </row>
    <row r="57" spans="1:16" s="71" customFormat="1" outlineLevel="1">
      <c r="A57" s="126"/>
      <c r="B57" s="128"/>
      <c r="C57" s="84" t="s">
        <v>236</v>
      </c>
      <c r="D57" s="39">
        <v>8154.23</v>
      </c>
      <c r="E57" s="232">
        <f>D57/$D$6</f>
        <v>2316.5426136363635</v>
      </c>
      <c r="F57" s="112">
        <v>45926</v>
      </c>
      <c r="G57" s="71" t="s">
        <v>126</v>
      </c>
      <c r="H57" s="71">
        <f>IF(OR(G57="Sin pagar",G57="Pagar"),_xlfn.SINGLE(NETWORKDAYS($J$25,F57,FestivosPerú!$A$2:$A$15)),0)</f>
        <v>0</v>
      </c>
      <c r="I57" s="71">
        <f>NETWORKDAYS($J$25,F57,FestivosPerú!$A$2:$A$15)</f>
        <v>20</v>
      </c>
      <c r="J57" s="117">
        <f>H57</f>
        <v>0</v>
      </c>
      <c r="L57" s="89"/>
    </row>
    <row r="58" spans="1:16" s="71" customFormat="1" outlineLevel="1">
      <c r="A58" s="126"/>
      <c r="B58" s="128"/>
      <c r="C58" s="84" t="s">
        <v>326</v>
      </c>
      <c r="D58" s="39">
        <v>912</v>
      </c>
      <c r="E58" s="232">
        <f>D58/$D$6</f>
        <v>259.09090909090907</v>
      </c>
      <c r="F58" s="112">
        <v>45926</v>
      </c>
      <c r="G58" s="71" t="s">
        <v>126</v>
      </c>
      <c r="H58" s="71">
        <f>IF(OR(G58="Sin pagar",G58="Pagar"),_xlfn.SINGLE(NETWORKDAYS($J$25,F58,FestivosPerú!$A$2:$A$15)),0)</f>
        <v>0</v>
      </c>
      <c r="I58" s="71">
        <f>NETWORKDAYS($J$25,F58,FestivosPerú!$A$2:$A$15)</f>
        <v>20</v>
      </c>
      <c r="J58" s="117">
        <f>H58</f>
        <v>0</v>
      </c>
      <c r="L58" s="89"/>
    </row>
    <row r="59" spans="1:16" s="71" customFormat="1" ht="15" outlineLevel="1" thickBot="1">
      <c r="A59" s="126"/>
      <c r="B59" s="128"/>
      <c r="C59" s="84" t="s">
        <v>645</v>
      </c>
      <c r="D59" s="39">
        <v>5200.0200000000004</v>
      </c>
      <c r="E59" s="232">
        <f>D59/$D$6</f>
        <v>1477.2784090909092</v>
      </c>
      <c r="F59" s="112">
        <v>45926</v>
      </c>
      <c r="G59" s="71" t="s">
        <v>126</v>
      </c>
      <c r="H59" s="71">
        <f>IF(OR(G59="Sin pagar",G59="Pagar"),_xlfn.SINGLE(NETWORKDAYS($J$25,F59,FestivosPerú!$A$2:$A$15)),0)</f>
        <v>0</v>
      </c>
      <c r="I59" s="71">
        <f>NETWORKDAYS($J$25,F59,FestivosPerú!$A$2:$A$15)</f>
        <v>20</v>
      </c>
      <c r="J59" s="117">
        <f>H59</f>
        <v>0</v>
      </c>
      <c r="L59" s="89"/>
    </row>
    <row r="60" spans="1:16" s="71" customFormat="1" ht="16.2" thickBot="1">
      <c r="A60" s="126"/>
      <c r="B60" s="125"/>
      <c r="C60" s="110" t="s">
        <v>129</v>
      </c>
      <c r="D60" s="160">
        <f>SUBTOTAL(9,D61:D63)</f>
        <v>3260</v>
      </c>
      <c r="E60" s="111">
        <f>SUBTOTAL(9,E61:E63)</f>
        <v>5780</v>
      </c>
      <c r="L60" s="89"/>
    </row>
    <row r="61" spans="1:16" s="71" customFormat="1" outlineLevel="1">
      <c r="A61" s="126"/>
      <c r="B61" s="128"/>
      <c r="C61" s="84" t="s">
        <v>647</v>
      </c>
      <c r="D61" s="39">
        <v>1500</v>
      </c>
      <c r="E61" s="115">
        <f>D61*D6</f>
        <v>5280</v>
      </c>
      <c r="F61" s="112">
        <v>45925</v>
      </c>
      <c r="G61" s="71" t="s">
        <v>126</v>
      </c>
      <c r="H61" s="71">
        <f>IF(OR(G61="Sin pagar",G61="Pagar"),_xlfn.SINGLE(NETWORKDAYS($J$25,F61,FestivosPerú!$A$2:$A$15)),0)</f>
        <v>0</v>
      </c>
      <c r="I61" s="71">
        <f>NETWORKDAYS($J$25,F61,FestivosPerú!$A$2:$A$15)</f>
        <v>19</v>
      </c>
      <c r="J61" s="117">
        <f>H61</f>
        <v>0</v>
      </c>
      <c r="L61" s="89"/>
    </row>
    <row r="62" spans="1:16" s="71" customFormat="1" outlineLevel="1">
      <c r="A62" s="126"/>
      <c r="B62" s="128"/>
      <c r="C62" s="84" t="s">
        <v>648</v>
      </c>
      <c r="D62" s="39">
        <f>E62*D6</f>
        <v>1760</v>
      </c>
      <c r="E62" s="115">
        <v>500</v>
      </c>
      <c r="F62" s="112">
        <v>45925</v>
      </c>
      <c r="G62" s="71" t="s">
        <v>126</v>
      </c>
      <c r="H62" s="71">
        <f>IF(OR(G62="Sin pagar",G62="Pagar"),_xlfn.SINGLE(NETWORKDAYS($J$25,F62,FestivosPerú!$A$2:$A$15)),0)</f>
        <v>0</v>
      </c>
      <c r="I62" s="71">
        <f>NETWORKDAYS($J$25,F62,FestivosPerú!$A$2:$A$15)</f>
        <v>19</v>
      </c>
      <c r="J62" s="117">
        <f>H62</f>
        <v>0</v>
      </c>
      <c r="L62" s="89"/>
    </row>
    <row r="63" spans="1:16" s="71" customFormat="1" ht="15" outlineLevel="1" thickBot="1">
      <c r="A63" s="126"/>
      <c r="B63" s="128"/>
      <c r="C63" s="84" t="s">
        <v>447</v>
      </c>
      <c r="D63" s="39">
        <f>E63*D6</f>
        <v>0</v>
      </c>
      <c r="E63" s="115">
        <f>3900*0</f>
        <v>0</v>
      </c>
      <c r="F63" s="112">
        <v>45930</v>
      </c>
      <c r="G63" s="71" t="s">
        <v>126</v>
      </c>
      <c r="H63" s="71">
        <f>IF(OR(G63="Sin pagar",G63="Pagar"),_xlfn.SINGLE(NETWORKDAYS($J$25,F63,FestivosPerú!$A$2:$A$15)),0)</f>
        <v>0</v>
      </c>
      <c r="I63" s="71">
        <f>NETWORKDAYS($J$25,F63,FestivosPerú!$A$2:$A$15)</f>
        <v>22</v>
      </c>
      <c r="J63" s="117">
        <f>H63</f>
        <v>0</v>
      </c>
      <c r="L63" s="89"/>
    </row>
    <row r="64" spans="1:16" s="71" customFormat="1" ht="15.75" customHeight="1" thickBot="1">
      <c r="C64" s="311" t="s">
        <v>565</v>
      </c>
      <c r="D64" s="312">
        <f>SUBTOTAL(9,D65:D65)</f>
        <v>112.64999999999998</v>
      </c>
      <c r="E64" s="313">
        <f>SUBTOTAL(9,E65:E65)</f>
        <v>32.002840909090899</v>
      </c>
      <c r="M64" s="122"/>
      <c r="N64" s="187"/>
      <c r="P64" s="187"/>
    </row>
    <row r="65" spans="1:14" s="71" customFormat="1" ht="15" outlineLevel="1" thickBot="1">
      <c r="A65" s="126"/>
      <c r="B65" s="128"/>
      <c r="C65" s="84" t="s">
        <v>127</v>
      </c>
      <c r="D65" s="39">
        <f>'BCP SOLES BCP'!$F$396+'BCP SOLES BCP'!$F$410+'BCP SOLES BCP'!$F$413+'BCP SOLES BCP'!$F$415+'BCP SOLES BCP'!$F$431+'BCP SOLES BCP'!$F$433+'BCP SOLES BCP'!$F$437+'BCP SOLES BCP'!$F$440+'BCP SOLES BCP'!$F$444+'BCP SOLES BCP'!$F$446+'BCP SOLES BCP'!$F$448+'BCP SOLES BCP'!$F$449+'BCP SOLES BCP'!$F$452+'BCP SOLES BCP'!$F$453+43.13</f>
        <v>112.64999999999998</v>
      </c>
      <c r="E65" s="115">
        <f>D65/D6</f>
        <v>32.002840909090899</v>
      </c>
      <c r="F65" s="112">
        <v>45930</v>
      </c>
      <c r="G65" s="71" t="s">
        <v>126</v>
      </c>
      <c r="H65" s="71">
        <f>IF(OR(G65="Sin pagar",G65="Pagar"),_xlfn.SINGLE(NETWORKDAYS($J$25,F65,FestivosPerú!$A$2:$A$15)),0)</f>
        <v>0</v>
      </c>
      <c r="I65" s="71">
        <f>NETWORKDAYS($J$25,F65,FestivosPerú!$A$2:$A$15)</f>
        <v>22</v>
      </c>
      <c r="J65" s="117">
        <f>H65</f>
        <v>0</v>
      </c>
      <c r="L65" s="89"/>
    </row>
    <row r="66" spans="1:14" s="71" customFormat="1" ht="16.2" thickBot="1">
      <c r="A66" s="126"/>
      <c r="B66" s="125"/>
      <c r="C66" s="311" t="s">
        <v>540</v>
      </c>
      <c r="D66" s="312">
        <f>SUBTOTAL(9,D67:D88)</f>
        <v>33330.25</v>
      </c>
      <c r="E66" s="313">
        <f>SUBTOTAL(9,E67:E88)</f>
        <v>9468.8210227272684</v>
      </c>
      <c r="J66" s="117"/>
      <c r="L66" s="89"/>
    </row>
    <row r="67" spans="1:14" s="71" customFormat="1" outlineLevel="1">
      <c r="A67" s="86"/>
      <c r="B67" s="83">
        <v>6495538605</v>
      </c>
      <c r="C67" s="172" t="s">
        <v>571</v>
      </c>
      <c r="D67" s="39">
        <v>609.95000000000005</v>
      </c>
      <c r="E67" s="115">
        <f t="shared" ref="E67:E72" si="5">D67/$D$6</f>
        <v>173.28125</v>
      </c>
      <c r="F67" s="116">
        <v>45906</v>
      </c>
      <c r="G67" s="71" t="s">
        <v>126</v>
      </c>
      <c r="H67" s="71">
        <f>IF(OR(G67="Sin pagar",G67="Pagar"),_xlfn.SINGLE(NETWORKDAYS($J$25,F67,FestivosPerú!$A$2:$A$15)),0)</f>
        <v>0</v>
      </c>
      <c r="I67" s="71">
        <f>NETWORKDAYS($J$25,F67,FestivosPerú!$A$2:$A$15)</f>
        <v>5</v>
      </c>
      <c r="J67" s="117">
        <f t="shared" ref="J67:J72" si="6">H67</f>
        <v>0</v>
      </c>
      <c r="K67" s="89"/>
      <c r="L67" s="89"/>
      <c r="M67" s="118"/>
      <c r="N67" s="118"/>
    </row>
    <row r="68" spans="1:14" s="71" customFormat="1" outlineLevel="1">
      <c r="A68" s="86"/>
      <c r="B68" s="83">
        <v>2495539016</v>
      </c>
      <c r="C68" s="172" t="s">
        <v>572</v>
      </c>
      <c r="D68" s="39">
        <v>4527.28</v>
      </c>
      <c r="E68" s="115">
        <f t="shared" si="5"/>
        <v>1286.1590909090908</v>
      </c>
      <c r="F68" s="116">
        <v>45906</v>
      </c>
      <c r="G68" s="71" t="s">
        <v>126</v>
      </c>
      <c r="H68" s="71">
        <f>IF(OR(G68="Sin pagar",G68="Pagar"),_xlfn.SINGLE(NETWORKDAYS($J$25,F68,FestivosPerú!$A$2:$A$15)),0)</f>
        <v>0</v>
      </c>
      <c r="I68" s="71">
        <f>NETWORKDAYS($J$25,F68,FestivosPerú!$A$2:$A$15)</f>
        <v>5</v>
      </c>
      <c r="J68" s="117">
        <f t="shared" si="6"/>
        <v>0</v>
      </c>
      <c r="K68" s="89"/>
      <c r="L68" s="89"/>
      <c r="M68" s="118"/>
      <c r="N68" s="118"/>
    </row>
    <row r="69" spans="1:14" s="71" customFormat="1" outlineLevel="1">
      <c r="A69" s="86"/>
      <c r="B69" s="83">
        <v>5495540057</v>
      </c>
      <c r="C69" s="172" t="s">
        <v>573</v>
      </c>
      <c r="D69" s="39">
        <v>1865.09</v>
      </c>
      <c r="E69" s="115">
        <f t="shared" si="5"/>
        <v>529.85511363636363</v>
      </c>
      <c r="F69" s="116">
        <v>45906</v>
      </c>
      <c r="G69" s="71" t="s">
        <v>126</v>
      </c>
      <c r="H69" s="71">
        <f>IF(OR(G69="Sin pagar",G69="Pagar"),_xlfn.SINGLE(NETWORKDAYS($J$25,F69,FestivosPerú!$A$2:$A$15)),0)</f>
        <v>0</v>
      </c>
      <c r="I69" s="71">
        <f>NETWORKDAYS($J$25,F69,FestivosPerú!$A$2:$A$15)</f>
        <v>5</v>
      </c>
      <c r="J69" s="117">
        <f t="shared" si="6"/>
        <v>0</v>
      </c>
      <c r="K69" s="89"/>
      <c r="L69" s="89"/>
      <c r="M69" s="332">
        <f>D67+D68+D69</f>
        <v>7002.32</v>
      </c>
      <c r="N69" s="118"/>
    </row>
    <row r="70" spans="1:14" s="71" customFormat="1" ht="28.8" outlineLevel="1">
      <c r="A70" s="86"/>
      <c r="B70" s="83" t="s">
        <v>272</v>
      </c>
      <c r="C70" s="172" t="s">
        <v>466</v>
      </c>
      <c r="D70" s="39">
        <v>7.68</v>
      </c>
      <c r="E70" s="115">
        <f t="shared" si="5"/>
        <v>2.1818181818181817</v>
      </c>
      <c r="F70" s="116">
        <v>45905</v>
      </c>
      <c r="G70" s="71" t="s">
        <v>126</v>
      </c>
      <c r="H70" s="71">
        <f>IF(OR(G70="Sin pagar",G70="Pagar"),_xlfn.SINGLE(NETWORKDAYS($J$25,F70,FestivosPerú!$A$2:$A$15)),0)</f>
        <v>0</v>
      </c>
      <c r="I70" s="71">
        <f>NETWORKDAYS($J$25,F70,FestivosPerú!$A$2:$A$15)</f>
        <v>5</v>
      </c>
      <c r="J70" s="117">
        <f t="shared" si="6"/>
        <v>0</v>
      </c>
      <c r="K70" s="89"/>
      <c r="L70" s="89"/>
      <c r="M70" s="118"/>
      <c r="N70" s="118"/>
    </row>
    <row r="71" spans="1:14" s="71" customFormat="1" ht="16.5" customHeight="1" outlineLevel="1">
      <c r="A71" s="126"/>
      <c r="B71" s="128" t="s">
        <v>272</v>
      </c>
      <c r="C71" s="84" t="s">
        <v>456</v>
      </c>
      <c r="D71" s="39">
        <v>8439</v>
      </c>
      <c r="E71" s="115">
        <f t="shared" si="5"/>
        <v>2397.443181818182</v>
      </c>
      <c r="F71" s="116">
        <v>45905</v>
      </c>
      <c r="G71" s="71" t="s">
        <v>126</v>
      </c>
      <c r="H71" s="71">
        <f>IF(OR(G71="Sin pagar",G71="Pagar"),_xlfn.SINGLE(NETWORKDAYS($J$25,F71,FestivosPerú!$A$2:$A$15)),0)</f>
        <v>0</v>
      </c>
      <c r="I71" s="71">
        <f>NETWORKDAYS($J$25,F71,FestivosPerú!$A$2:$A$15)</f>
        <v>5</v>
      </c>
      <c r="J71" s="117">
        <f t="shared" si="6"/>
        <v>0</v>
      </c>
      <c r="L71" s="89"/>
    </row>
    <row r="72" spans="1:14" s="71" customFormat="1" outlineLevel="1">
      <c r="B72" s="343" t="s">
        <v>593</v>
      </c>
      <c r="C72" s="186" t="s">
        <v>566</v>
      </c>
      <c r="D72" s="39">
        <v>10753</v>
      </c>
      <c r="E72" s="115">
        <f t="shared" si="5"/>
        <v>3054.8295454545455</v>
      </c>
      <c r="F72" s="341">
        <v>45915</v>
      </c>
      <c r="G72" s="342" t="s">
        <v>126</v>
      </c>
      <c r="H72" s="71">
        <f>IF(OR(G72="Sin pagar",G72="Pagar"),_xlfn.SINGLE(NETWORKDAYS($J$25,F72,FestivosPerú!$A$2:$A$15)),0)</f>
        <v>0</v>
      </c>
      <c r="I72" s="71">
        <f>NETWORKDAYS($J$25,F72,FestivosPerú!$A$2:$A$15)</f>
        <v>11</v>
      </c>
      <c r="J72" s="117">
        <f t="shared" si="6"/>
        <v>0</v>
      </c>
      <c r="K72" s="120"/>
      <c r="L72" s="94"/>
      <c r="M72" s="300" t="s">
        <v>245</v>
      </c>
      <c r="N72" s="118"/>
    </row>
    <row r="73" spans="1:14" s="71" customFormat="1" outlineLevel="1">
      <c r="B73" s="343"/>
      <c r="C73" s="186" t="s">
        <v>602</v>
      </c>
      <c r="D73" s="209">
        <v>129.54</v>
      </c>
      <c r="E73" s="115">
        <f t="shared" ref="E73:E86" si="7">D73/$D$6</f>
        <v>36.80113636363636</v>
      </c>
      <c r="F73" s="341">
        <v>45922</v>
      </c>
      <c r="G73" s="342" t="s">
        <v>126</v>
      </c>
      <c r="H73" s="71">
        <f>IF(OR(G73="Sin pagar",G73="Pagar"),_xlfn.SINGLE(NETWORKDAYS($J$25,F73,FestivosPerú!$A$2:$A$15)),0)</f>
        <v>0</v>
      </c>
      <c r="I73" s="71">
        <f>NETWORKDAYS($J$25,F73,FestivosPerú!$A$2:$A$15)</f>
        <v>16</v>
      </c>
      <c r="J73" s="117">
        <f t="shared" ref="J73:J80" si="8">H73</f>
        <v>0</v>
      </c>
      <c r="K73" s="120"/>
      <c r="L73" s="94"/>
      <c r="M73" s="300"/>
      <c r="N73" s="118"/>
    </row>
    <row r="74" spans="1:14" s="71" customFormat="1" outlineLevel="1">
      <c r="B74" s="343"/>
      <c r="C74" s="186" t="s">
        <v>603</v>
      </c>
      <c r="D74" s="209">
        <v>316.32</v>
      </c>
      <c r="E74" s="115">
        <f t="shared" si="7"/>
        <v>89.86363636363636</v>
      </c>
      <c r="F74" s="341">
        <v>45922</v>
      </c>
      <c r="G74" s="342" t="s">
        <v>126</v>
      </c>
      <c r="H74" s="71">
        <f>IF(OR(G74="Sin pagar",G74="Pagar"),_xlfn.SINGLE(NETWORKDAYS($J$25,F74,FestivosPerú!$A$2:$A$15)),0)</f>
        <v>0</v>
      </c>
      <c r="I74" s="71">
        <f>NETWORKDAYS($J$25,F74,FestivosPerú!$A$2:$A$15)</f>
        <v>16</v>
      </c>
      <c r="J74" s="117">
        <f t="shared" si="8"/>
        <v>0</v>
      </c>
      <c r="K74" s="120"/>
      <c r="L74" s="94"/>
      <c r="M74" s="300"/>
      <c r="N74" s="118"/>
    </row>
    <row r="75" spans="1:14" s="71" customFormat="1" outlineLevel="1">
      <c r="B75" s="343" t="s">
        <v>605</v>
      </c>
      <c r="C75" s="186" t="s">
        <v>604</v>
      </c>
      <c r="D75" s="209">
        <v>2243.89</v>
      </c>
      <c r="E75" s="115">
        <f t="shared" si="7"/>
        <v>637.46875</v>
      </c>
      <c r="F75" s="341">
        <v>45922</v>
      </c>
      <c r="G75" s="342" t="s">
        <v>126</v>
      </c>
      <c r="H75" s="71">
        <f>IF(OR(G75="Sin pagar",G75="Pagar"),_xlfn.SINGLE(NETWORKDAYS($J$25,F75,FestivosPerú!$A$2:$A$15)),0)</f>
        <v>0</v>
      </c>
      <c r="I75" s="71">
        <f>NETWORKDAYS($J$25,F75,FestivosPerú!$A$2:$A$15)</f>
        <v>16</v>
      </c>
      <c r="J75" s="117">
        <f t="shared" si="8"/>
        <v>0</v>
      </c>
      <c r="K75" s="120"/>
      <c r="L75" s="94"/>
      <c r="M75" s="300"/>
      <c r="N75" s="118"/>
    </row>
    <row r="76" spans="1:14" s="71" customFormat="1" outlineLevel="1">
      <c r="B76" s="343" t="s">
        <v>606</v>
      </c>
      <c r="C76" s="186" t="s">
        <v>607</v>
      </c>
      <c r="D76" s="209">
        <v>879.04</v>
      </c>
      <c r="E76" s="115">
        <f t="shared" si="7"/>
        <v>249.72727272727272</v>
      </c>
      <c r="F76" s="341">
        <v>45922</v>
      </c>
      <c r="G76" s="342" t="s">
        <v>126</v>
      </c>
      <c r="H76" s="71">
        <f>IF(OR(G76="Sin pagar",G76="Pagar"),_xlfn.SINGLE(NETWORKDAYS($J$25,F76,FestivosPerú!$A$2:$A$15)),0)</f>
        <v>0</v>
      </c>
      <c r="I76" s="71">
        <f>NETWORKDAYS($J$25,F76,FestivosPerú!$A$2:$A$15)</f>
        <v>16</v>
      </c>
      <c r="J76" s="117">
        <f t="shared" si="8"/>
        <v>0</v>
      </c>
      <c r="K76" s="120"/>
      <c r="L76" s="94"/>
      <c r="M76" s="300"/>
      <c r="N76" s="118"/>
    </row>
    <row r="77" spans="1:14" s="71" customFormat="1" outlineLevel="1">
      <c r="B77" s="343" t="s">
        <v>608</v>
      </c>
      <c r="C77" s="186" t="s">
        <v>609</v>
      </c>
      <c r="D77" s="209">
        <v>233</v>
      </c>
      <c r="E77" s="115">
        <f t="shared" si="7"/>
        <v>66.193181818181813</v>
      </c>
      <c r="F77" s="341">
        <v>45922</v>
      </c>
      <c r="G77" s="342" t="s">
        <v>126</v>
      </c>
      <c r="H77" s="71">
        <f>IF(OR(G77="Sin pagar",G77="Pagar"),_xlfn.SINGLE(NETWORKDAYS($J$25,F77,FestivosPerú!$A$2:$A$15)),0)</f>
        <v>0</v>
      </c>
      <c r="I77" s="71">
        <f>NETWORKDAYS($J$25,F77,FestivosPerú!$A$2:$A$15)</f>
        <v>16</v>
      </c>
      <c r="J77" s="117">
        <f t="shared" si="8"/>
        <v>0</v>
      </c>
      <c r="K77" s="120"/>
      <c r="L77" s="94"/>
      <c r="M77" s="300"/>
      <c r="N77" s="118"/>
    </row>
    <row r="78" spans="1:14" s="71" customFormat="1" outlineLevel="1">
      <c r="B78" s="343" t="s">
        <v>610</v>
      </c>
      <c r="C78" s="186" t="s">
        <v>607</v>
      </c>
      <c r="D78" s="209">
        <v>2438.94</v>
      </c>
      <c r="E78" s="115">
        <f t="shared" si="7"/>
        <v>692.88068181818187</v>
      </c>
      <c r="F78" s="341">
        <v>45922</v>
      </c>
      <c r="G78" s="342" t="s">
        <v>126</v>
      </c>
      <c r="H78" s="71">
        <f>IF(OR(G78="Sin pagar",G78="Pagar"),_xlfn.SINGLE(NETWORKDAYS($J$25,F78,FestivosPerú!$A$2:$A$15)),0)</f>
        <v>0</v>
      </c>
      <c r="I78" s="71">
        <f>NETWORKDAYS($J$25,F78,FestivosPerú!$A$2:$A$15)</f>
        <v>16</v>
      </c>
      <c r="J78" s="117">
        <f t="shared" si="8"/>
        <v>0</v>
      </c>
      <c r="K78" s="120"/>
      <c r="L78" s="94"/>
      <c r="M78" s="300"/>
      <c r="N78" s="118"/>
    </row>
    <row r="79" spans="1:14" s="71" customFormat="1" outlineLevel="1">
      <c r="B79" s="343"/>
      <c r="C79" s="186" t="s">
        <v>611</v>
      </c>
      <c r="D79" s="209">
        <v>123.9</v>
      </c>
      <c r="E79" s="115">
        <f t="shared" si="7"/>
        <v>35.19886363636364</v>
      </c>
      <c r="F79" s="341">
        <v>45922</v>
      </c>
      <c r="G79" s="342" t="s">
        <v>126</v>
      </c>
      <c r="H79" s="71">
        <f>IF(OR(G79="Sin pagar",G79="Pagar"),_xlfn.SINGLE(NETWORKDAYS($J$25,F79,FestivosPerú!$A$2:$A$15)),0)</f>
        <v>0</v>
      </c>
      <c r="I79" s="71">
        <f>NETWORKDAYS($J$25,F79,FestivosPerú!$A$2:$A$15)</f>
        <v>16</v>
      </c>
      <c r="J79" s="117">
        <f t="shared" si="8"/>
        <v>0</v>
      </c>
      <c r="K79" s="120"/>
      <c r="L79" s="94"/>
      <c r="M79" s="300"/>
      <c r="N79" s="118"/>
    </row>
    <row r="80" spans="1:14" s="342" customFormat="1" outlineLevel="1">
      <c r="B80" s="356"/>
      <c r="C80" s="186" t="s">
        <v>612</v>
      </c>
      <c r="D80" s="209">
        <v>129.54</v>
      </c>
      <c r="E80" s="115">
        <f t="shared" si="7"/>
        <v>36.80113636363636</v>
      </c>
      <c r="F80" s="341">
        <v>45922</v>
      </c>
      <c r="G80" s="342" t="s">
        <v>126</v>
      </c>
      <c r="H80" s="342">
        <f>IF(OR(G80="Sin pagar",G80="Pagar"),_xlfn.SINGLE(NETWORKDAYS($J$25,F80,FestivosPerú!$A$2:$A$15)),0)</f>
        <v>0</v>
      </c>
      <c r="I80" s="342">
        <f>NETWORKDAYS($J$25,F80,FestivosPerú!$A$2:$A$15)</f>
        <v>16</v>
      </c>
      <c r="J80" s="117">
        <f t="shared" si="8"/>
        <v>0</v>
      </c>
      <c r="K80" s="120"/>
      <c r="L80" s="357"/>
      <c r="M80" s="358"/>
      <c r="N80" s="359"/>
    </row>
    <row r="81" spans="2:15" s="342" customFormat="1" outlineLevel="1">
      <c r="B81" s="356"/>
      <c r="C81" s="186" t="s">
        <v>618</v>
      </c>
      <c r="D81" s="209">
        <v>1</v>
      </c>
      <c r="E81" s="115">
        <f t="shared" si="7"/>
        <v>0.28409090909090912</v>
      </c>
      <c r="F81" s="341">
        <v>45922</v>
      </c>
      <c r="G81" s="342" t="s">
        <v>126</v>
      </c>
      <c r="H81" s="342">
        <f>IF(OR(G81="Sin pagar",G81="Pagar"),_xlfn.SINGLE(NETWORKDAYS($J$25,F81,FestivosPerú!$A$2:$A$15)),0)</f>
        <v>0</v>
      </c>
      <c r="I81" s="342">
        <f>NETWORKDAYS($J$25,F81,FestivosPerú!$A$2:$A$15)</f>
        <v>16</v>
      </c>
      <c r="J81" s="117">
        <f t="shared" ref="J81:J86" si="9">H81</f>
        <v>0</v>
      </c>
      <c r="K81" s="120"/>
      <c r="L81" s="357"/>
      <c r="M81" s="358"/>
      <c r="N81" s="359"/>
    </row>
    <row r="82" spans="2:15" s="342" customFormat="1" outlineLevel="1">
      <c r="B82" s="356"/>
      <c r="C82" s="186" t="s">
        <v>619</v>
      </c>
      <c r="D82" s="209">
        <f>1+1.53</f>
        <v>2.5300000000000002</v>
      </c>
      <c r="E82" s="115">
        <f t="shared" si="7"/>
        <v>0.71875000000000011</v>
      </c>
      <c r="F82" s="341">
        <v>45922</v>
      </c>
      <c r="G82" s="342" t="s">
        <v>126</v>
      </c>
      <c r="H82" s="342">
        <f>IF(OR(G82="Sin pagar",G82="Pagar"),_xlfn.SINGLE(NETWORKDAYS($J$25,F82,FestivosPerú!$A$2:$A$15)),0)</f>
        <v>0</v>
      </c>
      <c r="I82" s="342">
        <f>NETWORKDAYS($J$25,F82,FestivosPerú!$A$2:$A$15)</f>
        <v>16</v>
      </c>
      <c r="J82" s="117">
        <f t="shared" si="9"/>
        <v>0</v>
      </c>
      <c r="K82" s="120"/>
      <c r="L82" s="357"/>
      <c r="M82" s="358"/>
      <c r="N82" s="359"/>
    </row>
    <row r="83" spans="2:15" s="342" customFormat="1" outlineLevel="1">
      <c r="B83" s="356"/>
      <c r="C83" s="186" t="s">
        <v>623</v>
      </c>
      <c r="D83" s="209">
        <v>5.3</v>
      </c>
      <c r="E83" s="115">
        <f t="shared" si="7"/>
        <v>1.5056818181818181</v>
      </c>
      <c r="F83" s="341">
        <v>45922</v>
      </c>
      <c r="G83" s="342" t="s">
        <v>126</v>
      </c>
      <c r="H83" s="342">
        <f>IF(OR(G83="Sin pagar",G83="Pagar"),_xlfn.SINGLE(NETWORKDAYS($J$25,F83,FestivosPerú!$A$2:$A$15)),0)</f>
        <v>0</v>
      </c>
      <c r="I83" s="342">
        <f>NETWORKDAYS($J$25,F83,FestivosPerú!$A$2:$A$15)</f>
        <v>16</v>
      </c>
      <c r="J83" s="117">
        <f t="shared" si="9"/>
        <v>0</v>
      </c>
      <c r="K83" s="120"/>
      <c r="L83" s="357"/>
      <c r="M83" s="358"/>
      <c r="N83" s="359"/>
    </row>
    <row r="84" spans="2:15" s="342" customFormat="1" outlineLevel="1">
      <c r="B84" s="356"/>
      <c r="C84" s="186" t="s">
        <v>620</v>
      </c>
      <c r="D84" s="209">
        <v>1</v>
      </c>
      <c r="E84" s="115">
        <f t="shared" si="7"/>
        <v>0.28409090909090912</v>
      </c>
      <c r="F84" s="341">
        <v>45922</v>
      </c>
      <c r="G84" s="342" t="s">
        <v>126</v>
      </c>
      <c r="H84" s="342">
        <f>IF(OR(G84="Sin pagar",G84="Pagar"),_xlfn.SINGLE(NETWORKDAYS($J$25,F84,FestivosPerú!$A$2:$A$15)),0)</f>
        <v>0</v>
      </c>
      <c r="I84" s="342">
        <f>NETWORKDAYS($J$25,F84,FestivosPerú!$A$2:$A$15)</f>
        <v>16</v>
      </c>
      <c r="J84" s="117">
        <f t="shared" si="9"/>
        <v>0</v>
      </c>
      <c r="K84" s="120"/>
      <c r="L84" s="357"/>
      <c r="M84" s="358"/>
      <c r="N84" s="359"/>
    </row>
    <row r="85" spans="2:15" s="342" customFormat="1" outlineLevel="1">
      <c r="B85" s="356"/>
      <c r="C85" s="186" t="s">
        <v>621</v>
      </c>
      <c r="D85" s="209">
        <v>1</v>
      </c>
      <c r="E85" s="115">
        <f t="shared" si="7"/>
        <v>0.28409090909090912</v>
      </c>
      <c r="F85" s="341">
        <v>45922</v>
      </c>
      <c r="G85" s="342" t="s">
        <v>126</v>
      </c>
      <c r="H85" s="342">
        <f>IF(OR(G85="Sin pagar",G85="Pagar"),_xlfn.SINGLE(NETWORKDAYS($J$25,F85,FestivosPerú!$A$2:$A$15)),0)</f>
        <v>0</v>
      </c>
      <c r="I85" s="342">
        <f>NETWORKDAYS($J$25,F85,FestivosPerú!$A$2:$A$15)</f>
        <v>16</v>
      </c>
      <c r="J85" s="117">
        <f t="shared" si="9"/>
        <v>0</v>
      </c>
      <c r="K85" s="120"/>
      <c r="L85" s="357"/>
      <c r="M85" s="358"/>
      <c r="N85" s="359"/>
    </row>
    <row r="86" spans="2:15" s="342" customFormat="1" outlineLevel="1">
      <c r="B86" s="356"/>
      <c r="C86" s="186" t="s">
        <v>622</v>
      </c>
      <c r="D86" s="209">
        <v>5.3</v>
      </c>
      <c r="E86" s="115">
        <f t="shared" si="7"/>
        <v>1.5056818181818181</v>
      </c>
      <c r="F86" s="341">
        <v>45922</v>
      </c>
      <c r="G86" s="342" t="s">
        <v>126</v>
      </c>
      <c r="H86" s="342">
        <f>IF(OR(G86="Sin pagar",G86="Pagar"),_xlfn.SINGLE(NETWORKDAYS($J$25,F86,FestivosPerú!$A$2:$A$15)),0)</f>
        <v>0</v>
      </c>
      <c r="I86" s="342">
        <f>NETWORKDAYS($J$25,F86,FestivosPerú!$A$2:$A$15)</f>
        <v>16</v>
      </c>
      <c r="J86" s="117">
        <f t="shared" si="9"/>
        <v>0</v>
      </c>
      <c r="K86" s="120"/>
      <c r="L86" s="357"/>
      <c r="M86" s="358"/>
      <c r="N86" s="359"/>
    </row>
    <row r="87" spans="2:15" s="71" customFormat="1" outlineLevel="1">
      <c r="B87">
        <v>18815106</v>
      </c>
      <c r="C87" s="172" t="s">
        <v>632</v>
      </c>
      <c r="D87" s="39">
        <v>55.34</v>
      </c>
      <c r="E87" s="115">
        <f>D87/$D$6</f>
        <v>15.72159090909091</v>
      </c>
      <c r="F87" s="116">
        <v>45924</v>
      </c>
      <c r="G87" s="71" t="s">
        <v>126</v>
      </c>
      <c r="H87" s="71">
        <f>IF(OR(G87="Sin pagar",G87="Pagar"),_xlfn.SINGLE(NETWORKDAYS($J$25,F87,FestivosPerú!$A$2:$A$15)),0)</f>
        <v>0</v>
      </c>
      <c r="I87" s="71">
        <f>NETWORKDAYS($J$25,F87,FestivosPerú!$A$2:$A$15)</f>
        <v>18</v>
      </c>
      <c r="J87" s="117">
        <f>H87</f>
        <v>0</v>
      </c>
      <c r="K87" s="120"/>
      <c r="L87" s="94"/>
      <c r="M87" s="300"/>
      <c r="N87" s="118"/>
    </row>
    <row r="88" spans="2:15" s="71" customFormat="1" ht="15" outlineLevel="1" thickBot="1">
      <c r="B88">
        <v>18815106</v>
      </c>
      <c r="C88" s="172" t="s">
        <v>688</v>
      </c>
      <c r="D88" s="39">
        <v>562.61</v>
      </c>
      <c r="E88" s="115">
        <f>D88/$D$6</f>
        <v>159.83238636363637</v>
      </c>
      <c r="F88" s="116">
        <v>45932</v>
      </c>
      <c r="G88" s="71" t="s">
        <v>126</v>
      </c>
      <c r="H88" s="71">
        <f>IF(OR(G88="Sin pagar",G88="Pagar"),_xlfn.SINGLE(NETWORKDAYS($J$25,F88,FestivosPerú!$A$2:$A$15)),0)</f>
        <v>0</v>
      </c>
      <c r="I88" s="71">
        <f>NETWORKDAYS($J$25,F88,FestivosPerú!$A$2:$A$15)</f>
        <v>24</v>
      </c>
      <c r="J88" s="117">
        <f>H88</f>
        <v>0</v>
      </c>
      <c r="K88" s="120"/>
      <c r="L88" s="94"/>
      <c r="M88" s="300"/>
      <c r="N88" s="118"/>
    </row>
    <row r="89" spans="2:15" s="71" customFormat="1" ht="16.2" thickBot="1">
      <c r="C89" s="311" t="s">
        <v>507</v>
      </c>
      <c r="D89" s="312">
        <f>SUBTOTAL(9,D90:D101)</f>
        <v>115539.24922040821</v>
      </c>
      <c r="E89" s="313">
        <f>SUBTOTAL(9,E90:E101)</f>
        <v>32823.650346706876</v>
      </c>
      <c r="J89" s="301"/>
      <c r="K89" s="89"/>
      <c r="L89" s="124"/>
      <c r="N89" s="122"/>
      <c r="O89" s="101"/>
    </row>
    <row r="90" spans="2:15" s="71" customFormat="1" outlineLevel="1">
      <c r="B90" s="125"/>
      <c r="C90" s="186" t="s">
        <v>508</v>
      </c>
      <c r="D90" s="39">
        <v>4452.9877749999996</v>
      </c>
      <c r="E90" s="115">
        <f t="shared" ref="E90:E95" si="10">D90/$D$6</f>
        <v>1265.0533451704543</v>
      </c>
      <c r="F90" s="112">
        <v>45926</v>
      </c>
      <c r="G90" s="71" t="s">
        <v>126</v>
      </c>
      <c r="H90" s="71">
        <f>IF(OR(G90="Sin pagar",G90="Pagar"),_xlfn.SINGLE(NETWORKDAYS($J$25,F90,FestivosPerú!$A$2:$A$15)),0)</f>
        <v>0</v>
      </c>
      <c r="I90" s="71">
        <f>NETWORKDAYS($J$25,F90,FestivosPerú!$A$2:$A$15)</f>
        <v>20</v>
      </c>
      <c r="J90" s="117">
        <f t="shared" ref="J90:J95" si="11">H90</f>
        <v>0</v>
      </c>
      <c r="K90" s="120"/>
      <c r="L90" s="120"/>
      <c r="M90" s="253"/>
      <c r="N90" s="122"/>
    </row>
    <row r="91" spans="2:15" s="71" customFormat="1" outlineLevel="1">
      <c r="B91" s="125"/>
      <c r="C91" s="186" t="s">
        <v>509</v>
      </c>
      <c r="D91" s="39">
        <v>8451.4396209999995</v>
      </c>
      <c r="E91" s="115">
        <f t="shared" si="10"/>
        <v>2400.9771650568182</v>
      </c>
      <c r="F91" s="112">
        <v>45926</v>
      </c>
      <c r="G91" s="71" t="s">
        <v>126</v>
      </c>
      <c r="H91" s="71">
        <f>IF(OR(G91="Sin pagar",G91="Pagar"),_xlfn.SINGLE(NETWORKDAYS($J$25,F91,FestivosPerú!$A$2:$A$15)),0)</f>
        <v>0</v>
      </c>
      <c r="I91" s="71">
        <f>NETWORKDAYS($J$25,F91,FestivosPerú!$A$2:$A$15)</f>
        <v>20</v>
      </c>
      <c r="J91" s="117">
        <f t="shared" si="11"/>
        <v>0</v>
      </c>
      <c r="K91" s="120"/>
      <c r="L91" s="120"/>
      <c r="M91" s="253"/>
    </row>
    <row r="92" spans="2:15" s="126" customFormat="1" outlineLevel="1">
      <c r="B92" s="125"/>
      <c r="C92" s="186" t="s">
        <v>510</v>
      </c>
      <c r="D92" s="39">
        <v>10187.783547999999</v>
      </c>
      <c r="E92" s="115">
        <f t="shared" si="10"/>
        <v>2894.256689772727</v>
      </c>
      <c r="F92" s="112">
        <v>45926</v>
      </c>
      <c r="G92" s="71" t="s">
        <v>126</v>
      </c>
      <c r="H92" s="71">
        <f>IF(OR(G92="Sin pagar",G92="Pagar"),_xlfn.SINGLE(NETWORKDAYS($J$25,F92,FestivosPerú!$A$2:$A$15)),0)</f>
        <v>0</v>
      </c>
      <c r="I92" s="71">
        <f>NETWORKDAYS($J$25,F92,FestivosPerú!$A$2:$A$15)</f>
        <v>20</v>
      </c>
      <c r="J92" s="117">
        <f t="shared" si="11"/>
        <v>0</v>
      </c>
      <c r="L92" s="127"/>
      <c r="M92" s="253"/>
    </row>
    <row r="93" spans="2:15" s="126" customFormat="1" outlineLevel="1">
      <c r="B93" s="125"/>
      <c r="C93" s="186" t="s">
        <v>511</v>
      </c>
      <c r="D93" s="39">
        <v>9435.3723439999994</v>
      </c>
      <c r="E93" s="115">
        <f t="shared" si="10"/>
        <v>2680.5035068181814</v>
      </c>
      <c r="F93" s="112">
        <v>45926</v>
      </c>
      <c r="G93" s="71" t="s">
        <v>126</v>
      </c>
      <c r="H93" s="71">
        <f>IF(OR(G93="Sin pagar",G93="Pagar"),_xlfn.SINGLE(NETWORKDAYS($J$25,F93,FestivosPerú!$A$2:$A$15)),0)</f>
        <v>0</v>
      </c>
      <c r="I93" s="71">
        <f>NETWORKDAYS($J$25,F93,FestivosPerú!$A$2:$A$15)</f>
        <v>20</v>
      </c>
      <c r="J93" s="117">
        <f t="shared" si="11"/>
        <v>0</v>
      </c>
      <c r="L93" s="127"/>
      <c r="M93" s="253"/>
    </row>
    <row r="94" spans="2:15" s="126" customFormat="1" outlineLevel="1">
      <c r="B94" s="125"/>
      <c r="C94" s="186" t="s">
        <v>512</v>
      </c>
      <c r="D94" s="39">
        <v>5328.4279537499988</v>
      </c>
      <c r="E94" s="115">
        <f t="shared" si="10"/>
        <v>1513.7579414062498</v>
      </c>
      <c r="F94" s="112">
        <v>45926</v>
      </c>
      <c r="G94" s="71" t="s">
        <v>126</v>
      </c>
      <c r="H94" s="71">
        <f>IF(OR(G94="Sin pagar",G94="Pagar"),_xlfn.SINGLE(NETWORKDAYS($J$25,F94,FestivosPerú!$A$2:$A$15)),0)</f>
        <v>0</v>
      </c>
      <c r="I94" s="71">
        <f>NETWORKDAYS($J$25,F94,FestivosPerú!$A$2:$A$15)</f>
        <v>20</v>
      </c>
      <c r="J94" s="117">
        <f t="shared" si="11"/>
        <v>0</v>
      </c>
      <c r="L94" s="127"/>
      <c r="M94" s="253"/>
    </row>
    <row r="95" spans="2:15" s="71" customFormat="1" outlineLevel="1">
      <c r="B95" s="119"/>
      <c r="C95" s="172" t="s">
        <v>513</v>
      </c>
      <c r="D95" s="39">
        <v>5326.2338459999992</v>
      </c>
      <c r="E95" s="115">
        <f t="shared" si="10"/>
        <v>1513.1346153409088</v>
      </c>
      <c r="F95" s="112">
        <v>45926</v>
      </c>
      <c r="G95" s="71" t="s">
        <v>126</v>
      </c>
      <c r="H95" s="71">
        <f>IF(OR(G95="Sin pagar",G95="Pagar"),_xlfn.SINGLE(NETWORKDAYS($J$25,F95,FestivosPerú!$A$2:$A$15)),0)</f>
        <v>0</v>
      </c>
      <c r="I95" s="71">
        <f>NETWORKDAYS($J$25,F95,FestivosPerú!$A$2:$A$15)</f>
        <v>20</v>
      </c>
      <c r="J95" s="117">
        <f t="shared" si="11"/>
        <v>0</v>
      </c>
      <c r="K95" s="120"/>
      <c r="L95" s="94"/>
      <c r="M95" s="300"/>
      <c r="N95" s="118"/>
    </row>
    <row r="96" spans="2:15" s="71" customFormat="1" outlineLevel="1">
      <c r="B96" s="119"/>
      <c r="C96" s="172" t="s">
        <v>649</v>
      </c>
      <c r="D96" s="39">
        <v>6647.25</v>
      </c>
      <c r="E96" s="115">
        <f t="shared" ref="E96:E101" si="12">D96/$D$6</f>
        <v>1888.4232954545455</v>
      </c>
      <c r="F96" s="112">
        <v>45926</v>
      </c>
      <c r="G96" s="71" t="s">
        <v>126</v>
      </c>
      <c r="H96" s="71">
        <f>IF(OR(G96="Sin pagar",G96="Pagar"),_xlfn.SINGLE(NETWORKDAYS($J$25,F96,FestivosPerú!$A$2:$A$15)),0)</f>
        <v>0</v>
      </c>
      <c r="I96" s="71">
        <f>NETWORKDAYS($J$25,F96,FestivosPerú!$A$2:$A$15)</f>
        <v>20</v>
      </c>
      <c r="J96" s="117">
        <f t="shared" ref="J96:J101" si="13">H96</f>
        <v>0</v>
      </c>
      <c r="K96" s="120"/>
      <c r="L96" s="94"/>
      <c r="M96" s="300"/>
      <c r="N96" s="118"/>
    </row>
    <row r="97" spans="1:16" s="71" customFormat="1" outlineLevel="1">
      <c r="B97" s="119"/>
      <c r="C97" s="172" t="s">
        <v>650</v>
      </c>
      <c r="D97" s="39">
        <v>15397.013471499999</v>
      </c>
      <c r="E97" s="115">
        <f t="shared" si="12"/>
        <v>4374.1515544034082</v>
      </c>
      <c r="F97" s="112">
        <v>45926</v>
      </c>
      <c r="G97" s="71" t="s">
        <v>126</v>
      </c>
      <c r="H97" s="71">
        <f>IF(OR(G97="Sin pagar",G97="Pagar"),_xlfn.SINGLE(NETWORKDAYS($J$25,F97,FestivosPerú!$A$2:$A$15)),0)</f>
        <v>0</v>
      </c>
      <c r="I97" s="71">
        <f>NETWORKDAYS($J$25,F97,FestivosPerú!$A$2:$A$15)</f>
        <v>20</v>
      </c>
      <c r="J97" s="117">
        <f t="shared" si="13"/>
        <v>0</v>
      </c>
      <c r="K97" s="120"/>
      <c r="L97" s="94"/>
      <c r="M97" s="300"/>
      <c r="N97" s="118"/>
    </row>
    <row r="98" spans="1:16" s="71" customFormat="1" outlineLevel="1">
      <c r="B98" s="119"/>
      <c r="C98" s="172" t="s">
        <v>651</v>
      </c>
      <c r="D98" s="39">
        <v>12384.553084437499</v>
      </c>
      <c r="E98" s="115">
        <f t="shared" si="12"/>
        <v>3518.3389444424711</v>
      </c>
      <c r="F98" s="112">
        <v>45926</v>
      </c>
      <c r="G98" s="71" t="s">
        <v>126</v>
      </c>
      <c r="H98" s="71">
        <f>IF(OR(G98="Sin pagar",G98="Pagar"),_xlfn.SINGLE(NETWORKDAYS($J$25,F98,FestivosPerú!$A$2:$A$15)),0)</f>
        <v>0</v>
      </c>
      <c r="I98" s="71">
        <f>NETWORKDAYS($J$25,F98,FestivosPerú!$A$2:$A$15)</f>
        <v>20</v>
      </c>
      <c r="J98" s="117">
        <f t="shared" si="13"/>
        <v>0</v>
      </c>
      <c r="K98" s="120"/>
      <c r="L98" s="94"/>
      <c r="M98" s="300"/>
      <c r="N98" s="118"/>
    </row>
    <row r="99" spans="1:16" s="71" customFormat="1" outlineLevel="1">
      <c r="B99" s="119"/>
      <c r="C99" s="172" t="s">
        <v>652</v>
      </c>
      <c r="D99" s="39">
        <v>19623.540371500007</v>
      </c>
      <c r="E99" s="115">
        <f t="shared" si="12"/>
        <v>5574.8694237215932</v>
      </c>
      <c r="F99" s="112">
        <v>45926</v>
      </c>
      <c r="G99" s="71" t="s">
        <v>126</v>
      </c>
      <c r="H99" s="71">
        <f>IF(OR(G99="Sin pagar",G99="Pagar"),_xlfn.SINGLE(NETWORKDAYS($J$25,F99,FestivosPerú!$A$2:$A$15)),0)</f>
        <v>0</v>
      </c>
      <c r="I99" s="71">
        <f>NETWORKDAYS($J$25,F99,FestivosPerú!$A$2:$A$15)</f>
        <v>20</v>
      </c>
      <c r="J99" s="117">
        <f t="shared" si="13"/>
        <v>0</v>
      </c>
      <c r="K99" s="120"/>
      <c r="L99" s="94"/>
      <c r="M99" s="300"/>
      <c r="N99" s="118"/>
    </row>
    <row r="100" spans="1:16" s="71" customFormat="1" outlineLevel="1">
      <c r="B100" s="119"/>
      <c r="C100" s="172" t="s">
        <v>653</v>
      </c>
      <c r="D100" s="39">
        <v>15962.9146602207</v>
      </c>
      <c r="E100" s="115">
        <f t="shared" si="12"/>
        <v>4534.9189375626993</v>
      </c>
      <c r="F100" s="112">
        <v>45926</v>
      </c>
      <c r="G100" s="71" t="s">
        <v>126</v>
      </c>
      <c r="H100" s="71">
        <f>IF(OR(G100="Sin pagar",G100="Pagar"),_xlfn.SINGLE(NETWORKDAYS($J$25,F100,FestivosPerú!$A$2:$A$15)),0)</f>
        <v>0</v>
      </c>
      <c r="I100" s="71">
        <f>NETWORKDAYS($J$25,F100,FestivosPerú!$A$2:$A$15)</f>
        <v>20</v>
      </c>
      <c r="J100" s="117">
        <f t="shared" si="13"/>
        <v>0</v>
      </c>
      <c r="K100" s="120"/>
      <c r="L100" s="94"/>
      <c r="M100" s="300"/>
      <c r="N100" s="118"/>
    </row>
    <row r="101" spans="1:16" s="71" customFormat="1" ht="15" outlineLevel="1" thickBot="1">
      <c r="B101" s="119"/>
      <c r="C101" s="172" t="s">
        <v>654</v>
      </c>
      <c r="D101" s="39">
        <v>2341.7325449999998</v>
      </c>
      <c r="E101" s="115">
        <f t="shared" si="12"/>
        <v>665.26492755681818</v>
      </c>
      <c r="F101" s="112">
        <v>45926</v>
      </c>
      <c r="G101" s="71" t="s">
        <v>126</v>
      </c>
      <c r="H101" s="71">
        <f>IF(OR(G101="Sin pagar",G101="Pagar"),_xlfn.SINGLE(NETWORKDAYS($J$25,F101,FestivosPerú!$A$2:$A$15)),0)</f>
        <v>0</v>
      </c>
      <c r="I101" s="71">
        <f>NETWORKDAYS($J$25,F101,FestivosPerú!$A$2:$A$15)</f>
        <v>20</v>
      </c>
      <c r="J101" s="117">
        <f t="shared" si="13"/>
        <v>0</v>
      </c>
      <c r="K101" s="120"/>
      <c r="L101" s="94"/>
      <c r="M101" s="300"/>
      <c r="N101" s="118"/>
    </row>
    <row r="102" spans="1:16" s="71" customFormat="1" ht="16.2" thickBot="1">
      <c r="C102" s="311" t="s">
        <v>642</v>
      </c>
      <c r="D102" s="312">
        <f>SUBTOTAL(9,D103:D104)</f>
        <v>14382.75</v>
      </c>
      <c r="E102" s="313">
        <f>SUBTOTAL(9,E103:E104)</f>
        <v>4086.008522727273</v>
      </c>
      <c r="J102" s="301"/>
      <c r="K102" s="89"/>
      <c r="L102" s="124"/>
      <c r="N102" s="122"/>
      <c r="O102" s="101"/>
    </row>
    <row r="103" spans="1:16" s="71" customFormat="1" outlineLevel="1">
      <c r="B103" s="119"/>
      <c r="C103" s="172" t="s">
        <v>643</v>
      </c>
      <c r="D103" s="39">
        <v>10382.75</v>
      </c>
      <c r="E103" s="115">
        <f>D103/$D$6</f>
        <v>2949.6448863636365</v>
      </c>
      <c r="F103" s="112">
        <v>45926</v>
      </c>
      <c r="G103" s="71" t="s">
        <v>126</v>
      </c>
      <c r="H103" s="71">
        <f>IF(OR(G103="Sin pagar",G103="Pagar"),_xlfn.SINGLE(NETWORKDAYS($J$25,F103,FestivosPerú!$A$2:$A$15)),0)</f>
        <v>0</v>
      </c>
      <c r="I103" s="71">
        <f>NETWORKDAYS($J$25,F103,FestivosPerú!$A$2:$A$15)</f>
        <v>20</v>
      </c>
      <c r="J103" s="117">
        <f>H103</f>
        <v>0</v>
      </c>
      <c r="K103" s="120"/>
      <c r="L103" s="94"/>
      <c r="M103" s="300"/>
      <c r="N103" s="118"/>
    </row>
    <row r="104" spans="1:16" s="71" customFormat="1" ht="15" outlineLevel="1" thickBot="1">
      <c r="B104" s="119"/>
      <c r="C104" s="172" t="s">
        <v>644</v>
      </c>
      <c r="D104" s="39">
        <v>4000</v>
      </c>
      <c r="E104" s="115">
        <f>D104/$D$6</f>
        <v>1136.3636363636363</v>
      </c>
      <c r="F104" s="112">
        <v>45926</v>
      </c>
      <c r="G104" s="71" t="s">
        <v>126</v>
      </c>
      <c r="H104" s="71">
        <f>IF(OR(G104="Sin pagar",G104="Pagar"),_xlfn.SINGLE(NETWORKDAYS($J$25,F104,FestivosPerú!$A$2:$A$15)),0)</f>
        <v>0</v>
      </c>
      <c r="I104" s="71">
        <f>NETWORKDAYS($J$25,F104,FestivosPerú!$A$2:$A$15)</f>
        <v>20</v>
      </c>
      <c r="J104" s="117">
        <f>H104</f>
        <v>0</v>
      </c>
      <c r="K104" s="120"/>
      <c r="L104" s="94"/>
      <c r="M104" s="300"/>
      <c r="N104" s="118"/>
    </row>
    <row r="105" spans="1:16" ht="15.6">
      <c r="C105" s="129" t="s">
        <v>130</v>
      </c>
      <c r="D105" s="227">
        <f>SUBTOTAL(9,D27:D104)</f>
        <v>282819.07715084567</v>
      </c>
      <c r="E105" s="228">
        <f>SUBTOTAL(9,E27:E104)</f>
        <v>85200.192372399339</v>
      </c>
    </row>
    <row r="106" spans="1:16" s="238" customFormat="1" ht="15.6">
      <c r="B106" s="239"/>
      <c r="C106" s="240"/>
      <c r="D106" s="241"/>
      <c r="E106" s="242"/>
    </row>
    <row r="107" spans="1:16" ht="15.6">
      <c r="A107" s="71"/>
      <c r="C107" s="134" t="s">
        <v>3</v>
      </c>
      <c r="D107" s="170">
        <f>D22-D105</f>
        <v>194913.59207582095</v>
      </c>
      <c r="E107" s="135">
        <f>E22-E105</f>
        <v>50519.315930630939</v>
      </c>
      <c r="F107" s="136"/>
      <c r="G107" s="136"/>
      <c r="J107" s="364"/>
    </row>
    <row r="108" spans="1:16" s="141" customFormat="1" ht="15.6">
      <c r="A108" s="71"/>
      <c r="B108" s="138"/>
      <c r="C108" s="134" t="s">
        <v>131</v>
      </c>
      <c r="D108" s="139">
        <f>IF($D$22=0,0,D107/$D$22)</f>
        <v>0.4079972014292822</v>
      </c>
      <c r="E108" s="139">
        <f>IF($E$22=0,0,E107/$E$22)</f>
        <v>0.3722332667005615</v>
      </c>
      <c r="F108" s="140"/>
      <c r="G108" s="137"/>
      <c r="J108" s="142"/>
      <c r="K108" s="321"/>
      <c r="L108" s="321"/>
      <c r="N108" s="321"/>
      <c r="O108" s="321"/>
      <c r="P108" s="321"/>
    </row>
    <row r="110" spans="1:16" ht="15" thickBot="1"/>
    <row r="111" spans="1:16">
      <c r="C111" s="197">
        <v>45901</v>
      </c>
      <c r="D111" s="198">
        <v>45907</v>
      </c>
      <c r="E111" s="199">
        <f t="shared" ref="E111:E120" si="14">SUMIFS($D$26:$D$109,$F$26:$F$109,"&gt;="&amp;C111,$F$26:$F$109,"&lt;="&amp;D111,$G$26:$G$109,$D$135)</f>
        <v>0</v>
      </c>
      <c r="F111" s="324">
        <f>SUMIFS($D$26:$D$109,$F$26:$F$109,"&gt;="&amp;C111,$F$26:$F$109,"&lt;="&amp;D111,$G$26:$G$109,$D$135)</f>
        <v>0</v>
      </c>
      <c r="G111" s="321" t="s">
        <v>567</v>
      </c>
    </row>
    <row r="112" spans="1:16">
      <c r="C112" s="201">
        <v>45908</v>
      </c>
      <c r="D112" s="202">
        <v>45911</v>
      </c>
      <c r="E112" s="203">
        <f t="shared" si="14"/>
        <v>0</v>
      </c>
      <c r="F112" s="204">
        <f t="shared" ref="F112:F120" si="15">SUMIFS($E$26:$E$109,$F$26:$F$109,"&gt;="&amp;C112,$F$26:$F$109,"&lt;="&amp;D112,$G$26:$G$109,$D$135)</f>
        <v>0</v>
      </c>
    </row>
    <row r="113" spans="2:15">
      <c r="C113" s="201">
        <v>45912</v>
      </c>
      <c r="D113" s="202">
        <v>45912</v>
      </c>
      <c r="E113" s="203">
        <f t="shared" si="14"/>
        <v>0</v>
      </c>
      <c r="F113" s="204">
        <f t="shared" si="15"/>
        <v>0</v>
      </c>
      <c r="G113" s="321" t="s">
        <v>568</v>
      </c>
    </row>
    <row r="114" spans="2:15">
      <c r="C114" s="326">
        <v>45913</v>
      </c>
      <c r="D114" s="327">
        <v>45914</v>
      </c>
      <c r="E114" s="203">
        <f t="shared" si="14"/>
        <v>0</v>
      </c>
      <c r="F114" s="204">
        <f t="shared" si="15"/>
        <v>0</v>
      </c>
    </row>
    <row r="115" spans="2:15">
      <c r="C115" s="326">
        <v>45915</v>
      </c>
      <c r="D115" s="327">
        <v>45918</v>
      </c>
      <c r="E115" s="203">
        <f t="shared" si="14"/>
        <v>0</v>
      </c>
      <c r="F115" s="204">
        <f t="shared" si="15"/>
        <v>0</v>
      </c>
    </row>
    <row r="116" spans="2:15" s="353" customFormat="1">
      <c r="B116" s="352"/>
      <c r="C116" s="326">
        <v>45919</v>
      </c>
      <c r="D116" s="327">
        <v>45921</v>
      </c>
      <c r="E116" s="203">
        <f t="shared" si="14"/>
        <v>0</v>
      </c>
      <c r="F116" s="204">
        <f t="shared" si="15"/>
        <v>0</v>
      </c>
      <c r="G116" s="353" t="s">
        <v>613</v>
      </c>
      <c r="O116" s="353" t="str">
        <f>LOWER(G116)</f>
        <v>pagos seguro de vida ley - eps rimac y sctr global perú</v>
      </c>
    </row>
    <row r="117" spans="2:15">
      <c r="C117" s="326">
        <v>45922</v>
      </c>
      <c r="D117" s="327">
        <v>45925</v>
      </c>
      <c r="E117" s="203">
        <f t="shared" si="14"/>
        <v>0</v>
      </c>
      <c r="F117" s="204">
        <f t="shared" si="15"/>
        <v>0</v>
      </c>
      <c r="G117" s="353" t="s">
        <v>614</v>
      </c>
    </row>
    <row r="118" spans="2:15" s="348" customFormat="1">
      <c r="B118" s="347"/>
      <c r="C118" s="369">
        <v>45926</v>
      </c>
      <c r="D118" s="202">
        <v>45928</v>
      </c>
      <c r="E118" s="203">
        <f t="shared" si="14"/>
        <v>0</v>
      </c>
      <c r="F118" s="204">
        <f t="shared" si="15"/>
        <v>0</v>
      </c>
      <c r="G118" s="348" t="s">
        <v>569</v>
      </c>
    </row>
    <row r="119" spans="2:15">
      <c r="C119" s="201">
        <v>45929</v>
      </c>
      <c r="D119" s="202">
        <v>45930</v>
      </c>
      <c r="E119" s="203">
        <f t="shared" si="14"/>
        <v>0</v>
      </c>
      <c r="F119" s="204">
        <f t="shared" si="15"/>
        <v>0</v>
      </c>
      <c r="G119" s="321" t="s">
        <v>677</v>
      </c>
    </row>
    <row r="120" spans="2:15" s="367" customFormat="1" ht="15" thickBot="1">
      <c r="B120" s="366"/>
      <c r="C120" s="205">
        <v>45717</v>
      </c>
      <c r="D120" s="206">
        <v>45932</v>
      </c>
      <c r="E120" s="207">
        <f t="shared" si="14"/>
        <v>0</v>
      </c>
      <c r="F120" s="208">
        <f t="shared" si="15"/>
        <v>0</v>
      </c>
    </row>
    <row r="121" spans="2:15" ht="15.6">
      <c r="C121" s="524" t="s">
        <v>136</v>
      </c>
      <c r="D121" s="524"/>
      <c r="E121" s="323">
        <f>SUM(E111:E120)</f>
        <v>0</v>
      </c>
      <c r="F121" s="153">
        <f>SUM(F111:F120)</f>
        <v>0</v>
      </c>
      <c r="G121" s="77"/>
      <c r="K121" s="137"/>
      <c r="M121" s="154"/>
    </row>
    <row r="124" spans="2:15">
      <c r="C124" s="525"/>
      <c r="D124" s="526"/>
    </row>
    <row r="125" spans="2:15">
      <c r="C125" s="525"/>
      <c r="D125" s="526"/>
    </row>
    <row r="126" spans="2:15">
      <c r="C126" s="522" t="s">
        <v>208</v>
      </c>
      <c r="D126" s="522"/>
      <c r="E126" s="39">
        <f>'BCP SOLES BCP'!$G$503+('BCP USD BCP'!$G$299*$D$6)</f>
        <v>88313.468333267578</v>
      </c>
      <c r="F126" s="154">
        <f>('BCP SOLES BCP'!$G$503/$D$6)+'BCP USD BCP'!$G$299</f>
        <v>25089.053503769195</v>
      </c>
    </row>
    <row r="127" spans="2:15" s="340" customFormat="1">
      <c r="B127" s="339"/>
      <c r="C127" s="523" t="s">
        <v>61</v>
      </c>
      <c r="D127" s="523"/>
      <c r="E127" s="167">
        <f>SUM(E126:E126)</f>
        <v>88313.468333267578</v>
      </c>
      <c r="F127" s="168">
        <f>SUM(F126:F126)</f>
        <v>25089.053503769195</v>
      </c>
    </row>
    <row r="128" spans="2:15" s="340" customFormat="1">
      <c r="B128" s="339"/>
      <c r="C128" s="339"/>
      <c r="D128" s="339"/>
      <c r="E128" s="39"/>
      <c r="F128" s="154"/>
    </row>
    <row r="129" spans="2:6" s="348" customFormat="1">
      <c r="B129" s="347"/>
      <c r="C129" s="522" t="s">
        <v>646</v>
      </c>
      <c r="D129" s="522"/>
      <c r="E129" s="39">
        <f>SUM($E$111:$E$119)</f>
        <v>0</v>
      </c>
      <c r="F129" s="154">
        <f>SUM($F$111:$F$119)</f>
        <v>0</v>
      </c>
    </row>
    <row r="130" spans="2:6" s="348" customFormat="1">
      <c r="B130" s="347"/>
      <c r="C130" s="523" t="s">
        <v>138</v>
      </c>
      <c r="D130" s="523"/>
      <c r="E130" s="39">
        <f>E126-E129</f>
        <v>88313.468333267578</v>
      </c>
      <c r="F130" s="154">
        <f>F126-F129</f>
        <v>25089.053503769195</v>
      </c>
    </row>
    <row r="131" spans="2:6" s="348" customFormat="1">
      <c r="B131" s="347"/>
      <c r="C131" s="347"/>
      <c r="D131" s="347"/>
      <c r="E131" s="39"/>
      <c r="F131" s="154"/>
    </row>
    <row r="132" spans="2:6" s="348" customFormat="1">
      <c r="B132" s="347"/>
      <c r="C132" s="347"/>
      <c r="D132" s="347"/>
      <c r="E132" s="39"/>
      <c r="F132" s="154"/>
    </row>
    <row r="134" spans="2:6">
      <c r="D134" s="322" t="s">
        <v>126</v>
      </c>
      <c r="E134" s="39">
        <f>SUMIFS($D$26:$D$109,$F$26:$F$109,"&gt;="&amp;C111,$F$26:$F$109,"&lt;="&amp;D120,$G$26:$G$109,$D$134)</f>
        <v>282819.07715084567</v>
      </c>
      <c r="F134" s="154">
        <f>SUMIFS($E$26:$E$109,$F$26:$F$109,"&gt;="&amp;$C$111,$F$26:$F$109,"&lt;="&amp;D120,$G$26:$G$109,$D$134)</f>
        <v>85200.192372399339</v>
      </c>
    </row>
    <row r="135" spans="2:6">
      <c r="D135" s="231" t="s">
        <v>116</v>
      </c>
      <c r="E135" s="39">
        <f>SUMIFS($D$26:$D$109,$F$26:$F$109,"&gt;="&amp;C111,$F$26:$F$109,"&lt;="&amp;D120,$G$26:$G$109,$D$135)</f>
        <v>0</v>
      </c>
      <c r="F135" s="154">
        <f>SUMIFS($E$26:$E$109,$F$26:$F$109,"&gt;="&amp;$C$111,$F$26:$F$109,"&lt;="&amp;D120,$G$26:$G$109,$D$135)</f>
        <v>0</v>
      </c>
    </row>
    <row r="136" spans="2:6">
      <c r="D136" s="322" t="s">
        <v>249</v>
      </c>
      <c r="E136" s="167">
        <f>SUM(E134:E135)</f>
        <v>282819.07715084567</v>
      </c>
      <c r="F136" s="168">
        <f>SUM(F134:F135)</f>
        <v>85200.192372399339</v>
      </c>
    </row>
    <row r="137" spans="2:6">
      <c r="D137" s="322" t="s">
        <v>140</v>
      </c>
      <c r="E137" s="167">
        <f>D105-E136</f>
        <v>0</v>
      </c>
      <c r="F137" s="168">
        <f>E105-F136</f>
        <v>0</v>
      </c>
    </row>
    <row r="138" spans="2:6">
      <c r="E138" s="167"/>
      <c r="F138" s="168"/>
    </row>
    <row r="141" spans="2:6">
      <c r="D141" s="368" t="s">
        <v>198</v>
      </c>
      <c r="E141" s="39">
        <f>D107</f>
        <v>194913.59207582095</v>
      </c>
    </row>
    <row r="142" spans="2:6">
      <c r="D142" s="368" t="s">
        <v>199</v>
      </c>
      <c r="E142" s="39">
        <f>'BCP SOLES BCP'!G482+('BCP USD BCP'!$G$204*$D$6)</f>
        <v>194913.59503007488</v>
      </c>
    </row>
    <row r="143" spans="2:6">
      <c r="D143" s="368" t="s">
        <v>39</v>
      </c>
      <c r="E143" s="39">
        <f>E141-E142</f>
        <v>-2.9542539268732071E-3</v>
      </c>
    </row>
    <row r="144" spans="2:6">
      <c r="D144" s="368" t="s">
        <v>200</v>
      </c>
      <c r="E144" s="154">
        <f>E143/D6</f>
        <v>-8.3927668377079749E-4</v>
      </c>
    </row>
    <row r="161" spans="3:7">
      <c r="C161" s="525"/>
      <c r="D161" s="526"/>
      <c r="E161" s="526"/>
      <c r="F161" s="525"/>
      <c r="G161" s="525"/>
    </row>
    <row r="162" spans="3:7">
      <c r="C162" s="259"/>
      <c r="F162" s="260"/>
      <c r="G162" s="261"/>
    </row>
    <row r="163" spans="3:7">
      <c r="C163" s="262" t="s">
        <v>338</v>
      </c>
      <c r="D163" s="39">
        <f>D33</f>
        <v>39</v>
      </c>
      <c r="E163" s="115">
        <f>D163/$D$6</f>
        <v>11.079545454545455</v>
      </c>
      <c r="F163" s="263">
        <v>45852</v>
      </c>
      <c r="G163" s="261"/>
    </row>
    <row r="164" spans="3:7">
      <c r="C164" s="264" t="s">
        <v>359</v>
      </c>
      <c r="D164" s="39" t="e">
        <f>#REF!</f>
        <v>#REF!</v>
      </c>
      <c r="E164" s="115" t="e">
        <f>D164/$D$6</f>
        <v>#REF!</v>
      </c>
      <c r="F164" s="263">
        <v>45852</v>
      </c>
      <c r="G164" s="261"/>
    </row>
    <row r="165" spans="3:7">
      <c r="C165" s="264" t="s">
        <v>360</v>
      </c>
      <c r="D165" s="39" t="e">
        <f>#REF!</f>
        <v>#REF!</v>
      </c>
      <c r="E165" s="115" t="e">
        <f>D165/$D$6</f>
        <v>#REF!</v>
      </c>
      <c r="F165" s="263">
        <v>45852</v>
      </c>
      <c r="G165" s="261"/>
    </row>
    <row r="166" spans="3:7">
      <c r="C166" s="262" t="s">
        <v>374</v>
      </c>
      <c r="D166" s="39" t="e">
        <f>#REF!</f>
        <v>#REF!</v>
      </c>
      <c r="E166" s="115" t="e">
        <f>D166/$D$6</f>
        <v>#REF!</v>
      </c>
      <c r="F166" s="263">
        <v>45856</v>
      </c>
      <c r="G166" s="261"/>
    </row>
    <row r="167" spans="3:7">
      <c r="C167" s="265" t="s">
        <v>61</v>
      </c>
      <c r="D167" s="167" t="e">
        <f>SUM(D163:D166)</f>
        <v>#REF!</v>
      </c>
      <c r="E167" s="258" t="e">
        <f>SUM(E163:E166)</f>
        <v>#REF!</v>
      </c>
      <c r="F167" s="260"/>
      <c r="G167" s="261"/>
    </row>
    <row r="168" spans="3:7">
      <c r="C168" s="259"/>
      <c r="F168" s="260"/>
      <c r="G168" s="261"/>
    </row>
    <row r="169" spans="3:7">
      <c r="C169" s="262" t="s">
        <v>378</v>
      </c>
      <c r="D169" s="39">
        <f>'BCP SOLES BCP'!G261</f>
        <v>3857.5109956666811</v>
      </c>
      <c r="E169" s="115">
        <f>D169/'Diferencia Cambio S&amp;P'!S23</f>
        <v>1096.5068208262312</v>
      </c>
      <c r="F169" s="260"/>
      <c r="G169" s="261"/>
    </row>
    <row r="170" spans="3:7">
      <c r="C170" s="264" t="s">
        <v>375</v>
      </c>
      <c r="D170" s="39" t="e">
        <f>D167-D169</f>
        <v>#REF!</v>
      </c>
      <c r="E170" s="115" t="e">
        <f>D170/'Diferencia Cambio S&amp;P'!S23</f>
        <v>#REF!</v>
      </c>
      <c r="F170" s="260"/>
      <c r="G170" s="261"/>
    </row>
    <row r="171" spans="3:7">
      <c r="C171" s="264" t="s">
        <v>376</v>
      </c>
      <c r="D171" s="39">
        <f>E171*'Diferencia Cambio S&amp;P'!S23</f>
        <v>13720.199999999999</v>
      </c>
      <c r="E171" s="115">
        <v>3900</v>
      </c>
      <c r="F171" s="270" t="e">
        <f>E171-E170</f>
        <v>#REF!</v>
      </c>
      <c r="G171" s="261"/>
    </row>
    <row r="172" spans="3:7">
      <c r="C172" s="265" t="s">
        <v>61</v>
      </c>
      <c r="D172" s="167">
        <f>D171+D169</f>
        <v>17577.710995666679</v>
      </c>
      <c r="E172" s="258">
        <f>E171+E169</f>
        <v>4996.506820826231</v>
      </c>
      <c r="F172" s="260"/>
      <c r="G172" s="261"/>
    </row>
    <row r="173" spans="3:7" ht="15" thickBot="1">
      <c r="C173" s="266"/>
      <c r="D173" s="267"/>
      <c r="E173" s="267"/>
      <c r="F173" s="268"/>
      <c r="G173" s="269"/>
    </row>
  </sheetData>
  <protectedRanges>
    <protectedRange sqref="F22:G22 D109:E109 D14:D21 D10:E12" name="Presupuestos"/>
    <protectedRange sqref="D8:E8 D26:E26" name="Presupuestos_1"/>
    <protectedRange sqref="D35:E36" name="Presupuestos_13_1"/>
    <protectedRange sqref="D58 E164:E165 E56:E58 E103:E104 D59:E59 E90:E101 E49:E54" name="Presupuestos_2_1_1_1"/>
    <protectedRange sqref="K57 D57 E166 K90:K94 E61:E63 K49:K54" name="Presupuestos_6_1_1_1"/>
    <protectedRange sqref="D47:E47 D38:E40 D45:E45" name="Presupuestos_7_1"/>
    <protectedRange sqref="D166 D61:D63" name="Presupuestos_5_3"/>
    <protectedRange sqref="D164:D165 D90:D94 D49:D54" name="Presupuestos_6_1_1_1_1"/>
    <protectedRange sqref="D41:E44" name="Presupuestos_7_1_1"/>
    <protectedRange sqref="E65" name="Presupuestos_7_1_2"/>
    <protectedRange sqref="D65" name="Presupuestos_5_3_1"/>
  </protectedRanges>
  <autoFilter ref="A26:S108" xr:uid="{79201A21-A0A4-4809-913C-949DCFC17FFC}"/>
  <mergeCells count="12">
    <mergeCell ref="D7:E7"/>
    <mergeCell ref="B25:C25"/>
    <mergeCell ref="D25:E25"/>
    <mergeCell ref="F25:G25"/>
    <mergeCell ref="C121:D121"/>
    <mergeCell ref="C124:D124"/>
    <mergeCell ref="C125:D125"/>
    <mergeCell ref="C126:D126"/>
    <mergeCell ref="C161:G161"/>
    <mergeCell ref="C127:D127"/>
    <mergeCell ref="C129:D129"/>
    <mergeCell ref="C130:D130"/>
  </mergeCells>
  <conditionalFormatting sqref="J34 J28:J30 J37 J66 J63 J56:J59 J49:J54">
    <cfRule type="cellIs" dxfId="280" priority="86" operator="between">
      <formula>1</formula>
      <formula>5</formula>
    </cfRule>
    <cfRule type="cellIs" dxfId="279" priority="87" operator="between">
      <formula>16</formula>
      <formula>60</formula>
    </cfRule>
  </conditionalFormatting>
  <conditionalFormatting sqref="J34 J28:J30 J37 J66 J63 J56:J59 J49:J54">
    <cfRule type="cellIs" dxfId="278" priority="85" operator="lessThan">
      <formula>0</formula>
    </cfRule>
  </conditionalFormatting>
  <conditionalFormatting sqref="J47">
    <cfRule type="cellIs" dxfId="277" priority="83" operator="between">
      <formula>1</formula>
      <formula>5</formula>
    </cfRule>
    <cfRule type="cellIs" dxfId="276" priority="84" operator="between">
      <formula>16</formula>
      <formula>60</formula>
    </cfRule>
  </conditionalFormatting>
  <conditionalFormatting sqref="J47">
    <cfRule type="cellIs" dxfId="275" priority="82" operator="lessThan">
      <formula>0</formula>
    </cfRule>
  </conditionalFormatting>
  <conditionalFormatting sqref="J32:J33 J67:J88">
    <cfRule type="cellIs" dxfId="274" priority="78" operator="lessThan">
      <formula>0</formula>
    </cfRule>
    <cfRule type="cellIs" dxfId="273" priority="79" operator="between">
      <formula>6</formula>
      <formula>15</formula>
    </cfRule>
    <cfRule type="cellIs" dxfId="272" priority="80" operator="between">
      <formula>1</formula>
      <formula>5</formula>
    </cfRule>
    <cfRule type="cellIs" dxfId="244" priority="81" operator="between">
      <formula>16</formula>
      <formula>60</formula>
    </cfRule>
  </conditionalFormatting>
  <conditionalFormatting sqref="J35:J36">
    <cfRule type="cellIs" dxfId="271" priority="70" operator="lessThan">
      <formula>0</formula>
    </cfRule>
    <cfRule type="cellIs" dxfId="270" priority="71" operator="between">
      <formula>6</formula>
      <formula>15</formula>
    </cfRule>
    <cfRule type="cellIs" dxfId="269" priority="72" operator="between">
      <formula>1</formula>
      <formula>5</formula>
    </cfRule>
    <cfRule type="cellIs" dxfId="243" priority="73" operator="between">
      <formula>16</formula>
      <formula>60</formula>
    </cfRule>
  </conditionalFormatting>
  <conditionalFormatting sqref="J103:J104 J90:J101">
    <cfRule type="cellIs" dxfId="268" priority="64" operator="between">
      <formula>1</formula>
      <formula>5</formula>
    </cfRule>
    <cfRule type="cellIs" dxfId="267" priority="65" operator="between">
      <formula>16</formula>
      <formula>60</formula>
    </cfRule>
  </conditionalFormatting>
  <conditionalFormatting sqref="J103:J104 J90:J101">
    <cfRule type="cellIs" dxfId="266" priority="63" operator="lessThan">
      <formula>0</formula>
    </cfRule>
  </conditionalFormatting>
  <conditionalFormatting sqref="J39">
    <cfRule type="cellIs" dxfId="265" priority="49" operator="between">
      <formula>1</formula>
      <formula>5</formula>
    </cfRule>
    <cfRule type="cellIs" dxfId="264" priority="50" operator="between">
      <formula>16</formula>
      <formula>60</formula>
    </cfRule>
  </conditionalFormatting>
  <conditionalFormatting sqref="J39">
    <cfRule type="cellIs" dxfId="263" priority="48" operator="lessThan">
      <formula>0</formula>
    </cfRule>
  </conditionalFormatting>
  <conditionalFormatting sqref="J38">
    <cfRule type="cellIs" dxfId="262" priority="46" operator="between">
      <formula>1</formula>
      <formula>5</formula>
    </cfRule>
    <cfRule type="cellIs" dxfId="261" priority="47" operator="between">
      <formula>16</formula>
      <formula>60</formula>
    </cfRule>
  </conditionalFormatting>
  <conditionalFormatting sqref="J38">
    <cfRule type="cellIs" dxfId="260" priority="45" operator="lessThan">
      <formula>0</formula>
    </cfRule>
  </conditionalFormatting>
  <conditionalFormatting sqref="J40">
    <cfRule type="cellIs" dxfId="259" priority="43" operator="between">
      <formula>1</formula>
      <formula>5</formula>
    </cfRule>
    <cfRule type="cellIs" dxfId="258" priority="44" operator="between">
      <formula>16</formula>
      <formula>60</formula>
    </cfRule>
  </conditionalFormatting>
  <conditionalFormatting sqref="J40">
    <cfRule type="cellIs" dxfId="257" priority="42" operator="lessThan">
      <formula>0</formula>
    </cfRule>
  </conditionalFormatting>
  <conditionalFormatting sqref="J41:J44">
    <cfRule type="cellIs" dxfId="256" priority="10" operator="lessThan">
      <formula>0</formula>
    </cfRule>
    <cfRule type="cellIs" dxfId="255" priority="11" operator="between">
      <formula>6</formula>
      <formula>15</formula>
    </cfRule>
    <cfRule type="cellIs" dxfId="254" priority="12" operator="between">
      <formula>1</formula>
      <formula>5</formula>
    </cfRule>
    <cfRule type="cellIs" dxfId="242" priority="13" operator="between">
      <formula>16</formula>
      <formula>60</formula>
    </cfRule>
  </conditionalFormatting>
  <conditionalFormatting sqref="J65">
    <cfRule type="cellIs" dxfId="253" priority="8" operator="between">
      <formula>1</formula>
      <formula>5</formula>
    </cfRule>
    <cfRule type="cellIs" dxfId="252" priority="9" operator="between">
      <formula>16</formula>
      <formula>60</formula>
    </cfRule>
  </conditionalFormatting>
  <conditionalFormatting sqref="J65">
    <cfRule type="cellIs" dxfId="251" priority="7" operator="lessThan">
      <formula>0</formula>
    </cfRule>
  </conditionalFormatting>
  <conditionalFormatting sqref="J61:J62">
    <cfRule type="cellIs" dxfId="250" priority="5" operator="between">
      <formula>1</formula>
      <formula>5</formula>
    </cfRule>
    <cfRule type="cellIs" dxfId="249" priority="6" operator="between">
      <formula>16</formula>
      <formula>60</formula>
    </cfRule>
  </conditionalFormatting>
  <conditionalFormatting sqref="J61:J62">
    <cfRule type="cellIs" dxfId="248" priority="4" operator="lessThan">
      <formula>0</formula>
    </cfRule>
  </conditionalFormatting>
  <conditionalFormatting sqref="J45">
    <cfRule type="cellIs" dxfId="247" priority="2" operator="between">
      <formula>1</formula>
      <formula>5</formula>
    </cfRule>
    <cfRule type="cellIs" dxfId="246" priority="3" operator="between">
      <formula>16</formula>
      <formula>60</formula>
    </cfRule>
  </conditionalFormatting>
  <conditionalFormatting sqref="J45">
    <cfRule type="cellIs" dxfId="245" priority="1" operator="lessThan">
      <formula>0</formula>
    </cfRule>
  </conditionalFormatting>
  <dataValidations count="3">
    <dataValidation type="list" allowBlank="1" showInputMessage="1" showErrorMessage="1" sqref="D25 D7" xr:uid="{BB135808-8BC9-4A21-8910-B476D5B5A82F}">
      <formula1>"ENERO,FEBRERO,MARZO,ABRIL,MAYO,JUNIO,JULIO,AGOSTO,SEPTIEMBRE,OCTUBRE,NOVIEMBRE,DICIEMBRE"</formula1>
    </dataValidation>
    <dataValidation type="list" allowBlank="1" showInputMessage="1" showErrorMessage="1" sqref="D133:D135 G47 G67:G88 G65 G27:G30 G32:G33 G56:G59 G103:G104 G90:G101 G61:G63 G49:G54 G35:G36 G38:G45" xr:uid="{54340C2C-739A-4D38-9E62-B6FAC20F8962}">
      <formula1>"Cancelado,Pagar,Sin Pagar"</formula1>
    </dataValidation>
    <dataValidation type="list" allowBlank="1" showInputMessage="1" showErrorMessage="1" sqref="B14:B21" xr:uid="{DB1E0C88-3861-4F2F-9941-AA5699D9242A}">
      <formula1>"Sin Pagar,Pagado"</formula1>
    </dataValidation>
  </dataValidations>
  <pageMargins left="0.7" right="0.7" top="0.75" bottom="0.75" header="0.3" footer="0.3"/>
  <pageSetup orientation="portrait" r:id="rId1"/>
  <ignoredErrors>
    <ignoredError sqref="H63:I65 H60:I60 H54:J54 H55:I58 J55:J60 H46:J52 J63:J104 H28:J37 O17 H39:J44 H38:I38" unlockedFormula="1"/>
    <ignoredError sqref="D63 E11" formula="1"/>
    <ignoredError sqref="M15:N15" formulaRange="1" unlocked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08B2-17DA-48C4-9B64-32F0DAF41F72}">
  <dimension ref="A1:S158"/>
  <sheetViews>
    <sheetView showGridLines="0" topLeftCell="A2" zoomScaleNormal="100" workbookViewId="0">
      <selection activeCell="F27" sqref="F27"/>
    </sheetView>
  </sheetViews>
  <sheetFormatPr baseColWidth="10" defaultColWidth="9.109375" defaultRowHeight="14.4" outlineLevelRow="1"/>
  <cols>
    <col min="1" max="1" width="2.109375" style="367" customWidth="1"/>
    <col min="2" max="2" width="16.44140625" style="366" customWidth="1"/>
    <col min="3" max="3" width="70.88671875" style="367" customWidth="1"/>
    <col min="4" max="4" width="24.44140625" style="368" customWidth="1"/>
    <col min="5" max="5" width="19.33203125" style="368" bestFit="1" customWidth="1"/>
    <col min="6" max="6" width="20.109375" style="367" bestFit="1" customWidth="1"/>
    <col min="7" max="7" width="16.88671875" style="367" customWidth="1"/>
    <col min="8" max="8" width="11.88671875" style="367" hidden="1" customWidth="1"/>
    <col min="9" max="9" width="6" style="367" hidden="1" customWidth="1"/>
    <col min="10" max="10" width="16.5546875" style="367" customWidth="1"/>
    <col min="11" max="11" width="2.109375" style="367" customWidth="1"/>
    <col min="12" max="12" width="2.33203125" style="367" customWidth="1"/>
    <col min="13" max="14" width="15.5546875" style="367" bestFit="1" customWidth="1"/>
    <col min="15" max="15" width="13.88671875" style="367" bestFit="1" customWidth="1"/>
    <col min="16" max="16" width="19.33203125" style="367" bestFit="1" customWidth="1"/>
    <col min="17" max="17" width="15.33203125" style="367" bestFit="1" customWidth="1"/>
    <col min="18" max="18" width="14" style="367" bestFit="1" customWidth="1"/>
    <col min="19" max="19" width="13" style="367" bestFit="1" customWidth="1"/>
    <col min="20" max="16384" width="9.109375" style="367"/>
  </cols>
  <sheetData>
    <row r="1" spans="2:14" hidden="1">
      <c r="D1" s="368">
        <v>42400</v>
      </c>
    </row>
    <row r="2" spans="2:14">
      <c r="D2" s="70"/>
      <c r="E2" s="70"/>
      <c r="I2" s="71"/>
    </row>
    <row r="3" spans="2:14">
      <c r="E3" s="72"/>
      <c r="I3" s="71"/>
    </row>
    <row r="4" spans="2:14" ht="15.6">
      <c r="B4" s="73"/>
      <c r="C4" s="73"/>
      <c r="D4" s="74" t="s">
        <v>109</v>
      </c>
      <c r="E4" s="75">
        <v>45931</v>
      </c>
      <c r="I4" s="71"/>
    </row>
    <row r="5" spans="2:14">
      <c r="D5" s="70"/>
      <c r="E5" s="70"/>
      <c r="I5" s="71"/>
    </row>
    <row r="6" spans="2:14">
      <c r="C6" s="76" t="s">
        <v>110</v>
      </c>
      <c r="D6" s="39">
        <v>3.31</v>
      </c>
      <c r="E6" s="70"/>
      <c r="I6" s="71"/>
      <c r="J6" s="85"/>
    </row>
    <row r="7" spans="2:14" ht="15.6">
      <c r="C7" s="77"/>
      <c r="D7" s="521" t="s">
        <v>692</v>
      </c>
      <c r="E7" s="521"/>
      <c r="I7" s="71"/>
      <c r="J7" s="85"/>
    </row>
    <row r="8" spans="2:14">
      <c r="D8" s="78" t="s">
        <v>142</v>
      </c>
      <c r="E8" s="78" t="s">
        <v>112</v>
      </c>
      <c r="J8" s="181"/>
    </row>
    <row r="9" spans="2:14" s="79" customFormat="1" ht="15.6">
      <c r="C9" s="80" t="s">
        <v>113</v>
      </c>
      <c r="D9" s="159">
        <f>SUBTOTAL(9,D10:D11)</f>
        <v>183998.26114848713</v>
      </c>
      <c r="E9" s="81">
        <f>SUBTOTAL(9,E10:E11)</f>
        <v>55588.598534286139</v>
      </c>
      <c r="F9" s="82"/>
      <c r="I9" s="71"/>
    </row>
    <row r="10" spans="2:14" s="71" customFormat="1" outlineLevel="1">
      <c r="B10" s="83"/>
      <c r="C10" s="84" t="s">
        <v>141</v>
      </c>
      <c r="D10" s="39">
        <f>'BCP SOLES BCP'!$G$482</f>
        <v>11951.808062508475</v>
      </c>
      <c r="E10" s="85">
        <f>D10/$D$6</f>
        <v>3610.8181457729529</v>
      </c>
      <c r="F10" s="86"/>
    </row>
    <row r="11" spans="2:14" s="71" customFormat="1" outlineLevel="1">
      <c r="B11" s="83"/>
      <c r="C11" s="84" t="s">
        <v>114</v>
      </c>
      <c r="D11" s="39">
        <f>E11*$D$6</f>
        <v>172046.45308597866</v>
      </c>
      <c r="E11" s="85">
        <f>'BCP USD BCP'!$G$204</f>
        <v>51977.780388513187</v>
      </c>
      <c r="F11" s="86"/>
    </row>
    <row r="12" spans="2:14" s="71" customFormat="1" ht="15.6">
      <c r="B12" s="83"/>
      <c r="C12" s="87" t="s">
        <v>115</v>
      </c>
      <c r="D12" s="159">
        <f>SUBTOTAL(9,D13:D17)</f>
        <v>499985.62498999992</v>
      </c>
      <c r="E12" s="81">
        <f>SUBTOTAL(9,E13:E17)</f>
        <v>150698.5</v>
      </c>
      <c r="F12" s="303"/>
      <c r="G12" s="303"/>
      <c r="J12" s="183"/>
    </row>
    <row r="13" spans="2:14" s="71" customFormat="1" outlineLevel="1">
      <c r="B13" s="176" t="s">
        <v>169</v>
      </c>
      <c r="C13" s="370" t="s">
        <v>716</v>
      </c>
      <c r="D13" s="40">
        <f>$E$13*'Diferencia Cambio S&amp;P'!$K$34</f>
        <v>22424.039400000001</v>
      </c>
      <c r="E13" s="185">
        <f>'BCP USD BCP'!E212</f>
        <v>6758.3</v>
      </c>
      <c r="F13" s="85">
        <v>6776.3</v>
      </c>
      <c r="G13" s="387">
        <f>E13-F13</f>
        <v>-18</v>
      </c>
      <c r="J13" s="71" t="s">
        <v>340</v>
      </c>
    </row>
    <row r="14" spans="2:14" s="71" customFormat="1" outlineLevel="1">
      <c r="B14" s="176" t="s">
        <v>169</v>
      </c>
      <c r="C14" s="370" t="s">
        <v>715</v>
      </c>
      <c r="D14" s="40">
        <f>$E$14*'Diferencia Cambio S&amp;P'!$K$35</f>
        <v>98572.803</v>
      </c>
      <c r="E14" s="185">
        <f>'BCP USD BCP'!E213</f>
        <v>29708.5</v>
      </c>
      <c r="F14" s="85">
        <v>29848.5</v>
      </c>
      <c r="G14" s="387">
        <f>E14-F14</f>
        <v>-140</v>
      </c>
      <c r="H14" s="101"/>
      <c r="I14" s="101"/>
      <c r="J14" s="71" t="s">
        <v>340</v>
      </c>
    </row>
    <row r="15" spans="2:14" s="71" customFormat="1" outlineLevel="1">
      <c r="B15" s="176" t="s">
        <v>169</v>
      </c>
      <c r="C15" s="177" t="s">
        <v>728</v>
      </c>
      <c r="D15" s="40">
        <f>$E$15*'Diferencia Cambio Global'!$K$11</f>
        <v>314138.23873999994</v>
      </c>
      <c r="E15" s="185">
        <f>'BCP USD BCP'!E214+'BCP USD BCP'!$E$218+'BCP USD BCP'!$E$220</f>
        <v>94648.459999999992</v>
      </c>
      <c r="F15" s="85">
        <v>94678.47</v>
      </c>
      <c r="G15" s="387">
        <f>E15-F15</f>
        <v>-30.010000000009313</v>
      </c>
      <c r="J15" s="71" t="s">
        <v>340</v>
      </c>
      <c r="M15" s="305"/>
      <c r="N15" s="304"/>
    </row>
    <row r="16" spans="2:14" s="71" customFormat="1" outlineLevel="1">
      <c r="B16" s="176" t="s">
        <v>169</v>
      </c>
      <c r="C16" s="177" t="s">
        <v>729</v>
      </c>
      <c r="D16" s="40">
        <f>$E$16*'Diferencia Cambio Global'!$K$12</f>
        <v>46563.685470000004</v>
      </c>
      <c r="E16" s="185">
        <f>'BCP USD BCP'!E253</f>
        <v>14071.83</v>
      </c>
      <c r="F16" s="271"/>
      <c r="G16" s="89"/>
      <c r="J16" s="304"/>
      <c r="M16" s="305"/>
      <c r="N16" s="304"/>
    </row>
    <row r="17" spans="1:19" s="71" customFormat="1" outlineLevel="1">
      <c r="B17" s="176" t="s">
        <v>169</v>
      </c>
      <c r="C17" s="177" t="s">
        <v>734</v>
      </c>
      <c r="D17" s="40">
        <f>$E$17*'Diferencia Cambio S&amp;P'!$K$36</f>
        <v>18286.858380000001</v>
      </c>
      <c r="E17" s="185">
        <f>'BCP USD BCP'!$E$216</f>
        <v>5511.41</v>
      </c>
      <c r="F17" s="271"/>
    </row>
    <row r="18" spans="1:19" s="71" customFormat="1" ht="15.6">
      <c r="B18" s="83"/>
      <c r="C18" s="90" t="s">
        <v>117</v>
      </c>
      <c r="D18" s="226">
        <f>SUBTOTAL(9,D9:D17)</f>
        <v>683983.88613848714</v>
      </c>
      <c r="E18" s="92">
        <f>SUBTOTAL(9,E9:E17)</f>
        <v>206287.09853428614</v>
      </c>
      <c r="F18" s="93"/>
      <c r="G18" s="85">
        <f>E16+E17+14240.67</f>
        <v>33823.909999999996</v>
      </c>
      <c r="J18" s="253">
        <f>G18/E18</f>
        <v>0.16396522245126377</v>
      </c>
      <c r="K18" s="94"/>
      <c r="O18" s="95"/>
      <c r="P18" s="96"/>
      <c r="Q18" s="97"/>
    </row>
    <row r="19" spans="1:19" s="71" customFormat="1" ht="15.6">
      <c r="B19" s="83"/>
      <c r="C19" s="98"/>
      <c r="D19" s="99"/>
      <c r="E19" s="99"/>
      <c r="G19" s="100"/>
      <c r="O19" s="96"/>
      <c r="P19" s="96"/>
    </row>
    <row r="20" spans="1:19" s="71" customFormat="1" ht="15.6">
      <c r="B20" s="83"/>
      <c r="N20" s="101"/>
      <c r="O20" s="102"/>
      <c r="P20" s="103"/>
    </row>
    <row r="21" spans="1:19" s="71" customFormat="1" ht="15.6">
      <c r="B21" s="521" t="s">
        <v>118</v>
      </c>
      <c r="C21" s="521"/>
      <c r="D21" s="521" t="s">
        <v>692</v>
      </c>
      <c r="E21" s="521"/>
      <c r="F21" s="521" t="s">
        <v>109</v>
      </c>
      <c r="G21" s="521"/>
      <c r="H21" s="365"/>
      <c r="I21" s="365"/>
      <c r="J21" s="175">
        <v>45931</v>
      </c>
      <c r="K21" s="103"/>
      <c r="L21" s="103"/>
      <c r="N21" s="101"/>
      <c r="R21" s="89"/>
      <c r="S21" s="89"/>
    </row>
    <row r="22" spans="1:19" s="71" customFormat="1" ht="16.2" thickBot="1">
      <c r="B22" s="104" t="s">
        <v>119</v>
      </c>
      <c r="C22" s="105" t="s">
        <v>120</v>
      </c>
      <c r="D22" s="78" t="s">
        <v>150</v>
      </c>
      <c r="E22" s="78" t="s">
        <v>112</v>
      </c>
      <c r="F22" s="106" t="s">
        <v>121</v>
      </c>
      <c r="G22" s="101" t="s">
        <v>122</v>
      </c>
      <c r="H22" s="101"/>
      <c r="I22" s="101"/>
      <c r="J22" s="107" t="s">
        <v>123</v>
      </c>
      <c r="N22" s="108"/>
      <c r="R22" s="89"/>
      <c r="S22" s="109"/>
    </row>
    <row r="23" spans="1:19" s="71" customFormat="1" ht="16.2" thickBot="1">
      <c r="B23" s="83"/>
      <c r="C23" s="110" t="s">
        <v>124</v>
      </c>
      <c r="D23" s="160">
        <f>SUBTOTAL(9,D24:D26)</f>
        <v>10441.370000000001</v>
      </c>
      <c r="E23" s="111">
        <f>SUBTOTAL(9,E24:E26)</f>
        <v>3154.4924471299091</v>
      </c>
      <c r="F23" s="112"/>
      <c r="J23" s="113"/>
    </row>
    <row r="24" spans="1:19" s="71" customFormat="1" ht="45" customHeight="1" outlineLevel="1">
      <c r="A24" s="86"/>
      <c r="B24" s="330">
        <v>2221486801</v>
      </c>
      <c r="C24" s="172" t="s">
        <v>311</v>
      </c>
      <c r="D24" s="39">
        <v>4941.25</v>
      </c>
      <c r="E24" s="115">
        <f>D24/$D$6</f>
        <v>1492.8247734138972</v>
      </c>
      <c r="F24" s="116">
        <v>45936</v>
      </c>
      <c r="G24" s="71" t="s">
        <v>126</v>
      </c>
      <c r="H24" s="71">
        <f>IF(OR(G24="Sin pagar",G24="Pagar"),(_xlfn.SINGLE(NETWORKDAYS($J$21,F24,FestivosPerú!$A$2:$A$15))),0)</f>
        <v>0</v>
      </c>
      <c r="I24" s="71">
        <f>NETWORKDAYS($J$21,F24,FestivosPerú!$A$2:$A$15)</f>
        <v>4</v>
      </c>
      <c r="J24" s="117">
        <f t="shared" ref="J24:J33" si="0">H24</f>
        <v>0</v>
      </c>
      <c r="K24" s="89"/>
      <c r="L24" s="89"/>
      <c r="M24" s="530" t="s">
        <v>699</v>
      </c>
      <c r="N24" s="118"/>
      <c r="Q24" s="39">
        <f>3271.3+623.91</f>
        <v>3895.21</v>
      </c>
      <c r="R24" s="71">
        <f>Q24/$Q$27</f>
        <v>0.41386099270283944</v>
      </c>
      <c r="S24" s="374">
        <f>$Q$28*R24</f>
        <v>4366.233473014956</v>
      </c>
    </row>
    <row r="25" spans="1:19" s="71" customFormat="1" ht="28.8" outlineLevel="1">
      <c r="A25" s="86"/>
      <c r="B25" s="331">
        <v>2517215180</v>
      </c>
      <c r="C25" s="172" t="s">
        <v>445</v>
      </c>
      <c r="D25" s="39">
        <v>3452.52</v>
      </c>
      <c r="E25" s="115">
        <f>D25/$D$6</f>
        <v>1043.0574018126888</v>
      </c>
      <c r="F25" s="116">
        <v>45936</v>
      </c>
      <c r="G25" s="71" t="s">
        <v>126</v>
      </c>
      <c r="H25" s="71">
        <f>IF(OR(G25="Sin pagar",G25="Pagar"),(_xlfn.SINGLE(NETWORKDAYS($J$21,F25,FestivosPerú!$A$2:$A$15))),0)</f>
        <v>0</v>
      </c>
      <c r="I25" s="71">
        <f>NETWORKDAYS($J$21,F25,FestivosPerú!$A$2:$A$15)</f>
        <v>4</v>
      </c>
      <c r="J25" s="117">
        <f t="shared" si="0"/>
        <v>0</v>
      </c>
      <c r="K25" s="89"/>
      <c r="L25" s="89"/>
      <c r="M25" s="530"/>
      <c r="N25" s="118"/>
      <c r="Q25" s="39">
        <v>3452.52</v>
      </c>
      <c r="R25" s="71">
        <f>Q25/$Q$27</f>
        <v>0.36682575638448434</v>
      </c>
      <c r="S25" s="374">
        <f>$Q$28*R25</f>
        <v>3870.0117298563096</v>
      </c>
    </row>
    <row r="26" spans="1:19" s="71" customFormat="1" ht="29.4" outlineLevel="1" thickBot="1">
      <c r="A26" s="86"/>
      <c r="B26" s="330">
        <v>2609686375</v>
      </c>
      <c r="C26" s="172" t="s">
        <v>444</v>
      </c>
      <c r="D26" s="39">
        <v>2047.6000000000001</v>
      </c>
      <c r="E26" s="115">
        <f>D26/$D$6</f>
        <v>618.61027190332334</v>
      </c>
      <c r="F26" s="116">
        <v>45936</v>
      </c>
      <c r="G26" s="71" t="s">
        <v>126</v>
      </c>
      <c r="H26" s="71">
        <f>IF(OR(G26="Sin pagar",G26="Pagar"),(_xlfn.SINGLE(NETWORKDAYS($J$21,F26,FestivosPerú!$A$2:$A$15))),0)</f>
        <v>0</v>
      </c>
      <c r="I26" s="71">
        <f>NETWORKDAYS($J$21,F26,FestivosPerú!$A$2:$A$15)</f>
        <v>4</v>
      </c>
      <c r="J26" s="117">
        <f t="shared" si="0"/>
        <v>0</v>
      </c>
      <c r="K26" s="89"/>
      <c r="L26" s="89"/>
      <c r="M26" s="530"/>
      <c r="N26" s="118"/>
      <c r="Q26" s="39">
        <v>2064.15</v>
      </c>
      <c r="R26" s="71">
        <f>Q26/$Q$27</f>
        <v>0.21931325091267634</v>
      </c>
      <c r="S26" s="374">
        <f>$Q$28*R26</f>
        <v>2313.7547971287354</v>
      </c>
    </row>
    <row r="27" spans="1:19" s="71" customFormat="1" ht="16.2" thickBot="1">
      <c r="B27" s="83"/>
      <c r="C27" s="110" t="s">
        <v>125</v>
      </c>
      <c r="D27" s="160">
        <f>SUBTOTAL(9,D28:D29)</f>
        <v>17883</v>
      </c>
      <c r="E27" s="111">
        <f>SUBTOTAL(9,E28:E29)</f>
        <v>5402.7190332326281</v>
      </c>
      <c r="H27" s="71">
        <f>IF(OR(G27="Sin pagar",G27="Pagar"),(_xlfn.SINGLE(NETWORKDAYS($J$21,F27,FestivosPerú!$A$2:$A$15))),0)</f>
        <v>0</v>
      </c>
      <c r="J27" s="113">
        <f t="shared" si="0"/>
        <v>0</v>
      </c>
      <c r="Q27" s="374">
        <f>SUM(Q24:Q26)</f>
        <v>9411.8799999999992</v>
      </c>
      <c r="R27" s="71">
        <f>SUM(R24:R26)</f>
        <v>1</v>
      </c>
      <c r="S27" s="374">
        <f>SUM(S24:S26)</f>
        <v>10550</v>
      </c>
    </row>
    <row r="28" spans="1:19" s="71" customFormat="1" outlineLevel="1">
      <c r="B28" s="173"/>
      <c r="C28" s="84" t="s">
        <v>301</v>
      </c>
      <c r="D28" s="39">
        <v>17771</v>
      </c>
      <c r="E28" s="115">
        <f>D28/$D$6</f>
        <v>5368.8821752265858</v>
      </c>
      <c r="F28" s="116">
        <v>45945</v>
      </c>
      <c r="G28" s="71" t="s">
        <v>126</v>
      </c>
      <c r="H28" s="71">
        <f>IF(OR(G28="Sin pagar",G28="Pagar"),(_xlfn.SINGLE(NETWORKDAYS($J$21,F28,FestivosPerú!$A$2:$A$15))),0)</f>
        <v>0</v>
      </c>
      <c r="I28" s="71">
        <f>NETWORKDAYS($J$21,F28,FestivosPerú!$A$2:$A$15)</f>
        <v>10</v>
      </c>
      <c r="J28" s="117">
        <f t="shared" si="0"/>
        <v>0</v>
      </c>
      <c r="K28" s="120"/>
      <c r="L28" s="94"/>
      <c r="M28" s="377" t="s">
        <v>701</v>
      </c>
      <c r="N28" s="118"/>
      <c r="Q28" s="374">
        <v>10550</v>
      </c>
    </row>
    <row r="29" spans="1:19" s="71" customFormat="1" ht="15" outlineLevel="1" thickBot="1">
      <c r="B29" s="119"/>
      <c r="C29" s="186" t="s">
        <v>714</v>
      </c>
      <c r="D29" s="209">
        <v>112</v>
      </c>
      <c r="E29" s="232">
        <f>D29/$D$6</f>
        <v>33.836858006042299</v>
      </c>
      <c r="F29" s="116">
        <v>45946</v>
      </c>
      <c r="G29" s="71" t="s">
        <v>126</v>
      </c>
      <c r="H29" s="71">
        <f>IF(OR(G29="Sin pagar",G29="Pagar"),(_xlfn.SINGLE(NETWORKDAYS($J$21,F29,FestivosPerú!$A$2:$A$15))),0)</f>
        <v>0</v>
      </c>
      <c r="I29" s="71">
        <f>NETWORKDAYS($J$21,F29,FestivosPerú!$A$2:$A$15)</f>
        <v>11</v>
      </c>
      <c r="J29" s="117">
        <f t="shared" si="0"/>
        <v>0</v>
      </c>
      <c r="K29" s="120"/>
      <c r="L29" s="94"/>
      <c r="M29" s="300" t="s">
        <v>700</v>
      </c>
      <c r="N29" s="118"/>
    </row>
    <row r="30" spans="1:19" s="71" customFormat="1" ht="16.2" thickBot="1">
      <c r="B30" s="83"/>
      <c r="C30" s="110" t="s">
        <v>144</v>
      </c>
      <c r="D30" s="160">
        <f>SUBTOTAL(9,D31:D33)</f>
        <v>3304</v>
      </c>
      <c r="E30" s="111">
        <f>SUBTOTAL(9,E31:E33)</f>
        <v>998.18731117824768</v>
      </c>
      <c r="H30" s="71">
        <f>IF(OR(G30="Sin pagar",G30="Pagar"),(_xlfn.SINGLE(NETWORKDAYS($J$21,F30,FestivosPerú!$A$2:$A$15))),0)</f>
        <v>0</v>
      </c>
      <c r="J30" s="117">
        <f t="shared" si="0"/>
        <v>0</v>
      </c>
      <c r="K30" s="89"/>
      <c r="L30" s="89"/>
      <c r="N30" s="118"/>
    </row>
    <row r="31" spans="1:19" s="71" customFormat="1" outlineLevel="1">
      <c r="B31" s="83" t="s">
        <v>711</v>
      </c>
      <c r="C31" s="186" t="s">
        <v>712</v>
      </c>
      <c r="D31" s="39">
        <v>472</v>
      </c>
      <c r="E31" s="115">
        <f>D31/$D$6</f>
        <v>142.59818731117824</v>
      </c>
      <c r="F31" s="116">
        <v>45940</v>
      </c>
      <c r="G31" s="71" t="s">
        <v>126</v>
      </c>
      <c r="H31" s="71">
        <f>IF(OR(G31="Sin pagar",G31="Pagar"),(_xlfn.SINGLE(NETWORKDAYS($J$21,F31,FestivosPerú!$A$2:$A$15))),0)</f>
        <v>0</v>
      </c>
      <c r="I31" s="71">
        <f>NETWORKDAYS($J$21,F31,FestivosPerú!$A$2:$A$15)</f>
        <v>7</v>
      </c>
      <c r="J31" s="117">
        <f>H31</f>
        <v>0</v>
      </c>
      <c r="M31" s="299"/>
      <c r="N31" s="86"/>
    </row>
    <row r="32" spans="1:19" s="71" customFormat="1" outlineLevel="1">
      <c r="B32" s="83" t="s">
        <v>743</v>
      </c>
      <c r="C32" s="186" t="s">
        <v>638</v>
      </c>
      <c r="D32" s="39">
        <v>1416</v>
      </c>
      <c r="E32" s="115">
        <f>D32/$D$6</f>
        <v>427.79456193353474</v>
      </c>
      <c r="F32" s="116">
        <v>45960</v>
      </c>
      <c r="G32" s="71" t="s">
        <v>126</v>
      </c>
      <c r="H32" s="71">
        <f>IF(OR(G32="Sin pagar",G32="Pagar"),(_xlfn.SINGLE(NETWORKDAYS($J$21,F32,FestivosPerú!$A$2:$A$15))),0)</f>
        <v>0</v>
      </c>
      <c r="I32" s="71">
        <f>NETWORKDAYS($J$21,F32,FestivosPerú!$A$2:$A$15)</f>
        <v>21</v>
      </c>
      <c r="J32" s="117">
        <f t="shared" si="0"/>
        <v>0</v>
      </c>
      <c r="M32" s="299"/>
      <c r="N32" s="86"/>
    </row>
    <row r="33" spans="2:18" s="71" customFormat="1" ht="15" outlineLevel="1" thickBot="1">
      <c r="B33" s="83" t="s">
        <v>742</v>
      </c>
      <c r="C33" s="186" t="s">
        <v>639</v>
      </c>
      <c r="D33" s="39">
        <v>1416</v>
      </c>
      <c r="E33" s="115">
        <f>D33/$D$6</f>
        <v>427.79456193353474</v>
      </c>
      <c r="F33" s="116">
        <v>45960</v>
      </c>
      <c r="G33" s="71" t="s">
        <v>126</v>
      </c>
      <c r="H33" s="71">
        <f>IF(OR(G33="Sin pagar",G33="Pagar"),(_xlfn.SINGLE(NETWORKDAYS($J$21,F33,FestivosPerú!$A$2:$A$15))),0)</f>
        <v>0</v>
      </c>
      <c r="I33" s="71">
        <f>NETWORKDAYS($J$21,F33,FestivosPerú!$A$2:$A$15)</f>
        <v>21</v>
      </c>
      <c r="J33" s="117">
        <f t="shared" si="0"/>
        <v>0</v>
      </c>
      <c r="M33" s="299"/>
      <c r="N33" s="86"/>
    </row>
    <row r="34" spans="2:18" s="71" customFormat="1" ht="15" customHeight="1" thickBot="1">
      <c r="C34" s="110" t="s">
        <v>162</v>
      </c>
      <c r="D34" s="160">
        <f>SUBTOTAL(9,D35:D39)</f>
        <v>1924.3200000000002</v>
      </c>
      <c r="E34" s="111">
        <f>SUBTOTAL(9,E35:E39)</f>
        <v>581.36555891238675</v>
      </c>
      <c r="H34" s="71">
        <f>IF(OR(G34="Sin pagar",G34="Pagar"),(_xlfn.SINGLE(NETWORKDAYS($J$21,F34,FestivosPerú!$A$2:$A$15))),0)</f>
        <v>0</v>
      </c>
      <c r="J34" s="117"/>
      <c r="M34" s="122"/>
      <c r="N34" s="187"/>
      <c r="P34" s="187"/>
    </row>
    <row r="35" spans="2:18" s="71" customFormat="1" outlineLevel="1">
      <c r="B35" s="254" t="s">
        <v>272</v>
      </c>
      <c r="C35" s="186" t="s">
        <v>753</v>
      </c>
      <c r="D35" s="39">
        <v>926</v>
      </c>
      <c r="E35" s="115">
        <f>D35/$D$6</f>
        <v>279.75830815709969</v>
      </c>
      <c r="F35" s="112">
        <v>45940</v>
      </c>
      <c r="G35" s="71" t="s">
        <v>126</v>
      </c>
      <c r="H35" s="71">
        <f>IF(OR(G35="Sin pagar",G35="Pagar"),(_xlfn.SINGLE(NETWORKDAYS($J$21,F35,FestivosPerú!$A$2:$A$15))),0)</f>
        <v>0</v>
      </c>
      <c r="I35" s="71">
        <f>NETWORKDAYS($J$21,F35,FestivosPerú!$A$2:$A$15)</f>
        <v>7</v>
      </c>
      <c r="J35" s="117">
        <f>H35</f>
        <v>0</v>
      </c>
    </row>
    <row r="36" spans="2:18" s="71" customFormat="1" outlineLevel="1">
      <c r="B36" s="254" t="s">
        <v>272</v>
      </c>
      <c r="C36" s="186" t="s">
        <v>747</v>
      </c>
      <c r="D36" s="362">
        <v>344.88</v>
      </c>
      <c r="E36" s="363">
        <f>D36/$D$6</f>
        <v>104.19335347432023</v>
      </c>
      <c r="F36" s="116">
        <v>45953</v>
      </c>
      <c r="G36" s="71" t="s">
        <v>126</v>
      </c>
      <c r="H36" s="71">
        <f>IF(OR(G36="Sin pagar",G36="Pagar"),(_xlfn.SINGLE(NETWORKDAYS($J$21,F36,FestivosPerú!$A$2:$A$15))),0)</f>
        <v>0</v>
      </c>
      <c r="I36" s="71">
        <f>NETWORKDAYS($J$21,F36,FestivosPerú!$A$2:$A$15)</f>
        <v>16</v>
      </c>
      <c r="J36" s="117">
        <f>H36</f>
        <v>0</v>
      </c>
    </row>
    <row r="37" spans="2:18" s="71" customFormat="1" outlineLevel="1">
      <c r="B37" s="254" t="s">
        <v>272</v>
      </c>
      <c r="C37" s="186" t="s">
        <v>746</v>
      </c>
      <c r="D37" s="362">
        <v>355.23</v>
      </c>
      <c r="E37" s="363">
        <f>D37/$D$6</f>
        <v>107.32024169184291</v>
      </c>
      <c r="F37" s="116">
        <v>45953</v>
      </c>
      <c r="G37" s="71" t="s">
        <v>126</v>
      </c>
      <c r="H37" s="71">
        <f>IF(OR(G37="Sin pagar",G37="Pagar"),(_xlfn.SINGLE(NETWORKDAYS($J$21,F37,FestivosPerú!$A$2:$A$15))),0)</f>
        <v>0</v>
      </c>
      <c r="I37" s="71">
        <f>NETWORKDAYS($J$21,F37,FestivosPerú!$A$2:$A$15)</f>
        <v>16</v>
      </c>
      <c r="J37" s="117">
        <f>H37</f>
        <v>0</v>
      </c>
    </row>
    <row r="38" spans="2:18" s="71" customFormat="1" outlineLevel="1">
      <c r="B38" s="254" t="s">
        <v>272</v>
      </c>
      <c r="C38" s="186" t="s">
        <v>744</v>
      </c>
      <c r="D38" s="362">
        <f>118</f>
        <v>118</v>
      </c>
      <c r="E38" s="363">
        <f>D38/$D$6</f>
        <v>35.649546827794559</v>
      </c>
      <c r="F38" s="116">
        <v>45953</v>
      </c>
      <c r="G38" s="71" t="s">
        <v>126</v>
      </c>
      <c r="H38" s="71">
        <f>IF(OR(G38="Sin pagar",G38="Pagar"),(_xlfn.SINGLE(NETWORKDAYS($J$21,F38,FestivosPerú!$A$2:$A$15))),0)</f>
        <v>0</v>
      </c>
      <c r="I38" s="71">
        <f>NETWORKDAYS($J$21,F38,FestivosPerú!$A$2:$A$15)</f>
        <v>16</v>
      </c>
      <c r="J38" s="117">
        <f>H38</f>
        <v>0</v>
      </c>
    </row>
    <row r="39" spans="2:18" s="71" customFormat="1" ht="15" outlineLevel="1" thickBot="1">
      <c r="B39" s="254" t="s">
        <v>272</v>
      </c>
      <c r="C39" s="186" t="s">
        <v>745</v>
      </c>
      <c r="D39" s="362">
        <v>180.21</v>
      </c>
      <c r="E39" s="363">
        <f>D39/$D$6</f>
        <v>54.444108761329304</v>
      </c>
      <c r="F39" s="116">
        <v>45953</v>
      </c>
      <c r="G39" s="71" t="s">
        <v>126</v>
      </c>
      <c r="H39" s="71">
        <f>IF(OR(G39="Sin pagar",G39="Pagar"),(_xlfn.SINGLE(NETWORKDAYS($J$21,F39,FestivosPerú!$A$2:$A$15))),0)</f>
        <v>0</v>
      </c>
      <c r="I39" s="71">
        <f>NETWORKDAYS($J$21,F39,FestivosPerú!$A$2:$A$15)</f>
        <v>16</v>
      </c>
      <c r="J39" s="117">
        <f>H39</f>
        <v>0</v>
      </c>
    </row>
    <row r="40" spans="2:18" s="71" customFormat="1" ht="15.75" customHeight="1" thickBot="1">
      <c r="C40" s="110" t="s">
        <v>127</v>
      </c>
      <c r="D40" s="160">
        <f>SUBTOTAL(9,D41:D41)</f>
        <v>426.13000000000005</v>
      </c>
      <c r="E40" s="111">
        <f>SUBTOTAL(9,E41:E41)</f>
        <v>128.7401812688822</v>
      </c>
      <c r="H40" s="71">
        <f>IF(OR(G40="Sin pagar",G40="Pagar"),(_xlfn.SINGLE(NETWORKDAYS($J$21,F40,FestivosPerú!$A$2:$A$15))),0)</f>
        <v>0</v>
      </c>
      <c r="M40" s="122"/>
      <c r="N40" s="187"/>
      <c r="P40" s="187"/>
    </row>
    <row r="41" spans="2:18" s="71" customFormat="1" ht="15" outlineLevel="1" thickBot="1">
      <c r="B41" s="125"/>
      <c r="C41" s="84" t="s">
        <v>127</v>
      </c>
      <c r="D41" s="39">
        <f>('BCP SOLES BCP'!$F$482+'BCP SOLES BCP'!$F$489+'BCP SOLES BCP'!$F$495+'BCP SOLES BCP'!$F$499+'BCP SOLES BCP'!$F$544+'BCP SOLES BCP'!$F$546+'BCP SOLES BCP'!$F$548+'BCP SOLES BCP'!$F$550+'BCP SOLES BCP'!$F$561+'BCP SOLES BCP'!$F$563+'BCP SOLES BCP'!$F$565+'BCP SOLES BCP'!$F$567+'BCP SOLES BCP'!$F$580+'BCP SOLES BCP'!$F$582+'BCP SOLES BCP'!$F$584+'BCP SOLES BCP'!$F$585+'BCP SOLES BCP'!$F$587+'BCP SOLES BCP'!$F$589+'BCP SOLES BCP'!$F$590+'BCP SOLES BCP'!$F$593+'BCP SOLES BCP'!$F$596+'BCP SOLES BCP'!$F$597+('BCP SOLES BCP'!$F$605+'BCP SOLES BCP'!$F$606/2)+'BCP SOLES BCP'!$F$610)+(('BCP USD BCP'!F209/2)+'BCP USD BCP'!F217+('BCP USD BCP'!F222/2)+'BCP USD BCP'!F233+'BCP USD BCP'!F234+'BCP USD BCP'!F247+'BCP USD BCP'!F251+'BCP USD BCP'!F252+('BCP USD BCP'!F257+'BCP USD BCP'!F258/2))</f>
        <v>426.13000000000005</v>
      </c>
      <c r="E41" s="115">
        <f>$D$41/$D$6</f>
        <v>128.7401812688822</v>
      </c>
      <c r="F41" s="112">
        <v>45961</v>
      </c>
      <c r="G41" s="71" t="s">
        <v>126</v>
      </c>
      <c r="H41" s="71">
        <f>IF(OR(G41="Sin pagar",G41="Pagar"),(_xlfn.SINGLE(NETWORKDAYS($J$21,F41,FestivosPerú!$A$2:$A$15))),0)</f>
        <v>0</v>
      </c>
      <c r="I41" s="71">
        <f>NETWORKDAYS($J$21,F41,FestivosPerú!$A$2:$A$15)</f>
        <v>22</v>
      </c>
      <c r="J41" s="117">
        <f>H41</f>
        <v>0</v>
      </c>
      <c r="K41" s="120"/>
      <c r="L41" s="120"/>
    </row>
    <row r="42" spans="2:18" s="71" customFormat="1" ht="16.2" thickBot="1">
      <c r="C42" s="110" t="s">
        <v>539</v>
      </c>
      <c r="D42" s="160">
        <f>SUBTOTAL(9,D43:D48)</f>
        <v>66282.126900000003</v>
      </c>
      <c r="E42" s="310">
        <f>SUBTOTAL(9,E43:E48)</f>
        <v>20024.811752265861</v>
      </c>
      <c r="H42" s="71">
        <f>IF(OR(G42="Sin pagar",G42="Pagar"),(_xlfn.SINGLE(NETWORKDAYS($J$21,F42,FestivosPerú!$A$2:$A$15))),0)</f>
        <v>0</v>
      </c>
      <c r="J42" s="301"/>
      <c r="K42" s="89"/>
      <c r="L42" s="124"/>
      <c r="N42" s="122"/>
      <c r="O42" s="101"/>
    </row>
    <row r="43" spans="2:18" s="71" customFormat="1" outlineLevel="1">
      <c r="B43" s="183" t="s">
        <v>33</v>
      </c>
      <c r="C43" s="186" t="s">
        <v>146</v>
      </c>
      <c r="D43" s="39">
        <v>13619.1</v>
      </c>
      <c r="E43" s="232">
        <f>D43/$D$6</f>
        <v>4114.5317220543811</v>
      </c>
      <c r="F43" s="112">
        <v>45958</v>
      </c>
      <c r="G43" s="71" t="s">
        <v>126</v>
      </c>
      <c r="H43" s="71">
        <f>IF(OR(G43="Sin pagar",G43="Pagar"),(_xlfn.SINGLE(NETWORKDAYS($J$21,F43,FestivosPerú!$A$2:$A$15))),0)</f>
        <v>0</v>
      </c>
      <c r="I43" s="71">
        <f>NETWORKDAYS($J$21,F43,FestivosPerú!$A$2:$A$15)</f>
        <v>19</v>
      </c>
      <c r="J43" s="117">
        <f t="shared" ref="J43:J48" si="1">H43</f>
        <v>0</v>
      </c>
      <c r="K43" s="120"/>
      <c r="L43" s="120"/>
      <c r="M43" s="253"/>
      <c r="N43" s="122"/>
      <c r="P43" s="39"/>
      <c r="Q43" s="253"/>
      <c r="R43" s="374"/>
    </row>
    <row r="44" spans="2:18" s="71" customFormat="1" outlineLevel="1">
      <c r="B44" s="183" t="s">
        <v>33</v>
      </c>
      <c r="C44" s="186" t="s">
        <v>176</v>
      </c>
      <c r="D44" s="39">
        <v>10740.14</v>
      </c>
      <c r="E44" s="232">
        <f>D44/$D$6</f>
        <v>3244.7552870090631</v>
      </c>
      <c r="F44" s="112">
        <v>45958</v>
      </c>
      <c r="G44" s="71" t="s">
        <v>126</v>
      </c>
      <c r="H44" s="71">
        <f>IF(OR(G44="Sin pagar",G44="Pagar"),(_xlfn.SINGLE(NETWORKDAYS($J$21,F44,FestivosPerú!$A$2:$A$15))),0)</f>
        <v>0</v>
      </c>
      <c r="I44" s="71">
        <f>NETWORKDAYS($J$21,F44,FestivosPerú!$A$2:$A$15)</f>
        <v>19</v>
      </c>
      <c r="J44" s="117">
        <f t="shared" si="1"/>
        <v>0</v>
      </c>
      <c r="K44" s="120"/>
      <c r="L44" s="120"/>
      <c r="M44" s="253"/>
      <c r="P44" s="39"/>
      <c r="Q44" s="253"/>
      <c r="R44" s="374"/>
    </row>
    <row r="45" spans="2:18" s="126" customFormat="1" outlineLevel="1">
      <c r="B45" s="183" t="s">
        <v>33</v>
      </c>
      <c r="C45" s="186" t="s">
        <v>275</v>
      </c>
      <c r="D45" s="39">
        <v>10833.07</v>
      </c>
      <c r="E45" s="232">
        <f>D45/$D$6</f>
        <v>3272.8308157099696</v>
      </c>
      <c r="F45" s="112">
        <v>45958</v>
      </c>
      <c r="G45" s="71" t="s">
        <v>126</v>
      </c>
      <c r="H45" s="71">
        <f>IF(OR(G45="Sin pagar",G45="Pagar"),(_xlfn.SINGLE(NETWORKDAYS($J$21,F45,FestivosPerú!$A$2:$A$15))),0)</f>
        <v>0</v>
      </c>
      <c r="I45" s="71">
        <f>NETWORKDAYS($J$21,F45,FestivosPerú!$A$2:$A$15)</f>
        <v>19</v>
      </c>
      <c r="J45" s="117">
        <f t="shared" si="1"/>
        <v>0</v>
      </c>
      <c r="L45" s="127"/>
      <c r="M45" s="309"/>
      <c r="P45" s="39"/>
      <c r="Q45" s="253"/>
      <c r="R45" s="374"/>
    </row>
    <row r="46" spans="2:18" s="126" customFormat="1" outlineLevel="1">
      <c r="B46" s="183" t="s">
        <v>33</v>
      </c>
      <c r="C46" s="186" t="s">
        <v>409</v>
      </c>
      <c r="D46" s="39">
        <v>10410.11</v>
      </c>
      <c r="E46" s="232">
        <f>D46/$D$6</f>
        <v>3145.0483383685801</v>
      </c>
      <c r="F46" s="112">
        <v>45958</v>
      </c>
      <c r="G46" s="71" t="s">
        <v>126</v>
      </c>
      <c r="H46" s="71">
        <f>IF(OR(G46="Sin pagar",G46="Pagar"),(_xlfn.SINGLE(NETWORKDAYS($J$21,F46,FestivosPerú!$A$2:$A$15))),0)</f>
        <v>0</v>
      </c>
      <c r="I46" s="71">
        <f>NETWORKDAYS($J$21,F46,FestivosPerú!$A$2:$A$15)</f>
        <v>19</v>
      </c>
      <c r="J46" s="117">
        <f t="shared" si="1"/>
        <v>0</v>
      </c>
      <c r="L46" s="127"/>
      <c r="M46" s="253"/>
      <c r="P46" s="39"/>
      <c r="Q46" s="253"/>
      <c r="R46" s="374"/>
    </row>
    <row r="47" spans="2:18" s="126" customFormat="1" outlineLevel="1">
      <c r="B47" s="183" t="s">
        <v>33</v>
      </c>
      <c r="C47" s="186" t="s">
        <v>671</v>
      </c>
      <c r="D47" s="39">
        <v>7234.52</v>
      </c>
      <c r="E47" s="232">
        <f>D47/$D$6</f>
        <v>2185.6555891238672</v>
      </c>
      <c r="F47" s="112">
        <v>45959</v>
      </c>
      <c r="G47" s="71" t="s">
        <v>126</v>
      </c>
      <c r="H47" s="71">
        <f>IF(OR(G47="Sin pagar",G47="Pagar"),(_xlfn.SINGLE(NETWORKDAYS($J$21,F47,FestivosPerú!$A$2:$A$15))),0)</f>
        <v>0</v>
      </c>
      <c r="I47" s="71">
        <f>NETWORKDAYS($J$21,F47,FestivosPerú!$A$2:$A$15)</f>
        <v>20</v>
      </c>
      <c r="J47" s="117">
        <f>H47</f>
        <v>0</v>
      </c>
      <c r="L47" s="127"/>
      <c r="M47" s="253"/>
      <c r="P47" s="39"/>
      <c r="Q47" s="253"/>
      <c r="R47" s="374"/>
    </row>
    <row r="48" spans="2:18" s="126" customFormat="1" ht="15" outlineLevel="1" thickBot="1">
      <c r="B48" s="125" t="s">
        <v>4</v>
      </c>
      <c r="C48" s="186" t="s">
        <v>410</v>
      </c>
      <c r="D48" s="39">
        <f>$E$48*$D$6</f>
        <v>13445.186899999999</v>
      </c>
      <c r="E48" s="232">
        <v>4061.99</v>
      </c>
      <c r="F48" s="112">
        <v>45958</v>
      </c>
      <c r="G48" s="71" t="s">
        <v>126</v>
      </c>
      <c r="H48" s="71">
        <f>IF(OR(G48="Sin pagar",G48="Pagar"),(_xlfn.SINGLE(NETWORKDAYS($J$21,F48,FestivosPerú!$A$2:$A$15))),0)</f>
        <v>0</v>
      </c>
      <c r="I48" s="71">
        <f>NETWORKDAYS($J$21,F48,FestivosPerú!$A$2:$A$15)</f>
        <v>19</v>
      </c>
      <c r="J48" s="117">
        <f t="shared" si="1"/>
        <v>0</v>
      </c>
      <c r="L48" s="127"/>
      <c r="M48" s="253"/>
      <c r="P48" s="372"/>
      <c r="Q48" s="373"/>
      <c r="R48" s="371"/>
    </row>
    <row r="49" spans="1:16" s="71" customFormat="1" ht="16.2" thickBot="1">
      <c r="A49" s="126"/>
      <c r="B49" s="125"/>
      <c r="C49" s="110" t="s">
        <v>177</v>
      </c>
      <c r="D49" s="160">
        <f>SUBTOTAL(9,D50:D52)</f>
        <v>17272.310000000001</v>
      </c>
      <c r="E49" s="111">
        <f>SUBTOTAL(9,E50:E52)</f>
        <v>5218.2205438066458</v>
      </c>
      <c r="H49" s="71">
        <f>IF(OR(G49="Sin pagar",G49="Pagar"),(_xlfn.SINGLE(NETWORKDAYS($J$21,F49,FestivosPerú!$A$2:$A$15))),0)</f>
        <v>0</v>
      </c>
      <c r="L49" s="89"/>
    </row>
    <row r="50" spans="1:16" s="71" customFormat="1" outlineLevel="1">
      <c r="A50" s="126"/>
      <c r="B50" s="128"/>
      <c r="C50" s="84" t="s">
        <v>178</v>
      </c>
      <c r="D50" s="39">
        <v>7919.53</v>
      </c>
      <c r="E50" s="232">
        <f>D50/$D$6</f>
        <v>2392.6072507552867</v>
      </c>
      <c r="F50" s="112">
        <v>45958</v>
      </c>
      <c r="G50" s="71" t="s">
        <v>126</v>
      </c>
      <c r="H50" s="71">
        <f>IF(OR(G50="Sin pagar",G50="Pagar"),(_xlfn.SINGLE(NETWORKDAYS($J$21,F50,FestivosPerú!$A$2:$A$15))),0)</f>
        <v>0</v>
      </c>
      <c r="I50" s="71">
        <f>NETWORKDAYS($J$21,F50,FestivosPerú!$A$2:$A$15)</f>
        <v>19</v>
      </c>
      <c r="J50" s="117">
        <f>H50</f>
        <v>0</v>
      </c>
      <c r="L50" s="89"/>
      <c r="P50" s="372"/>
    </row>
    <row r="51" spans="1:16" s="71" customFormat="1" outlineLevel="1">
      <c r="A51" s="126"/>
      <c r="B51" s="128"/>
      <c r="C51" s="84" t="s">
        <v>236</v>
      </c>
      <c r="D51" s="39">
        <v>8719.8799999999992</v>
      </c>
      <c r="E51" s="232">
        <f>D51/$D$6</f>
        <v>2634.4048338368575</v>
      </c>
      <c r="F51" s="112">
        <v>45958</v>
      </c>
      <c r="G51" s="71" t="s">
        <v>126</v>
      </c>
      <c r="H51" s="71">
        <f>IF(OR(G51="Sin pagar",G51="Pagar"),(_xlfn.SINGLE(NETWORKDAYS($J$21,F51,FestivosPerú!$A$2:$A$15))),0)</f>
        <v>0</v>
      </c>
      <c r="I51" s="71">
        <f>NETWORKDAYS($J$21,F51,FestivosPerú!$A$2:$A$15)</f>
        <v>19</v>
      </c>
      <c r="J51" s="117">
        <f>H51</f>
        <v>0</v>
      </c>
      <c r="L51" s="89"/>
    </row>
    <row r="52" spans="1:16" s="71" customFormat="1" ht="15" outlineLevel="1" thickBot="1">
      <c r="A52" s="126"/>
      <c r="B52" s="128"/>
      <c r="C52" s="84" t="s">
        <v>326</v>
      </c>
      <c r="D52" s="39">
        <v>632.9</v>
      </c>
      <c r="E52" s="232">
        <f>D52/$D$6</f>
        <v>191.20845921450149</v>
      </c>
      <c r="F52" s="112">
        <v>45958</v>
      </c>
      <c r="G52" s="71" t="s">
        <v>126</v>
      </c>
      <c r="H52" s="71">
        <f>IF(OR(G52="Sin pagar",G52="Pagar"),(_xlfn.SINGLE(NETWORKDAYS($J$21,F52,FestivosPerú!$A$2:$A$15))),0)</f>
        <v>0</v>
      </c>
      <c r="I52" s="71">
        <f>NETWORKDAYS($J$21,F52,FestivosPerú!$A$2:$A$15)</f>
        <v>19</v>
      </c>
      <c r="J52" s="117">
        <f>H52</f>
        <v>0</v>
      </c>
      <c r="L52" s="89"/>
    </row>
    <row r="53" spans="1:16" s="71" customFormat="1" ht="16.2" thickBot="1">
      <c r="A53" s="126"/>
      <c r="B53" s="125"/>
      <c r="C53" s="110" t="s">
        <v>129</v>
      </c>
      <c r="D53" s="160">
        <f>SUBTOTAL(9,D54:D54)</f>
        <v>0</v>
      </c>
      <c r="E53" s="111">
        <f>SUBTOTAL(9,E54:E54)</f>
        <v>0</v>
      </c>
      <c r="H53" s="71">
        <f>IF(OR(G53="Sin pagar",G53="Pagar"),(_xlfn.SINGLE(NETWORKDAYS($J$21,F53,FestivosPerú!$A$2:$A$15))),0)</f>
        <v>0</v>
      </c>
      <c r="L53" s="89"/>
    </row>
    <row r="54" spans="1:16" s="71" customFormat="1" ht="15" outlineLevel="1" thickBot="1">
      <c r="A54" s="126"/>
      <c r="B54" s="128"/>
      <c r="C54" s="84" t="s">
        <v>447</v>
      </c>
      <c r="D54" s="39">
        <f>$E$54*$D$6</f>
        <v>0</v>
      </c>
      <c r="E54" s="115">
        <f>3900*0</f>
        <v>0</v>
      </c>
      <c r="F54" s="112">
        <v>45961</v>
      </c>
      <c r="G54" s="71" t="s">
        <v>126</v>
      </c>
      <c r="H54" s="71">
        <f>IF(OR(G54="Sin pagar",G54="Pagar"),(_xlfn.SINGLE(NETWORKDAYS($J$21,F54,FestivosPerú!$A$2:$A$15))),0)</f>
        <v>0</v>
      </c>
      <c r="I54" s="71">
        <f>NETWORKDAYS($J$21,F54,FestivosPerú!$A$2:$A$15)</f>
        <v>22</v>
      </c>
      <c r="J54" s="117">
        <f>H54</f>
        <v>0</v>
      </c>
      <c r="L54" s="89"/>
    </row>
    <row r="55" spans="1:16" s="71" customFormat="1" ht="15.75" customHeight="1" thickBot="1">
      <c r="C55" s="311" t="s">
        <v>565</v>
      </c>
      <c r="D55" s="312">
        <f>SUBTOTAL(9,D56:D56)</f>
        <v>145.12999999999994</v>
      </c>
      <c r="E55" s="313">
        <f>SUBTOTAL(9,E56:E56)</f>
        <v>43.845921450151039</v>
      </c>
      <c r="H55" s="71">
        <f>IF(OR(G55="Sin pagar",G55="Pagar"),(_xlfn.SINGLE(NETWORKDAYS($J$21,F55,FestivosPerú!$A$2:$A$15))),0)</f>
        <v>0</v>
      </c>
      <c r="M55" s="122"/>
      <c r="N55" s="187"/>
      <c r="P55" s="187"/>
    </row>
    <row r="56" spans="1:16" s="71" customFormat="1" ht="15" outlineLevel="1" thickBot="1">
      <c r="A56" s="126"/>
      <c r="B56" s="128"/>
      <c r="C56" s="84" t="s">
        <v>127</v>
      </c>
      <c r="D56" s="39">
        <f>(('BCP SOLES BCP'!$F$492+'BCP SOLES BCP'!$F$494+'BCP SOLES BCP'!$F$502+'BCP SOLES BCP'!$F$506+'BCP SOLES BCP'!$F$515+'BCP SOLES BCP'!$F$528+'BCP SOLES BCP'!$F$530+'BCP SOLES BCP'!$F$532+'BCP SOLES BCP'!$F$535+'BCP SOLES BCP'!$F$537+'BCP SOLES BCP'!$F$538+'BCP SOLES BCP'!$F$569+'BCP SOLES BCP'!$F$570+'BCP SOLES BCP'!$F$577+'BCP SOLES BCP'!$F$578+'BCP SOLES BCP'!$F$599+'BCP SOLES BCP'!$F$600+'BCP SOLES BCP'!$F$604+('BCP SOLES BCP'!$F$605+'BCP SOLES BCP'!$F$606/2)))+(('BCP USD BCP'!F209/2)+'BCP USD BCP'!F215+'BCP USD BCP'!F219+'BCP USD BCP'!F221+('BCP USD BCP'!F222/2)+'BCP USD BCP'!F230+'BCP USD BCP'!F246+('BCP USD BCP'!F247/2)+'BCP USD BCP'!F254+('BCP USD BCP'!F257+'BCP USD BCP'!F258)/2)+41.3</f>
        <v>145.12999999999994</v>
      </c>
      <c r="E56" s="115">
        <f>D56/D6</f>
        <v>43.845921450151039</v>
      </c>
      <c r="F56" s="112">
        <v>45961</v>
      </c>
      <c r="G56" s="71" t="s">
        <v>126</v>
      </c>
      <c r="H56" s="71">
        <f>IF(OR(G56="Sin pagar",G56="Pagar"),(_xlfn.SINGLE(NETWORKDAYS($J$21,F56,FestivosPerú!$A$2:$A$15))),0)</f>
        <v>0</v>
      </c>
      <c r="I56" s="71">
        <f>NETWORKDAYS($J$21,F56,FestivosPerú!$A$2:$A$15)</f>
        <v>22</v>
      </c>
      <c r="J56" s="117">
        <f>H56</f>
        <v>0</v>
      </c>
      <c r="L56" s="89"/>
    </row>
    <row r="57" spans="1:16" s="71" customFormat="1" ht="16.2" thickBot="1">
      <c r="A57" s="126"/>
      <c r="B57" s="125"/>
      <c r="C57" s="311" t="s">
        <v>124</v>
      </c>
      <c r="D57" s="312">
        <f>SUBTOTAL(9,D58:D61)</f>
        <v>17550.62</v>
      </c>
      <c r="E57" s="313">
        <f>SUBTOTAL(9,E58:E61)</f>
        <v>5302.302114803626</v>
      </c>
      <c r="H57" s="71">
        <f>IF(OR(G57="Sin pagar",G57="Pagar"),(_xlfn.SINGLE(NETWORKDAYS($J$21,F57,FestivosPerú!$A$2:$A$15))),0)</f>
        <v>0</v>
      </c>
      <c r="J57" s="117"/>
      <c r="L57" s="89"/>
    </row>
    <row r="58" spans="1:16" s="71" customFormat="1" outlineLevel="1">
      <c r="A58" s="86"/>
      <c r="B58" s="83">
        <v>2609693703</v>
      </c>
      <c r="C58" s="172" t="s">
        <v>571</v>
      </c>
      <c r="D58" s="39">
        <f>5013.45+635.22</f>
        <v>5648.67</v>
      </c>
      <c r="E58" s="115">
        <f t="shared" ref="E58:E66" si="2">D58/$D$6</f>
        <v>1706.546827794562</v>
      </c>
      <c r="F58" s="116">
        <v>45937</v>
      </c>
      <c r="G58" s="71" t="s">
        <v>126</v>
      </c>
      <c r="H58" s="71">
        <f>IF(OR(G58="Sin pagar",G58="Pagar"),(_xlfn.SINGLE(NETWORKDAYS($J$21,F58,FestivosPerú!$A$2:$A$15))),0)</f>
        <v>0</v>
      </c>
      <c r="I58" s="71">
        <f>NETWORKDAYS($J$21,F58,FestivosPerú!$A$2:$A$15)</f>
        <v>5</v>
      </c>
      <c r="J58" s="117">
        <f t="shared" ref="J58:J66" si="3">H58</f>
        <v>0</v>
      </c>
      <c r="K58" s="89"/>
      <c r="L58" s="89"/>
      <c r="M58" s="531" t="s">
        <v>702</v>
      </c>
      <c r="N58" s="118"/>
    </row>
    <row r="59" spans="1:16" s="71" customFormat="1" outlineLevel="1">
      <c r="A59" s="86"/>
      <c r="B59" s="83">
        <v>2221507476</v>
      </c>
      <c r="C59" s="172" t="s">
        <v>572</v>
      </c>
      <c r="D59" s="39">
        <f>3902.11+883.82</f>
        <v>4785.93</v>
      </c>
      <c r="E59" s="115">
        <f>D59/$D$6</f>
        <v>1445.9003021148037</v>
      </c>
      <c r="F59" s="116">
        <v>45937</v>
      </c>
      <c r="G59" s="71" t="s">
        <v>126</v>
      </c>
      <c r="H59" s="71">
        <f>IF(OR(G59="Sin pagar",G59="Pagar"),(_xlfn.SINGLE(NETWORKDAYS($J$21,F59,FestivosPerú!$A$2:$A$15))),0)</f>
        <v>0</v>
      </c>
      <c r="I59" s="71">
        <f>NETWORKDAYS($J$21,F59,FestivosPerú!$A$2:$A$15)</f>
        <v>5</v>
      </c>
      <c r="J59" s="117">
        <f t="shared" si="3"/>
        <v>0</v>
      </c>
      <c r="K59" s="89"/>
      <c r="L59" s="89"/>
      <c r="M59" s="531"/>
      <c r="N59" s="118"/>
    </row>
    <row r="60" spans="1:16" s="71" customFormat="1" outlineLevel="1">
      <c r="A60" s="86"/>
      <c r="B60" s="83">
        <v>2517226428</v>
      </c>
      <c r="C60" s="172" t="s">
        <v>573</v>
      </c>
      <c r="D60" s="39">
        <f>3598.07+643.59</f>
        <v>4241.66</v>
      </c>
      <c r="E60" s="115">
        <f>D60/$D$6</f>
        <v>1281.4682779456193</v>
      </c>
      <c r="F60" s="116">
        <v>45937</v>
      </c>
      <c r="G60" s="71" t="s">
        <v>126</v>
      </c>
      <c r="H60" s="71">
        <f>IF(OR(G60="Sin pagar",G60="Pagar"),(_xlfn.SINGLE(NETWORKDAYS($J$21,F60,FestivosPerú!$A$2:$A$15))),0)</f>
        <v>0</v>
      </c>
      <c r="I60" s="71">
        <f>NETWORKDAYS($J$21,F60,FestivosPerú!$A$2:$A$15)</f>
        <v>5</v>
      </c>
      <c r="J60" s="117">
        <f>H60</f>
        <v>0</v>
      </c>
      <c r="K60" s="89"/>
      <c r="L60" s="89"/>
      <c r="M60" s="531"/>
      <c r="N60" s="118"/>
    </row>
    <row r="61" spans="1:16" s="71" customFormat="1" ht="15" outlineLevel="1" thickBot="1">
      <c r="A61" s="86"/>
      <c r="B61" s="83">
        <v>2314312780</v>
      </c>
      <c r="C61" s="172" t="s">
        <v>705</v>
      </c>
      <c r="D61" s="39">
        <f>2316.02+558.34</f>
        <v>2874.36</v>
      </c>
      <c r="E61" s="115">
        <f>D61/$D$6</f>
        <v>868.38670694864049</v>
      </c>
      <c r="F61" s="116">
        <v>45937</v>
      </c>
      <c r="G61" s="71" t="s">
        <v>126</v>
      </c>
      <c r="H61" s="71">
        <f>IF(OR(G61="Sin pagar",G61="Pagar"),(_xlfn.SINGLE(NETWORKDAYS($J$21,F61,FestivosPerú!$A$2:$A$15))),0)</f>
        <v>0</v>
      </c>
      <c r="I61" s="71">
        <f>NETWORKDAYS($J$21,F61,FestivosPerú!$A$2:$A$15)</f>
        <v>5</v>
      </c>
      <c r="J61" s="117">
        <f t="shared" si="3"/>
        <v>0</v>
      </c>
      <c r="K61" s="89"/>
      <c r="L61" s="89"/>
      <c r="M61" s="531"/>
      <c r="N61" s="118"/>
    </row>
    <row r="62" spans="1:16" s="71" customFormat="1" ht="16.2" thickBot="1">
      <c r="A62" s="126"/>
      <c r="B62" s="125"/>
      <c r="C62" s="311" t="s">
        <v>125</v>
      </c>
      <c r="D62" s="312">
        <f>SUBTOTAL(9,D63:D64)</f>
        <v>69561</v>
      </c>
      <c r="E62" s="313">
        <f>SUBTOTAL(9,E63:E64)</f>
        <v>21015.407854984893</v>
      </c>
      <c r="H62" s="71">
        <f>IF(OR(G62="Sin pagar",G62="Pagar"),(_xlfn.SINGLE(NETWORKDAYS($J$21,F62,FestivosPerú!$A$2:$A$15))),0)</f>
        <v>0</v>
      </c>
      <c r="J62" s="117">
        <f t="shared" si="3"/>
        <v>0</v>
      </c>
      <c r="L62" s="89"/>
    </row>
    <row r="63" spans="1:16" s="71" customFormat="1" ht="16.5" customHeight="1" outlineLevel="1">
      <c r="A63" s="126"/>
      <c r="B63" s="128" t="s">
        <v>272</v>
      </c>
      <c r="C63" s="84" t="s">
        <v>456</v>
      </c>
      <c r="D63" s="39">
        <v>32927</v>
      </c>
      <c r="E63" s="115">
        <f t="shared" si="2"/>
        <v>9947.7341389728099</v>
      </c>
      <c r="F63" s="341">
        <v>45947</v>
      </c>
      <c r="G63" s="342" t="s">
        <v>126</v>
      </c>
      <c r="H63" s="71">
        <f>IF(OR(G63="Sin pagar",G63="Pagar"),(_xlfn.SINGLE(NETWORKDAYS($J$21,F63,FestivosPerú!$A$2:$A$15))),0)</f>
        <v>0</v>
      </c>
      <c r="I63" s="71">
        <f>NETWORKDAYS($J$21,F63,FestivosPerú!$A$2:$A$15)</f>
        <v>12</v>
      </c>
      <c r="J63" s="117">
        <f t="shared" si="3"/>
        <v>0</v>
      </c>
      <c r="L63" s="89"/>
      <c r="M63" s="121" t="s">
        <v>703</v>
      </c>
    </row>
    <row r="64" spans="1:16" s="71" customFormat="1" ht="15" outlineLevel="1" thickBot="1">
      <c r="B64" s="343" t="s">
        <v>593</v>
      </c>
      <c r="C64" s="376" t="s">
        <v>714</v>
      </c>
      <c r="D64" s="209">
        <v>36634</v>
      </c>
      <c r="E64" s="232">
        <f t="shared" si="2"/>
        <v>11067.673716012085</v>
      </c>
      <c r="F64" s="341">
        <v>45947</v>
      </c>
      <c r="G64" s="342" t="s">
        <v>126</v>
      </c>
      <c r="H64" s="71">
        <f>IF(OR(G64="Sin pagar",G64="Pagar"),(_xlfn.SINGLE(NETWORKDAYS($J$21,F64,FestivosPerú!$A$2:$A$15))),0)</f>
        <v>0</v>
      </c>
      <c r="I64" s="71">
        <f>NETWORKDAYS($J$21,F64,FestivosPerú!$A$2:$A$15)</f>
        <v>12</v>
      </c>
      <c r="J64" s="117">
        <f t="shared" si="3"/>
        <v>0</v>
      </c>
      <c r="K64" s="120"/>
      <c r="L64" s="94"/>
      <c r="M64" s="121" t="s">
        <v>724</v>
      </c>
      <c r="N64" s="118"/>
    </row>
    <row r="65" spans="2:16" s="71" customFormat="1" ht="15" customHeight="1" thickBot="1">
      <c r="C65" s="311" t="s">
        <v>162</v>
      </c>
      <c r="D65" s="312">
        <f>SUBTOTAL(9,D66:D70)</f>
        <v>3473.8199999999997</v>
      </c>
      <c r="E65" s="313">
        <f>SUBTOTAL(9,E66:E70)</f>
        <v>1049.4924471299094</v>
      </c>
      <c r="H65" s="71">
        <f>IF(OR(G65="Sin pagar",G65="Pagar"),(_xlfn.SINGLE(NETWORKDAYS($J$21,F65,FestivosPerú!$A$2:$A$15))),0)</f>
        <v>0</v>
      </c>
      <c r="J65" s="117"/>
      <c r="M65" s="122"/>
      <c r="N65" s="187"/>
      <c r="P65" s="187"/>
    </row>
    <row r="66" spans="2:16" s="71" customFormat="1" outlineLevel="1">
      <c r="B66" s="343" t="s">
        <v>758</v>
      </c>
      <c r="C66" s="186" t="s">
        <v>604</v>
      </c>
      <c r="D66" s="39">
        <v>2434.16</v>
      </c>
      <c r="E66" s="115">
        <f t="shared" si="2"/>
        <v>735.39577039274923</v>
      </c>
      <c r="F66" s="341">
        <v>45954</v>
      </c>
      <c r="G66" s="342" t="s">
        <v>126</v>
      </c>
      <c r="H66" s="71">
        <f>IF(OR(G66="Sin pagar",G66="Pagar"),(_xlfn.SINGLE(NETWORKDAYS($J$21,F66,FestivosPerú!$A$2:$A$15))),0)</f>
        <v>0</v>
      </c>
      <c r="I66" s="71">
        <f>NETWORKDAYS($J$21,F66,FestivosPerú!$A$2:$A$15)</f>
        <v>17</v>
      </c>
      <c r="J66" s="117">
        <f t="shared" si="3"/>
        <v>0</v>
      </c>
      <c r="K66" s="120"/>
      <c r="L66" s="94"/>
      <c r="M66" s="300"/>
      <c r="N66" s="118"/>
    </row>
    <row r="67" spans="2:16" s="342" customFormat="1" outlineLevel="1">
      <c r="B67" s="356" t="s">
        <v>760</v>
      </c>
      <c r="C67" s="186" t="s">
        <v>759</v>
      </c>
      <c r="D67" s="39">
        <v>123.9</v>
      </c>
      <c r="E67" s="115">
        <f>D67/$D$6</f>
        <v>37.432024169184288</v>
      </c>
      <c r="F67" s="384">
        <v>45954</v>
      </c>
      <c r="G67" s="342" t="s">
        <v>126</v>
      </c>
      <c r="H67" s="342">
        <f>IF(OR(G67="Sin pagar",G67="Pagar"),(_xlfn.SINGLE(NETWORKDAYS($J$21,F67,FestivosPerú!$A$2:$A$15))),0)</f>
        <v>0</v>
      </c>
      <c r="I67" s="342">
        <f>NETWORKDAYS($J$21,F67,FestivosPerú!$A$2:$A$15)</f>
        <v>17</v>
      </c>
      <c r="J67" s="117">
        <f>H67</f>
        <v>0</v>
      </c>
      <c r="K67" s="120"/>
      <c r="L67" s="357"/>
      <c r="M67" s="385"/>
      <c r="N67" s="359"/>
    </row>
    <row r="68" spans="2:16" s="71" customFormat="1" outlineLevel="1">
      <c r="B68" s="386">
        <v>806680667</v>
      </c>
      <c r="C68" s="186" t="s">
        <v>761</v>
      </c>
      <c r="D68" s="39">
        <v>152.26</v>
      </c>
      <c r="E68" s="115">
        <f>D68/$D$6</f>
        <v>46</v>
      </c>
      <c r="F68" s="341">
        <v>45954</v>
      </c>
      <c r="G68" s="342" t="s">
        <v>126</v>
      </c>
      <c r="H68" s="71">
        <f>IF(OR(G68="Sin pagar",G68="Pagar"),(_xlfn.SINGLE(NETWORKDAYS($J$21,F68,FestivosPerú!$A$2:$A$15))),0)</f>
        <v>0</v>
      </c>
      <c r="I68" s="71">
        <f>NETWORKDAYS($J$21,F68,FestivosPerú!$A$2:$A$15)</f>
        <v>17</v>
      </c>
      <c r="J68" s="117">
        <f>H68</f>
        <v>0</v>
      </c>
      <c r="K68" s="120"/>
      <c r="L68" s="94"/>
      <c r="M68" s="300"/>
      <c r="N68" s="118"/>
    </row>
    <row r="69" spans="2:16" s="71" customFormat="1" outlineLevel="1">
      <c r="B69" s="386">
        <v>2929869</v>
      </c>
      <c r="C69" s="172" t="s">
        <v>757</v>
      </c>
      <c r="D69" s="39">
        <v>763.5</v>
      </c>
      <c r="E69" s="115">
        <f>D69/$D$6</f>
        <v>230.66465256797582</v>
      </c>
      <c r="F69" s="116">
        <v>45954</v>
      </c>
      <c r="G69" s="342" t="s">
        <v>126</v>
      </c>
      <c r="H69" s="71">
        <f>IF(OR(G69="Sin pagar",G69="Pagar"),(_xlfn.SINGLE(NETWORKDAYS($J$21,F69,FestivosPerú!$A$2:$A$15))),0)</f>
        <v>0</v>
      </c>
      <c r="I69" s="71">
        <f>NETWORKDAYS($J$21,F69,FestivosPerú!$A$2:$A$15)</f>
        <v>17</v>
      </c>
      <c r="J69" s="117">
        <f>H69</f>
        <v>0</v>
      </c>
      <c r="K69" s="120"/>
      <c r="L69" s="94"/>
      <c r="M69" s="300"/>
      <c r="N69" s="118"/>
    </row>
    <row r="70" spans="2:16" s="71" customFormat="1" ht="15" outlineLevel="1" thickBot="1">
      <c r="B70" s="119" t="s">
        <v>762</v>
      </c>
      <c r="C70" s="186" t="s">
        <v>604</v>
      </c>
      <c r="D70" s="39">
        <f>393*0</f>
        <v>0</v>
      </c>
      <c r="E70" s="115">
        <f>D70/$D$6</f>
        <v>0</v>
      </c>
      <c r="F70" s="341">
        <v>45961</v>
      </c>
      <c r="G70" s="342" t="s">
        <v>126</v>
      </c>
      <c r="H70" s="71">
        <f>IF(OR(G70="Sin pagar",G70="Pagar"),(_xlfn.SINGLE(NETWORKDAYS($J$21,F70,FestivosPerú!$A$2:$A$15))),0)</f>
        <v>0</v>
      </c>
      <c r="I70" s="71">
        <f>NETWORKDAYS($J$21,F70,FestivosPerú!$A$2:$A$15)</f>
        <v>22</v>
      </c>
      <c r="J70" s="117">
        <f>H70</f>
        <v>0</v>
      </c>
      <c r="K70" s="120"/>
      <c r="L70" s="94"/>
      <c r="M70" s="300"/>
      <c r="N70" s="118"/>
    </row>
    <row r="71" spans="2:16" s="71" customFormat="1" ht="16.2" thickBot="1">
      <c r="C71" s="311" t="s">
        <v>507</v>
      </c>
      <c r="D71" s="312">
        <f>SUBTOTAL(9,D72:D84)</f>
        <v>160076.31686177081</v>
      </c>
      <c r="E71" s="313">
        <f>SUBTOTAL(9,E72:E84)</f>
        <v>48361.425033767628</v>
      </c>
      <c r="H71" s="71">
        <f>IF(OR(G71="Sin pagar",G71="Pagar"),(_xlfn.SINGLE(NETWORKDAYS($J$21,F71,FestivosPerú!$A$2:$A$15))),0)</f>
        <v>0</v>
      </c>
      <c r="J71" s="301"/>
      <c r="K71" s="89"/>
      <c r="L71" s="124"/>
      <c r="N71" s="122"/>
      <c r="O71" s="101"/>
    </row>
    <row r="72" spans="2:16" s="126" customFormat="1" outlineLevel="1">
      <c r="B72" s="125"/>
      <c r="C72" s="186" t="s">
        <v>765</v>
      </c>
      <c r="D72" s="39">
        <v>10061.643728000001</v>
      </c>
      <c r="E72" s="115">
        <f>D72/$D$6</f>
        <v>3039.7715190332328</v>
      </c>
      <c r="F72" s="112">
        <v>45958</v>
      </c>
      <c r="G72" s="71" t="s">
        <v>126</v>
      </c>
      <c r="H72" s="71">
        <f>IF(OR(G72="Sin pagar",G72="Pagar"),(_xlfn.SINGLE(NETWORKDAYS($J$21,F72,FestivosPerú!$A$2:$A$15))),0)</f>
        <v>0</v>
      </c>
      <c r="I72" s="71">
        <f>NETWORKDAYS($J$21,F72,FestivosPerú!$A$2:$A$15)</f>
        <v>19</v>
      </c>
      <c r="J72" s="117">
        <f>H72</f>
        <v>0</v>
      </c>
      <c r="L72" s="127"/>
      <c r="M72" s="253"/>
    </row>
    <row r="73" spans="2:16" s="126" customFormat="1" outlineLevel="1">
      <c r="B73" s="125"/>
      <c r="C73" s="186" t="s">
        <v>766</v>
      </c>
      <c r="D73" s="39">
        <v>9435.4637280000006</v>
      </c>
      <c r="E73" s="115">
        <f>D73/$D$6</f>
        <v>2850.5932712990939</v>
      </c>
      <c r="F73" s="112">
        <v>45958</v>
      </c>
      <c r="G73" s="71" t="s">
        <v>126</v>
      </c>
      <c r="H73" s="71">
        <f>IF(OR(G73="Sin pagar",G73="Pagar"),(_xlfn.SINGLE(NETWORKDAYS($J$21,F73,FestivosPerú!$A$2:$A$15))),0)</f>
        <v>0</v>
      </c>
      <c r="I73" s="71">
        <f>NETWORKDAYS($J$21,F73,FestivosPerú!$A$2:$A$15)</f>
        <v>19</v>
      </c>
      <c r="J73" s="117">
        <f>H73</f>
        <v>0</v>
      </c>
      <c r="L73" s="127"/>
      <c r="M73" s="253"/>
    </row>
    <row r="74" spans="2:16" s="71" customFormat="1" outlineLevel="1">
      <c r="B74" s="119"/>
      <c r="C74" s="172" t="s">
        <v>649</v>
      </c>
      <c r="D74" s="39">
        <v>6647.24</v>
      </c>
      <c r="E74" s="115">
        <f>D74/$D$6</f>
        <v>2008.2296072507552</v>
      </c>
      <c r="F74" s="112">
        <v>45958</v>
      </c>
      <c r="G74" s="71" t="s">
        <v>126</v>
      </c>
      <c r="H74" s="71">
        <f>IF(OR(G74="Sin pagar",G74="Pagar"),(_xlfn.SINGLE(NETWORKDAYS($J$21,F74,FestivosPerú!$A$2:$A$15))),0)</f>
        <v>0</v>
      </c>
      <c r="I74" s="71">
        <f>NETWORKDAYS($J$21,F74,FestivosPerú!$A$2:$A$15)</f>
        <v>19</v>
      </c>
      <c r="J74" s="117">
        <f>H74</f>
        <v>0</v>
      </c>
      <c r="K74" s="120"/>
      <c r="L74" s="94"/>
      <c r="M74" s="300"/>
      <c r="N74" s="118"/>
    </row>
    <row r="75" spans="2:16" s="71" customFormat="1" outlineLevel="1">
      <c r="B75" s="119"/>
      <c r="C75" s="172" t="s">
        <v>652</v>
      </c>
      <c r="D75" s="39">
        <v>19623.623727999999</v>
      </c>
      <c r="E75" s="115">
        <f>D75/$D$6</f>
        <v>5928.5872290030211</v>
      </c>
      <c r="F75" s="112">
        <v>45958</v>
      </c>
      <c r="G75" s="71" t="s">
        <v>126</v>
      </c>
      <c r="H75" s="71">
        <f>IF(OR(G75="Sin pagar",G75="Pagar"),(_xlfn.SINGLE(NETWORKDAYS($J$21,F75,FestivosPerú!$A$2:$A$15))),0)</f>
        <v>0</v>
      </c>
      <c r="I75" s="71">
        <f>NETWORKDAYS($J$21,F75,FestivosPerú!$A$2:$A$15)</f>
        <v>19</v>
      </c>
      <c r="J75" s="117">
        <f>H75</f>
        <v>0</v>
      </c>
      <c r="K75" s="120"/>
      <c r="L75" s="94"/>
      <c r="M75" s="300"/>
      <c r="N75" s="118"/>
    </row>
    <row r="76" spans="2:16" s="71" customFormat="1" outlineLevel="1">
      <c r="B76" s="119"/>
      <c r="C76" s="172" t="s">
        <v>770</v>
      </c>
      <c r="D76" s="39">
        <v>14192.833728000001</v>
      </c>
      <c r="E76" s="115">
        <f>D76/$D$6</f>
        <v>4287.8651746223568</v>
      </c>
      <c r="F76" s="112">
        <v>45958</v>
      </c>
      <c r="G76" s="71" t="s">
        <v>126</v>
      </c>
      <c r="H76" s="71">
        <f>IF(OR(G76="Sin pagar",G76="Pagar"),(_xlfn.SINGLE(NETWORKDAYS($J$21,F76,FestivosPerú!$A$2:$A$15))),0)</f>
        <v>0</v>
      </c>
      <c r="I76" s="71">
        <f>NETWORKDAYS($J$21,F76,FestivosPerú!$A$2:$A$15)</f>
        <v>19</v>
      </c>
      <c r="J76" s="117">
        <f>H76</f>
        <v>0</v>
      </c>
      <c r="K76" s="120"/>
      <c r="L76" s="94"/>
      <c r="M76" s="300"/>
      <c r="N76" s="118"/>
    </row>
    <row r="77" spans="2:16" s="71" customFormat="1" outlineLevel="1">
      <c r="B77" s="125"/>
      <c r="C77" s="186" t="s">
        <v>508</v>
      </c>
      <c r="D77" s="39">
        <v>4452.9877749999996</v>
      </c>
      <c r="E77" s="115">
        <f t="shared" ref="E77:E84" si="4">D77/$D$6</f>
        <v>1345.3135271903323</v>
      </c>
      <c r="F77" s="112">
        <v>45958</v>
      </c>
      <c r="G77" s="71" t="s">
        <v>126</v>
      </c>
      <c r="H77" s="71">
        <f>IF(OR(G77="Sin pagar",G77="Pagar"),(_xlfn.SINGLE(NETWORKDAYS($J$21,F77,FestivosPerú!$A$2:$A$15))),0)</f>
        <v>0</v>
      </c>
      <c r="I77" s="71">
        <f>NETWORKDAYS($J$21,F77,FestivosPerú!$A$2:$A$15)</f>
        <v>19</v>
      </c>
      <c r="J77" s="117">
        <f t="shared" ref="J77:J84" si="5">H77</f>
        <v>0</v>
      </c>
      <c r="K77" s="120"/>
      <c r="L77" s="120"/>
      <c r="M77" s="253"/>
      <c r="N77" s="122"/>
    </row>
    <row r="78" spans="2:16" s="126" customFormat="1" outlineLevel="1">
      <c r="B78" s="125"/>
      <c r="C78" s="186" t="s">
        <v>767</v>
      </c>
      <c r="D78" s="39">
        <v>5328.4236060000003</v>
      </c>
      <c r="E78" s="115">
        <f t="shared" si="4"/>
        <v>1609.7956513595166</v>
      </c>
      <c r="F78" s="112">
        <v>45958</v>
      </c>
      <c r="G78" s="71" t="s">
        <v>126</v>
      </c>
      <c r="H78" s="71">
        <f>IF(OR(G78="Sin pagar",G78="Pagar"),(_xlfn.SINGLE(NETWORKDAYS($J$21,F78,FestivosPerú!$A$2:$A$15))),0)</f>
        <v>0</v>
      </c>
      <c r="I78" s="71">
        <f>NETWORKDAYS($J$21,F78,FestivosPerú!$A$2:$A$15)</f>
        <v>19</v>
      </c>
      <c r="J78" s="117">
        <f t="shared" si="5"/>
        <v>0</v>
      </c>
      <c r="L78" s="127"/>
      <c r="M78" s="253"/>
    </row>
    <row r="79" spans="2:16" s="71" customFormat="1" outlineLevel="1">
      <c r="B79" s="119"/>
      <c r="C79" s="172" t="s">
        <v>768</v>
      </c>
      <c r="D79" s="39">
        <v>5311.590279</v>
      </c>
      <c r="E79" s="115">
        <f t="shared" si="4"/>
        <v>1604.7100540785498</v>
      </c>
      <c r="F79" s="112">
        <v>45958</v>
      </c>
      <c r="G79" s="71" t="s">
        <v>126</v>
      </c>
      <c r="H79" s="71">
        <f>IF(OR(G79="Sin pagar",G79="Pagar"),(_xlfn.SINGLE(NETWORKDAYS($J$21,F79,FestivosPerú!$A$2:$A$15))),0)</f>
        <v>0</v>
      </c>
      <c r="I79" s="71">
        <f>NETWORKDAYS($J$21,F79,FestivosPerú!$A$2:$A$15)</f>
        <v>19</v>
      </c>
      <c r="J79" s="117">
        <f t="shared" si="5"/>
        <v>0</v>
      </c>
      <c r="K79" s="120"/>
      <c r="L79" s="94"/>
      <c r="M79" s="300"/>
      <c r="N79" s="118"/>
    </row>
    <row r="80" spans="2:16" s="71" customFormat="1" outlineLevel="1">
      <c r="B80" s="119"/>
      <c r="C80" s="172" t="s">
        <v>650</v>
      </c>
      <c r="D80" s="39">
        <v>39008.323728000003</v>
      </c>
      <c r="E80" s="115">
        <f t="shared" si="4"/>
        <v>11784.99206283988</v>
      </c>
      <c r="F80" s="112">
        <v>45958</v>
      </c>
      <c r="G80" s="71" t="s">
        <v>126</v>
      </c>
      <c r="H80" s="71">
        <f>IF(OR(G80="Sin pagar",G80="Pagar"),(_xlfn.SINGLE(NETWORKDAYS($J$21,F80,FestivosPerú!$A$2:$A$15))),0)</f>
        <v>0</v>
      </c>
      <c r="I80" s="71">
        <f>NETWORKDAYS($J$21,F80,FestivosPerú!$A$2:$A$15)</f>
        <v>19</v>
      </c>
      <c r="J80" s="117">
        <f t="shared" si="5"/>
        <v>0</v>
      </c>
      <c r="K80" s="120"/>
      <c r="L80" s="94"/>
      <c r="M80" s="300"/>
      <c r="N80" s="118"/>
    </row>
    <row r="81" spans="1:15" s="71" customFormat="1" outlineLevel="1">
      <c r="B81" s="119"/>
      <c r="C81" s="172" t="s">
        <v>651</v>
      </c>
      <c r="D81" s="39">
        <v>12384.643728000001</v>
      </c>
      <c r="E81" s="115">
        <f t="shared" si="4"/>
        <v>3741.5842078549849</v>
      </c>
      <c r="F81" s="112">
        <v>45958</v>
      </c>
      <c r="G81" s="71" t="s">
        <v>126</v>
      </c>
      <c r="H81" s="71">
        <f>IF(OR(G81="Sin pagar",G81="Pagar"),(_xlfn.SINGLE(NETWORKDAYS($J$21,F81,FestivosPerú!$A$2:$A$15))),0)</f>
        <v>0</v>
      </c>
      <c r="I81" s="71">
        <f>NETWORKDAYS($J$21,F81,FestivosPerú!$A$2:$A$15)</f>
        <v>19</v>
      </c>
      <c r="J81" s="117">
        <f t="shared" si="5"/>
        <v>0</v>
      </c>
      <c r="K81" s="120"/>
      <c r="L81" s="94"/>
      <c r="M81" s="300"/>
      <c r="N81" s="118"/>
    </row>
    <row r="82" spans="1:15" s="71" customFormat="1" outlineLevel="1">
      <c r="B82" s="119"/>
      <c r="C82" s="172" t="s">
        <v>653</v>
      </c>
      <c r="D82" s="39">
        <v>12084.347334770831</v>
      </c>
      <c r="E82" s="115">
        <f t="shared" si="4"/>
        <v>3650.8602219851455</v>
      </c>
      <c r="F82" s="112">
        <v>45958</v>
      </c>
      <c r="G82" s="71" t="s">
        <v>126</v>
      </c>
      <c r="H82" s="71">
        <f>IF(OR(G82="Sin pagar",G82="Pagar"),(_xlfn.SINGLE(NETWORKDAYS($J$21,F82,FestivosPerú!$A$2:$A$15))),0)</f>
        <v>0</v>
      </c>
      <c r="I82" s="71">
        <f>NETWORKDAYS($J$21,F82,FestivosPerú!$A$2:$A$15)</f>
        <v>19</v>
      </c>
      <c r="J82" s="117">
        <f t="shared" si="5"/>
        <v>0</v>
      </c>
      <c r="K82" s="120"/>
      <c r="L82" s="94"/>
      <c r="M82" s="300"/>
      <c r="N82" s="118"/>
    </row>
    <row r="83" spans="1:15" s="71" customFormat="1" outlineLevel="1">
      <c r="B83" s="119"/>
      <c r="C83" s="172" t="s">
        <v>654</v>
      </c>
      <c r="D83" s="39">
        <v>7805.7917710000002</v>
      </c>
      <c r="E83" s="115">
        <f t="shared" si="4"/>
        <v>2358.245248036254</v>
      </c>
      <c r="F83" s="112">
        <v>45960</v>
      </c>
      <c r="G83" s="71" t="s">
        <v>126</v>
      </c>
      <c r="H83" s="71">
        <f>IF(OR(G83="Sin pagar",G83="Pagar"),(_xlfn.SINGLE(NETWORKDAYS($J$21,F83,FestivosPerú!$A$2:$A$15))),0)</f>
        <v>0</v>
      </c>
      <c r="I83" s="71">
        <f>NETWORKDAYS($J$21,F83,FestivosPerú!$A$2:$A$15)</f>
        <v>21</v>
      </c>
      <c r="J83" s="117">
        <f t="shared" si="5"/>
        <v>0</v>
      </c>
      <c r="K83" s="120"/>
      <c r="L83" s="94"/>
      <c r="M83" s="392">
        <v>7807.32</v>
      </c>
      <c r="N83" s="118">
        <f>M83-E83</f>
        <v>5449.0747519637462</v>
      </c>
    </row>
    <row r="84" spans="1:15" s="71" customFormat="1" ht="15" outlineLevel="1" thickBot="1">
      <c r="B84" s="119"/>
      <c r="C84" s="172" t="s">
        <v>769</v>
      </c>
      <c r="D84" s="39">
        <v>13739.403727999997</v>
      </c>
      <c r="E84" s="115">
        <f t="shared" si="4"/>
        <v>4150.8772592145006</v>
      </c>
      <c r="F84" s="112">
        <v>45959</v>
      </c>
      <c r="G84" s="71" t="s">
        <v>126</v>
      </c>
      <c r="H84" s="71">
        <f>IF(OR(G84="Sin pagar",G84="Pagar"),(_xlfn.SINGLE(NETWORKDAYS($J$21,F84,FestivosPerú!$A$2:$A$15))),0)</f>
        <v>0</v>
      </c>
      <c r="I84" s="71">
        <f>NETWORKDAYS($J$21,F84,FestivosPerú!$A$2:$A$15)</f>
        <v>20</v>
      </c>
      <c r="J84" s="117">
        <f t="shared" si="5"/>
        <v>0</v>
      </c>
      <c r="K84" s="120"/>
      <c r="L84" s="94"/>
      <c r="M84" s="300"/>
      <c r="N84" s="118"/>
    </row>
    <row r="85" spans="1:15" s="71" customFormat="1" ht="16.2" thickBot="1">
      <c r="C85" s="311" t="s">
        <v>642</v>
      </c>
      <c r="D85" s="312">
        <f>SUBTOTAL(9,D86:D92)</f>
        <v>14914.8681</v>
      </c>
      <c r="E85" s="313">
        <f>SUBTOTAL(9,E86:E92)</f>
        <v>4506.0024471299093</v>
      </c>
      <c r="H85" s="71">
        <f>IF(OR(G85="Sin pagar",G85="Pagar"),(_xlfn.SINGLE(NETWORKDAYS($J$21,F85,FestivosPerú!$A$2:$A$15))),0)</f>
        <v>0</v>
      </c>
      <c r="J85" s="301"/>
      <c r="K85" s="89"/>
      <c r="L85" s="124"/>
      <c r="N85" s="122"/>
      <c r="O85" s="101"/>
    </row>
    <row r="86" spans="1:15" s="71" customFormat="1" outlineLevel="1">
      <c r="B86" s="119"/>
      <c r="C86" s="172" t="s">
        <v>792</v>
      </c>
      <c r="D86" s="39">
        <v>790.7</v>
      </c>
      <c r="E86" s="115">
        <f>D86/$D$6</f>
        <v>238.8821752265861</v>
      </c>
      <c r="F86" s="112">
        <v>45958</v>
      </c>
      <c r="G86" s="71" t="s">
        <v>126</v>
      </c>
      <c r="H86" s="71">
        <f>IF(OR(G86="Sin pagar",G86="Pagar"),(_xlfn.SINGLE(NETWORKDAYS($J$21,F86,FestivosPerú!$A$2:$A$15))),0)</f>
        <v>0</v>
      </c>
      <c r="I86" s="71">
        <f>NETWORKDAYS($J$21,F86,FestivosPerú!$A$2:$A$15)</f>
        <v>19</v>
      </c>
      <c r="J86" s="117">
        <f t="shared" ref="J86:J92" si="6">H86</f>
        <v>0</v>
      </c>
      <c r="K86" s="120"/>
      <c r="L86" s="94"/>
      <c r="M86" s="300"/>
      <c r="N86" s="118"/>
    </row>
    <row r="87" spans="1:15" s="71" customFormat="1" outlineLevel="1">
      <c r="B87" s="119"/>
      <c r="C87" s="172" t="s">
        <v>788</v>
      </c>
      <c r="D87" s="39">
        <v>215</v>
      </c>
      <c r="E87" s="115">
        <f>D87/$D$6</f>
        <v>64.954682779456192</v>
      </c>
      <c r="F87" s="112">
        <v>45958</v>
      </c>
      <c r="G87" s="71" t="s">
        <v>126</v>
      </c>
      <c r="H87" s="71">
        <f>IF(OR(G87="Sin pagar",G87="Pagar"),(_xlfn.SINGLE(NETWORKDAYS($J$21,F87,FestivosPerú!$A$2:$A$15))),0)</f>
        <v>0</v>
      </c>
      <c r="I87" s="71">
        <f>NETWORKDAYS($J$21,F87,FestivosPerú!$A$2:$A$15)</f>
        <v>19</v>
      </c>
      <c r="J87" s="117">
        <f t="shared" si="6"/>
        <v>0</v>
      </c>
      <c r="K87" s="120"/>
      <c r="L87" s="94"/>
      <c r="M87" s="300"/>
      <c r="N87" s="118"/>
    </row>
    <row r="88" spans="1:15" s="71" customFormat="1" outlineLevel="1">
      <c r="B88" s="119"/>
      <c r="C88" s="172" t="s">
        <v>789</v>
      </c>
      <c r="D88" s="39">
        <v>605.80999999999995</v>
      </c>
      <c r="E88" s="115">
        <f>D88/$D$6</f>
        <v>183.02416918429</v>
      </c>
      <c r="F88" s="112">
        <v>45958</v>
      </c>
      <c r="G88" s="71" t="s">
        <v>126</v>
      </c>
      <c r="H88" s="71">
        <f>IF(OR(G88="Sin pagar",G88="Pagar"),(_xlfn.SINGLE(NETWORKDAYS($J$21,F88,FestivosPerú!$A$2:$A$15))),0)</f>
        <v>0</v>
      </c>
      <c r="I88" s="71">
        <f>NETWORKDAYS($J$21,F88,FestivosPerú!$A$2:$A$15)</f>
        <v>19</v>
      </c>
      <c r="J88" s="117">
        <f t="shared" si="6"/>
        <v>0</v>
      </c>
      <c r="K88" s="120"/>
      <c r="L88" s="94"/>
      <c r="M88" s="300"/>
      <c r="N88" s="118"/>
    </row>
    <row r="89" spans="1:15" s="71" customFormat="1" outlineLevel="1">
      <c r="B89" s="119"/>
      <c r="C89" s="172" t="s">
        <v>817</v>
      </c>
      <c r="D89" s="39">
        <v>5500</v>
      </c>
      <c r="E89" s="115">
        <f>D89/$D$6</f>
        <v>1661.631419939577</v>
      </c>
      <c r="F89" s="112">
        <v>45960</v>
      </c>
      <c r="G89" s="71" t="s">
        <v>126</v>
      </c>
      <c r="H89" s="71">
        <f>IF(OR(G89="Sin pagar",G89="Pagar"),(_xlfn.SINGLE(NETWORKDAYS($J$21,F89,FestivosPerú!$A$2:$A$15))),0)</f>
        <v>0</v>
      </c>
      <c r="I89" s="71">
        <f>NETWORKDAYS($J$21,F89,FestivosPerú!$A$2:$A$15)</f>
        <v>21</v>
      </c>
      <c r="J89" s="117">
        <f t="shared" si="6"/>
        <v>0</v>
      </c>
      <c r="K89" s="120"/>
      <c r="L89" s="94"/>
      <c r="M89" s="300"/>
      <c r="N89" s="118"/>
    </row>
    <row r="90" spans="1:15" s="71" customFormat="1" outlineLevel="1">
      <c r="B90" s="119"/>
      <c r="C90" s="172" t="s">
        <v>793</v>
      </c>
      <c r="D90" s="39">
        <f>E90*$D$6</f>
        <v>5446.4726000000001</v>
      </c>
      <c r="E90" s="115">
        <v>1645.46</v>
      </c>
      <c r="F90" s="112">
        <v>45958</v>
      </c>
      <c r="G90" s="71" t="s">
        <v>126</v>
      </c>
      <c r="H90" s="71">
        <f>IF(OR(G90="Sin pagar",G90="Pagar"),(_xlfn.SINGLE(NETWORKDAYS($J$21,F90,FestivosPerú!$A$2:$A$15))),0)</f>
        <v>0</v>
      </c>
      <c r="I90" s="71">
        <f>NETWORKDAYS($J$21,F90,FestivosPerú!$A$2:$A$15)</f>
        <v>19</v>
      </c>
      <c r="J90" s="117">
        <f t="shared" si="6"/>
        <v>0</v>
      </c>
      <c r="K90" s="120"/>
      <c r="L90" s="94"/>
      <c r="M90" s="300"/>
      <c r="N90" s="118"/>
    </row>
    <row r="91" spans="1:15" s="71" customFormat="1" outlineLevel="1">
      <c r="B91" s="119"/>
      <c r="C91" s="172" t="s">
        <v>790</v>
      </c>
      <c r="D91" s="39">
        <f>E91*$D$6</f>
        <v>288.63200000000001</v>
      </c>
      <c r="E91" s="115">
        <v>87.2</v>
      </c>
      <c r="F91" s="112">
        <v>45959</v>
      </c>
      <c r="G91" s="71" t="s">
        <v>126</v>
      </c>
      <c r="H91" s="71">
        <f>IF(OR(G91="Sin pagar",G91="Pagar"),(_xlfn.SINGLE(NETWORKDAYS($J$21,F91,FestivosPerú!$A$2:$A$15))),0)</f>
        <v>0</v>
      </c>
      <c r="I91" s="71">
        <f>NETWORKDAYS($J$21,F91,FestivosPerú!$A$2:$A$15)</f>
        <v>20</v>
      </c>
      <c r="J91" s="117">
        <f t="shared" si="6"/>
        <v>0</v>
      </c>
      <c r="K91" s="120"/>
      <c r="L91" s="94"/>
      <c r="M91" s="300"/>
      <c r="N91" s="118"/>
    </row>
    <row r="92" spans="1:15" s="71" customFormat="1" ht="15" outlineLevel="1" thickBot="1">
      <c r="B92" s="119"/>
      <c r="C92" s="172" t="s">
        <v>791</v>
      </c>
      <c r="D92" s="39">
        <f>E92*$D$6</f>
        <v>2068.2535000000003</v>
      </c>
      <c r="E92" s="115">
        <v>624.85</v>
      </c>
      <c r="F92" s="112">
        <v>45959</v>
      </c>
      <c r="G92" s="71" t="s">
        <v>126</v>
      </c>
      <c r="H92" s="71">
        <f>IF(OR(G92="Sin pagar",G92="Pagar"),(_xlfn.SINGLE(NETWORKDAYS($J$21,F92,FestivosPerú!$A$2:$A$15))),0)</f>
        <v>0</v>
      </c>
      <c r="I92" s="71">
        <f>NETWORKDAYS($J$21,F92,FestivosPerú!$A$2:$A$15)</f>
        <v>20</v>
      </c>
      <c r="J92" s="117">
        <f t="shared" si="6"/>
        <v>0</v>
      </c>
      <c r="K92" s="120"/>
      <c r="L92" s="94"/>
      <c r="M92" s="300"/>
      <c r="N92" s="118"/>
    </row>
    <row r="93" spans="1:15" s="71" customFormat="1" ht="16.2" thickBot="1">
      <c r="A93" s="126"/>
      <c r="B93" s="125"/>
      <c r="C93" s="311" t="s">
        <v>129</v>
      </c>
      <c r="D93" s="312">
        <f>SUBTOTAL(9,D94:D95)</f>
        <v>39159.96</v>
      </c>
      <c r="E93" s="313">
        <f>SUBTOTAL(9,E94:E95)</f>
        <v>15823.771223564954</v>
      </c>
      <c r="H93" s="71">
        <f>IF(OR(G93="Sin pagar",G93="Pagar"),(_xlfn.SINGLE(NETWORKDAYS($J$21,F93,FestivosPerú!$A$2:$A$15))),0)</f>
        <v>0</v>
      </c>
      <c r="L93" s="89"/>
    </row>
    <row r="94" spans="1:15" s="71" customFormat="1" ht="28.8" outlineLevel="1">
      <c r="A94" s="126"/>
      <c r="B94" s="128" t="s">
        <v>708</v>
      </c>
      <c r="C94" s="84" t="s">
        <v>709</v>
      </c>
      <c r="D94" s="39">
        <v>1327.5</v>
      </c>
      <c r="E94" s="115">
        <f>D94*$D$6</f>
        <v>4394.0249999999996</v>
      </c>
      <c r="F94" s="112">
        <v>45939</v>
      </c>
      <c r="G94" s="71" t="s">
        <v>126</v>
      </c>
      <c r="H94" s="71">
        <f>IF(OR(G94="Sin pagar",G94="Pagar"),(_xlfn.SINGLE(NETWORKDAYS($J$21,F94,FestivosPerú!$A$2:$A$15))),0)</f>
        <v>0</v>
      </c>
      <c r="I94" s="71">
        <f>NETWORKDAYS($J$21,F94,FestivosPerú!$A$2:$A$15)</f>
        <v>6</v>
      </c>
      <c r="J94" s="117">
        <f>H94</f>
        <v>0</v>
      </c>
      <c r="L94" s="89"/>
    </row>
    <row r="95" spans="1:15" s="71" customFormat="1" ht="15" outlineLevel="1" thickBot="1">
      <c r="A95" s="126"/>
      <c r="B95" s="128" t="s">
        <v>272</v>
      </c>
      <c r="C95" s="84" t="s">
        <v>819</v>
      </c>
      <c r="D95" s="39">
        <v>37832.46</v>
      </c>
      <c r="E95" s="115">
        <f>D95/$D$6</f>
        <v>11429.746223564955</v>
      </c>
      <c r="F95" s="112">
        <v>45960</v>
      </c>
      <c r="G95" s="71" t="s">
        <v>126</v>
      </c>
      <c r="H95" s="71">
        <f>IF(OR(G95="Sin pagar",G95="Pagar"),(_xlfn.SINGLE(NETWORKDAYS($J$21,F95,FestivosPerú!$A$2:$A$15))),0)</f>
        <v>0</v>
      </c>
      <c r="I95" s="71">
        <f>NETWORKDAYS($J$21,F95,FestivosPerú!$A$2:$A$15)</f>
        <v>21</v>
      </c>
      <c r="J95" s="117">
        <f>H95</f>
        <v>0</v>
      </c>
      <c r="L95" s="89"/>
    </row>
    <row r="96" spans="1:15" ht="15.6">
      <c r="C96" s="129" t="s">
        <v>130</v>
      </c>
      <c r="D96" s="227">
        <f>SUBTOTAL(9,D23:D95)</f>
        <v>422414.97186177084</v>
      </c>
      <c r="E96" s="228">
        <f>SUBTOTAL(9,E23:E95)</f>
        <v>131610.78387062563</v>
      </c>
    </row>
    <row r="97" spans="1:16" s="238" customFormat="1" ht="15.6">
      <c r="B97" s="239"/>
      <c r="C97" s="240"/>
      <c r="D97" s="241"/>
      <c r="E97" s="242"/>
    </row>
    <row r="98" spans="1:16" ht="15.6">
      <c r="A98" s="71"/>
      <c r="C98" s="134" t="s">
        <v>3</v>
      </c>
      <c r="D98" s="170">
        <f>D18-D96</f>
        <v>261568.9142767163</v>
      </c>
      <c r="E98" s="135">
        <f>E18-E96</f>
        <v>74676.314663660509</v>
      </c>
      <c r="F98" s="136"/>
      <c r="G98" s="136"/>
      <c r="J98" s="364"/>
    </row>
    <row r="99" spans="1:16" s="141" customFormat="1" ht="15.6">
      <c r="A99" s="71"/>
      <c r="B99" s="138"/>
      <c r="C99" s="134" t="s">
        <v>131</v>
      </c>
      <c r="D99" s="139">
        <f>IF($D$18=0,0,D98/$D$18)</f>
        <v>0.38241970253631979</v>
      </c>
      <c r="E99" s="139">
        <f>IF($E$18=0,0,E98/$E$18)</f>
        <v>0.36200186630308762</v>
      </c>
      <c r="F99" s="140"/>
      <c r="G99" s="137"/>
      <c r="J99" s="142"/>
      <c r="K99" s="367"/>
      <c r="L99" s="367"/>
      <c r="N99" s="367"/>
      <c r="O99" s="367"/>
      <c r="P99" s="367"/>
    </row>
    <row r="101" spans="1:16" ht="15" thickBot="1"/>
    <row r="102" spans="1:16">
      <c r="C102" s="197">
        <v>45931</v>
      </c>
      <c r="D102" s="198">
        <v>45935</v>
      </c>
      <c r="E102" s="199">
        <f>SUMIFS($D$22:$D$100,$F$22:$F$100,"&gt;="&amp;C102,$F$22:$F$100,"&lt;="&amp;D102,$G$22:$G$100,$D$120)</f>
        <v>0</v>
      </c>
      <c r="F102" s="204">
        <f>SUMIFS($D$22:$D$100,$F$22:$F$100,"&gt;="&amp;C102,$F$22:$F$100,"&lt;="&amp;D102,$G$22:$G$100,$D$120)</f>
        <v>0</v>
      </c>
      <c r="G102" s="367" t="s">
        <v>567</v>
      </c>
    </row>
    <row r="103" spans="1:16" ht="15.6">
      <c r="C103" s="326">
        <v>45936</v>
      </c>
      <c r="D103" s="327">
        <v>45936</v>
      </c>
      <c r="E103" s="203">
        <f>SUMIFS($D$22:$D$100,$F$22:$F$100,"&gt;="&amp;C103,$F$22:$F$100,"&lt;="&amp;D103,$G$22:$G$100,$D$120)</f>
        <v>0</v>
      </c>
      <c r="F103" s="204">
        <f t="shared" ref="F103:F109" si="7">SUMIFS($E$22:$E$100,$F$22:$F$100,"&gt;="&amp;C103,$F$22:$F$100,"&lt;="&amp;D103,$G$22:$G$100,$D$120)</f>
        <v>0</v>
      </c>
      <c r="G103" s="375" t="s">
        <v>693</v>
      </c>
    </row>
    <row r="104" spans="1:16">
      <c r="C104" s="326">
        <v>45937</v>
      </c>
      <c r="D104" s="327">
        <v>45942</v>
      </c>
      <c r="E104" s="203">
        <f t="shared" ref="E104:E109" si="8">SUMIFS($D$22:$D$100,$F$22:$F$100,"&gt;="&amp;C104,$F$22:$F$100,"&lt;="&amp;D104,$G$22:$G$100,$D$120)</f>
        <v>0</v>
      </c>
      <c r="F104" s="204">
        <f t="shared" si="7"/>
        <v>0</v>
      </c>
      <c r="G104" s="367" t="s">
        <v>694</v>
      </c>
    </row>
    <row r="105" spans="1:16">
      <c r="C105" s="326">
        <v>45943</v>
      </c>
      <c r="D105" s="327">
        <v>45943</v>
      </c>
      <c r="E105" s="203">
        <f t="shared" si="8"/>
        <v>0</v>
      </c>
      <c r="F105" s="204">
        <f t="shared" si="7"/>
        <v>0</v>
      </c>
    </row>
    <row r="106" spans="1:16">
      <c r="C106" s="380">
        <v>45944</v>
      </c>
      <c r="D106" s="327">
        <v>45944</v>
      </c>
      <c r="E106" s="203">
        <f t="shared" si="8"/>
        <v>0</v>
      </c>
      <c r="F106" s="204">
        <f t="shared" si="7"/>
        <v>0</v>
      </c>
      <c r="G106" s="367" t="s">
        <v>695</v>
      </c>
    </row>
    <row r="107" spans="1:16">
      <c r="C107" s="326">
        <v>45945</v>
      </c>
      <c r="D107" s="381">
        <v>45949</v>
      </c>
      <c r="E107" s="203">
        <f t="shared" si="8"/>
        <v>0</v>
      </c>
      <c r="F107" s="204">
        <f t="shared" si="7"/>
        <v>0</v>
      </c>
      <c r="G107" s="367" t="s">
        <v>696</v>
      </c>
    </row>
    <row r="108" spans="1:16" ht="15.6">
      <c r="C108" s="201">
        <v>45950</v>
      </c>
      <c r="D108" s="202">
        <v>45956</v>
      </c>
      <c r="E108" s="203">
        <f t="shared" si="8"/>
        <v>0</v>
      </c>
      <c r="F108" s="204">
        <f t="shared" si="7"/>
        <v>0</v>
      </c>
      <c r="G108" s="375" t="s">
        <v>697</v>
      </c>
    </row>
    <row r="109" spans="1:16" ht="16.2" thickBot="1">
      <c r="C109" s="205">
        <v>45957</v>
      </c>
      <c r="D109" s="206">
        <v>45961</v>
      </c>
      <c r="E109" s="207">
        <f t="shared" si="8"/>
        <v>0</v>
      </c>
      <c r="F109" s="208">
        <f t="shared" si="7"/>
        <v>0</v>
      </c>
      <c r="G109" s="375" t="s">
        <v>698</v>
      </c>
    </row>
    <row r="110" spans="1:16" ht="15.6">
      <c r="C110" s="524" t="s">
        <v>136</v>
      </c>
      <c r="D110" s="524"/>
      <c r="E110" s="323">
        <f>SUM(E102:E109)</f>
        <v>0</v>
      </c>
      <c r="F110" s="153">
        <f>SUM(F102:F109)</f>
        <v>0</v>
      </c>
      <c r="G110" s="77"/>
      <c r="K110" s="137"/>
      <c r="M110" s="154"/>
    </row>
    <row r="113" spans="3:6">
      <c r="C113" s="522" t="s">
        <v>208</v>
      </c>
      <c r="D113" s="522"/>
      <c r="E113" s="39">
        <f>'BCP SOLES BCP'!$G$694+('BCP USD BCP'!$G$349*D6)</f>
        <v>576862.7421431517</v>
      </c>
      <c r="F113" s="154">
        <f>('BCP SOLES BCP'!$G$694/$D$6)+'BCP USD BCP'!$G$349</f>
        <v>174278.77406137512</v>
      </c>
    </row>
    <row r="114" spans="3:6">
      <c r="C114" s="522" t="s">
        <v>763</v>
      </c>
      <c r="D114" s="522"/>
      <c r="E114" s="39">
        <f>SUM($E$102:$E$109)</f>
        <v>0</v>
      </c>
      <c r="F114" s="154">
        <f>SUM($F$102:$F$109)</f>
        <v>0</v>
      </c>
    </row>
    <row r="115" spans="3:6">
      <c r="C115" s="523" t="s">
        <v>138</v>
      </c>
      <c r="D115" s="523"/>
      <c r="E115" s="39">
        <f>E113-E114</f>
        <v>576862.7421431517</v>
      </c>
      <c r="F115" s="154">
        <f>F113-F114</f>
        <v>174278.77406137512</v>
      </c>
    </row>
    <row r="116" spans="3:6">
      <c r="C116" s="366"/>
      <c r="D116" s="366"/>
      <c r="E116" s="39"/>
      <c r="F116" s="154"/>
    </row>
    <row r="117" spans="3:6">
      <c r="C117" s="366"/>
      <c r="D117" s="366"/>
      <c r="E117" s="39"/>
      <c r="F117" s="154"/>
    </row>
    <row r="119" spans="3:6">
      <c r="D119" s="368" t="s">
        <v>126</v>
      </c>
      <c r="E119" s="39">
        <f>SUMIFS($D$22:$D$100,$F$22:$F$100,"&gt;="&amp;C102,$F$22:$F$100,"&lt;="&amp;D109,$G$22:$G$100,$D$119)</f>
        <v>422414.97186177084</v>
      </c>
      <c r="F119" s="154">
        <f>SUMIFS($E$22:$E$100,$F$22:$F$100,"&gt;="&amp;$C$102,$F$22:$F$100,"&lt;="&amp;D109,$G$22:$G$100,$D$119)</f>
        <v>131610.78387062563</v>
      </c>
    </row>
    <row r="120" spans="3:6">
      <c r="D120" s="231" t="s">
        <v>116</v>
      </c>
      <c r="E120" s="39">
        <f>SUMIFS($D$22:$D$100,$F$22:$F$100,"&gt;="&amp;C102,$F$22:$F$100,"&lt;="&amp;D109,$G$22:$G$100,$D$120)</f>
        <v>0</v>
      </c>
      <c r="F120" s="154">
        <f>SUMIFS($E$22:$E$100,$F$22:$F$100,"&gt;="&amp;$C$102,$F$22:$F$100,"&lt;="&amp;D109,$G$22:$G$100,$D$120)</f>
        <v>0</v>
      </c>
    </row>
    <row r="121" spans="3:6">
      <c r="D121" s="368" t="s">
        <v>249</v>
      </c>
      <c r="E121" s="167">
        <f>SUM(E119:E120)</f>
        <v>422414.97186177084</v>
      </c>
      <c r="F121" s="168">
        <f>SUM(F119:F120)</f>
        <v>131610.78387062563</v>
      </c>
    </row>
    <row r="122" spans="3:6">
      <c r="D122" s="368" t="s">
        <v>140</v>
      </c>
      <c r="E122" s="167">
        <f>D96-E121</f>
        <v>0</v>
      </c>
      <c r="F122" s="168">
        <f>E96-F121</f>
        <v>0</v>
      </c>
    </row>
    <row r="123" spans="3:6">
      <c r="E123" s="167"/>
      <c r="F123" s="168"/>
    </row>
    <row r="126" spans="3:6">
      <c r="E126" s="39"/>
    </row>
    <row r="127" spans="3:6">
      <c r="D127" s="398" t="s">
        <v>198</v>
      </c>
      <c r="E127" s="39">
        <f>D98</f>
        <v>261568.9142767163</v>
      </c>
    </row>
    <row r="128" spans="3:6">
      <c r="D128" s="398" t="s">
        <v>199</v>
      </c>
      <c r="E128" s="39">
        <f>'BCP SOLES BCP'!$G$610+('BCP USD BCP'!$G$262*$D$6)</f>
        <v>256263.7167937163</v>
      </c>
    </row>
    <row r="129" spans="4:5">
      <c r="D129" s="398" t="s">
        <v>39</v>
      </c>
      <c r="E129" s="39">
        <f>E127-E128</f>
        <v>5305.1974829999963</v>
      </c>
    </row>
    <row r="130" spans="4:5">
      <c r="D130" s="398" t="s">
        <v>200</v>
      </c>
      <c r="E130" s="154">
        <f>E129/D6</f>
        <v>1602.7786957703916</v>
      </c>
    </row>
    <row r="146" spans="3:7">
      <c r="C146" s="525"/>
      <c r="D146" s="526"/>
      <c r="E146" s="526"/>
      <c r="F146" s="525"/>
      <c r="G146" s="525"/>
    </row>
    <row r="147" spans="3:7">
      <c r="C147" s="259"/>
      <c r="F147" s="260"/>
      <c r="G147" s="261"/>
    </row>
    <row r="148" spans="3:7">
      <c r="C148" s="262" t="s">
        <v>338</v>
      </c>
      <c r="D148" s="39">
        <f>D29</f>
        <v>112</v>
      </c>
      <c r="E148" s="115">
        <f>D148/$D$6</f>
        <v>33.836858006042299</v>
      </c>
      <c r="F148" s="263">
        <v>45852</v>
      </c>
      <c r="G148" s="261"/>
    </row>
    <row r="149" spans="3:7">
      <c r="C149" s="264" t="s">
        <v>359</v>
      </c>
      <c r="D149" s="39" t="e">
        <f>#REF!</f>
        <v>#REF!</v>
      </c>
      <c r="E149" s="115" t="e">
        <f>D149/$D$6</f>
        <v>#REF!</v>
      </c>
      <c r="F149" s="263">
        <v>45852</v>
      </c>
      <c r="G149" s="261"/>
    </row>
    <row r="150" spans="3:7">
      <c r="C150" s="264" t="s">
        <v>360</v>
      </c>
      <c r="D150" s="39" t="e">
        <f>#REF!</f>
        <v>#REF!</v>
      </c>
      <c r="E150" s="115" t="e">
        <f>D150/$D$6</f>
        <v>#REF!</v>
      </c>
      <c r="F150" s="263">
        <v>45852</v>
      </c>
      <c r="G150" s="261"/>
    </row>
    <row r="151" spans="3:7">
      <c r="C151" s="262" t="s">
        <v>374</v>
      </c>
      <c r="D151" s="39" t="e">
        <f>#REF!</f>
        <v>#REF!</v>
      </c>
      <c r="E151" s="115" t="e">
        <f>D151/$D$6</f>
        <v>#REF!</v>
      </c>
      <c r="F151" s="263">
        <v>45856</v>
      </c>
      <c r="G151" s="261"/>
    </row>
    <row r="152" spans="3:7">
      <c r="C152" s="265" t="s">
        <v>61</v>
      </c>
      <c r="D152" s="167" t="e">
        <f>SUM(D148:D151)</f>
        <v>#REF!</v>
      </c>
      <c r="E152" s="258" t="e">
        <f>SUM(E148:E151)</f>
        <v>#REF!</v>
      </c>
      <c r="F152" s="260"/>
      <c r="G152" s="261"/>
    </row>
    <row r="153" spans="3:7">
      <c r="C153" s="259"/>
      <c r="F153" s="260"/>
      <c r="G153" s="261"/>
    </row>
    <row r="154" spans="3:7">
      <c r="C154" s="262" t="s">
        <v>378</v>
      </c>
      <c r="D154" s="39">
        <f>'BCP SOLES BCP'!G261</f>
        <v>3857.5109956666811</v>
      </c>
      <c r="E154" s="115">
        <f>D154/'Diferencia Cambio S&amp;P'!S23</f>
        <v>1096.5068208262312</v>
      </c>
      <c r="F154" s="260"/>
      <c r="G154" s="261"/>
    </row>
    <row r="155" spans="3:7">
      <c r="C155" s="264" t="s">
        <v>375</v>
      </c>
      <c r="D155" s="39" t="e">
        <f>D152-D154</f>
        <v>#REF!</v>
      </c>
      <c r="E155" s="115" t="e">
        <f>D155/'Diferencia Cambio S&amp;P'!S23</f>
        <v>#REF!</v>
      </c>
      <c r="F155" s="260"/>
      <c r="G155" s="261"/>
    </row>
    <row r="156" spans="3:7">
      <c r="C156" s="264" t="s">
        <v>376</v>
      </c>
      <c r="D156" s="39">
        <f>E156*'Diferencia Cambio S&amp;P'!S23</f>
        <v>13720.199999999999</v>
      </c>
      <c r="E156" s="115">
        <v>3900</v>
      </c>
      <c r="F156" s="270" t="e">
        <f>E156-E155</f>
        <v>#REF!</v>
      </c>
      <c r="G156" s="261"/>
    </row>
    <row r="157" spans="3:7">
      <c r="C157" s="265" t="s">
        <v>61</v>
      </c>
      <c r="D157" s="167">
        <f>D156+D154</f>
        <v>17577.710995666679</v>
      </c>
      <c r="E157" s="258">
        <f>E156+E154</f>
        <v>4996.506820826231</v>
      </c>
      <c r="F157" s="260"/>
      <c r="G157" s="261"/>
    </row>
    <row r="158" spans="3:7" ht="15" thickBot="1">
      <c r="C158" s="266"/>
      <c r="D158" s="267"/>
      <c r="E158" s="267"/>
      <c r="F158" s="268"/>
      <c r="G158" s="269"/>
    </row>
  </sheetData>
  <protectedRanges>
    <protectedRange sqref="F18:G18 D100:E100 D10:E11 D13:D17" name="Presupuestos"/>
    <protectedRange sqref="D8:E8 D22:E22" name="Presupuestos_1"/>
    <protectedRange sqref="D31:E33" name="Presupuestos_13_1"/>
    <protectedRange sqref="D52 E149:E150 E50:E52 E43:E48 E72:E84 E86:E92" name="Presupuestos_2_1_1_1"/>
    <protectedRange sqref="K51 D51 E151 E54 K43:K48 K72:K73 K77:K78" name="Presupuestos_6_1_1_1"/>
    <protectedRange sqref="D41:E41 D35:E35" name="Presupuestos_7_1"/>
    <protectedRange sqref="D151 D54" name="Presupuestos_5_3"/>
    <protectedRange sqref="D149:D150 P43:P47 D72:D73 D77:D78 D43:D48" name="Presupuestos_6_1_1_1_1"/>
    <protectedRange sqref="D36:E39" name="Presupuestos_7_1_1"/>
    <protectedRange sqref="E56" name="Presupuestos_7_1_2"/>
    <protectedRange sqref="D56" name="Presupuestos_5_3_1"/>
    <protectedRange sqref="E94:E95" name="Presupuestos_6_1_1_1_3"/>
    <protectedRange sqref="D94:D95" name="Presupuestos_5_3_3"/>
  </protectedRanges>
  <autoFilter ref="A22:S99" xr:uid="{009C2B75-A291-462C-B921-31A8CB3130E9}"/>
  <mergeCells count="11">
    <mergeCell ref="C113:D113"/>
    <mergeCell ref="C114:D114"/>
    <mergeCell ref="C115:D115"/>
    <mergeCell ref="C146:G146"/>
    <mergeCell ref="D7:E7"/>
    <mergeCell ref="B21:C21"/>
    <mergeCell ref="D21:E21"/>
    <mergeCell ref="F21:G21"/>
    <mergeCell ref="C110:D110"/>
    <mergeCell ref="M24:M26"/>
    <mergeCell ref="M58:M61"/>
  </mergeCells>
  <conditionalFormatting sqref="J30 J24:J26 J34 J57 J54 J50:J52 J72:J84 J43:J48 J86:J92">
    <cfRule type="cellIs" dxfId="241" priority="62" operator="between">
      <formula>1</formula>
      <formula>5</formula>
    </cfRule>
    <cfRule type="cellIs" dxfId="240" priority="63" operator="between">
      <formula>16</formula>
      <formula>60</formula>
    </cfRule>
  </conditionalFormatting>
  <conditionalFormatting sqref="J30 J24:J26 J34 J57 J54 J50:J52 J72:J84 J43:J48 J86:J92">
    <cfRule type="cellIs" dxfId="239" priority="61" operator="lessThan">
      <formula>0</formula>
    </cfRule>
  </conditionalFormatting>
  <conditionalFormatting sqref="J41">
    <cfRule type="cellIs" dxfId="238" priority="59" operator="between">
      <formula>1</formula>
      <formula>5</formula>
    </cfRule>
    <cfRule type="cellIs" dxfId="237" priority="60" operator="between">
      <formula>16</formula>
      <formula>60</formula>
    </cfRule>
  </conditionalFormatting>
  <conditionalFormatting sqref="J41">
    <cfRule type="cellIs" dxfId="236" priority="58" operator="lessThan">
      <formula>0</formula>
    </cfRule>
  </conditionalFormatting>
  <conditionalFormatting sqref="J28:J29 J63:J64 J58:J61 J66:J70">
    <cfRule type="cellIs" dxfId="235" priority="54" operator="lessThan">
      <formula>0</formula>
    </cfRule>
    <cfRule type="cellIs" dxfId="234" priority="55" operator="between">
      <formula>6</formula>
      <formula>15</formula>
    </cfRule>
    <cfRule type="cellIs" dxfId="233" priority="56" operator="between">
      <formula>1</formula>
      <formula>5</formula>
    </cfRule>
    <cfRule type="cellIs" dxfId="211" priority="57" operator="between">
      <formula>16</formula>
      <formula>60</formula>
    </cfRule>
  </conditionalFormatting>
  <conditionalFormatting sqref="J31:J33">
    <cfRule type="cellIs" dxfId="232" priority="50" operator="lessThan">
      <formula>0</formula>
    </cfRule>
    <cfRule type="cellIs" dxfId="231" priority="51" operator="between">
      <formula>6</formula>
      <formula>15</formula>
    </cfRule>
    <cfRule type="cellIs" dxfId="230" priority="52" operator="between">
      <formula>1</formula>
      <formula>5</formula>
    </cfRule>
    <cfRule type="cellIs" dxfId="210" priority="53" operator="between">
      <formula>16</formula>
      <formula>60</formula>
    </cfRule>
  </conditionalFormatting>
  <conditionalFormatting sqref="J35">
    <cfRule type="cellIs" dxfId="229" priority="39" operator="between">
      <formula>1</formula>
      <formula>5</formula>
    </cfRule>
    <cfRule type="cellIs" dxfId="228" priority="40" operator="between">
      <formula>16</formula>
      <formula>60</formula>
    </cfRule>
  </conditionalFormatting>
  <conditionalFormatting sqref="J35">
    <cfRule type="cellIs" dxfId="227" priority="38" operator="lessThan">
      <formula>0</formula>
    </cfRule>
  </conditionalFormatting>
  <conditionalFormatting sqref="J36:J39">
    <cfRule type="cellIs" dxfId="226" priority="34" operator="lessThan">
      <formula>0</formula>
    </cfRule>
    <cfRule type="cellIs" dxfId="225" priority="35" operator="between">
      <formula>6</formula>
      <formula>15</formula>
    </cfRule>
    <cfRule type="cellIs" dxfId="224" priority="36" operator="between">
      <formula>1</formula>
      <formula>5</formula>
    </cfRule>
    <cfRule type="cellIs" dxfId="209" priority="37" operator="between">
      <formula>16</formula>
      <formula>60</formula>
    </cfRule>
  </conditionalFormatting>
  <conditionalFormatting sqref="J56">
    <cfRule type="cellIs" dxfId="223" priority="32" operator="between">
      <formula>1</formula>
      <formula>5</formula>
    </cfRule>
    <cfRule type="cellIs" dxfId="222" priority="33" operator="between">
      <formula>16</formula>
      <formula>60</formula>
    </cfRule>
  </conditionalFormatting>
  <conditionalFormatting sqref="J56">
    <cfRule type="cellIs" dxfId="221" priority="31" operator="lessThan">
      <formula>0</formula>
    </cfRule>
  </conditionalFormatting>
  <conditionalFormatting sqref="J62">
    <cfRule type="cellIs" dxfId="220" priority="16" operator="between">
      <formula>1</formula>
      <formula>5</formula>
    </cfRule>
    <cfRule type="cellIs" dxfId="219" priority="17" operator="between">
      <formula>16</formula>
      <formula>60</formula>
    </cfRule>
  </conditionalFormatting>
  <conditionalFormatting sqref="J62">
    <cfRule type="cellIs" dxfId="218" priority="15" operator="lessThan">
      <formula>0</formula>
    </cfRule>
  </conditionalFormatting>
  <conditionalFormatting sqref="J65">
    <cfRule type="cellIs" dxfId="217" priority="13" operator="between">
      <formula>1</formula>
      <formula>5</formula>
    </cfRule>
    <cfRule type="cellIs" dxfId="216" priority="14" operator="between">
      <formula>16</formula>
      <formula>60</formula>
    </cfRule>
  </conditionalFormatting>
  <conditionalFormatting sqref="J65">
    <cfRule type="cellIs" dxfId="215" priority="12" operator="lessThan">
      <formula>0</formula>
    </cfRule>
  </conditionalFormatting>
  <conditionalFormatting sqref="J94:J95">
    <cfRule type="cellIs" dxfId="214" priority="4" operator="lessThan">
      <formula>0</formula>
    </cfRule>
    <cfRule type="cellIs" dxfId="213" priority="5" operator="between">
      <formula>6</formula>
      <formula>15</formula>
    </cfRule>
    <cfRule type="cellIs" dxfId="212" priority="6" operator="between">
      <formula>1</formula>
      <formula>5</formula>
    </cfRule>
    <cfRule type="cellIs" dxfId="208" priority="7" operator="between">
      <formula>16</formula>
      <formula>60</formula>
    </cfRule>
  </conditionalFormatting>
  <dataValidations disablePrompts="1" count="3">
    <dataValidation type="list" allowBlank="1" showInputMessage="1" showErrorMessage="1" sqref="D118:D120 G41 G56 G23:G26 G43:G48 G63:G64 G28:G29 G54 G72:G84 G58:G61 G86:G92 G35:G39 G66:G70 G50:G52 G31:G33 G94:G95" xr:uid="{358180DB-59C2-414D-8E17-C28F12C36B56}">
      <formula1>"Cancelado,Pagar,Sin Pagar"</formula1>
    </dataValidation>
    <dataValidation type="list" allowBlank="1" showInputMessage="1" showErrorMessage="1" sqref="D21 D7" xr:uid="{9D7C80CC-A5E2-4514-A4C9-59140CB3A627}">
      <formula1>"ENERO,FEBRERO,MARZO,ABRIL,MAYO,JUNIO,JULIO,AGOSTO,SEPTIEMBRE,OCTUBRE,NOVIEMBRE,DICIEMBRE"</formula1>
    </dataValidation>
    <dataValidation type="list" allowBlank="1" showInputMessage="1" showErrorMessage="1" sqref="B13:B17" xr:uid="{0C0CE089-8E6B-4277-9EF3-D8053BFC1D64}">
      <formula1>"Sin Pagar,Pagado"</formula1>
    </dataValidation>
  </dataValidations>
  <pageMargins left="0.7" right="0.7" top="0.75" bottom="0.75" header="0.3" footer="0.3"/>
  <pageSetup orientation="portrait" r:id="rId1"/>
  <ignoredErrors>
    <ignoredError sqref="J26:J27 J96 J29:J30 G14 J90:J92 N83 J32:J64 J66:J88" unlockedFormula="1"/>
    <ignoredError sqref="B64 B67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9349-729A-4CB2-A1B6-C1CF01AD14B6}">
  <dimension ref="A1:S188"/>
  <sheetViews>
    <sheetView showGridLines="0" topLeftCell="A9" zoomScaleNormal="100" workbookViewId="0">
      <selection activeCell="F27" sqref="F27"/>
    </sheetView>
  </sheetViews>
  <sheetFormatPr baseColWidth="10" defaultColWidth="9.109375" defaultRowHeight="14.4" outlineLevelRow="1"/>
  <cols>
    <col min="1" max="1" width="2.109375" style="397" customWidth="1"/>
    <col min="2" max="2" width="14.6640625" style="396" bestFit="1" customWidth="1"/>
    <col min="3" max="3" width="70.88671875" style="397" customWidth="1"/>
    <col min="4" max="4" width="24.44140625" style="398" customWidth="1"/>
    <col min="5" max="5" width="19.33203125" style="398" bestFit="1" customWidth="1"/>
    <col min="6" max="6" width="20.109375" style="397" bestFit="1" customWidth="1"/>
    <col min="7" max="7" width="16.88671875" style="397" customWidth="1"/>
    <col min="8" max="8" width="11.88671875" style="397" hidden="1" customWidth="1"/>
    <col min="9" max="9" width="6" style="397" hidden="1" customWidth="1"/>
    <col min="10" max="10" width="16.5546875" style="397" customWidth="1"/>
    <col min="11" max="11" width="2.109375" style="397" customWidth="1"/>
    <col min="12" max="12" width="2.33203125" style="397" customWidth="1"/>
    <col min="13" max="14" width="15.5546875" style="397" bestFit="1" customWidth="1"/>
    <col min="15" max="15" width="13.88671875" style="397" bestFit="1" customWidth="1"/>
    <col min="16" max="16" width="19.33203125" style="397" bestFit="1" customWidth="1"/>
    <col min="17" max="17" width="15.33203125" style="397" bestFit="1" customWidth="1"/>
    <col min="18" max="18" width="14" style="397" bestFit="1" customWidth="1"/>
    <col min="19" max="19" width="13" style="397" bestFit="1" customWidth="1"/>
    <col min="20" max="16384" width="9.109375" style="397"/>
  </cols>
  <sheetData>
    <row r="1" spans="2:14" hidden="1">
      <c r="D1" s="398">
        <v>42400</v>
      </c>
    </row>
    <row r="2" spans="2:14">
      <c r="D2" s="70"/>
      <c r="E2" s="70"/>
      <c r="I2" s="71"/>
    </row>
    <row r="3" spans="2:14">
      <c r="E3" s="72"/>
      <c r="I3" s="71"/>
    </row>
    <row r="4" spans="2:14" ht="15.6">
      <c r="B4" s="73"/>
      <c r="C4" s="73"/>
      <c r="D4" s="74" t="s">
        <v>109</v>
      </c>
      <c r="E4" s="75">
        <v>45962</v>
      </c>
      <c r="I4" s="71"/>
    </row>
    <row r="5" spans="2:14">
      <c r="D5" s="70"/>
      <c r="E5" s="70"/>
      <c r="I5" s="71"/>
    </row>
    <row r="6" spans="2:14">
      <c r="C6" s="76" t="s">
        <v>110</v>
      </c>
      <c r="D6" s="39">
        <v>3.31</v>
      </c>
      <c r="E6" s="70"/>
      <c r="I6" s="71"/>
      <c r="J6" s="85"/>
    </row>
    <row r="7" spans="2:14" ht="15.6">
      <c r="C7" s="77"/>
      <c r="D7" s="521" t="s">
        <v>822</v>
      </c>
      <c r="E7" s="521"/>
      <c r="I7" s="71"/>
      <c r="J7" s="85"/>
    </row>
    <row r="8" spans="2:14">
      <c r="D8" s="78" t="s">
        <v>142</v>
      </c>
      <c r="E8" s="78" t="s">
        <v>112</v>
      </c>
      <c r="J8" s="181"/>
    </row>
    <row r="9" spans="2:14" s="79" customFormat="1" ht="15.6">
      <c r="C9" s="80" t="s">
        <v>113</v>
      </c>
      <c r="D9" s="159">
        <f>SUBTOTAL(9,D10:D12)</f>
        <v>261979.92859371632</v>
      </c>
      <c r="E9" s="81">
        <f>SUBTOTAL(9,E10:E12)</f>
        <v>79148.014680881068</v>
      </c>
      <c r="F9" s="82"/>
      <c r="I9" s="71"/>
    </row>
    <row r="10" spans="2:14" s="71" customFormat="1" outlineLevel="1">
      <c r="B10" s="83"/>
      <c r="C10" s="84" t="s">
        <v>141</v>
      </c>
      <c r="D10" s="39">
        <f>'BCP SOLES BCP'!$G$610</f>
        <v>234887.30520773766</v>
      </c>
      <c r="E10" s="85">
        <f>D10/$D$6</f>
        <v>70962.93208692981</v>
      </c>
      <c r="F10" s="86"/>
    </row>
    <row r="11" spans="2:14" s="71" customFormat="1" outlineLevel="1">
      <c r="B11" s="83"/>
      <c r="C11" s="84" t="s">
        <v>114</v>
      </c>
      <c r="D11" s="39">
        <f>E11*$D$6</f>
        <v>26681.613385978646</v>
      </c>
      <c r="E11" s="85">
        <f>'BCP USD BCP'!$G$261</f>
        <v>8060.9103885131863</v>
      </c>
      <c r="F11" s="86"/>
    </row>
    <row r="12" spans="2:14" s="71" customFormat="1" ht="28.8" outlineLevel="1">
      <c r="B12" s="83"/>
      <c r="C12" s="84" t="s">
        <v>937</v>
      </c>
      <c r="D12" s="39">
        <f>'BCP SOLES BCP'!$E$667</f>
        <v>411.01</v>
      </c>
      <c r="E12" s="85">
        <f>D12/D6</f>
        <v>124.17220543806646</v>
      </c>
      <c r="F12" s="86"/>
    </row>
    <row r="13" spans="2:14" s="71" customFormat="1" ht="15.6">
      <c r="B13" s="83"/>
      <c r="C13" s="87" t="s">
        <v>115</v>
      </c>
      <c r="D13" s="159">
        <f>SUBTOTAL(9,D14:D23)</f>
        <v>850909.78415650583</v>
      </c>
      <c r="E13" s="81">
        <f>SUBTOTAL(9,E14:E23)</f>
        <v>292587.46999999997</v>
      </c>
      <c r="F13" s="303"/>
      <c r="G13" s="303"/>
      <c r="J13" s="183"/>
    </row>
    <row r="14" spans="2:14" s="71" customFormat="1" ht="28.8" outlineLevel="1">
      <c r="B14" s="252" t="s">
        <v>116</v>
      </c>
      <c r="C14" s="186" t="s">
        <v>824</v>
      </c>
      <c r="D14" s="39">
        <f>$E$14*3.2</f>
        <v>0</v>
      </c>
      <c r="E14" s="271">
        <f>2554.83*0</f>
        <v>0</v>
      </c>
      <c r="F14" s="85"/>
      <c r="G14" s="387"/>
      <c r="J14" s="387"/>
      <c r="M14" s="305">
        <f>G14-J14</f>
        <v>0</v>
      </c>
      <c r="N14" s="304"/>
    </row>
    <row r="15" spans="2:14" s="71" customFormat="1" outlineLevel="1">
      <c r="B15" s="176" t="s">
        <v>169</v>
      </c>
      <c r="C15" s="177" t="s">
        <v>823</v>
      </c>
      <c r="D15" s="40">
        <f>E15/'Diferencia Cambio Global'!$K$13</f>
        <v>11389.372156505915</v>
      </c>
      <c r="E15" s="185">
        <f>'Diferencia Cambio Global'!J13</f>
        <v>37550.76</v>
      </c>
      <c r="F15" s="271"/>
      <c r="G15" s="89"/>
      <c r="J15" s="304"/>
      <c r="M15" s="305"/>
      <c r="N15" s="304"/>
    </row>
    <row r="16" spans="2:14" s="71" customFormat="1" outlineLevel="1">
      <c r="B16" s="176" t="s">
        <v>169</v>
      </c>
      <c r="C16" s="370" t="s">
        <v>920</v>
      </c>
      <c r="D16" s="40">
        <f>E16*3.2</f>
        <v>20928.960000000003</v>
      </c>
      <c r="E16" s="185">
        <f>6776.3-E19</f>
        <v>6540.3</v>
      </c>
      <c r="F16" s="85"/>
      <c r="G16" s="387"/>
    </row>
    <row r="17" spans="1:19" s="71" customFormat="1" hidden="1" outlineLevel="1">
      <c r="B17" s="176"/>
      <c r="C17" s="370"/>
      <c r="D17" s="40"/>
      <c r="E17" s="185"/>
      <c r="F17" s="85"/>
      <c r="G17" s="387"/>
    </row>
    <row r="18" spans="1:19" s="71" customFormat="1" hidden="1" outlineLevel="1">
      <c r="B18" s="176"/>
      <c r="C18" s="370"/>
      <c r="D18" s="328">
        <f>E18*D6</f>
        <v>97930.91780000001</v>
      </c>
      <c r="E18" s="329">
        <v>29586.38</v>
      </c>
      <c r="F18" s="85"/>
      <c r="G18" s="387"/>
    </row>
    <row r="19" spans="1:19" s="71" customFormat="1" outlineLevel="1">
      <c r="B19" s="176" t="s">
        <v>169</v>
      </c>
      <c r="C19" s="370" t="s">
        <v>922</v>
      </c>
      <c r="D19" s="40">
        <f>E19*3.2</f>
        <v>755.2</v>
      </c>
      <c r="E19" s="185">
        <v>236</v>
      </c>
      <c r="F19" s="423"/>
      <c r="G19" s="387"/>
    </row>
    <row r="20" spans="1:19" s="342" customFormat="1" outlineLevel="1">
      <c r="B20" s="176" t="s">
        <v>169</v>
      </c>
      <c r="C20" s="370" t="s">
        <v>921</v>
      </c>
      <c r="D20" s="213">
        <f>E20*3.2</f>
        <v>91089.343999999997</v>
      </c>
      <c r="E20" s="178">
        <f>'BCP USD BCP'!E280-E21</f>
        <v>28465.42</v>
      </c>
      <c r="F20" s="85">
        <v>29459.42</v>
      </c>
      <c r="G20" s="387"/>
      <c r="H20" s="399"/>
      <c r="I20" s="399"/>
    </row>
    <row r="21" spans="1:19" s="342" customFormat="1" outlineLevel="1">
      <c r="B21" s="176" t="s">
        <v>169</v>
      </c>
      <c r="C21" s="370" t="s">
        <v>923</v>
      </c>
      <c r="D21" s="213">
        <f>E21*3.2</f>
        <v>3020.8</v>
      </c>
      <c r="E21" s="178">
        <v>944</v>
      </c>
      <c r="F21" s="423"/>
      <c r="G21" s="387"/>
      <c r="H21" s="399"/>
      <c r="I21" s="399"/>
    </row>
    <row r="22" spans="1:19" s="71" customFormat="1" outlineLevel="1">
      <c r="B22" s="436" t="s">
        <v>169</v>
      </c>
      <c r="C22" s="370" t="s">
        <v>965</v>
      </c>
      <c r="D22" s="213">
        <f>E22*3.2</f>
        <v>19510.367999999999</v>
      </c>
      <c r="E22" s="178">
        <f>6096.99</f>
        <v>6096.99</v>
      </c>
      <c r="F22" s="271"/>
    </row>
    <row r="23" spans="1:19" s="71" customFormat="1" outlineLevel="1">
      <c r="B23" s="176" t="s">
        <v>169</v>
      </c>
      <c r="C23" s="177" t="s">
        <v>924</v>
      </c>
      <c r="D23" s="213">
        <f>E23*$D$6</f>
        <v>606284.82219999994</v>
      </c>
      <c r="E23" s="185">
        <f>'BCP USD BCP'!E276+'BCP USD BCP'!E277</f>
        <v>183167.62</v>
      </c>
      <c r="F23" s="271">
        <v>183197.61</v>
      </c>
      <c r="G23" s="418">
        <f>+E23-F23</f>
        <v>-29.989999999990687</v>
      </c>
      <c r="J23" s="71" t="s">
        <v>930</v>
      </c>
      <c r="M23" s="305"/>
      <c r="N23" s="304"/>
    </row>
    <row r="24" spans="1:19" s="71" customFormat="1" ht="15.6">
      <c r="B24" s="83"/>
      <c r="C24" s="90" t="s">
        <v>117</v>
      </c>
      <c r="D24" s="226">
        <f>SUBTOTAL(9,D9:D23)</f>
        <v>1112889.7127502221</v>
      </c>
      <c r="E24" s="92">
        <f>SUBTOTAL(9,E9:E23)</f>
        <v>371735.48468088103</v>
      </c>
      <c r="F24" s="93"/>
      <c r="G24" s="85"/>
      <c r="J24" s="253"/>
      <c r="K24" s="94"/>
      <c r="O24" s="95"/>
      <c r="P24" s="96"/>
      <c r="Q24" s="97"/>
    </row>
    <row r="25" spans="1:19" s="71" customFormat="1" ht="15.6">
      <c r="B25" s="83"/>
      <c r="C25" s="98"/>
      <c r="D25" s="99"/>
      <c r="E25" s="99"/>
      <c r="G25" s="100"/>
      <c r="O25" s="96"/>
      <c r="P25" s="96"/>
    </row>
    <row r="26" spans="1:19" s="71" customFormat="1" ht="15.6">
      <c r="B26" s="83"/>
      <c r="N26" s="101"/>
      <c r="O26" s="102"/>
      <c r="P26" s="103"/>
    </row>
    <row r="27" spans="1:19" s="71" customFormat="1" ht="15.6">
      <c r="B27" s="521" t="s">
        <v>118</v>
      </c>
      <c r="C27" s="521"/>
      <c r="D27" s="521" t="s">
        <v>822</v>
      </c>
      <c r="E27" s="521"/>
      <c r="F27" s="521" t="s">
        <v>109</v>
      </c>
      <c r="G27" s="521"/>
      <c r="H27" s="395"/>
      <c r="I27" s="395"/>
      <c r="J27" s="175">
        <v>45962</v>
      </c>
      <c r="K27" s="103"/>
      <c r="L27" s="103"/>
      <c r="N27" s="101"/>
      <c r="R27" s="89"/>
      <c r="S27" s="89"/>
    </row>
    <row r="28" spans="1:19" s="71" customFormat="1" ht="16.2" thickBot="1">
      <c r="B28" s="104" t="s">
        <v>119</v>
      </c>
      <c r="C28" s="105" t="s">
        <v>120</v>
      </c>
      <c r="D28" s="78" t="s">
        <v>150</v>
      </c>
      <c r="E28" s="78" t="s">
        <v>112</v>
      </c>
      <c r="F28" s="106" t="s">
        <v>121</v>
      </c>
      <c r="G28" s="101" t="s">
        <v>122</v>
      </c>
      <c r="H28" s="101"/>
      <c r="I28" s="101"/>
      <c r="J28" s="107" t="s">
        <v>123</v>
      </c>
      <c r="N28" s="108"/>
      <c r="R28" s="89"/>
      <c r="S28" s="109"/>
    </row>
    <row r="29" spans="1:19" s="71" customFormat="1" ht="16.2" thickBot="1">
      <c r="B29" s="83"/>
      <c r="C29" s="110" t="s">
        <v>124</v>
      </c>
      <c r="D29" s="160">
        <f>SUBTOTAL(9,D30:D32)</f>
        <v>10516.72</v>
      </c>
      <c r="E29" s="111">
        <f>SUBTOTAL(9,E30:E32)</f>
        <v>3177.2567975830816</v>
      </c>
      <c r="F29" s="112"/>
      <c r="J29" s="113"/>
    </row>
    <row r="30" spans="1:19" s="71" customFormat="1" outlineLevel="1">
      <c r="B30" s="83">
        <v>2221860127</v>
      </c>
      <c r="C30" s="437" t="s">
        <v>825</v>
      </c>
      <c r="D30" s="39">
        <f>4191.3+749.79</f>
        <v>4941.09</v>
      </c>
      <c r="E30" s="115">
        <f>D30/$D$6</f>
        <v>1492.7764350453172</v>
      </c>
      <c r="F30" s="116">
        <v>45968</v>
      </c>
      <c r="G30" s="71" t="s">
        <v>126</v>
      </c>
      <c r="H30" s="71">
        <f>IF(OR(G30="Sin pagar",G30="Pagar"),(_xlfn.SINGLE(NETWORKDAYS($J$27,F30,FestivosPerú!$A$2:$A$15))),0)</f>
        <v>0</v>
      </c>
      <c r="I30" s="71">
        <f>NETWORKDAYS($J$27,F30,FestivosPerú!$A$2:$A$15)</f>
        <v>5</v>
      </c>
      <c r="J30" s="117">
        <f t="shared" ref="J30:J35" si="0">H30</f>
        <v>0</v>
      </c>
      <c r="M30" s="530" t="s">
        <v>699</v>
      </c>
      <c r="N30" s="86"/>
    </row>
    <row r="31" spans="1:19" s="71" customFormat="1" outlineLevel="1">
      <c r="A31" s="86"/>
      <c r="B31" s="331">
        <v>2517434836</v>
      </c>
      <c r="C31" s="376" t="s">
        <v>827</v>
      </c>
      <c r="D31" s="39">
        <f>3452.52+108.63</f>
        <v>3561.15</v>
      </c>
      <c r="E31" s="115">
        <f>D31/$D$6</f>
        <v>1075.8761329305137</v>
      </c>
      <c r="F31" s="116">
        <v>45968</v>
      </c>
      <c r="G31" s="71" t="s">
        <v>126</v>
      </c>
      <c r="H31" s="71">
        <f>IF(OR(G31="Sin pagar",G31="Pagar"),(_xlfn.SINGLE(NETWORKDAYS($J$27,F31,FestivosPerú!$A$2:$A$15))),0)</f>
        <v>0</v>
      </c>
      <c r="I31" s="71">
        <f>NETWORKDAYS($J$27,F31,FestivosPerú!$A$2:$A$15)</f>
        <v>5</v>
      </c>
      <c r="J31" s="117">
        <f t="shared" si="0"/>
        <v>0</v>
      </c>
      <c r="K31" s="89"/>
      <c r="L31" s="89"/>
      <c r="M31" s="530"/>
      <c r="N31" s="118"/>
      <c r="Q31" s="39"/>
      <c r="S31" s="374"/>
    </row>
    <row r="32" spans="1:19" s="71" customFormat="1" ht="15" outlineLevel="1" thickBot="1">
      <c r="A32" s="86"/>
      <c r="B32" s="330">
        <v>2609826962</v>
      </c>
      <c r="C32" s="376" t="s">
        <v>826</v>
      </c>
      <c r="D32" s="39">
        <f>1610.79+403.69</f>
        <v>2014.48</v>
      </c>
      <c r="E32" s="115">
        <f>D32/$D$6</f>
        <v>608.60422960725077</v>
      </c>
      <c r="F32" s="116">
        <v>45968</v>
      </c>
      <c r="G32" s="71" t="s">
        <v>126</v>
      </c>
      <c r="H32" s="71">
        <f>IF(OR(G32="Sin pagar",G32="Pagar"),(_xlfn.SINGLE(NETWORKDAYS($J$27,F32,FestivosPerú!$A$2:$A$15))),0)</f>
        <v>0</v>
      </c>
      <c r="I32" s="71">
        <f>NETWORKDAYS($J$27,F32,FestivosPerú!$A$2:$A$15)</f>
        <v>5</v>
      </c>
      <c r="J32" s="117">
        <f t="shared" si="0"/>
        <v>0</v>
      </c>
      <c r="K32" s="89"/>
      <c r="L32" s="89"/>
      <c r="M32" s="530"/>
      <c r="N32" s="118"/>
      <c r="Q32" s="39"/>
      <c r="S32" s="374"/>
    </row>
    <row r="33" spans="2:19" s="71" customFormat="1" ht="16.2" thickBot="1">
      <c r="B33" s="83"/>
      <c r="C33" s="110" t="s">
        <v>125</v>
      </c>
      <c r="D33" s="160">
        <f>SUBTOTAL(9,D34:D35)</f>
        <v>15569.27</v>
      </c>
      <c r="E33" s="111">
        <f>SUBTOTAL(9,E34:E35)</f>
        <v>4703.7069486404835</v>
      </c>
      <c r="H33" s="71">
        <f>IF(OR(G33="Sin pagar",G33="Pagar"),(_xlfn.SINGLE(NETWORKDAYS($J$27,F33,FestivosPerú!$A$2:$A$15))),0)</f>
        <v>0</v>
      </c>
      <c r="J33" s="113">
        <f t="shared" si="0"/>
        <v>0</v>
      </c>
      <c r="Q33" s="374"/>
      <c r="S33" s="374"/>
    </row>
    <row r="34" spans="2:19" s="71" customFormat="1" outlineLevel="1">
      <c r="B34" s="173"/>
      <c r="C34" s="84" t="s">
        <v>885</v>
      </c>
      <c r="D34" s="39">
        <v>15456</v>
      </c>
      <c r="E34" s="115">
        <f>D34/$D$6</f>
        <v>4669.4864048338368</v>
      </c>
      <c r="F34" s="116">
        <v>45975</v>
      </c>
      <c r="G34" s="71" t="s">
        <v>126</v>
      </c>
      <c r="H34" s="71">
        <f>IF(OR(G34="Sin pagar",G34="Pagar"),(_xlfn.SINGLE(NETWORKDAYS($J$27,F34,FestivosPerú!$A$2:$A$15))),0)</f>
        <v>0</v>
      </c>
      <c r="I34" s="71">
        <f>NETWORKDAYS($J$27,F34,FestivosPerú!$A$2:$A$15)</f>
        <v>10</v>
      </c>
      <c r="J34" s="117">
        <f t="shared" si="0"/>
        <v>0</v>
      </c>
      <c r="K34" s="120"/>
      <c r="L34" s="94"/>
      <c r="M34" s="377" t="s">
        <v>701</v>
      </c>
      <c r="N34" s="118"/>
      <c r="Q34" s="374"/>
    </row>
    <row r="35" spans="2:19" s="71" customFormat="1" ht="15" outlineLevel="1" thickBot="1">
      <c r="B35" s="119"/>
      <c r="C35" s="186" t="s">
        <v>828</v>
      </c>
      <c r="D35" s="209">
        <v>113.27</v>
      </c>
      <c r="E35" s="232">
        <f>D35/$D$6</f>
        <v>34.220543806646525</v>
      </c>
      <c r="F35" s="116">
        <v>45974</v>
      </c>
      <c r="G35" s="71" t="s">
        <v>126</v>
      </c>
      <c r="H35" s="71">
        <f>IF(OR(G35="Sin pagar",G35="Pagar"),(_xlfn.SINGLE(NETWORKDAYS($J$27,F35,FestivosPerú!$A$2:$A$15))),0)</f>
        <v>0</v>
      </c>
      <c r="I35" s="71">
        <f>NETWORKDAYS($J$27,F35,FestivosPerú!$A$2:$A$15)</f>
        <v>9</v>
      </c>
      <c r="J35" s="117">
        <f t="shared" si="0"/>
        <v>0</v>
      </c>
      <c r="K35" s="120"/>
      <c r="L35" s="94"/>
      <c r="M35" s="300" t="s">
        <v>700</v>
      </c>
      <c r="N35" s="118"/>
    </row>
    <row r="36" spans="2:19" s="71" customFormat="1" ht="16.2" thickBot="1">
      <c r="C36" s="110" t="s">
        <v>829</v>
      </c>
      <c r="D36" s="160">
        <f>SUBTOTAL(9,D37:D49)</f>
        <v>42997.119711111118</v>
      </c>
      <c r="E36" s="310">
        <f>SUBTOTAL(9,E37:E49)</f>
        <v>11654.416377979187</v>
      </c>
      <c r="H36" s="71">
        <f>IF(OR(G36="Sin pagar",G36="Pagar"),(_xlfn.SINGLE(NETWORKDAYS($J$27,F36,FestivosPerú!$A$2:$A$15))),0)</f>
        <v>0</v>
      </c>
      <c r="J36" s="301"/>
      <c r="K36" s="89"/>
      <c r="L36" s="124"/>
      <c r="N36" s="122"/>
      <c r="O36" s="101"/>
    </row>
    <row r="37" spans="2:19" s="71" customFormat="1" outlineLevel="1">
      <c r="B37" s="183" t="s">
        <v>860</v>
      </c>
      <c r="C37" s="186" t="s">
        <v>146</v>
      </c>
      <c r="D37" s="39">
        <v>9356.5</v>
      </c>
      <c r="E37" s="232">
        <f>D37/$D$6</f>
        <v>2826.7371601208461</v>
      </c>
      <c r="F37" s="112">
        <v>45973</v>
      </c>
      <c r="G37" s="71" t="s">
        <v>126</v>
      </c>
      <c r="H37" s="71">
        <f>IF(OR(G37="Sin pagar",G37="Pagar"),(_xlfn.SINGLE(NETWORKDAYS($J$27,F37,FestivosPerú!$A$2:$A$15))),0)</f>
        <v>0</v>
      </c>
      <c r="I37" s="71">
        <f>NETWORKDAYS($J$27,F37,FestivosPerú!$A$2:$A$15)</f>
        <v>8</v>
      </c>
      <c r="J37" s="117">
        <f t="shared" ref="J37:J42" si="1">H37</f>
        <v>0</v>
      </c>
      <c r="K37" s="120"/>
      <c r="L37" s="120"/>
      <c r="M37" s="409" t="s">
        <v>884</v>
      </c>
      <c r="N37" s="122"/>
      <c r="P37" s="39"/>
      <c r="Q37" s="253"/>
      <c r="R37" s="374"/>
    </row>
    <row r="38" spans="2:19" s="71" customFormat="1" outlineLevel="1">
      <c r="B38" s="183" t="s">
        <v>860</v>
      </c>
      <c r="C38" s="186" t="s">
        <v>176</v>
      </c>
      <c r="D38" s="39">
        <v>7000</v>
      </c>
      <c r="E38" s="232">
        <f>D38/$D$6</f>
        <v>2114.8036253776436</v>
      </c>
      <c r="F38" s="112">
        <v>45973</v>
      </c>
      <c r="G38" s="71" t="s">
        <v>126</v>
      </c>
      <c r="H38" s="71">
        <f>IF(OR(G38="Sin pagar",G38="Pagar"),(_xlfn.SINGLE(NETWORKDAYS($J$27,F38,FestivosPerú!$A$2:$A$15))),0)</f>
        <v>0</v>
      </c>
      <c r="I38" s="71">
        <f>NETWORKDAYS($J$27,F38,FestivosPerú!$A$2:$A$15)</f>
        <v>8</v>
      </c>
      <c r="J38" s="117">
        <f t="shared" si="1"/>
        <v>0</v>
      </c>
      <c r="K38" s="120"/>
      <c r="L38" s="120"/>
      <c r="M38" s="409" t="s">
        <v>884</v>
      </c>
      <c r="P38" s="39"/>
      <c r="Q38" s="253"/>
      <c r="R38" s="374"/>
    </row>
    <row r="39" spans="2:19" s="126" customFormat="1" outlineLevel="1">
      <c r="B39" s="183" t="s">
        <v>831</v>
      </c>
      <c r="C39" s="186" t="s">
        <v>275</v>
      </c>
      <c r="D39" s="39">
        <v>7000</v>
      </c>
      <c r="E39" s="232">
        <f>D39/$D$6</f>
        <v>2114.8036253776436</v>
      </c>
      <c r="F39" s="112">
        <v>45974</v>
      </c>
      <c r="G39" s="71" t="s">
        <v>126</v>
      </c>
      <c r="H39" s="71">
        <f>IF(OR(G39="Sin pagar",G39="Pagar"),(_xlfn.SINGLE(NETWORKDAYS($J$27,F39,FestivosPerú!$A$2:$A$15))),0)</f>
        <v>0</v>
      </c>
      <c r="I39" s="71">
        <f>NETWORKDAYS($J$27,F39,FestivosPerú!$A$2:$A$15)</f>
        <v>9</v>
      </c>
      <c r="J39" s="117">
        <f t="shared" si="1"/>
        <v>0</v>
      </c>
      <c r="L39" s="127"/>
      <c r="M39" s="409" t="s">
        <v>884</v>
      </c>
      <c r="P39" s="39"/>
      <c r="Q39" s="253"/>
      <c r="R39" s="374"/>
    </row>
    <row r="40" spans="2:19" s="126" customFormat="1" outlineLevel="1">
      <c r="B40" s="183" t="s">
        <v>860</v>
      </c>
      <c r="C40" s="186" t="s">
        <v>409</v>
      </c>
      <c r="D40" s="39">
        <v>4295</v>
      </c>
      <c r="E40" s="232">
        <f>D40/$D$6</f>
        <v>1297.5830815709969</v>
      </c>
      <c r="F40" s="112">
        <v>45974</v>
      </c>
      <c r="G40" s="71" t="s">
        <v>126</v>
      </c>
      <c r="H40" s="71">
        <f>IF(OR(G40="Sin pagar",G40="Pagar"),(_xlfn.SINGLE(NETWORKDAYS($J$27,F40,FestivosPerú!$A$2:$A$15))),0)</f>
        <v>0</v>
      </c>
      <c r="I40" s="71">
        <f>NETWORKDAYS($J$27,F40,FestivosPerú!$A$2:$A$15)</f>
        <v>9</v>
      </c>
      <c r="J40" s="117">
        <f t="shared" si="1"/>
        <v>0</v>
      </c>
      <c r="L40" s="127"/>
      <c r="M40" s="409" t="s">
        <v>884</v>
      </c>
      <c r="P40" s="39"/>
      <c r="Q40" s="253"/>
      <c r="R40" s="374"/>
    </row>
    <row r="41" spans="2:19" s="126" customFormat="1" outlineLevel="1">
      <c r="B41" s="404" t="s">
        <v>871</v>
      </c>
      <c r="C41" s="186" t="s">
        <v>671</v>
      </c>
      <c r="D41" s="39">
        <v>1533.34</v>
      </c>
      <c r="E41" s="232">
        <f>D41/$D$6</f>
        <v>463.24471299093653</v>
      </c>
      <c r="F41" s="112">
        <v>45974</v>
      </c>
      <c r="G41" s="71" t="s">
        <v>126</v>
      </c>
      <c r="H41" s="71">
        <f>IF(OR(G41="Sin pagar",G41="Pagar"),(_xlfn.SINGLE(NETWORKDAYS($J$27,F41,FestivosPerú!$A$2:$A$15))),0)</f>
        <v>0</v>
      </c>
      <c r="I41" s="71">
        <f>NETWORKDAYS($J$27,F41,FestivosPerú!$A$2:$A$15)</f>
        <v>9</v>
      </c>
      <c r="J41" s="117">
        <f t="shared" si="1"/>
        <v>0</v>
      </c>
      <c r="L41" s="127"/>
      <c r="M41" s="409" t="s">
        <v>884</v>
      </c>
      <c r="P41" s="39"/>
      <c r="Q41" s="253"/>
      <c r="R41" s="374"/>
    </row>
    <row r="42" spans="2:19" s="126" customFormat="1" outlineLevel="1">
      <c r="B42" s="125" t="s">
        <v>861</v>
      </c>
      <c r="C42" s="186" t="s">
        <v>410</v>
      </c>
      <c r="D42" s="39">
        <f>$E$42*$D$6</f>
        <v>5305.2017999999998</v>
      </c>
      <c r="E42" s="232">
        <v>1602.78</v>
      </c>
      <c r="F42" s="112">
        <v>45973</v>
      </c>
      <c r="G42" s="71" t="s">
        <v>126</v>
      </c>
      <c r="H42" s="71">
        <f>IF(OR(G42="Sin pagar",G42="Pagar"),(_xlfn.SINGLE(NETWORKDAYS($J$27,F42,FestivosPerú!$A$2:$A$15))),0)</f>
        <v>0</v>
      </c>
      <c r="I42" s="71">
        <f>NETWORKDAYS($J$27,F42,FestivosPerú!$A$2:$A$15)</f>
        <v>8</v>
      </c>
      <c r="J42" s="117">
        <f t="shared" si="1"/>
        <v>0</v>
      </c>
      <c r="L42" s="127"/>
      <c r="M42" s="409" t="s">
        <v>884</v>
      </c>
      <c r="P42" s="372"/>
      <c r="Q42" s="373"/>
      <c r="R42" s="371"/>
    </row>
    <row r="43" spans="2:19" s="71" customFormat="1" outlineLevel="1">
      <c r="B43" s="183" t="s">
        <v>860</v>
      </c>
      <c r="C43" s="186" t="s">
        <v>895</v>
      </c>
      <c r="D43" s="39">
        <v>1299.5105555555565</v>
      </c>
      <c r="E43" s="232">
        <f>D43/$D$6</f>
        <v>392.60137630077236</v>
      </c>
      <c r="F43" s="112">
        <v>45975</v>
      </c>
      <c r="G43" s="71" t="s">
        <v>126</v>
      </c>
      <c r="H43" s="71">
        <f>IF(OR(G43="Sin pagar",G43="Pagar"),(_xlfn.SINGLE(NETWORKDAYS($J$27,F43,FestivosPerú!$A$2:$A$15))),0)</f>
        <v>0</v>
      </c>
      <c r="I43" s="71">
        <f>NETWORKDAYS($J$27,F43,FestivosPerú!$A$2:$A$15)</f>
        <v>10</v>
      </c>
      <c r="J43" s="117">
        <f t="shared" ref="J43:J53" si="2">H43</f>
        <v>0</v>
      </c>
      <c r="K43" s="120"/>
      <c r="L43" s="120"/>
      <c r="M43" s="409" t="s">
        <v>884</v>
      </c>
      <c r="N43" s="122"/>
      <c r="P43" s="39"/>
      <c r="Q43" s="253"/>
      <c r="R43" s="374"/>
    </row>
    <row r="44" spans="2:19" s="71" customFormat="1" outlineLevel="1">
      <c r="B44" s="183" t="s">
        <v>860</v>
      </c>
      <c r="C44" s="186" t="s">
        <v>896</v>
      </c>
      <c r="D44" s="39">
        <v>583.33333333333303</v>
      </c>
      <c r="E44" s="232">
        <f>D44/$D$6</f>
        <v>176.23363544813685</v>
      </c>
      <c r="F44" s="112">
        <v>45975</v>
      </c>
      <c r="G44" s="71" t="s">
        <v>126</v>
      </c>
      <c r="H44" s="71">
        <f>IF(OR(G44="Sin pagar",G44="Pagar"),(_xlfn.SINGLE(NETWORKDAYS($J$27,F44,FestivosPerú!$A$2:$A$15))),0)</f>
        <v>0</v>
      </c>
      <c r="I44" s="71">
        <f>NETWORKDAYS($J$27,F44,FestivosPerú!$A$2:$A$15)</f>
        <v>10</v>
      </c>
      <c r="J44" s="117">
        <f t="shared" si="2"/>
        <v>0</v>
      </c>
      <c r="K44" s="120"/>
      <c r="L44" s="120"/>
      <c r="M44" s="409" t="s">
        <v>884</v>
      </c>
      <c r="P44" s="39"/>
      <c r="Q44" s="253"/>
      <c r="R44" s="374"/>
    </row>
    <row r="45" spans="2:19" s="126" customFormat="1" outlineLevel="1">
      <c r="B45" s="183" t="s">
        <v>831</v>
      </c>
      <c r="C45" s="186" t="s">
        <v>897</v>
      </c>
      <c r="D45" s="39">
        <v>388.88888888888869</v>
      </c>
      <c r="E45" s="232">
        <f>D45/$D$6</f>
        <v>117.48909029875792</v>
      </c>
      <c r="F45" s="112">
        <v>45975</v>
      </c>
      <c r="G45" s="71" t="s">
        <v>126</v>
      </c>
      <c r="H45" s="71">
        <f>IF(OR(G45="Sin pagar",G45="Pagar"),(_xlfn.SINGLE(NETWORKDAYS($J$27,F45,FestivosPerú!$A$2:$A$15))),0)</f>
        <v>0</v>
      </c>
      <c r="I45" s="71">
        <f>NETWORKDAYS($J$27,F45,FestivosPerú!$A$2:$A$15)</f>
        <v>10</v>
      </c>
      <c r="J45" s="117">
        <f t="shared" si="2"/>
        <v>0</v>
      </c>
      <c r="L45" s="127"/>
      <c r="M45" s="409" t="s">
        <v>884</v>
      </c>
      <c r="P45" s="39"/>
      <c r="Q45" s="253"/>
      <c r="R45" s="374"/>
    </row>
    <row r="46" spans="2:19" s="126" customFormat="1" outlineLevel="1">
      <c r="B46" s="183" t="s">
        <v>860</v>
      </c>
      <c r="C46" s="186" t="s">
        <v>898</v>
      </c>
      <c r="D46" s="39">
        <v>37.673333333333176</v>
      </c>
      <c r="E46" s="232">
        <f>D46/$D$6</f>
        <v>11.381671701913346</v>
      </c>
      <c r="F46" s="112">
        <v>45975</v>
      </c>
      <c r="G46" s="71" t="s">
        <v>126</v>
      </c>
      <c r="H46" s="71">
        <f>IF(OR(G46="Sin pagar",G46="Pagar"),(_xlfn.SINGLE(NETWORKDAYS($J$27,F46,FestivosPerú!$A$2:$A$15))),0)</f>
        <v>0</v>
      </c>
      <c r="I46" s="71">
        <f>NETWORKDAYS($J$27,F46,FestivosPerú!$A$2:$A$15)</f>
        <v>10</v>
      </c>
      <c r="J46" s="117">
        <f t="shared" si="2"/>
        <v>0</v>
      </c>
      <c r="L46" s="127"/>
      <c r="M46" s="409" t="s">
        <v>884</v>
      </c>
      <c r="P46" s="39"/>
      <c r="Q46" s="253"/>
      <c r="R46" s="374"/>
    </row>
    <row r="47" spans="2:19" s="126" customFormat="1" outlineLevel="1">
      <c r="B47" s="125" t="s">
        <v>861</v>
      </c>
      <c r="C47" s="186" t="s">
        <v>976</v>
      </c>
      <c r="D47" s="39">
        <f>$E$42*$D$6</f>
        <v>5305.2017999999998</v>
      </c>
      <c r="E47" s="232">
        <v>267.13</v>
      </c>
      <c r="F47" s="112">
        <v>45987</v>
      </c>
      <c r="G47" s="71" t="s">
        <v>126</v>
      </c>
      <c r="H47" s="71">
        <f>IF(OR(G47="Sin pagar",G47="Pagar"),(_xlfn.SINGLE(NETWORKDAYS($J$27,F47,FestivosPerú!$A$2:$A$15))),0)</f>
        <v>0</v>
      </c>
      <c r="I47" s="71">
        <f>NETWORKDAYS($J$27,F47,FestivosPerú!$A$2:$A$15)</f>
        <v>18</v>
      </c>
      <c r="J47" s="117">
        <f t="shared" si="2"/>
        <v>0</v>
      </c>
      <c r="L47" s="127"/>
      <c r="M47" s="409" t="s">
        <v>884</v>
      </c>
      <c r="P47" s="372"/>
      <c r="Q47" s="373"/>
      <c r="R47" s="371"/>
    </row>
    <row r="48" spans="2:19" s="126" customFormat="1" outlineLevel="1">
      <c r="B48" s="183" t="s">
        <v>860</v>
      </c>
      <c r="C48" s="186" t="s">
        <v>898</v>
      </c>
      <c r="D48" s="39">
        <v>722.11</v>
      </c>
      <c r="E48" s="232">
        <f>D48/$D$6</f>
        <v>218.16012084592145</v>
      </c>
      <c r="F48" s="112">
        <v>45987</v>
      </c>
      <c r="G48" s="71" t="s">
        <v>126</v>
      </c>
      <c r="H48" s="71">
        <f>IF(OR(G48="Sin pagar",G48="Pagar"),(_xlfn.SINGLE(NETWORKDAYS($J$27,F48,FestivosPerú!$A$2:$A$15))),0)</f>
        <v>0</v>
      </c>
      <c r="I48" s="71">
        <f>NETWORKDAYS($J$27,F48,FestivosPerú!$A$2:$A$15)</f>
        <v>18</v>
      </c>
      <c r="J48" s="117">
        <f>H48</f>
        <v>0</v>
      </c>
      <c r="L48" s="127"/>
      <c r="M48" s="409" t="s">
        <v>884</v>
      </c>
      <c r="P48" s="39"/>
      <c r="Q48" s="253"/>
      <c r="R48" s="374"/>
    </row>
    <row r="49" spans="2:18" s="126" customFormat="1" ht="15" outlineLevel="1" thickBot="1">
      <c r="B49" s="404" t="s">
        <v>871</v>
      </c>
      <c r="C49" s="186" t="s">
        <v>977</v>
      </c>
      <c r="D49" s="39">
        <v>170.36</v>
      </c>
      <c r="E49" s="232">
        <f>D49/$D$6</f>
        <v>51.468277945619342</v>
      </c>
      <c r="F49" s="112">
        <v>45988</v>
      </c>
      <c r="G49" s="71" t="s">
        <v>126</v>
      </c>
      <c r="H49" s="71">
        <f>IF(OR(G49="Sin pagar",G49="Pagar"),(_xlfn.SINGLE(NETWORKDAYS($J$27,F49,FestivosPerú!$A$2:$A$15))),0)</f>
        <v>0</v>
      </c>
      <c r="I49" s="71">
        <f>NETWORKDAYS($J$27,F49,FestivosPerú!$A$2:$A$15)</f>
        <v>19</v>
      </c>
      <c r="J49" s="117">
        <f>H49</f>
        <v>0</v>
      </c>
      <c r="L49" s="127"/>
      <c r="M49" s="409" t="s">
        <v>884</v>
      </c>
      <c r="P49" s="39"/>
      <c r="Q49" s="253"/>
      <c r="R49" s="374"/>
    </row>
    <row r="50" spans="2:18" s="71" customFormat="1" ht="16.2" thickBot="1">
      <c r="B50" s="83"/>
      <c r="C50" s="110" t="s">
        <v>144</v>
      </c>
      <c r="D50" s="160">
        <f>SUBTOTAL(9,D51:D53)</f>
        <v>4012</v>
      </c>
      <c r="E50" s="111">
        <f>SUBTOTAL(9,E51:E53)</f>
        <v>1212.084592145015</v>
      </c>
      <c r="H50" s="71">
        <f>IF(OR(G50="Sin pagar",G50="Pagar"),(_xlfn.SINGLE(NETWORKDAYS($J$27,F50,FestivosPerú!$A$2:$A$15))),0)</f>
        <v>0</v>
      </c>
      <c r="J50" s="117">
        <f t="shared" si="2"/>
        <v>0</v>
      </c>
      <c r="K50" s="89"/>
      <c r="L50" s="89"/>
      <c r="N50" s="118"/>
    </row>
    <row r="51" spans="2:18" s="71" customFormat="1" outlineLevel="1">
      <c r="B51" s="83" t="s">
        <v>935</v>
      </c>
      <c r="C51" s="186" t="s">
        <v>936</v>
      </c>
      <c r="D51" s="39">
        <v>1180</v>
      </c>
      <c r="E51" s="115">
        <f>D51/$D$6</f>
        <v>356.49546827794563</v>
      </c>
      <c r="F51" s="116">
        <v>45981</v>
      </c>
      <c r="G51" s="71" t="s">
        <v>126</v>
      </c>
      <c r="H51" s="71">
        <f>IF(OR(G51="Sin pagar",G51="Pagar"),(_xlfn.SINGLE(NETWORKDAYS($J$27,F51,FestivosPerú!$A$2:$A$15))),0)</f>
        <v>0</v>
      </c>
      <c r="I51" s="71">
        <f>NETWORKDAYS($J$27,F51,FestivosPerú!$A$2:$A$15)</f>
        <v>14</v>
      </c>
      <c r="J51" s="117">
        <f>H51</f>
        <v>0</v>
      </c>
      <c r="M51" s="299"/>
      <c r="N51" s="86"/>
    </row>
    <row r="52" spans="2:18" s="71" customFormat="1" outlineLevel="1">
      <c r="B52" s="83" t="s">
        <v>986</v>
      </c>
      <c r="C52" s="186" t="s">
        <v>638</v>
      </c>
      <c r="D52" s="39">
        <v>1416</v>
      </c>
      <c r="E52" s="115">
        <f>D52/$D$6</f>
        <v>427.79456193353474</v>
      </c>
      <c r="F52" s="116">
        <v>45988</v>
      </c>
      <c r="G52" s="71" t="s">
        <v>126</v>
      </c>
      <c r="H52" s="71">
        <f>IF(OR(G52="Sin pagar",G52="Pagar"),(_xlfn.SINGLE(NETWORKDAYS($J$27,F52,FestivosPerú!$A$2:$A$15))),0)</f>
        <v>0</v>
      </c>
      <c r="I52" s="71">
        <f>NETWORKDAYS($J$27,F52,FestivosPerú!$A$2:$A$15)</f>
        <v>19</v>
      </c>
      <c r="J52" s="117">
        <f t="shared" si="2"/>
        <v>0</v>
      </c>
      <c r="M52" s="299"/>
      <c r="N52" s="86"/>
    </row>
    <row r="53" spans="2:18" s="71" customFormat="1" ht="15" outlineLevel="1" thickBot="1">
      <c r="B53" s="83" t="s">
        <v>987</v>
      </c>
      <c r="C53" s="186" t="s">
        <v>639</v>
      </c>
      <c r="D53" s="39">
        <v>1416</v>
      </c>
      <c r="E53" s="115">
        <f>D53/$D$6</f>
        <v>427.79456193353474</v>
      </c>
      <c r="F53" s="116">
        <v>45988</v>
      </c>
      <c r="G53" s="71" t="s">
        <v>126</v>
      </c>
      <c r="H53" s="71">
        <f>IF(OR(G53="Sin pagar",G53="Pagar"),(_xlfn.SINGLE(NETWORKDAYS($J$27,F53,FestivosPerú!$A$2:$A$15))),0)</f>
        <v>0</v>
      </c>
      <c r="I53" s="71">
        <f>NETWORKDAYS($J$27,F53,FestivosPerú!$A$2:$A$15)</f>
        <v>19</v>
      </c>
      <c r="J53" s="117">
        <f t="shared" si="2"/>
        <v>0</v>
      </c>
      <c r="M53" s="299"/>
      <c r="N53" s="86"/>
    </row>
    <row r="54" spans="2:18" s="71" customFormat="1" ht="15" customHeight="1" thickBot="1">
      <c r="C54" s="110" t="s">
        <v>162</v>
      </c>
      <c r="D54" s="160">
        <f>SUBTOTAL(9,D55:D60)</f>
        <v>3536.48</v>
      </c>
      <c r="E54" s="111">
        <f>SUBTOTAL(9,E56:E60)</f>
        <v>581.36555891238675</v>
      </c>
      <c r="H54" s="71">
        <f>IF(OR(G54="Sin pagar",G54="Pagar"),(_xlfn.SINGLE(NETWORKDAYS($J$27,F54,FestivosPerú!$A$2:$A$15))),0)</f>
        <v>0</v>
      </c>
      <c r="J54" s="117"/>
      <c r="M54" s="122"/>
      <c r="N54" s="187"/>
      <c r="P54" s="187"/>
    </row>
    <row r="55" spans="2:18" s="71" customFormat="1" outlineLevel="1">
      <c r="B55" s="254"/>
      <c r="C55" s="186" t="s">
        <v>365</v>
      </c>
      <c r="D55" s="39">
        <v>1612.16</v>
      </c>
      <c r="E55" s="115">
        <f t="shared" ref="E55:E60" si="3">D55/$D$6</f>
        <v>487.05740181268885</v>
      </c>
      <c r="F55" s="112">
        <v>45962</v>
      </c>
      <c r="G55" s="71" t="s">
        <v>126</v>
      </c>
      <c r="J55" s="117"/>
      <c r="M55" s="299" t="s">
        <v>832</v>
      </c>
    </row>
    <row r="56" spans="2:18" s="71" customFormat="1" outlineLevel="1">
      <c r="B56" s="254" t="s">
        <v>272</v>
      </c>
      <c r="C56" s="186" t="s">
        <v>833</v>
      </c>
      <c r="D56" s="39">
        <v>926</v>
      </c>
      <c r="E56" s="115">
        <f t="shared" si="3"/>
        <v>279.75830815709969</v>
      </c>
      <c r="F56" s="112">
        <v>45972</v>
      </c>
      <c r="G56" s="71" t="s">
        <v>126</v>
      </c>
      <c r="H56" s="71">
        <f>IF(OR(G56="Sin pagar",G56="Pagar"),(_xlfn.SINGLE(NETWORKDAYS($J$27,F56,FestivosPerú!$A$2:$A$15))),0)</f>
        <v>0</v>
      </c>
      <c r="I56" s="71">
        <f>NETWORKDAYS($J$27,F56,FestivosPerú!$A$2:$A$15)</f>
        <v>7</v>
      </c>
      <c r="J56" s="117">
        <f>H56</f>
        <v>0</v>
      </c>
    </row>
    <row r="57" spans="2:18" s="71" customFormat="1" outlineLevel="1">
      <c r="B57" s="254" t="s">
        <v>1010</v>
      </c>
      <c r="C57" s="186" t="s">
        <v>952</v>
      </c>
      <c r="D57" s="39">
        <v>344.88</v>
      </c>
      <c r="E57" s="363">
        <f t="shared" si="3"/>
        <v>104.19335347432023</v>
      </c>
      <c r="F57" s="116">
        <v>45987</v>
      </c>
      <c r="G57" s="71" t="s">
        <v>126</v>
      </c>
      <c r="H57" s="71">
        <f>IF(OR(G57="Sin pagar",G57="Pagar"),(_xlfn.SINGLE(NETWORKDAYS($J$27,F57,FestivosPerú!$A$2:$A$15))),0)</f>
        <v>0</v>
      </c>
      <c r="I57" s="71">
        <f>NETWORKDAYS($J$27,F57,FestivosPerú!$A$2:$A$15)</f>
        <v>18</v>
      </c>
      <c r="J57" s="117">
        <f>H57</f>
        <v>0</v>
      </c>
    </row>
    <row r="58" spans="2:18" s="71" customFormat="1" outlineLevel="1">
      <c r="B58" s="254" t="s">
        <v>1009</v>
      </c>
      <c r="C58" s="186" t="s">
        <v>949</v>
      </c>
      <c r="D58" s="39">
        <v>355.23</v>
      </c>
      <c r="E58" s="363">
        <f t="shared" si="3"/>
        <v>107.32024169184291</v>
      </c>
      <c r="F58" s="116">
        <v>45987</v>
      </c>
      <c r="G58" s="71" t="s">
        <v>126</v>
      </c>
      <c r="H58" s="71">
        <f>IF(OR(G58="Sin pagar",G58="Pagar"),(_xlfn.SINGLE(NETWORKDAYS($J$27,F58,FestivosPerú!$A$2:$A$15))),0)</f>
        <v>0</v>
      </c>
      <c r="I58" s="71">
        <f>NETWORKDAYS($J$27,F58,FestivosPerú!$A$2:$A$15)</f>
        <v>18</v>
      </c>
      <c r="J58" s="117">
        <f>H58</f>
        <v>0</v>
      </c>
    </row>
    <row r="59" spans="2:18" s="71" customFormat="1" outlineLevel="1">
      <c r="B59" s="254" t="s">
        <v>1012</v>
      </c>
      <c r="C59" s="186" t="s">
        <v>950</v>
      </c>
      <c r="D59" s="39">
        <f>118</f>
        <v>118</v>
      </c>
      <c r="E59" s="363">
        <f t="shared" si="3"/>
        <v>35.649546827794559</v>
      </c>
      <c r="F59" s="116">
        <v>45987</v>
      </c>
      <c r="G59" s="71" t="s">
        <v>126</v>
      </c>
      <c r="H59" s="71">
        <f>IF(OR(G59="Sin pagar",G59="Pagar"),(_xlfn.SINGLE(NETWORKDAYS($J$27,F59,FestivosPerú!$A$2:$A$15))),0)</f>
        <v>0</v>
      </c>
      <c r="I59" s="71">
        <f>NETWORKDAYS($J$27,F59,FestivosPerú!$A$2:$A$15)</f>
        <v>18</v>
      </c>
      <c r="J59" s="117">
        <f>H59</f>
        <v>0</v>
      </c>
    </row>
    <row r="60" spans="2:18" s="71" customFormat="1" ht="15" outlineLevel="1" thickBot="1">
      <c r="B60" s="254" t="s">
        <v>1011</v>
      </c>
      <c r="C60" s="186" t="s">
        <v>951</v>
      </c>
      <c r="D60" s="39">
        <v>180.21</v>
      </c>
      <c r="E60" s="363">
        <f t="shared" si="3"/>
        <v>54.444108761329304</v>
      </c>
      <c r="F60" s="116">
        <v>45987</v>
      </c>
      <c r="G60" s="71" t="s">
        <v>126</v>
      </c>
      <c r="H60" s="71">
        <f>IF(OR(G60="Sin pagar",G60="Pagar"),(_xlfn.SINGLE(NETWORKDAYS($J$27,F60,FestivosPerú!$A$2:$A$15))),0)</f>
        <v>0</v>
      </c>
      <c r="I60" s="71">
        <f>NETWORKDAYS($J$27,F60,FestivosPerú!$A$2:$A$15)</f>
        <v>18</v>
      </c>
      <c r="J60" s="117">
        <f>H60</f>
        <v>0</v>
      </c>
    </row>
    <row r="61" spans="2:18" s="71" customFormat="1" ht="15.75" customHeight="1" thickBot="1">
      <c r="C61" s="110" t="s">
        <v>127</v>
      </c>
      <c r="D61" s="160">
        <f>SUBTOTAL(9,D62:D63)</f>
        <v>161.92760000000001</v>
      </c>
      <c r="E61" s="111">
        <f>SUBTOTAL(9,E62:E63)</f>
        <v>48.920725075528708</v>
      </c>
      <c r="H61" s="71">
        <f>IF(OR(G61="Sin pagar",G61="Pagar"),(_xlfn.SINGLE(NETWORKDAYS($J$27,F61,FestivosPerú!$A$2:$A$15))),0)</f>
        <v>0</v>
      </c>
      <c r="M61" s="122"/>
      <c r="N61" s="187"/>
      <c r="P61" s="187"/>
    </row>
    <row r="62" spans="2:18" s="71" customFormat="1" outlineLevel="1">
      <c r="B62" s="125"/>
      <c r="C62" s="84" t="s">
        <v>999</v>
      </c>
      <c r="D62" s="39">
        <f>(('BCP SOLES BCP'!F610+'BCP SOLES BCP'!F631+'BCP SOLES BCP'!F635+'BCP SOLES BCP'!F644+'BCP SOLES BCP'!F652+'BCP SOLES BCP'!F661+'BCP SOLES BCP'!F663+'BCP SOLES BCP'!F664/2+'BCP SOLES BCP'!F678+'BCP SOLES BCP'!F693+'BCP SOLES BCP'!F694+'BCP SOLES BCP'!F696+'BCP SOLES BCP'!F697+'BCP SOLES BCP'!F700+'BCP SOLES BCP'!F701+'BCP SOLES BCP'!F710+'BCP SOLES BCP'!F713/2+'BCP SOLES BCP'!F714))+'BBVA SOLES'!F20+'BBVA SOLES'!F28+('BBVA SOLES'!F36/2)</f>
        <v>89.240000000000009</v>
      </c>
      <c r="E62" s="115">
        <f>$D$62/$D$6</f>
        <v>26.960725075528703</v>
      </c>
      <c r="F62" s="112">
        <v>45991</v>
      </c>
      <c r="G62" s="71" t="s">
        <v>126</v>
      </c>
      <c r="H62" s="71">
        <f>IF(OR(G62="Sin pagar",G62="Pagar"),(_xlfn.SINGLE(NETWORKDAYS($J$27,F62,FestivosPerú!$A$2:$A$15))),0)</f>
        <v>0</v>
      </c>
      <c r="I62" s="71">
        <f>NETWORKDAYS($J$27,F62,FestivosPerú!$A$2:$A$15)</f>
        <v>20</v>
      </c>
      <c r="J62" s="117">
        <f>H62</f>
        <v>0</v>
      </c>
      <c r="K62" s="120"/>
      <c r="L62" s="120"/>
    </row>
    <row r="63" spans="2:18" s="71" customFormat="1" ht="15" outlineLevel="1" thickBot="1">
      <c r="B63" s="125"/>
      <c r="C63" s="84" t="s">
        <v>1000</v>
      </c>
      <c r="D63" s="39">
        <f>E63*D6</f>
        <v>72.687600000000003</v>
      </c>
      <c r="E63" s="115">
        <f>('BCP USD BCP'!F261/2)+'BCP USD BCP'!F263+('BCP USD BCP'!F275/2)+'BCP USD BCP'!F281+('BCP USD BCP'!F282/2)+('BCP USD BCP'!F283/2)+'BCP USD BCP'!F296+'BCP USD BCP'!F297+'BCP USD BCP'!F301+('BCP USD BCP'!F302/2)+('BCP USD BCP'!F303/2)+'BBVA USD'!F15+('BBVA USD'!F16/2)</f>
        <v>21.96</v>
      </c>
      <c r="F63" s="112">
        <v>45991</v>
      </c>
      <c r="G63" s="71" t="s">
        <v>126</v>
      </c>
      <c r="H63" s="71">
        <f>IF(OR(G63="Sin pagar",G63="Pagar"),(_xlfn.SINGLE(NETWORKDAYS($J$27,F63,FestivosPerú!$A$2:$A$15))),0)</f>
        <v>0</v>
      </c>
      <c r="I63" s="71">
        <f>NETWORKDAYS($J$27,F63,FestivosPerú!$A$2:$A$15)</f>
        <v>20</v>
      </c>
      <c r="J63" s="117">
        <f>H63</f>
        <v>0</v>
      </c>
      <c r="K63" s="120"/>
      <c r="L63" s="120"/>
    </row>
    <row r="64" spans="2:18" s="71" customFormat="1" ht="16.2" thickBot="1">
      <c r="C64" s="110" t="s">
        <v>539</v>
      </c>
      <c r="D64" s="160">
        <f>SUBTOTAL(9,D65:D70)</f>
        <v>67373.12299500918</v>
      </c>
      <c r="E64" s="310">
        <f>SUBTOTAL(9,E65:E70)</f>
        <v>20354.417823265612</v>
      </c>
      <c r="H64" s="71">
        <f>IF(OR(G64="Sin pagar",G64="Pagar"),(_xlfn.SINGLE(NETWORKDAYS($J$27,F64,FestivosPerú!$A$2:$A$15))),0)</f>
        <v>0</v>
      </c>
      <c r="J64" s="301"/>
      <c r="K64" s="89"/>
      <c r="L64" s="124"/>
      <c r="N64" s="122"/>
      <c r="O64" s="101"/>
    </row>
    <row r="65" spans="1:18" s="71" customFormat="1" outlineLevel="1">
      <c r="B65" s="183" t="s">
        <v>33</v>
      </c>
      <c r="C65" s="186" t="s">
        <v>146</v>
      </c>
      <c r="D65" s="39">
        <v>14314.77</v>
      </c>
      <c r="E65" s="115">
        <f>D65/$D$6</f>
        <v>4324.7039274924473</v>
      </c>
      <c r="F65" s="112">
        <v>45988</v>
      </c>
      <c r="G65" s="71" t="s">
        <v>126</v>
      </c>
      <c r="H65" s="71">
        <f>IF(OR(G65="Sin pagar",G65="Pagar"),(_xlfn.SINGLE(NETWORKDAYS($J$27,F65,FestivosPerú!$A$2:$A$15))),0)</f>
        <v>0</v>
      </c>
      <c r="I65" s="71">
        <f>NETWORKDAYS($J$27,F65,FestivosPerú!$A$2:$A$15)</f>
        <v>19</v>
      </c>
      <c r="J65" s="117">
        <f t="shared" ref="J65:J70" si="4">H65</f>
        <v>0</v>
      </c>
      <c r="K65" s="120"/>
      <c r="L65" s="120"/>
      <c r="M65" s="253"/>
      <c r="N65" s="122"/>
      <c r="P65" s="39"/>
      <c r="Q65" s="253"/>
      <c r="R65" s="374"/>
    </row>
    <row r="66" spans="1:18" s="71" customFormat="1" outlineLevel="1">
      <c r="B66" s="183" t="s">
        <v>33</v>
      </c>
      <c r="C66" s="186" t="s">
        <v>176</v>
      </c>
      <c r="D66" s="39">
        <v>11107.4</v>
      </c>
      <c r="E66" s="115">
        <f>D66/$D$6</f>
        <v>3355.7099697885196</v>
      </c>
      <c r="F66" s="112">
        <v>45988</v>
      </c>
      <c r="G66" s="71" t="s">
        <v>126</v>
      </c>
      <c r="H66" s="71">
        <f>IF(OR(G66="Sin pagar",G66="Pagar"),(_xlfn.SINGLE(NETWORKDAYS($J$27,F66,FestivosPerú!$A$2:$A$15))),0)</f>
        <v>0</v>
      </c>
      <c r="I66" s="71">
        <f>NETWORKDAYS($J$27,F66,FestivosPerú!$A$2:$A$15)</f>
        <v>19</v>
      </c>
      <c r="J66" s="117">
        <f t="shared" si="4"/>
        <v>0</v>
      </c>
      <c r="K66" s="120"/>
      <c r="L66" s="120"/>
      <c r="M66" s="253"/>
      <c r="P66" s="39"/>
      <c r="Q66" s="253"/>
      <c r="R66" s="374"/>
    </row>
    <row r="67" spans="1:18" s="126" customFormat="1" outlineLevel="1">
      <c r="B67" s="183" t="s">
        <v>33</v>
      </c>
      <c r="C67" s="186" t="s">
        <v>275</v>
      </c>
      <c r="D67" s="39">
        <v>10944.19</v>
      </c>
      <c r="E67" s="115">
        <f>D67/$D$6</f>
        <v>3306.4018126888218</v>
      </c>
      <c r="F67" s="112">
        <v>45988</v>
      </c>
      <c r="G67" s="71" t="s">
        <v>126</v>
      </c>
      <c r="H67" s="71">
        <f>IF(OR(G67="Sin pagar",G67="Pagar"),(_xlfn.SINGLE(NETWORKDAYS($J$27,F67,FestivosPerú!$A$2:$A$15))),0)</f>
        <v>0</v>
      </c>
      <c r="I67" s="71">
        <f>NETWORKDAYS($J$27,F67,FestivosPerú!$A$2:$A$15)</f>
        <v>19</v>
      </c>
      <c r="J67" s="117">
        <f t="shared" si="4"/>
        <v>0</v>
      </c>
      <c r="L67" s="127"/>
      <c r="M67" s="309"/>
      <c r="P67" s="39"/>
      <c r="Q67" s="253"/>
      <c r="R67" s="374"/>
    </row>
    <row r="68" spans="1:18" s="126" customFormat="1" outlineLevel="1">
      <c r="B68" s="183" t="s">
        <v>33</v>
      </c>
      <c r="C68" s="186" t="s">
        <v>409</v>
      </c>
      <c r="D68" s="39">
        <v>10701.130000000001</v>
      </c>
      <c r="E68" s="115">
        <f>D68/$D$6</f>
        <v>3232.9697885196379</v>
      </c>
      <c r="F68" s="112">
        <v>45988</v>
      </c>
      <c r="G68" s="71" t="s">
        <v>126</v>
      </c>
      <c r="H68" s="71">
        <f>IF(OR(G68="Sin pagar",G68="Pagar"),(_xlfn.SINGLE(NETWORKDAYS($J$27,F68,FestivosPerú!$A$2:$A$15))),0)</f>
        <v>0</v>
      </c>
      <c r="I68" s="71">
        <f>NETWORKDAYS($J$27,F68,FestivosPerú!$A$2:$A$15)</f>
        <v>19</v>
      </c>
      <c r="J68" s="117">
        <f t="shared" si="4"/>
        <v>0</v>
      </c>
      <c r="L68" s="127"/>
      <c r="M68" s="253"/>
      <c r="P68" s="39"/>
      <c r="Q68" s="253"/>
      <c r="R68" s="374"/>
    </row>
    <row r="69" spans="1:18" s="126" customFormat="1" outlineLevel="1">
      <c r="B69" s="183" t="s">
        <v>33</v>
      </c>
      <c r="C69" s="186" t="s">
        <v>671</v>
      </c>
      <c r="D69" s="39">
        <f>7140.76+3</f>
        <v>7143.76</v>
      </c>
      <c r="E69" s="115">
        <f>D69/$D$6</f>
        <v>2158.235649546828</v>
      </c>
      <c r="F69" s="112">
        <v>45988</v>
      </c>
      <c r="G69" s="71" t="s">
        <v>126</v>
      </c>
      <c r="H69" s="71">
        <f>IF(OR(G69="Sin pagar",G69="Pagar"),(_xlfn.SINGLE(NETWORKDAYS($J$27,F69,FestivosPerú!$A$2:$A$15))),0)</f>
        <v>0</v>
      </c>
      <c r="I69" s="71">
        <f>NETWORKDAYS($J$27,F69,FestivosPerú!$A$2:$A$15)</f>
        <v>19</v>
      </c>
      <c r="J69" s="117">
        <f>H69</f>
        <v>0</v>
      </c>
      <c r="L69" s="127"/>
      <c r="M69" s="253"/>
      <c r="P69" s="39"/>
      <c r="Q69" s="253"/>
      <c r="R69" s="374"/>
    </row>
    <row r="70" spans="1:18" s="126" customFormat="1" ht="15" outlineLevel="1" thickBot="1">
      <c r="B70" s="125" t="s">
        <v>4</v>
      </c>
      <c r="C70" s="186" t="s">
        <v>410</v>
      </c>
      <c r="D70" s="39">
        <f>E70*D6</f>
        <v>13161.872995009177</v>
      </c>
      <c r="E70" s="115">
        <v>3976.3966752293582</v>
      </c>
      <c r="F70" s="112">
        <v>45988</v>
      </c>
      <c r="G70" s="71" t="s">
        <v>126</v>
      </c>
      <c r="H70" s="71">
        <f>IF(OR(G70="Sin pagar",G70="Pagar"),(_xlfn.SINGLE(NETWORKDAYS($J$27,F70,FestivosPerú!$A$2:$A$15))),0)</f>
        <v>0</v>
      </c>
      <c r="I70" s="71">
        <f>NETWORKDAYS($J$27,F70,FestivosPerú!$A$2:$A$15)</f>
        <v>19</v>
      </c>
      <c r="J70" s="117">
        <f t="shared" si="4"/>
        <v>0</v>
      </c>
      <c r="L70" s="127"/>
      <c r="M70" s="253"/>
      <c r="P70" s="372"/>
      <c r="Q70" s="373"/>
      <c r="R70" s="371"/>
    </row>
    <row r="71" spans="1:18" s="71" customFormat="1" ht="16.2" thickBot="1">
      <c r="A71" s="126"/>
      <c r="B71" s="125"/>
      <c r="C71" s="110" t="s">
        <v>177</v>
      </c>
      <c r="D71" s="160">
        <f>SUBTOTAL(9,D72:D75)</f>
        <v>15685.61</v>
      </c>
      <c r="E71" s="111">
        <f>SUBTOTAL(9,E72:E75)</f>
        <v>4738.8549848942594</v>
      </c>
      <c r="H71" s="71">
        <f>IF(OR(G71="Sin pagar",G71="Pagar"),(_xlfn.SINGLE(NETWORKDAYS($J$27,F71,FestivosPerú!$A$2:$A$15))),0)</f>
        <v>0</v>
      </c>
      <c r="L71" s="89"/>
    </row>
    <row r="72" spans="1:18" s="71" customFormat="1" outlineLevel="1">
      <c r="A72" s="126"/>
      <c r="B72" s="128"/>
      <c r="C72" s="84" t="s">
        <v>178</v>
      </c>
      <c r="D72" s="40">
        <v>3406.28</v>
      </c>
      <c r="E72" s="115">
        <f>D72/$D$6</f>
        <v>1029.0876132930514</v>
      </c>
      <c r="F72" s="112">
        <v>45987</v>
      </c>
      <c r="G72" s="71" t="s">
        <v>126</v>
      </c>
      <c r="H72" s="71">
        <f>IF(OR(G72="Sin pagar",G72="Pagar"),(_xlfn.SINGLE(NETWORKDAYS($J$27,F72,FestivosPerú!$A$2:$A$15))),0)</f>
        <v>0</v>
      </c>
      <c r="I72" s="71">
        <f>NETWORKDAYS($J$27,F72,FestivosPerú!$A$2:$A$15)</f>
        <v>18</v>
      </c>
      <c r="J72" s="117">
        <f>H72</f>
        <v>0</v>
      </c>
      <c r="L72" s="89"/>
      <c r="P72" s="372"/>
    </row>
    <row r="73" spans="1:18" s="71" customFormat="1" outlineLevel="1">
      <c r="A73" s="126"/>
      <c r="B73" s="128"/>
      <c r="C73" s="84" t="s">
        <v>236</v>
      </c>
      <c r="D73" s="40">
        <v>9497.52</v>
      </c>
      <c r="E73" s="115">
        <f>D73/$D$6</f>
        <v>2869.3413897280966</v>
      </c>
      <c r="F73" s="112">
        <v>45987</v>
      </c>
      <c r="G73" s="71" t="s">
        <v>126</v>
      </c>
      <c r="H73" s="71">
        <f>IF(OR(G73="Sin pagar",G73="Pagar"),(_xlfn.SINGLE(NETWORKDAYS($J$27,F73,FestivosPerú!$A$2:$A$15))),0)</f>
        <v>0</v>
      </c>
      <c r="I73" s="71">
        <f>NETWORKDAYS($J$27,F73,FestivosPerú!$A$2:$A$15)</f>
        <v>18</v>
      </c>
      <c r="J73" s="117">
        <f>H73</f>
        <v>0</v>
      </c>
      <c r="L73" s="89"/>
    </row>
    <row r="74" spans="1:18" s="71" customFormat="1" outlineLevel="1">
      <c r="A74" s="126"/>
      <c r="B74" s="128"/>
      <c r="C74" s="84" t="s">
        <v>326</v>
      </c>
      <c r="D74" s="40">
        <v>701.08</v>
      </c>
      <c r="E74" s="115">
        <f>D74/$D$6</f>
        <v>211.80664652567978</v>
      </c>
      <c r="F74" s="112">
        <v>45987</v>
      </c>
      <c r="G74" s="71" t="s">
        <v>126</v>
      </c>
      <c r="H74" s="71">
        <f>IF(OR(G74="Sin pagar",G74="Pagar"),(_xlfn.SINGLE(NETWORKDAYS($J$27,F74,FestivosPerú!$A$2:$A$15))),0)</f>
        <v>0</v>
      </c>
      <c r="I74" s="71">
        <f>NETWORKDAYS($J$27,F74,FestivosPerú!$A$2:$A$15)</f>
        <v>18</v>
      </c>
      <c r="J74" s="117">
        <f>H74</f>
        <v>0</v>
      </c>
      <c r="L74" s="89"/>
    </row>
    <row r="75" spans="1:18" s="71" customFormat="1" ht="15" outlineLevel="1" thickBot="1">
      <c r="A75" s="126"/>
      <c r="B75" s="128"/>
      <c r="C75" s="84" t="s">
        <v>945</v>
      </c>
      <c r="D75" s="39">
        <v>2080.73</v>
      </c>
      <c r="E75" s="439">
        <f>D75/$D$6</f>
        <v>628.61933534743207</v>
      </c>
      <c r="F75" s="112">
        <v>45987</v>
      </c>
      <c r="G75" s="71" t="s">
        <v>126</v>
      </c>
      <c r="H75" s="71">
        <f>IF(OR(G75="Sin pagar",G75="Pagar"),(_xlfn.SINGLE(NETWORKDAYS($J$27,F75,FestivosPerú!$A$2:$A$15))),0)</f>
        <v>0</v>
      </c>
      <c r="I75" s="71">
        <f>NETWORKDAYS($J$27,F75,FestivosPerú!$A$2:$A$15)</f>
        <v>18</v>
      </c>
      <c r="J75" s="117">
        <f>H75</f>
        <v>0</v>
      </c>
      <c r="L75" s="89"/>
    </row>
    <row r="76" spans="1:18" s="71" customFormat="1" ht="16.2" thickBot="1">
      <c r="A76" s="126"/>
      <c r="B76" s="125"/>
      <c r="C76" s="110" t="s">
        <v>129</v>
      </c>
      <c r="D76" s="160">
        <f>SUBTOTAL(9,D77:D78)</f>
        <v>1158.5</v>
      </c>
      <c r="E76" s="111">
        <f>SUBTOTAL(9,E77:E78)</f>
        <v>350</v>
      </c>
      <c r="H76" s="71">
        <f>IF(OR(G76="Sin pagar",G76="Pagar"),(_xlfn.SINGLE(NETWORKDAYS($J$27,F76,FestivosPerú!$A$2:$A$15))),0)</f>
        <v>0</v>
      </c>
      <c r="L76" s="89"/>
    </row>
    <row r="77" spans="1:18" s="71" customFormat="1" outlineLevel="1">
      <c r="A77" s="126"/>
      <c r="B77" s="128"/>
      <c r="C77" s="84" t="s">
        <v>1013</v>
      </c>
      <c r="D77" s="39">
        <f>E77*$D$6</f>
        <v>1158.5</v>
      </c>
      <c r="E77" s="115">
        <v>350</v>
      </c>
      <c r="F77" s="112">
        <v>45995</v>
      </c>
      <c r="G77" s="71" t="s">
        <v>116</v>
      </c>
      <c r="H77" s="71">
        <f>IF(OR(G77="Sin pagar",G77="Pagar"),(_xlfn.SINGLE(NETWORKDAYS($J$27,F77,FestivosPerú!$A$2:$A$15))),0)</f>
        <v>24</v>
      </c>
      <c r="I77" s="71">
        <f>NETWORKDAYS($J$27,F77,FestivosPerú!$A$2:$A$15)</f>
        <v>24</v>
      </c>
      <c r="J77" s="117">
        <f>H77</f>
        <v>24</v>
      </c>
      <c r="L77" s="89"/>
    </row>
    <row r="78" spans="1:18" s="71" customFormat="1" ht="15" outlineLevel="1" thickBot="1">
      <c r="A78" s="126"/>
      <c r="B78" s="128"/>
      <c r="C78" s="84" t="s">
        <v>447</v>
      </c>
      <c r="D78" s="39">
        <f>$E$78*$D$6</f>
        <v>0</v>
      </c>
      <c r="E78" s="115">
        <f>3900*0</f>
        <v>0</v>
      </c>
      <c r="F78" s="112">
        <v>45991</v>
      </c>
      <c r="G78" s="71" t="s">
        <v>126</v>
      </c>
      <c r="H78" s="71">
        <f>IF(OR(G78="Sin pagar",G78="Pagar"),(_xlfn.SINGLE(NETWORKDAYS($J$27,F78,FestivosPerú!$A$2:$A$15))),0)</f>
        <v>0</v>
      </c>
      <c r="I78" s="71">
        <f>NETWORKDAYS($J$27,F78,FestivosPerú!$A$2:$A$15)</f>
        <v>20</v>
      </c>
      <c r="J78" s="117">
        <f>H78</f>
        <v>0</v>
      </c>
      <c r="L78" s="89"/>
    </row>
    <row r="79" spans="1:18" s="71" customFormat="1" ht="15.75" customHeight="1" thickBot="1">
      <c r="C79" s="311" t="s">
        <v>565</v>
      </c>
      <c r="D79" s="312">
        <f>SUBTOTAL(9,D80:D81)</f>
        <v>131.66959999999997</v>
      </c>
      <c r="E79" s="313">
        <f>SUBTOTAL(9,E80:E81)</f>
        <v>39.779335347432017</v>
      </c>
      <c r="H79" s="71">
        <f>IF(OR(G79="Sin pagar",G79="Pagar"),(_xlfn.SINGLE(NETWORKDAYS($J$27,F79,FestivosPerú!$A$2:$A$15))),0)</f>
        <v>0</v>
      </c>
      <c r="M79" s="122"/>
      <c r="N79" s="187"/>
      <c r="P79" s="187"/>
    </row>
    <row r="80" spans="1:18" s="71" customFormat="1" outlineLevel="1">
      <c r="A80" s="126"/>
      <c r="B80" s="128"/>
      <c r="C80" s="84" t="s">
        <v>999</v>
      </c>
      <c r="D80" s="39">
        <f>'BCP SOLES BCP'!F619+'BCP SOLES BCP'!F622+'BCP SOLES BCP'!F624+'BCP SOLES BCP'!F629+'BCP SOLES BCP'!F666+'BCP SOLES BCP'!F685+'BCP SOLES BCP'!F687+'BCP SOLES BCP'!F688+'BCP SOLES BCP'!F690+'BCP SOLES BCP'!F691+'BCP SOLES BCP'!F703+'BCP SOLES BCP'!F705+('BCP SOLES BCP'!F713/2)+('BCP SOLES BCP'!F714/2)+'BBVA SOLES'!F17+'BBVA SOLES'!F18+'BBVA SOLES'!F22+'BBVA SOLES'!F25+'BBVA SOLES'!F26+'BBVA SOLES'!F30+'BBVA SOLES'!F31+'BBVA SOLES'!F33</f>
        <v>68.249999999999986</v>
      </c>
      <c r="E80" s="115">
        <f>D80/D6</f>
        <v>20.61933534743202</v>
      </c>
      <c r="F80" s="112">
        <v>45991</v>
      </c>
      <c r="G80" s="71" t="s">
        <v>126</v>
      </c>
      <c r="H80" s="71">
        <f>IF(OR(G80="Sin pagar",G80="Pagar"),(_xlfn.SINGLE(NETWORKDAYS($J$27,F80,FestivosPerú!$A$2:$A$15))),0)</f>
        <v>0</v>
      </c>
      <c r="I80" s="71">
        <f>NETWORKDAYS($J$27,F80,FestivosPerú!$A$2:$A$15)</f>
        <v>20</v>
      </c>
      <c r="J80" s="117">
        <f>H80</f>
        <v>0</v>
      </c>
      <c r="L80" s="89"/>
    </row>
    <row r="81" spans="1:16" s="71" customFormat="1" ht="15" outlineLevel="1" thickBot="1">
      <c r="A81" s="126"/>
      <c r="B81" s="128"/>
      <c r="C81" s="84" t="s">
        <v>1001</v>
      </c>
      <c r="D81" s="39">
        <f>E81*$D$6</f>
        <v>63.419599999999988</v>
      </c>
      <c r="E81" s="115">
        <f>('BCP USD BCP'!F261/2)+'BCP USD BCP'!F265+'BCP USD BCP'!F278+'BCP USD BCP'!F294+('BCP USD BCP'!F302/2)+('BCP USD BCP'!F303/2)</f>
        <v>19.159999999999997</v>
      </c>
      <c r="F81" s="112">
        <v>45991</v>
      </c>
      <c r="G81" s="71" t="s">
        <v>126</v>
      </c>
      <c r="H81" s="71">
        <f>IF(OR(G81="Sin pagar",G81="Pagar"),(_xlfn.SINGLE(NETWORKDAYS($J$27,F81,FestivosPerú!$A$2:$A$15))),0)</f>
        <v>0</v>
      </c>
      <c r="I81" s="71">
        <f>NETWORKDAYS($J$27,F81,FestivosPerú!$A$2:$A$15)</f>
        <v>20</v>
      </c>
      <c r="J81" s="117">
        <f>H81</f>
        <v>0</v>
      </c>
      <c r="L81" s="89"/>
    </row>
    <row r="82" spans="1:16" s="71" customFormat="1" ht="16.2" thickBot="1">
      <c r="A82" s="126"/>
      <c r="B82" s="125"/>
      <c r="C82" s="311" t="s">
        <v>124</v>
      </c>
      <c r="D82" s="312">
        <f>SUBTOTAL(9,D83:D86)</f>
        <v>26739.379999999997</v>
      </c>
      <c r="E82" s="313">
        <f>SUBTOTAL(9,E83:E86)</f>
        <v>8078.3625377643502</v>
      </c>
      <c r="H82" s="71">
        <f>IF(OR(G82="Sin pagar",G82="Pagar"),(_xlfn.SINGLE(NETWORKDAYS($J$27,F82,FestivosPerú!$A$2:$A$15))),0)</f>
        <v>0</v>
      </c>
      <c r="J82" s="117"/>
      <c r="L82" s="89"/>
    </row>
    <row r="83" spans="1:16" s="71" customFormat="1" outlineLevel="1">
      <c r="A83" s="86"/>
      <c r="B83" s="83">
        <v>2609693703</v>
      </c>
      <c r="C83" s="172" t="s">
        <v>571</v>
      </c>
      <c r="D83" s="39">
        <f>8232.77+1108.2</f>
        <v>9340.9700000000012</v>
      </c>
      <c r="E83" s="115">
        <f>D83/$D$6</f>
        <v>2822.0453172205439</v>
      </c>
      <c r="F83" s="116">
        <v>45973</v>
      </c>
      <c r="G83" s="71" t="s">
        <v>126</v>
      </c>
      <c r="H83" s="71">
        <f>IF(OR(G83="Sin pagar",G83="Pagar"),(_xlfn.SINGLE(NETWORKDAYS($J$27,F83,FestivosPerú!$A$2:$A$15))),0)</f>
        <v>0</v>
      </c>
      <c r="I83" s="71">
        <f>NETWORKDAYS($J$27,F83,FestivosPerú!$A$2:$A$15)</f>
        <v>8</v>
      </c>
      <c r="J83" s="117">
        <f>H83</f>
        <v>0</v>
      </c>
      <c r="K83" s="89"/>
      <c r="L83" s="89"/>
      <c r="M83" s="532" t="s">
        <v>883</v>
      </c>
      <c r="N83" s="39"/>
      <c r="O83" s="374"/>
      <c r="P83" s="187"/>
    </row>
    <row r="84" spans="1:16" s="71" customFormat="1" outlineLevel="1">
      <c r="A84" s="86"/>
      <c r="B84" s="83">
        <v>2221507476</v>
      </c>
      <c r="C84" s="172" t="s">
        <v>572</v>
      </c>
      <c r="D84" s="39">
        <f>4522.37+969.07</f>
        <v>5491.44</v>
      </c>
      <c r="E84" s="115">
        <f>D84/$D$6</f>
        <v>1659.0453172205437</v>
      </c>
      <c r="F84" s="116">
        <v>45973</v>
      </c>
      <c r="G84" s="71" t="s">
        <v>126</v>
      </c>
      <c r="H84" s="71">
        <f>IF(OR(G84="Sin pagar",G84="Pagar"),(_xlfn.SINGLE(NETWORKDAYS($J$27,F84,FestivosPerú!$A$2:$A$15))),0)</f>
        <v>0</v>
      </c>
      <c r="I84" s="71">
        <f>NETWORKDAYS($J$27,F84,FestivosPerú!$A$2:$A$15)</f>
        <v>8</v>
      </c>
      <c r="J84" s="117">
        <f>H84</f>
        <v>0</v>
      </c>
      <c r="K84" s="89"/>
      <c r="L84" s="89"/>
      <c r="M84" s="532"/>
      <c r="N84" s="39"/>
      <c r="O84" s="374"/>
      <c r="P84" s="187"/>
    </row>
    <row r="85" spans="1:16" s="71" customFormat="1" outlineLevel="1">
      <c r="A85" s="86"/>
      <c r="B85" s="83">
        <v>2517226428</v>
      </c>
      <c r="C85" s="172" t="s">
        <v>573</v>
      </c>
      <c r="D85" s="39">
        <f>8200.3+1389.05</f>
        <v>9589.3499999999985</v>
      </c>
      <c r="E85" s="115">
        <f>D85/$D$6</f>
        <v>2897.0845921450145</v>
      </c>
      <c r="F85" s="116">
        <v>45973</v>
      </c>
      <c r="G85" s="71" t="s">
        <v>126</v>
      </c>
      <c r="H85" s="71">
        <f>IF(OR(G85="Sin pagar",G85="Pagar"),(_xlfn.SINGLE(NETWORKDAYS($J$27,F85,FestivosPerú!$A$2:$A$15))),0)</f>
        <v>0</v>
      </c>
      <c r="I85" s="71">
        <f>NETWORKDAYS($J$27,F85,FestivosPerú!$A$2:$A$15)</f>
        <v>8</v>
      </c>
      <c r="J85" s="117">
        <f>H85</f>
        <v>0</v>
      </c>
      <c r="K85" s="89"/>
      <c r="L85" s="89"/>
      <c r="M85" s="532"/>
      <c r="N85" s="39"/>
      <c r="O85" s="374"/>
      <c r="P85" s="187"/>
    </row>
    <row r="86" spans="1:16" s="71" customFormat="1" ht="15" outlineLevel="1" thickBot="1">
      <c r="A86" s="86"/>
      <c r="B86" s="83">
        <v>2314312780</v>
      </c>
      <c r="C86" s="172" t="s">
        <v>705</v>
      </c>
      <c r="D86" s="39">
        <f>1839.69+477.93</f>
        <v>2317.62</v>
      </c>
      <c r="E86" s="115">
        <f>D86/$D$6</f>
        <v>700.18731117824768</v>
      </c>
      <c r="F86" s="116">
        <v>45973</v>
      </c>
      <c r="G86" s="71" t="s">
        <v>126</v>
      </c>
      <c r="H86" s="71">
        <f>IF(OR(G86="Sin pagar",G86="Pagar"),(_xlfn.SINGLE(NETWORKDAYS($J$27,F86,FestivosPerú!$A$2:$A$15))),0)</f>
        <v>0</v>
      </c>
      <c r="I86" s="71">
        <f>NETWORKDAYS($J$27,F86,FestivosPerú!$A$2:$A$15)</f>
        <v>8</v>
      </c>
      <c r="J86" s="117">
        <f>H86</f>
        <v>0</v>
      </c>
      <c r="K86" s="89"/>
      <c r="L86" s="89"/>
      <c r="M86" s="532"/>
      <c r="N86" s="39"/>
      <c r="O86" s="374"/>
      <c r="P86" s="187"/>
    </row>
    <row r="87" spans="1:16" s="71" customFormat="1" ht="16.2" thickBot="1">
      <c r="C87" s="311" t="s">
        <v>834</v>
      </c>
      <c r="D87" s="312">
        <f>SUBTOTAL(9,D88:D101)</f>
        <v>105228.52</v>
      </c>
      <c r="E87" s="313">
        <f>SUBTOTAL(9,E88:E101)</f>
        <v>31791.093655589124</v>
      </c>
      <c r="H87" s="71">
        <f>IF(OR(G87="Sin pagar",G87="Pagar"),(_xlfn.SINGLE(NETWORKDAYS($J$27,F87,FestivosPerú!$A$2:$A$15))),0)</f>
        <v>0</v>
      </c>
      <c r="J87" s="301"/>
      <c r="K87" s="89"/>
      <c r="L87" s="124"/>
      <c r="N87" s="122"/>
      <c r="O87" s="101"/>
    </row>
    <row r="88" spans="1:16" s="126" customFormat="1" outlineLevel="1">
      <c r="B88" s="404" t="s">
        <v>862</v>
      </c>
      <c r="C88" s="406" t="s">
        <v>508</v>
      </c>
      <c r="D88" s="408">
        <v>1591.01</v>
      </c>
      <c r="E88" s="115">
        <f>D88/$D$6</f>
        <v>480.66767371601208</v>
      </c>
      <c r="F88" s="112">
        <v>45973</v>
      </c>
      <c r="G88" s="71" t="s">
        <v>126</v>
      </c>
      <c r="H88" s="71">
        <f>IF(OR(G88="Sin pagar",G88="Pagar"),(_xlfn.SINGLE(NETWORKDAYS($J$27,F88,FestivosPerú!$A$2:$A$15))),0)</f>
        <v>0</v>
      </c>
      <c r="I88" s="71">
        <f>NETWORKDAYS($J$27,F88,FestivosPerú!$A$2:$A$15)</f>
        <v>8</v>
      </c>
      <c r="J88" s="117">
        <f>H88</f>
        <v>0</v>
      </c>
      <c r="L88" s="127"/>
      <c r="M88" s="409" t="s">
        <v>884</v>
      </c>
    </row>
    <row r="89" spans="1:16" s="126" customFormat="1" outlineLevel="1">
      <c r="B89" s="404" t="s">
        <v>862</v>
      </c>
      <c r="C89" s="406" t="s">
        <v>841</v>
      </c>
      <c r="D89" s="408">
        <v>7405.4</v>
      </c>
      <c r="E89" s="115">
        <f t="shared" ref="E89:E96" si="5">D89/$D$6</f>
        <v>2237.2809667673714</v>
      </c>
      <c r="F89" s="112">
        <v>45973</v>
      </c>
      <c r="G89" s="71" t="s">
        <v>126</v>
      </c>
      <c r="H89" s="71">
        <f>IF(OR(G89="Sin pagar",G89="Pagar"),(_xlfn.SINGLE(NETWORKDAYS($J$27,F89,FestivosPerú!$A$2:$A$15))),0)</f>
        <v>0</v>
      </c>
      <c r="I89" s="71">
        <f>NETWORKDAYS($J$27,F89,FestivosPerú!$A$2:$A$15)</f>
        <v>8</v>
      </c>
      <c r="J89" s="117">
        <f t="shared" ref="J89:J96" si="6">H89</f>
        <v>0</v>
      </c>
      <c r="L89" s="127"/>
      <c r="M89" s="409" t="s">
        <v>884</v>
      </c>
    </row>
    <row r="90" spans="1:16" s="71" customFormat="1" outlineLevel="1">
      <c r="B90" s="404" t="s">
        <v>862</v>
      </c>
      <c r="C90" s="407" t="s">
        <v>842</v>
      </c>
      <c r="D90" s="408">
        <v>3889.45</v>
      </c>
      <c r="E90" s="115">
        <f t="shared" si="5"/>
        <v>1175.060422960725</v>
      </c>
      <c r="F90" s="112">
        <v>45973</v>
      </c>
      <c r="G90" s="71" t="s">
        <v>126</v>
      </c>
      <c r="H90" s="71">
        <f>IF(OR(G90="Sin pagar",G90="Pagar"),(_xlfn.SINGLE(NETWORKDAYS($J$27,F90,FestivosPerú!$A$2:$A$15))),0)</f>
        <v>0</v>
      </c>
      <c r="I90" s="71">
        <f>NETWORKDAYS($J$27,F90,FestivosPerú!$A$2:$A$15)</f>
        <v>8</v>
      </c>
      <c r="J90" s="117">
        <f t="shared" si="6"/>
        <v>0</v>
      </c>
      <c r="K90" s="120"/>
      <c r="L90" s="94"/>
      <c r="M90" s="409" t="s">
        <v>884</v>
      </c>
      <c r="N90" s="118"/>
    </row>
    <row r="91" spans="1:16" s="71" customFormat="1" outlineLevel="1">
      <c r="B91" s="404" t="s">
        <v>862</v>
      </c>
      <c r="C91" s="406" t="s">
        <v>845</v>
      </c>
      <c r="D91" s="408">
        <v>11467.08</v>
      </c>
      <c r="E91" s="115">
        <f t="shared" si="5"/>
        <v>3464.3746223564954</v>
      </c>
      <c r="F91" s="112">
        <v>45973</v>
      </c>
      <c r="G91" s="71" t="s">
        <v>126</v>
      </c>
      <c r="H91" s="71">
        <f>IF(OR(G91="Sin pagar",G91="Pagar"),(_xlfn.SINGLE(NETWORKDAYS($J$27,F91,FestivosPerú!$A$2:$A$15))),0)</f>
        <v>0</v>
      </c>
      <c r="I91" s="71">
        <f>NETWORKDAYS($J$27,F91,FestivosPerú!$A$2:$A$15)</f>
        <v>8</v>
      </c>
      <c r="J91" s="117">
        <f t="shared" si="6"/>
        <v>0</v>
      </c>
      <c r="K91" s="120"/>
      <c r="L91" s="120"/>
      <c r="M91" s="409" t="s">
        <v>884</v>
      </c>
      <c r="N91" s="122"/>
    </row>
    <row r="92" spans="1:16" s="126" customFormat="1" outlineLevel="1">
      <c r="B92" s="404" t="s">
        <v>862</v>
      </c>
      <c r="C92" s="406" t="s">
        <v>846</v>
      </c>
      <c r="D92" s="408">
        <v>9278.33</v>
      </c>
      <c r="E92" s="115">
        <f t="shared" si="5"/>
        <v>2803.1208459214499</v>
      </c>
      <c r="F92" s="112">
        <v>45973</v>
      </c>
      <c r="G92" s="71" t="s">
        <v>126</v>
      </c>
      <c r="H92" s="71">
        <f>IF(OR(G92="Sin pagar",G92="Pagar"),(_xlfn.SINGLE(NETWORKDAYS($J$27,F92,FestivosPerú!$A$2:$A$15))),0)</f>
        <v>0</v>
      </c>
      <c r="I92" s="71">
        <f>NETWORKDAYS($J$27,F92,FestivosPerú!$A$2:$A$15)</f>
        <v>8</v>
      </c>
      <c r="J92" s="117">
        <f t="shared" si="6"/>
        <v>0</v>
      </c>
      <c r="L92" s="127"/>
      <c r="M92" s="409" t="s">
        <v>884</v>
      </c>
    </row>
    <row r="93" spans="1:16" s="71" customFormat="1" outlineLevel="1">
      <c r="B93" s="404" t="s">
        <v>862</v>
      </c>
      <c r="C93" s="407" t="s">
        <v>848</v>
      </c>
      <c r="D93" s="408">
        <v>12345.85</v>
      </c>
      <c r="E93" s="115">
        <f t="shared" si="5"/>
        <v>3729.8640483383688</v>
      </c>
      <c r="F93" s="112">
        <v>45973</v>
      </c>
      <c r="G93" s="71" t="s">
        <v>126</v>
      </c>
      <c r="H93" s="71">
        <f>IF(OR(G93="Sin pagar",G93="Pagar"),(_xlfn.SINGLE(NETWORKDAYS($J$27,F93,FestivosPerú!$A$2:$A$15))),0)</f>
        <v>0</v>
      </c>
      <c r="I93" s="71">
        <f>NETWORKDAYS($J$27,F93,FestivosPerú!$A$2:$A$15)</f>
        <v>8</v>
      </c>
      <c r="J93" s="117">
        <f t="shared" si="6"/>
        <v>0</v>
      </c>
      <c r="K93" s="120"/>
      <c r="L93" s="94"/>
      <c r="M93" s="409" t="s">
        <v>884</v>
      </c>
      <c r="N93" s="118"/>
    </row>
    <row r="94" spans="1:16" s="71" customFormat="1" outlineLevel="1">
      <c r="B94" s="404" t="s">
        <v>862</v>
      </c>
      <c r="C94" s="407" t="s">
        <v>849</v>
      </c>
      <c r="D94" s="408">
        <v>954.11</v>
      </c>
      <c r="E94" s="115">
        <f t="shared" si="5"/>
        <v>288.25075528700904</v>
      </c>
      <c r="F94" s="112">
        <v>45973</v>
      </c>
      <c r="G94" s="71" t="s">
        <v>126</v>
      </c>
      <c r="H94" s="71">
        <f>IF(OR(G94="Sin pagar",G94="Pagar"),(_xlfn.SINGLE(NETWORKDAYS($J$27,F94,FestivosPerú!$A$2:$A$15))),0)</f>
        <v>0</v>
      </c>
      <c r="I94" s="71">
        <f>NETWORKDAYS($J$27,F94,FestivosPerú!$A$2:$A$15)</f>
        <v>8</v>
      </c>
      <c r="J94" s="117">
        <f t="shared" si="6"/>
        <v>0</v>
      </c>
      <c r="K94" s="120"/>
      <c r="L94" s="94"/>
      <c r="M94" s="409" t="s">
        <v>884</v>
      </c>
      <c r="N94" s="118"/>
    </row>
    <row r="95" spans="1:16" s="71" customFormat="1" outlineLevel="1">
      <c r="B95" s="183" t="s">
        <v>863</v>
      </c>
      <c r="C95" s="407" t="s">
        <v>850</v>
      </c>
      <c r="D95" s="408">
        <v>11785.36</v>
      </c>
      <c r="E95" s="115">
        <f t="shared" si="5"/>
        <v>3560.5317220543807</v>
      </c>
      <c r="F95" s="112">
        <v>45974</v>
      </c>
      <c r="G95" s="71" t="s">
        <v>126</v>
      </c>
      <c r="H95" s="71">
        <f>IF(OR(G95="Sin pagar",G95="Pagar"),(_xlfn.SINGLE(NETWORKDAYS($J$27,F95,FestivosPerú!$A$2:$A$15))),0)</f>
        <v>0</v>
      </c>
      <c r="I95" s="71">
        <f>NETWORKDAYS($J$27,F95,FestivosPerú!$A$2:$A$15)</f>
        <v>9</v>
      </c>
      <c r="J95" s="117">
        <f t="shared" si="6"/>
        <v>0</v>
      </c>
      <c r="K95" s="120"/>
      <c r="L95" s="94"/>
      <c r="M95" s="409" t="s">
        <v>884</v>
      </c>
      <c r="N95" s="118"/>
    </row>
    <row r="96" spans="1:16" s="71" customFormat="1" outlineLevel="1">
      <c r="B96" s="405" t="s">
        <v>864</v>
      </c>
      <c r="C96" s="172" t="s">
        <v>852</v>
      </c>
      <c r="D96" s="209">
        <v>2834.56</v>
      </c>
      <c r="E96" s="115">
        <f t="shared" si="5"/>
        <v>856.36253776435046</v>
      </c>
      <c r="F96" s="112">
        <v>45975</v>
      </c>
      <c r="G96" s="71" t="s">
        <v>126</v>
      </c>
      <c r="H96" s="71">
        <f>IF(OR(G96="Sin pagar",G96="Pagar"),(_xlfn.SINGLE(NETWORKDAYS($J$27,F96,FestivosPerú!$A$2:$A$15))),0)</f>
        <v>0</v>
      </c>
      <c r="I96" s="71">
        <f>NETWORKDAYS($J$27,F96,FestivosPerú!$A$2:$A$15)</f>
        <v>10</v>
      </c>
      <c r="J96" s="117">
        <f t="shared" si="6"/>
        <v>0</v>
      </c>
      <c r="K96" s="120"/>
      <c r="L96" s="94"/>
      <c r="M96" s="253"/>
      <c r="N96" s="118"/>
    </row>
    <row r="97" spans="1:16" s="71" customFormat="1" outlineLevel="1">
      <c r="B97" s="183" t="s">
        <v>882</v>
      </c>
      <c r="C97" s="172" t="s">
        <v>853</v>
      </c>
      <c r="D97" s="209">
        <v>7838.27</v>
      </c>
      <c r="E97" s="232">
        <f>D97/D6</f>
        <v>2368.057401812689</v>
      </c>
      <c r="F97" s="112">
        <v>45975</v>
      </c>
      <c r="G97" s="71" t="s">
        <v>126</v>
      </c>
      <c r="H97" s="71">
        <f>IF(OR(G97="Sin pagar",G97="Pagar"),(_xlfn.SINGLE(NETWORKDAYS($J$27,F97,FestivosPerú!$A$2:$A$15))),0)</f>
        <v>0</v>
      </c>
      <c r="I97" s="71">
        <f>NETWORKDAYS($J$27,F97,FestivosPerú!$A$2:$A$15)</f>
        <v>10</v>
      </c>
      <c r="J97" s="117">
        <f t="shared" ref="J97:J104" si="7">H97</f>
        <v>0</v>
      </c>
      <c r="K97" s="120"/>
      <c r="L97" s="94"/>
      <c r="M97" s="253"/>
      <c r="N97" s="118"/>
    </row>
    <row r="98" spans="1:16" s="71" customFormat="1" outlineLevel="1">
      <c r="B98" s="125" t="s">
        <v>830</v>
      </c>
      <c r="C98" s="172" t="s">
        <v>843</v>
      </c>
      <c r="D98" s="209">
        <v>1490.21</v>
      </c>
      <c r="E98" s="115">
        <f>D98/$D$6</f>
        <v>450.214501510574</v>
      </c>
      <c r="F98" s="112">
        <v>45975</v>
      </c>
      <c r="G98" s="71" t="s">
        <v>126</v>
      </c>
      <c r="H98" s="71">
        <f>IF(OR(G98="Sin pagar",G98="Pagar"),(_xlfn.SINGLE(NETWORKDAYS($J$27,F98,FestivosPerú!$A$2:$A$15))),0)</f>
        <v>0</v>
      </c>
      <c r="I98" s="71">
        <f>NETWORKDAYS($J$27,F98,FestivosPerú!$A$2:$A$15)</f>
        <v>10</v>
      </c>
      <c r="J98" s="117">
        <f t="shared" si="7"/>
        <v>0</v>
      </c>
      <c r="K98" s="120"/>
      <c r="L98" s="94"/>
      <c r="M98" s="253"/>
      <c r="N98" s="118"/>
    </row>
    <row r="99" spans="1:16" s="71" customFormat="1" outlineLevel="1">
      <c r="B99" s="125" t="s">
        <v>830</v>
      </c>
      <c r="C99" s="172" t="s">
        <v>844</v>
      </c>
      <c r="D99" s="209">
        <v>1250</v>
      </c>
      <c r="E99" s="115">
        <f>D99/$D$6</f>
        <v>377.64350453172204</v>
      </c>
      <c r="F99" s="112">
        <v>45975</v>
      </c>
      <c r="G99" s="71" t="s">
        <v>126</v>
      </c>
      <c r="H99" s="71">
        <f>IF(OR(G99="Sin pagar",G99="Pagar"),(_xlfn.SINGLE(NETWORKDAYS($J$27,F99,FestivosPerú!$A$2:$A$15))),0)</f>
        <v>0</v>
      </c>
      <c r="I99" s="71">
        <f>NETWORKDAYS($J$27,F99,FestivosPerú!$A$2:$A$15)</f>
        <v>10</v>
      </c>
      <c r="J99" s="117">
        <f t="shared" si="7"/>
        <v>0</v>
      </c>
      <c r="K99" s="120"/>
      <c r="L99" s="94"/>
      <c r="M99" s="253"/>
      <c r="N99" s="118"/>
    </row>
    <row r="100" spans="1:16" s="71" customFormat="1" outlineLevel="1">
      <c r="B100" s="125" t="s">
        <v>830</v>
      </c>
      <c r="C100" s="172" t="s">
        <v>847</v>
      </c>
      <c r="D100" s="209">
        <v>17526.189999999999</v>
      </c>
      <c r="E100" s="115">
        <f>D100/$D$6</f>
        <v>5294.9214501510569</v>
      </c>
      <c r="F100" s="112">
        <v>45975</v>
      </c>
      <c r="G100" s="71" t="s">
        <v>126</v>
      </c>
      <c r="H100" s="71">
        <f>IF(OR(G100="Sin pagar",G100="Pagar"),(_xlfn.SINGLE(NETWORKDAYS($J$27,F100,FestivosPerú!$A$2:$A$15))),0)</f>
        <v>0</v>
      </c>
      <c r="I100" s="71">
        <f>NETWORKDAYS($J$27,F100,FestivosPerú!$A$2:$A$15)</f>
        <v>10</v>
      </c>
      <c r="J100" s="117">
        <f t="shared" si="7"/>
        <v>0</v>
      </c>
      <c r="K100" s="120"/>
      <c r="L100" s="94"/>
      <c r="M100" s="253"/>
      <c r="N100" s="118"/>
    </row>
    <row r="101" spans="1:16" s="71" customFormat="1" ht="15" outlineLevel="1" thickBot="1">
      <c r="B101" s="125" t="s">
        <v>830</v>
      </c>
      <c r="C101" s="172" t="s">
        <v>851</v>
      </c>
      <c r="D101" s="209">
        <v>15572.7</v>
      </c>
      <c r="E101" s="115">
        <f>D101/$D$6</f>
        <v>4704.7432024169184</v>
      </c>
      <c r="F101" s="112">
        <v>45975</v>
      </c>
      <c r="G101" s="71" t="s">
        <v>126</v>
      </c>
      <c r="H101" s="71">
        <f>IF(OR(G101="Sin pagar",G101="Pagar"),(_xlfn.SINGLE(NETWORKDAYS($J$27,F101,FestivosPerú!$A$2:$A$15))),0)</f>
        <v>0</v>
      </c>
      <c r="I101" s="71">
        <f>NETWORKDAYS($J$27,F101,FestivosPerú!$A$2:$A$15)</f>
        <v>10</v>
      </c>
      <c r="J101" s="117">
        <f t="shared" si="7"/>
        <v>0</v>
      </c>
      <c r="K101" s="120"/>
      <c r="L101" s="94"/>
      <c r="M101" s="253"/>
      <c r="N101" s="118"/>
    </row>
    <row r="102" spans="1:16" s="71" customFormat="1" ht="16.2" thickBot="1">
      <c r="A102" s="126"/>
      <c r="B102" s="125"/>
      <c r="C102" s="311" t="s">
        <v>125</v>
      </c>
      <c r="D102" s="312">
        <f>SUBTOTAL(9,D103:D104)</f>
        <v>110016</v>
      </c>
      <c r="E102" s="313">
        <f>SUBTOTAL(9,E103:E104)</f>
        <v>33237.462235649546</v>
      </c>
      <c r="J102" s="117">
        <f t="shared" si="7"/>
        <v>0</v>
      </c>
      <c r="L102" s="89"/>
    </row>
    <row r="103" spans="1:16" s="71" customFormat="1" ht="16.5" customHeight="1" outlineLevel="1">
      <c r="A103" s="126"/>
      <c r="B103" s="128" t="s">
        <v>272</v>
      </c>
      <c r="C103" s="84" t="s">
        <v>456</v>
      </c>
      <c r="D103" s="39">
        <v>55678</v>
      </c>
      <c r="E103" s="115">
        <f>D103/$D$6</f>
        <v>16821.148036253777</v>
      </c>
      <c r="F103" s="341">
        <v>45978</v>
      </c>
      <c r="G103" s="342" t="s">
        <v>126</v>
      </c>
      <c r="H103" s="71">
        <f>IF(OR(G103="Sin pagar",G103="Pagar"),(_xlfn.SINGLE(NETWORKDAYS($J$27,F103,FestivosPerú!$A$2:$A$15))),0)</f>
        <v>0</v>
      </c>
      <c r="I103" s="71">
        <f>NETWORKDAYS($J$27,F103,FestivosPerú!$A$2:$A$15)</f>
        <v>11</v>
      </c>
      <c r="J103" s="117">
        <f t="shared" si="7"/>
        <v>0</v>
      </c>
      <c r="L103" s="89"/>
      <c r="M103" s="121" t="s">
        <v>703</v>
      </c>
    </row>
    <row r="104" spans="1:16" s="71" customFormat="1" ht="15" outlineLevel="1" thickBot="1">
      <c r="B104" s="417" t="s">
        <v>929</v>
      </c>
      <c r="C104" s="376" t="s">
        <v>838</v>
      </c>
      <c r="D104" s="209">
        <v>54338</v>
      </c>
      <c r="E104" s="232">
        <f>D104/$D$6</f>
        <v>16416.314199395769</v>
      </c>
      <c r="F104" s="341">
        <v>45980</v>
      </c>
      <c r="G104" s="342" t="s">
        <v>126</v>
      </c>
      <c r="H104" s="71">
        <f>IF(OR(G104="Sin pagar",G104="Pagar"),(_xlfn.SINGLE(NETWORKDAYS($J$27,F104,FestivosPerú!$A$2:$A$15))),0)</f>
        <v>0</v>
      </c>
      <c r="I104" s="71">
        <f>NETWORKDAYS($J$27,F104,FestivosPerú!$A$2:$A$15)</f>
        <v>13</v>
      </c>
      <c r="J104" s="117">
        <f t="shared" si="7"/>
        <v>0</v>
      </c>
      <c r="K104" s="120"/>
      <c r="L104" s="94"/>
      <c r="M104" s="121" t="s">
        <v>724</v>
      </c>
      <c r="N104" s="118"/>
    </row>
    <row r="105" spans="1:16" s="71" customFormat="1" ht="15" customHeight="1" thickBot="1">
      <c r="C105" s="311" t="s">
        <v>162</v>
      </c>
      <c r="D105" s="312">
        <f>SUBTOTAL(9,D106:D113)</f>
        <v>7981.9299999999985</v>
      </c>
      <c r="E105" s="313">
        <f>SUBTOTAL(9,E106:E113)</f>
        <v>2411.4592145015104</v>
      </c>
      <c r="H105" s="71">
        <f>IF(OR(G105="Sin pagar",G105="Pagar"),(_xlfn.SINGLE(NETWORKDAYS($J$27,F105,FestivosPerú!$A$2:$A$15))),0)</f>
        <v>0</v>
      </c>
      <c r="J105" s="117"/>
      <c r="M105" s="122"/>
      <c r="N105" s="187"/>
      <c r="P105" s="187"/>
    </row>
    <row r="106" spans="1:16" s="71" customFormat="1" outlineLevel="1">
      <c r="B106" s="343" t="s">
        <v>958</v>
      </c>
      <c r="C106" s="186" t="s">
        <v>957</v>
      </c>
      <c r="D106" s="39">
        <v>1116.82</v>
      </c>
      <c r="E106" s="115">
        <f t="shared" ref="E106:E111" si="8">D106/$D$6</f>
        <v>337.40785498489424</v>
      </c>
      <c r="F106" s="341">
        <v>45987</v>
      </c>
      <c r="G106" s="342" t="s">
        <v>126</v>
      </c>
      <c r="H106" s="71">
        <f>IF(OR(G106="Sin pagar",G106="Pagar"),(_xlfn.SINGLE(NETWORKDAYS($J$27,F106,FestivosPerú!$A$2:$A$15))),0)</f>
        <v>0</v>
      </c>
      <c r="I106" s="71">
        <f>NETWORKDAYS($J$27,F106,FestivosPerú!$A$2:$A$15)</f>
        <v>18</v>
      </c>
      <c r="J106" s="117">
        <f t="shared" ref="J106:J111" si="9">H106</f>
        <v>0</v>
      </c>
      <c r="K106" s="120"/>
      <c r="L106" s="94"/>
      <c r="M106" s="300"/>
      <c r="N106" s="118"/>
    </row>
    <row r="107" spans="1:16" s="71" customFormat="1" outlineLevel="1">
      <c r="B107" s="343" t="s">
        <v>959</v>
      </c>
      <c r="C107" s="186" t="s">
        <v>957</v>
      </c>
      <c r="D107" s="39">
        <v>5116.07</v>
      </c>
      <c r="E107" s="115">
        <f t="shared" si="8"/>
        <v>1545.6404833836857</v>
      </c>
      <c r="F107" s="341">
        <v>45987</v>
      </c>
      <c r="G107" s="342" t="s">
        <v>126</v>
      </c>
      <c r="H107" s="71">
        <f>IF(OR(G107="Sin pagar",G107="Pagar"),(_xlfn.SINGLE(NETWORKDAYS($J$27,F107,FestivosPerú!$A$2:$A$15))),0)</f>
        <v>0</v>
      </c>
      <c r="I107" s="71">
        <f>NETWORKDAYS($J$27,F107,FestivosPerú!$A$2:$A$15)</f>
        <v>18</v>
      </c>
      <c r="J107" s="117">
        <f t="shared" si="9"/>
        <v>0</v>
      </c>
      <c r="K107" s="120"/>
      <c r="L107" s="94"/>
      <c r="M107" s="300"/>
      <c r="N107" s="118"/>
    </row>
    <row r="108" spans="1:16" s="71" customFormat="1" outlineLevel="1">
      <c r="B108" s="425" t="s">
        <v>272</v>
      </c>
      <c r="C108" s="84" t="s">
        <v>960</v>
      </c>
      <c r="D108" s="39">
        <v>393</v>
      </c>
      <c r="E108" s="115">
        <f t="shared" si="8"/>
        <v>118.73111782477341</v>
      </c>
      <c r="F108" s="341">
        <v>45987</v>
      </c>
      <c r="G108" s="342" t="s">
        <v>126</v>
      </c>
      <c r="H108" s="71">
        <f>IF(OR(G108="Sin pagar",G108="Pagar"),(_xlfn.SINGLE(NETWORKDAYS($J$27,F108,FestivosPerú!$A$2:$A$15))),0)</f>
        <v>0</v>
      </c>
      <c r="I108" s="71">
        <f>NETWORKDAYS($J$27,F108,FestivosPerú!$A$2:$A$15)</f>
        <v>18</v>
      </c>
      <c r="J108" s="117">
        <f t="shared" si="9"/>
        <v>0</v>
      </c>
      <c r="K108" s="120"/>
      <c r="L108" s="94"/>
      <c r="M108" s="300"/>
      <c r="N108" s="118"/>
    </row>
    <row r="109" spans="1:16" s="71" customFormat="1" outlineLevel="1">
      <c r="B109" s="425" t="s">
        <v>272</v>
      </c>
      <c r="C109" s="84" t="s">
        <v>962</v>
      </c>
      <c r="D109" s="39">
        <v>848.11</v>
      </c>
      <c r="E109" s="115">
        <f t="shared" si="8"/>
        <v>256.22658610271901</v>
      </c>
      <c r="F109" s="341">
        <v>45987</v>
      </c>
      <c r="G109" s="342" t="s">
        <v>126</v>
      </c>
      <c r="H109" s="71">
        <f>IF(OR(G109="Sin pagar",G109="Pagar"),(_xlfn.SINGLE(NETWORKDAYS($J$27,F109,FestivosPerú!$A$2:$A$15))),0)</f>
        <v>0</v>
      </c>
      <c r="I109" s="71">
        <f>NETWORKDAYS($J$27,F109,FestivosPerú!$A$2:$A$15)</f>
        <v>18</v>
      </c>
      <c r="J109" s="117">
        <f t="shared" si="9"/>
        <v>0</v>
      </c>
      <c r="K109" s="120"/>
      <c r="L109" s="94"/>
      <c r="M109" s="300"/>
      <c r="N109" s="118"/>
    </row>
    <row r="110" spans="1:16" s="342" customFormat="1" outlineLevel="1">
      <c r="B110" s="356" t="s">
        <v>990</v>
      </c>
      <c r="C110" s="186" t="s">
        <v>761</v>
      </c>
      <c r="D110" s="39">
        <v>164.07</v>
      </c>
      <c r="E110" s="115">
        <f t="shared" si="8"/>
        <v>49.567975830815705</v>
      </c>
      <c r="F110" s="341">
        <v>45988</v>
      </c>
      <c r="G110" s="342" t="s">
        <v>126</v>
      </c>
      <c r="H110" s="342">
        <f>IF(OR(G110="Sin pagar",G110="Pagar"),(_xlfn.SINGLE(NETWORKDAYS($J$27,F110,FestivosPerú!$A$2:$A$15))),0)</f>
        <v>0</v>
      </c>
      <c r="I110" s="342">
        <f>NETWORKDAYS($J$27,F110,FestivosPerú!$A$2:$A$15)</f>
        <v>19</v>
      </c>
      <c r="J110" s="117">
        <f t="shared" si="9"/>
        <v>0</v>
      </c>
      <c r="K110" s="120"/>
      <c r="L110" s="357"/>
      <c r="M110" s="385"/>
      <c r="N110" s="359"/>
    </row>
    <row r="111" spans="1:16" s="71" customFormat="1" outlineLevel="1">
      <c r="B111" s="427" t="s">
        <v>991</v>
      </c>
      <c r="C111" s="186" t="s">
        <v>761</v>
      </c>
      <c r="D111" s="39">
        <v>152.26</v>
      </c>
      <c r="E111" s="115">
        <f t="shared" si="8"/>
        <v>46</v>
      </c>
      <c r="F111" s="341">
        <v>45988</v>
      </c>
      <c r="G111" s="342" t="s">
        <v>126</v>
      </c>
      <c r="H111" s="71">
        <f>IF(OR(G111="Sin pagar",G111="Pagar"),(_xlfn.SINGLE(NETWORKDAYS($J$27,F111,FestivosPerú!$A$2:$A$15))),0)</f>
        <v>0</v>
      </c>
      <c r="I111" s="71">
        <f>NETWORKDAYS($J$27,F111,FestivosPerú!$A$2:$A$15)</f>
        <v>19</v>
      </c>
      <c r="J111" s="117">
        <f t="shared" si="9"/>
        <v>0</v>
      </c>
      <c r="K111" s="120"/>
      <c r="L111" s="94"/>
      <c r="M111" s="300"/>
      <c r="N111" s="118"/>
    </row>
    <row r="112" spans="1:16" s="71" customFormat="1" outlineLevel="1">
      <c r="B112" s="427" t="s">
        <v>993</v>
      </c>
      <c r="C112" s="186" t="s">
        <v>992</v>
      </c>
      <c r="D112" s="39">
        <v>123.9</v>
      </c>
      <c r="E112" s="115">
        <f>D112/$D$6</f>
        <v>37.432024169184288</v>
      </c>
      <c r="F112" s="341">
        <v>45988</v>
      </c>
      <c r="G112" s="342" t="s">
        <v>126</v>
      </c>
      <c r="H112" s="71">
        <f>IF(OR(G112="Sin pagar",G112="Pagar"),(_xlfn.SINGLE(NETWORKDAYS($J$27,F112,FestivosPerú!$A$2:$A$15))),0)</f>
        <v>0</v>
      </c>
      <c r="I112" s="71">
        <f>NETWORKDAYS($J$27,F112,FestivosPerú!$A$2:$A$15)</f>
        <v>19</v>
      </c>
      <c r="J112" s="117">
        <f>H112</f>
        <v>0</v>
      </c>
      <c r="K112" s="120"/>
      <c r="L112" s="94"/>
      <c r="M112" s="300"/>
      <c r="N112" s="118"/>
    </row>
    <row r="113" spans="2:15" s="71" customFormat="1" ht="15" outlineLevel="1" thickBot="1">
      <c r="B113" s="427" t="s">
        <v>994</v>
      </c>
      <c r="C113" s="186" t="s">
        <v>992</v>
      </c>
      <c r="D113" s="39">
        <v>67.7</v>
      </c>
      <c r="E113" s="115">
        <f>D113/$D$6</f>
        <v>20.453172205438069</v>
      </c>
      <c r="F113" s="341">
        <v>45988</v>
      </c>
      <c r="G113" s="342" t="s">
        <v>126</v>
      </c>
      <c r="H113" s="71">
        <f>IF(OR(G113="Sin pagar",G113="Pagar"),(_xlfn.SINGLE(NETWORKDAYS($J$27,F113,FestivosPerú!$A$2:$A$15))),0)</f>
        <v>0</v>
      </c>
      <c r="I113" s="71">
        <f>NETWORKDAYS($J$27,F113,FestivosPerú!$A$2:$A$15)</f>
        <v>19</v>
      </c>
      <c r="J113" s="117">
        <f>H113</f>
        <v>0</v>
      </c>
      <c r="K113" s="120"/>
      <c r="L113" s="94"/>
      <c r="M113" s="300"/>
      <c r="N113" s="118"/>
    </row>
    <row r="114" spans="2:15" s="71" customFormat="1" ht="16.2" thickBot="1">
      <c r="C114" s="311" t="s">
        <v>507</v>
      </c>
      <c r="D114" s="312">
        <f>SUBTOTAL(9,D115:D130)</f>
        <v>170886.18132050001</v>
      </c>
      <c r="E114" s="313">
        <f>SUBTOTAL(9,E115:E130)</f>
        <v>51627.245111933531</v>
      </c>
      <c r="H114" s="71">
        <f>IF(OR(G114="Sin pagar",G114="Pagar"),(_xlfn.SINGLE(NETWORKDAYS($J$27,F114,FestivosPerú!$A$2:$A$15))),0)</f>
        <v>0</v>
      </c>
      <c r="J114" s="301"/>
      <c r="K114" s="89"/>
      <c r="L114" s="124"/>
      <c r="N114" s="122"/>
      <c r="O114" s="101"/>
    </row>
    <row r="115" spans="2:15" s="71" customFormat="1" outlineLevel="1">
      <c r="B115" s="125"/>
      <c r="C115" s="186" t="s">
        <v>508</v>
      </c>
      <c r="D115" s="39">
        <v>4452.9877749999996</v>
      </c>
      <c r="E115" s="115">
        <f t="shared" ref="E115:E129" si="10">D115/$D$6</f>
        <v>1345.3135271903323</v>
      </c>
      <c r="F115" s="112">
        <v>45987</v>
      </c>
      <c r="G115" s="71" t="s">
        <v>126</v>
      </c>
      <c r="H115" s="71">
        <f>IF(OR(G115="Sin pagar",G115="Pagar"),(_xlfn.SINGLE(NETWORKDAYS($J$27,F115,FestivosPerú!$A$2:$A$15))),0)</f>
        <v>0</v>
      </c>
      <c r="I115" s="71">
        <f>NETWORKDAYS($J$27,F115,FestivosPerú!$A$2:$A$15)</f>
        <v>18</v>
      </c>
      <c r="J115" s="117">
        <f t="shared" ref="J115:J129" si="11">H115</f>
        <v>0</v>
      </c>
      <c r="K115" s="120"/>
      <c r="L115" s="120"/>
      <c r="M115" s="253"/>
      <c r="N115" s="122"/>
    </row>
    <row r="116" spans="2:15" s="126" customFormat="1" outlineLevel="1">
      <c r="B116" s="125"/>
      <c r="C116" s="186" t="s">
        <v>765</v>
      </c>
      <c r="D116" s="39">
        <v>8607.7137280000006</v>
      </c>
      <c r="E116" s="115">
        <f t="shared" si="10"/>
        <v>2600.5177425981874</v>
      </c>
      <c r="F116" s="112">
        <v>45987</v>
      </c>
      <c r="G116" s="71" t="s">
        <v>126</v>
      </c>
      <c r="H116" s="71">
        <f>IF(OR(G116="Sin pagar",G116="Pagar"),(_xlfn.SINGLE(NETWORKDAYS($J$27,F116,FestivosPerú!$A$2:$A$15))),0)</f>
        <v>0</v>
      </c>
      <c r="I116" s="71">
        <f>NETWORKDAYS($J$27,F116,FestivosPerú!$A$2:$A$15)</f>
        <v>18</v>
      </c>
      <c r="J116" s="117">
        <f t="shared" si="11"/>
        <v>0</v>
      </c>
      <c r="L116" s="127"/>
      <c r="M116" s="253"/>
    </row>
    <row r="117" spans="2:15" s="126" customFormat="1" outlineLevel="1">
      <c r="B117" s="125"/>
      <c r="C117" s="186" t="s">
        <v>766</v>
      </c>
      <c r="D117" s="39">
        <v>9435.4637280000006</v>
      </c>
      <c r="E117" s="115">
        <f t="shared" si="10"/>
        <v>2850.5932712990939</v>
      </c>
      <c r="F117" s="112">
        <v>45987</v>
      </c>
      <c r="G117" s="71" t="s">
        <v>126</v>
      </c>
      <c r="H117" s="71">
        <f>IF(OR(G117="Sin pagar",G117="Pagar"),(_xlfn.SINGLE(NETWORKDAYS($J$27,F117,FestivosPerú!$A$2:$A$15))),0)</f>
        <v>0</v>
      </c>
      <c r="I117" s="71">
        <f>NETWORKDAYS($J$27,F117,FestivosPerú!$A$2:$A$15)</f>
        <v>18</v>
      </c>
      <c r="J117" s="117">
        <f t="shared" si="11"/>
        <v>0</v>
      </c>
      <c r="L117" s="127"/>
      <c r="M117" s="253"/>
    </row>
    <row r="118" spans="2:15" s="126" customFormat="1" outlineLevel="1">
      <c r="B118" s="125"/>
      <c r="C118" s="186" t="s">
        <v>767</v>
      </c>
      <c r="D118" s="39">
        <v>5328.4236060000003</v>
      </c>
      <c r="E118" s="115">
        <f t="shared" si="10"/>
        <v>1609.7956513595166</v>
      </c>
      <c r="F118" s="112">
        <v>45987</v>
      </c>
      <c r="G118" s="71" t="s">
        <v>126</v>
      </c>
      <c r="H118" s="71">
        <f>IF(OR(G118="Sin pagar",G118="Pagar"),(_xlfn.SINGLE(NETWORKDAYS($J$27,F118,FestivosPerú!$A$2:$A$15))),0)</f>
        <v>0</v>
      </c>
      <c r="I118" s="71">
        <f>NETWORKDAYS($J$27,F118,FestivosPerú!$A$2:$A$15)</f>
        <v>18</v>
      </c>
      <c r="J118" s="117">
        <f t="shared" si="11"/>
        <v>0</v>
      </c>
      <c r="L118" s="127"/>
      <c r="M118" s="253"/>
    </row>
    <row r="119" spans="2:15" s="71" customFormat="1" outlineLevel="1">
      <c r="B119" s="119"/>
      <c r="C119" s="172" t="s">
        <v>768</v>
      </c>
      <c r="D119" s="39">
        <v>5656.7041709333334</v>
      </c>
      <c r="E119" s="115">
        <f t="shared" si="10"/>
        <v>1708.9740697683787</v>
      </c>
      <c r="F119" s="112">
        <v>45987</v>
      </c>
      <c r="G119" s="71" t="s">
        <v>126</v>
      </c>
      <c r="H119" s="71">
        <f>IF(OR(G119="Sin pagar",G119="Pagar"),(_xlfn.SINGLE(NETWORKDAYS($J$27,F119,FestivosPerú!$A$2:$A$15))),0)</f>
        <v>0</v>
      </c>
      <c r="I119" s="71">
        <f>NETWORKDAYS($J$27,F119,FestivosPerú!$A$2:$A$15)</f>
        <v>18</v>
      </c>
      <c r="J119" s="117">
        <f t="shared" si="11"/>
        <v>0</v>
      </c>
      <c r="K119" s="120"/>
      <c r="L119" s="94"/>
      <c r="M119" s="300"/>
      <c r="N119" s="118"/>
    </row>
    <row r="120" spans="2:15" s="71" customFormat="1" outlineLevel="1">
      <c r="B120" s="119"/>
      <c r="C120" s="172" t="s">
        <v>649</v>
      </c>
      <c r="D120" s="39">
        <v>6647.25</v>
      </c>
      <c r="E120" s="115">
        <f t="shared" si="10"/>
        <v>2008.2326283987916</v>
      </c>
      <c r="F120" s="112">
        <v>45987</v>
      </c>
      <c r="G120" s="71" t="s">
        <v>126</v>
      </c>
      <c r="H120" s="71">
        <f>IF(OR(G120="Sin pagar",G120="Pagar"),(_xlfn.SINGLE(NETWORKDAYS($J$27,F120,FestivosPerú!$A$2:$A$15))),0)</f>
        <v>0</v>
      </c>
      <c r="I120" s="71">
        <f>NETWORKDAYS($J$27,F120,FestivosPerú!$A$2:$A$15)</f>
        <v>18</v>
      </c>
      <c r="J120" s="117">
        <f t="shared" si="11"/>
        <v>0</v>
      </c>
      <c r="K120" s="120"/>
      <c r="L120" s="94"/>
      <c r="M120" s="300"/>
      <c r="N120" s="118"/>
    </row>
    <row r="121" spans="2:15" s="71" customFormat="1" outlineLevel="1">
      <c r="B121" s="119"/>
      <c r="C121" s="172" t="s">
        <v>650</v>
      </c>
      <c r="D121" s="39">
        <v>12433.103728000002</v>
      </c>
      <c r="E121" s="115">
        <f t="shared" si="10"/>
        <v>3756.2246912386713</v>
      </c>
      <c r="F121" s="112">
        <v>45987</v>
      </c>
      <c r="G121" s="71" t="s">
        <v>126</v>
      </c>
      <c r="H121" s="71">
        <f>IF(OR(G121="Sin pagar",G121="Pagar"),(_xlfn.SINGLE(NETWORKDAYS($J$27,F121,FestivosPerú!$A$2:$A$15))),0)</f>
        <v>0</v>
      </c>
      <c r="I121" s="71">
        <f>NETWORKDAYS($J$27,F121,FestivosPerú!$A$2:$A$15)</f>
        <v>18</v>
      </c>
      <c r="J121" s="117">
        <f t="shared" si="11"/>
        <v>0</v>
      </c>
      <c r="K121" s="120"/>
      <c r="L121" s="94"/>
      <c r="M121" s="300"/>
      <c r="N121" s="118"/>
    </row>
    <row r="122" spans="2:15" s="71" customFormat="1" outlineLevel="1">
      <c r="B122" s="119"/>
      <c r="C122" s="172" t="s">
        <v>651</v>
      </c>
      <c r="D122" s="39">
        <v>12370.983728000001</v>
      </c>
      <c r="E122" s="115">
        <f t="shared" si="10"/>
        <v>3737.4573196374627</v>
      </c>
      <c r="F122" s="112">
        <v>45987</v>
      </c>
      <c r="G122" s="71" t="s">
        <v>126</v>
      </c>
      <c r="H122" s="71">
        <f>IF(OR(G122="Sin pagar",G122="Pagar"),(_xlfn.SINGLE(NETWORKDAYS($J$27,F122,FestivosPerú!$A$2:$A$15))),0)</f>
        <v>0</v>
      </c>
      <c r="I122" s="71">
        <f>NETWORKDAYS($J$27,F122,FestivosPerú!$A$2:$A$15)</f>
        <v>18</v>
      </c>
      <c r="J122" s="117">
        <f t="shared" si="11"/>
        <v>0</v>
      </c>
      <c r="K122" s="120"/>
      <c r="L122" s="94"/>
      <c r="M122" s="300"/>
      <c r="N122" s="118"/>
    </row>
    <row r="123" spans="2:15" s="71" customFormat="1" outlineLevel="1">
      <c r="B123" s="119"/>
      <c r="C123" s="172" t="s">
        <v>652</v>
      </c>
      <c r="D123" s="39">
        <v>26801.483727999999</v>
      </c>
      <c r="E123" s="115">
        <f t="shared" si="10"/>
        <v>8097.1249933534737</v>
      </c>
      <c r="F123" s="112">
        <v>45987</v>
      </c>
      <c r="G123" s="71" t="s">
        <v>126</v>
      </c>
      <c r="H123" s="71">
        <f>IF(OR(G123="Sin pagar",G123="Pagar"),(_xlfn.SINGLE(NETWORKDAYS($J$27,F123,FestivosPerú!$A$2:$A$15))),0)</f>
        <v>0</v>
      </c>
      <c r="I123" s="71">
        <f>NETWORKDAYS($J$27,F123,FestivosPerú!$A$2:$A$15)</f>
        <v>18</v>
      </c>
      <c r="J123" s="117">
        <f t="shared" si="11"/>
        <v>0</v>
      </c>
      <c r="K123" s="120"/>
      <c r="L123" s="94"/>
      <c r="M123" s="300"/>
      <c r="N123" s="118"/>
    </row>
    <row r="124" spans="2:15" s="71" customFormat="1" outlineLevel="1">
      <c r="B124" s="119"/>
      <c r="C124" s="172" t="s">
        <v>653</v>
      </c>
      <c r="D124" s="39">
        <v>15925.557061333335</v>
      </c>
      <c r="E124" s="115">
        <f t="shared" si="10"/>
        <v>4811.3465442094666</v>
      </c>
      <c r="F124" s="112">
        <v>45987</v>
      </c>
      <c r="G124" s="71" t="s">
        <v>126</v>
      </c>
      <c r="H124" s="71">
        <f>IF(OR(G124="Sin pagar",G124="Pagar"),(_xlfn.SINGLE(NETWORKDAYS($J$27,F124,FestivosPerú!$A$2:$A$15))),0)</f>
        <v>0</v>
      </c>
      <c r="I124" s="71">
        <f>NETWORKDAYS($J$27,F124,FestivosPerú!$A$2:$A$15)</f>
        <v>18</v>
      </c>
      <c r="J124" s="117">
        <f t="shared" si="11"/>
        <v>0</v>
      </c>
      <c r="K124" s="120"/>
      <c r="L124" s="94"/>
      <c r="M124" s="300"/>
      <c r="N124" s="118"/>
    </row>
    <row r="125" spans="2:15" s="71" customFormat="1" outlineLevel="1">
      <c r="B125" s="119"/>
      <c r="C125" s="172" t="s">
        <v>654</v>
      </c>
      <c r="D125" s="39">
        <v>8326.1825557333341</v>
      </c>
      <c r="E125" s="115">
        <f t="shared" si="10"/>
        <v>2515.4630077744209</v>
      </c>
      <c r="F125" s="112">
        <v>45987</v>
      </c>
      <c r="G125" s="71" t="s">
        <v>126</v>
      </c>
      <c r="H125" s="71">
        <f>IF(OR(G125="Sin pagar",G125="Pagar"),(_xlfn.SINGLE(NETWORKDAYS($J$27,F125,FestivosPerú!$A$2:$A$15))),0)</f>
        <v>0</v>
      </c>
      <c r="I125" s="71">
        <f>NETWORKDAYS($J$27,F125,FestivosPerú!$A$2:$A$15)</f>
        <v>18</v>
      </c>
      <c r="J125" s="117">
        <f t="shared" si="11"/>
        <v>0</v>
      </c>
      <c r="K125" s="120"/>
      <c r="L125" s="94"/>
      <c r="M125" s="392">
        <v>7807.32</v>
      </c>
      <c r="N125" s="118">
        <f>M125-E125</f>
        <v>5291.8569922255792</v>
      </c>
    </row>
    <row r="126" spans="2:15" s="71" customFormat="1" outlineLevel="1">
      <c r="B126" s="119"/>
      <c r="C126" s="172" t="s">
        <v>769</v>
      </c>
      <c r="D126" s="39">
        <v>14600.543727999999</v>
      </c>
      <c r="E126" s="115">
        <f t="shared" si="10"/>
        <v>4411.0404012084591</v>
      </c>
      <c r="F126" s="112">
        <v>45987</v>
      </c>
      <c r="G126" s="71" t="s">
        <v>126</v>
      </c>
      <c r="H126" s="71">
        <f>IF(OR(G126="Sin pagar",G126="Pagar"),(_xlfn.SINGLE(NETWORKDAYS($J$27,F126,FestivosPerú!$A$2:$A$15))),0)</f>
        <v>0</v>
      </c>
      <c r="I126" s="71">
        <f>NETWORKDAYS($J$27,F126,FestivosPerú!$A$2:$A$15)</f>
        <v>18</v>
      </c>
      <c r="J126" s="117">
        <f t="shared" si="11"/>
        <v>0</v>
      </c>
      <c r="K126" s="120"/>
      <c r="L126" s="94"/>
      <c r="M126" s="300"/>
      <c r="N126" s="118"/>
    </row>
    <row r="127" spans="2:15" s="71" customFormat="1" outlineLevel="1">
      <c r="B127" s="119"/>
      <c r="C127" s="172" t="s">
        <v>770</v>
      </c>
      <c r="D127" s="39">
        <v>17667.733727999999</v>
      </c>
      <c r="E127" s="115">
        <f t="shared" si="10"/>
        <v>5337.6839057401812</v>
      </c>
      <c r="F127" s="112">
        <v>45987</v>
      </c>
      <c r="G127" s="71" t="s">
        <v>126</v>
      </c>
      <c r="H127" s="71">
        <f>IF(OR(G127="Sin pagar",G127="Pagar"),(_xlfn.SINGLE(NETWORKDAYS($J$27,F127,FestivosPerú!$A$2:$A$15))),0)</f>
        <v>0</v>
      </c>
      <c r="I127" s="71">
        <f>NETWORKDAYS($J$27,F127,FestivosPerú!$A$2:$A$15)</f>
        <v>18</v>
      </c>
      <c r="J127" s="117">
        <f t="shared" si="11"/>
        <v>0</v>
      </c>
      <c r="K127" s="120"/>
      <c r="L127" s="94"/>
      <c r="M127" s="300"/>
      <c r="N127" s="118"/>
    </row>
    <row r="128" spans="2:15" s="71" customFormat="1" outlineLevel="1">
      <c r="B128" s="119"/>
      <c r="C128" s="172" t="s">
        <v>942</v>
      </c>
      <c r="D128" s="39">
        <v>16566.003728</v>
      </c>
      <c r="E128" s="115">
        <f t="shared" si="10"/>
        <v>5004.8349631419942</v>
      </c>
      <c r="F128" s="112">
        <v>45987</v>
      </c>
      <c r="G128" s="71" t="s">
        <v>126</v>
      </c>
      <c r="H128" s="71">
        <f>IF(OR(G128="Sin pagar",G128="Pagar"),(_xlfn.SINGLE(NETWORKDAYS($J$27,F128,FestivosPerú!$A$2:$A$15))),0)</f>
        <v>0</v>
      </c>
      <c r="I128" s="71">
        <f>NETWORKDAYS($J$27,F128,FestivosPerú!$A$2:$A$15)</f>
        <v>18</v>
      </c>
      <c r="J128" s="117">
        <f t="shared" si="11"/>
        <v>0</v>
      </c>
      <c r="K128" s="120"/>
      <c r="L128" s="94"/>
      <c r="M128" s="300"/>
      <c r="N128" s="118"/>
    </row>
    <row r="129" spans="1:15" s="71" customFormat="1" outlineLevel="1">
      <c r="B129" s="119"/>
      <c r="C129" s="172" t="s">
        <v>943</v>
      </c>
      <c r="D129" s="39">
        <v>3102.05</v>
      </c>
      <c r="E129" s="115">
        <f t="shared" si="10"/>
        <v>937.17522658610278</v>
      </c>
      <c r="F129" s="112">
        <v>45987</v>
      </c>
      <c r="G129" s="71" t="s">
        <v>126</v>
      </c>
      <c r="H129" s="71">
        <f>IF(OR(G129="Sin pagar",G129="Pagar"),(_xlfn.SINGLE(NETWORKDAYS($J$27,F129,FestivosPerú!$A$2:$A$15))),0)</f>
        <v>0</v>
      </c>
      <c r="I129" s="71">
        <f>NETWORKDAYS($J$27,F129,FestivosPerú!$A$2:$A$15)</f>
        <v>18</v>
      </c>
      <c r="J129" s="117">
        <f t="shared" si="11"/>
        <v>0</v>
      </c>
      <c r="K129" s="120"/>
      <c r="L129" s="94"/>
      <c r="M129" s="300"/>
      <c r="N129" s="118"/>
    </row>
    <row r="130" spans="1:15" s="71" customFormat="1" ht="15" outlineLevel="1" thickBot="1">
      <c r="B130" s="119"/>
      <c r="C130" s="172" t="s">
        <v>982</v>
      </c>
      <c r="D130" s="39">
        <v>2963.9963275</v>
      </c>
      <c r="E130" s="115">
        <f>D130/$D$6</f>
        <v>895.46716842900298</v>
      </c>
      <c r="F130" s="112">
        <v>45988</v>
      </c>
      <c r="G130" s="71" t="s">
        <v>126</v>
      </c>
      <c r="H130" s="71">
        <f>IF(OR(G130="Sin pagar",G130="Pagar"),(_xlfn.SINGLE(NETWORKDAYS($J$27,F130,FestivosPerú!$A$2:$A$15))),0)</f>
        <v>0</v>
      </c>
      <c r="I130" s="71">
        <f>NETWORKDAYS($J$27,F130,FestivosPerú!$A$2:$A$15)</f>
        <v>19</v>
      </c>
      <c r="J130" s="117">
        <f>H130</f>
        <v>0</v>
      </c>
      <c r="K130" s="120"/>
      <c r="L130" s="94"/>
      <c r="M130" s="300"/>
      <c r="N130" s="118"/>
    </row>
    <row r="131" spans="1:15" s="71" customFormat="1" ht="16.2" thickBot="1">
      <c r="C131" s="311" t="s">
        <v>642</v>
      </c>
      <c r="D131" s="312">
        <f>SUBTOTAL(9,D132:D140)</f>
        <v>27611.089199999999</v>
      </c>
      <c r="E131" s="313">
        <f>SUBTOTAL(9,E132:E140)</f>
        <v>8237.0789123867071</v>
      </c>
      <c r="H131" s="71">
        <f>IF(OR(G131="Sin pagar",G131="Pagar"),(_xlfn.SINGLE(NETWORKDAYS($J$27,F131,FestivosPerú!$A$2:$A$15))),0)</f>
        <v>0</v>
      </c>
      <c r="J131" s="301"/>
      <c r="K131" s="89"/>
      <c r="L131" s="124"/>
      <c r="N131" s="122"/>
      <c r="O131" s="101"/>
    </row>
    <row r="132" spans="1:15" s="71" customFormat="1" outlineLevel="1">
      <c r="B132" s="119"/>
      <c r="C132" s="172" t="s">
        <v>791</v>
      </c>
      <c r="D132" s="39">
        <f>E132*$D$6</f>
        <v>2896.8458000000001</v>
      </c>
      <c r="E132" s="424">
        <v>875.18</v>
      </c>
      <c r="F132" s="112">
        <v>45987</v>
      </c>
      <c r="G132" s="71" t="s">
        <v>126</v>
      </c>
      <c r="H132" s="71">
        <f>IF(OR(G132="Sin pagar",G132="Pagar"),(_xlfn.SINGLE(NETWORKDAYS($J$27,F132,FestivosPerú!$A$2:$A$15))),0)</f>
        <v>0</v>
      </c>
      <c r="I132" s="71">
        <f>NETWORKDAYS($J$27,F132,FestivosPerú!$A$2:$A$15)</f>
        <v>18</v>
      </c>
      <c r="J132" s="117">
        <f t="shared" ref="J132:J139" si="12">H132</f>
        <v>0</v>
      </c>
      <c r="K132" s="120"/>
      <c r="L132" s="94"/>
      <c r="M132" s="300"/>
      <c r="N132" s="118"/>
    </row>
    <row r="133" spans="1:15" s="71" customFormat="1" outlineLevel="1">
      <c r="B133" s="119"/>
      <c r="C133" s="172" t="s">
        <v>946</v>
      </c>
      <c r="D133" s="39">
        <f>E133*$D$6</f>
        <v>12182.5874</v>
      </c>
      <c r="E133" s="424">
        <v>3680.54</v>
      </c>
      <c r="F133" s="112">
        <v>45987</v>
      </c>
      <c r="G133" s="71" t="s">
        <v>126</v>
      </c>
      <c r="H133" s="71">
        <f>IF(OR(G133="Sin pagar",G133="Pagar"),(_xlfn.SINGLE(NETWORKDAYS($J$27,F133,FestivosPerú!$A$2:$A$15))),0)</f>
        <v>0</v>
      </c>
      <c r="I133" s="71">
        <f>NETWORKDAYS($J$27,F133,FestivosPerú!$A$2:$A$15)</f>
        <v>18</v>
      </c>
      <c r="J133" s="117">
        <f t="shared" si="12"/>
        <v>0</v>
      </c>
      <c r="K133" s="120"/>
      <c r="L133" s="94"/>
      <c r="M133" s="300"/>
      <c r="N133" s="118"/>
    </row>
    <row r="134" spans="1:15" s="71" customFormat="1" outlineLevel="1">
      <c r="B134" s="119"/>
      <c r="C134" s="172" t="s">
        <v>790</v>
      </c>
      <c r="D134" s="39">
        <f>E134*$D$6</f>
        <v>288.63200000000001</v>
      </c>
      <c r="E134" s="424">
        <v>87.2</v>
      </c>
      <c r="F134" s="112">
        <v>45987</v>
      </c>
      <c r="G134" s="71" t="s">
        <v>126</v>
      </c>
      <c r="H134" s="71">
        <f>IF(OR(G134="Sin pagar",G134="Pagar"),(_xlfn.SINGLE(NETWORKDAYS($J$27,F134,FestivosPerú!$A$2:$A$15))),0)</f>
        <v>0</v>
      </c>
      <c r="I134" s="71">
        <f>NETWORKDAYS($J$27,F134,FestivosPerú!$A$2:$A$15)</f>
        <v>18</v>
      </c>
      <c r="J134" s="117">
        <f t="shared" si="12"/>
        <v>0</v>
      </c>
      <c r="K134" s="120"/>
      <c r="L134" s="94"/>
      <c r="M134" s="300"/>
      <c r="N134" s="118"/>
    </row>
    <row r="135" spans="1:15" s="71" customFormat="1" outlineLevel="1">
      <c r="B135" s="119"/>
      <c r="C135" s="172" t="s">
        <v>790</v>
      </c>
      <c r="D135" s="39">
        <f>E135*$D$6</f>
        <v>577.26400000000001</v>
      </c>
      <c r="E135" s="424">
        <v>174.4</v>
      </c>
      <c r="F135" s="112">
        <v>45988</v>
      </c>
      <c r="G135" s="71" t="s">
        <v>126</v>
      </c>
      <c r="H135" s="71">
        <f>IF(OR(G135="Sin pagar",G135="Pagar"),(_xlfn.SINGLE(NETWORKDAYS($J$27,F135,FestivosPerú!$A$2:$A$15))),0)</f>
        <v>0</v>
      </c>
      <c r="I135" s="71">
        <f>NETWORKDAYS($J$27,F135,FestivosPerú!$A$2:$A$15)</f>
        <v>19</v>
      </c>
      <c r="J135" s="117">
        <f>H135</f>
        <v>0</v>
      </c>
      <c r="K135" s="120"/>
      <c r="L135" s="94"/>
      <c r="M135" s="300"/>
      <c r="N135" s="118"/>
    </row>
    <row r="136" spans="1:15" s="71" customFormat="1" outlineLevel="1">
      <c r="B136" s="119"/>
      <c r="C136" s="172" t="s">
        <v>948</v>
      </c>
      <c r="D136" s="408">
        <v>1725.19</v>
      </c>
      <c r="E136" s="115">
        <f>D136/$D$6</f>
        <v>521.20543806646526</v>
      </c>
      <c r="F136" s="112">
        <v>45987</v>
      </c>
      <c r="G136" s="71" t="s">
        <v>126</v>
      </c>
      <c r="H136" s="71">
        <f>IF(OR(G136="Sin pagar",G136="Pagar"),(_xlfn.SINGLE(NETWORKDAYS($J$27,F136,FestivosPerú!$A$2:$A$15))),0)</f>
        <v>0</v>
      </c>
      <c r="I136" s="71">
        <f>NETWORKDAYS($J$27,F136,FestivosPerú!$A$2:$A$15)</f>
        <v>18</v>
      </c>
      <c r="J136" s="117">
        <f t="shared" si="12"/>
        <v>0</v>
      </c>
      <c r="K136" s="120"/>
      <c r="L136" s="94"/>
      <c r="M136" s="300"/>
      <c r="N136" s="118"/>
    </row>
    <row r="137" spans="1:15" s="71" customFormat="1" outlineLevel="1">
      <c r="B137" s="119"/>
      <c r="C137" s="172" t="s">
        <v>789</v>
      </c>
      <c r="D137" s="408">
        <v>476.8</v>
      </c>
      <c r="E137" s="115">
        <f>D137/$D$6</f>
        <v>144.04833836858006</v>
      </c>
      <c r="F137" s="112">
        <v>45987</v>
      </c>
      <c r="G137" s="71" t="s">
        <v>126</v>
      </c>
      <c r="H137" s="71">
        <f>IF(OR(G137="Sin pagar",G137="Pagar"),(_xlfn.SINGLE(NETWORKDAYS($J$27,F137,FestivosPerú!$A$2:$A$15))),0)</f>
        <v>0</v>
      </c>
      <c r="I137" s="71">
        <f>NETWORKDAYS($J$27,F137,FestivosPerú!$A$2:$A$15)</f>
        <v>18</v>
      </c>
      <c r="J137" s="117">
        <f t="shared" si="12"/>
        <v>0</v>
      </c>
      <c r="K137" s="120"/>
      <c r="L137" s="94"/>
      <c r="M137" s="300"/>
      <c r="N137" s="118"/>
    </row>
    <row r="138" spans="1:15" s="71" customFormat="1" outlineLevel="1">
      <c r="B138" s="119"/>
      <c r="C138" s="172" t="s">
        <v>817</v>
      </c>
      <c r="D138" s="408">
        <v>8500</v>
      </c>
      <c r="E138" s="115">
        <f>D138/$D$6</f>
        <v>2567.9758308157097</v>
      </c>
      <c r="F138" s="112">
        <v>45987</v>
      </c>
      <c r="G138" s="71" t="s">
        <v>126</v>
      </c>
      <c r="H138" s="71">
        <f>IF(OR(G138="Sin pagar",G138="Pagar"),(_xlfn.SINGLE(NETWORKDAYS($J$27,F138,FestivosPerú!$A$2:$A$15))),0)</f>
        <v>0</v>
      </c>
      <c r="I138" s="71">
        <f>NETWORKDAYS($J$27,F138,FestivosPerú!$A$2:$A$15)</f>
        <v>18</v>
      </c>
      <c r="J138" s="117">
        <f t="shared" si="12"/>
        <v>0</v>
      </c>
      <c r="K138" s="120"/>
      <c r="L138" s="94"/>
      <c r="M138" s="300"/>
      <c r="N138" s="118"/>
    </row>
    <row r="139" spans="1:15" s="71" customFormat="1" outlineLevel="1">
      <c r="B139" s="119"/>
      <c r="C139" s="172" t="s">
        <v>947</v>
      </c>
      <c r="D139" s="408">
        <v>328.78</v>
      </c>
      <c r="E139" s="115">
        <f>D139/$D$6</f>
        <v>99.329305135951657</v>
      </c>
      <c r="F139" s="112">
        <v>45987</v>
      </c>
      <c r="G139" s="71" t="s">
        <v>126</v>
      </c>
      <c r="H139" s="71">
        <f>IF(OR(G139="Sin pagar",G139="Pagar"),(_xlfn.SINGLE(NETWORKDAYS($J$27,F139,FestivosPerú!$A$2:$A$15))),0)</f>
        <v>0</v>
      </c>
      <c r="I139" s="71">
        <f>NETWORKDAYS($J$27,F139,FestivosPerú!$A$2:$A$15)</f>
        <v>18</v>
      </c>
      <c r="J139" s="117">
        <f t="shared" si="12"/>
        <v>0</v>
      </c>
      <c r="K139" s="120"/>
      <c r="L139" s="94"/>
      <c r="M139" s="300"/>
      <c r="N139" s="118"/>
    </row>
    <row r="140" spans="1:15" s="71" customFormat="1" ht="15" outlineLevel="1" thickBot="1">
      <c r="B140" s="119"/>
      <c r="C140" s="172" t="s">
        <v>983</v>
      </c>
      <c r="D140" s="408">
        <v>634.99</v>
      </c>
      <c r="E140" s="232">
        <v>87.2</v>
      </c>
      <c r="F140" s="112">
        <v>45988</v>
      </c>
      <c r="G140" s="71" t="s">
        <v>126</v>
      </c>
      <c r="H140" s="71">
        <f>IF(OR(G140="Sin pagar",G140="Pagar"),(_xlfn.SINGLE(NETWORKDAYS($J$27,F140,FestivosPerú!$A$2:$A$15))),0)</f>
        <v>0</v>
      </c>
      <c r="I140" s="71">
        <f>NETWORKDAYS($J$27,F140,FestivosPerú!$A$2:$A$15)</f>
        <v>19</v>
      </c>
      <c r="J140" s="117">
        <f>H140</f>
        <v>0</v>
      </c>
      <c r="K140" s="120"/>
      <c r="L140" s="94"/>
      <c r="M140" s="300"/>
      <c r="N140" s="118"/>
    </row>
    <row r="141" spans="1:15" s="71" customFormat="1" ht="16.2" thickBot="1">
      <c r="A141" s="126"/>
      <c r="B141" s="125"/>
      <c r="C141" s="311" t="s">
        <v>129</v>
      </c>
      <c r="D141" s="312">
        <f>SUBTOTAL(9,D142:D142)</f>
        <v>0</v>
      </c>
      <c r="E141" s="313">
        <f>SUBTOTAL(9,E142:E142)</f>
        <v>0</v>
      </c>
      <c r="H141" s="71">
        <f>IF(OR(G141="Sin pagar",G141="Pagar"),(_xlfn.SINGLE(NETWORKDAYS($J$27,F141,FestivosPerú!$A$2:$A$15))),0)</f>
        <v>0</v>
      </c>
      <c r="L141" s="89"/>
    </row>
    <row r="142" spans="1:15" s="71" customFormat="1" ht="15" outlineLevel="1" thickBot="1">
      <c r="A142" s="126"/>
      <c r="B142" s="128"/>
      <c r="C142" s="84" t="s">
        <v>335</v>
      </c>
      <c r="D142" s="39">
        <f>E142*D6</f>
        <v>0</v>
      </c>
      <c r="E142" s="115">
        <v>0</v>
      </c>
      <c r="F142" s="112">
        <v>45991</v>
      </c>
      <c r="G142" s="71" t="s">
        <v>126</v>
      </c>
      <c r="H142" s="71">
        <f>IF(OR(G142="Sin pagar",G142="Pagar"),(_xlfn.SINGLE(NETWORKDAYS($J$27,F142,FestivosPerú!$A$2:$A$15))),0)</f>
        <v>0</v>
      </c>
      <c r="I142" s="71">
        <f>NETWORKDAYS($J$27,F142,FestivosPerú!$A$2:$A$15)</f>
        <v>20</v>
      </c>
      <c r="J142" s="117">
        <f>H142</f>
        <v>0</v>
      </c>
      <c r="L142" s="89"/>
    </row>
    <row r="143" spans="1:15" ht="15.6">
      <c r="C143" s="129" t="s">
        <v>130</v>
      </c>
      <c r="D143" s="227">
        <f>SUBTOTAL(9,D29:D142)</f>
        <v>609605.52042662026</v>
      </c>
      <c r="E143" s="228">
        <f>SUBTOTAL(9,E29:E142)</f>
        <v>182730.56221348044</v>
      </c>
    </row>
    <row r="144" spans="1:15" s="238" customFormat="1" ht="15.6">
      <c r="B144" s="239"/>
      <c r="C144" s="240"/>
      <c r="D144" s="241"/>
      <c r="E144" s="242"/>
    </row>
    <row r="145" spans="1:16" ht="15.6">
      <c r="A145" s="71"/>
      <c r="C145" s="134" t="s">
        <v>3</v>
      </c>
      <c r="D145" s="170">
        <f>D24-D143</f>
        <v>503284.1923236018</v>
      </c>
      <c r="E145" s="135">
        <f>E24-E143</f>
        <v>189004.92246740058</v>
      </c>
      <c r="F145" s="136"/>
      <c r="G145" s="136"/>
      <c r="J145" s="364"/>
    </row>
    <row r="146" spans="1:16" s="141" customFormat="1" ht="15.6">
      <c r="A146" s="71"/>
      <c r="B146" s="138"/>
      <c r="C146" s="134" t="s">
        <v>131</v>
      </c>
      <c r="D146" s="139">
        <f>IF($D$24=0,0,D145/$D$24)</f>
        <v>0.45223186678567073</v>
      </c>
      <c r="E146" s="139">
        <f>IF($E$24=0,0,E145/$E$24)</f>
        <v>0.50843928076883271</v>
      </c>
      <c r="F146" s="140"/>
      <c r="G146" s="137"/>
      <c r="J146" s="142"/>
      <c r="K146" s="397"/>
      <c r="L146" s="397"/>
      <c r="N146" s="397"/>
      <c r="O146" s="397"/>
      <c r="P146" s="397"/>
    </row>
    <row r="148" spans="1:16" ht="15" thickBot="1"/>
    <row r="149" spans="1:16" ht="15.6">
      <c r="C149" s="197">
        <v>45962</v>
      </c>
      <c r="D149" s="198">
        <v>45970</v>
      </c>
      <c r="E149" s="199">
        <f t="shared" ref="E149:E159" si="13">SUMIFS($D$27:$D$147,$F$27:$F$147,"&gt;="&amp;C149,$F$27:$F$147,"&lt;="&amp;D149,$G$27:$G$147,$D$169)</f>
        <v>0</v>
      </c>
      <c r="F149" s="200">
        <f t="shared" ref="F149:F159" si="14">SUMIFS($E$27:$E$148,$F$27:$F$148,"&gt;="&amp;C149,$F$27:$F$148,"&lt;="&amp;D149,$G$27:$G$148,$D$169)</f>
        <v>0</v>
      </c>
      <c r="G149" s="375" t="s">
        <v>693</v>
      </c>
    </row>
    <row r="150" spans="1:16" ht="15.6">
      <c r="C150" s="326">
        <v>45971</v>
      </c>
      <c r="D150" s="381">
        <v>45971</v>
      </c>
      <c r="E150" s="203">
        <f t="shared" si="13"/>
        <v>0</v>
      </c>
      <c r="F150" s="204">
        <f t="shared" si="14"/>
        <v>0</v>
      </c>
      <c r="G150" s="375" t="s">
        <v>835</v>
      </c>
    </row>
    <row r="151" spans="1:16" s="401" customFormat="1" ht="15.6">
      <c r="B151" s="400"/>
      <c r="C151" s="326">
        <v>45972</v>
      </c>
      <c r="D151" s="381">
        <v>45972</v>
      </c>
      <c r="E151" s="203">
        <f t="shared" si="13"/>
        <v>0</v>
      </c>
      <c r="F151" s="204">
        <f t="shared" si="14"/>
        <v>0</v>
      </c>
      <c r="G151" s="375"/>
    </row>
    <row r="152" spans="1:16">
      <c r="C152" s="326">
        <v>45974</v>
      </c>
      <c r="D152" s="327">
        <v>45975</v>
      </c>
      <c r="E152" s="203">
        <f t="shared" si="13"/>
        <v>0</v>
      </c>
      <c r="F152" s="204">
        <f t="shared" si="14"/>
        <v>0</v>
      </c>
      <c r="G152" s="397" t="s">
        <v>836</v>
      </c>
    </row>
    <row r="153" spans="1:16">
      <c r="C153" s="326">
        <v>45976</v>
      </c>
      <c r="D153" s="327">
        <v>45978</v>
      </c>
      <c r="E153" s="203">
        <f t="shared" si="13"/>
        <v>0</v>
      </c>
      <c r="F153" s="204">
        <f t="shared" si="14"/>
        <v>0</v>
      </c>
      <c r="G153" s="397" t="s">
        <v>839</v>
      </c>
    </row>
    <row r="154" spans="1:16">
      <c r="C154" s="380">
        <v>45979</v>
      </c>
      <c r="D154" s="327">
        <v>45979</v>
      </c>
      <c r="E154" s="203">
        <f t="shared" si="13"/>
        <v>0</v>
      </c>
      <c r="F154" s="204">
        <f t="shared" si="14"/>
        <v>0</v>
      </c>
      <c r="G154" s="397" t="s">
        <v>840</v>
      </c>
    </row>
    <row r="155" spans="1:16" s="411" customFormat="1">
      <c r="B155" s="410"/>
      <c r="C155" s="326">
        <v>45980</v>
      </c>
      <c r="D155" s="327">
        <v>45980</v>
      </c>
      <c r="E155" s="203">
        <f t="shared" si="13"/>
        <v>0</v>
      </c>
      <c r="F155" s="204">
        <f t="shared" si="14"/>
        <v>0</v>
      </c>
      <c r="G155" s="411" t="s">
        <v>919</v>
      </c>
    </row>
    <row r="156" spans="1:16" ht="15.6">
      <c r="C156" s="326">
        <v>45981</v>
      </c>
      <c r="D156" s="381">
        <v>45984</v>
      </c>
      <c r="E156" s="203">
        <f t="shared" si="13"/>
        <v>0</v>
      </c>
      <c r="F156" s="204">
        <f t="shared" si="14"/>
        <v>0</v>
      </c>
      <c r="G156" s="375" t="s">
        <v>697</v>
      </c>
    </row>
    <row r="157" spans="1:16" ht="15.6">
      <c r="C157" s="201">
        <v>45985</v>
      </c>
      <c r="D157" s="202">
        <v>45988</v>
      </c>
      <c r="E157" s="203">
        <f t="shared" si="13"/>
        <v>0</v>
      </c>
      <c r="F157" s="204">
        <f t="shared" si="14"/>
        <v>0</v>
      </c>
      <c r="G157" s="375" t="s">
        <v>698</v>
      </c>
    </row>
    <row r="158" spans="1:16" s="411" customFormat="1" ht="15.6">
      <c r="B158" s="410"/>
      <c r="C158" s="202">
        <v>45989</v>
      </c>
      <c r="D158" s="202">
        <v>45989</v>
      </c>
      <c r="E158" s="203">
        <f t="shared" si="13"/>
        <v>0</v>
      </c>
      <c r="F158" s="204">
        <f t="shared" si="14"/>
        <v>0</v>
      </c>
      <c r="G158" s="375"/>
    </row>
    <row r="159" spans="1:16" ht="16.2" thickBot="1">
      <c r="C159" s="205">
        <v>45990</v>
      </c>
      <c r="D159" s="206">
        <v>45991</v>
      </c>
      <c r="E159" s="207">
        <f t="shared" si="13"/>
        <v>0</v>
      </c>
      <c r="F159" s="208">
        <f t="shared" si="14"/>
        <v>0</v>
      </c>
      <c r="G159" s="375" t="s">
        <v>837</v>
      </c>
    </row>
    <row r="160" spans="1:16" ht="15.6">
      <c r="C160" s="524" t="s">
        <v>136</v>
      </c>
      <c r="D160" s="524"/>
      <c r="E160" s="323">
        <f>SUM(E149:E159)</f>
        <v>0</v>
      </c>
      <c r="F160" s="153">
        <f>SUM(F149:F159)</f>
        <v>0</v>
      </c>
      <c r="G160" s="77"/>
      <c r="K160" s="137"/>
      <c r="M160" s="154"/>
    </row>
    <row r="161" spans="2:6">
      <c r="F161" s="398"/>
    </row>
    <row r="163" spans="2:6">
      <c r="C163" s="522" t="s">
        <v>932</v>
      </c>
      <c r="D163" s="522"/>
      <c r="E163" s="39">
        <f>(('BCP SOLES BCP'!$G$705+('BCP USD BCP'!$G$350*$D$6)))</f>
        <v>553106.0607431517</v>
      </c>
      <c r="F163" s="154">
        <f>((('BCP SOLES BCP'!$G$705/$D$6)+'BCP USD BCP'!$G$350))</f>
        <v>167101.52892542348</v>
      </c>
    </row>
    <row r="164" spans="2:6" s="420" customFormat="1" ht="15" thickBot="1">
      <c r="B164" s="419"/>
      <c r="C164" s="522" t="s">
        <v>933</v>
      </c>
      <c r="D164" s="522"/>
      <c r="E164" s="421">
        <f>(('BBVA SOLES'!$G$33+('BBVA USD'!$G$15*$D$6)))</f>
        <v>3399.8564999999967</v>
      </c>
      <c r="F164" s="422">
        <f>(('BBVA SOLES'!$G$34/$D$6)+'BBVA USD'!$G$23)</f>
        <v>507.46870090634343</v>
      </c>
    </row>
    <row r="165" spans="2:6" s="420" customFormat="1" ht="15" thickTop="1">
      <c r="B165" s="419"/>
      <c r="C165" s="523" t="s">
        <v>934</v>
      </c>
      <c r="D165" s="523"/>
      <c r="E165" s="167">
        <f>SUM(E163:E164)</f>
        <v>556505.91724315169</v>
      </c>
      <c r="F165" s="168">
        <f>SUM(F163:F164)</f>
        <v>167608.99762632983</v>
      </c>
    </row>
    <row r="166" spans="2:6">
      <c r="C166" s="533" t="s">
        <v>944</v>
      </c>
      <c r="D166" s="522"/>
      <c r="E166" s="39">
        <f>SUM(E149:E159)</f>
        <v>0</v>
      </c>
      <c r="F166" s="154">
        <f>SUM($F$149:$F$159)</f>
        <v>0</v>
      </c>
    </row>
    <row r="167" spans="2:6">
      <c r="C167" s="523" t="s">
        <v>138</v>
      </c>
      <c r="D167" s="523"/>
      <c r="E167" s="39">
        <f>SUM(E163:E163)-E166</f>
        <v>553106.0607431517</v>
      </c>
      <c r="F167" s="154">
        <f>SUM(F163:F163)-F166</f>
        <v>167101.52892542348</v>
      </c>
    </row>
    <row r="168" spans="2:6">
      <c r="C168" s="396"/>
      <c r="D168" s="396"/>
      <c r="E168" s="39"/>
      <c r="F168" s="154"/>
    </row>
    <row r="169" spans="2:6">
      <c r="D169" s="231" t="s">
        <v>116</v>
      </c>
      <c r="E169" s="39">
        <f>SUMIFS($D$28:$D$147,$F$28:$F$147,"&gt;="&amp;C149,$F$28:$F$147,"&lt;="&amp;D159,$G$28:$G$147,$D$169)</f>
        <v>0</v>
      </c>
      <c r="F169" s="154">
        <f>SUMIFS($E$28:$E$147,$F$28:$F$147,"&gt;="&amp;$C$149,$F$28:$F$147,"&lt;="&amp;D159,$G$28:$G$147,$D$169)</f>
        <v>0</v>
      </c>
    </row>
    <row r="170" spans="2:6">
      <c r="D170" s="398" t="s">
        <v>126</v>
      </c>
      <c r="E170" s="39">
        <f>SUMIFS($D$28:$D$147,$F$28:$F$147,"&gt;="&amp;C149,$F$28:$F$147,"&lt;="&amp;D159,$G$28:$G$147,$D$170)</f>
        <v>608447.02042662026</v>
      </c>
      <c r="F170" s="154">
        <f>SUMIFS($E$28:$E$147,$F$28:$F$147,"&gt;="&amp;$C$149,$F$28:$F$147,"&lt;="&amp;D159,$G$28:$G$147,$D$170)</f>
        <v>182380.56221348044</v>
      </c>
    </row>
    <row r="171" spans="2:6">
      <c r="D171" s="398" t="s">
        <v>854</v>
      </c>
      <c r="E171" s="167">
        <f>SUM(E169:E170)</f>
        <v>608447.02042662026</v>
      </c>
      <c r="F171" s="168">
        <f>SUM(F169:F170)</f>
        <v>182380.56221348044</v>
      </c>
    </row>
    <row r="172" spans="2:6">
      <c r="D172" s="398" t="s">
        <v>140</v>
      </c>
      <c r="E172" s="167">
        <f>E171-D143</f>
        <v>-1158.5</v>
      </c>
      <c r="F172" s="168">
        <f>E143-F171</f>
        <v>350</v>
      </c>
    </row>
    <row r="176" spans="2:6">
      <c r="D176" s="448" t="s">
        <v>198</v>
      </c>
      <c r="E176" s="449">
        <f>D145</f>
        <v>503284.1923236018</v>
      </c>
      <c r="F176" s="154"/>
    </row>
    <row r="177" spans="2:6">
      <c r="D177" s="448" t="s">
        <v>199</v>
      </c>
      <c r="E177" s="449">
        <f>'BCP SOLES BCP'!$G$715</f>
        <v>484932.33465218218</v>
      </c>
      <c r="F177" s="168"/>
    </row>
    <row r="178" spans="2:6">
      <c r="D178" s="448" t="s">
        <v>39</v>
      </c>
      <c r="E178" s="449">
        <f>E176-E177</f>
        <v>18351.857671419624</v>
      </c>
    </row>
    <row r="179" spans="2:6">
      <c r="D179" s="448" t="s">
        <v>200</v>
      </c>
      <c r="E179" s="141">
        <f>E178/D6</f>
        <v>5544.3678765618197</v>
      </c>
      <c r="F179" s="403"/>
    </row>
    <row r="180" spans="2:6">
      <c r="D180" s="84"/>
      <c r="E180" s="39"/>
      <c r="F180" s="154"/>
    </row>
    <row r="181" spans="2:6" s="401" customFormat="1">
      <c r="B181" s="400"/>
      <c r="D181" s="84"/>
      <c r="E181" s="39"/>
      <c r="F181" s="154"/>
    </row>
    <row r="182" spans="2:6">
      <c r="D182" s="84"/>
      <c r="E182" s="39"/>
      <c r="F182" s="403"/>
    </row>
    <row r="183" spans="2:6">
      <c r="E183" s="39"/>
      <c r="F183" s="403"/>
    </row>
    <row r="184" spans="2:6">
      <c r="D184" s="402"/>
      <c r="E184" s="39"/>
      <c r="F184" s="403"/>
    </row>
    <row r="185" spans="2:6">
      <c r="D185" s="402"/>
      <c r="E185" s="39"/>
      <c r="F185" s="403"/>
    </row>
    <row r="186" spans="2:6">
      <c r="D186" s="158"/>
      <c r="E186" s="167"/>
      <c r="F186" s="168"/>
    </row>
    <row r="188" spans="2:6">
      <c r="D188" s="158"/>
      <c r="E188" s="167"/>
      <c r="F188" s="168"/>
    </row>
  </sheetData>
  <protectedRanges>
    <protectedRange sqref="F24:G24 D147:E147 D10:E11 E12 D14:D23" name="Presupuestos"/>
    <protectedRange sqref="D8:E8 D28:E28" name="Presupuestos_1"/>
    <protectedRange sqref="D51:E53" name="Presupuestos_13_1"/>
    <protectedRange sqref="D74 E72:E74 E65:E70 D97 E88:E101 D75:E75 E37:E49 E115:E130 E132:E140" name="Presupuestos_2_1_1_1"/>
    <protectedRange sqref="K73 D73 E77:E78 K65:K70 K88:K89 K91:K92 K115:K118 K37:K49" name="Presupuestos_6_1_1_1"/>
    <protectedRange sqref="D56:E56 E55 D62:E63" name="Presupuestos_7_1"/>
    <protectedRange sqref="D77:D78" name="Presupuestos_5_3"/>
    <protectedRange sqref="P65:P69 D65:D70 P37:P41 D98:D101 D88:D96 P43:P46 D115:D118 P48:P49 D37:D49" name="Presupuestos_6_1_1_1_1"/>
    <protectedRange sqref="D57:E60" name="Presupuestos_7_1_1"/>
    <protectedRange sqref="E80:E81" name="Presupuestos_7_1_2"/>
    <protectedRange sqref="D80:D81" name="Presupuestos_5_3_1"/>
    <protectedRange sqref="E142" name="Presupuestos_6_1_1_1_3"/>
    <protectedRange sqref="D142" name="Presupuestos_5_3_3"/>
  </protectedRanges>
  <autoFilter ref="A28:S146" xr:uid="{1773D8AD-FC47-48F2-8525-F997BBF8462A}"/>
  <mergeCells count="12">
    <mergeCell ref="D7:E7"/>
    <mergeCell ref="B27:C27"/>
    <mergeCell ref="D27:E27"/>
    <mergeCell ref="F27:G27"/>
    <mergeCell ref="C160:D160"/>
    <mergeCell ref="C164:D164"/>
    <mergeCell ref="C165:D165"/>
    <mergeCell ref="C163:D163"/>
    <mergeCell ref="M30:M32"/>
    <mergeCell ref="M83:M86"/>
    <mergeCell ref="C166:D166"/>
    <mergeCell ref="C167:D167"/>
  </mergeCells>
  <conditionalFormatting sqref="J50 J31:J32 J54 J82 J65:J70 J77:J78 J72:J75 J115:J130 J132:J140">
    <cfRule type="cellIs" dxfId="207" priority="54" operator="between">
      <formula>1</formula>
      <formula>5</formula>
    </cfRule>
    <cfRule type="cellIs" dxfId="206" priority="55" operator="between">
      <formula>16</formula>
      <formula>60</formula>
    </cfRule>
  </conditionalFormatting>
  <conditionalFormatting sqref="J50 J31:J32 J54 J82 J65:J70 J77:J78 J72:J75 J115:J130 J132:J140">
    <cfRule type="cellIs" dxfId="205" priority="53" operator="lessThan">
      <formula>0</formula>
    </cfRule>
  </conditionalFormatting>
  <conditionalFormatting sqref="J62:J63">
    <cfRule type="cellIs" dxfId="204" priority="51" operator="between">
      <formula>1</formula>
      <formula>5</formula>
    </cfRule>
    <cfRule type="cellIs" dxfId="203" priority="52" operator="between">
      <formula>16</formula>
      <formula>60</formula>
    </cfRule>
  </conditionalFormatting>
  <conditionalFormatting sqref="J62:J63">
    <cfRule type="cellIs" dxfId="202" priority="50" operator="lessThan">
      <formula>0</formula>
    </cfRule>
  </conditionalFormatting>
  <conditionalFormatting sqref="J34:J35 J103:J104 J83:J86 J88:J101 J51:J53 J37:J49 J106:J113">
    <cfRule type="cellIs" dxfId="201" priority="46" operator="lessThan">
      <formula>0</formula>
    </cfRule>
    <cfRule type="cellIs" dxfId="200" priority="47" operator="between">
      <formula>6</formula>
      <formula>15</formula>
    </cfRule>
    <cfRule type="cellIs" dxfId="199" priority="48" operator="between">
      <formula>1</formula>
      <formula>5</formula>
    </cfRule>
    <cfRule type="cellIs" dxfId="177" priority="49" operator="between">
      <formula>16</formula>
      <formula>60</formula>
    </cfRule>
  </conditionalFormatting>
  <conditionalFormatting sqref="J55">
    <cfRule type="cellIs" dxfId="198" priority="40" operator="between">
      <formula>1</formula>
      <formula>5</formula>
    </cfRule>
    <cfRule type="cellIs" dxfId="197" priority="41" operator="between">
      <formula>16</formula>
      <formula>60</formula>
    </cfRule>
  </conditionalFormatting>
  <conditionalFormatting sqref="J55">
    <cfRule type="cellIs" dxfId="196" priority="39" operator="lessThan">
      <formula>0</formula>
    </cfRule>
  </conditionalFormatting>
  <conditionalFormatting sqref="J80:J81">
    <cfRule type="cellIs" dxfId="195" priority="33" operator="between">
      <formula>1</formula>
      <formula>5</formula>
    </cfRule>
    <cfRule type="cellIs" dxfId="194" priority="34" operator="between">
      <formula>16</formula>
      <formula>60</formula>
    </cfRule>
  </conditionalFormatting>
  <conditionalFormatting sqref="J80:J81">
    <cfRule type="cellIs" dxfId="193" priority="32" operator="lessThan">
      <formula>0</formula>
    </cfRule>
  </conditionalFormatting>
  <conditionalFormatting sqref="J102">
    <cfRule type="cellIs" dxfId="192" priority="30" operator="between">
      <formula>1</formula>
      <formula>5</formula>
    </cfRule>
    <cfRule type="cellIs" dxfId="191" priority="31" operator="between">
      <formula>16</formula>
      <formula>60</formula>
    </cfRule>
  </conditionalFormatting>
  <conditionalFormatting sqref="J102">
    <cfRule type="cellIs" dxfId="190" priority="29" operator="lessThan">
      <formula>0</formula>
    </cfRule>
  </conditionalFormatting>
  <conditionalFormatting sqref="J105">
    <cfRule type="cellIs" dxfId="189" priority="27" operator="between">
      <formula>1</formula>
      <formula>5</formula>
    </cfRule>
    <cfRule type="cellIs" dxfId="188" priority="28" operator="between">
      <formula>16</formula>
      <formula>60</formula>
    </cfRule>
  </conditionalFormatting>
  <conditionalFormatting sqref="J105">
    <cfRule type="cellIs" dxfId="187" priority="26" operator="lessThan">
      <formula>0</formula>
    </cfRule>
  </conditionalFormatting>
  <conditionalFormatting sqref="J142">
    <cfRule type="cellIs" dxfId="186" priority="22" operator="lessThan">
      <formula>0</formula>
    </cfRule>
    <cfRule type="cellIs" dxfId="185" priority="23" operator="between">
      <formula>6</formula>
      <formula>15</formula>
    </cfRule>
    <cfRule type="cellIs" dxfId="184" priority="24" operator="between">
      <formula>1</formula>
      <formula>5</formula>
    </cfRule>
    <cfRule type="cellIs" dxfId="176" priority="25" operator="between">
      <formula>16</formula>
      <formula>60</formula>
    </cfRule>
  </conditionalFormatting>
  <conditionalFormatting sqref="J30">
    <cfRule type="cellIs" dxfId="183" priority="18" operator="lessThan">
      <formula>0</formula>
    </cfRule>
    <cfRule type="cellIs" dxfId="182" priority="19" operator="between">
      <formula>6</formula>
      <formula>15</formula>
    </cfRule>
    <cfRule type="cellIs" dxfId="181" priority="20" operator="between">
      <formula>1</formula>
      <formula>5</formula>
    </cfRule>
    <cfRule type="cellIs" dxfId="175" priority="21" operator="between">
      <formula>16</formula>
      <formula>60</formula>
    </cfRule>
  </conditionalFormatting>
  <conditionalFormatting sqref="J56:J60">
    <cfRule type="cellIs" dxfId="180" priority="8" operator="lessThan">
      <formula>0</formula>
    </cfRule>
    <cfRule type="cellIs" dxfId="179" priority="9" operator="between">
      <formula>6</formula>
      <formula>15</formula>
    </cfRule>
    <cfRule type="cellIs" dxfId="178" priority="10" operator="between">
      <formula>1</formula>
      <formula>5</formula>
    </cfRule>
    <cfRule type="cellIs" dxfId="174" priority="11" operator="between">
      <formula>16</formula>
      <formula>60</formula>
    </cfRule>
  </conditionalFormatting>
  <dataValidations count="3">
    <dataValidation type="list" allowBlank="1" showInputMessage="1" showErrorMessage="1" sqref="D27 D7" xr:uid="{1CC6B9D5-5234-48BF-A4A5-D87EA140F4F6}">
      <formula1>"ENERO,FEBRERO,MARZO,ABRIL,MAYO,JUNIO,JULIO,AGOSTO,SEPTIEMBRE,OCTUBRE,NOVIEMBRE,DICIEMBRE"</formula1>
    </dataValidation>
    <dataValidation type="list" allowBlank="1" showInputMessage="1" showErrorMessage="1" sqref="G106:G113 G132:G140 G65:G70 G142 G29:G32 G77:G78 G83:G86 G62:G63 G51:G53 G103:G104 G72:G75 G34:G35 D169 G55:G60 G88:G101 G37:G49 G115:G130 G80:G81" xr:uid="{DA84877D-CF8C-427A-AB77-6175FF5E7973}">
      <formula1>"Cancelado,Pagar,Sin Pagar"</formula1>
    </dataValidation>
    <dataValidation type="list" allowBlank="1" showInputMessage="1" showErrorMessage="1" sqref="B14:B23" xr:uid="{6B8CFEC6-0053-45B2-A1D0-3E8ED9088AD2}">
      <formula1>"Sin Pagar,Pagado"</formula1>
    </dataValidation>
  </dataValidations>
  <pageMargins left="0.7" right="0.7" top="0.75" bottom="0.75" header="0.3" footer="0.3"/>
  <pageSetup orientation="portrait" r:id="rId1"/>
  <ignoredErrors>
    <ignoredError sqref="H76:I76 J82:J86 J166:J172 H82:I96 H127:J127 H30:J42 J152:J154 J156:J157 J159:J163 H50:I50 H64:J74 H131:J131 H136:I136 H141:I142 J141:J150 H103:I106 H114:J114 J88:J109 J115:J126 J128:J129 J136:J138 J43:J46 J50:J54 H139:J139 J132:J134 H110:J111 H52:I62 J56:J62 H78:I80 J76:J80" unlockedFormula="1"/>
    <ignoredError sqref="E97" 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F9E9-E126-4880-B5EB-42E718D149AD}">
  <dimension ref="A1:S170"/>
  <sheetViews>
    <sheetView showGridLines="0" topLeftCell="A4" zoomScaleNormal="100" workbookViewId="0">
      <selection activeCell="F27" sqref="F27"/>
    </sheetView>
  </sheetViews>
  <sheetFormatPr baseColWidth="10" defaultColWidth="9.109375" defaultRowHeight="14.4" outlineLevelRow="1"/>
  <cols>
    <col min="1" max="1" width="2.109375" style="432" customWidth="1"/>
    <col min="2" max="2" width="14.6640625" style="431" bestFit="1" customWidth="1"/>
    <col min="3" max="3" width="70.88671875" style="432" customWidth="1"/>
    <col min="4" max="4" width="24.44140625" style="433" customWidth="1"/>
    <col min="5" max="5" width="19.33203125" style="433" bestFit="1" customWidth="1"/>
    <col min="6" max="6" width="20.109375" style="432" bestFit="1" customWidth="1"/>
    <col min="7" max="7" width="16.88671875" style="432" customWidth="1"/>
    <col min="8" max="8" width="11.88671875" style="432" hidden="1" customWidth="1"/>
    <col min="9" max="9" width="6" style="432" hidden="1" customWidth="1"/>
    <col min="10" max="10" width="16.5546875" style="432" customWidth="1"/>
    <col min="11" max="11" width="2.109375" style="432" customWidth="1"/>
    <col min="12" max="12" width="2.33203125" style="432" customWidth="1"/>
    <col min="13" max="14" width="15.5546875" style="432" bestFit="1" customWidth="1"/>
    <col min="15" max="15" width="13.88671875" style="432" bestFit="1" customWidth="1"/>
    <col min="16" max="16" width="19.33203125" style="432" bestFit="1" customWidth="1"/>
    <col min="17" max="17" width="15.33203125" style="432" bestFit="1" customWidth="1"/>
    <col min="18" max="18" width="14" style="432" bestFit="1" customWidth="1"/>
    <col min="19" max="19" width="13" style="432" bestFit="1" customWidth="1"/>
    <col min="20" max="16384" width="9.109375" style="432"/>
  </cols>
  <sheetData>
    <row r="1" spans="2:14" hidden="1">
      <c r="D1" s="433">
        <v>42400</v>
      </c>
    </row>
    <row r="2" spans="2:14">
      <c r="D2" s="70"/>
      <c r="E2" s="70"/>
      <c r="I2" s="71"/>
    </row>
    <row r="3" spans="2:14">
      <c r="E3" s="72"/>
      <c r="I3" s="71"/>
    </row>
    <row r="4" spans="2:14" ht="15.6">
      <c r="B4" s="73"/>
      <c r="C4" s="73"/>
      <c r="D4" s="74" t="s">
        <v>109</v>
      </c>
      <c r="E4" s="75">
        <v>45992</v>
      </c>
      <c r="I4" s="71"/>
    </row>
    <row r="5" spans="2:14">
      <c r="D5" s="70"/>
      <c r="E5" s="70"/>
      <c r="I5" s="71"/>
    </row>
    <row r="6" spans="2:14">
      <c r="C6" s="76" t="s">
        <v>110</v>
      </c>
      <c r="D6" s="39">
        <v>3.31</v>
      </c>
      <c r="E6" s="70"/>
      <c r="I6" s="71"/>
      <c r="J6" s="85"/>
    </row>
    <row r="7" spans="2:14" ht="15.6">
      <c r="C7" s="77"/>
      <c r="D7" s="521" t="s">
        <v>1002</v>
      </c>
      <c r="E7" s="521"/>
      <c r="I7" s="71"/>
      <c r="J7" s="85"/>
    </row>
    <row r="8" spans="2:14">
      <c r="D8" s="78" t="s">
        <v>142</v>
      </c>
      <c r="E8" s="78" t="s">
        <v>112</v>
      </c>
      <c r="J8" s="181"/>
    </row>
    <row r="9" spans="2:14" s="79" customFormat="1" ht="15.6">
      <c r="C9" s="80" t="s">
        <v>113</v>
      </c>
      <c r="D9" s="159">
        <f>SUBTOTAL(9,D10:D11)</f>
        <v>529039.55574315169</v>
      </c>
      <c r="E9" s="81">
        <f>SUBTOTAL(9,E10:E11)</f>
        <v>159830.68149339932</v>
      </c>
      <c r="F9" s="82"/>
      <c r="I9" s="71"/>
    </row>
    <row r="10" spans="2:14" s="71" customFormat="1" outlineLevel="1">
      <c r="B10" s="83"/>
      <c r="C10" s="84" t="s">
        <v>141</v>
      </c>
      <c r="D10" s="39">
        <f>'BCP SOLES BCP'!$G$715+'BBVA SOLES'!$G$36</f>
        <v>485481.6646521822</v>
      </c>
      <c r="E10" s="85">
        <f>D10/$D$6</f>
        <v>146671.19778011547</v>
      </c>
      <c r="F10" s="86"/>
    </row>
    <row r="11" spans="2:14" s="71" customFormat="1" outlineLevel="1">
      <c r="B11" s="83"/>
      <c r="C11" s="84" t="s">
        <v>114</v>
      </c>
      <c r="D11" s="39">
        <f>E11*$D$6</f>
        <v>43557.891090969526</v>
      </c>
      <c r="E11" s="85">
        <f>'BCP USD BCP'!$G$306+'BBVA USD'!$G$16</f>
        <v>13159.483713283844</v>
      </c>
      <c r="F11" s="86"/>
    </row>
    <row r="12" spans="2:14" s="71" customFormat="1" ht="15.6">
      <c r="B12" s="83"/>
      <c r="C12" s="87" t="s">
        <v>115</v>
      </c>
      <c r="D12" s="159">
        <f>SUBTOTAL(9,D13:D20)</f>
        <v>507063.04099999997</v>
      </c>
      <c r="E12" s="81">
        <f>SUBTOTAL(9,E13:E20)</f>
        <v>157578.02102719032</v>
      </c>
      <c r="F12" s="303"/>
      <c r="G12" s="303"/>
      <c r="J12" s="183"/>
    </row>
    <row r="13" spans="2:14" s="71" customFormat="1" ht="28.8" outlineLevel="1">
      <c r="B13" s="252" t="s">
        <v>116</v>
      </c>
      <c r="C13" s="186" t="s">
        <v>824</v>
      </c>
      <c r="D13" s="39">
        <f>$E$13*3.2</f>
        <v>0</v>
      </c>
      <c r="E13" s="271">
        <f>(2554.83+3495.61)*0</f>
        <v>0</v>
      </c>
      <c r="F13" s="85"/>
      <c r="G13" s="387"/>
      <c r="J13" s="387"/>
      <c r="M13" s="305">
        <f>G13-J13</f>
        <v>0</v>
      </c>
      <c r="N13" s="304"/>
    </row>
    <row r="14" spans="2:14" s="342" customFormat="1" outlineLevel="1">
      <c r="B14" s="176" t="s">
        <v>169</v>
      </c>
      <c r="C14" s="370" t="s">
        <v>1051</v>
      </c>
      <c r="D14" s="40">
        <f>E14*3.2</f>
        <v>99809.568000000014</v>
      </c>
      <c r="E14" s="185">
        <f>'BCP USD BCP'!E313</f>
        <v>31190.49</v>
      </c>
      <c r="F14" s="423"/>
      <c r="G14" s="387"/>
      <c r="H14" s="399"/>
      <c r="I14" s="399"/>
    </row>
    <row r="15" spans="2:14" s="342" customFormat="1" hidden="1" outlineLevel="1">
      <c r="B15" s="176"/>
      <c r="C15" s="370"/>
      <c r="D15" s="40">
        <v>21739.62</v>
      </c>
      <c r="E15" s="185">
        <f>D15/D6</f>
        <v>6567.8610271903317</v>
      </c>
      <c r="F15" s="423"/>
      <c r="G15" s="387"/>
      <c r="H15" s="399"/>
      <c r="I15" s="399"/>
    </row>
    <row r="16" spans="2:14" s="342" customFormat="1" hidden="1" outlineLevel="1">
      <c r="B16" s="176"/>
      <c r="C16" s="370"/>
      <c r="D16" s="40"/>
      <c r="E16" s="185"/>
      <c r="F16" s="423"/>
      <c r="G16" s="387"/>
      <c r="H16" s="399"/>
      <c r="I16" s="399"/>
    </row>
    <row r="17" spans="1:19" s="71" customFormat="1" outlineLevel="1">
      <c r="B17" s="436" t="s">
        <v>169</v>
      </c>
      <c r="C17" s="370" t="s">
        <v>1052</v>
      </c>
      <c r="D17" s="213">
        <f>E17*3.2</f>
        <v>21258.080000000002</v>
      </c>
      <c r="E17" s="178">
        <v>6643.15</v>
      </c>
      <c r="F17" s="271"/>
    </row>
    <row r="18" spans="1:19" s="342" customFormat="1" outlineLevel="1">
      <c r="B18" s="436" t="s">
        <v>169</v>
      </c>
      <c r="C18" s="177" t="s">
        <v>1062</v>
      </c>
      <c r="D18" s="40">
        <f>E18*3.2</f>
        <v>27619.423999999999</v>
      </c>
      <c r="E18" s="185">
        <v>8631.07</v>
      </c>
      <c r="F18" s="85"/>
      <c r="G18" s="387"/>
    </row>
    <row r="19" spans="1:19" s="71" customFormat="1" outlineLevel="1">
      <c r="B19" s="120" t="s">
        <v>116</v>
      </c>
      <c r="C19" s="442" t="s">
        <v>1067</v>
      </c>
      <c r="D19" s="209">
        <f>E19*3.3</f>
        <v>0</v>
      </c>
      <c r="E19" s="85">
        <f>3021.84*0</f>
        <v>0</v>
      </c>
      <c r="F19" s="271"/>
    </row>
    <row r="20" spans="1:19" s="71" customFormat="1" outlineLevel="1">
      <c r="B20" s="176" t="s">
        <v>169</v>
      </c>
      <c r="C20" s="177" t="s">
        <v>1069</v>
      </c>
      <c r="D20" s="40">
        <f>E20*3.22</f>
        <v>336636.34899999999</v>
      </c>
      <c r="E20" s="185">
        <v>104545.45</v>
      </c>
      <c r="F20" s="271"/>
      <c r="G20" s="418"/>
      <c r="M20" s="305"/>
      <c r="N20" s="304"/>
    </row>
    <row r="21" spans="1:19" s="71" customFormat="1" ht="15.6">
      <c r="B21" s="83"/>
      <c r="C21" s="90" t="s">
        <v>117</v>
      </c>
      <c r="D21" s="226">
        <f>SUBTOTAL(9,D9:D20)</f>
        <v>1036102.5967431515</v>
      </c>
      <c r="E21" s="92">
        <f>SUBTOTAL(9,E9:E20)</f>
        <v>317408.70252058964</v>
      </c>
      <c r="F21" s="93"/>
      <c r="G21" s="85"/>
      <c r="J21" s="253"/>
      <c r="K21" s="94"/>
      <c r="O21" s="95"/>
      <c r="P21" s="96"/>
      <c r="Q21" s="97"/>
    </row>
    <row r="22" spans="1:19" s="71" customFormat="1" ht="15.6">
      <c r="B22" s="83"/>
      <c r="C22" s="98"/>
      <c r="D22" s="99"/>
      <c r="E22" s="99"/>
      <c r="G22" s="100"/>
      <c r="O22" s="96"/>
      <c r="P22" s="96"/>
    </row>
    <row r="23" spans="1:19" s="71" customFormat="1" ht="15.6">
      <c r="B23" s="83"/>
      <c r="N23" s="101"/>
      <c r="O23" s="102"/>
      <c r="P23" s="103"/>
    </row>
    <row r="24" spans="1:19" s="71" customFormat="1" ht="15.6">
      <c r="B24" s="521" t="s">
        <v>118</v>
      </c>
      <c r="C24" s="521"/>
      <c r="D24" s="521" t="s">
        <v>1002</v>
      </c>
      <c r="E24" s="521"/>
      <c r="F24" s="521" t="s">
        <v>109</v>
      </c>
      <c r="G24" s="521"/>
      <c r="H24" s="430"/>
      <c r="I24" s="430"/>
      <c r="J24" s="175">
        <v>45992</v>
      </c>
      <c r="K24" s="103"/>
      <c r="L24" s="103"/>
      <c r="N24" s="101"/>
      <c r="R24" s="89"/>
      <c r="S24" s="89"/>
    </row>
    <row r="25" spans="1:19" s="71" customFormat="1" ht="16.2" thickBot="1">
      <c r="B25" s="104" t="s">
        <v>119</v>
      </c>
      <c r="C25" s="105" t="s">
        <v>120</v>
      </c>
      <c r="D25" s="78" t="s">
        <v>150</v>
      </c>
      <c r="E25" s="78" t="s">
        <v>112</v>
      </c>
      <c r="F25" s="106" t="s">
        <v>121</v>
      </c>
      <c r="G25" s="101" t="s">
        <v>122</v>
      </c>
      <c r="H25" s="101"/>
      <c r="I25" s="101"/>
      <c r="J25" s="107" t="s">
        <v>123</v>
      </c>
      <c r="N25" s="108"/>
      <c r="R25" s="89"/>
      <c r="S25" s="109"/>
    </row>
    <row r="26" spans="1:19" s="71" customFormat="1" ht="16.2" thickBot="1">
      <c r="B26" s="83"/>
      <c r="C26" s="110" t="s">
        <v>124</v>
      </c>
      <c r="D26" s="160">
        <f>SUBTOTAL(9,D27:D29)</f>
        <v>10376.869999999999</v>
      </c>
      <c r="E26" s="111">
        <f>SUBTOTAL(9,E27:E29)</f>
        <v>3135.0060422960723</v>
      </c>
      <c r="F26" s="112"/>
      <c r="J26" s="113"/>
    </row>
    <row r="27" spans="1:19" s="71" customFormat="1" outlineLevel="1">
      <c r="B27" s="83">
        <v>2221860127</v>
      </c>
      <c r="C27" s="426" t="s">
        <v>825</v>
      </c>
      <c r="D27" s="39">
        <v>3465.47</v>
      </c>
      <c r="E27" s="115">
        <f>D27/$D$6</f>
        <v>1046.9697885196374</v>
      </c>
      <c r="F27" s="116">
        <v>45995</v>
      </c>
      <c r="G27" s="71" t="s">
        <v>126</v>
      </c>
      <c r="H27" s="71">
        <f>IF(OR(G27="Sin pagar",G27="Pagar"),(_xlfn.SINGLE(NETWORKDAYS($J$24,F27,FestivosPerú!$A$2:$A$15))),0)</f>
        <v>0</v>
      </c>
      <c r="I27" s="71">
        <f>NETWORKDAYS($J$24,F27,FestivosPerú!$A$2:$A$15)</f>
        <v>4</v>
      </c>
      <c r="J27" s="117">
        <f t="shared" ref="J27:J32" si="0">H27</f>
        <v>0</v>
      </c>
      <c r="M27" s="530" t="s">
        <v>699</v>
      </c>
      <c r="N27" s="86"/>
    </row>
    <row r="28" spans="1:19" s="71" customFormat="1" outlineLevel="1">
      <c r="A28" s="86"/>
      <c r="B28" s="331">
        <v>2517434836</v>
      </c>
      <c r="C28" s="426" t="s">
        <v>827</v>
      </c>
      <c r="D28" s="39">
        <v>3374.24</v>
      </c>
      <c r="E28" s="115">
        <f>D28/$D$6</f>
        <v>1019.4078549848941</v>
      </c>
      <c r="F28" s="116">
        <v>45995</v>
      </c>
      <c r="G28" s="71" t="s">
        <v>126</v>
      </c>
      <c r="H28" s="71">
        <f>IF(OR(G28="Sin pagar",G28="Pagar"),(_xlfn.SINGLE(NETWORKDAYS($J$24,F28,FestivosPerú!$A$2:$A$15))),0)</f>
        <v>0</v>
      </c>
      <c r="I28" s="71">
        <f>NETWORKDAYS($J$24,F28,FestivosPerú!$A$2:$A$15)</f>
        <v>4</v>
      </c>
      <c r="J28" s="117">
        <f t="shared" si="0"/>
        <v>0</v>
      </c>
      <c r="K28" s="89"/>
      <c r="L28" s="89"/>
      <c r="M28" s="530"/>
      <c r="N28" s="118"/>
      <c r="Q28" s="39"/>
      <c r="S28" s="374"/>
    </row>
    <row r="29" spans="1:19" s="71" customFormat="1" ht="15" outlineLevel="1" thickBot="1">
      <c r="A29" s="86"/>
      <c r="B29" s="330">
        <v>2609826962</v>
      </c>
      <c r="C29" s="438" t="s">
        <v>826</v>
      </c>
      <c r="D29" s="39">
        <v>3537.16</v>
      </c>
      <c r="E29" s="115">
        <f>D29/$D$6</f>
        <v>1068.6283987915408</v>
      </c>
      <c r="F29" s="116">
        <v>45995</v>
      </c>
      <c r="G29" s="71" t="s">
        <v>126</v>
      </c>
      <c r="H29" s="71">
        <f>IF(OR(G29="Sin pagar",G29="Pagar"),(_xlfn.SINGLE(NETWORKDAYS($J$24,F29,FestivosPerú!$A$2:$A$15))),0)</f>
        <v>0</v>
      </c>
      <c r="I29" s="71">
        <f>NETWORKDAYS($J$24,F29,FestivosPerú!$A$2:$A$15)</f>
        <v>4</v>
      </c>
      <c r="J29" s="117">
        <f t="shared" si="0"/>
        <v>0</v>
      </c>
      <c r="K29" s="89"/>
      <c r="L29" s="89"/>
      <c r="M29" s="530"/>
      <c r="N29" s="118"/>
      <c r="Q29" s="39"/>
      <c r="S29" s="374"/>
    </row>
    <row r="30" spans="1:19" s="71" customFormat="1" ht="16.2" thickBot="1">
      <c r="B30" s="83"/>
      <c r="C30" s="110" t="s">
        <v>125</v>
      </c>
      <c r="D30" s="160">
        <f>SUBTOTAL(9,D31:D32)</f>
        <v>14773</v>
      </c>
      <c r="E30" s="111">
        <f>SUBTOTAL(9,E31:E32)</f>
        <v>4463.1419939577036</v>
      </c>
      <c r="J30" s="113">
        <f t="shared" si="0"/>
        <v>0</v>
      </c>
      <c r="Q30" s="374"/>
      <c r="S30" s="374"/>
    </row>
    <row r="31" spans="1:19" s="71" customFormat="1" outlineLevel="1">
      <c r="B31" s="173"/>
      <c r="C31" s="84" t="s">
        <v>885</v>
      </c>
      <c r="D31" s="39">
        <v>14661</v>
      </c>
      <c r="E31" s="115">
        <f>D31/$D$6</f>
        <v>4429.3051359516612</v>
      </c>
      <c r="F31" s="116">
        <v>46006</v>
      </c>
      <c r="G31" s="71" t="s">
        <v>126</v>
      </c>
      <c r="H31" s="71">
        <f>IF(OR(G31="Sin pagar",G31="Pagar"),(_xlfn.SINGLE(NETWORKDAYS($J$24,F31,FestivosPerú!$A$2:$A$15))),0)</f>
        <v>0</v>
      </c>
      <c r="I31" s="71">
        <f>NETWORKDAYS($J$24,F31,FestivosPerú!$A$2:$A$15)</f>
        <v>9</v>
      </c>
      <c r="J31" s="117">
        <f t="shared" si="0"/>
        <v>0</v>
      </c>
      <c r="K31" s="120"/>
      <c r="L31" s="94"/>
      <c r="M31" s="377" t="s">
        <v>701</v>
      </c>
      <c r="N31" s="118"/>
      <c r="Q31" s="374"/>
    </row>
    <row r="32" spans="1:19" s="71" customFormat="1" ht="15" outlineLevel="1" thickBot="1">
      <c r="B32" s="119"/>
      <c r="C32" s="186" t="s">
        <v>828</v>
      </c>
      <c r="D32" s="209">
        <v>112</v>
      </c>
      <c r="E32" s="232">
        <f>D32/$D$6</f>
        <v>33.836858006042299</v>
      </c>
      <c r="F32" s="116">
        <v>46007</v>
      </c>
      <c r="G32" s="71" t="s">
        <v>126</v>
      </c>
      <c r="H32" s="71">
        <f>IF(OR(G32="Sin pagar",G32="Pagar"),(_xlfn.SINGLE(NETWORKDAYS($J$24,F32,FestivosPerú!$A$2:$A$15))),0)</f>
        <v>0</v>
      </c>
      <c r="I32" s="71">
        <f>NETWORKDAYS($J$24,F32,FestivosPerú!$A$2:$A$15)</f>
        <v>10</v>
      </c>
      <c r="J32" s="117">
        <f t="shared" si="0"/>
        <v>0</v>
      </c>
      <c r="K32" s="120"/>
      <c r="L32" s="94"/>
      <c r="M32" s="300" t="s">
        <v>700</v>
      </c>
      <c r="N32" s="118"/>
    </row>
    <row r="33" spans="2:18" s="71" customFormat="1" ht="16.2" thickBot="1">
      <c r="B33" s="83"/>
      <c r="C33" s="110" t="s">
        <v>144</v>
      </c>
      <c r="D33" s="160">
        <f>SUBTOTAL(9,D34:D35)</f>
        <v>1180</v>
      </c>
      <c r="E33" s="111">
        <f>SUBTOTAL(9,E34:E35)</f>
        <v>356.49546827794563</v>
      </c>
      <c r="J33" s="117">
        <f>H33</f>
        <v>0</v>
      </c>
      <c r="K33" s="89"/>
      <c r="L33" s="89"/>
      <c r="N33" s="118"/>
    </row>
    <row r="34" spans="2:18" s="71" customFormat="1" outlineLevel="1">
      <c r="B34" s="83" t="s">
        <v>1128</v>
      </c>
      <c r="C34" s="186">
        <v>0</v>
      </c>
      <c r="D34" s="39">
        <f>590</f>
        <v>590</v>
      </c>
      <c r="E34" s="115">
        <f>D34/$D$6</f>
        <v>178.24773413897282</v>
      </c>
      <c r="F34" s="116">
        <v>46024</v>
      </c>
      <c r="G34" s="71" t="s">
        <v>126</v>
      </c>
      <c r="H34" s="71">
        <f>IF(OR(G34="Sin pagar",G34="Pagar"),(_xlfn.SINGLE(NETWORKDAYS($J$24,F34,FestivosPerú!$A$2:$A$15))),0)</f>
        <v>0</v>
      </c>
      <c r="I34" s="71">
        <f>NETWORKDAYS($J$24,F34,FestivosPerú!$A$2:$A$15)</f>
        <v>22</v>
      </c>
      <c r="J34" s="117">
        <f>H34</f>
        <v>0</v>
      </c>
      <c r="M34" s="299"/>
      <c r="N34" s="86"/>
    </row>
    <row r="35" spans="2:18" s="71" customFormat="1" ht="15" outlineLevel="1" thickBot="1">
      <c r="B35" s="83" t="s">
        <v>1129</v>
      </c>
      <c r="C35" s="186" t="s">
        <v>1131</v>
      </c>
      <c r="D35" s="39">
        <f>590</f>
        <v>590</v>
      </c>
      <c r="E35" s="115">
        <f>D35/$D$6</f>
        <v>178.24773413897282</v>
      </c>
      <c r="F35" s="116">
        <v>46024</v>
      </c>
      <c r="G35" s="71" t="s">
        <v>126</v>
      </c>
      <c r="H35" s="71">
        <f>IF(OR(G35="Sin pagar",G35="Pagar"),(_xlfn.SINGLE(NETWORKDAYS($J$24,F35,FestivosPerú!$A$2:$A$15))),0)</f>
        <v>0</v>
      </c>
      <c r="I35" s="71">
        <f>NETWORKDAYS($J$24,F35,FestivosPerú!$A$2:$A$15)</f>
        <v>22</v>
      </c>
      <c r="J35" s="117">
        <f>H35</f>
        <v>0</v>
      </c>
      <c r="M35" s="299"/>
      <c r="N35" s="86"/>
    </row>
    <row r="36" spans="2:18" s="71" customFormat="1" ht="15" customHeight="1" thickBot="1">
      <c r="C36" s="110" t="s">
        <v>162</v>
      </c>
      <c r="D36" s="160">
        <f>SUBTOTAL(9,D37:D42)</f>
        <v>1932.69</v>
      </c>
      <c r="E36" s="111">
        <f>SUBTOTAL(9,E39:E42)</f>
        <v>301.607250755287</v>
      </c>
      <c r="J36" s="117"/>
      <c r="M36" s="122"/>
      <c r="N36" s="187"/>
      <c r="P36" s="187"/>
    </row>
    <row r="37" spans="2:18" s="71" customFormat="1" outlineLevel="1">
      <c r="B37" s="254"/>
      <c r="C37" s="186" t="s">
        <v>1115</v>
      </c>
      <c r="D37" s="39">
        <v>926</v>
      </c>
      <c r="E37" s="115">
        <f t="shared" ref="E37:E42" si="1">D37/$D$6</f>
        <v>279.75830815709969</v>
      </c>
      <c r="F37" s="112">
        <v>46000</v>
      </c>
      <c r="G37" s="71" t="s">
        <v>126</v>
      </c>
      <c r="H37" s="71">
        <f>IF(OR(G37="Sin pagar",G37="Pagar"),(_xlfn.SINGLE(NETWORKDAYS($J$24,F37,FestivosPerú!$A$2:$A$15))),0)</f>
        <v>0</v>
      </c>
      <c r="I37" s="71">
        <f>NETWORKDAYS($J$24,F37,FestivosPerú!$A$2:$A$15)</f>
        <v>5</v>
      </c>
      <c r="J37" s="117">
        <f t="shared" ref="J37:J42" si="2">H37</f>
        <v>0</v>
      </c>
      <c r="M37" s="299" t="s">
        <v>832</v>
      </c>
    </row>
    <row r="38" spans="2:18" s="71" customFormat="1" outlineLevel="1">
      <c r="B38" s="254" t="s">
        <v>272</v>
      </c>
      <c r="C38" s="186" t="s">
        <v>1048</v>
      </c>
      <c r="D38" s="39">
        <v>8.3699999999999992</v>
      </c>
      <c r="E38" s="363">
        <f>D38/$D$6</f>
        <v>2.5287009063444108</v>
      </c>
      <c r="F38" s="116">
        <v>46003</v>
      </c>
      <c r="G38" s="71" t="s">
        <v>126</v>
      </c>
      <c r="H38" s="71">
        <f>IF(OR(G38="Sin pagar",G38="Pagar"),(_xlfn.SINGLE(NETWORKDAYS($J$24,F38,FestivosPerú!$A$2:$A$15))),0)</f>
        <v>0</v>
      </c>
      <c r="I38" s="71">
        <f>NETWORKDAYS($J$24,F38,FestivosPerú!$A$2:$A$15)</f>
        <v>8</v>
      </c>
      <c r="J38" s="117">
        <f>H38</f>
        <v>0</v>
      </c>
    </row>
    <row r="39" spans="2:18" s="71" customFormat="1" outlineLevel="1">
      <c r="B39" s="254" t="s">
        <v>272</v>
      </c>
      <c r="C39" s="186" t="s">
        <v>1102</v>
      </c>
      <c r="D39" s="39">
        <v>344.88</v>
      </c>
      <c r="E39" s="363">
        <f t="shared" si="1"/>
        <v>104.19335347432023</v>
      </c>
      <c r="F39" s="116">
        <v>46017</v>
      </c>
      <c r="G39" s="71" t="s">
        <v>126</v>
      </c>
      <c r="H39" s="71">
        <f>IF(OR(G39="Sin pagar",G39="Pagar"),(_xlfn.SINGLE(NETWORKDAYS($J$24,F39,FestivosPerú!$A$2:$A$15))),0)</f>
        <v>0</v>
      </c>
      <c r="I39" s="71">
        <f>NETWORKDAYS($J$24,F39,FestivosPerú!$A$2:$A$15)</f>
        <v>17</v>
      </c>
      <c r="J39" s="117">
        <f t="shared" si="2"/>
        <v>0</v>
      </c>
    </row>
    <row r="40" spans="2:18" s="71" customFormat="1" outlineLevel="1">
      <c r="B40" s="254" t="s">
        <v>272</v>
      </c>
      <c r="C40" s="186" t="s">
        <v>1100</v>
      </c>
      <c r="D40" s="39">
        <v>355.23</v>
      </c>
      <c r="E40" s="363">
        <f t="shared" si="1"/>
        <v>107.32024169184291</v>
      </c>
      <c r="F40" s="116">
        <v>46017</v>
      </c>
      <c r="G40" s="71" t="s">
        <v>126</v>
      </c>
      <c r="H40" s="71">
        <f>IF(OR(G40="Sin pagar",G40="Pagar"),(_xlfn.SINGLE(NETWORKDAYS($J$24,F40,FestivosPerú!$A$2:$A$15))),0)</f>
        <v>0</v>
      </c>
      <c r="I40" s="71">
        <f>NETWORKDAYS($J$24,F40,FestivosPerú!$A$2:$A$15)</f>
        <v>17</v>
      </c>
      <c r="J40" s="117">
        <f t="shared" si="2"/>
        <v>0</v>
      </c>
    </row>
    <row r="41" spans="2:18" s="71" customFormat="1" outlineLevel="1">
      <c r="B41" s="254" t="s">
        <v>272</v>
      </c>
      <c r="C41" s="186" t="s">
        <v>1103</v>
      </c>
      <c r="D41" s="39">
        <f>118</f>
        <v>118</v>
      </c>
      <c r="E41" s="363">
        <f t="shared" si="1"/>
        <v>35.649546827794559</v>
      </c>
      <c r="F41" s="116">
        <v>46017</v>
      </c>
      <c r="G41" s="71" t="s">
        <v>126</v>
      </c>
      <c r="H41" s="71">
        <f>IF(OR(G41="Sin pagar",G41="Pagar"),(_xlfn.SINGLE(NETWORKDAYS($J$24,F41,FestivosPerú!$A$2:$A$15))),0)</f>
        <v>0</v>
      </c>
      <c r="I41" s="71">
        <f>NETWORKDAYS($J$24,F41,FestivosPerú!$A$2:$A$15)</f>
        <v>17</v>
      </c>
      <c r="J41" s="117">
        <f t="shared" si="2"/>
        <v>0</v>
      </c>
    </row>
    <row r="42" spans="2:18" s="71" customFormat="1" ht="15" outlineLevel="1" thickBot="1">
      <c r="B42" s="254" t="s">
        <v>272</v>
      </c>
      <c r="C42" s="186" t="s">
        <v>1101</v>
      </c>
      <c r="D42" s="39">
        <v>180.21</v>
      </c>
      <c r="E42" s="363">
        <f t="shared" si="1"/>
        <v>54.444108761329304</v>
      </c>
      <c r="F42" s="116">
        <v>46017</v>
      </c>
      <c r="G42" s="71" t="s">
        <v>126</v>
      </c>
      <c r="H42" s="71">
        <f>IF(OR(G42="Sin pagar",G42="Pagar"),(_xlfn.SINGLE(NETWORKDAYS($J$24,F42,FestivosPerú!$A$2:$A$15))),0)</f>
        <v>0</v>
      </c>
      <c r="I42" s="71">
        <f>NETWORKDAYS($J$24,F42,FestivosPerú!$A$2:$A$15)</f>
        <v>17</v>
      </c>
      <c r="J42" s="117">
        <f t="shared" si="2"/>
        <v>0</v>
      </c>
    </row>
    <row r="43" spans="2:18" s="71" customFormat="1" ht="15.75" customHeight="1" thickBot="1">
      <c r="C43" s="110" t="s">
        <v>127</v>
      </c>
      <c r="D43" s="160">
        <f>SUBTOTAL(9,D44:D45)</f>
        <v>250.81832170792441</v>
      </c>
      <c r="E43" s="111">
        <f>SUBTOTAL(9,E44:E45)</f>
        <v>75.775928008436381</v>
      </c>
      <c r="M43" s="122"/>
      <c r="N43" s="187"/>
      <c r="P43" s="187"/>
    </row>
    <row r="44" spans="2:18" s="71" customFormat="1" outlineLevel="1">
      <c r="B44" s="125"/>
      <c r="C44" s="84" t="s">
        <v>999</v>
      </c>
      <c r="D44" s="39">
        <f>'BCP SOLES BCP'!F722+'BCP SOLES BCP'!F743+'BCP SOLES BCP'!F744+'BCP SOLES BCP'!F750+'BCP SOLES BCP'!F751+'BCP SOLES BCP'!F757+'BCP SOLES BCP'!F760+'BCP SOLES BCP'!F774+'BCP SOLES BCP'!F776+'BCP SOLES BCP'!F777+'BCP SOLES BCP'!F779+'BCP SOLES BCP'!F780+'BCP SOLES BCP'!F782+'BCP SOLES BCP'!F783+'BCP SOLES BCP'!F785+'BCP SOLES BCP'!F786+'BCP SOLES BCP'!F815+'BCP SOLES BCP'!F820+'BCP SOLES BCP'!F821+'BBVA SOLES'!F47</f>
        <v>120.8677217079244</v>
      </c>
      <c r="E44" s="115">
        <f>$D$44/$D$6</f>
        <v>36.515928008436376</v>
      </c>
      <c r="F44" s="112">
        <v>46021</v>
      </c>
      <c r="G44" s="71" t="s">
        <v>126</v>
      </c>
      <c r="H44" s="71">
        <f>IF(OR(G44="Sin pagar",G44="Pagar"),(_xlfn.SINGLE(NETWORKDAYS($J$24,F44,FestivosPerú!$A$2:$A$15))),0)</f>
        <v>0</v>
      </c>
      <c r="I44" s="71">
        <f>NETWORKDAYS($J$24,F44,FestivosPerú!$A$2:$A$15)</f>
        <v>19</v>
      </c>
      <c r="J44" s="117">
        <f>H44</f>
        <v>0</v>
      </c>
      <c r="K44" s="120"/>
      <c r="L44" s="120"/>
    </row>
    <row r="45" spans="2:18" s="71" customFormat="1" ht="15" outlineLevel="1" thickBot="1">
      <c r="B45" s="125"/>
      <c r="C45" s="84" t="s">
        <v>1000</v>
      </c>
      <c r="D45" s="39">
        <f>E45*D6</f>
        <v>129.95060000000001</v>
      </c>
      <c r="E45" s="115">
        <f>'BCP USD BCP'!F306+'BCP USD BCP'!F308+'BCP USD BCP'!F309+'BCP USD BCP'!F315+'BCP USD BCP'!F317+'BCP USD BCP'!F318+'BCP USD BCP'!F341+'BCP USD BCP'!F343+'BCP USD BCP'!F344+'BCP USD BCP'!F345+'BCP USD BCP'!F346+'BCP USD BCP'!F349+'BBVA USD'!F21</f>
        <v>39.26</v>
      </c>
      <c r="F45" s="112">
        <v>46021</v>
      </c>
      <c r="G45" s="71" t="s">
        <v>126</v>
      </c>
      <c r="H45" s="71">
        <f>IF(OR(G45="Sin pagar",G45="Pagar"),(_xlfn.SINGLE(NETWORKDAYS($J$24,F45,FestivosPerú!$A$2:$A$15))),0)</f>
        <v>0</v>
      </c>
      <c r="I45" s="71">
        <f>NETWORKDAYS($J$24,F45,FestivosPerú!$A$2:$A$15)</f>
        <v>19</v>
      </c>
      <c r="J45" s="117">
        <f>H45</f>
        <v>0</v>
      </c>
      <c r="K45" s="120"/>
      <c r="L45" s="120"/>
    </row>
    <row r="46" spans="2:18" s="71" customFormat="1" ht="16.2" thickBot="1">
      <c r="C46" s="110" t="s">
        <v>1038</v>
      </c>
      <c r="D46" s="160">
        <f>SUBTOTAL(9,D47:D52)</f>
        <v>89118.464099999997</v>
      </c>
      <c r="E46" s="310">
        <f>SUBTOTAL(9,E47:E52)</f>
        <v>26924.007280966769</v>
      </c>
      <c r="J46" s="301"/>
      <c r="K46" s="89"/>
      <c r="L46" s="124"/>
      <c r="N46" s="122"/>
      <c r="O46" s="101"/>
    </row>
    <row r="47" spans="2:18" s="71" customFormat="1" outlineLevel="1">
      <c r="B47" s="183" t="s">
        <v>33</v>
      </c>
      <c r="C47" s="186" t="s">
        <v>146</v>
      </c>
      <c r="D47" s="39">
        <f>20397.18+0.05</f>
        <v>20397.23</v>
      </c>
      <c r="E47" s="115">
        <f>D47/$D$6</f>
        <v>6162.3051359516612</v>
      </c>
      <c r="F47" s="112">
        <v>46002</v>
      </c>
      <c r="G47" s="71" t="s">
        <v>126</v>
      </c>
      <c r="H47" s="71">
        <f>IF(OR(G47="Sin pagar",G47="Pagar"),(_xlfn.SINGLE(NETWORKDAYS($J$24,F47,FestivosPerú!$A$2:$A$15))),0)</f>
        <v>0</v>
      </c>
      <c r="I47" s="71">
        <f>NETWORKDAYS($J$24,F47,FestivosPerú!$A$2:$A$15)</f>
        <v>7</v>
      </c>
      <c r="J47" s="117">
        <f t="shared" ref="J47:J52" si="3">H47</f>
        <v>0</v>
      </c>
      <c r="K47" s="120"/>
      <c r="L47" s="120"/>
      <c r="M47" s="253"/>
      <c r="N47" s="122"/>
      <c r="P47" s="39"/>
      <c r="Q47" s="253"/>
      <c r="R47" s="374"/>
    </row>
    <row r="48" spans="2:18" s="71" customFormat="1" outlineLevel="1">
      <c r="B48" s="183" t="s">
        <v>33</v>
      </c>
      <c r="C48" s="186" t="s">
        <v>176</v>
      </c>
      <c r="D48" s="39">
        <v>15260</v>
      </c>
      <c r="E48" s="115">
        <f>D48/$D$6</f>
        <v>4610.2719033232624</v>
      </c>
      <c r="F48" s="112">
        <v>46002</v>
      </c>
      <c r="G48" s="71" t="s">
        <v>126</v>
      </c>
      <c r="H48" s="71">
        <f>IF(OR(G48="Sin pagar",G48="Pagar"),(_xlfn.SINGLE(NETWORKDAYS($J$24,F48,FestivosPerú!$A$2:$A$15))),0)</f>
        <v>0</v>
      </c>
      <c r="I48" s="71">
        <f>NETWORKDAYS($J$24,F48,FestivosPerú!$A$2:$A$15)</f>
        <v>7</v>
      </c>
      <c r="J48" s="117">
        <f t="shared" si="3"/>
        <v>0</v>
      </c>
      <c r="K48" s="120"/>
      <c r="L48" s="120"/>
      <c r="M48" s="253"/>
      <c r="P48" s="39"/>
      <c r="Q48" s="253"/>
      <c r="R48" s="374"/>
    </row>
    <row r="49" spans="1:18" s="126" customFormat="1" outlineLevel="1">
      <c r="B49" s="183" t="s">
        <v>33</v>
      </c>
      <c r="C49" s="186" t="s">
        <v>275</v>
      </c>
      <c r="D49" s="39">
        <v>15260</v>
      </c>
      <c r="E49" s="115">
        <f>D49/$D$6</f>
        <v>4610.2719033232624</v>
      </c>
      <c r="F49" s="112">
        <v>46002</v>
      </c>
      <c r="G49" s="71" t="s">
        <v>126</v>
      </c>
      <c r="H49" s="71">
        <f>IF(OR(G49="Sin pagar",G49="Pagar"),(_xlfn.SINGLE(NETWORKDAYS($J$24,F49,FestivosPerú!$A$2:$A$15))),0)</f>
        <v>0</v>
      </c>
      <c r="I49" s="71">
        <f>NETWORKDAYS($J$24,F49,FestivosPerú!$A$2:$A$15)</f>
        <v>7</v>
      </c>
      <c r="J49" s="117">
        <f t="shared" si="3"/>
        <v>0</v>
      </c>
      <c r="L49" s="127"/>
      <c r="M49" s="309"/>
      <c r="P49" s="39"/>
      <c r="Q49" s="253"/>
      <c r="R49" s="374"/>
    </row>
    <row r="50" spans="1:18" s="126" customFormat="1" outlineLevel="1">
      <c r="B50" s="183" t="s">
        <v>33</v>
      </c>
      <c r="C50" s="186" t="s">
        <v>409</v>
      </c>
      <c r="D50" s="39">
        <v>14167.83</v>
      </c>
      <c r="E50" s="115">
        <f>D50/$D$6</f>
        <v>4280.3111782477345</v>
      </c>
      <c r="F50" s="112">
        <v>46002</v>
      </c>
      <c r="G50" s="71" t="s">
        <v>126</v>
      </c>
      <c r="H50" s="71">
        <f>IF(OR(G50="Sin pagar",G50="Pagar"),(_xlfn.SINGLE(NETWORKDAYS($J$24,F50,FestivosPerú!$A$2:$A$15))),0)</f>
        <v>0</v>
      </c>
      <c r="I50" s="71">
        <f>NETWORKDAYS($J$24,F50,FestivosPerú!$A$2:$A$15)</f>
        <v>7</v>
      </c>
      <c r="J50" s="117">
        <f t="shared" si="3"/>
        <v>0</v>
      </c>
      <c r="L50" s="127"/>
      <c r="M50" s="253"/>
      <c r="P50" s="39"/>
      <c r="Q50" s="253"/>
      <c r="R50" s="374"/>
    </row>
    <row r="51" spans="1:18" s="126" customFormat="1" outlineLevel="1">
      <c r="B51" s="183" t="s">
        <v>33</v>
      </c>
      <c r="C51" s="186" t="s">
        <v>671</v>
      </c>
      <c r="D51" s="39">
        <v>6685.33</v>
      </c>
      <c r="E51" s="115">
        <f>D51/$D$6</f>
        <v>2019.7371601208458</v>
      </c>
      <c r="F51" s="112">
        <v>46002</v>
      </c>
      <c r="G51" s="71" t="s">
        <v>126</v>
      </c>
      <c r="H51" s="71">
        <f>IF(OR(G51="Sin pagar",G51="Pagar"),(_xlfn.SINGLE(NETWORKDAYS($J$24,F51,FestivosPerú!$A$2:$A$15))),0)</f>
        <v>0</v>
      </c>
      <c r="I51" s="71">
        <f>NETWORKDAYS($J$24,F51,FestivosPerú!$A$2:$A$15)</f>
        <v>7</v>
      </c>
      <c r="J51" s="117">
        <f t="shared" si="3"/>
        <v>0</v>
      </c>
      <c r="L51" s="127"/>
      <c r="M51" s="253"/>
      <c r="P51" s="39"/>
      <c r="Q51" s="253"/>
      <c r="R51" s="374"/>
    </row>
    <row r="52" spans="1:18" s="126" customFormat="1" ht="15" outlineLevel="1" thickBot="1">
      <c r="B52" s="125" t="s">
        <v>4</v>
      </c>
      <c r="C52" s="186" t="s">
        <v>410</v>
      </c>
      <c r="D52" s="39">
        <f>E52*D6</f>
        <v>17348.074099999998</v>
      </c>
      <c r="E52" s="115">
        <v>5241.1099999999997</v>
      </c>
      <c r="F52" s="112">
        <v>46002</v>
      </c>
      <c r="G52" s="71" t="s">
        <v>126</v>
      </c>
      <c r="H52" s="71">
        <f>IF(OR(G52="Sin pagar",G52="Pagar"),(_xlfn.SINGLE(NETWORKDAYS($J$24,F52,FestivosPerú!$A$2:$A$15))),0)</f>
        <v>0</v>
      </c>
      <c r="I52" s="71">
        <f>NETWORKDAYS($J$24,F52,FestivosPerú!$A$2:$A$15)</f>
        <v>7</v>
      </c>
      <c r="J52" s="117">
        <f t="shared" si="3"/>
        <v>0</v>
      </c>
      <c r="L52" s="127"/>
      <c r="M52" s="253"/>
      <c r="P52" s="372"/>
      <c r="Q52" s="373"/>
      <c r="R52" s="371"/>
    </row>
    <row r="53" spans="1:18" s="71" customFormat="1" ht="16.2" thickBot="1">
      <c r="C53" s="110" t="s">
        <v>539</v>
      </c>
      <c r="D53" s="160">
        <f>SUBTOTAL(9,D54:D60)</f>
        <v>62573.364226283331</v>
      </c>
      <c r="E53" s="310">
        <f>SUBTOTAL(9,E54:E60)</f>
        <v>18904.339645402819</v>
      </c>
      <c r="J53" s="301"/>
      <c r="K53" s="89"/>
      <c r="L53" s="124"/>
      <c r="N53" s="122"/>
      <c r="O53" s="101"/>
    </row>
    <row r="54" spans="1:18" s="71" customFormat="1" outlineLevel="1">
      <c r="B54" s="183" t="s">
        <v>33</v>
      </c>
      <c r="C54" s="186" t="s">
        <v>146</v>
      </c>
      <c r="D54" s="39">
        <v>10174.713727999999</v>
      </c>
      <c r="E54" s="115">
        <f t="shared" ref="E54:E59" si="4">D54/$D$6</f>
        <v>3073.9316398791539</v>
      </c>
      <c r="F54" s="112">
        <v>46017</v>
      </c>
      <c r="G54" s="71" t="s">
        <v>126</v>
      </c>
      <c r="H54" s="71">
        <f>IF(OR(G54="Sin pagar",G54="Pagar"),(_xlfn.SINGLE(NETWORKDAYS($J$24,F54,FestivosPerú!$A$2:$A$15))),0)</f>
        <v>0</v>
      </c>
      <c r="I54" s="71">
        <f>NETWORKDAYS($J$24,F54,FestivosPerú!$A$2:$A$15)</f>
        <v>17</v>
      </c>
      <c r="J54" s="117">
        <f t="shared" ref="J54:J60" si="5">H54</f>
        <v>0</v>
      </c>
      <c r="K54" s="120"/>
      <c r="L54" s="120"/>
      <c r="M54" s="253"/>
      <c r="N54" s="122"/>
      <c r="P54" s="39"/>
      <c r="Q54" s="253"/>
      <c r="R54" s="374"/>
    </row>
    <row r="55" spans="1:18" s="71" customFormat="1" outlineLevel="1">
      <c r="B55" s="183" t="s">
        <v>33</v>
      </c>
      <c r="C55" s="186" t="s">
        <v>176</v>
      </c>
      <c r="D55" s="39">
        <v>8903.8937279999991</v>
      </c>
      <c r="E55" s="115">
        <f t="shared" si="4"/>
        <v>2689.9981051359514</v>
      </c>
      <c r="F55" s="112">
        <v>46017</v>
      </c>
      <c r="G55" s="71" t="s">
        <v>126</v>
      </c>
      <c r="H55" s="71">
        <f>IF(OR(G55="Sin pagar",G55="Pagar"),(_xlfn.SINGLE(NETWORKDAYS($J$24,F55,FestivosPerú!$A$2:$A$15))),0)</f>
        <v>0</v>
      </c>
      <c r="I55" s="71">
        <f>NETWORKDAYS($J$24,F55,FestivosPerú!$A$2:$A$15)</f>
        <v>17</v>
      </c>
      <c r="J55" s="117">
        <f t="shared" si="5"/>
        <v>0</v>
      </c>
      <c r="K55" s="120"/>
      <c r="L55" s="120"/>
      <c r="M55" s="253"/>
      <c r="P55" s="39"/>
      <c r="Q55" s="253"/>
      <c r="R55" s="374"/>
    </row>
    <row r="56" spans="1:18" s="126" customFormat="1" outlineLevel="1">
      <c r="B56" s="183" t="s">
        <v>33</v>
      </c>
      <c r="C56" s="186" t="s">
        <v>275</v>
      </c>
      <c r="D56" s="39">
        <v>7966.2890147499993</v>
      </c>
      <c r="E56" s="115">
        <f t="shared" si="4"/>
        <v>2406.7338413141993</v>
      </c>
      <c r="F56" s="112">
        <v>46017</v>
      </c>
      <c r="G56" s="71" t="s">
        <v>126</v>
      </c>
      <c r="H56" s="71">
        <f>IF(OR(G56="Sin pagar",G56="Pagar"),(_xlfn.SINGLE(NETWORKDAYS($J$24,F56,FestivosPerú!$A$2:$A$15))),0)</f>
        <v>0</v>
      </c>
      <c r="I56" s="71">
        <f>NETWORKDAYS($J$24,F56,FestivosPerú!$A$2:$A$15)</f>
        <v>17</v>
      </c>
      <c r="J56" s="117">
        <f t="shared" si="5"/>
        <v>0</v>
      </c>
      <c r="L56" s="127"/>
      <c r="M56" s="309"/>
      <c r="P56" s="39"/>
      <c r="Q56" s="253"/>
      <c r="R56" s="374"/>
    </row>
    <row r="57" spans="1:18" s="126" customFormat="1" outlineLevel="1">
      <c r="B57" s="183" t="s">
        <v>33</v>
      </c>
      <c r="C57" s="186" t="s">
        <v>409</v>
      </c>
      <c r="D57" s="39">
        <v>9842.6237280000005</v>
      </c>
      <c r="E57" s="115">
        <f t="shared" si="4"/>
        <v>2973.6023347432024</v>
      </c>
      <c r="F57" s="112">
        <v>46017</v>
      </c>
      <c r="G57" s="71" t="s">
        <v>126</v>
      </c>
      <c r="H57" s="71">
        <f>IF(OR(G57="Sin pagar",G57="Pagar"),(_xlfn.SINGLE(NETWORKDAYS($J$24,F57,FestivosPerú!$A$2:$A$15))),0)</f>
        <v>0</v>
      </c>
      <c r="I57" s="71">
        <f>NETWORKDAYS($J$24,F57,FestivosPerú!$A$2:$A$15)</f>
        <v>17</v>
      </c>
      <c r="J57" s="117">
        <f t="shared" si="5"/>
        <v>0</v>
      </c>
      <c r="L57" s="127"/>
      <c r="M57" s="253"/>
      <c r="P57" s="39"/>
      <c r="Q57" s="253"/>
      <c r="R57" s="374"/>
    </row>
    <row r="58" spans="1:18" s="126" customFormat="1" outlineLevel="1">
      <c r="B58" s="183" t="s">
        <v>33</v>
      </c>
      <c r="C58" s="186" t="s">
        <v>671</v>
      </c>
      <c r="D58" s="39">
        <v>5114.3227333333325</v>
      </c>
      <c r="E58" s="115">
        <f t="shared" si="4"/>
        <v>1545.1126082578044</v>
      </c>
      <c r="F58" s="112">
        <v>46017</v>
      </c>
      <c r="G58" s="71" t="s">
        <v>126</v>
      </c>
      <c r="H58" s="71">
        <f>IF(OR(G58="Sin pagar",G58="Pagar"),(_xlfn.SINGLE(NETWORKDAYS($J$24,F58,FestivosPerú!$A$2:$A$15))),0)</f>
        <v>0</v>
      </c>
      <c r="I58" s="71">
        <f>NETWORKDAYS($J$24,F58,FestivosPerú!$A$2:$A$15)</f>
        <v>17</v>
      </c>
      <c r="J58" s="117">
        <f>H58</f>
        <v>0</v>
      </c>
      <c r="L58" s="127"/>
      <c r="M58" s="253"/>
      <c r="P58" s="39"/>
      <c r="Q58" s="253"/>
      <c r="R58" s="374"/>
    </row>
    <row r="59" spans="1:18" s="126" customFormat="1" outlineLevel="1">
      <c r="B59" s="183" t="s">
        <v>33</v>
      </c>
      <c r="C59" s="186" t="s">
        <v>1079</v>
      </c>
      <c r="D59" s="39">
        <v>6206.1543942000008</v>
      </c>
      <c r="E59" s="115">
        <f t="shared" si="4"/>
        <v>1874.9711160725078</v>
      </c>
      <c r="F59" s="112">
        <v>46017</v>
      </c>
      <c r="G59" s="71" t="s">
        <v>126</v>
      </c>
      <c r="H59" s="71">
        <f>IF(OR(G59="Sin pagar",G59="Pagar"),(_xlfn.SINGLE(NETWORKDAYS($J$24,F59,FestivosPerú!$A$2:$A$15))),0)</f>
        <v>0</v>
      </c>
      <c r="I59" s="71">
        <f>NETWORKDAYS($J$24,F59,FestivosPerú!$A$2:$A$15)</f>
        <v>17</v>
      </c>
      <c r="J59" s="117">
        <f>H59</f>
        <v>0</v>
      </c>
      <c r="L59" s="127"/>
      <c r="M59" s="253"/>
      <c r="P59" s="39"/>
      <c r="Q59" s="253"/>
      <c r="R59" s="374"/>
    </row>
    <row r="60" spans="1:18" s="126" customFormat="1" ht="15" outlineLevel="1" thickBot="1">
      <c r="B60" s="125" t="s">
        <v>4</v>
      </c>
      <c r="C60" s="186" t="s">
        <v>1118</v>
      </c>
      <c r="D60" s="39">
        <f>E60*D6</f>
        <v>14365.366899999999</v>
      </c>
      <c r="E60" s="115">
        <v>4339.99</v>
      </c>
      <c r="F60" s="112">
        <v>46021</v>
      </c>
      <c r="G60" s="71" t="s">
        <v>126</v>
      </c>
      <c r="H60" s="71">
        <f>IF(OR(G60="Sin pagar",G60="Pagar"),(_xlfn.SINGLE(NETWORKDAYS($J$24,F60,FestivosPerú!$A$2:$A$15))),0)</f>
        <v>0</v>
      </c>
      <c r="I60" s="71">
        <f>NETWORKDAYS($J$24,F60,FestivosPerú!$A$2:$A$15)</f>
        <v>19</v>
      </c>
      <c r="J60" s="117">
        <f t="shared" si="5"/>
        <v>0</v>
      </c>
      <c r="L60" s="127"/>
      <c r="M60" s="253"/>
      <c r="P60" s="372"/>
      <c r="Q60" s="373"/>
      <c r="R60" s="371"/>
    </row>
    <row r="61" spans="1:18" s="71" customFormat="1" ht="16.2" thickBot="1">
      <c r="A61" s="126"/>
      <c r="B61" s="125"/>
      <c r="C61" s="110" t="s">
        <v>177</v>
      </c>
      <c r="D61" s="160">
        <f>SUBTOTAL(9,D62:D65)</f>
        <v>16290.7</v>
      </c>
      <c r="E61" s="111">
        <f>SUBTOTAL(9,E62:E65)</f>
        <v>4921.6616314199391</v>
      </c>
      <c r="L61" s="89"/>
    </row>
    <row r="62" spans="1:18" s="71" customFormat="1" outlineLevel="1">
      <c r="A62" s="126"/>
      <c r="B62" s="128"/>
      <c r="C62" s="84" t="s">
        <v>326</v>
      </c>
      <c r="D62" s="39">
        <v>1094.5999999999999</v>
      </c>
      <c r="E62" s="115">
        <f>D62/$D$6</f>
        <v>330.69486404833833</v>
      </c>
      <c r="F62" s="112">
        <v>46001</v>
      </c>
      <c r="G62" s="71" t="s">
        <v>126</v>
      </c>
      <c r="H62" s="71">
        <f>IF(OR(G62="Sin pagar",G62="Pagar"),(_xlfn.SINGLE(NETWORKDAYS($J$24,F62,FestivosPerú!$A$2:$A$15))),0)</f>
        <v>0</v>
      </c>
      <c r="I62" s="71">
        <f>NETWORKDAYS($J$24,F62,FestivosPerú!$A$2:$A$15)</f>
        <v>6</v>
      </c>
      <c r="J62" s="117">
        <f>H62</f>
        <v>0</v>
      </c>
      <c r="L62" s="89"/>
    </row>
    <row r="63" spans="1:18" s="71" customFormat="1" outlineLevel="1">
      <c r="A63" s="126"/>
      <c r="B63" s="128"/>
      <c r="C63" s="84" t="s">
        <v>178</v>
      </c>
      <c r="D63" s="39">
        <v>12590.68</v>
      </c>
      <c r="E63" s="115">
        <f>D63/$D$6</f>
        <v>3803.83081570997</v>
      </c>
      <c r="F63" s="112">
        <v>46014</v>
      </c>
      <c r="G63" s="71" t="s">
        <v>126</v>
      </c>
      <c r="H63" s="71">
        <f>IF(OR(G63="Sin pagar",G63="Pagar"),(_xlfn.SINGLE(NETWORKDAYS($J$24,F63,FestivosPerú!$A$2:$A$15))),0)</f>
        <v>0</v>
      </c>
      <c r="I63" s="71">
        <f>NETWORKDAYS($J$24,F63,FestivosPerú!$A$2:$A$15)</f>
        <v>15</v>
      </c>
      <c r="J63" s="117">
        <f>H63</f>
        <v>0</v>
      </c>
      <c r="L63" s="89"/>
      <c r="P63" s="372"/>
    </row>
    <row r="64" spans="1:18" s="71" customFormat="1" outlineLevel="1">
      <c r="A64" s="126"/>
      <c r="B64" s="128"/>
      <c r="C64" s="84" t="s">
        <v>326</v>
      </c>
      <c r="D64" s="39">
        <v>1122.6600000000001</v>
      </c>
      <c r="E64" s="115">
        <f>D64/$D$6</f>
        <v>339.1722054380665</v>
      </c>
      <c r="F64" s="112">
        <v>46014</v>
      </c>
      <c r="G64" s="71" t="s">
        <v>126</v>
      </c>
      <c r="H64" s="71">
        <f>IF(OR(G64="Sin pagar",G64="Pagar"),(_xlfn.SINGLE(NETWORKDAYS($J$24,F64,FestivosPerú!$A$2:$A$15))),0)</f>
        <v>0</v>
      </c>
      <c r="I64" s="71">
        <f>NETWORKDAYS($J$24,F64,FestivosPerú!$A$2:$A$15)</f>
        <v>15</v>
      </c>
      <c r="J64" s="117">
        <f>H64</f>
        <v>0</v>
      </c>
      <c r="L64" s="89"/>
    </row>
    <row r="65" spans="1:16" s="71" customFormat="1" ht="15" outlineLevel="1" thickBot="1">
      <c r="A65" s="126"/>
      <c r="B65" s="128"/>
      <c r="C65" s="84" t="s">
        <v>945</v>
      </c>
      <c r="D65" s="39">
        <v>1482.76</v>
      </c>
      <c r="E65" s="115">
        <f>D65/$D$6</f>
        <v>447.96374622356495</v>
      </c>
      <c r="F65" s="112">
        <v>46014</v>
      </c>
      <c r="G65" s="71" t="s">
        <v>126</v>
      </c>
      <c r="H65" s="71">
        <f>IF(OR(G65="Sin pagar",G65="Pagar"),(_xlfn.SINGLE(NETWORKDAYS($J$24,F65,FestivosPerú!$A$2:$A$15))),0)</f>
        <v>0</v>
      </c>
      <c r="I65" s="71">
        <f>NETWORKDAYS($J$24,F65,FestivosPerú!$A$2:$A$15)</f>
        <v>15</v>
      </c>
      <c r="J65" s="117">
        <f>H65</f>
        <v>0</v>
      </c>
      <c r="L65" s="89"/>
    </row>
    <row r="66" spans="1:16" s="71" customFormat="1" ht="16.2" thickBot="1">
      <c r="A66" s="126"/>
      <c r="B66" s="125"/>
      <c r="C66" s="110" t="s">
        <v>129</v>
      </c>
      <c r="D66" s="160">
        <f>SUBTOTAL(9,D67:D68)</f>
        <v>0</v>
      </c>
      <c r="E66" s="111">
        <f>SUBTOTAL(9,E67:E68)</f>
        <v>0</v>
      </c>
      <c r="L66" s="89"/>
    </row>
    <row r="67" spans="1:16" s="71" customFormat="1" outlineLevel="1">
      <c r="A67" s="126"/>
      <c r="B67" s="128"/>
      <c r="C67" s="84" t="s">
        <v>202</v>
      </c>
      <c r="D67" s="39">
        <f>E67*$D$6</f>
        <v>0</v>
      </c>
      <c r="E67" s="115">
        <v>0</v>
      </c>
      <c r="F67" s="112">
        <v>46021</v>
      </c>
      <c r="G67" s="71" t="s">
        <v>126</v>
      </c>
      <c r="H67" s="71">
        <f>IF(OR(G67="Sin pagar",G67="Pagar"),(_xlfn.SINGLE(NETWORKDAYS($J$24,F67,FestivosPerú!$A$2:$A$15))),0)</f>
        <v>0</v>
      </c>
      <c r="I67" s="71">
        <f>NETWORKDAYS($J$24,F67,FestivosPerú!$A$2:$A$15)</f>
        <v>19</v>
      </c>
      <c r="J67" s="117">
        <f>H67</f>
        <v>0</v>
      </c>
      <c r="L67" s="89"/>
    </row>
    <row r="68" spans="1:16" s="71" customFormat="1" ht="15" outlineLevel="1" thickBot="1">
      <c r="A68" s="126"/>
      <c r="B68" s="128"/>
      <c r="C68" s="84" t="s">
        <v>447</v>
      </c>
      <c r="D68" s="39">
        <f>$E$68*$D$6</f>
        <v>0</v>
      </c>
      <c r="E68" s="115">
        <f>3900*0</f>
        <v>0</v>
      </c>
      <c r="F68" s="112">
        <v>46021</v>
      </c>
      <c r="G68" s="71" t="s">
        <v>126</v>
      </c>
      <c r="H68" s="71">
        <f>IF(OR(G68="Sin pagar",G68="Pagar"),(_xlfn.SINGLE(NETWORKDAYS($J$24,F68,FestivosPerú!$A$2:$A$15))),0)</f>
        <v>0</v>
      </c>
      <c r="I68" s="71">
        <f>NETWORKDAYS($J$24,F68,FestivosPerú!$A$2:$A$15)</f>
        <v>19</v>
      </c>
      <c r="J68" s="117">
        <f>H68</f>
        <v>0</v>
      </c>
      <c r="L68" s="89"/>
    </row>
    <row r="69" spans="1:16" s="71" customFormat="1" ht="15.75" customHeight="1" thickBot="1">
      <c r="C69" s="311" t="s">
        <v>565</v>
      </c>
      <c r="D69" s="312">
        <f>SUBTOTAL(9,D70:D71)</f>
        <v>91.473099999999988</v>
      </c>
      <c r="E69" s="313">
        <f>SUBTOTAL(9,E70:E71)</f>
        <v>27.635377643504526</v>
      </c>
      <c r="M69" s="122"/>
      <c r="N69" s="187"/>
      <c r="P69" s="187"/>
    </row>
    <row r="70" spans="1:16" s="71" customFormat="1" outlineLevel="1">
      <c r="A70" s="126"/>
      <c r="B70" s="128"/>
      <c r="C70" s="84" t="s">
        <v>999</v>
      </c>
      <c r="D70" s="39">
        <f>'BCP SOLES BCP'!F718+'BCP SOLES BCP'!F739+'BCP SOLES BCP'!F740+'BCP SOLES BCP'!F741+'BCP SOLES BCP'!F753+'BCP SOLES BCP'!F759+'BCP SOLES BCP'!F766+'BCP SOLES BCP'!F768+'BCP SOLES BCP'!F798+'BCP SOLES BCP'!F800+'BCP SOLES BCP'!F801+'BCP SOLES BCP'!F805+'BCP SOLES BCP'!F807+'BCP SOLES BCP'!F808+'BCP SOLES BCP'!F817+'BBVA SOLES'!F44+'BBVA SOLES'!F46</f>
        <v>58.339999999999989</v>
      </c>
      <c r="E70" s="115">
        <f>D70/D6</f>
        <v>17.625377643504528</v>
      </c>
      <c r="F70" s="112">
        <v>46021</v>
      </c>
      <c r="G70" s="71" t="s">
        <v>126</v>
      </c>
      <c r="H70" s="71">
        <f>IF(OR(G70="Sin pagar",G70="Pagar"),(_xlfn.SINGLE(NETWORKDAYS($J$24,F70,FestivosPerú!$A$2:$A$15))),0)</f>
        <v>0</v>
      </c>
      <c r="I70" s="71">
        <f>NETWORKDAYS($J$24,F70,FestivosPerú!$A$2:$A$15)</f>
        <v>19</v>
      </c>
      <c r="J70" s="117">
        <f>H70</f>
        <v>0</v>
      </c>
      <c r="L70" s="89"/>
    </row>
    <row r="71" spans="1:16" s="71" customFormat="1" ht="15" outlineLevel="1" thickBot="1">
      <c r="A71" s="126"/>
      <c r="B71" s="128"/>
      <c r="C71" s="84" t="s">
        <v>1001</v>
      </c>
      <c r="D71" s="39">
        <f>E71*$D$6</f>
        <v>33.133099999999999</v>
      </c>
      <c r="E71" s="115">
        <f>'BCP USD BCP'!F324+'BCP USD BCP'!F337+'BCP USD BCP'!F339+'BCP USD BCP'!F340+'BBVA USD'!F20</f>
        <v>10.01</v>
      </c>
      <c r="F71" s="112">
        <v>46021</v>
      </c>
      <c r="G71" s="71" t="s">
        <v>126</v>
      </c>
      <c r="H71" s="71">
        <f>IF(OR(G71="Sin pagar",G71="Pagar"),(_xlfn.SINGLE(NETWORKDAYS($J$24,F71,FestivosPerú!$A$2:$A$15))),0)</f>
        <v>0</v>
      </c>
      <c r="I71" s="71">
        <f>NETWORKDAYS($J$24,F71,FestivosPerú!$A$2:$A$15)</f>
        <v>19</v>
      </c>
      <c r="J71" s="117">
        <f>H71</f>
        <v>0</v>
      </c>
      <c r="L71" s="89"/>
    </row>
    <row r="72" spans="1:16" s="71" customFormat="1" ht="16.2" thickBot="1">
      <c r="A72" s="126"/>
      <c r="B72" s="125"/>
      <c r="C72" s="311" t="s">
        <v>124</v>
      </c>
      <c r="D72" s="312">
        <f>SUBTOTAL(9,D73:D76)</f>
        <v>27488.390000000003</v>
      </c>
      <c r="E72" s="313">
        <f>SUBTOTAL(9,E73:E76)</f>
        <v>8304.6495468277935</v>
      </c>
      <c r="J72" s="117"/>
      <c r="L72" s="89"/>
    </row>
    <row r="73" spans="1:16" s="71" customFormat="1" outlineLevel="1">
      <c r="A73" s="86"/>
      <c r="B73" s="83">
        <v>6508944853</v>
      </c>
      <c r="C73" s="172" t="s">
        <v>571</v>
      </c>
      <c r="D73" s="39">
        <f>5980.07+68.83+166.85+232.53+166.85</f>
        <v>6615.13</v>
      </c>
      <c r="E73" s="115">
        <f>D73/$D$6</f>
        <v>1998.5287009063445</v>
      </c>
      <c r="F73" s="116">
        <v>45996</v>
      </c>
      <c r="G73" s="71" t="s">
        <v>126</v>
      </c>
      <c r="H73" s="71">
        <f>IF(OR(G73="Sin pagar",G73="Pagar"),(_xlfn.SINGLE(NETWORKDAYS($J$24,F73,FestivosPerú!$A$2:$A$15))),0)</f>
        <v>0</v>
      </c>
      <c r="I73" s="71">
        <f>NETWORKDAYS($J$24,F73,FestivosPerú!$A$2:$A$15)</f>
        <v>5</v>
      </c>
      <c r="J73" s="117">
        <f t="shared" ref="J73:J79" si="6">H73</f>
        <v>0</v>
      </c>
      <c r="K73" s="89"/>
      <c r="L73" s="89"/>
      <c r="M73" s="532" t="s">
        <v>883</v>
      </c>
      <c r="N73" s="39"/>
      <c r="O73" s="374"/>
      <c r="P73" s="187"/>
    </row>
    <row r="74" spans="1:16" s="71" customFormat="1" outlineLevel="1">
      <c r="A74" s="86"/>
      <c r="B74" s="83">
        <v>2508945523</v>
      </c>
      <c r="C74" s="172" t="s">
        <v>572</v>
      </c>
      <c r="D74" s="39">
        <f>4966.45+139.8+158.17+166.85+207.75+91.35+88.98+128.7+47.95+54.25</f>
        <v>6050.25</v>
      </c>
      <c r="E74" s="115">
        <f>D74/$D$6</f>
        <v>1827.8700906344411</v>
      </c>
      <c r="F74" s="116">
        <v>45996</v>
      </c>
      <c r="G74" s="71" t="s">
        <v>126</v>
      </c>
      <c r="H74" s="71">
        <f>IF(OR(G74="Sin pagar",G74="Pagar"),(_xlfn.SINGLE(NETWORKDAYS($J$24,F74,FestivosPerú!$A$2:$A$15))),0)</f>
        <v>0</v>
      </c>
      <c r="I74" s="71">
        <f>NETWORKDAYS($J$24,F74,FestivosPerú!$A$2:$A$15)</f>
        <v>5</v>
      </c>
      <c r="J74" s="117">
        <f t="shared" si="6"/>
        <v>0</v>
      </c>
      <c r="K74" s="89"/>
      <c r="L74" s="89"/>
      <c r="M74" s="532"/>
      <c r="N74" s="39"/>
      <c r="O74" s="374"/>
      <c r="P74" s="187"/>
    </row>
    <row r="75" spans="1:16" s="71" customFormat="1" outlineLevel="1">
      <c r="A75" s="86"/>
      <c r="B75" s="83">
        <v>5508946074</v>
      </c>
      <c r="C75" s="172" t="s">
        <v>573</v>
      </c>
      <c r="D75" s="39">
        <v>11925.06</v>
      </c>
      <c r="E75" s="115">
        <f>D75/$D$6</f>
        <v>3602.7371601208456</v>
      </c>
      <c r="F75" s="116">
        <v>45996</v>
      </c>
      <c r="G75" s="71" t="s">
        <v>126</v>
      </c>
      <c r="H75" s="71">
        <f>IF(OR(G75="Sin pagar",G75="Pagar"),(_xlfn.SINGLE(NETWORKDAYS($J$24,F75,FestivosPerú!$A$2:$A$15))),0)</f>
        <v>0</v>
      </c>
      <c r="I75" s="71">
        <f>NETWORKDAYS($J$24,F75,FestivosPerú!$A$2:$A$15)</f>
        <v>5</v>
      </c>
      <c r="J75" s="117">
        <f t="shared" si="6"/>
        <v>0</v>
      </c>
      <c r="K75" s="89"/>
      <c r="L75" s="89"/>
      <c r="M75" s="532"/>
      <c r="N75" s="39"/>
      <c r="O75" s="374"/>
      <c r="P75" s="187"/>
    </row>
    <row r="76" spans="1:16" s="71" customFormat="1" ht="15" outlineLevel="1" thickBot="1">
      <c r="A76" s="86"/>
      <c r="B76" s="83">
        <v>3508946597</v>
      </c>
      <c r="C76" s="172" t="s">
        <v>705</v>
      </c>
      <c r="D76" s="39">
        <v>2897.95</v>
      </c>
      <c r="E76" s="115">
        <f>D76/$D$6</f>
        <v>875.5135951661631</v>
      </c>
      <c r="F76" s="116">
        <v>45996</v>
      </c>
      <c r="G76" s="71" t="s">
        <v>126</v>
      </c>
      <c r="H76" s="71">
        <f>IF(OR(G76="Sin pagar",G76="Pagar"),(_xlfn.SINGLE(NETWORKDAYS($J$24,F76,FestivosPerú!$A$2:$A$15))),0)</f>
        <v>0</v>
      </c>
      <c r="I76" s="71">
        <f>NETWORKDAYS($J$24,F76,FestivosPerú!$A$2:$A$15)</f>
        <v>5</v>
      </c>
      <c r="J76" s="117">
        <f t="shared" si="6"/>
        <v>0</v>
      </c>
      <c r="K76" s="89"/>
      <c r="L76" s="89"/>
      <c r="M76" s="532"/>
      <c r="N76" s="39"/>
      <c r="O76" s="374"/>
      <c r="P76" s="187"/>
    </row>
    <row r="77" spans="1:16" s="71" customFormat="1" ht="16.2" thickBot="1">
      <c r="A77" s="126"/>
      <c r="B77" s="125"/>
      <c r="C77" s="311" t="s">
        <v>125</v>
      </c>
      <c r="D77" s="312">
        <f>SUBTOTAL(9,D78:D79)</f>
        <v>178066</v>
      </c>
      <c r="E77" s="313">
        <f>SUBTOTAL(9,E78:E79)</f>
        <v>53796.374622356496</v>
      </c>
      <c r="J77" s="117">
        <f t="shared" si="6"/>
        <v>0</v>
      </c>
      <c r="L77" s="89"/>
    </row>
    <row r="78" spans="1:16" s="71" customFormat="1" ht="16.5" customHeight="1" outlineLevel="1">
      <c r="A78" s="126"/>
      <c r="B78" s="435"/>
      <c r="C78" s="186" t="s">
        <v>456</v>
      </c>
      <c r="D78" s="39">
        <v>55205</v>
      </c>
      <c r="E78" s="115">
        <f>D78/$D$6</f>
        <v>16678.247734138971</v>
      </c>
      <c r="F78" s="341">
        <v>46006</v>
      </c>
      <c r="G78" s="342" t="s">
        <v>126</v>
      </c>
      <c r="H78" s="71">
        <f>IF(OR(G78="Sin pagar",G78="Pagar"),(_xlfn.SINGLE(NETWORKDAYS($J$24,F78,FestivosPerú!$A$2:$A$15))),0)</f>
        <v>0</v>
      </c>
      <c r="I78" s="71">
        <f>NETWORKDAYS($J$24,F78,FestivosPerú!$A$2:$A$15)</f>
        <v>9</v>
      </c>
      <c r="J78" s="117">
        <f t="shared" si="6"/>
        <v>0</v>
      </c>
      <c r="L78" s="89"/>
      <c r="M78" s="121" t="s">
        <v>703</v>
      </c>
    </row>
    <row r="79" spans="1:16" s="71" customFormat="1" ht="15" outlineLevel="1" thickBot="1">
      <c r="B79" s="440" t="s">
        <v>1060</v>
      </c>
      <c r="C79" s="441" t="s">
        <v>1037</v>
      </c>
      <c r="D79" s="209">
        <v>122861</v>
      </c>
      <c r="E79" s="232">
        <f>D79/$D$6</f>
        <v>37118.126888217521</v>
      </c>
      <c r="F79" s="341">
        <v>46008</v>
      </c>
      <c r="G79" s="342" t="s">
        <v>126</v>
      </c>
      <c r="H79" s="71">
        <f>IF(OR(G79="Sin pagar",G79="Pagar"),(_xlfn.SINGLE(NETWORKDAYS($J$24,F79,FestivosPerú!$A$2:$A$15))),0)</f>
        <v>0</v>
      </c>
      <c r="I79" s="71">
        <f>NETWORKDAYS($J$24,F79,FestivosPerú!$A$2:$A$15)</f>
        <v>11</v>
      </c>
      <c r="J79" s="117">
        <f t="shared" si="6"/>
        <v>0</v>
      </c>
      <c r="K79" s="120"/>
      <c r="L79" s="94"/>
      <c r="M79" s="121" t="s">
        <v>724</v>
      </c>
      <c r="N79" s="118"/>
    </row>
    <row r="80" spans="1:16" s="71" customFormat="1" ht="15" customHeight="1" thickBot="1">
      <c r="C80" s="311" t="s">
        <v>162</v>
      </c>
      <c r="D80" s="312">
        <f>SUBTOTAL(9,D81:D85)</f>
        <v>8265.32</v>
      </c>
      <c r="E80" s="313">
        <f>SUBTOTAL(9,E81:E85)</f>
        <v>2497.0755287009065</v>
      </c>
      <c r="J80" s="117"/>
      <c r="M80" s="122"/>
      <c r="N80" s="187"/>
      <c r="P80" s="187"/>
    </row>
    <row r="81" spans="2:15" s="71" customFormat="1" outlineLevel="1">
      <c r="B81" s="343" t="s">
        <v>1068</v>
      </c>
      <c r="C81" s="186" t="s">
        <v>957</v>
      </c>
      <c r="D81" s="39">
        <v>5515.96</v>
      </c>
      <c r="E81" s="115">
        <f>D81/$D$6</f>
        <v>1666.453172205438</v>
      </c>
      <c r="F81" s="341">
        <v>46017</v>
      </c>
      <c r="G81" s="342" t="s">
        <v>126</v>
      </c>
      <c r="H81" s="71">
        <f>IF(OR(G81="Sin pagar",G81="Pagar"),(_xlfn.SINGLE(NETWORKDAYS($J$24,F81,FestivosPerú!$A$2:$A$15))),0)</f>
        <v>0</v>
      </c>
      <c r="I81" s="71">
        <f>NETWORKDAYS($J$24,F81,FestivosPerú!$A$2:$A$15)</f>
        <v>17</v>
      </c>
      <c r="J81" s="117">
        <f>H81</f>
        <v>0</v>
      </c>
      <c r="K81" s="120"/>
      <c r="L81" s="94"/>
      <c r="M81" s="300"/>
      <c r="N81" s="118"/>
    </row>
    <row r="82" spans="2:15" s="71" customFormat="1" outlineLevel="1">
      <c r="B82" s="343" t="s">
        <v>1110</v>
      </c>
      <c r="C82" s="186" t="s">
        <v>1111</v>
      </c>
      <c r="D82" s="39">
        <v>1571.97</v>
      </c>
      <c r="E82" s="115">
        <f>D82/$D$6</f>
        <v>474.91540785498489</v>
      </c>
      <c r="F82" s="341">
        <v>46017</v>
      </c>
      <c r="G82" s="342" t="s">
        <v>126</v>
      </c>
      <c r="H82" s="71">
        <f>IF(OR(G82="Sin pagar",G82="Pagar"),(_xlfn.SINGLE(NETWORKDAYS($J$24,F82,FestivosPerú!$A$2:$A$15))),0)</f>
        <v>0</v>
      </c>
      <c r="I82" s="71">
        <f>NETWORKDAYS($J$24,F82,FestivosPerú!$A$2:$A$15)</f>
        <v>17</v>
      </c>
      <c r="J82" s="117">
        <f>H82</f>
        <v>0</v>
      </c>
      <c r="K82" s="120"/>
      <c r="L82" s="94"/>
      <c r="M82" s="300"/>
      <c r="N82" s="118"/>
    </row>
    <row r="83" spans="2:15" s="71" customFormat="1" outlineLevel="1">
      <c r="B83" s="425" t="s">
        <v>1108</v>
      </c>
      <c r="C83" s="84" t="s">
        <v>962</v>
      </c>
      <c r="D83" s="39">
        <v>901.23</v>
      </c>
      <c r="E83" s="115">
        <f>D83/$D$6</f>
        <v>272.27492447129907</v>
      </c>
      <c r="F83" s="341">
        <v>46017</v>
      </c>
      <c r="G83" s="342" t="s">
        <v>126</v>
      </c>
      <c r="H83" s="71">
        <f>IF(OR(G83="Sin pagar",G83="Pagar"),(_xlfn.SINGLE(NETWORKDAYS($J$24,F83,FestivosPerú!$A$2:$A$15))),0)</f>
        <v>0</v>
      </c>
      <c r="I83" s="71">
        <f>NETWORKDAYS($J$24,F83,FestivosPerú!$A$2:$A$15)</f>
        <v>17</v>
      </c>
      <c r="J83" s="117">
        <f>H83</f>
        <v>0</v>
      </c>
      <c r="K83" s="120"/>
      <c r="L83" s="94"/>
      <c r="M83" s="300"/>
      <c r="N83" s="118"/>
    </row>
    <row r="84" spans="2:15" s="342" customFormat="1" outlineLevel="1">
      <c r="B84" s="356" t="s">
        <v>1123</v>
      </c>
      <c r="C84" s="186" t="s">
        <v>1124</v>
      </c>
      <c r="D84" s="39">
        <v>152.26</v>
      </c>
      <c r="E84" s="115">
        <f>D84/$D$6</f>
        <v>46</v>
      </c>
      <c r="F84" s="341">
        <v>46021</v>
      </c>
      <c r="G84" s="342" t="s">
        <v>126</v>
      </c>
      <c r="H84" s="71">
        <f>IF(OR(G84="Sin pagar",G84="Pagar"),(_xlfn.SINGLE(NETWORKDAYS($J$24,F84,FestivosPerú!$A$2:$A$15))),0)</f>
        <v>0</v>
      </c>
      <c r="I84" s="71">
        <f>NETWORKDAYS($J$24,F84,FestivosPerú!$A$2:$A$15)</f>
        <v>19</v>
      </c>
      <c r="J84" s="117">
        <f>H84</f>
        <v>0</v>
      </c>
      <c r="K84" s="120"/>
      <c r="L84" s="357"/>
      <c r="M84" s="385"/>
      <c r="N84" s="359"/>
    </row>
    <row r="85" spans="2:15" s="71" customFormat="1" ht="15" outlineLevel="1" thickBot="1">
      <c r="B85" s="427" t="s">
        <v>1122</v>
      </c>
      <c r="C85" s="186" t="s">
        <v>1125</v>
      </c>
      <c r="D85" s="39">
        <v>123.9</v>
      </c>
      <c r="E85" s="115">
        <f>D85/$D$6</f>
        <v>37.432024169184288</v>
      </c>
      <c r="F85" s="341">
        <v>46021</v>
      </c>
      <c r="G85" s="342" t="s">
        <v>126</v>
      </c>
      <c r="H85" s="71">
        <f>IF(OR(G85="Sin pagar",G85="Pagar"),(_xlfn.SINGLE(NETWORKDAYS($J$24,F85,FestivosPerú!$A$2:$A$15))),0)</f>
        <v>0</v>
      </c>
      <c r="I85" s="71">
        <f>NETWORKDAYS($J$24,F85,FestivosPerú!$A$2:$A$15)</f>
        <v>19</v>
      </c>
      <c r="J85" s="117">
        <f>H85</f>
        <v>0</v>
      </c>
      <c r="K85" s="120"/>
      <c r="L85" s="94"/>
      <c r="M85" s="300"/>
      <c r="N85" s="118"/>
    </row>
    <row r="86" spans="2:15" s="71" customFormat="1" ht="16.2" thickBot="1">
      <c r="C86" s="311" t="s">
        <v>1017</v>
      </c>
      <c r="D86" s="312">
        <f>SUBTOTAL(9,D87:D102)</f>
        <v>205734.76155861115</v>
      </c>
      <c r="E86" s="313">
        <f>SUBTOTAL(9,E87:E102)</f>
        <v>62155.517087193686</v>
      </c>
      <c r="J86" s="301"/>
      <c r="K86" s="89"/>
      <c r="L86" s="124"/>
      <c r="N86" s="122"/>
      <c r="O86" s="101"/>
    </row>
    <row r="87" spans="2:15" s="71" customFormat="1" outlineLevel="1">
      <c r="B87" s="125"/>
      <c r="C87" s="186" t="s">
        <v>508</v>
      </c>
      <c r="D87" s="39">
        <v>5293.8847500000002</v>
      </c>
      <c r="E87" s="115">
        <f t="shared" ref="E87:E101" si="7">D87/$D$6</f>
        <v>1599.3609516616314</v>
      </c>
      <c r="F87" s="112">
        <v>46001</v>
      </c>
      <c r="G87" s="71" t="s">
        <v>126</v>
      </c>
      <c r="H87" s="71">
        <f>IF(OR(G87="Sin pagar",G87="Pagar"),(_xlfn.SINGLE(NETWORKDAYS($J$24,F87,FestivosPerú!$A$2:$A$15))),0)</f>
        <v>0</v>
      </c>
      <c r="I87" s="71">
        <f>NETWORKDAYS($J$24,F87,FestivosPerú!$A$2:$A$15)</f>
        <v>6</v>
      </c>
      <c r="J87" s="117">
        <f t="shared" ref="J87:J101" si="8">H87</f>
        <v>0</v>
      </c>
      <c r="K87" s="120"/>
      <c r="L87" s="120"/>
      <c r="M87" s="253"/>
      <c r="N87" s="122"/>
    </row>
    <row r="88" spans="2:15" s="126" customFormat="1" outlineLevel="1">
      <c r="B88" s="125"/>
      <c r="C88" s="186" t="s">
        <v>765</v>
      </c>
      <c r="D88" s="39">
        <v>14307.745200000001</v>
      </c>
      <c r="E88" s="115">
        <f t="shared" si="7"/>
        <v>4322.5816314199401</v>
      </c>
      <c r="F88" s="112">
        <v>46001</v>
      </c>
      <c r="G88" s="71" t="s">
        <v>126</v>
      </c>
      <c r="H88" s="71">
        <f>IF(OR(G88="Sin pagar",G88="Pagar"),(_xlfn.SINGLE(NETWORKDAYS($J$24,F88,FestivosPerú!$A$2:$A$15))),0)</f>
        <v>0</v>
      </c>
      <c r="I88" s="71">
        <f>NETWORKDAYS($J$24,F88,FestivosPerú!$A$2:$A$15)</f>
        <v>6</v>
      </c>
      <c r="J88" s="117">
        <f t="shared" si="8"/>
        <v>0</v>
      </c>
      <c r="L88" s="127"/>
      <c r="M88" s="253"/>
    </row>
    <row r="89" spans="2:15" s="126" customFormat="1" outlineLevel="1">
      <c r="B89" s="125"/>
      <c r="C89" s="186" t="s">
        <v>766</v>
      </c>
      <c r="D89" s="39">
        <v>13809.179999999998</v>
      </c>
      <c r="E89" s="115">
        <f t="shared" si="7"/>
        <v>4171.9577039274918</v>
      </c>
      <c r="F89" s="112">
        <v>46001</v>
      </c>
      <c r="G89" s="71" t="s">
        <v>126</v>
      </c>
      <c r="H89" s="71">
        <f>IF(OR(G89="Sin pagar",G89="Pagar"),(_xlfn.SINGLE(NETWORKDAYS($J$24,F89,FestivosPerú!$A$2:$A$15))),0)</f>
        <v>0</v>
      </c>
      <c r="I89" s="71">
        <f>NETWORKDAYS($J$24,F89,FestivosPerú!$A$2:$A$15)</f>
        <v>6</v>
      </c>
      <c r="J89" s="117">
        <f t="shared" si="8"/>
        <v>0</v>
      </c>
      <c r="L89" s="127"/>
      <c r="M89" s="253"/>
    </row>
    <row r="90" spans="2:15" s="126" customFormat="1" outlineLevel="1">
      <c r="B90" s="125"/>
      <c r="C90" s="186" t="s">
        <v>767</v>
      </c>
      <c r="D90" s="39">
        <v>7117.6843499999995</v>
      </c>
      <c r="E90" s="115">
        <f t="shared" si="7"/>
        <v>2150.3578096676733</v>
      </c>
      <c r="F90" s="112">
        <v>46001</v>
      </c>
      <c r="G90" s="71" t="s">
        <v>126</v>
      </c>
      <c r="H90" s="71">
        <f>IF(OR(G90="Sin pagar",G90="Pagar"),(_xlfn.SINGLE(NETWORKDAYS($J$24,F90,FestivosPerú!$A$2:$A$15))),0)</f>
        <v>0</v>
      </c>
      <c r="I90" s="71">
        <f>NETWORKDAYS($J$24,F90,FestivosPerú!$A$2:$A$15)</f>
        <v>6</v>
      </c>
      <c r="J90" s="117">
        <f t="shared" si="8"/>
        <v>0</v>
      </c>
      <c r="L90" s="127"/>
      <c r="M90" s="253"/>
    </row>
    <row r="91" spans="2:15" s="71" customFormat="1" outlineLevel="1">
      <c r="B91" s="119"/>
      <c r="C91" s="172" t="s">
        <v>768</v>
      </c>
      <c r="D91" s="39">
        <v>5463.6664199999996</v>
      </c>
      <c r="E91" s="115">
        <f t="shared" si="7"/>
        <v>1650.65450755287</v>
      </c>
      <c r="F91" s="112">
        <v>46001</v>
      </c>
      <c r="G91" s="71" t="s">
        <v>126</v>
      </c>
      <c r="H91" s="71">
        <f>IF(OR(G91="Sin pagar",G91="Pagar"),(_xlfn.SINGLE(NETWORKDAYS($J$24,F91,FestivosPerú!$A$2:$A$15))),0)</f>
        <v>0</v>
      </c>
      <c r="I91" s="71">
        <f>NETWORKDAYS($J$24,F91,FestivosPerú!$A$2:$A$15)</f>
        <v>6</v>
      </c>
      <c r="J91" s="117">
        <f t="shared" si="8"/>
        <v>0</v>
      </c>
      <c r="K91" s="120"/>
      <c r="L91" s="94"/>
      <c r="M91" s="300"/>
      <c r="N91" s="118"/>
    </row>
    <row r="92" spans="2:15" s="71" customFormat="1" outlineLevel="1">
      <c r="B92" s="119"/>
      <c r="C92" s="172" t="s">
        <v>649</v>
      </c>
      <c r="D92" s="39">
        <v>5337.5</v>
      </c>
      <c r="E92" s="115">
        <f t="shared" si="7"/>
        <v>1612.5377643504532</v>
      </c>
      <c r="F92" s="112">
        <v>46001</v>
      </c>
      <c r="G92" s="71" t="s">
        <v>126</v>
      </c>
      <c r="H92" s="71">
        <f>IF(OR(G92="Sin pagar",G92="Pagar"),(_xlfn.SINGLE(NETWORKDAYS($J$24,F92,FestivosPerú!$A$2:$A$15))),0)</f>
        <v>0</v>
      </c>
      <c r="I92" s="71">
        <f>NETWORKDAYS($J$24,F92,FestivosPerú!$A$2:$A$15)</f>
        <v>6</v>
      </c>
      <c r="J92" s="117">
        <f t="shared" si="8"/>
        <v>0</v>
      </c>
      <c r="K92" s="120"/>
      <c r="L92" s="94"/>
      <c r="M92" s="300"/>
      <c r="N92" s="118"/>
    </row>
    <row r="93" spans="2:15" s="71" customFormat="1" outlineLevel="1">
      <c r="B93" s="119"/>
      <c r="C93" s="172" t="s">
        <v>650</v>
      </c>
      <c r="D93" s="39">
        <v>20831.865633333335</v>
      </c>
      <c r="E93" s="115">
        <f t="shared" si="7"/>
        <v>6293.6149949647534</v>
      </c>
      <c r="F93" s="112">
        <v>46001</v>
      </c>
      <c r="G93" s="71" t="s">
        <v>126</v>
      </c>
      <c r="H93" s="71">
        <f>IF(OR(G93="Sin pagar",G93="Pagar"),(_xlfn.SINGLE(NETWORKDAYS($J$24,F93,FestivosPerú!$A$2:$A$15))),0)</f>
        <v>0</v>
      </c>
      <c r="I93" s="71">
        <f>NETWORKDAYS($J$24,F93,FestivosPerú!$A$2:$A$15)</f>
        <v>6</v>
      </c>
      <c r="J93" s="117">
        <f t="shared" si="8"/>
        <v>0</v>
      </c>
      <c r="K93" s="120"/>
      <c r="L93" s="94"/>
      <c r="M93" s="300"/>
      <c r="N93" s="118"/>
    </row>
    <row r="94" spans="2:15" s="71" customFormat="1" outlineLevel="1">
      <c r="B94" s="119"/>
      <c r="C94" s="172" t="s">
        <v>651</v>
      </c>
      <c r="D94" s="39">
        <v>16528.951162500001</v>
      </c>
      <c r="E94" s="115">
        <f t="shared" si="7"/>
        <v>4993.6408345921454</v>
      </c>
      <c r="F94" s="112">
        <v>46001</v>
      </c>
      <c r="G94" s="71" t="s">
        <v>126</v>
      </c>
      <c r="H94" s="71">
        <f>IF(OR(G94="Sin pagar",G94="Pagar"),(_xlfn.SINGLE(NETWORKDAYS($J$24,F94,FestivosPerú!$A$2:$A$15))),0)</f>
        <v>0</v>
      </c>
      <c r="I94" s="71">
        <f>NETWORKDAYS($J$24,F94,FestivosPerú!$A$2:$A$15)</f>
        <v>6</v>
      </c>
      <c r="J94" s="117">
        <f t="shared" si="8"/>
        <v>0</v>
      </c>
      <c r="K94" s="120"/>
      <c r="L94" s="94"/>
      <c r="M94" s="300"/>
      <c r="N94" s="118"/>
    </row>
    <row r="95" spans="2:15" s="71" customFormat="1" outlineLevel="1">
      <c r="B95" s="119"/>
      <c r="C95" s="172" t="s">
        <v>652</v>
      </c>
      <c r="D95" s="39">
        <v>32885.757799999999</v>
      </c>
      <c r="E95" s="115">
        <f t="shared" si="7"/>
        <v>9935.2742598187306</v>
      </c>
      <c r="F95" s="112">
        <v>46001</v>
      </c>
      <c r="G95" s="71" t="s">
        <v>126</v>
      </c>
      <c r="H95" s="71">
        <f>IF(OR(G95="Sin pagar",G95="Pagar"),(_xlfn.SINGLE(NETWORKDAYS($J$24,F95,FestivosPerú!$A$2:$A$15))),0)</f>
        <v>0</v>
      </c>
      <c r="I95" s="71">
        <f>NETWORKDAYS($J$24,F95,FestivosPerú!$A$2:$A$15)</f>
        <v>6</v>
      </c>
      <c r="J95" s="117">
        <f t="shared" si="8"/>
        <v>0</v>
      </c>
      <c r="K95" s="120"/>
      <c r="L95" s="94"/>
      <c r="M95" s="300"/>
      <c r="N95" s="118"/>
    </row>
    <row r="96" spans="2:15" s="71" customFormat="1" outlineLevel="1">
      <c r="B96" s="119"/>
      <c r="C96" s="172" t="s">
        <v>653</v>
      </c>
      <c r="D96" s="39">
        <v>19993.466699999997</v>
      </c>
      <c r="E96" s="115">
        <f t="shared" si="7"/>
        <v>6040.3222658610266</v>
      </c>
      <c r="F96" s="112">
        <v>46001</v>
      </c>
      <c r="G96" s="71" t="s">
        <v>126</v>
      </c>
      <c r="H96" s="71">
        <f>IF(OR(G96="Sin pagar",G96="Pagar"),(_xlfn.SINGLE(NETWORKDAYS($J$24,F96,FestivosPerú!$A$2:$A$15))),0)</f>
        <v>0</v>
      </c>
      <c r="I96" s="71">
        <f>NETWORKDAYS($J$24,F96,FestivosPerú!$A$2:$A$15)</f>
        <v>6</v>
      </c>
      <c r="J96" s="117">
        <f t="shared" si="8"/>
        <v>0</v>
      </c>
      <c r="K96" s="120"/>
      <c r="L96" s="94"/>
      <c r="M96" s="300"/>
      <c r="N96" s="118"/>
    </row>
    <row r="97" spans="2:15" s="71" customFormat="1" outlineLevel="1">
      <c r="B97" s="119"/>
      <c r="C97" s="172" t="s">
        <v>654</v>
      </c>
      <c r="D97" s="39">
        <v>5279.8984149999997</v>
      </c>
      <c r="E97" s="115">
        <f t="shared" si="7"/>
        <v>1595.1354728096676</v>
      </c>
      <c r="F97" s="112">
        <v>46001</v>
      </c>
      <c r="G97" s="71" t="s">
        <v>126</v>
      </c>
      <c r="H97" s="71">
        <f>IF(OR(G97="Sin pagar",G97="Pagar"),(_xlfn.SINGLE(NETWORKDAYS($J$24,F97,FestivosPerú!$A$2:$A$15))),0)</f>
        <v>0</v>
      </c>
      <c r="I97" s="71">
        <f>NETWORKDAYS($J$24,F97,FestivosPerú!$A$2:$A$15)</f>
        <v>6</v>
      </c>
      <c r="J97" s="117">
        <f t="shared" si="8"/>
        <v>0</v>
      </c>
      <c r="K97" s="120"/>
      <c r="L97" s="94"/>
      <c r="M97" s="392"/>
      <c r="N97" s="118"/>
    </row>
    <row r="98" spans="2:15" s="71" customFormat="1" outlineLevel="1">
      <c r="B98" s="119"/>
      <c r="C98" s="172" t="s">
        <v>769</v>
      </c>
      <c r="D98" s="39">
        <v>21747.558349999999</v>
      </c>
      <c r="E98" s="115">
        <f t="shared" si="7"/>
        <v>6570.259320241692</v>
      </c>
      <c r="F98" s="112">
        <v>46001</v>
      </c>
      <c r="G98" s="71" t="s">
        <v>126</v>
      </c>
      <c r="H98" s="71">
        <f>IF(OR(G98="Sin pagar",G98="Pagar"),(_xlfn.SINGLE(NETWORKDAYS($J$24,F98,FestivosPerú!$A$2:$A$15))),0)</f>
        <v>0</v>
      </c>
      <c r="I98" s="71">
        <f>NETWORKDAYS($J$24,F98,FestivosPerú!$A$2:$A$15)</f>
        <v>6</v>
      </c>
      <c r="J98" s="117">
        <f t="shared" si="8"/>
        <v>0</v>
      </c>
      <c r="K98" s="120"/>
      <c r="L98" s="94"/>
      <c r="M98" s="300"/>
      <c r="N98" s="118"/>
    </row>
    <row r="99" spans="2:15" s="71" customFormat="1" outlineLevel="1">
      <c r="B99" s="119"/>
      <c r="C99" s="172" t="s">
        <v>770</v>
      </c>
      <c r="D99" s="39">
        <v>27389.915000000001</v>
      </c>
      <c r="E99" s="115">
        <f t="shared" si="7"/>
        <v>8274.8987915407852</v>
      </c>
      <c r="F99" s="112">
        <v>46001</v>
      </c>
      <c r="G99" s="71" t="s">
        <v>126</v>
      </c>
      <c r="H99" s="71">
        <f>IF(OR(G99="Sin pagar",G99="Pagar"),(_xlfn.SINGLE(NETWORKDAYS($J$24,F99,FestivosPerú!$A$2:$A$15))),0)</f>
        <v>0</v>
      </c>
      <c r="I99" s="71">
        <f>NETWORKDAYS($J$24,F99,FestivosPerú!$A$2:$A$15)</f>
        <v>6</v>
      </c>
      <c r="J99" s="117">
        <f t="shared" si="8"/>
        <v>0</v>
      </c>
      <c r="K99" s="120"/>
      <c r="L99" s="94"/>
      <c r="M99" s="300"/>
      <c r="N99" s="118"/>
    </row>
    <row r="100" spans="2:15" s="71" customFormat="1" outlineLevel="1">
      <c r="B100" s="119"/>
      <c r="C100" s="172" t="s">
        <v>942</v>
      </c>
      <c r="D100" s="39">
        <v>6879.4444444444443</v>
      </c>
      <c r="E100" s="115">
        <f t="shared" si="7"/>
        <v>2078.3820073850284</v>
      </c>
      <c r="F100" s="112">
        <v>46001</v>
      </c>
      <c r="G100" s="71" t="s">
        <v>126</v>
      </c>
      <c r="H100" s="71">
        <f>IF(OR(G100="Sin pagar",G100="Pagar"),(_xlfn.SINGLE(NETWORKDAYS($J$24,F100,FestivosPerú!$A$2:$A$15))),0)</f>
        <v>0</v>
      </c>
      <c r="I100" s="71">
        <f>NETWORKDAYS($J$24,F100,FestivosPerú!$A$2:$A$15)</f>
        <v>6</v>
      </c>
      <c r="J100" s="117">
        <f t="shared" si="8"/>
        <v>0</v>
      </c>
      <c r="K100" s="120"/>
      <c r="L100" s="94"/>
      <c r="M100" s="300"/>
      <c r="N100" s="118"/>
    </row>
    <row r="101" spans="2:15" s="71" customFormat="1" outlineLevel="1">
      <c r="B101" s="119"/>
      <c r="C101" s="172" t="s">
        <v>943</v>
      </c>
      <c r="D101" s="39">
        <v>1998.3333333333333</v>
      </c>
      <c r="E101" s="115">
        <f t="shared" si="7"/>
        <v>603.72608257804632</v>
      </c>
      <c r="F101" s="112">
        <v>46001</v>
      </c>
      <c r="G101" s="71" t="s">
        <v>126</v>
      </c>
      <c r="H101" s="71">
        <f>IF(OR(G101="Sin pagar",G101="Pagar"),(_xlfn.SINGLE(NETWORKDAYS($J$24,F101,FestivosPerú!$A$2:$A$15))),0)</f>
        <v>0</v>
      </c>
      <c r="I101" s="71">
        <f>NETWORKDAYS($J$24,F101,FestivosPerú!$A$2:$A$15)</f>
        <v>6</v>
      </c>
      <c r="J101" s="117">
        <f t="shared" si="8"/>
        <v>0</v>
      </c>
      <c r="K101" s="120"/>
      <c r="L101" s="94"/>
      <c r="M101" s="300"/>
      <c r="N101" s="118"/>
    </row>
    <row r="102" spans="2:15" s="71" customFormat="1" outlineLevel="1">
      <c r="B102" s="119"/>
      <c r="C102" s="172" t="s">
        <v>1064</v>
      </c>
      <c r="D102" s="39">
        <v>869.91</v>
      </c>
      <c r="E102" s="115">
        <f>D102/$D$6</f>
        <v>262.81268882175226</v>
      </c>
      <c r="F102" s="112">
        <v>46010</v>
      </c>
      <c r="G102" s="71" t="s">
        <v>126</v>
      </c>
      <c r="H102" s="71">
        <f>IF(OR(G102="Sin pagar",G102="Pagar"),(_xlfn.SINGLE(NETWORKDAYS($J$24,F102,FestivosPerú!$A$2:$A$15))),0)</f>
        <v>0</v>
      </c>
      <c r="I102" s="71">
        <f>NETWORKDAYS($J$24,F102,FestivosPerú!$A$2:$A$15)</f>
        <v>13</v>
      </c>
      <c r="J102" s="117">
        <f>H102</f>
        <v>0</v>
      </c>
      <c r="K102" s="120"/>
      <c r="L102" s="94"/>
      <c r="M102" s="300"/>
      <c r="N102" s="118"/>
    </row>
    <row r="103" spans="2:15" s="71" customFormat="1" ht="15" outlineLevel="1" thickBot="1">
      <c r="B103" s="119"/>
      <c r="C103" s="172" t="s">
        <v>1120</v>
      </c>
      <c r="D103" s="39">
        <v>3072.43</v>
      </c>
      <c r="E103" s="115">
        <f>D103/$D$6</f>
        <v>928.22658610271901</v>
      </c>
      <c r="F103" s="112">
        <v>46021</v>
      </c>
      <c r="G103" s="71" t="s">
        <v>126</v>
      </c>
      <c r="H103" s="71">
        <f>IF(OR(G103="Sin pagar",G103="Pagar"),(_xlfn.SINGLE(NETWORKDAYS($J$24,F103,FestivosPerú!$A$2:$A$15))),0)</f>
        <v>0</v>
      </c>
      <c r="I103" s="71">
        <f>NETWORKDAYS($J$24,F103,FestivosPerú!$A$2:$A$15)</f>
        <v>19</v>
      </c>
      <c r="J103" s="117">
        <f>H103</f>
        <v>0</v>
      </c>
      <c r="K103" s="120"/>
      <c r="L103" s="94"/>
      <c r="M103" s="300"/>
      <c r="N103" s="118"/>
    </row>
    <row r="104" spans="2:15" s="71" customFormat="1" ht="16.2" thickBot="1">
      <c r="C104" s="311" t="s">
        <v>507</v>
      </c>
      <c r="D104" s="312">
        <f>SUBTOTAL(9,D105:D121)</f>
        <v>169379.39985999165</v>
      </c>
      <c r="E104" s="313">
        <f>SUBTOTAL(9,E105:E121)</f>
        <v>51172.024126885699</v>
      </c>
      <c r="J104" s="301"/>
      <c r="K104" s="89"/>
      <c r="L104" s="124"/>
      <c r="N104" s="122"/>
      <c r="O104" s="101"/>
    </row>
    <row r="105" spans="2:15" s="126" customFormat="1" outlineLevel="1">
      <c r="B105" s="125"/>
      <c r="C105" s="186" t="s">
        <v>765</v>
      </c>
      <c r="D105" s="39">
        <v>14630.859728000001</v>
      </c>
      <c r="E105" s="115">
        <f t="shared" ref="E105:E121" si="9">D105/$D$6</f>
        <v>4420.1993135951661</v>
      </c>
      <c r="F105" s="112">
        <v>46017</v>
      </c>
      <c r="G105" s="71" t="s">
        <v>126</v>
      </c>
      <c r="H105" s="71">
        <f>IF(OR(G105="Sin pagar",G105="Pagar"),(_xlfn.SINGLE(NETWORKDAYS($J$24,F105,FestivosPerú!$A$2:$A$15))),0)</f>
        <v>0</v>
      </c>
      <c r="I105" s="71">
        <f>NETWORKDAYS($J$24,F105,FestivosPerú!$A$2:$A$15)</f>
        <v>17</v>
      </c>
      <c r="J105" s="117">
        <f t="shared" ref="J105:J121" si="10">H105</f>
        <v>0</v>
      </c>
      <c r="L105" s="127"/>
      <c r="M105" s="253"/>
    </row>
    <row r="106" spans="2:15" s="126" customFormat="1" outlineLevel="1">
      <c r="B106" s="125"/>
      <c r="C106" s="186" t="s">
        <v>766</v>
      </c>
      <c r="D106" s="39">
        <v>9435.44</v>
      </c>
      <c r="E106" s="115">
        <f t="shared" si="9"/>
        <v>2850.5861027190335</v>
      </c>
      <c r="F106" s="112">
        <v>46017</v>
      </c>
      <c r="G106" s="71" t="s">
        <v>126</v>
      </c>
      <c r="H106" s="71">
        <f>IF(OR(G106="Sin pagar",G106="Pagar"),(_xlfn.SINGLE(NETWORKDAYS($J$24,F106,FestivosPerú!$A$2:$A$15))),0)</f>
        <v>0</v>
      </c>
      <c r="I106" s="71">
        <f>NETWORKDAYS($J$24,F106,FestivosPerú!$A$2:$A$15)</f>
        <v>17</v>
      </c>
      <c r="J106" s="117">
        <f t="shared" si="10"/>
        <v>0</v>
      </c>
      <c r="L106" s="127"/>
      <c r="M106" s="253"/>
    </row>
    <row r="107" spans="2:15" s="126" customFormat="1" outlineLevel="1">
      <c r="B107" s="125"/>
      <c r="C107" s="186" t="s">
        <v>1083</v>
      </c>
      <c r="D107" s="39">
        <v>2293.85</v>
      </c>
      <c r="E107" s="115">
        <f t="shared" si="9"/>
        <v>693.00604229607245</v>
      </c>
      <c r="F107" s="112">
        <v>46017</v>
      </c>
      <c r="G107" s="71" t="s">
        <v>126</v>
      </c>
      <c r="H107" s="71">
        <f>IF(OR(G107="Sin pagar",G107="Pagar"),(_xlfn.SINGLE(NETWORKDAYS($J$24,F107,FestivosPerú!$A$2:$A$15))),0)</f>
        <v>0</v>
      </c>
      <c r="I107" s="71">
        <f>NETWORKDAYS($J$24,F107,FestivosPerú!$A$2:$A$15)</f>
        <v>17</v>
      </c>
      <c r="J107" s="117">
        <f t="shared" si="10"/>
        <v>0</v>
      </c>
      <c r="L107" s="127"/>
      <c r="M107" s="253"/>
    </row>
    <row r="108" spans="2:15" s="71" customFormat="1" outlineLevel="1">
      <c r="B108" s="119"/>
      <c r="C108" s="172" t="s">
        <v>652</v>
      </c>
      <c r="D108" s="39">
        <v>20700.915728000004</v>
      </c>
      <c r="E108" s="115">
        <f t="shared" si="9"/>
        <v>6254.0530900302128</v>
      </c>
      <c r="F108" s="112">
        <v>46017</v>
      </c>
      <c r="G108" s="71" t="s">
        <v>126</v>
      </c>
      <c r="H108" s="71">
        <f>IF(OR(G108="Sin pagar",G108="Pagar"),(_xlfn.SINGLE(NETWORKDAYS($J$24,F108,FestivosPerú!$A$2:$A$15))),0)</f>
        <v>0</v>
      </c>
      <c r="I108" s="71">
        <f>NETWORKDAYS($J$24,F108,FestivosPerú!$A$2:$A$15)</f>
        <v>17</v>
      </c>
      <c r="J108" s="117">
        <f t="shared" si="10"/>
        <v>0</v>
      </c>
      <c r="K108" s="120"/>
      <c r="L108" s="94"/>
      <c r="M108" s="300"/>
      <c r="N108" s="118"/>
    </row>
    <row r="109" spans="2:15" s="71" customFormat="1" outlineLevel="1">
      <c r="B109" s="119"/>
      <c r="C109" s="172" t="s">
        <v>768</v>
      </c>
      <c r="D109" s="39">
        <v>6473.0480628666664</v>
      </c>
      <c r="E109" s="115">
        <f t="shared" si="9"/>
        <v>1955.6036443705941</v>
      </c>
      <c r="F109" s="112">
        <v>46017</v>
      </c>
      <c r="G109" s="71" t="s">
        <v>126</v>
      </c>
      <c r="H109" s="71">
        <f>IF(OR(G109="Sin pagar",G109="Pagar"),(_xlfn.SINGLE(NETWORKDAYS($J$24,F109,FestivosPerú!$A$2:$A$15))),0)</f>
        <v>0</v>
      </c>
      <c r="I109" s="71">
        <f>NETWORKDAYS($J$24,F109,FestivosPerú!$A$2:$A$15)</f>
        <v>17</v>
      </c>
      <c r="J109" s="117">
        <f t="shared" si="10"/>
        <v>0</v>
      </c>
      <c r="K109" s="120"/>
      <c r="L109" s="94"/>
      <c r="M109" s="300"/>
      <c r="N109" s="118"/>
    </row>
    <row r="110" spans="2:15" s="71" customFormat="1" outlineLevel="1">
      <c r="B110" s="119"/>
      <c r="C110" s="172" t="s">
        <v>649</v>
      </c>
      <c r="D110" s="39">
        <v>6647.25</v>
      </c>
      <c r="E110" s="115">
        <f t="shared" si="9"/>
        <v>2008.2326283987916</v>
      </c>
      <c r="F110" s="112">
        <v>46017</v>
      </c>
      <c r="G110" s="71" t="s">
        <v>126</v>
      </c>
      <c r="H110" s="71">
        <f>IF(OR(G110="Sin pagar",G110="Pagar"),(_xlfn.SINGLE(NETWORKDAYS($J$24,F110,FestivosPerú!$A$2:$A$15))),0)</f>
        <v>0</v>
      </c>
      <c r="I110" s="71">
        <f>NETWORKDAYS($J$24,F110,FestivosPerú!$A$2:$A$15)</f>
        <v>17</v>
      </c>
      <c r="J110" s="117">
        <f t="shared" si="10"/>
        <v>0</v>
      </c>
      <c r="K110" s="120"/>
      <c r="L110" s="94"/>
      <c r="M110" s="300"/>
      <c r="N110" s="118"/>
    </row>
    <row r="111" spans="2:15" s="71" customFormat="1" outlineLevel="1">
      <c r="B111" s="119"/>
      <c r="C111" s="172" t="s">
        <v>650</v>
      </c>
      <c r="D111" s="39">
        <v>11711.149561333335</v>
      </c>
      <c r="E111" s="115">
        <f t="shared" si="9"/>
        <v>3538.1116499496479</v>
      </c>
      <c r="F111" s="112">
        <v>46017</v>
      </c>
      <c r="G111" s="71" t="s">
        <v>126</v>
      </c>
      <c r="H111" s="71">
        <f>IF(OR(G111="Sin pagar",G111="Pagar"),(_xlfn.SINGLE(NETWORKDAYS($J$24,F111,FestivosPerú!$A$2:$A$15))),0)</f>
        <v>0</v>
      </c>
      <c r="I111" s="71">
        <f>NETWORKDAYS($J$24,F111,FestivosPerú!$A$2:$A$15)</f>
        <v>17</v>
      </c>
      <c r="J111" s="117">
        <f t="shared" si="10"/>
        <v>0</v>
      </c>
      <c r="K111" s="120"/>
      <c r="L111" s="94"/>
      <c r="M111" s="300"/>
      <c r="N111" s="118"/>
    </row>
    <row r="112" spans="2:15" s="71" customFormat="1" outlineLevel="1">
      <c r="B112" s="119"/>
      <c r="C112" s="172" t="s">
        <v>942</v>
      </c>
      <c r="D112" s="39">
        <v>6627.7337279999992</v>
      </c>
      <c r="E112" s="115">
        <f t="shared" si="9"/>
        <v>2002.3364737160118</v>
      </c>
      <c r="F112" s="112">
        <v>46017</v>
      </c>
      <c r="G112" s="71" t="s">
        <v>126</v>
      </c>
      <c r="H112" s="71">
        <f>IF(OR(G112="Sin pagar",G112="Pagar"),(_xlfn.SINGLE(NETWORKDAYS($J$24,F112,FestivosPerú!$A$2:$A$15))),0)</f>
        <v>0</v>
      </c>
      <c r="I112" s="71">
        <f>NETWORKDAYS($J$24,F112,FestivosPerú!$A$2:$A$15)</f>
        <v>17</v>
      </c>
      <c r="J112" s="117">
        <f t="shared" si="10"/>
        <v>0</v>
      </c>
      <c r="K112" s="120"/>
      <c r="L112" s="94"/>
      <c r="M112" s="300"/>
      <c r="N112" s="118"/>
    </row>
    <row r="113" spans="2:15" s="71" customFormat="1" outlineLevel="1">
      <c r="B113" s="119"/>
      <c r="C113" s="172" t="s">
        <v>651</v>
      </c>
      <c r="D113" s="39">
        <v>12394.203728</v>
      </c>
      <c r="E113" s="115">
        <f t="shared" si="9"/>
        <v>3744.4724253776435</v>
      </c>
      <c r="F113" s="112">
        <v>46017</v>
      </c>
      <c r="G113" s="71" t="s">
        <v>126</v>
      </c>
      <c r="H113" s="71">
        <f>IF(OR(G113="Sin pagar",G113="Pagar"),(_xlfn.SINGLE(NETWORKDAYS($J$24,F113,FestivosPerú!$A$2:$A$15))),0)</f>
        <v>0</v>
      </c>
      <c r="I113" s="71">
        <f>NETWORKDAYS($J$24,F113,FestivosPerú!$A$2:$A$15)</f>
        <v>17</v>
      </c>
      <c r="J113" s="117">
        <f t="shared" si="10"/>
        <v>0</v>
      </c>
      <c r="K113" s="120"/>
      <c r="L113" s="94"/>
      <c r="M113" s="300"/>
      <c r="N113" s="118"/>
    </row>
    <row r="114" spans="2:15" s="71" customFormat="1" outlineLevel="1">
      <c r="B114" s="119"/>
      <c r="C114" s="172" t="s">
        <v>770</v>
      </c>
      <c r="D114" s="39">
        <v>20612.550394666665</v>
      </c>
      <c r="E114" s="115">
        <f t="shared" si="9"/>
        <v>6227.3566147029196</v>
      </c>
      <c r="F114" s="112">
        <v>46017</v>
      </c>
      <c r="G114" s="71" t="s">
        <v>126</v>
      </c>
      <c r="H114" s="71">
        <f>IF(OR(G114="Sin pagar",G114="Pagar"),(_xlfn.SINGLE(NETWORKDAYS($J$24,F114,FestivosPerú!$A$2:$A$15))),0)</f>
        <v>0</v>
      </c>
      <c r="I114" s="71">
        <f>NETWORKDAYS($J$24,F114,FestivosPerú!$A$2:$A$15)</f>
        <v>17</v>
      </c>
      <c r="J114" s="117">
        <f t="shared" si="10"/>
        <v>0</v>
      </c>
      <c r="K114" s="120"/>
      <c r="L114" s="94"/>
      <c r="M114" s="300"/>
      <c r="N114" s="118"/>
    </row>
    <row r="115" spans="2:15" s="126" customFormat="1" outlineLevel="1">
      <c r="B115" s="125"/>
      <c r="C115" s="186" t="s">
        <v>767</v>
      </c>
      <c r="D115" s="39">
        <v>5328.44</v>
      </c>
      <c r="E115" s="115">
        <f t="shared" si="9"/>
        <v>1609.8006042296072</v>
      </c>
      <c r="F115" s="112">
        <v>46017</v>
      </c>
      <c r="G115" s="71" t="s">
        <v>126</v>
      </c>
      <c r="H115" s="71">
        <f>IF(OR(G115="Sin pagar",G115="Pagar"),(_xlfn.SINGLE(NETWORKDAYS($J$24,F115,FestivosPerú!$A$2:$A$15))),0)</f>
        <v>0</v>
      </c>
      <c r="I115" s="71">
        <f>NETWORKDAYS($J$24,F115,FestivosPerú!$A$2:$A$15)</f>
        <v>17</v>
      </c>
      <c r="J115" s="117">
        <f t="shared" si="10"/>
        <v>0</v>
      </c>
      <c r="L115" s="127"/>
      <c r="M115" s="253"/>
    </row>
    <row r="116" spans="2:15" s="71" customFormat="1" outlineLevel="1">
      <c r="B116" s="119"/>
      <c r="C116" s="172" t="s">
        <v>943</v>
      </c>
      <c r="D116" s="39">
        <v>6476.75</v>
      </c>
      <c r="E116" s="115">
        <f t="shared" si="9"/>
        <v>1956.7220543806645</v>
      </c>
      <c r="F116" s="112">
        <v>46017</v>
      </c>
      <c r="G116" s="71" t="s">
        <v>126</v>
      </c>
      <c r="H116" s="71">
        <f>IF(OR(G116="Sin pagar",G116="Pagar"),(_xlfn.SINGLE(NETWORKDAYS($J$24,F116,FestivosPerú!$A$2:$A$15))),0)</f>
        <v>0</v>
      </c>
      <c r="I116" s="71">
        <f>NETWORKDAYS($J$24,F116,FestivosPerú!$A$2:$A$15)</f>
        <v>17</v>
      </c>
      <c r="J116" s="117">
        <f t="shared" si="10"/>
        <v>0</v>
      </c>
      <c r="K116" s="120"/>
      <c r="L116" s="94"/>
      <c r="M116" s="300"/>
      <c r="N116" s="118"/>
    </row>
    <row r="117" spans="2:15" s="71" customFormat="1" outlineLevel="1">
      <c r="B117" s="125"/>
      <c r="C117" s="186" t="s">
        <v>508</v>
      </c>
      <c r="D117" s="39">
        <v>5046.7201449999993</v>
      </c>
      <c r="E117" s="115">
        <f t="shared" si="9"/>
        <v>1524.6888655589121</v>
      </c>
      <c r="F117" s="112">
        <v>46017</v>
      </c>
      <c r="G117" s="71" t="s">
        <v>126</v>
      </c>
      <c r="H117" s="71">
        <f>IF(OR(G117="Sin pagar",G117="Pagar"),(_xlfn.SINGLE(NETWORKDAYS($J$24,F117,FestivosPerú!$A$2:$A$15))),0)</f>
        <v>0</v>
      </c>
      <c r="I117" s="71">
        <f>NETWORKDAYS($J$24,F117,FestivosPerú!$A$2:$A$15)</f>
        <v>17</v>
      </c>
      <c r="J117" s="117">
        <f t="shared" si="10"/>
        <v>0</v>
      </c>
      <c r="K117" s="120"/>
      <c r="L117" s="120"/>
      <c r="M117" s="253"/>
      <c r="N117" s="122"/>
    </row>
    <row r="118" spans="2:15" s="71" customFormat="1" outlineLevel="1">
      <c r="B118" s="119"/>
      <c r="C118" s="172" t="s">
        <v>654</v>
      </c>
      <c r="D118" s="39">
        <v>8846.56</v>
      </c>
      <c r="E118" s="115">
        <f t="shared" si="9"/>
        <v>2672.6767371601209</v>
      </c>
      <c r="F118" s="112">
        <v>46017</v>
      </c>
      <c r="G118" s="71" t="s">
        <v>126</v>
      </c>
      <c r="H118" s="71">
        <f>IF(OR(G118="Sin pagar",G118="Pagar"),(_xlfn.SINGLE(NETWORKDAYS($J$24,F118,FestivosPerú!$A$2:$A$15))),0)</f>
        <v>0</v>
      </c>
      <c r="I118" s="71">
        <f>NETWORKDAYS($J$24,F118,FestivosPerú!$A$2:$A$15)</f>
        <v>17</v>
      </c>
      <c r="J118" s="117">
        <f t="shared" si="10"/>
        <v>0</v>
      </c>
      <c r="K118" s="120"/>
      <c r="L118" s="94"/>
      <c r="M118" s="392">
        <v>7807.32</v>
      </c>
      <c r="N118" s="118">
        <f>M118-E118</f>
        <v>5134.6432628398788</v>
      </c>
    </row>
    <row r="119" spans="2:15" s="71" customFormat="1" outlineLevel="1">
      <c r="B119" s="119"/>
      <c r="C119" s="172" t="s">
        <v>653</v>
      </c>
      <c r="D119" s="39">
        <v>9050.4950561250007</v>
      </c>
      <c r="E119" s="115">
        <f t="shared" si="9"/>
        <v>2734.2885365936559</v>
      </c>
      <c r="F119" s="112">
        <v>46017</v>
      </c>
      <c r="G119" s="71" t="s">
        <v>126</v>
      </c>
      <c r="H119" s="71">
        <f>IF(OR(G119="Sin pagar",G119="Pagar"),(_xlfn.SINGLE(NETWORKDAYS($J$24,F119,FestivosPerú!$A$2:$A$15))),0)</f>
        <v>0</v>
      </c>
      <c r="I119" s="71">
        <f>NETWORKDAYS($J$24,F119,FestivosPerú!$A$2:$A$15)</f>
        <v>17</v>
      </c>
      <c r="J119" s="117">
        <f t="shared" si="10"/>
        <v>0</v>
      </c>
      <c r="K119" s="120"/>
      <c r="L119" s="94"/>
      <c r="M119" s="300"/>
      <c r="N119" s="118"/>
    </row>
    <row r="120" spans="2:15" s="71" customFormat="1" outlineLevel="1">
      <c r="B120" s="119"/>
      <c r="C120" s="172" t="s">
        <v>769</v>
      </c>
      <c r="D120" s="39">
        <v>18860.863727999997</v>
      </c>
      <c r="E120" s="115">
        <f t="shared" si="9"/>
        <v>5698.1461413897268</v>
      </c>
      <c r="F120" s="112">
        <v>46017</v>
      </c>
      <c r="G120" s="71" t="s">
        <v>126</v>
      </c>
      <c r="H120" s="71">
        <f>IF(OR(G120="Sin pagar",G120="Pagar"),(_xlfn.SINGLE(NETWORKDAYS($J$24,F120,FestivosPerú!$A$2:$A$15))),0)</f>
        <v>0</v>
      </c>
      <c r="I120" s="71">
        <f>NETWORKDAYS($J$24,F120,FestivosPerú!$A$2:$A$15)</f>
        <v>17</v>
      </c>
      <c r="J120" s="117">
        <f t="shared" si="10"/>
        <v>0</v>
      </c>
      <c r="K120" s="120"/>
      <c r="L120" s="94"/>
      <c r="M120" s="300"/>
      <c r="N120" s="118"/>
    </row>
    <row r="121" spans="2:15" s="71" customFormat="1" ht="15" outlineLevel="1" thickBot="1">
      <c r="B121" s="119"/>
      <c r="C121" s="172" t="s">
        <v>1064</v>
      </c>
      <c r="D121" s="39">
        <v>4242.57</v>
      </c>
      <c r="E121" s="115">
        <f t="shared" si="9"/>
        <v>1281.7432024169184</v>
      </c>
      <c r="F121" s="112">
        <v>46017</v>
      </c>
      <c r="G121" s="71" t="s">
        <v>126</v>
      </c>
      <c r="H121" s="71">
        <f>IF(OR(G121="Sin pagar",G121="Pagar"),(_xlfn.SINGLE(NETWORKDAYS($J$24,F121,FestivosPerú!$A$2:$A$15))),0)</f>
        <v>0</v>
      </c>
      <c r="I121" s="71">
        <f>NETWORKDAYS($J$24,F121,FestivosPerú!$A$2:$A$15)</f>
        <v>17</v>
      </c>
      <c r="J121" s="117">
        <f t="shared" si="10"/>
        <v>0</v>
      </c>
      <c r="K121" s="120"/>
      <c r="L121" s="94"/>
      <c r="M121" s="300"/>
      <c r="N121" s="118"/>
    </row>
    <row r="122" spans="2:15" s="71" customFormat="1" ht="16.2" thickBot="1">
      <c r="C122" s="311" t="s">
        <v>642</v>
      </c>
      <c r="D122" s="312">
        <f>SUBTOTAL(9,D123:D128)</f>
        <v>13126.6113</v>
      </c>
      <c r="E122" s="313">
        <f>SUBTOTAL(9,E123:E128)</f>
        <v>3856.5719939577039</v>
      </c>
      <c r="J122" s="301"/>
      <c r="K122" s="89"/>
      <c r="L122" s="124"/>
      <c r="N122" s="122"/>
      <c r="O122" s="101"/>
    </row>
    <row r="123" spans="2:15" s="71" customFormat="1" outlineLevel="1">
      <c r="B123" s="119"/>
      <c r="C123" s="172" t="s">
        <v>946</v>
      </c>
      <c r="D123" s="39">
        <f>E123*$D$6</f>
        <v>437.01929999999999</v>
      </c>
      <c r="E123" s="424">
        <v>132.03</v>
      </c>
      <c r="F123" s="112">
        <v>46017</v>
      </c>
      <c r="G123" s="71" t="s">
        <v>126</v>
      </c>
      <c r="H123" s="71">
        <f>IF(OR(G123="Sin pagar",G123="Pagar"),(_xlfn.SINGLE(NETWORKDAYS($J$24,F123,FestivosPerú!$A$2:$A$15))),0)</f>
        <v>0</v>
      </c>
      <c r="I123" s="71">
        <f>NETWORKDAYS($J$24,F123,FestivosPerú!$A$2:$A$15)</f>
        <v>17</v>
      </c>
      <c r="J123" s="117">
        <f t="shared" ref="J123:J128" si="11">H123</f>
        <v>0</v>
      </c>
      <c r="K123" s="120"/>
      <c r="L123" s="94"/>
      <c r="M123" s="300"/>
      <c r="N123" s="118"/>
    </row>
    <row r="124" spans="2:15" s="71" customFormat="1" outlineLevel="1">
      <c r="B124" s="119"/>
      <c r="C124" s="172" t="s">
        <v>790</v>
      </c>
      <c r="D124" s="39">
        <f>E124*$D$6</f>
        <v>288.63200000000001</v>
      </c>
      <c r="E124" s="424">
        <v>87.2</v>
      </c>
      <c r="F124" s="112">
        <v>46017</v>
      </c>
      <c r="G124" s="71" t="s">
        <v>126</v>
      </c>
      <c r="H124" s="71">
        <f>IF(OR(G124="Sin pagar",G124="Pagar"),(_xlfn.SINGLE(NETWORKDAYS($J$24,F124,FestivosPerú!$A$2:$A$15))),0)</f>
        <v>0</v>
      </c>
      <c r="I124" s="71">
        <f>NETWORKDAYS($J$24,F124,FestivosPerú!$A$2:$A$15)</f>
        <v>17</v>
      </c>
      <c r="J124" s="117">
        <f t="shared" si="11"/>
        <v>0</v>
      </c>
      <c r="K124" s="120"/>
      <c r="L124" s="94"/>
      <c r="M124" s="300"/>
      <c r="N124" s="118"/>
    </row>
    <row r="125" spans="2:15" s="71" customFormat="1" outlineLevel="1">
      <c r="B125" s="119"/>
      <c r="C125" s="172" t="s">
        <v>948</v>
      </c>
      <c r="D125" s="408">
        <v>2657.15</v>
      </c>
      <c r="E125" s="115">
        <f>D125/$D$6</f>
        <v>802.76435045317226</v>
      </c>
      <c r="F125" s="112">
        <v>46017</v>
      </c>
      <c r="G125" s="71" t="s">
        <v>126</v>
      </c>
      <c r="H125" s="71">
        <f>IF(OR(G125="Sin pagar",G125="Pagar"),(_xlfn.SINGLE(NETWORKDAYS($J$24,F125,FestivosPerú!$A$2:$A$15))),0)</f>
        <v>0</v>
      </c>
      <c r="I125" s="71">
        <f>NETWORKDAYS($J$24,F125,FestivosPerú!$A$2:$A$15)</f>
        <v>17</v>
      </c>
      <c r="J125" s="117">
        <f t="shared" si="11"/>
        <v>0</v>
      </c>
      <c r="K125" s="120"/>
      <c r="L125" s="94"/>
      <c r="M125" s="300"/>
      <c r="N125" s="118"/>
    </row>
    <row r="126" spans="2:15" s="71" customFormat="1" outlineLevel="1">
      <c r="B126" s="119"/>
      <c r="C126" s="172" t="s">
        <v>789</v>
      </c>
      <c r="D126" s="408">
        <v>593.82000000000005</v>
      </c>
      <c r="E126" s="115">
        <f>D126/$D$6</f>
        <v>179.40181268882176</v>
      </c>
      <c r="F126" s="112">
        <v>46017</v>
      </c>
      <c r="G126" s="71" t="s">
        <v>126</v>
      </c>
      <c r="H126" s="71">
        <f>IF(OR(G126="Sin pagar",G126="Pagar"),(_xlfn.SINGLE(NETWORKDAYS($J$24,F126,FestivosPerú!$A$2:$A$15))),0)</f>
        <v>0</v>
      </c>
      <c r="I126" s="71">
        <f>NETWORKDAYS($J$24,F126,FestivosPerú!$A$2:$A$15)</f>
        <v>17</v>
      </c>
      <c r="J126" s="117">
        <f t="shared" si="11"/>
        <v>0</v>
      </c>
      <c r="K126" s="120"/>
      <c r="L126" s="94"/>
      <c r="M126" s="300"/>
      <c r="N126" s="118"/>
    </row>
    <row r="127" spans="2:15" s="71" customFormat="1" outlineLevel="1">
      <c r="B127" s="119"/>
      <c r="C127" s="172" t="s">
        <v>817</v>
      </c>
      <c r="D127" s="408">
        <v>8500</v>
      </c>
      <c r="E127" s="115">
        <f>D127/$D$6</f>
        <v>2567.9758308157097</v>
      </c>
      <c r="F127" s="112">
        <v>46017</v>
      </c>
      <c r="G127" s="71" t="s">
        <v>126</v>
      </c>
      <c r="H127" s="71">
        <f>IF(OR(G127="Sin pagar",G127="Pagar"),(_xlfn.SINGLE(NETWORKDAYS($J$24,F127,FestivosPerú!$A$2:$A$15))),0)</f>
        <v>0</v>
      </c>
      <c r="I127" s="71">
        <f>NETWORKDAYS($J$24,F127,FestivosPerú!$A$2:$A$15)</f>
        <v>17</v>
      </c>
      <c r="J127" s="117">
        <f t="shared" si="11"/>
        <v>0</v>
      </c>
      <c r="K127" s="120"/>
      <c r="L127" s="94"/>
      <c r="M127" s="300"/>
      <c r="N127" s="118"/>
    </row>
    <row r="128" spans="2:15" s="71" customFormat="1" ht="15" outlineLevel="1" thickBot="1">
      <c r="B128" s="119"/>
      <c r="C128" s="172" t="s">
        <v>1091</v>
      </c>
      <c r="D128" s="408">
        <v>649.99</v>
      </c>
      <c r="E128" s="232">
        <v>87.2</v>
      </c>
      <c r="F128" s="112">
        <v>46017</v>
      </c>
      <c r="G128" s="71" t="s">
        <v>126</v>
      </c>
      <c r="H128" s="71">
        <f>IF(OR(G128="Sin pagar",G128="Pagar"),(_xlfn.SINGLE(NETWORKDAYS($J$24,F128,FestivosPerú!$A$2:$A$15))),0)</f>
        <v>0</v>
      </c>
      <c r="I128" s="71">
        <f>NETWORKDAYS($J$24,F128,FestivosPerú!$A$2:$A$15)</f>
        <v>17</v>
      </c>
      <c r="J128" s="117">
        <f t="shared" si="11"/>
        <v>0</v>
      </c>
      <c r="K128" s="120"/>
      <c r="L128" s="94"/>
      <c r="M128" s="300"/>
      <c r="N128" s="118"/>
    </row>
    <row r="129" spans="1:16" s="71" customFormat="1" ht="16.2" thickBot="1">
      <c r="A129" s="126"/>
      <c r="B129" s="125"/>
      <c r="C129" s="311" t="s">
        <v>129</v>
      </c>
      <c r="D129" s="312">
        <f>SUBTOTAL(9,D130:D130)</f>
        <v>1439.91</v>
      </c>
      <c r="E129" s="313">
        <f>SUBTOTAL(9,E130:E130)</f>
        <v>4766.1021000000001</v>
      </c>
      <c r="L129" s="89"/>
    </row>
    <row r="130" spans="1:16" s="71" customFormat="1" ht="15" outlineLevel="1" thickBot="1">
      <c r="A130" s="126"/>
      <c r="B130" s="128"/>
      <c r="C130" s="84" t="s">
        <v>1039</v>
      </c>
      <c r="D130" s="39">
        <v>1439.91</v>
      </c>
      <c r="E130" s="115">
        <f>D130*D6</f>
        <v>4766.1021000000001</v>
      </c>
      <c r="F130" s="112">
        <v>46002</v>
      </c>
      <c r="G130" s="71" t="s">
        <v>126</v>
      </c>
      <c r="H130" s="71">
        <f>IF(OR(G130="Sin pagar",G130="Pagar"),(_xlfn.SINGLE(NETWORKDAYS($J$24,F130,FestivosPerú!$A$2:$A$15))),0)</f>
        <v>0</v>
      </c>
      <c r="I130" s="71">
        <f>NETWORKDAYS($J$24,F130,FestivosPerú!$A$2:$A$15)</f>
        <v>7</v>
      </c>
      <c r="J130" s="117">
        <f>H130</f>
        <v>0</v>
      </c>
      <c r="L130" s="89"/>
    </row>
    <row r="131" spans="1:16" ht="15.6">
      <c r="C131" s="129" t="s">
        <v>130</v>
      </c>
      <c r="D131" s="227">
        <f>SUBTOTAL(9,D26:D130)</f>
        <v>803160.20246659406</v>
      </c>
      <c r="E131" s="228">
        <f>SUBTOTAL(9,E26:E130)</f>
        <v>246868.49921981693</v>
      </c>
    </row>
    <row r="132" spans="1:16" s="238" customFormat="1" ht="15.6">
      <c r="B132" s="239"/>
      <c r="C132" s="240"/>
      <c r="D132" s="241"/>
      <c r="E132" s="242"/>
    </row>
    <row r="133" spans="1:16" ht="15.6">
      <c r="A133" s="71"/>
      <c r="C133" s="134" t="s">
        <v>3</v>
      </c>
      <c r="D133" s="170">
        <f>D21-D131</f>
        <v>232942.39427655749</v>
      </c>
      <c r="E133" s="135">
        <f>E21-E131</f>
        <v>70540.2033007727</v>
      </c>
      <c r="F133" s="136"/>
      <c r="G133" s="136"/>
      <c r="J133" s="364"/>
    </row>
    <row r="134" spans="1:16" s="141" customFormat="1" ht="15.6">
      <c r="A134" s="71"/>
      <c r="B134" s="138"/>
      <c r="C134" s="134" t="s">
        <v>131</v>
      </c>
      <c r="D134" s="139">
        <f>IF($D$21=0,0,D133/$D$21)</f>
        <v>0.22482560608262195</v>
      </c>
      <c r="E134" s="139">
        <f>IF($E$21=0,0,E133/$E$21)</f>
        <v>0.2222377733836611</v>
      </c>
      <c r="F134" s="140"/>
      <c r="G134" s="137"/>
      <c r="J134" s="142"/>
      <c r="K134" s="432"/>
      <c r="L134" s="432"/>
      <c r="N134" s="432"/>
      <c r="O134" s="432"/>
      <c r="P134" s="432"/>
    </row>
    <row r="136" spans="1:16" ht="15" thickBot="1"/>
    <row r="137" spans="1:16" ht="15.6">
      <c r="C137" s="197">
        <v>45992</v>
      </c>
      <c r="D137" s="198">
        <v>46000</v>
      </c>
      <c r="E137" s="199">
        <f t="shared" ref="E137:E148" si="12">SUMIFS($D$24:$D$135,$F$24:$F$135,"&gt;="&amp;C137,$F$24:$F$135,"&lt;="&amp;D137,$G$24:$G$135,$D$158)</f>
        <v>0</v>
      </c>
      <c r="F137" s="200">
        <f t="shared" ref="F137:F148" si="13">SUMIFS($E$24:$E$136,$F$24:$F$136,"&gt;="&amp;C137,$F$24:$F$136,"&lt;="&amp;D137,$G$24:$G$136,$D$158)</f>
        <v>0</v>
      </c>
      <c r="G137" s="375" t="s">
        <v>693</v>
      </c>
    </row>
    <row r="138" spans="1:16" ht="15.6">
      <c r="C138" s="201">
        <v>46001</v>
      </c>
      <c r="D138" s="202">
        <v>46002</v>
      </c>
      <c r="E138" s="203">
        <f t="shared" si="12"/>
        <v>0</v>
      </c>
      <c r="F138" s="204">
        <f t="shared" si="13"/>
        <v>0</v>
      </c>
      <c r="G138" s="375" t="s">
        <v>1003</v>
      </c>
    </row>
    <row r="139" spans="1:16" ht="15.6">
      <c r="C139" s="201">
        <v>46003</v>
      </c>
      <c r="D139" s="202">
        <v>46005</v>
      </c>
      <c r="E139" s="203">
        <f t="shared" si="12"/>
        <v>0</v>
      </c>
      <c r="F139" s="204">
        <f t="shared" si="13"/>
        <v>0</v>
      </c>
      <c r="G139" s="375"/>
    </row>
    <row r="140" spans="1:16" ht="15.6">
      <c r="C140" s="201">
        <v>46006</v>
      </c>
      <c r="D140" s="325">
        <v>46006</v>
      </c>
      <c r="E140" s="203">
        <f t="shared" si="12"/>
        <v>0</v>
      </c>
      <c r="F140" s="204">
        <f t="shared" si="13"/>
        <v>0</v>
      </c>
      <c r="G140" s="375" t="s">
        <v>1004</v>
      </c>
    </row>
    <row r="141" spans="1:16" ht="15.6">
      <c r="C141" s="201">
        <v>46007</v>
      </c>
      <c r="D141" s="325">
        <v>46009</v>
      </c>
      <c r="E141" s="203">
        <f t="shared" si="12"/>
        <v>0</v>
      </c>
      <c r="F141" s="204">
        <f t="shared" si="13"/>
        <v>0</v>
      </c>
      <c r="G141" s="375"/>
    </row>
    <row r="142" spans="1:16" ht="15.6">
      <c r="C142" s="201">
        <v>46010</v>
      </c>
      <c r="D142" s="202">
        <v>46010</v>
      </c>
      <c r="E142" s="203">
        <f t="shared" si="12"/>
        <v>0</v>
      </c>
      <c r="F142" s="204">
        <f t="shared" si="13"/>
        <v>0</v>
      </c>
      <c r="G142" s="375" t="s">
        <v>1005</v>
      </c>
    </row>
    <row r="143" spans="1:16" ht="15.6">
      <c r="C143" s="201">
        <v>46011</v>
      </c>
      <c r="D143" s="202">
        <v>46012</v>
      </c>
      <c r="E143" s="203">
        <f t="shared" si="12"/>
        <v>0</v>
      </c>
      <c r="F143" s="204">
        <f t="shared" si="13"/>
        <v>0</v>
      </c>
      <c r="G143" s="375"/>
    </row>
    <row r="144" spans="1:16" ht="15.6">
      <c r="C144" s="201">
        <v>46013</v>
      </c>
      <c r="D144" s="202">
        <v>46016</v>
      </c>
      <c r="E144" s="203">
        <f t="shared" si="12"/>
        <v>0</v>
      </c>
      <c r="F144" s="204">
        <f t="shared" si="13"/>
        <v>0</v>
      </c>
      <c r="G144" s="375"/>
    </row>
    <row r="145" spans="2:13" ht="15.6">
      <c r="C145" s="201">
        <v>46017</v>
      </c>
      <c r="D145" s="202">
        <v>46017</v>
      </c>
      <c r="E145" s="203">
        <f t="shared" si="12"/>
        <v>0</v>
      </c>
      <c r="F145" s="204">
        <f t="shared" si="13"/>
        <v>0</v>
      </c>
      <c r="G145" s="375" t="s">
        <v>1006</v>
      </c>
    </row>
    <row r="146" spans="2:13" ht="15.6">
      <c r="C146" s="201">
        <v>46018</v>
      </c>
      <c r="D146" s="202">
        <v>46019</v>
      </c>
      <c r="E146" s="203">
        <f t="shared" si="12"/>
        <v>0</v>
      </c>
      <c r="F146" s="204">
        <f t="shared" si="13"/>
        <v>0</v>
      </c>
      <c r="G146" s="375"/>
    </row>
    <row r="147" spans="2:13" ht="15.6">
      <c r="C147" s="201">
        <v>46020</v>
      </c>
      <c r="D147" s="202">
        <v>46022</v>
      </c>
      <c r="E147" s="203">
        <f t="shared" si="12"/>
        <v>0</v>
      </c>
      <c r="F147" s="204">
        <f t="shared" si="13"/>
        <v>0</v>
      </c>
      <c r="G147" s="375" t="s">
        <v>837</v>
      </c>
    </row>
    <row r="148" spans="2:13" s="446" customFormat="1" ht="16.2" thickBot="1">
      <c r="B148" s="445"/>
      <c r="C148" s="205">
        <v>46023</v>
      </c>
      <c r="D148" s="206">
        <v>46029</v>
      </c>
      <c r="E148" s="207">
        <f t="shared" si="12"/>
        <v>0</v>
      </c>
      <c r="F148" s="208">
        <f t="shared" si="13"/>
        <v>0</v>
      </c>
      <c r="G148" s="375"/>
    </row>
    <row r="149" spans="2:13" ht="15.6">
      <c r="C149" s="524" t="s">
        <v>136</v>
      </c>
      <c r="D149" s="524"/>
      <c r="E149" s="323">
        <f>SUM(E137:E148)</f>
        <v>0</v>
      </c>
      <c r="F149" s="153">
        <f>SUM(F137:F148)</f>
        <v>0</v>
      </c>
      <c r="G149" s="77"/>
      <c r="K149" s="137"/>
      <c r="M149" s="154"/>
    </row>
    <row r="150" spans="2:13">
      <c r="F150" s="433"/>
    </row>
    <row r="152" spans="2:13">
      <c r="C152" s="522" t="s">
        <v>932</v>
      </c>
      <c r="D152" s="522"/>
      <c r="E152" s="39">
        <f>(('BCP SOLES BCP'!$G$828+('BCP USD BCP'!$G$349*$D$6)))</f>
        <v>232816.12286283274</v>
      </c>
      <c r="F152" s="154">
        <f>((('BCP SOLES BCP'!$G$828/$D$6)+'BCP USD BCP'!$G$349))</f>
        <v>70337.197239526504</v>
      </c>
    </row>
    <row r="153" spans="2:13" ht="15" thickBot="1">
      <c r="C153" s="522" t="s">
        <v>933</v>
      </c>
      <c r="D153" s="522"/>
      <c r="E153" s="421">
        <f>(('BBVA SOLES'!$G$50+('BBVA USD'!$G$23*$D$6)))</f>
        <v>30108.401399999995</v>
      </c>
      <c r="F153" s="422">
        <f>(('BBVA SOLES'!$G$50/$D$6)+'BBVA USD'!$G$23)</f>
        <v>9096.1937764350441</v>
      </c>
    </row>
    <row r="154" spans="2:13" ht="15" thickTop="1">
      <c r="C154" s="523" t="s">
        <v>934</v>
      </c>
      <c r="D154" s="523"/>
      <c r="E154" s="167">
        <f>SUM(E152:E153)</f>
        <v>262924.52426283271</v>
      </c>
      <c r="F154" s="168">
        <f>SUM(F152:F153)</f>
        <v>79433.391015961548</v>
      </c>
    </row>
    <row r="155" spans="2:13">
      <c r="C155" s="533" t="s">
        <v>1007</v>
      </c>
      <c r="D155" s="522"/>
      <c r="E155" s="39">
        <f>SUM(E137:E147)</f>
        <v>0</v>
      </c>
      <c r="F155" s="154">
        <f>SUM($F$137:$F$147)</f>
        <v>0</v>
      </c>
    </row>
    <row r="156" spans="2:13">
      <c r="C156" s="523" t="s">
        <v>138</v>
      </c>
      <c r="D156" s="523"/>
      <c r="E156" s="39">
        <f>E154-E155</f>
        <v>262924.52426283271</v>
      </c>
      <c r="F156" s="154">
        <f>F154-F155</f>
        <v>79433.391015961548</v>
      </c>
    </row>
    <row r="157" spans="2:13">
      <c r="C157" s="431"/>
      <c r="D157" s="431"/>
      <c r="E157" s="39"/>
      <c r="F157" s="154"/>
    </row>
    <row r="158" spans="2:13">
      <c r="D158" s="231" t="s">
        <v>116</v>
      </c>
      <c r="E158" s="39">
        <f>SUMIFS($D$25:$D$135,$F$25:$F$135,"&gt;="&amp;C137,$F$25:$F$135,"&lt;="&amp;D148,$G$25:$G$135,$D$158)</f>
        <v>0</v>
      </c>
      <c r="F158" s="154">
        <f>SUMIFS($E$25:$E$135,$F$25:$F$135,"&gt;="&amp;$C$137,$F$25:$F$135,"&lt;="&amp;D148,$G$25:$G$135,$D$158)</f>
        <v>0</v>
      </c>
    </row>
    <row r="159" spans="2:13">
      <c r="D159" s="433" t="s">
        <v>126</v>
      </c>
      <c r="E159" s="39">
        <f>SUMIFS($D$25:$D$135,$F$25:$F$135,"&gt;="&amp;C137,$F$25:$F$135,"&lt;="&amp;D148,$G$25:$G$135,$D$159)</f>
        <v>803160.20246659406</v>
      </c>
      <c r="F159" s="154">
        <f>SUMIFS($E$25:$E$135,$F$25:$F$135,"&gt;="&amp;$C$137,$F$25:$F$135,"&lt;="&amp;D148,$G$25:$G$135,$D$159)</f>
        <v>246868.49921981693</v>
      </c>
    </row>
    <row r="160" spans="2:13">
      <c r="D160" s="433" t="s">
        <v>854</v>
      </c>
      <c r="E160" s="167">
        <f>SUM(E158:E159)</f>
        <v>803160.20246659406</v>
      </c>
      <c r="F160" s="168">
        <f>SUM(F158:F159)</f>
        <v>246868.49921981693</v>
      </c>
    </row>
    <row r="161" spans="4:6">
      <c r="D161" s="433" t="s">
        <v>140</v>
      </c>
      <c r="E161" s="167">
        <f>E160-D131</f>
        <v>0</v>
      </c>
      <c r="F161" s="168">
        <f>E131-F160</f>
        <v>0</v>
      </c>
    </row>
    <row r="165" spans="4:6">
      <c r="D165" s="447" t="s">
        <v>198</v>
      </c>
      <c r="E165" s="39">
        <f>D133</f>
        <v>232942.39427655749</v>
      </c>
    </row>
    <row r="166" spans="4:6">
      <c r="D166" s="447" t="s">
        <v>199</v>
      </c>
      <c r="E166" s="39">
        <f>E154</f>
        <v>262924.52426283271</v>
      </c>
      <c r="F166" s="403"/>
    </row>
    <row r="167" spans="4:6">
      <c r="D167" s="447" t="s">
        <v>39</v>
      </c>
      <c r="E167" s="39">
        <f>E165-E166</f>
        <v>-29982.12998627522</v>
      </c>
      <c r="F167" s="403"/>
    </row>
    <row r="168" spans="4:6">
      <c r="D168" s="447" t="s">
        <v>200</v>
      </c>
      <c r="E168" s="154">
        <f>E167/D6</f>
        <v>-9058.0453130740843</v>
      </c>
      <c r="F168" s="403"/>
    </row>
    <row r="169" spans="4:6">
      <c r="E169" s="39"/>
      <c r="F169" s="403"/>
    </row>
    <row r="170" spans="4:6">
      <c r="D170" s="158"/>
      <c r="E170" s="167"/>
      <c r="F170" s="168"/>
    </row>
  </sheetData>
  <protectedRanges>
    <protectedRange sqref="F21:G21 D135:E135 D10:E11 D13:D20" name="Presupuestos"/>
    <protectedRange sqref="D8:E8 D25:E25" name="Presupuestos_1"/>
    <protectedRange sqref="D34:E35" name="Presupuestos_13_1"/>
    <protectedRange sqref="D64 D65:E65 D62:E62 E47:E52 E63:E64 E123:E128 E54:E60 E105:E121 E87:E103" name="Presupuestos_2_1_1_1"/>
    <protectedRange sqref="K47:K52 E67:E68 K87:K90 K54:K60 K117 K115 K105:K107" name="Presupuestos_6_1_1_1"/>
    <protectedRange sqref="D44:E45 E37" name="Presupuestos_7_1"/>
    <protectedRange sqref="D67:D68" name="Presupuestos_5_3"/>
    <protectedRange sqref="D87:D90 P47:P51 D47:D52 P54:P59 D54:D60 D117 D115 D105:D107" name="Presupuestos_6_1_1_1_1"/>
    <protectedRange sqref="D38:E42" name="Presupuestos_7_1_1"/>
    <protectedRange sqref="E70:E71" name="Presupuestos_7_1_2"/>
    <protectedRange sqref="D70:D71" name="Presupuestos_5_3_1"/>
    <protectedRange sqref="E130" name="Presupuestos_6_1_1_1_3"/>
    <protectedRange sqref="D130" name="Presupuestos_5_3_3"/>
  </protectedRanges>
  <autoFilter ref="A25:S134" xr:uid="{A4C79A66-C7AB-4733-819C-F0617E7270F3}"/>
  <mergeCells count="12">
    <mergeCell ref="D7:E7"/>
    <mergeCell ref="B24:C24"/>
    <mergeCell ref="D24:E24"/>
    <mergeCell ref="F24:G24"/>
    <mergeCell ref="M27:M29"/>
    <mergeCell ref="M73:M76"/>
    <mergeCell ref="C149:D149"/>
    <mergeCell ref="C152:D152"/>
    <mergeCell ref="C153:D153"/>
    <mergeCell ref="C154:D154"/>
    <mergeCell ref="C155:D155"/>
    <mergeCell ref="C156:D156"/>
  </mergeCells>
  <conditionalFormatting sqref="J33 J28:J29 J36 J72 J67:J68 J123:J128 J105:J121">
    <cfRule type="cellIs" dxfId="173" priority="103" operator="between">
      <formula>1</formula>
      <formula>5</formula>
    </cfRule>
    <cfRule type="cellIs" dxfId="172" priority="104" operator="between">
      <formula>16</formula>
      <formula>60</formula>
    </cfRule>
  </conditionalFormatting>
  <conditionalFormatting sqref="J33 J28:J29 J36 J72 J67:J68 J123:J128 J105:J121">
    <cfRule type="cellIs" dxfId="171" priority="102" operator="lessThan">
      <formula>0</formula>
    </cfRule>
  </conditionalFormatting>
  <conditionalFormatting sqref="J44:J45">
    <cfRule type="cellIs" dxfId="170" priority="100" operator="between">
      <formula>1</formula>
      <formula>5</formula>
    </cfRule>
    <cfRule type="cellIs" dxfId="169" priority="101" operator="between">
      <formula>16</formula>
      <formula>60</formula>
    </cfRule>
  </conditionalFormatting>
  <conditionalFormatting sqref="J44:J45">
    <cfRule type="cellIs" dxfId="168" priority="99" operator="lessThan">
      <formula>0</formula>
    </cfRule>
  </conditionalFormatting>
  <conditionalFormatting sqref="J31:J32 J73:J76 J78:J79 J34:J35 J38:J42 J81:J85">
    <cfRule type="cellIs" dxfId="167" priority="95" operator="lessThan">
      <formula>0</formula>
    </cfRule>
    <cfRule type="cellIs" dxfId="166" priority="96" operator="between">
      <formula>6</formula>
      <formula>15</formula>
    </cfRule>
    <cfRule type="cellIs" dxfId="165" priority="97" operator="between">
      <formula>1</formula>
      <formula>5</formula>
    </cfRule>
    <cfRule type="cellIs" dxfId="128" priority="98" operator="between">
      <formula>16</formula>
      <formula>60</formula>
    </cfRule>
  </conditionalFormatting>
  <conditionalFormatting sqref="J70:J71">
    <cfRule type="cellIs" dxfId="164" priority="90" operator="between">
      <formula>1</formula>
      <formula>5</formula>
    </cfRule>
    <cfRule type="cellIs" dxfId="163" priority="91" operator="between">
      <formula>16</formula>
      <formula>60</formula>
    </cfRule>
  </conditionalFormatting>
  <conditionalFormatting sqref="J70:J71">
    <cfRule type="cellIs" dxfId="162" priority="89" operator="lessThan">
      <formula>0</formula>
    </cfRule>
  </conditionalFormatting>
  <conditionalFormatting sqref="J77">
    <cfRule type="cellIs" dxfId="161" priority="87" operator="between">
      <formula>1</formula>
      <formula>5</formula>
    </cfRule>
    <cfRule type="cellIs" dxfId="160" priority="88" operator="between">
      <formula>16</formula>
      <formula>60</formula>
    </cfRule>
  </conditionalFormatting>
  <conditionalFormatting sqref="J77">
    <cfRule type="cellIs" dxfId="159" priority="86" operator="lessThan">
      <formula>0</formula>
    </cfRule>
  </conditionalFormatting>
  <conditionalFormatting sqref="J80">
    <cfRule type="cellIs" dxfId="158" priority="84" operator="between">
      <formula>1</formula>
      <formula>5</formula>
    </cfRule>
    <cfRule type="cellIs" dxfId="157" priority="85" operator="between">
      <formula>16</formula>
      <formula>60</formula>
    </cfRule>
  </conditionalFormatting>
  <conditionalFormatting sqref="J80">
    <cfRule type="cellIs" dxfId="156" priority="83" operator="lessThan">
      <formula>0</formula>
    </cfRule>
  </conditionalFormatting>
  <conditionalFormatting sqref="J130">
    <cfRule type="cellIs" dxfId="155" priority="79" operator="lessThan">
      <formula>0</formula>
    </cfRule>
    <cfRule type="cellIs" dxfId="154" priority="80" operator="between">
      <formula>6</formula>
      <formula>15</formula>
    </cfRule>
    <cfRule type="cellIs" dxfId="153" priority="81" operator="between">
      <formula>1</formula>
      <formula>5</formula>
    </cfRule>
    <cfRule type="cellIs" dxfId="127" priority="82" operator="between">
      <formula>16</formula>
      <formula>60</formula>
    </cfRule>
  </conditionalFormatting>
  <conditionalFormatting sqref="J27">
    <cfRule type="cellIs" dxfId="152" priority="75" operator="lessThan">
      <formula>0</formula>
    </cfRule>
    <cfRule type="cellIs" dxfId="151" priority="76" operator="between">
      <formula>6</formula>
      <formula>15</formula>
    </cfRule>
    <cfRule type="cellIs" dxfId="150" priority="77" operator="between">
      <formula>1</formula>
      <formula>5</formula>
    </cfRule>
    <cfRule type="cellIs" dxfId="126" priority="78" operator="between">
      <formula>16</formula>
      <formula>60</formula>
    </cfRule>
  </conditionalFormatting>
  <conditionalFormatting sqref="J37">
    <cfRule type="cellIs" dxfId="149" priority="67" operator="lessThan">
      <formula>0</formula>
    </cfRule>
    <cfRule type="cellIs" dxfId="148" priority="68" operator="between">
      <formula>6</formula>
      <formula>15</formula>
    </cfRule>
    <cfRule type="cellIs" dxfId="147" priority="69" operator="between">
      <formula>1</formula>
      <formula>5</formula>
    </cfRule>
    <cfRule type="cellIs" dxfId="125" priority="70" operator="between">
      <formula>16</formula>
      <formula>60</formula>
    </cfRule>
  </conditionalFormatting>
  <conditionalFormatting sqref="J54:J60">
    <cfRule type="cellIs" dxfId="146" priority="50" operator="between">
      <formula>1</formula>
      <formula>5</formula>
    </cfRule>
    <cfRule type="cellIs" dxfId="145" priority="51" operator="between">
      <formula>16</formula>
      <formula>60</formula>
    </cfRule>
  </conditionalFormatting>
  <conditionalFormatting sqref="J54:J60">
    <cfRule type="cellIs" dxfId="144" priority="49" operator="lessThan">
      <formula>0</formula>
    </cfRule>
  </conditionalFormatting>
  <conditionalFormatting sqref="J87:J103">
    <cfRule type="cellIs" dxfId="143" priority="26" operator="lessThan">
      <formula>0</formula>
    </cfRule>
    <cfRule type="cellIs" dxfId="142" priority="27" operator="between">
      <formula>6</formula>
      <formula>15</formula>
    </cfRule>
    <cfRule type="cellIs" dxfId="141" priority="28" operator="between">
      <formula>1</formula>
      <formula>5</formula>
    </cfRule>
    <cfRule type="cellIs" dxfId="124" priority="29" operator="between">
      <formula>16</formula>
      <formula>60</formula>
    </cfRule>
  </conditionalFormatting>
  <conditionalFormatting sqref="J62">
    <cfRule type="cellIs" dxfId="140" priority="22" operator="lessThan">
      <formula>0</formula>
    </cfRule>
    <cfRule type="cellIs" dxfId="139" priority="23" operator="between">
      <formula>6</formula>
      <formula>15</formula>
    </cfRule>
    <cfRule type="cellIs" dxfId="138" priority="24" operator="between">
      <formula>1</formula>
      <formula>5</formula>
    </cfRule>
    <cfRule type="cellIs" dxfId="123" priority="25" operator="between">
      <formula>16</formula>
      <formula>60</formula>
    </cfRule>
  </conditionalFormatting>
  <conditionalFormatting sqref="J47:J52">
    <cfRule type="cellIs" dxfId="137" priority="20" operator="between">
      <formula>1</formula>
      <formula>5</formula>
    </cfRule>
    <cfRule type="cellIs" dxfId="136" priority="21" operator="between">
      <formula>16</formula>
      <formula>60</formula>
    </cfRule>
  </conditionalFormatting>
  <conditionalFormatting sqref="J47:J52">
    <cfRule type="cellIs" dxfId="135" priority="19" operator="lessThan">
      <formula>0</formula>
    </cfRule>
  </conditionalFormatting>
  <conditionalFormatting sqref="J63:J65">
    <cfRule type="cellIs" dxfId="134" priority="1" operator="lessThan">
      <formula>0</formula>
    </cfRule>
    <cfRule type="cellIs" dxfId="133" priority="5" operator="between">
      <formula>6</formula>
      <formula>15</formula>
    </cfRule>
    <cfRule type="cellIs" dxfId="132" priority="6" operator="between">
      <formula>1</formula>
      <formula>5</formula>
    </cfRule>
    <cfRule type="cellIs" dxfId="122" priority="7" operator="between">
      <formula>16</formula>
      <formula>60</formula>
    </cfRule>
  </conditionalFormatting>
  <conditionalFormatting sqref="J63:J65">
    <cfRule type="cellIs" dxfId="131" priority="3" operator="between">
      <formula>1</formula>
      <formula>5</formula>
    </cfRule>
    <cfRule type="cellIs" dxfId="130" priority="4" operator="between">
      <formula>16</formula>
      <formula>60</formula>
    </cfRule>
  </conditionalFormatting>
  <conditionalFormatting sqref="J63:J65">
    <cfRule type="cellIs" dxfId="129" priority="2" operator="between">
      <formula>6</formula>
      <formula>15</formula>
    </cfRule>
  </conditionalFormatting>
  <dataValidations count="3">
    <dataValidation type="list" allowBlank="1" showInputMessage="1" showErrorMessage="1" sqref="G78:G79 G44:G45 G67:G68 G130 G47:G52 G123:G128 G26:G29 D158 G73:G76 G31:G32 G37:G42 G70:G71 G34:G35 G105:G121 G62:G65 G54:G60 G87:G103 G81:G85" xr:uid="{82DB2335-A884-4FD2-B1AE-BFB8D21265BC}">
      <formula1>"Cancelado,Pagar,Sin Pagar"</formula1>
    </dataValidation>
    <dataValidation type="list" allowBlank="1" showInputMessage="1" showErrorMessage="1" sqref="D24 D7" xr:uid="{C7F87F6A-D3C9-4F2C-9AEA-31B1E7624EA8}">
      <formula1>"ENERO,FEBRERO,MARZO,ABRIL,MAYO,JUNIO,JULIO,AGOSTO,SEPTIEMBRE,OCTUBRE,NOVIEMBRE,DICIEMBRE"</formula1>
    </dataValidation>
    <dataValidation type="list" allowBlank="1" showInputMessage="1" showErrorMessage="1" sqref="B13:B20" xr:uid="{8B00DA90-E904-4E50-B925-F256C7CD3418}">
      <formula1>"Sin Pagar,Pagado"</formula1>
    </dataValidation>
  </dataValidations>
  <pageMargins left="0.7" right="0.7" top="0.75" bottom="0.75" header="0.3" footer="0.3"/>
  <pageSetup orientation="portrait" r:id="rId1"/>
  <ignoredErrors>
    <ignoredError sqref="J87:J101 J27:J38 J83:J84 J104:J131 J47:J82 J39:J45 J85 H27:I27 H30:I30 H33:I33 H36:I36 H43:I43 H46:I46 H53:I53 H61:I61 H66:I66 H69:I69 H72:I72 H77:I77 H80:I80 H86:I86 H104:I104 H122:I122 H129:I129" unlockedFormula="1"/>
    <ignoredError sqref="B81:B83 B79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0D91-A498-458B-89BC-DB8980BC5936}">
  <dimension ref="A1:S150"/>
  <sheetViews>
    <sheetView showGridLines="0" topLeftCell="A26" zoomScaleNormal="100" workbookViewId="0">
      <selection activeCell="E11" sqref="E11"/>
    </sheetView>
  </sheetViews>
  <sheetFormatPr baseColWidth="10" defaultColWidth="9.109375" defaultRowHeight="14.4" outlineLevelRow="1"/>
  <cols>
    <col min="1" max="1" width="2.109375" style="446" customWidth="1"/>
    <col min="2" max="2" width="14.6640625" style="445" bestFit="1" customWidth="1"/>
    <col min="3" max="3" width="70.88671875" style="446" customWidth="1"/>
    <col min="4" max="4" width="24.44140625" style="447" customWidth="1"/>
    <col min="5" max="5" width="19.33203125" style="447" bestFit="1" customWidth="1"/>
    <col min="6" max="6" width="20.109375" style="446" bestFit="1" customWidth="1"/>
    <col min="7" max="7" width="16.88671875" style="446" customWidth="1"/>
    <col min="8" max="8" width="11.88671875" style="446" hidden="1" customWidth="1"/>
    <col min="9" max="9" width="6" style="446" hidden="1" customWidth="1"/>
    <col min="10" max="10" width="16.5546875" style="446" customWidth="1"/>
    <col min="11" max="11" width="2.109375" style="446" customWidth="1"/>
    <col min="12" max="12" width="2.33203125" style="446" customWidth="1"/>
    <col min="13" max="14" width="15.5546875" style="446" bestFit="1" customWidth="1"/>
    <col min="15" max="15" width="13.88671875" style="446" bestFit="1" customWidth="1"/>
    <col min="16" max="16" width="19.33203125" style="446" bestFit="1" customWidth="1"/>
    <col min="17" max="17" width="15.33203125" style="446" bestFit="1" customWidth="1"/>
    <col min="18" max="18" width="14" style="446" bestFit="1" customWidth="1"/>
    <col min="19" max="19" width="13" style="446" bestFit="1" customWidth="1"/>
    <col min="20" max="16384" width="9.109375" style="446"/>
  </cols>
  <sheetData>
    <row r="1" spans="2:14" hidden="1">
      <c r="D1" s="447">
        <v>42400</v>
      </c>
    </row>
    <row r="2" spans="2:14">
      <c r="D2" s="70"/>
      <c r="E2" s="70"/>
      <c r="I2" s="71"/>
    </row>
    <row r="3" spans="2:14">
      <c r="E3" s="72"/>
      <c r="I3" s="71"/>
    </row>
    <row r="4" spans="2:14" ht="15.6">
      <c r="B4" s="73"/>
      <c r="C4" s="73"/>
      <c r="D4" s="74" t="s">
        <v>109</v>
      </c>
      <c r="E4" s="75">
        <v>46023</v>
      </c>
      <c r="I4" s="71"/>
    </row>
    <row r="5" spans="2:14">
      <c r="D5" s="70"/>
      <c r="E5" s="70"/>
      <c r="I5" s="71"/>
    </row>
    <row r="6" spans="2:14">
      <c r="C6" s="76" t="s">
        <v>110</v>
      </c>
      <c r="D6" s="39">
        <v>3.31</v>
      </c>
      <c r="E6" s="70"/>
      <c r="I6" s="71"/>
      <c r="J6" s="85"/>
    </row>
    <row r="7" spans="2:14" ht="15.6">
      <c r="C7" s="77"/>
      <c r="D7" s="521" t="s">
        <v>1132</v>
      </c>
      <c r="E7" s="521"/>
      <c r="I7" s="71"/>
      <c r="J7" s="85"/>
    </row>
    <row r="8" spans="2:14">
      <c r="D8" s="78" t="s">
        <v>142</v>
      </c>
      <c r="E8" s="78" t="s">
        <v>112</v>
      </c>
      <c r="J8" s="181"/>
    </row>
    <row r="9" spans="2:14" s="79" customFormat="1" ht="15.6">
      <c r="C9" s="80" t="s">
        <v>113</v>
      </c>
      <c r="D9" s="159">
        <f>SUBTOTAL(9,D10:D11)</f>
        <v>232942.39826283272</v>
      </c>
      <c r="E9" s="81">
        <f>SUBTOTAL(9,E10:E11)</f>
        <v>70375.346907200219</v>
      </c>
      <c r="F9" s="82"/>
      <c r="I9" s="71"/>
    </row>
    <row r="10" spans="2:14" s="71" customFormat="1" outlineLevel="1">
      <c r="B10" s="83"/>
      <c r="C10" s="84" t="s">
        <v>141</v>
      </c>
      <c r="D10" s="39">
        <f>'BBVA SOLES'!$G$48+'BCP SOLES BCP'!$G$828</f>
        <v>204935.61537186318</v>
      </c>
      <c r="E10" s="85">
        <f>D10/$D$6</f>
        <v>61914.083193916369</v>
      </c>
      <c r="F10" s="86"/>
    </row>
    <row r="11" spans="2:14" s="71" customFormat="1" outlineLevel="1">
      <c r="B11" s="83"/>
      <c r="C11" s="84" t="s">
        <v>114</v>
      </c>
      <c r="D11" s="39">
        <f>E11*$D$6</f>
        <v>28006.782890969549</v>
      </c>
      <c r="E11" s="85">
        <f>'BBVA USD'!$G$22+'BCP USD BCP'!$G$349</f>
        <v>8461.2637132838518</v>
      </c>
      <c r="F11" s="86"/>
    </row>
    <row r="12" spans="2:14" s="71" customFormat="1" ht="15.6">
      <c r="B12" s="83"/>
      <c r="C12" s="87" t="s">
        <v>115</v>
      </c>
      <c r="D12" s="159">
        <f>SUBTOTAL(9,D13:D19)</f>
        <v>488923.07551999995</v>
      </c>
      <c r="E12" s="81">
        <f>SUBTOTAL(9,E13:E19)</f>
        <v>149372.14000000001</v>
      </c>
      <c r="F12" s="303"/>
      <c r="G12" s="303"/>
      <c r="J12" s="183"/>
    </row>
    <row r="13" spans="2:14" s="71" customFormat="1" ht="28.8" outlineLevel="1">
      <c r="B13" s="252" t="s">
        <v>116</v>
      </c>
      <c r="C13" s="186" t="s">
        <v>824</v>
      </c>
      <c r="D13" s="39">
        <f>$E$13*3.2</f>
        <v>0</v>
      </c>
      <c r="E13" s="271">
        <f>(2554.83+3495.61)*0</f>
        <v>0</v>
      </c>
      <c r="F13" s="85"/>
      <c r="G13" s="387">
        <f>E16+E17</f>
        <v>35915.360000000001</v>
      </c>
      <c r="J13" s="387"/>
      <c r="M13" s="305"/>
      <c r="N13" s="304"/>
    </row>
    <row r="14" spans="2:14" s="71" customFormat="1" outlineLevel="1">
      <c r="B14" s="436" t="s">
        <v>169</v>
      </c>
      <c r="C14" s="452" t="s">
        <v>1067</v>
      </c>
      <c r="D14" s="213">
        <f>'BCP SOLES BCP'!$E$827*0</f>
        <v>0</v>
      </c>
      <c r="E14" s="178">
        <f>D14/D6</f>
        <v>0</v>
      </c>
      <c r="F14" s="271"/>
    </row>
    <row r="15" spans="2:14" s="71" customFormat="1" outlineLevel="1">
      <c r="B15" s="436" t="s">
        <v>169</v>
      </c>
      <c r="C15" s="470" t="s">
        <v>1164</v>
      </c>
      <c r="D15" s="213">
        <f>E15*3.30400037513098</f>
        <v>18319.789999999997</v>
      </c>
      <c r="E15" s="185">
        <v>5544.73</v>
      </c>
      <c r="F15" s="271">
        <v>5544.73</v>
      </c>
      <c r="G15" s="304">
        <f>F15*3.29</f>
        <v>18242.161700000001</v>
      </c>
      <c r="J15" s="71">
        <v>18319.79</v>
      </c>
      <c r="M15" s="304"/>
    </row>
    <row r="16" spans="2:14" s="342" customFormat="1" outlineLevel="1">
      <c r="B16" s="436" t="s">
        <v>169</v>
      </c>
      <c r="C16" s="452" t="s">
        <v>1163</v>
      </c>
      <c r="D16" s="40">
        <f>E16*3.272</f>
        <v>98842.800959999993</v>
      </c>
      <c r="E16" s="185">
        <f>'BCP USD BCP'!$E$350+'BCP USD BCP'!$E$357</f>
        <v>30208.68</v>
      </c>
      <c r="F16" s="271">
        <v>31422.68</v>
      </c>
      <c r="G16" s="271">
        <f>+E16-F16</f>
        <v>-1214</v>
      </c>
      <c r="H16" s="399"/>
      <c r="I16" s="399"/>
      <c r="J16" s="271"/>
    </row>
    <row r="17" spans="1:19" s="71" customFormat="1" outlineLevel="1">
      <c r="B17" s="436" t="s">
        <v>169</v>
      </c>
      <c r="C17" s="452" t="s">
        <v>1166</v>
      </c>
      <c r="D17" s="213">
        <f>E17*3.272</f>
        <v>18672.256959999999</v>
      </c>
      <c r="E17" s="185">
        <f>5706.68</f>
        <v>5706.68</v>
      </c>
      <c r="F17" s="271"/>
    </row>
    <row r="18" spans="1:19" s="71" customFormat="1" outlineLevel="1">
      <c r="B18" s="436" t="s">
        <v>169</v>
      </c>
      <c r="C18" s="177" t="s">
        <v>1165</v>
      </c>
      <c r="D18" s="40">
        <f>E18*3.272</f>
        <v>353088.22759999998</v>
      </c>
      <c r="E18" s="185">
        <f>'BCP USD BCP'!$E$354+'BCP USD BCP'!$E$355</f>
        <v>107912.05</v>
      </c>
      <c r="F18" s="271">
        <v>107942.06</v>
      </c>
      <c r="G18" s="271">
        <f>+E18-F18</f>
        <v>-30.009999999994761</v>
      </c>
      <c r="J18" s="71" t="s">
        <v>340</v>
      </c>
      <c r="M18" s="185"/>
      <c r="N18" s="304"/>
    </row>
    <row r="19" spans="1:19" s="71" customFormat="1" outlineLevel="1">
      <c r="B19" s="252" t="s">
        <v>116</v>
      </c>
      <c r="C19" s="186" t="s">
        <v>1238</v>
      </c>
      <c r="D19" s="39">
        <f>14579.1*0</f>
        <v>0</v>
      </c>
      <c r="E19" s="271">
        <f>D19/D6</f>
        <v>0</v>
      </c>
      <c r="F19" s="85"/>
      <c r="G19" s="387">
        <f>E22+E23</f>
        <v>0</v>
      </c>
      <c r="J19" s="387"/>
      <c r="M19" s="305"/>
      <c r="N19" s="304"/>
    </row>
    <row r="20" spans="1:19" s="71" customFormat="1" ht="15.6">
      <c r="B20" s="83"/>
      <c r="C20" s="90" t="s">
        <v>117</v>
      </c>
      <c r="D20" s="226">
        <f>SUBTOTAL(9,D9:D19)</f>
        <v>721865.47378283273</v>
      </c>
      <c r="E20" s="92">
        <f>SUBTOTAL(9,E9:E19)</f>
        <v>219747.48690720019</v>
      </c>
      <c r="F20" s="93"/>
      <c r="G20" s="85"/>
      <c r="J20" s="253"/>
      <c r="K20" s="94"/>
      <c r="O20" s="95"/>
      <c r="P20" s="96"/>
      <c r="Q20" s="97"/>
    </row>
    <row r="21" spans="1:19" s="71" customFormat="1" ht="15.6">
      <c r="B21" s="83"/>
      <c r="C21" s="98"/>
      <c r="D21" s="99"/>
      <c r="E21" s="99"/>
      <c r="G21" s="100"/>
      <c r="O21" s="96"/>
      <c r="P21" s="96"/>
    </row>
    <row r="22" spans="1:19" s="71" customFormat="1" ht="15.6">
      <c r="B22" s="83"/>
      <c r="N22" s="101"/>
      <c r="O22" s="102"/>
      <c r="P22" s="103"/>
    </row>
    <row r="23" spans="1:19" s="71" customFormat="1" ht="15.6">
      <c r="B23" s="521" t="s">
        <v>118</v>
      </c>
      <c r="C23" s="521"/>
      <c r="D23" s="521" t="s">
        <v>1132</v>
      </c>
      <c r="E23" s="521"/>
      <c r="F23" s="521" t="s">
        <v>109</v>
      </c>
      <c r="G23" s="521"/>
      <c r="H23" s="444"/>
      <c r="I23" s="444"/>
      <c r="J23" s="175">
        <v>46023</v>
      </c>
      <c r="K23" s="103"/>
      <c r="L23" s="103"/>
      <c r="N23" s="101"/>
      <c r="R23" s="89"/>
      <c r="S23" s="89"/>
    </row>
    <row r="24" spans="1:19" s="71" customFormat="1" ht="16.2" thickBot="1">
      <c r="B24" s="104" t="s">
        <v>119</v>
      </c>
      <c r="C24" s="105" t="s">
        <v>120</v>
      </c>
      <c r="D24" s="78" t="s">
        <v>150</v>
      </c>
      <c r="E24" s="78" t="s">
        <v>112</v>
      </c>
      <c r="F24" s="106" t="s">
        <v>121</v>
      </c>
      <c r="G24" s="101" t="s">
        <v>122</v>
      </c>
      <c r="H24" s="101"/>
      <c r="I24" s="101"/>
      <c r="J24" s="107" t="s">
        <v>123</v>
      </c>
      <c r="N24" s="108"/>
      <c r="R24" s="89"/>
      <c r="S24" s="109"/>
    </row>
    <row r="25" spans="1:19" s="71" customFormat="1" ht="16.2" thickBot="1">
      <c r="B25" s="83"/>
      <c r="C25" s="110" t="s">
        <v>124</v>
      </c>
      <c r="D25" s="160">
        <f>SUBTOTAL(9,D26:D28)</f>
        <v>11909.839999999998</v>
      </c>
      <c r="E25" s="111">
        <f>SUBTOTAL(9,E26:E28)</f>
        <v>3598.1389728096674</v>
      </c>
      <c r="F25" s="112"/>
      <c r="J25" s="113"/>
    </row>
    <row r="26" spans="1:19" s="71" customFormat="1" outlineLevel="1">
      <c r="B26" s="83">
        <v>2221860127</v>
      </c>
      <c r="C26" s="442" t="s">
        <v>825</v>
      </c>
      <c r="D26" s="39">
        <v>5017.7</v>
      </c>
      <c r="E26" s="115">
        <f>D26/$D$6</f>
        <v>1515.9214501510573</v>
      </c>
      <c r="F26" s="116">
        <v>46029</v>
      </c>
      <c r="G26" s="71" t="s">
        <v>126</v>
      </c>
      <c r="H26" s="71">
        <f>IF(OR(G26="Sin pagar",G26="Pagar"),(_xlfn.SINGLE(NETWORKDAYS($J$23,F26,FestivosPerú!$A$2:$A$31))),0)</f>
        <v>0</v>
      </c>
      <c r="I26" s="71">
        <f>NETWORKDAYS($J$23,F26,FestivosPerú!$A$2:$A$31)</f>
        <v>4</v>
      </c>
      <c r="J26" s="117">
        <f t="shared" ref="J26:J31" si="0">H26</f>
        <v>0</v>
      </c>
      <c r="M26" s="530" t="s">
        <v>699</v>
      </c>
      <c r="N26" s="86"/>
    </row>
    <row r="27" spans="1:19" s="71" customFormat="1" outlineLevel="1">
      <c r="A27" s="86"/>
      <c r="B27" s="331">
        <v>2517434836</v>
      </c>
      <c r="C27" s="442" t="s">
        <v>827</v>
      </c>
      <c r="D27" s="39">
        <v>3374.24</v>
      </c>
      <c r="E27" s="115">
        <f>D27/$D$6</f>
        <v>1019.4078549848941</v>
      </c>
      <c r="F27" s="116">
        <v>46029</v>
      </c>
      <c r="G27" s="71" t="s">
        <v>126</v>
      </c>
      <c r="H27" s="71">
        <f>IF(OR(G27="Sin pagar",G27="Pagar"),(_xlfn.SINGLE(NETWORKDAYS($J$23,F27,FestivosPerú!$A$2:$A$31))),0)</f>
        <v>0</v>
      </c>
      <c r="I27" s="71">
        <f>NETWORKDAYS($J$23,F27,FestivosPerú!$A$2:$A$31)</f>
        <v>4</v>
      </c>
      <c r="J27" s="117">
        <f t="shared" si="0"/>
        <v>0</v>
      </c>
      <c r="K27" s="89"/>
      <c r="L27" s="89"/>
      <c r="M27" s="530"/>
      <c r="N27" s="118"/>
      <c r="Q27" s="39"/>
      <c r="S27" s="374"/>
    </row>
    <row r="28" spans="1:19" s="71" customFormat="1" ht="15" outlineLevel="1" thickBot="1">
      <c r="A28" s="86"/>
      <c r="B28" s="330">
        <v>2609826962</v>
      </c>
      <c r="C28" s="442" t="s">
        <v>826</v>
      </c>
      <c r="D28" s="39">
        <v>3517.9</v>
      </c>
      <c r="E28" s="115">
        <f>D28/$D$6</f>
        <v>1062.8096676737159</v>
      </c>
      <c r="F28" s="116">
        <v>46029</v>
      </c>
      <c r="G28" s="71" t="s">
        <v>126</v>
      </c>
      <c r="H28" s="71">
        <f>IF(OR(G28="Sin pagar",G28="Pagar"),(_xlfn.SINGLE(NETWORKDAYS($J$23,F28,FestivosPerú!$A$2:$A$31))),0)</f>
        <v>0</v>
      </c>
      <c r="I28" s="71">
        <f>NETWORKDAYS($J$23,F28,FestivosPerú!$A$2:$A$31)</f>
        <v>4</v>
      </c>
      <c r="J28" s="117">
        <f t="shared" si="0"/>
        <v>0</v>
      </c>
      <c r="K28" s="89"/>
      <c r="L28" s="89"/>
      <c r="M28" s="530"/>
      <c r="N28" s="118"/>
      <c r="Q28" s="39"/>
      <c r="S28" s="374"/>
    </row>
    <row r="29" spans="1:19" s="71" customFormat="1" ht="16.2" thickBot="1">
      <c r="B29" s="83"/>
      <c r="C29" s="110" t="s">
        <v>125</v>
      </c>
      <c r="D29" s="160">
        <f>SUBTOTAL(9,D30:D32)</f>
        <v>37862</v>
      </c>
      <c r="E29" s="111">
        <f>SUBTOTAL(9,E30:E31)</f>
        <v>10836.858006042297</v>
      </c>
      <c r="J29" s="113">
        <f t="shared" si="0"/>
        <v>0</v>
      </c>
      <c r="Q29" s="374"/>
      <c r="S29" s="374"/>
    </row>
    <row r="30" spans="1:19" s="71" customFormat="1" outlineLevel="1">
      <c r="B30" s="173"/>
      <c r="C30" s="186" t="s">
        <v>885</v>
      </c>
      <c r="D30" s="39">
        <v>35752</v>
      </c>
      <c r="E30" s="115">
        <f>D30/$D$6</f>
        <v>10801.208459214502</v>
      </c>
      <c r="F30" s="116">
        <v>46038</v>
      </c>
      <c r="G30" s="71" t="s">
        <v>126</v>
      </c>
      <c r="H30" s="71">
        <f>IF(OR(G30="Sin pagar",G30="Pagar"),(_xlfn.SINGLE(NETWORKDAYS($J$23,F30,FestivosPerú!$A$2:$A$31))),0)</f>
        <v>0</v>
      </c>
      <c r="I30" s="71">
        <f>NETWORKDAYS($J$23,F30,FestivosPerú!$A$2:$A$31)</f>
        <v>11</v>
      </c>
      <c r="J30" s="117">
        <f t="shared" si="0"/>
        <v>0</v>
      </c>
      <c r="K30" s="120"/>
      <c r="L30" s="94"/>
      <c r="M30" s="377" t="s">
        <v>701</v>
      </c>
      <c r="N30" s="118"/>
      <c r="Q30" s="374"/>
    </row>
    <row r="31" spans="1:19" s="71" customFormat="1" outlineLevel="1">
      <c r="B31" s="119"/>
      <c r="C31" s="186" t="s">
        <v>1154</v>
      </c>
      <c r="D31" s="209">
        <v>118</v>
      </c>
      <c r="E31" s="232">
        <f>D31/$D$6</f>
        <v>35.649546827794559</v>
      </c>
      <c r="F31" s="116">
        <v>46038</v>
      </c>
      <c r="G31" s="71" t="s">
        <v>126</v>
      </c>
      <c r="H31" s="71">
        <f>IF(OR(G31="Sin pagar",G31="Pagar"),(_xlfn.SINGLE(NETWORKDAYS($J$23,F31,FestivosPerú!$A$2:$A$31))),0)</f>
        <v>0</v>
      </c>
      <c r="I31" s="71">
        <f>NETWORKDAYS($J$23,F31,FestivosPerú!$A$2:$A$31)</f>
        <v>11</v>
      </c>
      <c r="J31" s="117">
        <f t="shared" si="0"/>
        <v>0</v>
      </c>
      <c r="K31" s="120"/>
      <c r="L31" s="94"/>
      <c r="M31" s="300" t="s">
        <v>700</v>
      </c>
      <c r="N31" s="118"/>
    </row>
    <row r="32" spans="1:19" s="71" customFormat="1" ht="15" outlineLevel="1" thickBot="1">
      <c r="B32" s="119"/>
      <c r="C32" s="186" t="s">
        <v>1145</v>
      </c>
      <c r="D32" s="209">
        <v>1992</v>
      </c>
      <c r="E32" s="232">
        <f>D32/$D$6</f>
        <v>601.8126888217522</v>
      </c>
      <c r="F32" s="116">
        <v>46038</v>
      </c>
      <c r="G32" s="71" t="s">
        <v>126</v>
      </c>
      <c r="H32" s="71">
        <f>IF(OR(G32="Sin pagar",G32="Pagar"),(_xlfn.SINGLE(NETWORKDAYS($J$23,F32,FestivosPerú!$A$2:$A$31))),0)</f>
        <v>0</v>
      </c>
      <c r="I32" s="71">
        <f>NETWORKDAYS($J$23,F32,FestivosPerú!$A$2:$A$31)</f>
        <v>11</v>
      </c>
      <c r="J32" s="117">
        <f>H32</f>
        <v>0</v>
      </c>
      <c r="K32" s="120"/>
      <c r="L32" s="94"/>
      <c r="M32" s="300" t="s">
        <v>700</v>
      </c>
      <c r="N32" s="118"/>
    </row>
    <row r="33" spans="2:16" s="71" customFormat="1" ht="16.2" thickBot="1">
      <c r="B33" s="83"/>
      <c r="C33" s="110" t="s">
        <v>144</v>
      </c>
      <c r="D33" s="160">
        <f>SUBTOTAL(9,D34:D40)</f>
        <v>2832</v>
      </c>
      <c r="E33" s="111">
        <f>SUBTOTAL(9,E34:E40)</f>
        <v>855.58912386706947</v>
      </c>
      <c r="J33" s="117">
        <f t="shared" ref="J33:J40" si="1">H33</f>
        <v>0</v>
      </c>
      <c r="K33" s="89"/>
      <c r="L33" s="89"/>
      <c r="N33" s="118"/>
    </row>
    <row r="34" spans="2:16" s="71" customFormat="1" outlineLevel="1">
      <c r="B34" s="83" t="s">
        <v>1128</v>
      </c>
      <c r="C34" s="186" t="s">
        <v>1133</v>
      </c>
      <c r="D34" s="39">
        <f>590*0</f>
        <v>0</v>
      </c>
      <c r="E34" s="115">
        <f t="shared" ref="E34:E40" si="2">D34/$D$6</f>
        <v>0</v>
      </c>
      <c r="F34" s="116">
        <v>46024</v>
      </c>
      <c r="G34" s="71" t="s">
        <v>126</v>
      </c>
      <c r="H34" s="71">
        <f>IF(OR(G34="Sin pagar",G34="Pagar"),(_xlfn.SINGLE(NETWORKDAYS($J$23,F34,FestivosPerú!$A$2:$A$31))),0)</f>
        <v>0</v>
      </c>
      <c r="I34" s="71">
        <f>NETWORKDAYS($J$23,F34,FestivosPerú!$A$2:$A$31)</f>
        <v>1</v>
      </c>
      <c r="J34" s="117">
        <f t="shared" si="1"/>
        <v>0</v>
      </c>
      <c r="M34" s="299"/>
      <c r="N34" s="86"/>
    </row>
    <row r="35" spans="2:16" s="71" customFormat="1" outlineLevel="1">
      <c r="B35" s="83" t="s">
        <v>1129</v>
      </c>
      <c r="C35" s="186" t="s">
        <v>1134</v>
      </c>
      <c r="D35" s="39">
        <f>590*0</f>
        <v>0</v>
      </c>
      <c r="E35" s="115">
        <f t="shared" si="2"/>
        <v>0</v>
      </c>
      <c r="F35" s="116">
        <v>46024</v>
      </c>
      <c r="G35" s="71" t="s">
        <v>126</v>
      </c>
      <c r="H35" s="71">
        <f>IF(OR(G35="Sin pagar",G35="Pagar"),(_xlfn.SINGLE(NETWORKDAYS($J$23,F35,FestivosPerú!$A$2:$A$31))),0)</f>
        <v>0</v>
      </c>
      <c r="I35" s="71">
        <f>NETWORKDAYS($J$23,F35,FestivosPerú!$A$2:$A$31)</f>
        <v>1</v>
      </c>
      <c r="J35" s="117">
        <f t="shared" si="1"/>
        <v>0</v>
      </c>
      <c r="M35" s="299"/>
      <c r="N35" s="86"/>
    </row>
    <row r="36" spans="2:16" s="71" customFormat="1" outlineLevel="1">
      <c r="B36" s="83" t="s">
        <v>1147</v>
      </c>
      <c r="C36" s="186" t="s">
        <v>1146</v>
      </c>
      <c r="D36" s="39">
        <f>826</f>
        <v>826</v>
      </c>
      <c r="E36" s="115">
        <f>D36/$D$6</f>
        <v>249.54682779456192</v>
      </c>
      <c r="F36" s="116">
        <v>46038</v>
      </c>
      <c r="G36" s="71" t="s">
        <v>126</v>
      </c>
      <c r="H36" s="71">
        <f>IF(OR(G36="Sin pagar",G36="Pagar"),(_xlfn.SINGLE(NETWORKDAYS($J$23,F36,FestivosPerú!$A$2:$A$31))),0)</f>
        <v>0</v>
      </c>
      <c r="I36" s="71">
        <f>NETWORKDAYS($J$23,F36,FestivosPerú!$A$2:$A$31)</f>
        <v>11</v>
      </c>
      <c r="J36" s="117">
        <f>H36</f>
        <v>0</v>
      </c>
      <c r="M36" s="299" t="s">
        <v>1137</v>
      </c>
      <c r="N36" s="86"/>
    </row>
    <row r="37" spans="2:16" s="71" customFormat="1" outlineLevel="1">
      <c r="B37" s="83" t="s">
        <v>1180</v>
      </c>
      <c r="C37" s="186" t="s">
        <v>1135</v>
      </c>
      <c r="D37" s="39">
        <f>590</f>
        <v>590</v>
      </c>
      <c r="E37" s="115">
        <f t="shared" si="2"/>
        <v>178.24773413897282</v>
      </c>
      <c r="F37" s="116">
        <v>46052</v>
      </c>
      <c r="G37" s="71" t="s">
        <v>126</v>
      </c>
      <c r="H37" s="71">
        <f>IF(OR(G37="Sin pagar",G37="Pagar"),(_xlfn.SINGLE(NETWORKDAYS($J$23,F37,FestivosPerú!$A$2:$A$31))),0)</f>
        <v>0</v>
      </c>
      <c r="I37" s="71">
        <f>NETWORKDAYS($J$23,F37,FestivosPerú!$A$2:$A$31)</f>
        <v>21</v>
      </c>
      <c r="J37" s="117">
        <f t="shared" si="1"/>
        <v>0</v>
      </c>
      <c r="M37" s="299" t="s">
        <v>1137</v>
      </c>
      <c r="N37" s="86"/>
    </row>
    <row r="38" spans="2:16" s="71" customFormat="1" outlineLevel="1">
      <c r="B38" s="83" t="s">
        <v>1181</v>
      </c>
      <c r="C38" s="186" t="s">
        <v>1136</v>
      </c>
      <c r="D38" s="39">
        <f>590</f>
        <v>590</v>
      </c>
      <c r="E38" s="115">
        <f t="shared" si="2"/>
        <v>178.24773413897282</v>
      </c>
      <c r="F38" s="116">
        <v>46052</v>
      </c>
      <c r="G38" s="71" t="s">
        <v>126</v>
      </c>
      <c r="H38" s="71">
        <f>IF(OR(G38="Sin pagar",G38="Pagar"),(_xlfn.SINGLE(NETWORKDAYS($J$23,F38,FestivosPerú!$A$2:$A$31))),0)</f>
        <v>0</v>
      </c>
      <c r="I38" s="71">
        <f>NETWORKDAYS($J$23,F38,FestivosPerú!$A$2:$A$31)</f>
        <v>21</v>
      </c>
      <c r="J38" s="117">
        <f t="shared" si="1"/>
        <v>0</v>
      </c>
      <c r="M38" s="299" t="s">
        <v>1137</v>
      </c>
      <c r="N38" s="86"/>
    </row>
    <row r="39" spans="2:16" s="71" customFormat="1" outlineLevel="1">
      <c r="B39" s="83" t="s">
        <v>1182</v>
      </c>
      <c r="C39" s="186" t="s">
        <v>1148</v>
      </c>
      <c r="D39" s="39">
        <v>826</v>
      </c>
      <c r="E39" s="115">
        <f t="shared" si="2"/>
        <v>249.54682779456192</v>
      </c>
      <c r="F39" s="116">
        <v>46052</v>
      </c>
      <c r="G39" s="71" t="s">
        <v>126</v>
      </c>
      <c r="H39" s="71">
        <f>IF(OR(G39="Sin pagar",G39="Pagar"),(_xlfn.SINGLE(NETWORKDAYS($J$23,F39,FestivosPerú!$A$2:$A$31))),0)</f>
        <v>0</v>
      </c>
      <c r="I39" s="71">
        <f>NETWORKDAYS($J$23,F39,FestivosPerú!$A$2:$A$31)</f>
        <v>21</v>
      </c>
      <c r="J39" s="117">
        <f t="shared" si="1"/>
        <v>0</v>
      </c>
      <c r="M39" s="299" t="s">
        <v>1137</v>
      </c>
      <c r="N39" s="86"/>
    </row>
    <row r="40" spans="2:16" s="71" customFormat="1" ht="15" outlineLevel="1" thickBot="1">
      <c r="B40" s="114" t="s">
        <v>1129</v>
      </c>
      <c r="C40" s="186" t="s">
        <v>1149</v>
      </c>
      <c r="D40" s="39">
        <f>826*0</f>
        <v>0</v>
      </c>
      <c r="E40" s="115">
        <f t="shared" si="2"/>
        <v>0</v>
      </c>
      <c r="F40" s="116">
        <v>46059</v>
      </c>
      <c r="G40" s="71" t="s">
        <v>116</v>
      </c>
      <c r="H40" s="71">
        <f>IF(OR(G40="Sin pagar",G40="Pagar"),(_xlfn.SINGLE(NETWORKDAYS($J$23,F40,FestivosPerú!$A$2:$A$31))),0)</f>
        <v>26</v>
      </c>
      <c r="I40" s="71">
        <f>NETWORKDAYS($J$23,F40,FestivosPerú!$A$2:$A$31)</f>
        <v>26</v>
      </c>
      <c r="J40" s="117">
        <f t="shared" si="1"/>
        <v>26</v>
      </c>
      <c r="M40" s="299" t="s">
        <v>1137</v>
      </c>
      <c r="N40" s="86"/>
    </row>
    <row r="41" spans="2:16" s="71" customFormat="1" ht="15" customHeight="1" thickBot="1">
      <c r="C41" s="110" t="s">
        <v>162</v>
      </c>
      <c r="D41" s="160">
        <f>SUBTOTAL(9,D42:D47)</f>
        <v>2107.21</v>
      </c>
      <c r="E41" s="111">
        <f>SUBTOTAL(9,E42:E47)</f>
        <v>636.61933534743207</v>
      </c>
      <c r="J41" s="117"/>
      <c r="M41" s="122"/>
      <c r="N41" s="187"/>
      <c r="P41" s="187"/>
    </row>
    <row r="42" spans="2:16" s="71" customFormat="1" outlineLevel="1">
      <c r="B42" s="254"/>
      <c r="C42" s="186" t="s">
        <v>1142</v>
      </c>
      <c r="D42" s="39">
        <v>926</v>
      </c>
      <c r="E42" s="115">
        <f t="shared" ref="E42:E47" si="3">D42/$D$6</f>
        <v>279.75830815709969</v>
      </c>
      <c r="F42" s="112">
        <v>46031</v>
      </c>
      <c r="G42" s="71" t="s">
        <v>126</v>
      </c>
      <c r="H42" s="71">
        <f>IF(OR(G42="Sin pagar",G42="Pagar"),(_xlfn.SINGLE(NETWORKDAYS($J$23,F42,FestivosPerú!$A$2:$A$31))),0)</f>
        <v>0</v>
      </c>
      <c r="I42" s="71">
        <f>NETWORKDAYS($J$23,F42,FestivosPerú!$A$2:$A$31)</f>
        <v>6</v>
      </c>
      <c r="J42" s="117">
        <f t="shared" ref="J42:J47" si="4">H42</f>
        <v>0</v>
      </c>
      <c r="M42" s="299" t="s">
        <v>832</v>
      </c>
    </row>
    <row r="43" spans="2:16" s="71" customFormat="1" outlineLevel="1">
      <c r="B43" s="254" t="s">
        <v>1219</v>
      </c>
      <c r="C43" s="186" t="s">
        <v>1190</v>
      </c>
      <c r="D43" s="39">
        <v>345.76</v>
      </c>
      <c r="E43" s="115">
        <f t="shared" si="3"/>
        <v>104.45921450151057</v>
      </c>
      <c r="F43" s="116">
        <v>46051</v>
      </c>
      <c r="G43" s="71" t="s">
        <v>126</v>
      </c>
      <c r="H43" s="71">
        <f>IF(OR(G43="Sin pagar",G43="Pagar"),(_xlfn.SINGLE(NETWORKDAYS($J$23,F43,FestivosPerú!$A$2:$A$31))),0)</f>
        <v>0</v>
      </c>
      <c r="I43" s="71">
        <f>NETWORKDAYS($J$23,F43,FestivosPerú!$A$2:$A$31)</f>
        <v>20</v>
      </c>
      <c r="J43" s="117">
        <f t="shared" si="4"/>
        <v>0</v>
      </c>
    </row>
    <row r="44" spans="2:16" s="71" customFormat="1" outlineLevel="1">
      <c r="B44" s="254" t="s">
        <v>1218</v>
      </c>
      <c r="C44" s="186" t="s">
        <v>1189</v>
      </c>
      <c r="D44" s="39">
        <v>356.13</v>
      </c>
      <c r="E44" s="115">
        <f t="shared" si="3"/>
        <v>107.59214501510574</v>
      </c>
      <c r="F44" s="116">
        <v>46051</v>
      </c>
      <c r="G44" s="71" t="s">
        <v>126</v>
      </c>
      <c r="H44" s="71">
        <f>IF(OR(G44="Sin pagar",G44="Pagar"),(_xlfn.SINGLE(NETWORKDAYS($J$23,F44,FestivosPerú!$A$2:$A$31))),0)</f>
        <v>0</v>
      </c>
      <c r="I44" s="71">
        <f>NETWORKDAYS($J$23,F44,FestivosPerú!$A$2:$A$31)</f>
        <v>20</v>
      </c>
      <c r="J44" s="117">
        <f t="shared" si="4"/>
        <v>0</v>
      </c>
    </row>
    <row r="45" spans="2:16" s="71" customFormat="1" outlineLevel="1">
      <c r="B45" s="254" t="s">
        <v>1217</v>
      </c>
      <c r="C45" s="186" t="s">
        <v>1191</v>
      </c>
      <c r="D45" s="39">
        <v>90.33</v>
      </c>
      <c r="E45" s="115">
        <f t="shared" si="3"/>
        <v>27.29003021148036</v>
      </c>
      <c r="F45" s="116">
        <v>46051</v>
      </c>
      <c r="G45" s="71" t="s">
        <v>126</v>
      </c>
      <c r="H45" s="71">
        <f>IF(OR(G45="Sin pagar",G45="Pagar"),(_xlfn.SINGLE(NETWORKDAYS($J$23,F45,FestivosPerú!$A$2:$A$31))),0)</f>
        <v>0</v>
      </c>
      <c r="I45" s="71">
        <f>NETWORKDAYS($J$23,F45,FestivosPerú!$A$2:$A$31)</f>
        <v>20</v>
      </c>
      <c r="J45" s="117">
        <f t="shared" si="4"/>
        <v>0</v>
      </c>
    </row>
    <row r="46" spans="2:16" s="71" customFormat="1" outlineLevel="1">
      <c r="B46" s="254" t="s">
        <v>1220</v>
      </c>
      <c r="C46" s="186" t="s">
        <v>1216</v>
      </c>
      <c r="D46" s="39">
        <v>118</v>
      </c>
      <c r="E46" s="115">
        <f t="shared" si="3"/>
        <v>35.649546827794559</v>
      </c>
      <c r="F46" s="116">
        <v>46051</v>
      </c>
      <c r="G46" s="71" t="s">
        <v>126</v>
      </c>
      <c r="H46" s="71">
        <f>IF(OR(G46="Sin pagar",G46="Pagar"),(_xlfn.SINGLE(NETWORKDAYS($J$23,F46,FestivosPerú!$A$2:$A$31))),0)</f>
        <v>0</v>
      </c>
      <c r="I46" s="71">
        <f>NETWORKDAYS($J$23,F46,FestivosPerú!$A$2:$A$31)</f>
        <v>20</v>
      </c>
      <c r="J46" s="117">
        <f t="shared" si="4"/>
        <v>0</v>
      </c>
    </row>
    <row r="47" spans="2:16" s="71" customFormat="1" ht="15" outlineLevel="1" thickBot="1">
      <c r="B47" s="254" t="s">
        <v>1222</v>
      </c>
      <c r="C47" s="186" t="s">
        <v>1221</v>
      </c>
      <c r="D47" s="39">
        <v>270.99</v>
      </c>
      <c r="E47" s="115">
        <f t="shared" si="3"/>
        <v>81.870090634441084</v>
      </c>
      <c r="F47" s="116">
        <v>46051</v>
      </c>
      <c r="G47" s="71" t="s">
        <v>126</v>
      </c>
      <c r="H47" s="71">
        <f>IF(OR(G47="Sin pagar",G47="Pagar"),(_xlfn.SINGLE(NETWORKDAYS($J$23,F47,FestivosPerú!$A$2:$A$31))),0)</f>
        <v>0</v>
      </c>
      <c r="I47" s="71">
        <f>NETWORKDAYS($J$23,F47,FestivosPerú!$A$2:$A$31)</f>
        <v>20</v>
      </c>
      <c r="J47" s="117">
        <f t="shared" si="4"/>
        <v>0</v>
      </c>
    </row>
    <row r="48" spans="2:16" s="71" customFormat="1" ht="15.75" customHeight="1" thickBot="1">
      <c r="C48" s="110" t="s">
        <v>127</v>
      </c>
      <c r="D48" s="160">
        <f>SUBTOTAL(9,D49:D50)</f>
        <v>446.87560000000002</v>
      </c>
      <c r="E48" s="111">
        <f>SUBTOTAL(9,E49:E50)</f>
        <v>135.00773413897281</v>
      </c>
      <c r="M48" s="122"/>
      <c r="N48" s="187"/>
      <c r="P48" s="187"/>
    </row>
    <row r="49" spans="1:18" s="71" customFormat="1" outlineLevel="1">
      <c r="B49" s="125"/>
      <c r="C49" s="84" t="s">
        <v>999</v>
      </c>
      <c r="D49" s="39">
        <f>'BCP SOLES BCP'!$F$826+'BCP SOLES BCP'!$F$828+'BCP SOLES BCP'!$F$834+'BCP SOLES BCP'!$F$837+'BCP SOLES BCP'!$F$838+'BCP SOLES BCP'!$F$843+'BCP SOLES BCP'!$F$855+'BCP SOLES BCP'!$F$870+'BCP SOLES BCP'!$F$884+'BCP SOLES BCP'!$F$886+'BCP SOLES BCP'!$F$892+'BCP SOLES BCP'!$F$902+'BCP SOLES BCP'!$F$905+'BCP SOLES BCP'!$F$906+171.29</f>
        <v>341.75</v>
      </c>
      <c r="E49" s="115">
        <f>$D$49/$D$6</f>
        <v>103.2477341389728</v>
      </c>
      <c r="F49" s="116">
        <v>46052</v>
      </c>
      <c r="G49" s="71" t="s">
        <v>126</v>
      </c>
      <c r="H49" s="71">
        <f>IF(OR(G49="Sin pagar",G49="Pagar"),(_xlfn.SINGLE(NETWORKDAYS($J$23,F49,FestivosPerú!$A$2:$A$31))),0)</f>
        <v>0</v>
      </c>
      <c r="I49" s="71">
        <f>NETWORKDAYS($J$23,F49,FestivosPerú!$A$2:$A$31)</f>
        <v>21</v>
      </c>
      <c r="J49" s="117">
        <f>H49</f>
        <v>0</v>
      </c>
      <c r="K49" s="120"/>
      <c r="L49" s="120"/>
    </row>
    <row r="50" spans="1:18" s="71" customFormat="1" ht="15" outlineLevel="1" thickBot="1">
      <c r="B50" s="125"/>
      <c r="C50" s="84" t="s">
        <v>1000</v>
      </c>
      <c r="D50" s="39">
        <f>E50*$D$6</f>
        <v>105.12560000000001</v>
      </c>
      <c r="E50" s="115">
        <f>'BCP USD BCP'!$F$349+'BCP USD BCP'!$F$351+'BCP USD BCP'!$F$352+'BCP USD BCP'!$F$361+'BCP USD BCP'!$F$362+'BCP USD BCP'!$F$363+'BCP USD BCP'!$F$371+'BCP USD BCP'!$F$372</f>
        <v>31.76</v>
      </c>
      <c r="F50" s="116">
        <v>46052</v>
      </c>
      <c r="G50" s="71" t="s">
        <v>126</v>
      </c>
      <c r="H50" s="71">
        <f>IF(OR(G50="Sin pagar",G50="Pagar"),(_xlfn.SINGLE(NETWORKDAYS($J$23,F50,FestivosPerú!$A$2:$A$31))),0)</f>
        <v>0</v>
      </c>
      <c r="I50" s="71">
        <f>NETWORKDAYS($J$23,F50,FestivosPerú!$A$2:$A$31)</f>
        <v>21</v>
      </c>
      <c r="J50" s="117">
        <f>H50</f>
        <v>0</v>
      </c>
      <c r="K50" s="120"/>
      <c r="L50" s="120"/>
    </row>
    <row r="51" spans="1:18" s="71" customFormat="1" ht="16.2" thickBot="1">
      <c r="C51" s="110" t="s">
        <v>539</v>
      </c>
      <c r="D51" s="160">
        <f>SUBTOTAL(9,D52:D58)</f>
        <v>69615.837535333325</v>
      </c>
      <c r="E51" s="310">
        <f>SUBTOTAL(9,E52:E58)</f>
        <v>21031.975086203423</v>
      </c>
      <c r="J51" s="301"/>
      <c r="K51" s="89"/>
      <c r="L51" s="124"/>
      <c r="N51" s="122"/>
      <c r="O51" s="101"/>
    </row>
    <row r="52" spans="1:18" s="71" customFormat="1" outlineLevel="1">
      <c r="B52" s="183" t="s">
        <v>33</v>
      </c>
      <c r="C52" s="186" t="s">
        <v>146</v>
      </c>
      <c r="D52" s="39">
        <v>13497.296193</v>
      </c>
      <c r="E52" s="115">
        <f t="shared" ref="E52:E57" si="5">D52/$D$6</f>
        <v>4077.7329888217523</v>
      </c>
      <c r="F52" s="112">
        <v>46050</v>
      </c>
      <c r="G52" s="71" t="s">
        <v>126</v>
      </c>
      <c r="H52" s="71">
        <f>IF(OR(G52="Sin pagar",G52="Pagar"),(_xlfn.SINGLE(NETWORKDAYS($J$23,F52,FestivosPerú!$A$2:$A$31))),0)</f>
        <v>0</v>
      </c>
      <c r="I52" s="71">
        <f>NETWORKDAYS($J$23,F52,FestivosPerú!$A$2:$A$31)</f>
        <v>19</v>
      </c>
      <c r="J52" s="117">
        <f t="shared" ref="J52:J58" si="6">H52</f>
        <v>0</v>
      </c>
      <c r="K52" s="120"/>
      <c r="L52" s="120"/>
      <c r="M52" s="253"/>
      <c r="N52" s="122"/>
      <c r="P52" s="39"/>
      <c r="Q52" s="253"/>
      <c r="R52" s="374"/>
    </row>
    <row r="53" spans="1:18" s="71" customFormat="1" outlineLevel="1">
      <c r="B53" s="183" t="s">
        <v>33</v>
      </c>
      <c r="C53" s="186" t="s">
        <v>176</v>
      </c>
      <c r="D53" s="39">
        <v>10354.285193</v>
      </c>
      <c r="E53" s="115">
        <f t="shared" si="5"/>
        <v>3128.1828377643501</v>
      </c>
      <c r="F53" s="112">
        <v>46050</v>
      </c>
      <c r="G53" s="71" t="s">
        <v>126</v>
      </c>
      <c r="H53" s="71">
        <f>IF(OR(G53="Sin pagar",G53="Pagar"),(_xlfn.SINGLE(NETWORKDAYS($J$23,F53,FestivosPerú!$A$2:$A$31))),0)</f>
        <v>0</v>
      </c>
      <c r="I53" s="71">
        <f>NETWORKDAYS($J$23,F53,FestivosPerú!$A$2:$A$31)</f>
        <v>19</v>
      </c>
      <c r="J53" s="117">
        <f t="shared" si="6"/>
        <v>0</v>
      </c>
      <c r="K53" s="120"/>
      <c r="L53" s="120"/>
      <c r="M53" s="253"/>
      <c r="P53" s="39"/>
      <c r="Q53" s="253"/>
      <c r="R53" s="374"/>
    </row>
    <row r="54" spans="1:18" s="126" customFormat="1" outlineLevel="1">
      <c r="B54" s="183" t="s">
        <v>33</v>
      </c>
      <c r="C54" s="186" t="s">
        <v>275</v>
      </c>
      <c r="D54" s="39">
        <v>10578.285193</v>
      </c>
      <c r="E54" s="115">
        <f t="shared" si="5"/>
        <v>3195.8565537764348</v>
      </c>
      <c r="F54" s="112">
        <v>46050</v>
      </c>
      <c r="G54" s="71" t="s">
        <v>126</v>
      </c>
      <c r="H54" s="71">
        <f>IF(OR(G54="Sin pagar",G54="Pagar"),(_xlfn.SINGLE(NETWORKDAYS($J$23,F54,FestivosPerú!$A$2:$A$31))),0)</f>
        <v>0</v>
      </c>
      <c r="I54" s="71">
        <f>NETWORKDAYS($J$23,F54,FestivosPerú!$A$2:$A$31)</f>
        <v>19</v>
      </c>
      <c r="J54" s="117">
        <f t="shared" si="6"/>
        <v>0</v>
      </c>
      <c r="L54" s="127"/>
      <c r="M54" s="309"/>
      <c r="P54" s="39"/>
      <c r="Q54" s="253"/>
      <c r="R54" s="374"/>
    </row>
    <row r="55" spans="1:18" s="126" customFormat="1" outlineLevel="1">
      <c r="B55" s="183" t="s">
        <v>33</v>
      </c>
      <c r="C55" s="186" t="s">
        <v>409</v>
      </c>
      <c r="D55" s="39">
        <v>9671.5452013333324</v>
      </c>
      <c r="E55" s="115">
        <f t="shared" si="5"/>
        <v>2921.9169792547832</v>
      </c>
      <c r="F55" s="112">
        <v>46050</v>
      </c>
      <c r="G55" s="71" t="s">
        <v>126</v>
      </c>
      <c r="H55" s="71">
        <f>IF(OR(G55="Sin pagar",G55="Pagar"),(_xlfn.SINGLE(NETWORKDAYS($J$23,F55,FestivosPerú!$A$2:$A$31))),0)</f>
        <v>0</v>
      </c>
      <c r="I55" s="71">
        <f>NETWORKDAYS($J$23,F55,FestivosPerú!$A$2:$A$31)</f>
        <v>19</v>
      </c>
      <c r="J55" s="117">
        <f t="shared" si="6"/>
        <v>0</v>
      </c>
      <c r="L55" s="127"/>
      <c r="M55" s="253"/>
      <c r="P55" s="39"/>
      <c r="Q55" s="253"/>
      <c r="R55" s="374"/>
    </row>
    <row r="56" spans="1:18" s="126" customFormat="1" outlineLevel="1">
      <c r="B56" s="183" t="s">
        <v>33</v>
      </c>
      <c r="C56" s="186" t="s">
        <v>671</v>
      </c>
      <c r="D56" s="39">
        <v>7218.6399999999994</v>
      </c>
      <c r="E56" s="115">
        <f t="shared" si="5"/>
        <v>2180.858006042296</v>
      </c>
      <c r="F56" s="112">
        <v>46050</v>
      </c>
      <c r="G56" s="71" t="s">
        <v>126</v>
      </c>
      <c r="H56" s="71">
        <f>IF(OR(G56="Sin pagar",G56="Pagar"),(_xlfn.SINGLE(NETWORKDAYS($J$23,F56,FestivosPerú!$A$2:$A$31))),0)</f>
        <v>0</v>
      </c>
      <c r="I56" s="71">
        <f>NETWORKDAYS($J$23,F56,FestivosPerú!$A$2:$A$31)</f>
        <v>19</v>
      </c>
      <c r="J56" s="117">
        <f t="shared" si="6"/>
        <v>0</v>
      </c>
      <c r="L56" s="127"/>
      <c r="M56" s="253"/>
      <c r="P56" s="39"/>
      <c r="Q56" s="253"/>
      <c r="R56" s="374"/>
    </row>
    <row r="57" spans="1:18" s="126" customFormat="1" outlineLevel="1">
      <c r="B57" s="183" t="s">
        <v>33</v>
      </c>
      <c r="C57" s="186" t="s">
        <v>1079</v>
      </c>
      <c r="D57" s="39">
        <v>9469.9196120000015</v>
      </c>
      <c r="E57" s="115">
        <f t="shared" si="5"/>
        <v>2861.0029039274928</v>
      </c>
      <c r="F57" s="112">
        <v>46050</v>
      </c>
      <c r="G57" s="71" t="s">
        <v>126</v>
      </c>
      <c r="H57" s="71">
        <f>IF(OR(G57="Sin pagar",G57="Pagar"),(_xlfn.SINGLE(NETWORKDAYS($J$23,F57,FestivosPerú!$A$2:$A$31))),0)</f>
        <v>0</v>
      </c>
      <c r="I57" s="71">
        <f>NETWORKDAYS($J$23,F57,FestivosPerú!$A$2:$A$31)</f>
        <v>19</v>
      </c>
      <c r="J57" s="117">
        <f t="shared" si="6"/>
        <v>0</v>
      </c>
      <c r="L57" s="127"/>
      <c r="M57" s="253"/>
      <c r="P57" s="39"/>
      <c r="Q57" s="253"/>
      <c r="R57" s="374"/>
    </row>
    <row r="58" spans="1:18" s="126" customFormat="1" ht="15" outlineLevel="1" thickBot="1">
      <c r="B58" s="183" t="s">
        <v>33</v>
      </c>
      <c r="C58" s="186" t="s">
        <v>1195</v>
      </c>
      <c r="D58" s="39">
        <v>8825.8661429999993</v>
      </c>
      <c r="E58" s="115">
        <f>D58/$D$6</f>
        <v>2666.4248166163138</v>
      </c>
      <c r="F58" s="112">
        <v>46050</v>
      </c>
      <c r="G58" s="71" t="s">
        <v>126</v>
      </c>
      <c r="H58" s="71">
        <f>IF(OR(G58="Sin pagar",G58="Pagar"),(_xlfn.SINGLE(NETWORKDAYS($J$23,F58,FestivosPerú!$A$2:$A$31))),0)</f>
        <v>0</v>
      </c>
      <c r="I58" s="71">
        <f>NETWORKDAYS($J$23,F58,FestivosPerú!$A$2:$A$31)</f>
        <v>19</v>
      </c>
      <c r="J58" s="117">
        <f t="shared" si="6"/>
        <v>0</v>
      </c>
      <c r="L58" s="127"/>
      <c r="M58" s="253"/>
      <c r="P58" s="39"/>
      <c r="Q58" s="253"/>
      <c r="R58" s="374"/>
    </row>
    <row r="59" spans="1:18" s="71" customFormat="1" ht="16.2" thickBot="1">
      <c r="A59" s="126"/>
      <c r="B59" s="125"/>
      <c r="C59" s="110" t="s">
        <v>177</v>
      </c>
      <c r="D59" s="160">
        <f>SUBTOTAL(9,D60:D63)</f>
        <v>18602.88</v>
      </c>
      <c r="E59" s="111">
        <f>SUBTOTAL(9,E60:E63)</f>
        <v>5620.2054380664649</v>
      </c>
      <c r="L59" s="89"/>
    </row>
    <row r="60" spans="1:18" s="71" customFormat="1" outlineLevel="1">
      <c r="A60" s="126"/>
      <c r="B60" s="128"/>
      <c r="C60" s="84" t="s">
        <v>1143</v>
      </c>
      <c r="D60" s="39">
        <v>9979.4</v>
      </c>
      <c r="E60" s="115">
        <f>D60/$D$6</f>
        <v>3014.9244712990935</v>
      </c>
      <c r="F60" s="112">
        <v>46035</v>
      </c>
      <c r="G60" s="71" t="s">
        <v>126</v>
      </c>
      <c r="H60" s="71">
        <f>IF(OR(G60="Sin pagar",G60="Pagar"),(_xlfn.SINGLE(NETWORKDAYS($J$23,F60,FestivosPerú!$A$2:$A$31))),0)</f>
        <v>0</v>
      </c>
      <c r="I60" s="71">
        <f>NETWORKDAYS($J$23,F60,FestivosPerú!$A$2:$A$31)</f>
        <v>8</v>
      </c>
      <c r="J60" s="117">
        <f>H60</f>
        <v>0</v>
      </c>
      <c r="L60" s="89"/>
    </row>
    <row r="61" spans="1:18" s="71" customFormat="1" outlineLevel="1">
      <c r="A61" s="126"/>
      <c r="B61" s="128"/>
      <c r="C61" s="186" t="s">
        <v>178</v>
      </c>
      <c r="D61" s="39">
        <v>369.89</v>
      </c>
      <c r="E61" s="115">
        <f>D61/$D$6</f>
        <v>111.74924471299093</v>
      </c>
      <c r="F61" s="116">
        <v>46051</v>
      </c>
      <c r="G61" s="71" t="s">
        <v>126</v>
      </c>
      <c r="H61" s="71">
        <f>IF(OR(G61="Sin pagar",G61="Pagar"),(_xlfn.SINGLE(NETWORKDAYS($J$23,F61,FestivosPerú!$A$2:$A$31))),0)</f>
        <v>0</v>
      </c>
      <c r="I61" s="71">
        <f>NETWORKDAYS($J$23,F61,FestivosPerú!$A$2:$A$31)</f>
        <v>20</v>
      </c>
      <c r="J61" s="117">
        <f>H61</f>
        <v>0</v>
      </c>
      <c r="L61" s="89"/>
      <c r="P61" s="372"/>
    </row>
    <row r="62" spans="1:18" s="71" customFormat="1" outlineLevel="1">
      <c r="A62" s="126"/>
      <c r="B62" s="128"/>
      <c r="C62" s="186" t="s">
        <v>1143</v>
      </c>
      <c r="D62" s="39">
        <v>7623.18</v>
      </c>
      <c r="E62" s="115">
        <f>D62/$D$6</f>
        <v>2303.0755287009065</v>
      </c>
      <c r="F62" s="116">
        <v>46051</v>
      </c>
      <c r="G62" s="71" t="s">
        <v>126</v>
      </c>
      <c r="H62" s="71">
        <f>IF(OR(G62="Sin pagar",G62="Pagar"),(_xlfn.SINGLE(NETWORKDAYS($J$23,F62,FestivosPerú!$A$2:$A$31))),0)</f>
        <v>0</v>
      </c>
      <c r="I62" s="71">
        <f>NETWORKDAYS($J$23,F62,FestivosPerú!$A$2:$A$31)</f>
        <v>20</v>
      </c>
      <c r="J62" s="117">
        <f>H62</f>
        <v>0</v>
      </c>
      <c r="L62" s="89"/>
    </row>
    <row r="63" spans="1:18" s="71" customFormat="1" ht="15" outlineLevel="1" thickBot="1">
      <c r="A63" s="126"/>
      <c r="B63" s="128"/>
      <c r="C63" s="186" t="s">
        <v>326</v>
      </c>
      <c r="D63" s="39">
        <v>630.41</v>
      </c>
      <c r="E63" s="115">
        <f>D63/$D$6</f>
        <v>190.4561933534743</v>
      </c>
      <c r="F63" s="116">
        <v>46051</v>
      </c>
      <c r="G63" s="71" t="s">
        <v>126</v>
      </c>
      <c r="H63" s="71">
        <f>IF(OR(G63="Sin pagar",G63="Pagar"),(_xlfn.SINGLE(NETWORKDAYS($J$23,F63,FestivosPerú!$A$2:$A$31))),0)</f>
        <v>0</v>
      </c>
      <c r="I63" s="71">
        <f>NETWORKDAYS($J$23,F63,FestivosPerú!$A$2:$A$31)</f>
        <v>20</v>
      </c>
      <c r="J63" s="117">
        <f>H63</f>
        <v>0</v>
      </c>
      <c r="L63" s="89"/>
    </row>
    <row r="64" spans="1:18" s="71" customFormat="1" ht="16.2" thickBot="1">
      <c r="A64" s="126"/>
      <c r="B64" s="125"/>
      <c r="C64" s="110" t="s">
        <v>129</v>
      </c>
      <c r="D64" s="160">
        <f>SUBTOTAL(9,D65:D69)</f>
        <v>565.6099999999999</v>
      </c>
      <c r="E64" s="111">
        <f>SUBTOTAL(9,E65:E69)</f>
        <v>170.87915407854982</v>
      </c>
      <c r="L64" s="89"/>
    </row>
    <row r="65" spans="1:16" s="71" customFormat="1" outlineLevel="1">
      <c r="A65" s="126"/>
      <c r="B65" s="128"/>
      <c r="C65" s="84" t="s">
        <v>1150</v>
      </c>
      <c r="D65" s="39">
        <v>152.81</v>
      </c>
      <c r="E65" s="115">
        <f>D65/$D$6</f>
        <v>46.166163141993955</v>
      </c>
      <c r="F65" s="112">
        <v>46038</v>
      </c>
      <c r="G65" s="71" t="s">
        <v>126</v>
      </c>
      <c r="H65" s="71">
        <f>IF(OR(G65="Sin pagar",G65="Pagar"),(_xlfn.SINGLE(NETWORKDAYS($J$23,F65,FestivosPerú!$A$2:$A$31))),0)</f>
        <v>0</v>
      </c>
      <c r="I65" s="71">
        <f>NETWORKDAYS($J$23,F65,FestivosPerú!$A$2:$A$31)</f>
        <v>11</v>
      </c>
      <c r="J65" s="117">
        <f>H65</f>
        <v>0</v>
      </c>
      <c r="L65" s="89"/>
    </row>
    <row r="66" spans="1:16" s="71" customFormat="1" outlineLevel="1">
      <c r="A66" s="126"/>
      <c r="B66" s="128"/>
      <c r="C66" s="84" t="s">
        <v>1159</v>
      </c>
      <c r="D66" s="39">
        <v>152.81</v>
      </c>
      <c r="E66" s="115">
        <f>D66/$D$6</f>
        <v>46.166163141993955</v>
      </c>
      <c r="F66" s="112">
        <v>46041</v>
      </c>
      <c r="G66" s="71" t="s">
        <v>126</v>
      </c>
      <c r="H66" s="71">
        <f>IF(OR(G66="Sin pagar",G66="Pagar"),(_xlfn.SINGLE(NETWORKDAYS($J$23,F66,FestivosPerú!$A$2:$A$31))),0)</f>
        <v>0</v>
      </c>
      <c r="I66" s="71">
        <f>NETWORKDAYS($J$23,F66,FestivosPerú!$A$2:$A$31)</f>
        <v>12</v>
      </c>
      <c r="J66" s="117">
        <f>H66</f>
        <v>0</v>
      </c>
      <c r="L66" s="89"/>
    </row>
    <row r="67" spans="1:16" s="71" customFormat="1" outlineLevel="1">
      <c r="A67" s="126"/>
      <c r="B67" s="128"/>
      <c r="C67" s="84" t="s">
        <v>1162</v>
      </c>
      <c r="D67" s="39">
        <v>128.41999999999999</v>
      </c>
      <c r="E67" s="115">
        <f>D67/$D$6</f>
        <v>38.797583081570991</v>
      </c>
      <c r="F67" s="112">
        <v>46041</v>
      </c>
      <c r="G67" s="71" t="s">
        <v>126</v>
      </c>
      <c r="H67" s="71">
        <f>IF(OR(G67="Sin pagar",G67="Pagar"),(_xlfn.SINGLE(NETWORKDAYS($J$23,F67,FestivosPerú!$A$2:$A$31))),0)</f>
        <v>0</v>
      </c>
      <c r="I67" s="71">
        <f>NETWORKDAYS($J$23,F67,FestivosPerú!$A$2:$A$31)</f>
        <v>12</v>
      </c>
      <c r="J67" s="117">
        <f>H67</f>
        <v>0</v>
      </c>
      <c r="L67" s="89"/>
    </row>
    <row r="68" spans="1:16" s="71" customFormat="1" outlineLevel="1">
      <c r="A68" s="126"/>
      <c r="B68" s="128"/>
      <c r="C68" s="84" t="s">
        <v>1186</v>
      </c>
      <c r="D68" s="39">
        <v>131.57</v>
      </c>
      <c r="E68" s="115">
        <f>D68/$D$6</f>
        <v>39.749244712990937</v>
      </c>
      <c r="F68" s="112">
        <v>46048</v>
      </c>
      <c r="G68" s="71" t="s">
        <v>126</v>
      </c>
      <c r="H68" s="71">
        <f>IF(OR(G68="Sin pagar",G68="Pagar"),(_xlfn.SINGLE(NETWORKDAYS($J$23,F68,FestivosPerú!$A$2:$A$31))),0)</f>
        <v>0</v>
      </c>
      <c r="I68" s="71">
        <f>NETWORKDAYS($J$23,F68,FestivosPerú!$A$2:$A$31)</f>
        <v>17</v>
      </c>
      <c r="J68" s="117">
        <f>H68</f>
        <v>0</v>
      </c>
      <c r="L68" s="89"/>
    </row>
    <row r="69" spans="1:16" s="71" customFormat="1" ht="15" outlineLevel="1" thickBot="1">
      <c r="A69" s="126"/>
      <c r="B69" s="128"/>
      <c r="C69" s="84" t="s">
        <v>447</v>
      </c>
      <c r="D69" s="39">
        <f>$E$69*$D$6</f>
        <v>0</v>
      </c>
      <c r="E69" s="115">
        <f>3900*0</f>
        <v>0</v>
      </c>
      <c r="F69" s="112">
        <v>46053</v>
      </c>
      <c r="G69" s="71" t="s">
        <v>126</v>
      </c>
      <c r="H69" s="71">
        <f>IF(OR(G69="Sin pagar",G69="Pagar"),(_xlfn.SINGLE(NETWORKDAYS($J$23,F69,FestivosPerú!$A$2:$A$31))),0)</f>
        <v>0</v>
      </c>
      <c r="I69" s="71">
        <f>NETWORKDAYS($J$23,F69,FestivosPerú!$A$2:$A$31)</f>
        <v>21</v>
      </c>
      <c r="J69" s="117">
        <f>H69</f>
        <v>0</v>
      </c>
      <c r="L69" s="89"/>
    </row>
    <row r="70" spans="1:16" s="71" customFormat="1" ht="15.75" customHeight="1" thickBot="1">
      <c r="C70" s="311" t="s">
        <v>565</v>
      </c>
      <c r="D70" s="312">
        <f>SUBTOTAL(9,D71:D72)</f>
        <v>232.82150000000001</v>
      </c>
      <c r="E70" s="313">
        <f>SUBTOTAL(9,E71:E72)</f>
        <v>70.338821752265858</v>
      </c>
      <c r="M70" s="122"/>
      <c r="N70" s="187"/>
      <c r="P70" s="187"/>
    </row>
    <row r="71" spans="1:16" s="71" customFormat="1" outlineLevel="1">
      <c r="A71" s="126"/>
      <c r="B71" s="128"/>
      <c r="C71" s="84" t="s">
        <v>999</v>
      </c>
      <c r="D71" s="39">
        <f>'BCP SOLES BCP'!$F$830+'BCP SOLES BCP'!$F$846+'BCP SOLES BCP'!$F$851+'BCP SOLES BCP'!$F$857+'BCP SOLES BCP'!$F$861+'BCP SOLES BCP'!$F$862+'BCP SOLES BCP'!$F$872+'BCP SOLES BCP'!$F$873+'BCP SOLES BCP'!$F$875+'BCP SOLES BCP'!$F$877+'BCP SOLES BCP'!$F$879+'BCP SOLES BCP'!$F$880+'BCP SOLES BCP'!$F$898+'BCP SOLES BCP'!$F$904+171.29+0.27</f>
        <v>210.81</v>
      </c>
      <c r="E71" s="115">
        <f>D71/$D$6</f>
        <v>63.688821752265859</v>
      </c>
      <c r="F71" s="112">
        <v>46053</v>
      </c>
      <c r="G71" s="71" t="s">
        <v>126</v>
      </c>
      <c r="H71" s="71">
        <f>IF(OR(G71="Sin pagar",G71="Pagar"),(_xlfn.SINGLE(NETWORKDAYS($J$23,F71,FestivosPerú!$A$2:$A$31))),0)</f>
        <v>0</v>
      </c>
      <c r="I71" s="71">
        <f>NETWORKDAYS($J$23,F71,FestivosPerú!$A$2:$A$31)</f>
        <v>21</v>
      </c>
      <c r="J71" s="117">
        <f>H71</f>
        <v>0</v>
      </c>
      <c r="L71" s="89"/>
    </row>
    <row r="72" spans="1:16" s="71" customFormat="1" ht="15" outlineLevel="1" thickBot="1">
      <c r="A72" s="126"/>
      <c r="B72" s="128"/>
      <c r="C72" s="84" t="s">
        <v>1001</v>
      </c>
      <c r="D72" s="39">
        <f>E72*$D$6</f>
        <v>22.011499999999998</v>
      </c>
      <c r="E72" s="115">
        <f>'BCP USD BCP'!F356+'BCP USD BCP'!F359</f>
        <v>6.6499999999999995</v>
      </c>
      <c r="F72" s="112">
        <v>46053</v>
      </c>
      <c r="G72" s="71" t="s">
        <v>126</v>
      </c>
      <c r="H72" s="71">
        <f>IF(OR(G72="Sin pagar",G72="Pagar"),(_xlfn.SINGLE(NETWORKDAYS($J$23,F72,FestivosPerú!$A$2:$A$31))),0)</f>
        <v>0</v>
      </c>
      <c r="I72" s="71">
        <f>NETWORKDAYS($J$23,F72,FestivosPerú!$A$2:$A$31)</f>
        <v>21</v>
      </c>
      <c r="J72" s="117">
        <f>H72</f>
        <v>0</v>
      </c>
      <c r="L72" s="89"/>
    </row>
    <row r="73" spans="1:16" s="71" customFormat="1" ht="16.2" thickBot="1">
      <c r="A73" s="126"/>
      <c r="B73" s="125"/>
      <c r="C73" s="311" t="s">
        <v>124</v>
      </c>
      <c r="D73" s="312">
        <f>SUBTOTAL(9,D74:D77)</f>
        <v>28490.270000000004</v>
      </c>
      <c r="E73" s="313">
        <f>SUBTOTAL(9,E74:E77)</f>
        <v>8607.3323262839876</v>
      </c>
      <c r="J73" s="117"/>
      <c r="L73" s="89"/>
    </row>
    <row r="74" spans="1:16" s="71" customFormat="1" outlineLevel="1">
      <c r="A74" s="86"/>
      <c r="B74" s="83">
        <v>6508944853</v>
      </c>
      <c r="C74" s="172" t="s">
        <v>571</v>
      </c>
      <c r="D74" s="39">
        <f>5168.31+78.01+166.85+232.53+166.85</f>
        <v>5812.5500000000011</v>
      </c>
      <c r="E74" s="115">
        <f>D74/$D$6</f>
        <v>1756.057401812689</v>
      </c>
      <c r="F74" s="116">
        <v>46029</v>
      </c>
      <c r="G74" s="71" t="s">
        <v>126</v>
      </c>
      <c r="H74" s="71">
        <f>IF(OR(G74="Sin pagar",G74="Pagar"),(_xlfn.SINGLE(NETWORKDAYS($J$23,F74,FestivosPerú!$A$2:$A$31))),0)</f>
        <v>0</v>
      </c>
      <c r="I74" s="71">
        <f>NETWORKDAYS($J$23,F74,FestivosPerú!$A$2:$A$31)</f>
        <v>4</v>
      </c>
      <c r="J74" s="117">
        <f t="shared" ref="J74:J80" si="7">H74</f>
        <v>0</v>
      </c>
      <c r="K74" s="89"/>
      <c r="L74" s="89"/>
      <c r="M74" s="532" t="s">
        <v>883</v>
      </c>
      <c r="N74" s="39"/>
      <c r="O74" s="374"/>
      <c r="P74" s="187"/>
    </row>
    <row r="75" spans="1:16" s="71" customFormat="1" outlineLevel="1">
      <c r="A75" s="86"/>
      <c r="B75" s="83">
        <v>2508945523</v>
      </c>
      <c r="C75" s="172" t="s">
        <v>572</v>
      </c>
      <c r="D75" s="39">
        <f>6614.65+139.8+158.17+166.85+311.74+91.35+94.45+136.75+102.75+116.25+65.58</f>
        <v>7998.34</v>
      </c>
      <c r="E75" s="115">
        <f>D75/$D$6</f>
        <v>2416.4169184290031</v>
      </c>
      <c r="F75" s="116">
        <v>46029</v>
      </c>
      <c r="G75" s="71" t="s">
        <v>126</v>
      </c>
      <c r="H75" s="71">
        <f>IF(OR(G75="Sin pagar",G75="Pagar"),(_xlfn.SINGLE(NETWORKDAYS($J$23,F75,FestivosPerú!$A$2:$A$31))),0)</f>
        <v>0</v>
      </c>
      <c r="I75" s="71">
        <f>NETWORKDAYS($J$23,F75,FestivosPerú!$A$2:$A$31)</f>
        <v>4</v>
      </c>
      <c r="J75" s="117">
        <f t="shared" si="7"/>
        <v>0</v>
      </c>
      <c r="K75" s="89"/>
      <c r="L75" s="89"/>
      <c r="M75" s="532"/>
      <c r="N75" s="39"/>
      <c r="O75" s="374"/>
      <c r="P75" s="187"/>
    </row>
    <row r="76" spans="1:16" s="71" customFormat="1" outlineLevel="1">
      <c r="A76" s="86"/>
      <c r="B76" s="83">
        <v>5508946074</v>
      </c>
      <c r="C76" s="172" t="s">
        <v>573</v>
      </c>
      <c r="D76" s="39">
        <f>10470.75+166.85+206.98+102.75+166.85+166.85+166.85+411.13+166.85+321.81+36.11+42.17</f>
        <v>12425.95</v>
      </c>
      <c r="E76" s="115">
        <f>D76/$D$6</f>
        <v>3754.0634441087614</v>
      </c>
      <c r="F76" s="116">
        <v>46029</v>
      </c>
      <c r="G76" s="71" t="s">
        <v>126</v>
      </c>
      <c r="H76" s="71">
        <f>IF(OR(G76="Sin pagar",G76="Pagar"),(_xlfn.SINGLE(NETWORKDAYS($J$23,F76,FestivosPerú!$A$2:$A$31))),0)</f>
        <v>0</v>
      </c>
      <c r="I76" s="71">
        <f>NETWORKDAYS($J$23,F76,FestivosPerú!$A$2:$A$31)</f>
        <v>4</v>
      </c>
      <c r="J76" s="117">
        <f t="shared" si="7"/>
        <v>0</v>
      </c>
      <c r="K76" s="89"/>
      <c r="L76" s="89"/>
      <c r="M76" s="532"/>
      <c r="N76" s="39"/>
      <c r="O76" s="374"/>
      <c r="P76" s="187"/>
    </row>
    <row r="77" spans="1:16" s="71" customFormat="1" ht="15" outlineLevel="1" thickBot="1">
      <c r="A77" s="86"/>
      <c r="B77" s="83">
        <v>3508946597</v>
      </c>
      <c r="C77" s="172" t="s">
        <v>705</v>
      </c>
      <c r="D77" s="39">
        <f>1784.93+166.85+301.65</f>
        <v>2253.4299999999998</v>
      </c>
      <c r="E77" s="115">
        <f>D77/$D$6</f>
        <v>680.79456193353474</v>
      </c>
      <c r="F77" s="116">
        <v>46029</v>
      </c>
      <c r="G77" s="71" t="s">
        <v>126</v>
      </c>
      <c r="H77" s="71">
        <f>IF(OR(G77="Sin pagar",G77="Pagar"),(_xlfn.SINGLE(NETWORKDAYS($J$23,F77,FestivosPerú!$A$2:$A$31))),0)</f>
        <v>0</v>
      </c>
      <c r="I77" s="71">
        <f>NETWORKDAYS($J$23,F77,FestivosPerú!$A$2:$A$31)</f>
        <v>4</v>
      </c>
      <c r="J77" s="117">
        <f t="shared" si="7"/>
        <v>0</v>
      </c>
      <c r="K77" s="89"/>
      <c r="L77" s="89"/>
      <c r="M77" s="532"/>
      <c r="N77" s="39"/>
      <c r="O77" s="374"/>
      <c r="P77" s="187"/>
    </row>
    <row r="78" spans="1:16" s="71" customFormat="1" ht="16.2" thickBot="1">
      <c r="A78" s="126"/>
      <c r="B78" s="125"/>
      <c r="C78" s="311" t="s">
        <v>125</v>
      </c>
      <c r="D78" s="312">
        <f>SUBTOTAL(9,D79:D80)</f>
        <v>120012</v>
      </c>
      <c r="E78" s="313">
        <f>SUBTOTAL(9,E79:E80)</f>
        <v>36257.401812688826</v>
      </c>
      <c r="J78" s="117">
        <f t="shared" si="7"/>
        <v>0</v>
      </c>
      <c r="L78" s="89"/>
    </row>
    <row r="79" spans="1:16" s="71" customFormat="1" ht="16.5" customHeight="1" outlineLevel="1">
      <c r="A79" s="126"/>
      <c r="B79" s="435"/>
      <c r="C79" s="186" t="s">
        <v>456</v>
      </c>
      <c r="D79" s="39">
        <v>61684</v>
      </c>
      <c r="E79" s="115">
        <f>D79/$D$6</f>
        <v>18635.649546827794</v>
      </c>
      <c r="F79" s="341">
        <v>46041</v>
      </c>
      <c r="G79" s="342" t="s">
        <v>126</v>
      </c>
      <c r="H79" s="71">
        <f>IF(OR(G79="Sin pagar",G79="Pagar"),(_xlfn.SINGLE(NETWORKDAYS($J$23,F79,FestivosPerú!$A$2:$A$31))),0)</f>
        <v>0</v>
      </c>
      <c r="I79" s="71">
        <f>NETWORKDAYS($J$23,F79,FestivosPerú!$A$2:$A$31)</f>
        <v>12</v>
      </c>
      <c r="J79" s="117">
        <f t="shared" si="7"/>
        <v>0</v>
      </c>
      <c r="L79" s="89"/>
      <c r="M79" s="121" t="s">
        <v>703</v>
      </c>
    </row>
    <row r="80" spans="1:16" s="71" customFormat="1" ht="15" outlineLevel="1" thickBot="1">
      <c r="B80" s="440" t="s">
        <v>1060</v>
      </c>
      <c r="C80" s="442" t="s">
        <v>1037</v>
      </c>
      <c r="D80" s="209">
        <v>58328</v>
      </c>
      <c r="E80" s="232">
        <f>D80/$D$6</f>
        <v>17621.752265861029</v>
      </c>
      <c r="F80" s="341">
        <v>46038</v>
      </c>
      <c r="G80" s="342" t="s">
        <v>126</v>
      </c>
      <c r="H80" s="71">
        <f>IF(OR(G80="Sin pagar",G80="Pagar"),(_xlfn.SINGLE(NETWORKDAYS($J$23,F80,FestivosPerú!$A$2:$A$31))),0)</f>
        <v>0</v>
      </c>
      <c r="I80" s="71">
        <f>NETWORKDAYS($J$23,F80,FestivosPerú!$A$2:$A$31)</f>
        <v>11</v>
      </c>
      <c r="J80" s="117">
        <f t="shared" si="7"/>
        <v>0</v>
      </c>
      <c r="K80" s="120"/>
      <c r="L80" s="94"/>
      <c r="M80" s="121" t="s">
        <v>724</v>
      </c>
      <c r="N80" s="118"/>
    </row>
    <row r="81" spans="2:16" s="71" customFormat="1" ht="15" customHeight="1" thickBot="1">
      <c r="C81" s="311" t="s">
        <v>162</v>
      </c>
      <c r="D81" s="312">
        <f>SUBTOTAL(9,D82:D86)</f>
        <v>6729.7300000000005</v>
      </c>
      <c r="E81" s="313">
        <f>SUBTOTAL(9,E82:E86)</f>
        <v>2033.1510574018127</v>
      </c>
      <c r="J81" s="117"/>
      <c r="M81" s="122"/>
      <c r="N81" s="187"/>
      <c r="P81" s="187"/>
    </row>
    <row r="82" spans="2:16" s="71" customFormat="1" outlineLevel="1">
      <c r="B82" s="343" t="s">
        <v>1226</v>
      </c>
      <c r="C82" s="186" t="s">
        <v>957</v>
      </c>
      <c r="D82" s="39">
        <v>5515.96</v>
      </c>
      <c r="E82" s="115">
        <f>D82/$D$6</f>
        <v>1666.453172205438</v>
      </c>
      <c r="F82" s="464">
        <v>46051</v>
      </c>
      <c r="G82" s="342" t="s">
        <v>126</v>
      </c>
      <c r="H82" s="71">
        <f>IF(OR(G82="Sin pagar",G82="Pagar"),(_xlfn.SINGLE(NETWORKDAYS($J$23,F82,FestivosPerú!$A$2:$A$31))),0)</f>
        <v>0</v>
      </c>
      <c r="I82" s="71">
        <f>NETWORKDAYS($J$23,F82,FestivosPerú!$A$2:$A$31)</f>
        <v>20</v>
      </c>
      <c r="J82" s="117">
        <f>H82</f>
        <v>0</v>
      </c>
      <c r="K82" s="120"/>
      <c r="L82" s="94"/>
      <c r="M82" s="300"/>
      <c r="N82" s="118"/>
    </row>
    <row r="83" spans="2:16" s="71" customFormat="1" outlineLevel="1">
      <c r="B83" s="425" t="s">
        <v>1256</v>
      </c>
      <c r="C83" s="84" t="s">
        <v>1225</v>
      </c>
      <c r="D83" s="39">
        <v>34.520000000000003</v>
      </c>
      <c r="E83" s="115">
        <f>D83/$D$6</f>
        <v>10.429003021148038</v>
      </c>
      <c r="F83" s="464">
        <v>46051</v>
      </c>
      <c r="G83" s="342" t="s">
        <v>126</v>
      </c>
      <c r="H83" s="71">
        <f>IF(OR(G83="Sin pagar",G83="Pagar"),(_xlfn.SINGLE(NETWORKDAYS($J$23,F83,FestivosPerú!$A$2:$A$31))),0)</f>
        <v>0</v>
      </c>
      <c r="I83" s="71">
        <f>NETWORKDAYS($J$23,F83,FestivosPerú!$A$2:$A$31)</f>
        <v>20</v>
      </c>
      <c r="J83" s="117">
        <f>H83</f>
        <v>0</v>
      </c>
      <c r="K83" s="120"/>
      <c r="L83" s="94"/>
      <c r="M83" s="300"/>
      <c r="N83" s="118"/>
    </row>
    <row r="84" spans="2:16" s="71" customFormat="1" outlineLevel="1">
      <c r="B84" s="425" t="s">
        <v>1255</v>
      </c>
      <c r="C84" s="84" t="s">
        <v>962</v>
      </c>
      <c r="D84" s="39">
        <v>903.09</v>
      </c>
      <c r="E84" s="115">
        <f>D84/$D$6</f>
        <v>272.83685800604229</v>
      </c>
      <c r="F84" s="464">
        <v>46051</v>
      </c>
      <c r="G84" s="342" t="s">
        <v>126</v>
      </c>
      <c r="H84" s="71">
        <f>IF(OR(G84="Sin pagar",G84="Pagar"),(_xlfn.SINGLE(NETWORKDAYS($J$23,F84,FestivosPerú!$A$2:$A$31))),0)</f>
        <v>0</v>
      </c>
      <c r="I84" s="71">
        <f>NETWORKDAYS($J$23,F84,FestivosPerú!$A$2:$A$31)</f>
        <v>20</v>
      </c>
      <c r="J84" s="117">
        <f>H84</f>
        <v>0</v>
      </c>
      <c r="K84" s="120"/>
      <c r="L84" s="94"/>
      <c r="M84" s="300"/>
      <c r="N84" s="118"/>
    </row>
    <row r="85" spans="2:16" s="342" customFormat="1" outlineLevel="1">
      <c r="B85" s="356" t="s">
        <v>272</v>
      </c>
      <c r="C85" s="186" t="s">
        <v>1124</v>
      </c>
      <c r="D85" s="39">
        <v>152.26</v>
      </c>
      <c r="E85" s="115">
        <f>D85/$D$6</f>
        <v>46</v>
      </c>
      <c r="F85" s="464">
        <v>46051</v>
      </c>
      <c r="G85" s="342" t="s">
        <v>126</v>
      </c>
      <c r="H85" s="71">
        <f>IF(OR(G85="Sin pagar",G85="Pagar"),(_xlfn.SINGLE(NETWORKDAYS($J$23,F85,FestivosPerú!$A$2:$A$31))),0)</f>
        <v>0</v>
      </c>
      <c r="I85" s="71">
        <f>NETWORKDAYS($J$23,F85,FestivosPerú!$A$2:$A$31)</f>
        <v>20</v>
      </c>
      <c r="J85" s="117">
        <f>H85</f>
        <v>0</v>
      </c>
      <c r="K85" s="120"/>
      <c r="L85" s="357"/>
      <c r="M85" s="385"/>
      <c r="N85" s="359"/>
    </row>
    <row r="86" spans="2:16" s="71" customFormat="1" ht="15" outlineLevel="1" thickBot="1">
      <c r="B86" s="356" t="s">
        <v>272</v>
      </c>
      <c r="C86" s="186" t="s">
        <v>1125</v>
      </c>
      <c r="D86" s="39">
        <v>123.9</v>
      </c>
      <c r="E86" s="115">
        <f>D86/$D$6</f>
        <v>37.432024169184288</v>
      </c>
      <c r="F86" s="464">
        <v>46051</v>
      </c>
      <c r="G86" s="342" t="s">
        <v>126</v>
      </c>
      <c r="H86" s="71">
        <f>IF(OR(G86="Sin pagar",G86="Pagar"),(_xlfn.SINGLE(NETWORKDAYS($J$23,F86,FestivosPerú!$A$2:$A$31))),0)</f>
        <v>0</v>
      </c>
      <c r="I86" s="71">
        <f>NETWORKDAYS($J$23,F86,FestivosPerú!$A$2:$A$31)</f>
        <v>20</v>
      </c>
      <c r="J86" s="117">
        <f>H86</f>
        <v>0</v>
      </c>
      <c r="K86" s="120"/>
      <c r="L86" s="94"/>
      <c r="M86" s="300"/>
      <c r="N86" s="118"/>
    </row>
    <row r="87" spans="2:16" s="71" customFormat="1" ht="16.2" thickBot="1">
      <c r="C87" s="311" t="s">
        <v>507</v>
      </c>
      <c r="D87" s="312">
        <f>SUBTOTAL(9,D88:D103)</f>
        <v>177650.77379833331</v>
      </c>
      <c r="E87" s="313">
        <f>SUBTOTAL(9,E88:E103)</f>
        <v>53670.928639979851</v>
      </c>
      <c r="J87" s="301"/>
      <c r="K87" s="89"/>
      <c r="L87" s="124"/>
      <c r="N87" s="122"/>
      <c r="O87" s="101"/>
    </row>
    <row r="88" spans="2:16" s="126" customFormat="1" outlineLevel="1">
      <c r="B88" s="125"/>
      <c r="C88" s="186" t="s">
        <v>765</v>
      </c>
      <c r="D88" s="39">
        <v>10303.587193000001</v>
      </c>
      <c r="E88" s="115">
        <f t="shared" ref="E88:E103" si="8">D88/$D$6</f>
        <v>3112.8662214501514</v>
      </c>
      <c r="F88" s="341">
        <v>46050</v>
      </c>
      <c r="G88" s="342" t="s">
        <v>126</v>
      </c>
      <c r="H88" s="71">
        <f>IF(OR(G88="Sin pagar",G88="Pagar"),(_xlfn.SINGLE(NETWORKDAYS($J$23,F88,FestivosPerú!$A$2:$A$31))),0)</f>
        <v>0</v>
      </c>
      <c r="I88" s="71">
        <f>NETWORKDAYS($J$23,F88,FestivosPerú!$A$2:$A$31)</f>
        <v>19</v>
      </c>
      <c r="J88" s="117">
        <f t="shared" ref="J88:J103" si="9">H88</f>
        <v>0</v>
      </c>
      <c r="L88" s="127"/>
      <c r="M88" s="253"/>
    </row>
    <row r="89" spans="2:16" s="126" customFormat="1" outlineLevel="1">
      <c r="B89" s="125"/>
      <c r="C89" s="186" t="s">
        <v>766</v>
      </c>
      <c r="D89" s="39">
        <v>9635.6951929999996</v>
      </c>
      <c r="E89" s="115">
        <f t="shared" si="8"/>
        <v>2911.08616102719</v>
      </c>
      <c r="F89" s="341">
        <v>46050</v>
      </c>
      <c r="G89" s="342" t="s">
        <v>126</v>
      </c>
      <c r="H89" s="71">
        <f>IF(OR(G89="Sin pagar",G89="Pagar"),(_xlfn.SINGLE(NETWORKDAYS($J$23,F89,FestivosPerú!$A$2:$A$31))),0)</f>
        <v>0</v>
      </c>
      <c r="I89" s="71">
        <f>NETWORKDAYS($J$23,F89,FestivosPerú!$A$2:$A$31)</f>
        <v>19</v>
      </c>
      <c r="J89" s="117">
        <f t="shared" si="9"/>
        <v>0</v>
      </c>
      <c r="L89" s="127"/>
      <c r="M89" s="253"/>
    </row>
    <row r="90" spans="2:16" s="126" customFormat="1" outlineLevel="1">
      <c r="B90" s="125"/>
      <c r="C90" s="186" t="s">
        <v>1083</v>
      </c>
      <c r="D90" s="39">
        <v>6596.42</v>
      </c>
      <c r="E90" s="115">
        <f t="shared" si="8"/>
        <v>1992.8761329305137</v>
      </c>
      <c r="F90" s="341">
        <v>46050</v>
      </c>
      <c r="G90" s="342" t="s">
        <v>126</v>
      </c>
      <c r="H90" s="71">
        <f>IF(OR(G90="Sin pagar",G90="Pagar"),(_xlfn.SINGLE(NETWORKDAYS($J$23,F90,FestivosPerú!$A$2:$A$31))),0)</f>
        <v>0</v>
      </c>
      <c r="I90" s="71">
        <f>NETWORKDAYS($J$23,F90,FestivosPerú!$A$2:$A$31)</f>
        <v>19</v>
      </c>
      <c r="J90" s="117">
        <f t="shared" si="9"/>
        <v>0</v>
      </c>
      <c r="L90" s="127"/>
      <c r="M90" s="253"/>
    </row>
    <row r="91" spans="2:16" s="71" customFormat="1" outlineLevel="1">
      <c r="B91" s="119"/>
      <c r="C91" s="172" t="s">
        <v>652</v>
      </c>
      <c r="D91" s="39">
        <v>20209.45</v>
      </c>
      <c r="E91" s="115">
        <f t="shared" si="8"/>
        <v>6105.5740181268884</v>
      </c>
      <c r="F91" s="341">
        <v>46050</v>
      </c>
      <c r="G91" s="342" t="s">
        <v>126</v>
      </c>
      <c r="H91" s="71">
        <f>IF(OR(G91="Sin pagar",G91="Pagar"),(_xlfn.SINGLE(NETWORKDAYS($J$23,F91,FestivosPerú!$A$2:$A$31))),0)</f>
        <v>0</v>
      </c>
      <c r="I91" s="71">
        <f>NETWORKDAYS($J$23,F91,FestivosPerú!$A$2:$A$31)</f>
        <v>19</v>
      </c>
      <c r="J91" s="117">
        <f t="shared" si="9"/>
        <v>0</v>
      </c>
      <c r="K91" s="120"/>
      <c r="L91" s="94"/>
      <c r="M91" s="300"/>
      <c r="N91" s="118"/>
    </row>
    <row r="92" spans="2:16" s="71" customFormat="1" outlineLevel="1">
      <c r="B92" s="119"/>
      <c r="C92" s="172" t="s">
        <v>768</v>
      </c>
      <c r="D92" s="39">
        <v>8625.09</v>
      </c>
      <c r="E92" s="115">
        <f t="shared" si="8"/>
        <v>2605.7673716012087</v>
      </c>
      <c r="F92" s="341">
        <v>46050</v>
      </c>
      <c r="G92" s="342" t="s">
        <v>126</v>
      </c>
      <c r="H92" s="71">
        <f>IF(OR(G92="Sin pagar",G92="Pagar"),(_xlfn.SINGLE(NETWORKDAYS($J$23,F92,FestivosPerú!$A$2:$A$31))),0)</f>
        <v>0</v>
      </c>
      <c r="I92" s="71">
        <f>NETWORKDAYS($J$23,F92,FestivosPerú!$A$2:$A$31)</f>
        <v>19</v>
      </c>
      <c r="J92" s="117">
        <f t="shared" si="9"/>
        <v>0</v>
      </c>
      <c r="K92" s="120"/>
      <c r="L92" s="94"/>
      <c r="M92" s="300"/>
      <c r="N92" s="118"/>
    </row>
    <row r="93" spans="2:16" s="71" customFormat="1" outlineLevel="1">
      <c r="B93" s="119"/>
      <c r="C93" s="172" t="s">
        <v>649</v>
      </c>
      <c r="D93" s="39">
        <v>5997.1</v>
      </c>
      <c r="E93" s="115">
        <f t="shared" si="8"/>
        <v>1811.8126888217523</v>
      </c>
      <c r="F93" s="341">
        <v>46050</v>
      </c>
      <c r="G93" s="342" t="s">
        <v>126</v>
      </c>
      <c r="H93" s="71">
        <f>IF(OR(G93="Sin pagar",G93="Pagar"),(_xlfn.SINGLE(NETWORKDAYS($J$23,F93,FestivosPerú!$A$2:$A$31))),0)</f>
        <v>0</v>
      </c>
      <c r="I93" s="71">
        <f>NETWORKDAYS($J$23,F93,FestivosPerú!$A$2:$A$31)</f>
        <v>19</v>
      </c>
      <c r="J93" s="117">
        <f t="shared" si="9"/>
        <v>0</v>
      </c>
      <c r="K93" s="120"/>
      <c r="L93" s="94"/>
      <c r="M93" s="300"/>
      <c r="N93" s="118"/>
    </row>
    <row r="94" spans="2:16" s="71" customFormat="1" outlineLevel="1">
      <c r="B94" s="119"/>
      <c r="C94" s="172" t="s">
        <v>650</v>
      </c>
      <c r="D94" s="39">
        <f>15312.3910263333</f>
        <v>15312.3910263333</v>
      </c>
      <c r="E94" s="115">
        <f t="shared" si="8"/>
        <v>4626.1000079556798</v>
      </c>
      <c r="F94" s="341">
        <v>46052</v>
      </c>
      <c r="G94" s="342" t="s">
        <v>126</v>
      </c>
      <c r="H94" s="71">
        <f>IF(OR(G94="Sin pagar",G94="Pagar"),(_xlfn.SINGLE(NETWORKDAYS($J$23,F94,FestivosPerú!$A$2:$A$31))),0)</f>
        <v>0</v>
      </c>
      <c r="I94" s="71">
        <f>NETWORKDAYS($J$23,F94,FestivosPerú!$A$2:$A$31)</f>
        <v>21</v>
      </c>
      <c r="J94" s="117">
        <f t="shared" si="9"/>
        <v>0</v>
      </c>
      <c r="K94" s="120"/>
      <c r="L94" s="94"/>
      <c r="M94" s="300"/>
      <c r="N94" s="118"/>
    </row>
    <row r="95" spans="2:16" s="71" customFormat="1" outlineLevel="1">
      <c r="B95" s="119"/>
      <c r="C95" s="172" t="s">
        <v>942</v>
      </c>
      <c r="D95" s="39">
        <v>14413.78</v>
      </c>
      <c r="E95" s="115">
        <f t="shared" si="8"/>
        <v>4354.6163141993957</v>
      </c>
      <c r="F95" s="341">
        <v>46050</v>
      </c>
      <c r="G95" s="342" t="s">
        <v>126</v>
      </c>
      <c r="H95" s="71">
        <f>IF(OR(G95="Sin pagar",G95="Pagar"),(_xlfn.SINGLE(NETWORKDAYS($J$23,F95,FestivosPerú!$A$2:$A$31))),0)</f>
        <v>0</v>
      </c>
      <c r="I95" s="71">
        <f>NETWORKDAYS($J$23,F95,FestivosPerú!$A$2:$A$31)</f>
        <v>19</v>
      </c>
      <c r="J95" s="117">
        <f t="shared" si="9"/>
        <v>0</v>
      </c>
      <c r="K95" s="120"/>
      <c r="L95" s="94"/>
      <c r="M95" s="300"/>
      <c r="N95" s="118"/>
    </row>
    <row r="96" spans="2:16" s="71" customFormat="1" outlineLevel="1">
      <c r="B96" s="119"/>
      <c r="C96" s="172" t="s">
        <v>651</v>
      </c>
      <c r="D96" s="39">
        <v>11642.995193000001</v>
      </c>
      <c r="E96" s="115">
        <f t="shared" si="8"/>
        <v>3517.521206344411</v>
      </c>
      <c r="F96" s="341">
        <v>46050</v>
      </c>
      <c r="G96" s="342" t="s">
        <v>126</v>
      </c>
      <c r="H96" s="71">
        <f>IF(OR(G96="Sin pagar",G96="Pagar"),(_xlfn.SINGLE(NETWORKDAYS($J$23,F96,FestivosPerú!$A$2:$A$31))),0)</f>
        <v>0</v>
      </c>
      <c r="I96" s="71">
        <f>NETWORKDAYS($J$23,F96,FestivosPerú!$A$2:$A$31)</f>
        <v>19</v>
      </c>
      <c r="J96" s="117">
        <f t="shared" si="9"/>
        <v>0</v>
      </c>
      <c r="K96" s="120"/>
      <c r="L96" s="94"/>
      <c r="M96" s="300"/>
      <c r="N96" s="118"/>
    </row>
    <row r="97" spans="1:15" s="71" customFormat="1" outlineLevel="1">
      <c r="B97" s="119"/>
      <c r="C97" s="172" t="s">
        <v>770</v>
      </c>
      <c r="D97" s="39">
        <v>17495.995192999999</v>
      </c>
      <c r="E97" s="115">
        <f t="shared" si="8"/>
        <v>5285.7991519637462</v>
      </c>
      <c r="F97" s="341">
        <v>46050</v>
      </c>
      <c r="G97" s="342" t="s">
        <v>126</v>
      </c>
      <c r="H97" s="71">
        <f>IF(OR(G97="Sin pagar",G97="Pagar"),(_xlfn.SINGLE(NETWORKDAYS($J$23,F97,FestivosPerú!$A$2:$A$31))),0)</f>
        <v>0</v>
      </c>
      <c r="I97" s="71">
        <f>NETWORKDAYS($J$23,F97,FestivosPerú!$A$2:$A$31)</f>
        <v>19</v>
      </c>
      <c r="J97" s="117">
        <f t="shared" si="9"/>
        <v>0</v>
      </c>
      <c r="K97" s="120"/>
      <c r="L97" s="94"/>
      <c r="M97" s="300"/>
      <c r="N97" s="118"/>
    </row>
    <row r="98" spans="1:15" s="126" customFormat="1" outlineLevel="1">
      <c r="B98" s="125"/>
      <c r="C98" s="186" t="s">
        <v>767</v>
      </c>
      <c r="D98" s="39">
        <v>5396.63</v>
      </c>
      <c r="E98" s="115">
        <f t="shared" si="8"/>
        <v>1630.4018126888218</v>
      </c>
      <c r="F98" s="341">
        <v>46050</v>
      </c>
      <c r="G98" s="342" t="s">
        <v>126</v>
      </c>
      <c r="H98" s="71">
        <f>IF(OR(G98="Sin pagar",G98="Pagar"),(_xlfn.SINGLE(NETWORKDAYS($J$23,F98,FestivosPerú!$A$2:$A$31))),0)</f>
        <v>0</v>
      </c>
      <c r="I98" s="71">
        <f>NETWORKDAYS($J$23,F98,FestivosPerú!$A$2:$A$31)</f>
        <v>19</v>
      </c>
      <c r="J98" s="117">
        <f t="shared" si="9"/>
        <v>0</v>
      </c>
      <c r="L98" s="127"/>
      <c r="M98" s="253"/>
    </row>
    <row r="99" spans="1:15" s="71" customFormat="1" outlineLevel="1">
      <c r="B99" s="119"/>
      <c r="C99" s="172" t="s">
        <v>943</v>
      </c>
      <c r="D99" s="39">
        <v>5876.92</v>
      </c>
      <c r="E99" s="115">
        <f t="shared" si="8"/>
        <v>1775.5045317220545</v>
      </c>
      <c r="F99" s="341">
        <v>46050</v>
      </c>
      <c r="G99" s="342" t="s">
        <v>126</v>
      </c>
      <c r="H99" s="71">
        <f>IF(OR(G99="Sin pagar",G99="Pagar"),(_xlfn.SINGLE(NETWORKDAYS($J$23,F99,FestivosPerú!$A$2:$A$31))),0)</f>
        <v>0</v>
      </c>
      <c r="I99" s="71">
        <f>NETWORKDAYS($J$23,F99,FestivosPerú!$A$2:$A$31)</f>
        <v>19</v>
      </c>
      <c r="J99" s="117">
        <f t="shared" si="9"/>
        <v>0</v>
      </c>
      <c r="K99" s="120"/>
      <c r="L99" s="94"/>
      <c r="M99" s="300"/>
      <c r="N99" s="118"/>
    </row>
    <row r="100" spans="1:15" s="71" customFormat="1" outlineLevel="1">
      <c r="B100" s="119"/>
      <c r="C100" s="172" t="s">
        <v>654</v>
      </c>
      <c r="D100" s="39">
        <v>9878.6</v>
      </c>
      <c r="E100" s="115">
        <f t="shared" si="8"/>
        <v>2984.4712990936555</v>
      </c>
      <c r="F100" s="341">
        <v>46050</v>
      </c>
      <c r="G100" s="342" t="s">
        <v>126</v>
      </c>
      <c r="H100" s="71">
        <f>IF(OR(G100="Sin pagar",G100="Pagar"),(_xlfn.SINGLE(NETWORKDAYS($J$23,F100,FestivosPerú!$A$2:$A$31))),0)</f>
        <v>0</v>
      </c>
      <c r="I100" s="71">
        <f>NETWORKDAYS($J$23,F100,FestivosPerú!$A$2:$A$31)</f>
        <v>19</v>
      </c>
      <c r="J100" s="117">
        <f t="shared" si="9"/>
        <v>0</v>
      </c>
      <c r="K100" s="120"/>
      <c r="L100" s="94"/>
      <c r="M100" s="392">
        <v>7807.32</v>
      </c>
      <c r="N100" s="118">
        <f>M100-E100</f>
        <v>4822.8487009063447</v>
      </c>
    </row>
    <row r="101" spans="1:15" s="71" customFormat="1" outlineLevel="1">
      <c r="B101" s="119"/>
      <c r="C101" s="172" t="s">
        <v>653</v>
      </c>
      <c r="D101" s="39">
        <v>14994.79</v>
      </c>
      <c r="E101" s="115">
        <f t="shared" si="8"/>
        <v>4530.1480362537768</v>
      </c>
      <c r="F101" s="341">
        <v>46050</v>
      </c>
      <c r="G101" s="342" t="s">
        <v>126</v>
      </c>
      <c r="H101" s="71">
        <f>IF(OR(G101="Sin pagar",G101="Pagar"),(_xlfn.SINGLE(NETWORKDAYS($J$23,F101,FestivosPerú!$A$2:$A$31))),0)</f>
        <v>0</v>
      </c>
      <c r="I101" s="71">
        <f>NETWORKDAYS($J$23,F101,FestivosPerú!$A$2:$A$31)</f>
        <v>19</v>
      </c>
      <c r="J101" s="117">
        <f t="shared" si="9"/>
        <v>0</v>
      </c>
      <c r="K101" s="120"/>
      <c r="L101" s="94"/>
      <c r="M101" s="300"/>
      <c r="N101" s="118"/>
    </row>
    <row r="102" spans="1:15" s="71" customFormat="1" outlineLevel="1">
      <c r="B102" s="119"/>
      <c r="C102" s="172" t="s">
        <v>769</v>
      </c>
      <c r="D102" s="39">
        <v>16396.650000000001</v>
      </c>
      <c r="E102" s="115">
        <f t="shared" si="8"/>
        <v>4953.6706948640485</v>
      </c>
      <c r="F102" s="341">
        <v>46050</v>
      </c>
      <c r="G102" s="342" t="s">
        <v>126</v>
      </c>
      <c r="H102" s="71">
        <f>IF(OR(G102="Sin pagar",G102="Pagar"),(_xlfn.SINGLE(NETWORKDAYS($J$23,F102,FestivosPerú!$A$2:$A$31))),0)</f>
        <v>0</v>
      </c>
      <c r="I102" s="71">
        <f>NETWORKDAYS($J$23,F102,FestivosPerú!$A$2:$A$31)</f>
        <v>19</v>
      </c>
      <c r="J102" s="117">
        <f t="shared" si="9"/>
        <v>0</v>
      </c>
      <c r="K102" s="120"/>
      <c r="L102" s="94"/>
      <c r="M102" s="300"/>
      <c r="N102" s="118"/>
    </row>
    <row r="103" spans="1:15" s="71" customFormat="1" ht="15" outlineLevel="1" thickBot="1">
      <c r="B103" s="119"/>
      <c r="C103" s="172" t="s">
        <v>1064</v>
      </c>
      <c r="D103" s="39">
        <v>4874.68</v>
      </c>
      <c r="E103" s="115">
        <f t="shared" si="8"/>
        <v>1472.712990936556</v>
      </c>
      <c r="F103" s="341">
        <v>46050</v>
      </c>
      <c r="G103" s="342" t="s">
        <v>126</v>
      </c>
      <c r="H103" s="71">
        <f>IF(OR(G103="Sin pagar",G103="Pagar"),(_xlfn.SINGLE(NETWORKDAYS($J$23,F103,FestivosPerú!$A$2:$A$31))),0)</f>
        <v>0</v>
      </c>
      <c r="I103" s="71">
        <f>NETWORKDAYS($J$23,F103,FestivosPerú!$A$2:$A$31)</f>
        <v>19</v>
      </c>
      <c r="J103" s="117">
        <f t="shared" si="9"/>
        <v>0</v>
      </c>
      <c r="K103" s="120"/>
      <c r="L103" s="94"/>
      <c r="M103" s="300"/>
      <c r="N103" s="118"/>
    </row>
    <row r="104" spans="1:15" s="71" customFormat="1" ht="16.2" thickBot="1">
      <c r="C104" s="311" t="s">
        <v>642</v>
      </c>
      <c r="D104" s="312">
        <f>SUBTOTAL(9,D105:D108)</f>
        <v>6696.5592999999999</v>
      </c>
      <c r="E104" s="313">
        <f>SUBTOTAL(9,E105:E108)</f>
        <v>2023.129697885196</v>
      </c>
      <c r="J104" s="301"/>
      <c r="K104" s="89"/>
      <c r="L104" s="124"/>
      <c r="N104" s="122"/>
      <c r="O104" s="101"/>
    </row>
    <row r="105" spans="1:15" s="71" customFormat="1" outlineLevel="1">
      <c r="B105" s="119"/>
      <c r="C105" s="172" t="s">
        <v>946</v>
      </c>
      <c r="D105" s="39">
        <f>E105*$D$6</f>
        <v>437.01929999999999</v>
      </c>
      <c r="E105" s="463">
        <v>132.03</v>
      </c>
      <c r="F105" s="341">
        <v>46051</v>
      </c>
      <c r="G105" s="342" t="s">
        <v>126</v>
      </c>
      <c r="H105" s="71">
        <f>IF(OR(G105="Sin pagar",G105="Pagar"),(_xlfn.SINGLE(NETWORKDAYS($J$23,F105,FestivosPerú!$A$2:$A$31))),0)</f>
        <v>0</v>
      </c>
      <c r="I105" s="71">
        <f>NETWORKDAYS($J$23,F105,FestivosPerú!$A$2:$A$31)</f>
        <v>20</v>
      </c>
      <c r="J105" s="117">
        <f>H105</f>
        <v>0</v>
      </c>
      <c r="K105" s="120"/>
      <c r="L105" s="94"/>
      <c r="M105" s="300"/>
      <c r="N105" s="118"/>
    </row>
    <row r="106" spans="1:15" s="71" customFormat="1" outlineLevel="1">
      <c r="B106" s="119"/>
      <c r="C106" s="172" t="s">
        <v>948</v>
      </c>
      <c r="D106" s="408">
        <v>3493.93</v>
      </c>
      <c r="E106" s="115">
        <f>D106/$D$6</f>
        <v>1055.5679758308156</v>
      </c>
      <c r="F106" s="341">
        <v>46050</v>
      </c>
      <c r="G106" s="342" t="s">
        <v>126</v>
      </c>
      <c r="H106" s="71">
        <f>IF(OR(G106="Sin pagar",G106="Pagar"),(_xlfn.SINGLE(NETWORKDAYS($J$23,F106,FestivosPerú!$A$2:$A$31))),0)</f>
        <v>0</v>
      </c>
      <c r="I106" s="71">
        <f>NETWORKDAYS($J$23,F106,FestivosPerú!$A$2:$A$31)</f>
        <v>19</v>
      </c>
      <c r="J106" s="117">
        <f>H106</f>
        <v>0</v>
      </c>
      <c r="K106" s="120"/>
      <c r="L106" s="94"/>
      <c r="M106" s="300"/>
      <c r="N106" s="118"/>
    </row>
    <row r="107" spans="1:15" s="71" customFormat="1" outlineLevel="1">
      <c r="B107" s="119"/>
      <c r="C107" s="172" t="s">
        <v>1203</v>
      </c>
      <c r="D107" s="408">
        <v>265.61</v>
      </c>
      <c r="E107" s="115">
        <f>D107/$D$6</f>
        <v>80.244712990936563</v>
      </c>
      <c r="F107" s="341">
        <v>46050</v>
      </c>
      <c r="G107" s="342" t="s">
        <v>126</v>
      </c>
      <c r="H107" s="71">
        <f>IF(OR(G107="Sin pagar",G107="Pagar"),(_xlfn.SINGLE(NETWORKDAYS($J$23,F107,FestivosPerú!$A$2:$A$31))),0)</f>
        <v>0</v>
      </c>
      <c r="I107" s="71">
        <f>NETWORKDAYS($J$23,F107,FestivosPerú!$A$2:$A$31)</f>
        <v>19</v>
      </c>
      <c r="J107" s="117">
        <f>H107</f>
        <v>0</v>
      </c>
      <c r="K107" s="120"/>
      <c r="L107" s="94"/>
      <c r="M107" s="300"/>
      <c r="N107" s="118"/>
    </row>
    <row r="108" spans="1:15" s="71" customFormat="1" ht="15" outlineLevel="1" thickBot="1">
      <c r="B108" s="119"/>
      <c r="C108" s="172" t="s">
        <v>817</v>
      </c>
      <c r="D108" s="408">
        <v>2500</v>
      </c>
      <c r="E108" s="115">
        <f>D108/$D$6</f>
        <v>755.28700906344409</v>
      </c>
      <c r="F108" s="341">
        <v>46050</v>
      </c>
      <c r="G108" s="342" t="s">
        <v>126</v>
      </c>
      <c r="H108" s="71">
        <f>IF(OR(G108="Sin pagar",G108="Pagar"),(_xlfn.SINGLE(NETWORKDAYS($J$23,F108,FestivosPerú!$A$2:$A$31))),0)</f>
        <v>0</v>
      </c>
      <c r="I108" s="71">
        <f>NETWORKDAYS($J$23,F108,FestivosPerú!$A$2:$A$31)</f>
        <v>19</v>
      </c>
      <c r="J108" s="117">
        <f>H108</f>
        <v>0</v>
      </c>
      <c r="K108" s="120"/>
      <c r="L108" s="94"/>
      <c r="M108" s="300"/>
      <c r="N108" s="118"/>
    </row>
    <row r="109" spans="1:15" s="71" customFormat="1" ht="16.2" thickBot="1">
      <c r="A109" s="126"/>
      <c r="B109" s="125"/>
      <c r="C109" s="311" t="s">
        <v>129</v>
      </c>
      <c r="D109" s="312">
        <f>SUBTOTAL(9,D110:D113)</f>
        <v>46779.027499948672</v>
      </c>
      <c r="E109" s="313">
        <f>SUBTOTAL(9,E110:E113)</f>
        <v>14240.806737160123</v>
      </c>
      <c r="L109" s="89"/>
    </row>
    <row r="110" spans="1:15" s="71" customFormat="1" outlineLevel="1">
      <c r="A110" s="126"/>
      <c r="B110" s="128"/>
      <c r="C110" s="172" t="s">
        <v>1175</v>
      </c>
      <c r="D110" s="39">
        <v>5444.17</v>
      </c>
      <c r="E110" s="115">
        <f>D110/$D$6</f>
        <v>1644.7643504531723</v>
      </c>
      <c r="F110" s="112">
        <v>46045</v>
      </c>
      <c r="G110" s="71" t="s">
        <v>126</v>
      </c>
      <c r="H110" s="71">
        <f>IF(OR(G110="Sin pagar",G110="Pagar"),(_xlfn.SINGLE(NETWORKDAYS($J$23,F110,FestivosPerú!$A$2:$A$31))),0)</f>
        <v>0</v>
      </c>
      <c r="I110" s="71">
        <f>NETWORKDAYS($J$23,F110,FestivosPerú!$A$2:$A$31)</f>
        <v>16</v>
      </c>
      <c r="J110" s="117">
        <f>H110</f>
        <v>0</v>
      </c>
      <c r="L110" s="89"/>
    </row>
    <row r="111" spans="1:15" s="71" customFormat="1" outlineLevel="1">
      <c r="A111" s="126"/>
      <c r="B111" s="128"/>
      <c r="C111" s="172" t="s">
        <v>1176</v>
      </c>
      <c r="D111" s="39">
        <v>7160.877500000006</v>
      </c>
      <c r="E111" s="115">
        <f>D111/$D$6</f>
        <v>2163.4070996978871</v>
      </c>
      <c r="F111" s="112">
        <v>46044</v>
      </c>
      <c r="G111" s="71" t="s">
        <v>126</v>
      </c>
      <c r="H111" s="71">
        <f>IF(OR(G111="Sin pagar",G111="Pagar"),(_xlfn.SINGLE(NETWORKDAYS($J$23,F111,FestivosPerú!$A$2:$A$31))),0)</f>
        <v>0</v>
      </c>
      <c r="I111" s="71">
        <f>NETWORKDAYS($J$23,F111,FestivosPerú!$A$2:$A$31)</f>
        <v>15</v>
      </c>
      <c r="J111" s="117">
        <f>H111</f>
        <v>0</v>
      </c>
      <c r="L111" s="89"/>
    </row>
    <row r="112" spans="1:15" s="71" customFormat="1" outlineLevel="1">
      <c r="A112" s="126"/>
      <c r="B112" s="128"/>
      <c r="C112" s="172" t="s">
        <v>1236</v>
      </c>
      <c r="D112" s="39">
        <f>E112*3.26000016757</f>
        <v>23344.469999948662</v>
      </c>
      <c r="E112" s="115">
        <v>7160.88</v>
      </c>
      <c r="F112" s="112">
        <v>46044</v>
      </c>
      <c r="G112" s="71" t="s">
        <v>126</v>
      </c>
      <c r="H112" s="71">
        <f>IF(OR(G112="Sin pagar",G112="Pagar"),(_xlfn.SINGLE(NETWORKDAYS($J$23,F112,FestivosPerú!$A$2:$A$31))),0)</f>
        <v>0</v>
      </c>
      <c r="I112" s="71">
        <f>NETWORKDAYS($J$23,F112,FestivosPerú!$A$2:$A$31)</f>
        <v>15</v>
      </c>
      <c r="J112" s="117">
        <f>H112</f>
        <v>0</v>
      </c>
      <c r="L112" s="89"/>
    </row>
    <row r="113" spans="1:16" s="71" customFormat="1" ht="15" outlineLevel="1" thickBot="1">
      <c r="A113" s="126"/>
      <c r="B113" s="128"/>
      <c r="C113" s="186" t="s">
        <v>1184</v>
      </c>
      <c r="D113" s="39">
        <v>10829.51</v>
      </c>
      <c r="E113" s="115">
        <f>D113/$D$6</f>
        <v>3271.7552870090635</v>
      </c>
      <c r="F113" s="112">
        <v>46045</v>
      </c>
      <c r="G113" s="71" t="s">
        <v>126</v>
      </c>
      <c r="H113" s="71">
        <f>IF(OR(G113="Sin pagar",G113="Pagar"),(_xlfn.SINGLE(NETWORKDAYS($J$23,F113,FestivosPerú!$A$2:$A$31))),0)</f>
        <v>0</v>
      </c>
      <c r="I113" s="71">
        <f>NETWORKDAYS($J$23,F113,FestivosPerú!$A$2:$A$31)</f>
        <v>16</v>
      </c>
      <c r="J113" s="117">
        <f>H113</f>
        <v>0</v>
      </c>
      <c r="L113" s="89"/>
    </row>
    <row r="114" spans="1:16" ht="15.6">
      <c r="C114" s="129" t="s">
        <v>130</v>
      </c>
      <c r="D114" s="227">
        <f>SUBTOTAL(9,D25:D113)</f>
        <v>530533.43523361534</v>
      </c>
      <c r="E114" s="228">
        <f>SUBTOTAL(9,E25:E113)</f>
        <v>160390.17463252766</v>
      </c>
    </row>
    <row r="115" spans="1:16" s="238" customFormat="1" ht="15.6">
      <c r="B115" s="239"/>
      <c r="C115" s="240"/>
      <c r="D115" s="241"/>
      <c r="E115" s="242"/>
    </row>
    <row r="116" spans="1:16" ht="15.6">
      <c r="A116" s="71"/>
      <c r="C116" s="134" t="s">
        <v>3</v>
      </c>
      <c r="D116" s="170">
        <f>D20-D114</f>
        <v>191332.0385492174</v>
      </c>
      <c r="E116" s="135">
        <f>E20-E114</f>
        <v>59357.312274672528</v>
      </c>
      <c r="F116" s="136"/>
      <c r="G116" s="136"/>
      <c r="J116" s="364"/>
    </row>
    <row r="117" spans="1:16" s="141" customFormat="1" ht="15.6">
      <c r="A117" s="71"/>
      <c r="B117" s="138"/>
      <c r="C117" s="134" t="s">
        <v>131</v>
      </c>
      <c r="D117" s="139">
        <f>IF($D$20=0,0,D116/$D$20)</f>
        <v>0.26505220916934735</v>
      </c>
      <c r="E117" s="139">
        <f>IF($E$20=0,0,E116/$E$20)</f>
        <v>0.27011600046074358</v>
      </c>
      <c r="F117" s="140"/>
      <c r="G117" s="137"/>
      <c r="J117" s="142"/>
      <c r="K117" s="446"/>
      <c r="L117" s="446"/>
      <c r="N117" s="446"/>
      <c r="O117" s="446"/>
      <c r="P117" s="446"/>
    </row>
    <row r="120" spans="1:16" ht="15.6">
      <c r="C120" s="451">
        <v>46027</v>
      </c>
      <c r="D120" s="198">
        <v>46029</v>
      </c>
      <c r="E120" s="199">
        <f t="shared" ref="E120:E127" si="10">SUMIFS($D$23:$D$118,$F$23:$F$118,"&gt;="&amp;C120,$F$23:$F$118,"&lt;="&amp;D120,$G$23:$G$118,$D$138)</f>
        <v>0</v>
      </c>
      <c r="F120" s="200">
        <f t="shared" ref="F120:F127" si="11">SUMIFS($E$23:$E$119,$F$23:$F$119,"&gt;="&amp;C120,$F$23:$F$119,"&lt;="&amp;D120,$G$23:$G$119,$D$138)</f>
        <v>0</v>
      </c>
      <c r="G120" s="375"/>
    </row>
    <row r="121" spans="1:16" ht="15.6">
      <c r="C121" s="326">
        <v>46030</v>
      </c>
      <c r="D121" s="202">
        <v>46030</v>
      </c>
      <c r="E121" s="203">
        <f t="shared" si="10"/>
        <v>0</v>
      </c>
      <c r="F121" s="204">
        <f t="shared" si="11"/>
        <v>0</v>
      </c>
      <c r="G121" s="375" t="s">
        <v>693</v>
      </c>
    </row>
    <row r="122" spans="1:16" ht="15.6">
      <c r="C122" s="326">
        <v>46031</v>
      </c>
      <c r="D122" s="202">
        <v>46033</v>
      </c>
      <c r="E122" s="203">
        <f t="shared" si="10"/>
        <v>0</v>
      </c>
      <c r="F122" s="204">
        <f t="shared" si="11"/>
        <v>0</v>
      </c>
      <c r="G122" s="375" t="s">
        <v>1003</v>
      </c>
    </row>
    <row r="123" spans="1:16" ht="15.6">
      <c r="C123" s="326">
        <v>46034</v>
      </c>
      <c r="D123" s="325">
        <v>46036</v>
      </c>
      <c r="E123" s="203">
        <f t="shared" si="10"/>
        <v>0</v>
      </c>
      <c r="F123" s="204">
        <f t="shared" si="11"/>
        <v>0</v>
      </c>
      <c r="G123" s="375"/>
    </row>
    <row r="124" spans="1:16" ht="15.6">
      <c r="C124" s="326">
        <v>46037</v>
      </c>
      <c r="D124" s="325">
        <v>46037</v>
      </c>
      <c r="E124" s="203">
        <f t="shared" si="10"/>
        <v>0</v>
      </c>
      <c r="F124" s="204">
        <f t="shared" si="11"/>
        <v>0</v>
      </c>
      <c r="G124" s="375" t="s">
        <v>1004</v>
      </c>
    </row>
    <row r="125" spans="1:16" ht="15.6">
      <c r="C125" s="326">
        <v>46038</v>
      </c>
      <c r="D125" s="202">
        <v>46040</v>
      </c>
      <c r="E125" s="203">
        <f t="shared" si="10"/>
        <v>0</v>
      </c>
      <c r="F125" s="204">
        <f t="shared" si="11"/>
        <v>0</v>
      </c>
      <c r="G125" s="375"/>
    </row>
    <row r="126" spans="1:16" ht="15.6">
      <c r="C126" s="326">
        <v>46041</v>
      </c>
      <c r="D126" s="202">
        <v>46047</v>
      </c>
      <c r="E126" s="203">
        <f t="shared" si="10"/>
        <v>0</v>
      </c>
      <c r="F126" s="204">
        <f t="shared" si="11"/>
        <v>0</v>
      </c>
      <c r="G126" s="375"/>
    </row>
    <row r="127" spans="1:16" ht="15.6">
      <c r="C127" s="326">
        <v>46048</v>
      </c>
      <c r="D127" s="202">
        <v>46053</v>
      </c>
      <c r="E127" s="203">
        <f t="shared" si="10"/>
        <v>0</v>
      </c>
      <c r="F127" s="204">
        <f t="shared" si="11"/>
        <v>0</v>
      </c>
      <c r="G127" s="375" t="s">
        <v>1139</v>
      </c>
    </row>
    <row r="128" spans="1:16" ht="15.6">
      <c r="C128" s="524" t="s">
        <v>136</v>
      </c>
      <c r="D128" s="524"/>
      <c r="E128" s="323">
        <f>SUM(E120:E127)</f>
        <v>0</v>
      </c>
      <c r="F128" s="153">
        <f>SUM(F120:F127)</f>
        <v>0</v>
      </c>
      <c r="G128" s="77"/>
      <c r="K128" s="137"/>
      <c r="M128" s="154"/>
    </row>
    <row r="129" spans="2:6">
      <c r="F129" s="447"/>
    </row>
    <row r="131" spans="2:6" s="459" customFormat="1">
      <c r="B131" s="458"/>
      <c r="D131" s="460"/>
      <c r="E131" s="460"/>
    </row>
    <row r="132" spans="2:6">
      <c r="C132" s="522" t="s">
        <v>932</v>
      </c>
      <c r="D132" s="522"/>
      <c r="E132" s="39">
        <f>(('BCP SOLES BCP'!$G$900+('BCP USD BCP'!$G$380*$D$6)))</f>
        <v>216584.2571628328</v>
      </c>
      <c r="F132" s="154">
        <f>((('BCP SOLES BCP'!$G$900/$D$6)+'BCP USD BCP'!$G$380))</f>
        <v>65433.310321097524</v>
      </c>
    </row>
    <row r="133" spans="2:6" ht="15" thickBot="1">
      <c r="C133" s="522" t="s">
        <v>933</v>
      </c>
      <c r="D133" s="522"/>
      <c r="E133" s="421">
        <f>(('BBVA SOLES'!$G$70+('BBVA USD'!$G$30*$D$6)))</f>
        <v>31129.863399999991</v>
      </c>
      <c r="F133" s="422">
        <f>(('BBVA SOLES'!$G$70/$D$6)+'BBVA USD'!$G$30)</f>
        <v>9404.7925679758282</v>
      </c>
    </row>
    <row r="134" spans="2:6" ht="15" thickTop="1">
      <c r="C134" s="523" t="s">
        <v>934</v>
      </c>
      <c r="D134" s="523"/>
      <c r="E134" s="167">
        <f>SUM(E132:E133)</f>
        <v>247714.1205628328</v>
      </c>
      <c r="F134" s="168">
        <f>SUM(F132:F133)</f>
        <v>74838.102889073358</v>
      </c>
    </row>
    <row r="135" spans="2:6">
      <c r="C135" s="533" t="s">
        <v>1138</v>
      </c>
      <c r="D135" s="522"/>
      <c r="E135" s="39">
        <f>SUM(E120:E127)</f>
        <v>0</v>
      </c>
      <c r="F135" s="154">
        <f>SUM($F$120:$F$127)</f>
        <v>0</v>
      </c>
    </row>
    <row r="136" spans="2:6">
      <c r="C136" s="523" t="s">
        <v>138</v>
      </c>
      <c r="D136" s="523"/>
      <c r="E136" s="39">
        <f>E134-E135</f>
        <v>247714.1205628328</v>
      </c>
      <c r="F136" s="454">
        <f>F134-F135</f>
        <v>74838.102889073358</v>
      </c>
    </row>
    <row r="137" spans="2:6">
      <c r="C137" s="445"/>
      <c r="D137" s="445"/>
      <c r="E137" s="39"/>
      <c r="F137" s="154"/>
    </row>
    <row r="138" spans="2:6">
      <c r="D138" s="231" t="s">
        <v>116</v>
      </c>
      <c r="E138" s="39">
        <f>SUMIFS($D$24:$D$118,$F$24:$F$118,"&gt;="&amp;C120,$F$24:$F$118,"&lt;="&amp;D127,$G$24:$G$118,$D$138)</f>
        <v>0</v>
      </c>
      <c r="F138" s="154">
        <f>SUMIFS($E$24:$E$118,$F$24:$F$118,"&gt;="&amp;$C$120,$F$24:$F$118,"&lt;="&amp;D127,$G$24:$G$118,$D$138)</f>
        <v>0</v>
      </c>
    </row>
    <row r="139" spans="2:6">
      <c r="D139" s="447" t="s">
        <v>126</v>
      </c>
      <c r="E139" s="39">
        <f>SUMIFS($D$24:$D$118,$F$24:$F$118,"&gt;="&amp;C120,$F$24:$F$118,"&lt;="&amp;D127,$G$24:$G$118,$D$139)</f>
        <v>530533.43523361534</v>
      </c>
      <c r="F139" s="154">
        <f>SUMIFS($E$24:$E$118,$F$24:$F$118,"&gt;="&amp;$C$120,$F$24:$F$118,"&lt;="&amp;D127,$G$24:$G$118,$D$139)</f>
        <v>160390.17463252766</v>
      </c>
    </row>
    <row r="140" spans="2:6">
      <c r="D140" s="447" t="s">
        <v>854</v>
      </c>
      <c r="E140" s="167">
        <f>SUM(E138:E139)</f>
        <v>530533.43523361534</v>
      </c>
      <c r="F140" s="168">
        <f>SUM(F138:F139)</f>
        <v>160390.17463252766</v>
      </c>
    </row>
    <row r="141" spans="2:6">
      <c r="D141" s="447" t="s">
        <v>140</v>
      </c>
      <c r="E141" s="167">
        <f>E140-D114</f>
        <v>0</v>
      </c>
      <c r="F141" s="168">
        <f>E114-F140</f>
        <v>0</v>
      </c>
    </row>
    <row r="143" spans="2:6">
      <c r="D143" s="469" t="s">
        <v>198</v>
      </c>
      <c r="E143" s="39">
        <f>D116</f>
        <v>191332.0385492174</v>
      </c>
    </row>
    <row r="144" spans="2:6">
      <c r="D144" s="469" t="s">
        <v>199</v>
      </c>
      <c r="E144" s="39">
        <f>'BCP SOLES BCP'!$G$907+('BCP USD BCP'!$G$375*$D$6)+('BBVA SOLES'!$G$68+('BBVA USD'!$G$24*$D$6))</f>
        <v>191332.04056283282</v>
      </c>
    </row>
    <row r="145" spans="4:6">
      <c r="D145" s="469" t="s">
        <v>39</v>
      </c>
      <c r="E145" s="39">
        <f>E143-E144</f>
        <v>-2.0136154198553413E-3</v>
      </c>
    </row>
    <row r="146" spans="4:6">
      <c r="D146" s="469" t="s">
        <v>200</v>
      </c>
      <c r="E146" s="154">
        <f>E145/D6</f>
        <v>-6.0834302714662882E-4</v>
      </c>
      <c r="F146" s="403"/>
    </row>
    <row r="147" spans="4:6">
      <c r="E147" s="39"/>
      <c r="F147" s="403"/>
    </row>
    <row r="148" spans="4:6">
      <c r="E148" s="154"/>
      <c r="F148" s="403"/>
    </row>
    <row r="149" spans="4:6">
      <c r="E149" s="39"/>
      <c r="F149" s="403"/>
    </row>
    <row r="150" spans="4:6">
      <c r="D150" s="158"/>
      <c r="E150" s="167"/>
      <c r="F150" s="168"/>
    </row>
  </sheetData>
  <protectedRanges>
    <protectedRange sqref="F20:G20 D118:E118 D10:E11 D13:D19" name="Presupuestos"/>
    <protectedRange sqref="D8:E8 D24:E24" name="Presupuestos_1"/>
    <protectedRange sqref="D34:E40" name="Presupuestos_13_1"/>
    <protectedRange sqref="E61 E105:E108 E88:E103 E52:E58 D60:E60 D62:E63" name="Presupuestos_2_1_1_1"/>
    <protectedRange sqref="K88:K90 K98 E65:E69 K52:K58" name="Presupuestos_6_1_1_1"/>
    <protectedRange sqref="D49:E50 E42" name="Presupuestos_7_1"/>
    <protectedRange sqref="D65:D69" name="Presupuestos_5_3"/>
    <protectedRange sqref="D98 D88:D90 D52:D58 P52:P58" name="Presupuestos_6_1_1_1_1"/>
    <protectedRange sqref="D43:E47" name="Presupuestos_7_1_1"/>
    <protectedRange sqref="E71:E72" name="Presupuestos_7_1_2"/>
    <protectedRange sqref="D71:D72" name="Presupuestos_5_3_1"/>
    <protectedRange sqref="E110:E113" name="Presupuestos_6_1_1_1_3"/>
    <protectedRange sqref="D110:D113" name="Presupuestos_5_3_3"/>
  </protectedRanges>
  <autoFilter ref="A24:S117" xr:uid="{5472D7D6-B029-4123-A7CB-9FDE4A29F650}"/>
  <mergeCells count="12">
    <mergeCell ref="C128:D128"/>
    <mergeCell ref="C132:D132"/>
    <mergeCell ref="C133:D133"/>
    <mergeCell ref="C134:D134"/>
    <mergeCell ref="C135:D135"/>
    <mergeCell ref="C136:D136"/>
    <mergeCell ref="D7:E7"/>
    <mergeCell ref="B23:C23"/>
    <mergeCell ref="D23:E23"/>
    <mergeCell ref="F23:G23"/>
    <mergeCell ref="M26:M28"/>
    <mergeCell ref="M74:M77"/>
  </mergeCells>
  <conditionalFormatting sqref="J33 J27:J28 J41 J73 J69 J88:J103 J105:J108 J61">
    <cfRule type="cellIs" dxfId="121" priority="58" operator="between">
      <formula>1</formula>
      <formula>5</formula>
    </cfRule>
    <cfRule type="cellIs" dxfId="120" priority="59" operator="between">
      <formula>16</formula>
      <formula>60</formula>
    </cfRule>
  </conditionalFormatting>
  <conditionalFormatting sqref="J33 J27:J28 J41 J73 J69 J88:J103 J105:J108">
    <cfRule type="cellIs" dxfId="119" priority="57" operator="lessThan">
      <formula>0</formula>
    </cfRule>
  </conditionalFormatting>
  <conditionalFormatting sqref="J49:J50">
    <cfRule type="cellIs" dxfId="118" priority="55" operator="between">
      <formula>1</formula>
      <formula>5</formula>
    </cfRule>
    <cfRule type="cellIs" dxfId="117" priority="56" operator="between">
      <formula>16</formula>
      <formula>60</formula>
    </cfRule>
  </conditionalFormatting>
  <conditionalFormatting sqref="J49:J50">
    <cfRule type="cellIs" dxfId="116" priority="54" operator="lessThan">
      <formula>0</formula>
    </cfRule>
  </conditionalFormatting>
  <conditionalFormatting sqref="J74:J77 J79:J80 J30:J32 J34:J40 J61 J43:J47 J82:J86">
    <cfRule type="cellIs" dxfId="115" priority="50" operator="lessThan">
      <formula>0</formula>
    </cfRule>
    <cfRule type="cellIs" dxfId="114" priority="51" operator="between">
      <formula>6</formula>
      <formula>15</formula>
    </cfRule>
    <cfRule type="cellIs" dxfId="113" priority="52" operator="between">
      <formula>1</formula>
      <formula>5</formula>
    </cfRule>
    <cfRule type="cellIs" dxfId="81" priority="53" operator="between">
      <formula>16</formula>
      <formula>60</formula>
    </cfRule>
  </conditionalFormatting>
  <conditionalFormatting sqref="J71:J72">
    <cfRule type="cellIs" dxfId="112" priority="48" operator="between">
      <formula>1</formula>
      <formula>5</formula>
    </cfRule>
    <cfRule type="cellIs" dxfId="111" priority="49" operator="between">
      <formula>16</formula>
      <formula>60</formula>
    </cfRule>
  </conditionalFormatting>
  <conditionalFormatting sqref="J71:J72">
    <cfRule type="cellIs" dxfId="110" priority="47" operator="lessThan">
      <formula>0</formula>
    </cfRule>
  </conditionalFormatting>
  <conditionalFormatting sqref="J78">
    <cfRule type="cellIs" dxfId="109" priority="45" operator="between">
      <formula>1</formula>
      <formula>5</formula>
    </cfRule>
    <cfRule type="cellIs" dxfId="108" priority="46" operator="between">
      <formula>16</formula>
      <formula>60</formula>
    </cfRule>
  </conditionalFormatting>
  <conditionalFormatting sqref="J78">
    <cfRule type="cellIs" dxfId="107" priority="44" operator="lessThan">
      <formula>0</formula>
    </cfRule>
  </conditionalFormatting>
  <conditionalFormatting sqref="J81">
    <cfRule type="cellIs" dxfId="106" priority="42" operator="between">
      <formula>1</formula>
      <formula>5</formula>
    </cfRule>
    <cfRule type="cellIs" dxfId="105" priority="43" operator="between">
      <formula>16</formula>
      <formula>60</formula>
    </cfRule>
  </conditionalFormatting>
  <conditionalFormatting sqref="J81">
    <cfRule type="cellIs" dxfId="104" priority="41" operator="lessThan">
      <formula>0</formula>
    </cfRule>
  </conditionalFormatting>
  <conditionalFormatting sqref="J110:J113">
    <cfRule type="cellIs" dxfId="103" priority="37" operator="lessThan">
      <formula>0</formula>
    </cfRule>
    <cfRule type="cellIs" dxfId="102" priority="38" operator="between">
      <formula>6</formula>
      <formula>15</formula>
    </cfRule>
    <cfRule type="cellIs" dxfId="101" priority="39" operator="between">
      <formula>1</formula>
      <formula>5</formula>
    </cfRule>
    <cfRule type="cellIs" dxfId="80" priority="40" operator="between">
      <formula>16</formula>
      <formula>60</formula>
    </cfRule>
  </conditionalFormatting>
  <conditionalFormatting sqref="J26">
    <cfRule type="cellIs" dxfId="100" priority="33" operator="lessThan">
      <formula>0</formula>
    </cfRule>
    <cfRule type="cellIs" dxfId="99" priority="34" operator="between">
      <formula>6</formula>
      <formula>15</formula>
    </cfRule>
    <cfRule type="cellIs" dxfId="98" priority="35" operator="between">
      <formula>1</formula>
      <formula>5</formula>
    </cfRule>
    <cfRule type="cellIs" dxfId="79" priority="36" operator="between">
      <formula>16</formula>
      <formula>60</formula>
    </cfRule>
  </conditionalFormatting>
  <conditionalFormatting sqref="J42">
    <cfRule type="cellIs" dxfId="97" priority="29" operator="lessThan">
      <formula>0</formula>
    </cfRule>
    <cfRule type="cellIs" dxfId="96" priority="30" operator="between">
      <formula>6</formula>
      <formula>15</formula>
    </cfRule>
    <cfRule type="cellIs" dxfId="95" priority="31" operator="between">
      <formula>1</formula>
      <formula>5</formula>
    </cfRule>
    <cfRule type="cellIs" dxfId="78" priority="32" operator="between">
      <formula>16</formula>
      <formula>60</formula>
    </cfRule>
  </conditionalFormatting>
  <conditionalFormatting sqref="J52:J58">
    <cfRule type="cellIs" dxfId="94" priority="27" operator="between">
      <formula>1</formula>
      <formula>5</formula>
    </cfRule>
    <cfRule type="cellIs" dxfId="93" priority="28" operator="between">
      <formula>16</formula>
      <formula>60</formula>
    </cfRule>
  </conditionalFormatting>
  <conditionalFormatting sqref="J52:J58">
    <cfRule type="cellIs" dxfId="92" priority="26" operator="lessThan">
      <formula>0</formula>
    </cfRule>
  </conditionalFormatting>
  <conditionalFormatting sqref="J60:J63">
    <cfRule type="cellIs" dxfId="91" priority="18" operator="lessThan">
      <formula>0</formula>
    </cfRule>
    <cfRule type="cellIs" dxfId="90" priority="19" operator="between">
      <formula>6</formula>
      <formula>15</formula>
    </cfRule>
    <cfRule type="cellIs" dxfId="89" priority="20" operator="between">
      <formula>1</formula>
      <formula>5</formula>
    </cfRule>
    <cfRule type="cellIs" dxfId="77" priority="21" operator="between">
      <formula>16</formula>
      <formula>60</formula>
    </cfRule>
  </conditionalFormatting>
  <conditionalFormatting sqref="J61">
    <cfRule type="cellIs" dxfId="88" priority="9" operator="between">
      <formula>6</formula>
      <formula>15</formula>
    </cfRule>
  </conditionalFormatting>
  <conditionalFormatting sqref="J65:J68">
    <cfRule type="cellIs" dxfId="87" priority="1" operator="lessThan">
      <formula>0</formula>
    </cfRule>
    <cfRule type="cellIs" dxfId="86" priority="5" operator="between">
      <formula>6</formula>
      <formula>15</formula>
    </cfRule>
    <cfRule type="cellIs" dxfId="85" priority="6" operator="between">
      <formula>1</formula>
      <formula>5</formula>
    </cfRule>
    <cfRule type="cellIs" dxfId="76" priority="7" operator="between">
      <formula>16</formula>
      <formula>60</formula>
    </cfRule>
  </conditionalFormatting>
  <conditionalFormatting sqref="J65:J68">
    <cfRule type="cellIs" dxfId="84" priority="3" operator="between">
      <formula>1</formula>
      <formula>5</formula>
    </cfRule>
    <cfRule type="cellIs" dxfId="83" priority="4" operator="between">
      <formula>16</formula>
      <formula>60</formula>
    </cfRule>
  </conditionalFormatting>
  <conditionalFormatting sqref="J65:J68">
    <cfRule type="cellIs" dxfId="82" priority="2" operator="between">
      <formula>6</formula>
      <formula>15</formula>
    </cfRule>
  </conditionalFormatting>
  <dataValidations disablePrompts="1" count="3">
    <dataValidation type="list" allowBlank="1" showInputMessage="1" showErrorMessage="1" sqref="D23 D7" xr:uid="{ADD958A5-7DF4-44CB-88F1-656EB7231792}">
      <formula1>"ENERO,FEBRERO,MARZO,ABRIL,MAYO,JUNIO,JULIO,AGOSTO,SEPTIEMBRE,OCTUBRE,NOVIEMBRE,DICIEMBRE"</formula1>
    </dataValidation>
    <dataValidation type="list" allowBlank="1" showInputMessage="1" showErrorMessage="1" sqref="G60:G63 G82:G86 G79:G80 D138 G71:G72 G74:G77 G30:G32 G52:G58 G25:G28 G34:G40 G88:G103 G105:G108 G49:G50 G42:G47 G110:G113 G65:G69" xr:uid="{1F7CAD7B-1D6A-4B5C-9DF1-C7E5B726C96B}">
      <formula1>"Cancelado,Pagar,Sin Pagar"</formula1>
    </dataValidation>
    <dataValidation type="list" allowBlank="1" showInputMessage="1" showErrorMessage="1" sqref="B13:B19" xr:uid="{872CD901-2BD2-45C1-81AA-48840DAC632B}">
      <formula1>"Sin Pagar,Pagado"</formula1>
    </dataValidation>
  </dataValidations>
  <pageMargins left="0.7" right="0.7" top="0.75" bottom="0.75" header="0.3" footer="0.3"/>
  <pageSetup orientation="portrait" r:id="rId1"/>
  <ignoredErrors>
    <ignoredError sqref="J114:J116 J48:J57 G15:G16 J69:J82 J59:J60 J63:J64 J26:J42 J43:J46 J84:J110 J65" unlockedFormula="1"/>
  </ignoredError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80ED-E137-4D86-80C8-3A248E50FACE}">
  <dimension ref="A1:S159"/>
  <sheetViews>
    <sheetView showGridLines="0" topLeftCell="B94" zoomScaleNormal="100" workbookViewId="0">
      <selection activeCell="D95" sqref="D95:D97"/>
    </sheetView>
  </sheetViews>
  <sheetFormatPr baseColWidth="10" defaultColWidth="9.109375" defaultRowHeight="14.4" outlineLevelRow="1"/>
  <cols>
    <col min="1" max="1" width="2.109375" style="468" customWidth="1"/>
    <col min="2" max="2" width="14.6640625" style="467" bestFit="1" customWidth="1"/>
    <col min="3" max="3" width="70.88671875" style="468" customWidth="1"/>
    <col min="4" max="4" width="24.44140625" style="469" customWidth="1"/>
    <col min="5" max="5" width="19.33203125" style="469" bestFit="1" customWidth="1"/>
    <col min="6" max="6" width="20.109375" style="468" bestFit="1" customWidth="1"/>
    <col min="7" max="7" width="16.88671875" style="468" customWidth="1"/>
    <col min="8" max="8" width="11.88671875" style="468" hidden="1" customWidth="1"/>
    <col min="9" max="9" width="6" style="468" hidden="1" customWidth="1"/>
    <col min="10" max="10" width="16.5546875" style="468" customWidth="1"/>
    <col min="11" max="11" width="2.109375" style="468" customWidth="1"/>
    <col min="12" max="12" width="2.33203125" style="468" customWidth="1"/>
    <col min="13" max="14" width="15.5546875" style="468" bestFit="1" customWidth="1"/>
    <col min="15" max="15" width="13.88671875" style="468" bestFit="1" customWidth="1"/>
    <col min="16" max="16" width="19.33203125" style="468" bestFit="1" customWidth="1"/>
    <col min="17" max="17" width="15.33203125" style="468" bestFit="1" customWidth="1"/>
    <col min="18" max="18" width="14" style="468" bestFit="1" customWidth="1"/>
    <col min="19" max="19" width="13" style="468" bestFit="1" customWidth="1"/>
    <col min="20" max="16384" width="9.109375" style="468"/>
  </cols>
  <sheetData>
    <row r="1" spans="2:10" hidden="1">
      <c r="D1" s="469">
        <v>42400</v>
      </c>
    </row>
    <row r="2" spans="2:10">
      <c r="D2" s="70"/>
      <c r="E2" s="70"/>
      <c r="I2" s="71"/>
    </row>
    <row r="3" spans="2:10">
      <c r="E3" s="72"/>
      <c r="I3" s="71"/>
    </row>
    <row r="4" spans="2:10" ht="15.6">
      <c r="B4" s="73"/>
      <c r="C4" s="73"/>
      <c r="D4" s="74" t="s">
        <v>109</v>
      </c>
      <c r="E4" s="75">
        <v>46054</v>
      </c>
      <c r="I4" s="71"/>
    </row>
    <row r="5" spans="2:10">
      <c r="D5" s="70"/>
      <c r="E5" s="70"/>
      <c r="I5" s="71"/>
    </row>
    <row r="6" spans="2:10">
      <c r="C6" s="76" t="s">
        <v>110</v>
      </c>
      <c r="D6" s="39">
        <v>3.4396418582799999</v>
      </c>
      <c r="E6" s="70"/>
      <c r="I6" s="71"/>
      <c r="J6" s="85"/>
    </row>
    <row r="7" spans="2:10" ht="15.6">
      <c r="C7" s="77"/>
      <c r="D7" s="521" t="s">
        <v>1239</v>
      </c>
      <c r="E7" s="521"/>
      <c r="I7" s="71"/>
      <c r="J7" s="85"/>
    </row>
    <row r="8" spans="2:10">
      <c r="D8" s="78" t="s">
        <v>142</v>
      </c>
      <c r="E8" s="78" t="s">
        <v>112</v>
      </c>
      <c r="J8" s="181"/>
    </row>
    <row r="9" spans="2:10" s="79" customFormat="1" ht="15.6">
      <c r="C9" s="80" t="s">
        <v>113</v>
      </c>
      <c r="D9" s="159">
        <f>SUBTOTAL(9,D10:D15)</f>
        <v>242683.51527369599</v>
      </c>
      <c r="E9" s="81">
        <f>SUBTOTAL(9,E10:E15)</f>
        <v>70554.879046346527</v>
      </c>
      <c r="F9" s="82"/>
      <c r="I9" s="71"/>
    </row>
    <row r="10" spans="2:10" s="71" customFormat="1" outlineLevel="1">
      <c r="B10" s="83"/>
      <c r="C10" s="84" t="s">
        <v>141</v>
      </c>
      <c r="D10" s="39">
        <f>'BBVA SOLES'!$G$68+'BCP SOLES BCP'!$G$907+15810.89</f>
        <v>206637.84537186328</v>
      </c>
      <c r="E10" s="85">
        <f>D10/$D$6</f>
        <v>60075.395603887948</v>
      </c>
      <c r="F10" s="86"/>
    </row>
    <row r="11" spans="2:10" s="71" customFormat="1" outlineLevel="1">
      <c r="B11" s="83"/>
      <c r="C11" s="84" t="s">
        <v>114</v>
      </c>
      <c r="D11" s="39">
        <f>E11*$D$6</f>
        <v>524.86772352150228</v>
      </c>
      <c r="E11" s="85">
        <f>'BBVA USD'!$G$24+'BCP USD BCP'!$G$375</f>
        <v>152.59371328384853</v>
      </c>
      <c r="F11" s="86"/>
    </row>
    <row r="12" spans="2:10" s="71" customFormat="1" outlineLevel="1">
      <c r="B12" s="176" t="s">
        <v>169</v>
      </c>
      <c r="C12" s="177" t="s">
        <v>1282</v>
      </c>
      <c r="D12" s="40">
        <f>E12*$D$6</f>
        <v>4058.7773927703997</v>
      </c>
      <c r="E12" s="178">
        <f>'BCP USD BCP'!E380</f>
        <v>1180</v>
      </c>
      <c r="F12" s="86"/>
    </row>
    <row r="13" spans="2:10" s="71" customFormat="1" outlineLevel="1">
      <c r="B13" s="176" t="s">
        <v>169</v>
      </c>
      <c r="C13" s="177" t="s">
        <v>1283</v>
      </c>
      <c r="D13" s="40">
        <f>E13*$D$6</f>
        <v>4058.7773927703997</v>
      </c>
      <c r="E13" s="178">
        <f>'BCP USD BCP'!E381</f>
        <v>1180</v>
      </c>
      <c r="F13" s="86"/>
    </row>
    <row r="14" spans="2:10" s="71" customFormat="1" outlineLevel="1">
      <c r="B14" s="176" t="s">
        <v>169</v>
      </c>
      <c r="C14" s="177" t="s">
        <v>1284</v>
      </c>
      <c r="D14" s="40">
        <f>E14*$D$6</f>
        <v>4058.7773927703997</v>
      </c>
      <c r="E14" s="178">
        <f>'BCP USD BCP'!E382</f>
        <v>1180</v>
      </c>
    </row>
    <row r="15" spans="2:10" s="71" customFormat="1" outlineLevel="1">
      <c r="B15" s="176" t="s">
        <v>169</v>
      </c>
      <c r="C15" s="177" t="s">
        <v>1240</v>
      </c>
      <c r="D15" s="40">
        <f>'BCP SOLES BCP'!E971+'BCP SOLES BCP'!E973</f>
        <v>23344.47</v>
      </c>
      <c r="E15" s="178">
        <f>D15/D6</f>
        <v>6786.8897291747262</v>
      </c>
      <c r="F15" s="39">
        <v>23344.47</v>
      </c>
      <c r="G15" s="374">
        <f>D15-F15</f>
        <v>0</v>
      </c>
    </row>
    <row r="16" spans="2:10" s="71" customFormat="1" ht="15.6">
      <c r="B16" s="83"/>
      <c r="C16" s="87" t="s">
        <v>115</v>
      </c>
      <c r="D16" s="159">
        <f>SUBTOTAL(9,D17:D26)</f>
        <v>560063.58629999997</v>
      </c>
      <c r="E16" s="81">
        <f>SUBTOTAL(9,E17:E26)</f>
        <v>170192.4968693009</v>
      </c>
      <c r="F16" s="303"/>
      <c r="G16" s="303"/>
      <c r="J16" s="183"/>
    </row>
    <row r="17" spans="2:19" s="71" customFormat="1" ht="28.8" outlineLevel="1">
      <c r="B17" s="252" t="s">
        <v>116</v>
      </c>
      <c r="C17" s="186" t="s">
        <v>824</v>
      </c>
      <c r="D17" s="39">
        <f>$E$17*3.2</f>
        <v>0</v>
      </c>
      <c r="E17" s="271">
        <f>9312*0</f>
        <v>0</v>
      </c>
      <c r="F17" s="85"/>
      <c r="G17" s="387"/>
      <c r="J17" s="387"/>
      <c r="M17" s="305"/>
      <c r="N17" s="304"/>
    </row>
    <row r="18" spans="2:19" s="71" customFormat="1" outlineLevel="1">
      <c r="B18" s="252" t="s">
        <v>116</v>
      </c>
      <c r="C18" s="186" t="s">
        <v>1238</v>
      </c>
      <c r="D18" s="39">
        <f>14579.1*0</f>
        <v>0</v>
      </c>
      <c r="E18" s="271">
        <f>D18/D6</f>
        <v>0</v>
      </c>
      <c r="F18" s="476"/>
      <c r="G18" s="387"/>
      <c r="J18" s="387"/>
      <c r="M18" s="305"/>
      <c r="N18" s="304"/>
    </row>
    <row r="19" spans="2:19" s="71" customFormat="1" outlineLevel="1">
      <c r="B19" s="176" t="s">
        <v>169</v>
      </c>
      <c r="C19" s="177" t="s">
        <v>1271</v>
      </c>
      <c r="D19" s="40">
        <v>42553.08</v>
      </c>
      <c r="E19" s="185">
        <f>D19/3.29</f>
        <v>12934.066869300912</v>
      </c>
      <c r="F19" s="85"/>
      <c r="G19" s="387"/>
      <c r="J19" s="387"/>
      <c r="M19" s="305"/>
      <c r="N19" s="304"/>
    </row>
    <row r="20" spans="2:19" s="71" customFormat="1" outlineLevel="1">
      <c r="B20" s="176" t="s">
        <v>169</v>
      </c>
      <c r="C20" s="478" t="s">
        <v>1275</v>
      </c>
      <c r="D20" s="40">
        <f t="shared" ref="D20:D26" si="0">E20*3.29</f>
        <v>18784.616900000001</v>
      </c>
      <c r="E20" s="185">
        <v>5709.61</v>
      </c>
      <c r="F20" s="271"/>
    </row>
    <row r="21" spans="2:19" s="342" customFormat="1" outlineLevel="1">
      <c r="B21" s="176" t="s">
        <v>169</v>
      </c>
      <c r="C21" s="477" t="s">
        <v>1272</v>
      </c>
      <c r="D21" s="40">
        <f t="shared" si="0"/>
        <v>96744.588500000013</v>
      </c>
      <c r="E21" s="185">
        <v>29405.65</v>
      </c>
      <c r="F21" s="271">
        <f>'BCP USD BCP'!E386</f>
        <v>29365.65</v>
      </c>
      <c r="G21" s="271">
        <f>+E21-F21</f>
        <v>40</v>
      </c>
      <c r="H21" s="399"/>
      <c r="I21" s="399"/>
      <c r="J21" s="271"/>
    </row>
    <row r="22" spans="2:19" s="342" customFormat="1" outlineLevel="1">
      <c r="B22" s="176" t="s">
        <v>169</v>
      </c>
      <c r="C22" s="470" t="s">
        <v>1281</v>
      </c>
      <c r="D22" s="40">
        <f>'Diferencia Cambio S&amp;P'!L54</f>
        <v>30743.59</v>
      </c>
      <c r="E22" s="185">
        <f>D22/'Diferencia Cambio S&amp;P'!K54</f>
        <v>9304.9599999999991</v>
      </c>
      <c r="F22" s="271"/>
      <c r="G22" s="271"/>
      <c r="H22" s="399"/>
      <c r="I22" s="399"/>
      <c r="J22" s="271"/>
    </row>
    <row r="23" spans="2:19" s="71" customFormat="1" outlineLevel="1">
      <c r="B23" s="176" t="s">
        <v>169</v>
      </c>
      <c r="C23" s="177" t="s">
        <v>1262</v>
      </c>
      <c r="D23" s="213">
        <f t="shared" si="0"/>
        <v>6000.1704</v>
      </c>
      <c r="E23" s="178">
        <v>1823.76</v>
      </c>
      <c r="F23" s="271"/>
      <c r="G23" s="271"/>
      <c r="M23" s="271"/>
      <c r="N23" s="304"/>
    </row>
    <row r="24" spans="2:19" s="71" customFormat="1" outlineLevel="1">
      <c r="B24" s="176" t="s">
        <v>169</v>
      </c>
      <c r="C24" s="177" t="s">
        <v>1261</v>
      </c>
      <c r="D24" s="213">
        <f t="shared" si="0"/>
        <v>731.72889999999995</v>
      </c>
      <c r="E24" s="178">
        <v>222.41</v>
      </c>
      <c r="F24" s="271"/>
      <c r="G24" s="271"/>
      <c r="M24" s="271" t="s">
        <v>340</v>
      </c>
      <c r="N24" s="304"/>
    </row>
    <row r="25" spans="2:19" s="71" customFormat="1" outlineLevel="1">
      <c r="B25" s="176" t="s">
        <v>169</v>
      </c>
      <c r="C25" s="177" t="s">
        <v>1343</v>
      </c>
      <c r="D25" s="40">
        <f>E25*3.29</f>
        <v>18132.834999999999</v>
      </c>
      <c r="E25" s="185">
        <v>5511.5</v>
      </c>
      <c r="F25" s="271">
        <v>95475.65</v>
      </c>
      <c r="G25" s="271">
        <f>'BCP USD BCP'!E382</f>
        <v>1180</v>
      </c>
      <c r="J25" s="271">
        <f>SUM(F25:G25)</f>
        <v>96655.65</v>
      </c>
      <c r="K25" s="304"/>
      <c r="M25" s="304">
        <f>J25-E25</f>
        <v>91144.15</v>
      </c>
      <c r="N25" s="304"/>
    </row>
    <row r="26" spans="2:19" s="71" customFormat="1" outlineLevel="1">
      <c r="B26" s="176" t="s">
        <v>169</v>
      </c>
      <c r="C26" s="177" t="s">
        <v>1267</v>
      </c>
      <c r="D26" s="40">
        <f t="shared" si="0"/>
        <v>346372.97659999999</v>
      </c>
      <c r="E26" s="185">
        <v>105280.54</v>
      </c>
      <c r="F26" s="271">
        <v>95475.65</v>
      </c>
      <c r="G26" s="271">
        <f>'BCP USD BCP'!E383</f>
        <v>9774.9</v>
      </c>
      <c r="J26" s="271">
        <f>SUM(F26:G26)</f>
        <v>105250.54999999999</v>
      </c>
      <c r="K26" s="304"/>
      <c r="M26" s="304">
        <f>J26-E26</f>
        <v>-29.990000000005239</v>
      </c>
      <c r="N26" s="304"/>
    </row>
    <row r="27" spans="2:19" s="71" customFormat="1" ht="15.6">
      <c r="B27" s="83"/>
      <c r="C27" s="90" t="s">
        <v>117</v>
      </c>
      <c r="D27" s="226">
        <f>SUBTOTAL(9,D9:D26)</f>
        <v>802747.10157369613</v>
      </c>
      <c r="E27" s="92">
        <f>SUBTOTAL(9,E9:E26)</f>
        <v>240747.37591564743</v>
      </c>
      <c r="F27" s="93"/>
      <c r="G27" s="85"/>
      <c r="J27" s="253"/>
      <c r="K27" s="94"/>
      <c r="O27" s="95"/>
      <c r="P27" s="96"/>
      <c r="Q27" s="97"/>
    </row>
    <row r="28" spans="2:19" s="71" customFormat="1" ht="15.6">
      <c r="B28" s="83"/>
      <c r="C28" s="98"/>
      <c r="D28" s="99"/>
      <c r="E28" s="99"/>
      <c r="G28" s="100"/>
      <c r="O28" s="96"/>
      <c r="P28" s="96"/>
    </row>
    <row r="29" spans="2:19" s="71" customFormat="1" ht="15.6">
      <c r="B29" s="83"/>
      <c r="N29" s="101"/>
      <c r="O29" s="102"/>
      <c r="P29" s="103"/>
    </row>
    <row r="30" spans="2:19" s="71" customFormat="1" ht="15.6">
      <c r="B30" s="521" t="s">
        <v>118</v>
      </c>
      <c r="C30" s="521"/>
      <c r="D30" s="521" t="s">
        <v>1239</v>
      </c>
      <c r="E30" s="521"/>
      <c r="F30" s="521" t="s">
        <v>109</v>
      </c>
      <c r="G30" s="521"/>
      <c r="H30" s="466"/>
      <c r="I30" s="466"/>
      <c r="J30" s="175">
        <v>46054</v>
      </c>
      <c r="K30" s="103"/>
      <c r="L30" s="103"/>
      <c r="N30" s="101"/>
      <c r="R30" s="89"/>
      <c r="S30" s="89"/>
    </row>
    <row r="31" spans="2:19" s="71" customFormat="1" ht="16.2" thickBot="1">
      <c r="B31" s="104" t="s">
        <v>119</v>
      </c>
      <c r="C31" s="105" t="s">
        <v>120</v>
      </c>
      <c r="D31" s="78" t="s">
        <v>150</v>
      </c>
      <c r="E31" s="78" t="s">
        <v>112</v>
      </c>
      <c r="F31" s="106" t="s">
        <v>121</v>
      </c>
      <c r="G31" s="101" t="s">
        <v>122</v>
      </c>
      <c r="H31" s="101"/>
      <c r="I31" s="101"/>
      <c r="J31" s="107" t="s">
        <v>123</v>
      </c>
      <c r="N31" s="108"/>
      <c r="R31" s="89"/>
      <c r="S31" s="109"/>
    </row>
    <row r="32" spans="2:19" s="71" customFormat="1" ht="16.2" thickBot="1">
      <c r="B32" s="83"/>
      <c r="C32" s="110" t="s">
        <v>124</v>
      </c>
      <c r="D32" s="160">
        <f>SUBTOTAL(9,D33:D35)</f>
        <v>11381.919999999998</v>
      </c>
      <c r="E32" s="111">
        <f>SUBTOTAL(9,E33:E35)</f>
        <v>3309.0421819937824</v>
      </c>
      <c r="F32" s="112"/>
      <c r="J32" s="113"/>
    </row>
    <row r="33" spans="1:19" s="71" customFormat="1" outlineLevel="1">
      <c r="B33" s="83">
        <v>2221860127</v>
      </c>
      <c r="C33" s="442" t="s">
        <v>825</v>
      </c>
      <c r="D33" s="39">
        <f>4002.6+167.26+290.05+126.04+165.95+187.75</f>
        <v>4939.6499999999996</v>
      </c>
      <c r="E33" s="115">
        <f>D33/$D$6</f>
        <v>1436.094280603412</v>
      </c>
      <c r="F33" s="116">
        <v>46059</v>
      </c>
      <c r="G33" s="71" t="s">
        <v>126</v>
      </c>
      <c r="H33" s="71">
        <f>IF(OR(G33="Sin pagar",G33="Pagar"),(_xlfn.SINGLE(NETWORKDAYS($J$30,F33,FestivosPerú!$A$2:$A$31))),0)</f>
        <v>0</v>
      </c>
      <c r="I33" s="71">
        <f>NETWORKDAYS($J$30,F33,FestivosPerú!$A$2:$A$31)</f>
        <v>5</v>
      </c>
      <c r="J33" s="117">
        <f t="shared" ref="J33:J38" si="1">H33</f>
        <v>0</v>
      </c>
      <c r="M33" s="530" t="s">
        <v>699</v>
      </c>
      <c r="N33" s="86"/>
    </row>
    <row r="34" spans="1:19" s="71" customFormat="1" outlineLevel="1">
      <c r="A34" s="86"/>
      <c r="B34" s="331">
        <v>2517434836</v>
      </c>
      <c r="C34" s="442" t="s">
        <v>827</v>
      </c>
      <c r="D34" s="39">
        <v>3466.29</v>
      </c>
      <c r="E34" s="115">
        <f>D34/$D$6</f>
        <v>1007.7473594106467</v>
      </c>
      <c r="F34" s="116">
        <v>46059</v>
      </c>
      <c r="G34" s="71" t="s">
        <v>126</v>
      </c>
      <c r="H34" s="71">
        <f>IF(OR(G34="Sin pagar",G34="Pagar"),(_xlfn.SINGLE(NETWORKDAYS($J$30,F34,FestivosPerú!$A$2:$A$31))),0)</f>
        <v>0</v>
      </c>
      <c r="I34" s="71">
        <f>NETWORKDAYS($J$30,F34,FestivosPerú!$A$2:$A$31)</f>
        <v>5</v>
      </c>
      <c r="J34" s="117">
        <f t="shared" si="1"/>
        <v>0</v>
      </c>
      <c r="K34" s="89"/>
      <c r="L34" s="89"/>
      <c r="M34" s="530"/>
      <c r="N34" s="118"/>
      <c r="Q34" s="39"/>
      <c r="S34" s="374"/>
    </row>
    <row r="35" spans="1:19" s="71" customFormat="1" ht="15" outlineLevel="1" thickBot="1">
      <c r="A35" s="86"/>
      <c r="B35" s="330">
        <v>2609826962</v>
      </c>
      <c r="C35" s="442" t="s">
        <v>826</v>
      </c>
      <c r="D35" s="39">
        <f>2641.46+167.26+167.26</f>
        <v>2975.9800000000005</v>
      </c>
      <c r="E35" s="115">
        <f>D35/$D$6</f>
        <v>865.20054197972388</v>
      </c>
      <c r="F35" s="116">
        <v>46059</v>
      </c>
      <c r="G35" s="71" t="s">
        <v>126</v>
      </c>
      <c r="H35" s="71">
        <f>IF(OR(G35="Sin pagar",G35="Pagar"),(_xlfn.SINGLE(NETWORKDAYS($J$30,F35,FestivosPerú!$A$2:$A$31))),0)</f>
        <v>0</v>
      </c>
      <c r="I35" s="71">
        <f>NETWORKDAYS($J$30,F35,FestivosPerú!$A$2:$A$31)</f>
        <v>5</v>
      </c>
      <c r="J35" s="117">
        <f t="shared" si="1"/>
        <v>0</v>
      </c>
      <c r="K35" s="89"/>
      <c r="L35" s="89"/>
      <c r="M35" s="530"/>
      <c r="N35" s="118"/>
      <c r="Q35" s="39"/>
      <c r="S35" s="374"/>
    </row>
    <row r="36" spans="1:19" s="71" customFormat="1" ht="16.2" thickBot="1">
      <c r="B36" s="83"/>
      <c r="C36" s="110" t="s">
        <v>125</v>
      </c>
      <c r="D36" s="160">
        <f>SUBTOTAL(9,D37:D38)</f>
        <v>20965</v>
      </c>
      <c r="E36" s="111">
        <f>SUBTOTAL(9,E37:E38)</f>
        <v>6095.1113121072412</v>
      </c>
      <c r="J36" s="113">
        <f t="shared" si="1"/>
        <v>0</v>
      </c>
      <c r="Q36" s="374"/>
      <c r="S36" s="374"/>
    </row>
    <row r="37" spans="1:19" s="71" customFormat="1" outlineLevel="1">
      <c r="B37" s="173"/>
      <c r="C37" s="186" t="s">
        <v>885</v>
      </c>
      <c r="D37" s="39">
        <v>20850</v>
      </c>
      <c r="E37" s="115">
        <f>D37/$D$6</f>
        <v>6061.6775987329347</v>
      </c>
      <c r="F37" s="116">
        <v>46069</v>
      </c>
      <c r="G37" s="71" t="s">
        <v>126</v>
      </c>
      <c r="H37" s="71">
        <f>IF(OR(G37="Sin pagar",G37="Pagar"),(_xlfn.SINGLE(NETWORKDAYS($J$30,F37,FestivosPerú!$A$2:$A$31))),0)</f>
        <v>0</v>
      </c>
      <c r="I37" s="71">
        <f>NETWORKDAYS($J$30,F37,FestivosPerú!$A$2:$A$31)</f>
        <v>11</v>
      </c>
      <c r="J37" s="117">
        <f t="shared" si="1"/>
        <v>0</v>
      </c>
      <c r="K37" s="120"/>
      <c r="L37" s="94"/>
      <c r="M37" s="377" t="s">
        <v>701</v>
      </c>
      <c r="N37" s="118"/>
      <c r="Q37" s="374"/>
    </row>
    <row r="38" spans="1:19" s="71" customFormat="1" ht="15" outlineLevel="1" thickBot="1">
      <c r="B38" s="119"/>
      <c r="C38" s="186" t="s">
        <v>1241</v>
      </c>
      <c r="D38" s="209">
        <v>115</v>
      </c>
      <c r="E38" s="232">
        <f>D38/$D$6</f>
        <v>33.433713374306357</v>
      </c>
      <c r="F38" s="116">
        <v>46069</v>
      </c>
      <c r="G38" s="71" t="s">
        <v>126</v>
      </c>
      <c r="H38" s="71">
        <f>IF(OR(G38="Sin pagar",G38="Pagar"),(_xlfn.SINGLE(NETWORKDAYS($J$30,F38,FestivosPerú!$A$2:$A$31))),0)</f>
        <v>0</v>
      </c>
      <c r="I38" s="71">
        <f>NETWORKDAYS($J$30,F38,FestivosPerú!$A$2:$A$31)</f>
        <v>11</v>
      </c>
      <c r="J38" s="117">
        <f t="shared" si="1"/>
        <v>0</v>
      </c>
      <c r="K38" s="120"/>
      <c r="L38" s="94"/>
      <c r="M38" s="300" t="s">
        <v>700</v>
      </c>
      <c r="N38" s="118"/>
    </row>
    <row r="39" spans="1:19" s="71" customFormat="1" ht="16.2" thickBot="1">
      <c r="B39" s="83"/>
      <c r="C39" s="110" t="s">
        <v>144</v>
      </c>
      <c r="D39" s="160">
        <f>SUBTOTAL(9,D40:D45)</f>
        <v>2006</v>
      </c>
      <c r="E39" s="111">
        <f>SUBTOTAL(9,E40:E45)</f>
        <v>583.20025242485701</v>
      </c>
      <c r="J39" s="117">
        <f t="shared" ref="J39:J45" si="2">H39</f>
        <v>0</v>
      </c>
      <c r="K39" s="89"/>
      <c r="L39" s="89"/>
      <c r="N39" s="118"/>
    </row>
    <row r="40" spans="1:19" s="71" customFormat="1" outlineLevel="1">
      <c r="B40" s="83" t="s">
        <v>1324</v>
      </c>
      <c r="C40" s="186" t="s">
        <v>1242</v>
      </c>
      <c r="D40" s="39">
        <v>590</v>
      </c>
      <c r="E40" s="115">
        <f t="shared" ref="E40:E45" si="3">D40/$D$6</f>
        <v>171.52948600731088</v>
      </c>
      <c r="F40" s="116">
        <v>46079</v>
      </c>
      <c r="G40" s="71" t="s">
        <v>126</v>
      </c>
      <c r="H40" s="71">
        <f>IF(OR(G40="Sin pagar",G40="Pagar"),(_xlfn.SINGLE(NETWORKDAYS($J$30,F40,FestivosPerú!$A$2:$A$31))),0)</f>
        <v>0</v>
      </c>
      <c r="I40" s="71">
        <f>NETWORKDAYS($J$30,F40,FestivosPerú!$A$2:$A$31)</f>
        <v>19</v>
      </c>
      <c r="J40" s="117">
        <f t="shared" si="2"/>
        <v>0</v>
      </c>
      <c r="M40" s="299" t="s">
        <v>1137</v>
      </c>
      <c r="N40" s="86"/>
    </row>
    <row r="41" spans="1:19" s="71" customFormat="1" outlineLevel="1">
      <c r="B41" s="83" t="s">
        <v>1325</v>
      </c>
      <c r="C41" s="186" t="s">
        <v>1243</v>
      </c>
      <c r="D41" s="39">
        <v>590</v>
      </c>
      <c r="E41" s="115">
        <f t="shared" si="3"/>
        <v>171.52948600731088</v>
      </c>
      <c r="F41" s="116">
        <v>46079</v>
      </c>
      <c r="G41" s="71" t="s">
        <v>126</v>
      </c>
      <c r="H41" s="71">
        <f>IF(OR(G41="Sin pagar",G41="Pagar"),(_xlfn.SINGLE(NETWORKDAYS($J$30,F41,FestivosPerú!$A$2:$A$31))),0)</f>
        <v>0</v>
      </c>
      <c r="I41" s="71">
        <f>NETWORKDAYS($J$30,F41,FestivosPerú!$A$2:$A$31)</f>
        <v>19</v>
      </c>
      <c r="J41" s="117">
        <f t="shared" si="2"/>
        <v>0</v>
      </c>
      <c r="M41" s="299" t="s">
        <v>1137</v>
      </c>
      <c r="N41" s="86"/>
    </row>
    <row r="42" spans="1:19" s="71" customFormat="1" outlineLevel="1">
      <c r="B42" s="83" t="s">
        <v>1326</v>
      </c>
      <c r="C42" s="186" t="s">
        <v>1327</v>
      </c>
      <c r="D42" s="39">
        <v>826</v>
      </c>
      <c r="E42" s="115">
        <f t="shared" si="3"/>
        <v>240.14128041023523</v>
      </c>
      <c r="F42" s="116">
        <v>46079</v>
      </c>
      <c r="G42" s="71" t="s">
        <v>126</v>
      </c>
      <c r="H42" s="71">
        <f>IF(OR(G42="Sin pagar",G42="Pagar"),(_xlfn.SINGLE(NETWORKDAYS($J$30,F42,FestivosPerú!$A$2:$A$31))),0)</f>
        <v>0</v>
      </c>
      <c r="I42" s="71">
        <f>NETWORKDAYS($J$30,F42,FestivosPerú!$A$2:$A$31)</f>
        <v>19</v>
      </c>
      <c r="J42" s="117">
        <f t="shared" si="2"/>
        <v>0</v>
      </c>
      <c r="M42" s="299" t="s">
        <v>1137</v>
      </c>
      <c r="N42" s="86"/>
    </row>
    <row r="43" spans="1:19" s="71" customFormat="1" outlineLevel="1">
      <c r="B43" s="83" t="s">
        <v>1320</v>
      </c>
      <c r="C43" s="186" t="s">
        <v>1321</v>
      </c>
      <c r="D43" s="39">
        <f>826*0</f>
        <v>0</v>
      </c>
      <c r="E43" s="115">
        <f t="shared" si="3"/>
        <v>0</v>
      </c>
      <c r="F43" s="116">
        <v>46082</v>
      </c>
      <c r="G43" s="71" t="s">
        <v>116</v>
      </c>
      <c r="H43" s="71">
        <f>IF(OR(G43="Sin pagar",G43="Pagar"),(_xlfn.SINGLE(NETWORKDAYS($J$30,F43,FestivosPerú!$A$2:$A$31))),0)</f>
        <v>20</v>
      </c>
      <c r="I43" s="71">
        <f>NETWORKDAYS($J$30,F43,FestivosPerú!$A$2:$A$31)</f>
        <v>20</v>
      </c>
      <c r="J43" s="117">
        <f t="shared" si="2"/>
        <v>20</v>
      </c>
      <c r="M43" s="299" t="s">
        <v>1137</v>
      </c>
      <c r="N43" s="86"/>
    </row>
    <row r="44" spans="1:19" s="71" customFormat="1" outlineLevel="1">
      <c r="B44" s="83" t="s">
        <v>1322</v>
      </c>
      <c r="C44" s="186" t="s">
        <v>1323</v>
      </c>
      <c r="D44" s="39">
        <f>826*0</f>
        <v>0</v>
      </c>
      <c r="E44" s="115">
        <f t="shared" si="3"/>
        <v>0</v>
      </c>
      <c r="F44" s="116">
        <v>46082</v>
      </c>
      <c r="G44" s="71" t="s">
        <v>116</v>
      </c>
      <c r="H44" s="71">
        <f>IF(OR(G44="Sin pagar",G44="Pagar"),(_xlfn.SINGLE(NETWORKDAYS($J$30,F44,FestivosPerú!$A$2:$A$31))),0)</f>
        <v>20</v>
      </c>
      <c r="I44" s="71">
        <f>NETWORKDAYS($J$30,F44,FestivosPerú!$A$2:$A$31)</f>
        <v>20</v>
      </c>
      <c r="J44" s="117">
        <f t="shared" si="2"/>
        <v>20</v>
      </c>
      <c r="M44" s="299" t="s">
        <v>1137</v>
      </c>
      <c r="N44" s="86"/>
    </row>
    <row r="45" spans="1:19" s="71" customFormat="1" ht="15" outlineLevel="1" thickBot="1">
      <c r="B45" s="83" t="s">
        <v>1328</v>
      </c>
      <c r="C45" s="186" t="s">
        <v>1327</v>
      </c>
      <c r="D45" s="39">
        <f>826*0</f>
        <v>0</v>
      </c>
      <c r="E45" s="115">
        <f t="shared" si="3"/>
        <v>0</v>
      </c>
      <c r="F45" s="116">
        <v>46082</v>
      </c>
      <c r="G45" s="71" t="s">
        <v>116</v>
      </c>
      <c r="H45" s="71">
        <f>IF(OR(G45="Sin pagar",G45="Pagar"),(_xlfn.SINGLE(NETWORKDAYS($J$30,F45,FestivosPerú!$A$2:$A$31))),0)</f>
        <v>20</v>
      </c>
      <c r="I45" s="71">
        <f>NETWORKDAYS($J$30,F45,FestivosPerú!$A$2:$A$31)</f>
        <v>20</v>
      </c>
      <c r="J45" s="117">
        <f t="shared" si="2"/>
        <v>20</v>
      </c>
      <c r="M45" s="299" t="s">
        <v>1137</v>
      </c>
      <c r="N45" s="86"/>
    </row>
    <row r="46" spans="1:19" s="71" customFormat="1" ht="15" customHeight="1" thickBot="1">
      <c r="C46" s="110" t="s">
        <v>162</v>
      </c>
      <c r="D46" s="160">
        <f>SUBTOTAL(9,D48:D52)</f>
        <v>2085.6799999999998</v>
      </c>
      <c r="E46" s="111">
        <f>SUBTOTAL(9,E48:E52)</f>
        <v>606.36545487411547</v>
      </c>
      <c r="J46" s="117"/>
      <c r="M46" s="122"/>
      <c r="N46" s="187"/>
      <c r="P46" s="187"/>
    </row>
    <row r="47" spans="1:19" s="71" customFormat="1" outlineLevel="1">
      <c r="B47" s="254"/>
      <c r="C47" s="186" t="s">
        <v>1253</v>
      </c>
      <c r="D47" s="39">
        <v>72.510000000000005</v>
      </c>
      <c r="E47" s="115">
        <f t="shared" ref="E47:E52" si="4">D47/$D$6</f>
        <v>21.080683102356122</v>
      </c>
      <c r="F47" s="112">
        <v>46058</v>
      </c>
      <c r="G47" s="71" t="s">
        <v>126</v>
      </c>
      <c r="H47" s="71">
        <f>IF(OR(G47="Sin pagar",G47="Pagar"),(_xlfn.SINGLE(NETWORKDAYS($J$30,F47,FestivosPerú!$A$2:$A$31))),0)</f>
        <v>0</v>
      </c>
      <c r="I47" s="71">
        <f>NETWORKDAYS($J$30,F47,FestivosPerú!$A$2:$A$31)</f>
        <v>4</v>
      </c>
      <c r="J47" s="117">
        <f t="shared" ref="J47:J52" si="5">H47</f>
        <v>0</v>
      </c>
      <c r="M47" s="299" t="s">
        <v>832</v>
      </c>
    </row>
    <row r="48" spans="1:19" s="71" customFormat="1" outlineLevel="1">
      <c r="B48" s="254"/>
      <c r="C48" s="186" t="s">
        <v>1244</v>
      </c>
      <c r="D48" s="39">
        <v>922.29</v>
      </c>
      <c r="E48" s="115">
        <f t="shared" si="4"/>
        <v>268.13547398251313</v>
      </c>
      <c r="F48" s="112">
        <v>46062</v>
      </c>
      <c r="G48" s="71" t="s">
        <v>126</v>
      </c>
      <c r="H48" s="71">
        <f>IF(OR(G48="Sin pagar",G48="Pagar"),(_xlfn.SINGLE(NETWORKDAYS($J$30,F48,FestivosPerú!$A$2:$A$31))),0)</f>
        <v>0</v>
      </c>
      <c r="I48" s="71">
        <f>NETWORKDAYS($J$30,F48,FestivosPerú!$A$2:$A$31)</f>
        <v>6</v>
      </c>
      <c r="J48" s="117">
        <f t="shared" si="5"/>
        <v>0</v>
      </c>
      <c r="M48" s="299" t="s">
        <v>832</v>
      </c>
    </row>
    <row r="49" spans="2:18" s="71" customFormat="1" outlineLevel="1">
      <c r="B49" s="254" t="s">
        <v>1219</v>
      </c>
      <c r="C49" s="186" t="s">
        <v>1245</v>
      </c>
      <c r="D49" s="39">
        <v>345.76</v>
      </c>
      <c r="E49" s="115">
        <f t="shared" si="4"/>
        <v>100.52209335913187</v>
      </c>
      <c r="F49" s="116">
        <v>46070</v>
      </c>
      <c r="G49" s="71" t="s">
        <v>126</v>
      </c>
      <c r="H49" s="71">
        <f>IF(OR(G49="Sin pagar",G49="Pagar"),(_xlfn.SINGLE(NETWORKDAYS($J$30,F49,FestivosPerú!$A$2:$A$31))),0)</f>
        <v>0</v>
      </c>
      <c r="I49" s="71">
        <f>NETWORKDAYS($J$30,F49,FestivosPerú!$A$2:$A$31)</f>
        <v>12</v>
      </c>
      <c r="J49" s="117">
        <f t="shared" si="5"/>
        <v>0</v>
      </c>
    </row>
    <row r="50" spans="2:18" s="71" customFormat="1" outlineLevel="1">
      <c r="B50" s="254" t="s">
        <v>1218</v>
      </c>
      <c r="C50" s="186" t="s">
        <v>1246</v>
      </c>
      <c r="D50" s="39">
        <v>356.13</v>
      </c>
      <c r="E50" s="115">
        <f t="shared" si="4"/>
        <v>103.53694212166715</v>
      </c>
      <c r="F50" s="116">
        <v>46070</v>
      </c>
      <c r="G50" s="71" t="s">
        <v>126</v>
      </c>
      <c r="H50" s="71">
        <f>IF(OR(G50="Sin pagar",G50="Pagar"),(_xlfn.SINGLE(NETWORKDAYS($J$30,F50,FestivosPerú!$A$2:$A$31))),0)</f>
        <v>0</v>
      </c>
      <c r="I50" s="71">
        <f>NETWORKDAYS($J$30,F50,FestivosPerú!$A$2:$A$31)</f>
        <v>12</v>
      </c>
      <c r="J50" s="117">
        <f t="shared" si="5"/>
        <v>0</v>
      </c>
    </row>
    <row r="51" spans="2:18" s="71" customFormat="1" outlineLevel="1">
      <c r="B51" s="480" t="s">
        <v>1220</v>
      </c>
      <c r="C51" s="186" t="s">
        <v>1313</v>
      </c>
      <c r="D51" s="39">
        <v>118</v>
      </c>
      <c r="E51" s="115">
        <f t="shared" si="4"/>
        <v>34.305897201462173</v>
      </c>
      <c r="F51" s="116">
        <v>46079</v>
      </c>
      <c r="G51" s="71" t="s">
        <v>126</v>
      </c>
      <c r="H51" s="71">
        <f>IF(OR(G51="Sin pagar",G51="Pagar"),(_xlfn.SINGLE(NETWORKDAYS($J$30,F51,FestivosPerú!$A$2:$A$31))),0)</f>
        <v>0</v>
      </c>
      <c r="I51" s="71">
        <f>NETWORKDAYS($J$30,F51,FestivosPerú!$A$2:$A$31)</f>
        <v>19</v>
      </c>
      <c r="J51" s="117">
        <f t="shared" si="5"/>
        <v>0</v>
      </c>
    </row>
    <row r="52" spans="2:18" s="71" customFormat="1" ht="15" outlineLevel="1" thickBot="1">
      <c r="B52" s="480" t="s">
        <v>1222</v>
      </c>
      <c r="C52" s="186" t="s">
        <v>1333</v>
      </c>
      <c r="D52" s="39">
        <v>343.5</v>
      </c>
      <c r="E52" s="115">
        <f t="shared" si="4"/>
        <v>99.865048209341154</v>
      </c>
      <c r="F52" s="116">
        <v>46079</v>
      </c>
      <c r="G52" s="71" t="s">
        <v>126</v>
      </c>
      <c r="H52" s="71">
        <f>IF(OR(G52="Sin pagar",G52="Pagar"),(_xlfn.SINGLE(NETWORKDAYS($J$30,F52,FestivosPerú!$A$2:$A$31))),0)</f>
        <v>0</v>
      </c>
      <c r="I52" s="71">
        <f>NETWORKDAYS($J$30,F52,FestivosPerú!$A$2:$A$31)</f>
        <v>19</v>
      </c>
      <c r="J52" s="117">
        <f t="shared" si="5"/>
        <v>0</v>
      </c>
    </row>
    <row r="53" spans="2:18" s="71" customFormat="1" ht="15.75" customHeight="1" thickBot="1">
      <c r="C53" s="110" t="s">
        <v>127</v>
      </c>
      <c r="D53" s="160">
        <f>SUBTOTAL(9,D54:D55)</f>
        <v>262.65685373618521</v>
      </c>
      <c r="E53" s="111">
        <f>SUBTOTAL(9,E54:E55)</f>
        <v>76.361686640110634</v>
      </c>
      <c r="M53" s="122"/>
      <c r="N53" s="187"/>
      <c r="P53" s="187"/>
    </row>
    <row r="54" spans="2:18" s="71" customFormat="1" outlineLevel="1">
      <c r="B54" s="125"/>
      <c r="C54" s="84" t="s">
        <v>999</v>
      </c>
      <c r="D54" s="39">
        <f>('BCP SOLES BCP'!$F$914+'BCP SOLES BCP'!$F$924+'BCP SOLES BCP'!$F$931+'BCP SOLES BCP'!$F$936+'BCP SOLES BCP'!$F$941+'BCP SOLES BCP'!$F$942+'BCP SOLES BCP'!$F$945+'BCP SOLES BCP'!$F$947+'BCP SOLES BCP'!$F$963+'BCP SOLES BCP'!$F$967+'BCP SOLES BCP'!$F$968)+('BBVA SOLES'!$F$76)</f>
        <v>140.24</v>
      </c>
      <c r="E54" s="115">
        <f>$D$54/$D$6</f>
        <v>40.771686640110637</v>
      </c>
      <c r="F54" s="116">
        <v>46081</v>
      </c>
      <c r="G54" s="71" t="s">
        <v>126</v>
      </c>
      <c r="H54" s="71">
        <f>IF(OR(G54="Sin pagar",G54="Pagar"),(_xlfn.SINGLE(NETWORKDAYS($J$30,F54,FestivosPerú!$A$2:$A$31))),0)</f>
        <v>0</v>
      </c>
      <c r="I54" s="71">
        <f>NETWORKDAYS($J$30,F54,FestivosPerú!$A$2:$A$31)</f>
        <v>20</v>
      </c>
      <c r="J54" s="117">
        <f>H54</f>
        <v>0</v>
      </c>
      <c r="K54" s="120"/>
      <c r="L54" s="120"/>
    </row>
    <row r="55" spans="2:18" s="71" customFormat="1" ht="15" outlineLevel="1" thickBot="1">
      <c r="B55" s="125"/>
      <c r="C55" s="84" t="s">
        <v>1000</v>
      </c>
      <c r="D55" s="39">
        <f>E55*$D$6</f>
        <v>122.4168537361852</v>
      </c>
      <c r="E55" s="115">
        <f>('BCP USD BCP'!$F$351+'BCP USD BCP'!$F$352+'BCP USD BCP'!$F$362+'BCP USD BCP'!$F$363+'BCP USD BCP'!$F$371+'BCP USD BCP'!$F$372)+('BBVA USD'!F25)</f>
        <v>35.590000000000003</v>
      </c>
      <c r="F55" s="116">
        <v>46081</v>
      </c>
      <c r="G55" s="71" t="s">
        <v>126</v>
      </c>
      <c r="H55" s="71">
        <f>IF(OR(G55="Sin pagar",G55="Pagar"),(_xlfn.SINGLE(NETWORKDAYS($J$30,F55,FestivosPerú!$A$2:$A$31))),0)</f>
        <v>0</v>
      </c>
      <c r="I55" s="71">
        <f>NETWORKDAYS($J$30,F55,FestivosPerú!$A$2:$A$31)</f>
        <v>20</v>
      </c>
      <c r="J55" s="117">
        <f>H55</f>
        <v>0</v>
      </c>
      <c r="K55" s="120"/>
      <c r="L55" s="120"/>
    </row>
    <row r="56" spans="2:18" s="71" customFormat="1" ht="16.2" thickBot="1">
      <c r="C56" s="110" t="s">
        <v>539</v>
      </c>
      <c r="D56" s="160">
        <f>SUBTOTAL(9,D57:D65)</f>
        <v>92287.784100000004</v>
      </c>
      <c r="E56" s="310">
        <f>SUBTOTAL(9,E57:E65)</f>
        <v>26830.637578689286</v>
      </c>
      <c r="J56" s="301"/>
      <c r="K56" s="89"/>
      <c r="L56" s="124"/>
      <c r="N56" s="122"/>
      <c r="O56" s="101"/>
    </row>
    <row r="57" spans="2:18" s="71" customFormat="1" outlineLevel="1">
      <c r="B57" s="183" t="s">
        <v>33</v>
      </c>
      <c r="C57" s="186" t="s">
        <v>146</v>
      </c>
      <c r="D57" s="39">
        <v>14022.96</v>
      </c>
      <c r="E57" s="115">
        <f t="shared" ref="E57:E62" si="6">D57/$D$6</f>
        <v>4076.866306950983</v>
      </c>
      <c r="F57" s="112">
        <v>46079</v>
      </c>
      <c r="G57" s="71" t="s">
        <v>126</v>
      </c>
      <c r="H57" s="71">
        <f>IF(OR(G57="Sin pagar",G57="Pagar"),(_xlfn.SINGLE(NETWORKDAYS($J$30,F57,FestivosPerú!$A$2:$A$31))),0)</f>
        <v>0</v>
      </c>
      <c r="I57" s="71">
        <f>NETWORKDAYS($J$30,F57,FestivosPerú!$A$2:$A$31)</f>
        <v>19</v>
      </c>
      <c r="J57" s="117">
        <f t="shared" ref="J57:J62" si="7">H57</f>
        <v>0</v>
      </c>
      <c r="K57" s="120"/>
      <c r="L57" s="120"/>
      <c r="M57" s="253"/>
      <c r="N57" s="122"/>
      <c r="P57" s="39"/>
      <c r="Q57" s="253"/>
      <c r="R57" s="374"/>
    </row>
    <row r="58" spans="2:18" s="71" customFormat="1" outlineLevel="1">
      <c r="B58" s="183" t="s">
        <v>33</v>
      </c>
      <c r="C58" s="186" t="s">
        <v>176</v>
      </c>
      <c r="D58" s="39">
        <v>10728.220000000001</v>
      </c>
      <c r="E58" s="115">
        <f t="shared" si="6"/>
        <v>3118.9933260565303</v>
      </c>
      <c r="F58" s="112">
        <v>46079</v>
      </c>
      <c r="G58" s="71" t="s">
        <v>126</v>
      </c>
      <c r="H58" s="71">
        <f>IF(OR(G58="Sin pagar",G58="Pagar"),(_xlfn.SINGLE(NETWORKDAYS($J$30,F58,FestivosPerú!$A$2:$A$31))),0)</f>
        <v>0</v>
      </c>
      <c r="I58" s="71">
        <f>NETWORKDAYS($J$30,F58,FestivosPerú!$A$2:$A$31)</f>
        <v>19</v>
      </c>
      <c r="J58" s="117">
        <f t="shared" si="7"/>
        <v>0</v>
      </c>
      <c r="K58" s="120"/>
      <c r="L58" s="120"/>
      <c r="M58" s="253"/>
      <c r="P58" s="39"/>
      <c r="Q58" s="253"/>
      <c r="R58" s="374"/>
    </row>
    <row r="59" spans="2:18" s="126" customFormat="1" outlineLevel="1">
      <c r="B59" s="183" t="s">
        <v>33</v>
      </c>
      <c r="C59" s="186" t="s">
        <v>275</v>
      </c>
      <c r="D59" s="39">
        <v>10956.7</v>
      </c>
      <c r="E59" s="115">
        <f t="shared" si="6"/>
        <v>3185.4188463327173</v>
      </c>
      <c r="F59" s="112">
        <v>46079</v>
      </c>
      <c r="G59" s="71" t="s">
        <v>126</v>
      </c>
      <c r="H59" s="71">
        <f>IF(OR(G59="Sin pagar",G59="Pagar"),(_xlfn.SINGLE(NETWORKDAYS($J$30,F59,FestivosPerú!$A$2:$A$31))),0)</f>
        <v>0</v>
      </c>
      <c r="I59" s="71">
        <f>NETWORKDAYS($J$30,F59,FestivosPerú!$A$2:$A$31)</f>
        <v>19</v>
      </c>
      <c r="J59" s="117">
        <f t="shared" si="7"/>
        <v>0</v>
      </c>
      <c r="L59" s="127"/>
      <c r="M59" s="309"/>
      <c r="P59" s="39"/>
      <c r="Q59" s="253"/>
      <c r="R59" s="374"/>
    </row>
    <row r="60" spans="2:18" s="126" customFormat="1" outlineLevel="1">
      <c r="B60" s="183" t="s">
        <v>33</v>
      </c>
      <c r="C60" s="186" t="s">
        <v>409</v>
      </c>
      <c r="D60" s="39">
        <v>9807.42</v>
      </c>
      <c r="E60" s="115">
        <f t="shared" si="6"/>
        <v>2851.2910367081709</v>
      </c>
      <c r="F60" s="112">
        <v>46079</v>
      </c>
      <c r="G60" s="71" t="s">
        <v>126</v>
      </c>
      <c r="H60" s="71">
        <f>IF(OR(G60="Sin pagar",G60="Pagar"),(_xlfn.SINGLE(NETWORKDAYS($J$30,F60,FestivosPerú!$A$2:$A$31))),0)</f>
        <v>0</v>
      </c>
      <c r="I60" s="71">
        <f>NETWORKDAYS($J$30,F60,FestivosPerú!$A$2:$A$31)</f>
        <v>19</v>
      </c>
      <c r="J60" s="117">
        <f t="shared" si="7"/>
        <v>0</v>
      </c>
      <c r="L60" s="127"/>
      <c r="M60" s="253"/>
      <c r="P60" s="39"/>
      <c r="Q60" s="253"/>
      <c r="R60" s="374"/>
    </row>
    <row r="61" spans="2:18" s="126" customFormat="1" outlineLevel="1">
      <c r="B61" s="183" t="s">
        <v>33</v>
      </c>
      <c r="C61" s="186" t="s">
        <v>671</v>
      </c>
      <c r="D61" s="39">
        <v>7296.58</v>
      </c>
      <c r="E61" s="115">
        <f t="shared" si="6"/>
        <v>2121.3196898495326</v>
      </c>
      <c r="F61" s="112">
        <v>46079</v>
      </c>
      <c r="G61" s="71" t="s">
        <v>126</v>
      </c>
      <c r="H61" s="71">
        <f>IF(OR(G61="Sin pagar",G61="Pagar"),(_xlfn.SINGLE(NETWORKDAYS($J$30,F61,FestivosPerú!$A$2:$A$31))),0)</f>
        <v>0</v>
      </c>
      <c r="I61" s="71">
        <f>NETWORKDAYS($J$30,F61,FestivosPerú!$A$2:$A$31)</f>
        <v>19</v>
      </c>
      <c r="J61" s="117">
        <f t="shared" si="7"/>
        <v>0</v>
      </c>
      <c r="L61" s="127"/>
      <c r="M61" s="253"/>
      <c r="P61" s="39"/>
      <c r="Q61" s="253"/>
      <c r="R61" s="374"/>
    </row>
    <row r="62" spans="2:18" s="126" customFormat="1" outlineLevel="1">
      <c r="B62" s="183" t="s">
        <v>33</v>
      </c>
      <c r="C62" s="186" t="s">
        <v>1292</v>
      </c>
      <c r="D62" s="39">
        <v>13074.2</v>
      </c>
      <c r="E62" s="115">
        <f t="shared" si="6"/>
        <v>3801.0352643335318</v>
      </c>
      <c r="F62" s="112">
        <v>46079</v>
      </c>
      <c r="G62" s="71" t="s">
        <v>126</v>
      </c>
      <c r="H62" s="71">
        <f>IF(OR(G62="Sin pagar",G62="Pagar"),(_xlfn.SINGLE(NETWORKDAYS($J$30,F62,FestivosPerú!$A$2:$A$31))),0)</f>
        <v>0</v>
      </c>
      <c r="I62" s="71">
        <f>NETWORKDAYS($J$30,F62,FestivosPerú!$A$2:$A$31)</f>
        <v>19</v>
      </c>
      <c r="J62" s="117">
        <f t="shared" si="7"/>
        <v>0</v>
      </c>
      <c r="L62" s="127"/>
      <c r="M62" s="253"/>
      <c r="P62" s="39"/>
      <c r="Q62" s="253"/>
      <c r="R62" s="374"/>
    </row>
    <row r="63" spans="2:18" s="126" customFormat="1" outlineLevel="1">
      <c r="B63" s="183" t="s">
        <v>33</v>
      </c>
      <c r="C63" s="186" t="s">
        <v>1302</v>
      </c>
      <c r="D63" s="39">
        <v>5448</v>
      </c>
      <c r="E63" s="115">
        <f>D63/$D$6</f>
        <v>1583.8858301149655</v>
      </c>
      <c r="F63" s="112">
        <v>46079</v>
      </c>
      <c r="G63" s="71" t="s">
        <v>126</v>
      </c>
      <c r="H63" s="71">
        <f>IF(OR(G63="Sin pagar",G63="Pagar"),(_xlfn.SINGLE(NETWORKDAYS($J$30,F63,FestivosPerú!$A$2:$A$31))),0)</f>
        <v>0</v>
      </c>
      <c r="I63" s="71">
        <f>NETWORKDAYS($J$30,F63,FestivosPerú!$A$2:$A$31)</f>
        <v>19</v>
      </c>
      <c r="J63" s="117">
        <f>H63</f>
        <v>0</v>
      </c>
      <c r="L63" s="127"/>
      <c r="M63" s="253"/>
      <c r="P63" s="39"/>
      <c r="Q63" s="253"/>
      <c r="R63" s="374"/>
    </row>
    <row r="64" spans="2:18" s="126" customFormat="1" outlineLevel="1">
      <c r="B64" s="183" t="s">
        <v>33</v>
      </c>
      <c r="C64" s="186" t="s">
        <v>1303</v>
      </c>
      <c r="D64" s="39">
        <v>2415.3141000000001</v>
      </c>
      <c r="E64" s="115">
        <f>D64/$D$6</f>
        <v>702.19929850713675</v>
      </c>
      <c r="F64" s="112">
        <v>46079</v>
      </c>
      <c r="G64" s="71" t="s">
        <v>126</v>
      </c>
      <c r="H64" s="71">
        <f>IF(OR(G64="Sin pagar",G64="Pagar"),(_xlfn.SINGLE(NETWORKDAYS($J$30,F64,FestivosPerú!$A$2:$A$31))),0)</f>
        <v>0</v>
      </c>
      <c r="I64" s="71">
        <f>NETWORKDAYS($J$30,F64,FestivosPerú!$A$2:$A$31)</f>
        <v>19</v>
      </c>
      <c r="J64" s="117">
        <f>H64</f>
        <v>0</v>
      </c>
      <c r="L64" s="127"/>
      <c r="M64" s="253"/>
      <c r="P64" s="39"/>
      <c r="Q64" s="253"/>
      <c r="R64" s="374"/>
    </row>
    <row r="65" spans="1:18" s="126" customFormat="1" ht="15" outlineLevel="1" thickBot="1">
      <c r="B65" s="183" t="s">
        <v>33</v>
      </c>
      <c r="C65" s="186" t="s">
        <v>1291</v>
      </c>
      <c r="D65" s="39">
        <f>18538.39</f>
        <v>18538.39</v>
      </c>
      <c r="E65" s="115">
        <f>D65/$D$6</f>
        <v>5389.6279798357145</v>
      </c>
      <c r="F65" s="112">
        <v>46079</v>
      </c>
      <c r="G65" s="71" t="s">
        <v>126</v>
      </c>
      <c r="H65" s="71">
        <f>IF(OR(G65="Sin pagar",G65="Pagar"),(_xlfn.SINGLE(NETWORKDAYS($J$30,F65,FestivosPerú!$A$2:$A$31))),0)</f>
        <v>0</v>
      </c>
      <c r="I65" s="71">
        <f>NETWORKDAYS($J$30,F65,FestivosPerú!$A$2:$A$31)</f>
        <v>19</v>
      </c>
      <c r="J65" s="117">
        <f>H65</f>
        <v>0</v>
      </c>
      <c r="L65" s="127"/>
      <c r="M65" s="253"/>
      <c r="P65" s="39"/>
      <c r="Q65" s="253"/>
      <c r="R65" s="374"/>
    </row>
    <row r="66" spans="1:18" s="71" customFormat="1" ht="16.2" thickBot="1">
      <c r="A66" s="126"/>
      <c r="B66" s="125"/>
      <c r="C66" s="110" t="s">
        <v>177</v>
      </c>
      <c r="D66" s="160">
        <f>SUBTOTAL(9,D67:D69)</f>
        <v>13144.130000000001</v>
      </c>
      <c r="E66" s="111">
        <f>SUBTOTAL(9,E67:E69)</f>
        <v>3821.3658693445336</v>
      </c>
      <c r="L66" s="89"/>
    </row>
    <row r="67" spans="1:18" s="71" customFormat="1" outlineLevel="1">
      <c r="A67" s="126"/>
      <c r="B67" s="128"/>
      <c r="C67" s="186" t="s">
        <v>178</v>
      </c>
      <c r="D67" s="39">
        <v>4606.82</v>
      </c>
      <c r="E67" s="115">
        <f>D67/$D$6</f>
        <v>1339.3312995393217</v>
      </c>
      <c r="F67" s="112">
        <v>46079</v>
      </c>
      <c r="G67" s="71" t="s">
        <v>126</v>
      </c>
      <c r="H67" s="71">
        <f>IF(OR(G67="Sin pagar",G67="Pagar"),(_xlfn.SINGLE(NETWORKDAYS($J$30,F67,FestivosPerú!$A$2:$A$31))),0)</f>
        <v>0</v>
      </c>
      <c r="I67" s="71">
        <f>NETWORKDAYS($J$30,F67,FestivosPerú!$A$2:$A$31)</f>
        <v>19</v>
      </c>
      <c r="J67" s="117">
        <f>H67</f>
        <v>0</v>
      </c>
      <c r="L67" s="89"/>
      <c r="P67" s="372"/>
    </row>
    <row r="68" spans="1:18" s="71" customFormat="1" outlineLevel="1">
      <c r="A68" s="126"/>
      <c r="B68" s="128"/>
      <c r="C68" s="186" t="s">
        <v>1143</v>
      </c>
      <c r="D68" s="39">
        <v>7872.52</v>
      </c>
      <c r="E68" s="115">
        <f>D68/$D$6</f>
        <v>2288.7615409869068</v>
      </c>
      <c r="F68" s="112">
        <v>46079</v>
      </c>
      <c r="G68" s="71" t="s">
        <v>126</v>
      </c>
      <c r="H68" s="71">
        <f>IF(OR(G68="Sin pagar",G68="Pagar"),(_xlfn.SINGLE(NETWORKDAYS($J$30,F68,FestivosPerú!$A$2:$A$31))),0)</f>
        <v>0</v>
      </c>
      <c r="I68" s="71">
        <f>NETWORKDAYS($J$30,F68,FestivosPerú!$A$2:$A$31)</f>
        <v>19</v>
      </c>
      <c r="J68" s="117">
        <f>H68</f>
        <v>0</v>
      </c>
      <c r="L68" s="89"/>
    </row>
    <row r="69" spans="1:18" s="71" customFormat="1" ht="15" outlineLevel="1" thickBot="1">
      <c r="A69" s="126"/>
      <c r="B69" s="128"/>
      <c r="C69" s="186" t="s">
        <v>326</v>
      </c>
      <c r="D69" s="39">
        <v>664.79</v>
      </c>
      <c r="E69" s="115">
        <f>D69/$D$6</f>
        <v>193.27302881830539</v>
      </c>
      <c r="F69" s="112">
        <v>46079</v>
      </c>
      <c r="G69" s="71" t="s">
        <v>126</v>
      </c>
      <c r="H69" s="71">
        <f>IF(OR(G69="Sin pagar",G69="Pagar"),(_xlfn.SINGLE(NETWORKDAYS($J$30,F69,FestivosPerú!$A$2:$A$31))),0)</f>
        <v>0</v>
      </c>
      <c r="I69" s="71">
        <f>NETWORKDAYS($J$30,F69,FestivosPerú!$A$2:$A$31)</f>
        <v>19</v>
      </c>
      <c r="J69" s="117">
        <f>H69</f>
        <v>0</v>
      </c>
      <c r="L69" s="89"/>
    </row>
    <row r="70" spans="1:18" s="71" customFormat="1" ht="16.2" thickBot="1">
      <c r="A70" s="126"/>
      <c r="B70" s="125"/>
      <c r="C70" s="110" t="s">
        <v>129</v>
      </c>
      <c r="D70" s="160">
        <f>SUBTOTAL(9,D71:D75)</f>
        <v>9916.49</v>
      </c>
      <c r="E70" s="111">
        <f>SUBTOTAL(9,E71:E75)</f>
        <v>2883.0007333841327</v>
      </c>
      <c r="L70" s="89"/>
    </row>
    <row r="71" spans="1:18" s="71" customFormat="1" outlineLevel="1">
      <c r="A71" s="126"/>
      <c r="B71" s="128"/>
      <c r="C71" s="84" t="s">
        <v>1259</v>
      </c>
      <c r="D71" s="39">
        <v>586.20000000000005</v>
      </c>
      <c r="E71" s="115">
        <f>D71/$D$6</f>
        <v>170.42471982624684</v>
      </c>
      <c r="F71" s="112">
        <v>46062</v>
      </c>
      <c r="G71" s="71" t="s">
        <v>126</v>
      </c>
      <c r="H71" s="71">
        <f>IF(OR(G71="Sin pagar",G71="Pagar"),(_xlfn.SINGLE(NETWORKDAYS($J$30,F71,FestivosPerú!$A$2:$A$31))),0)</f>
        <v>0</v>
      </c>
      <c r="I71" s="71">
        <f>NETWORKDAYS($J$30,F71,FestivosPerú!$A$2:$A$31)</f>
        <v>6</v>
      </c>
      <c r="J71" s="117">
        <f>H71</f>
        <v>0</v>
      </c>
      <c r="L71" s="89"/>
    </row>
    <row r="72" spans="1:18" s="71" customFormat="1" outlineLevel="1">
      <c r="A72" s="126"/>
      <c r="B72" s="128"/>
      <c r="C72" s="84" t="s">
        <v>1288</v>
      </c>
      <c r="D72" s="39">
        <v>131.57</v>
      </c>
      <c r="E72" s="115">
        <f>D72/$D$6</f>
        <v>38.251075379630322</v>
      </c>
      <c r="F72" s="112">
        <v>46076</v>
      </c>
      <c r="G72" s="71" t="s">
        <v>126</v>
      </c>
      <c r="H72" s="71">
        <f>IF(OR(G72="Sin pagar",G72="Pagar"),(_xlfn.SINGLE(NETWORKDAYS($J$30,F72,FestivosPerú!$A$2:$A$31))),0)</f>
        <v>0</v>
      </c>
      <c r="I72" s="71">
        <f>NETWORKDAYS($J$30,F72,FestivosPerú!$A$2:$A$31)</f>
        <v>16</v>
      </c>
      <c r="J72" s="117">
        <f>H72</f>
        <v>0</v>
      </c>
      <c r="L72" s="89"/>
    </row>
    <row r="73" spans="1:18" s="71" customFormat="1" outlineLevel="1">
      <c r="A73" s="126"/>
      <c r="B73" s="128"/>
      <c r="C73" s="84" t="s">
        <v>447</v>
      </c>
      <c r="D73" s="39">
        <f>$E$73*$D$6</f>
        <v>0</v>
      </c>
      <c r="E73" s="115">
        <f>3900*0</f>
        <v>0</v>
      </c>
      <c r="F73" s="112">
        <v>46081</v>
      </c>
      <c r="G73" s="71" t="s">
        <v>126</v>
      </c>
      <c r="H73" s="71">
        <f>IF(OR(G73="Sin pagar",G73="Pagar"),(_xlfn.SINGLE(NETWORKDAYS($J$30,F73,FestivosPerú!$A$2:$A$31))),0)</f>
        <v>0</v>
      </c>
      <c r="I73" s="71">
        <f>NETWORKDAYS($J$30,F73,FestivosPerú!$A$2:$A$31)</f>
        <v>20</v>
      </c>
      <c r="J73" s="117">
        <f>H73</f>
        <v>0</v>
      </c>
      <c r="L73" s="89"/>
    </row>
    <row r="74" spans="1:18" s="71" customFormat="1" outlineLevel="1">
      <c r="A74" s="126"/>
      <c r="B74" s="128" t="s">
        <v>1360</v>
      </c>
      <c r="C74" s="84" t="s">
        <v>1332</v>
      </c>
      <c r="D74" s="39">
        <f>320.22</f>
        <v>320.22000000000003</v>
      </c>
      <c r="E74" s="115">
        <f>D74/$D$6</f>
        <v>93.096901710612016</v>
      </c>
      <c r="F74" s="112">
        <v>46084</v>
      </c>
      <c r="G74" s="71" t="s">
        <v>126</v>
      </c>
      <c r="H74" s="71">
        <f>IF(OR(G74="Sin pagar",G74="Pagar"),(_xlfn.SINGLE(NETWORKDAYS($J$30,F74,FestivosPerú!$A$2:$A$31))),0)</f>
        <v>0</v>
      </c>
      <c r="I74" s="71">
        <f>NETWORKDAYS($J$30,F74,FestivosPerú!$A$2:$A$31)</f>
        <v>22</v>
      </c>
      <c r="J74" s="117">
        <f>H74</f>
        <v>0</v>
      </c>
      <c r="L74" s="89"/>
    </row>
    <row r="75" spans="1:18" s="71" customFormat="1" ht="15" outlineLevel="1" thickBot="1">
      <c r="A75" s="126"/>
      <c r="B75" s="128"/>
      <c r="C75" s="84" t="s">
        <v>1341</v>
      </c>
      <c r="D75" s="39">
        <v>8878.5</v>
      </c>
      <c r="E75" s="115">
        <f>D75/$D$6</f>
        <v>2581.2280364676435</v>
      </c>
      <c r="F75" s="112">
        <v>46085</v>
      </c>
      <c r="G75" s="71" t="s">
        <v>126</v>
      </c>
      <c r="H75" s="71">
        <f>IF(OR(G75="Sin pagar",G75="Pagar"),(_xlfn.SINGLE(NETWORKDAYS($J$30,F75,FestivosPerú!$A$2:$A$31))),0)</f>
        <v>0</v>
      </c>
      <c r="I75" s="71">
        <f>NETWORKDAYS($J$30,F75,FestivosPerú!$A$2:$A$31)</f>
        <v>23</v>
      </c>
      <c r="J75" s="117">
        <f>H75</f>
        <v>0</v>
      </c>
      <c r="L75" s="89"/>
    </row>
    <row r="76" spans="1:18" s="71" customFormat="1" ht="15.75" customHeight="1" thickBot="1">
      <c r="C76" s="311" t="s">
        <v>565</v>
      </c>
      <c r="D76" s="312">
        <f>SUBTOTAL(9,D77:D78)</f>
        <v>76.848700170794388</v>
      </c>
      <c r="E76" s="313">
        <f>SUBTOTAL(9,E77:E78)</f>
        <v>22.342064475637805</v>
      </c>
      <c r="M76" s="122"/>
      <c r="N76" s="187"/>
      <c r="P76" s="187"/>
    </row>
    <row r="77" spans="1:18" s="71" customFormat="1" outlineLevel="1">
      <c r="A77" s="126"/>
      <c r="B77" s="128"/>
      <c r="C77" s="84" t="s">
        <v>999</v>
      </c>
      <c r="D77" s="39">
        <f>('BCP SOLES BCP'!$F$718+'BCP SOLES BCP'!$F$739+'BCP SOLES BCP'!$F$740+'BCP SOLES BCP'!$F$741+'BCP SOLES BCP'!$F$753+'BCP SOLES BCP'!$F$759+'BCP SOLES BCP'!$F$766+'BCP SOLES BCP'!$F$768+'BCP SOLES BCP'!$F$798+'BCP SOLES BCP'!$F$800+'BCP SOLES BCP'!$F$801+'BCP SOLES BCP'!$F$805+'BCP SOLES BCP'!$F$807+'BCP SOLES BCP'!$F$808+'BCP SOLES BCP'!$F$817)+'BBVA SOLES'!$F$75</f>
        <v>52.839999999999996</v>
      </c>
      <c r="E77" s="115">
        <f>D77/$D$6</f>
        <v>15.362064475637807</v>
      </c>
      <c r="F77" s="112">
        <v>46081</v>
      </c>
      <c r="G77" s="71" t="s">
        <v>126</v>
      </c>
      <c r="H77" s="71">
        <f>IF(OR(G77="Sin pagar",G77="Pagar"),(_xlfn.SINGLE(NETWORKDAYS($J$30,F77,FestivosPerú!$A$2:$A$31))),0)</f>
        <v>0</v>
      </c>
      <c r="I77" s="71">
        <f>NETWORKDAYS($J$30,F77,FestivosPerú!$A$2:$A$31)</f>
        <v>20</v>
      </c>
      <c r="J77" s="117">
        <f>H77</f>
        <v>0</v>
      </c>
      <c r="L77" s="89"/>
    </row>
    <row r="78" spans="1:18" s="71" customFormat="1" ht="15" outlineLevel="1" thickBot="1">
      <c r="A78" s="126"/>
      <c r="B78" s="128"/>
      <c r="C78" s="84" t="s">
        <v>1001</v>
      </c>
      <c r="D78" s="39">
        <f>E78*$D$6</f>
        <v>24.008700170794398</v>
      </c>
      <c r="E78" s="115">
        <f>('BCP USD BCP'!$F$377+'BCP USD BCP'!$F$385+'BCP USD BCP'!$F$394+'BCP USD BCP'!$F$396)</f>
        <v>6.9799999999999995</v>
      </c>
      <c r="F78" s="112">
        <v>46081</v>
      </c>
      <c r="G78" s="71" t="s">
        <v>126</v>
      </c>
      <c r="H78" s="71">
        <f>IF(OR(G78="Sin pagar",G78="Pagar"),(_xlfn.SINGLE(NETWORKDAYS($J$30,F78,FestivosPerú!$A$2:$A$31))),0)</f>
        <v>0</v>
      </c>
      <c r="I78" s="71">
        <f>NETWORKDAYS($J$30,F78,FestivosPerú!$A$2:$A$31)</f>
        <v>20</v>
      </c>
      <c r="J78" s="117">
        <f>H78</f>
        <v>0</v>
      </c>
      <c r="L78" s="89"/>
    </row>
    <row r="79" spans="1:18" s="71" customFormat="1" ht="16.2" thickBot="1">
      <c r="A79" s="126"/>
      <c r="B79" s="125"/>
      <c r="C79" s="311" t="s">
        <v>124</v>
      </c>
      <c r="D79" s="312">
        <f>SUBTOTAL(9,D80:D83)</f>
        <v>29563.670000000002</v>
      </c>
      <c r="E79" s="313">
        <f>SUBTOTAL(9,E80:E83)</f>
        <v>8594.9849484572132</v>
      </c>
      <c r="J79" s="117"/>
      <c r="L79" s="89"/>
    </row>
    <row r="80" spans="1:18" s="71" customFormat="1" outlineLevel="1">
      <c r="A80" s="86"/>
      <c r="B80" s="83">
        <v>6508944853</v>
      </c>
      <c r="C80" s="172" t="s">
        <v>571</v>
      </c>
      <c r="D80" s="39">
        <v>5915.75</v>
      </c>
      <c r="E80" s="115">
        <f>D80/$D$6</f>
        <v>1719.8738251656766</v>
      </c>
      <c r="F80" s="116">
        <v>46059</v>
      </c>
      <c r="G80" s="71" t="s">
        <v>126</v>
      </c>
      <c r="H80" s="71">
        <f>IF(OR(G80="Sin pagar",G80="Pagar"),(_xlfn.SINGLE(NETWORKDAYS($J$30,F80,FestivosPerú!$A$2:$A$31))),0)</f>
        <v>0</v>
      </c>
      <c r="I80" s="71">
        <f>NETWORKDAYS($J$30,F80,FestivosPerú!$A$2:$A$31)</f>
        <v>5</v>
      </c>
      <c r="J80" s="117">
        <f t="shared" ref="J80:J86" si="8">H80</f>
        <v>0</v>
      </c>
      <c r="K80" s="89"/>
      <c r="L80" s="89"/>
      <c r="M80" s="532" t="s">
        <v>883</v>
      </c>
      <c r="N80" s="39"/>
      <c r="O80" s="374"/>
      <c r="P80" s="187"/>
    </row>
    <row r="81" spans="1:16" s="71" customFormat="1" outlineLevel="1">
      <c r="A81" s="86"/>
      <c r="B81" s="83">
        <v>2508945523</v>
      </c>
      <c r="C81" s="172" t="s">
        <v>572</v>
      </c>
      <c r="D81" s="39">
        <v>7966.13</v>
      </c>
      <c r="E81" s="115">
        <f>D81/$D$6</f>
        <v>2315.9765836735919</v>
      </c>
      <c r="F81" s="116">
        <v>46059</v>
      </c>
      <c r="G81" s="71" t="s">
        <v>126</v>
      </c>
      <c r="H81" s="71">
        <f>IF(OR(G81="Sin pagar",G81="Pagar"),(_xlfn.SINGLE(NETWORKDAYS($J$30,F81,FestivosPerú!$A$2:$A$31))),0)</f>
        <v>0</v>
      </c>
      <c r="I81" s="71">
        <f>NETWORKDAYS($J$30,F81,FestivosPerú!$A$2:$A$31)</f>
        <v>5</v>
      </c>
      <c r="J81" s="117">
        <f t="shared" si="8"/>
        <v>0</v>
      </c>
      <c r="K81" s="89"/>
      <c r="L81" s="89"/>
      <c r="M81" s="532"/>
      <c r="N81" s="39"/>
      <c r="O81" s="374"/>
      <c r="P81" s="187"/>
    </row>
    <row r="82" spans="1:16" s="71" customFormat="1" outlineLevel="1">
      <c r="A82" s="86"/>
      <c r="B82" s="83">
        <v>5508946074</v>
      </c>
      <c r="C82" s="172" t="s">
        <v>573</v>
      </c>
      <c r="D82" s="39">
        <v>13251.99</v>
      </c>
      <c r="E82" s="115">
        <f>D82/$D$6</f>
        <v>3852.7237852102094</v>
      </c>
      <c r="F82" s="116">
        <v>46059</v>
      </c>
      <c r="G82" s="71" t="s">
        <v>126</v>
      </c>
      <c r="H82" s="71">
        <f>IF(OR(G82="Sin pagar",G82="Pagar"),(_xlfn.SINGLE(NETWORKDAYS($J$30,F82,FestivosPerú!$A$2:$A$31))),0)</f>
        <v>0</v>
      </c>
      <c r="I82" s="71">
        <f>NETWORKDAYS($J$30,F82,FestivosPerú!$A$2:$A$31)</f>
        <v>5</v>
      </c>
      <c r="J82" s="117">
        <f t="shared" si="8"/>
        <v>0</v>
      </c>
      <c r="K82" s="89"/>
      <c r="L82" s="89"/>
      <c r="M82" s="532"/>
      <c r="N82" s="39"/>
      <c r="O82" s="374"/>
      <c r="P82" s="187"/>
    </row>
    <row r="83" spans="1:16" s="71" customFormat="1" ht="15" outlineLevel="1" thickBot="1">
      <c r="A83" s="86"/>
      <c r="B83" s="83">
        <v>3508946597</v>
      </c>
      <c r="C83" s="172" t="s">
        <v>705</v>
      </c>
      <c r="D83" s="39">
        <v>2429.8000000000002</v>
      </c>
      <c r="E83" s="115">
        <f>D83/$D$6</f>
        <v>706.41075440773557</v>
      </c>
      <c r="F83" s="116">
        <v>46059</v>
      </c>
      <c r="G83" s="71" t="s">
        <v>126</v>
      </c>
      <c r="H83" s="71">
        <f>IF(OR(G83="Sin pagar",G83="Pagar"),(_xlfn.SINGLE(NETWORKDAYS($J$30,F83,FestivosPerú!$A$2:$A$31))),0)</f>
        <v>0</v>
      </c>
      <c r="I83" s="71">
        <f>NETWORKDAYS($J$30,F83,FestivosPerú!$A$2:$A$31)</f>
        <v>5</v>
      </c>
      <c r="J83" s="117">
        <f t="shared" si="8"/>
        <v>0</v>
      </c>
      <c r="K83" s="89"/>
      <c r="L83" s="89"/>
      <c r="M83" s="532"/>
      <c r="N83" s="39"/>
      <c r="O83" s="374"/>
      <c r="P83" s="187"/>
    </row>
    <row r="84" spans="1:16" s="71" customFormat="1" ht="16.2" thickBot="1">
      <c r="A84" s="126"/>
      <c r="B84" s="125"/>
      <c r="C84" s="311" t="s">
        <v>125</v>
      </c>
      <c r="D84" s="312">
        <f>SUBTOTAL(9,D85:D86)</f>
        <v>111554.1275</v>
      </c>
      <c r="E84" s="313">
        <f>SUBTOTAL(9,E85:E86)</f>
        <v>32431.901952659362</v>
      </c>
      <c r="J84" s="117">
        <f t="shared" si="8"/>
        <v>0</v>
      </c>
      <c r="L84" s="89"/>
    </row>
    <row r="85" spans="1:16" s="71" customFormat="1" ht="16.5" customHeight="1" outlineLevel="1">
      <c r="A85" s="126"/>
      <c r="B85" s="435"/>
      <c r="C85" s="186" t="s">
        <v>456</v>
      </c>
      <c r="D85" s="39">
        <v>50942</v>
      </c>
      <c r="E85" s="115">
        <f>D85/$D$6</f>
        <v>14810.262840990559</v>
      </c>
      <c r="F85" s="464">
        <v>46069</v>
      </c>
      <c r="G85" s="342" t="s">
        <v>126</v>
      </c>
      <c r="H85" s="71">
        <f>IF(OR(G85="Sin pagar",G85="Pagar"),(_xlfn.SINGLE(NETWORKDAYS($J$30,F85,FestivosPerú!$A$2:$A$31))),0)</f>
        <v>0</v>
      </c>
      <c r="I85" s="71">
        <f>NETWORKDAYS($J$30,F85,FestivosPerú!$A$2:$A$31)</f>
        <v>11</v>
      </c>
      <c r="J85" s="117">
        <f t="shared" si="8"/>
        <v>0</v>
      </c>
      <c r="L85" s="89"/>
      <c r="M85" s="121" t="s">
        <v>703</v>
      </c>
    </row>
    <row r="86" spans="1:16" s="71" customFormat="1" ht="15" outlineLevel="1" thickBot="1">
      <c r="B86" s="440" t="s">
        <v>1060</v>
      </c>
      <c r="C86" s="475" t="s">
        <v>1037</v>
      </c>
      <c r="D86" s="209">
        <v>60612.127500000002</v>
      </c>
      <c r="E86" s="232">
        <f>D86/$D$6</f>
        <v>17621.639111668803</v>
      </c>
      <c r="F86" s="464">
        <v>46070</v>
      </c>
      <c r="G86" s="342" t="s">
        <v>126</v>
      </c>
      <c r="H86" s="71">
        <f>IF(OR(G86="Sin pagar",G86="Pagar"),(_xlfn.SINGLE(NETWORKDAYS($J$30,F86,FestivosPerú!$A$2:$A$31))),0)</f>
        <v>0</v>
      </c>
      <c r="I86" s="71">
        <f>NETWORKDAYS($J$30,F86,FestivosPerú!$A$2:$A$31)</f>
        <v>12</v>
      </c>
      <c r="J86" s="117">
        <f t="shared" si="8"/>
        <v>0</v>
      </c>
      <c r="K86" s="120"/>
      <c r="L86" s="94"/>
      <c r="M86" s="121" t="s">
        <v>724</v>
      </c>
      <c r="N86" s="118"/>
    </row>
    <row r="87" spans="1:16" s="71" customFormat="1" ht="15" customHeight="1" thickBot="1">
      <c r="C87" s="311" t="s">
        <v>162</v>
      </c>
      <c r="D87" s="312">
        <f>SUBTOTAL(9,D88:D91)</f>
        <v>7086.2199999999993</v>
      </c>
      <c r="E87" s="313">
        <f>SUBTOTAL(9,E88:E91)</f>
        <v>2060.1621598893671</v>
      </c>
      <c r="J87" s="117"/>
      <c r="M87" s="122"/>
      <c r="N87" s="187"/>
      <c r="P87" s="187"/>
    </row>
    <row r="88" spans="1:16" s="71" customFormat="1" outlineLevel="1">
      <c r="B88" s="425" t="s">
        <v>1359</v>
      </c>
      <c r="C88" s="186" t="s">
        <v>957</v>
      </c>
      <c r="D88" s="39">
        <v>5515.96</v>
      </c>
      <c r="E88" s="115">
        <f>D88/$D$6</f>
        <v>1603.6437010794687</v>
      </c>
      <c r="F88" s="471">
        <v>46079</v>
      </c>
      <c r="G88" s="342" t="s">
        <v>126</v>
      </c>
      <c r="H88" s="71">
        <f>IF(OR(G88="Sin pagar",G88="Pagar"),(_xlfn.SINGLE(NETWORKDAYS($J$30,F88,FestivosPerú!$A$2:$A$31))),0)</f>
        <v>0</v>
      </c>
      <c r="I88" s="71">
        <f>NETWORKDAYS($J$30,F88,FestivosPerú!$A$2:$A$31)</f>
        <v>19</v>
      </c>
      <c r="J88" s="117">
        <f>H88</f>
        <v>0</v>
      </c>
      <c r="K88" s="120"/>
      <c r="L88" s="94"/>
      <c r="M88" s="300"/>
      <c r="N88" s="118"/>
    </row>
    <row r="89" spans="1:16" s="71" customFormat="1" outlineLevel="1">
      <c r="B89" s="425" t="s">
        <v>1357</v>
      </c>
      <c r="C89" s="84" t="s">
        <v>962</v>
      </c>
      <c r="D89" s="39">
        <v>937.62</v>
      </c>
      <c r="E89" s="115">
        <f>D89/$D$6</f>
        <v>272.59233333927938</v>
      </c>
      <c r="F89" s="471">
        <v>46079</v>
      </c>
      <c r="G89" s="342" t="s">
        <v>126</v>
      </c>
      <c r="H89" s="71">
        <f>IF(OR(G89="Sin pagar",G89="Pagar"),(_xlfn.SINGLE(NETWORKDAYS($J$30,F89,FestivosPerú!$A$2:$A$31))),0)</f>
        <v>0</v>
      </c>
      <c r="I89" s="71">
        <f>NETWORKDAYS($J$30,F89,FestivosPerú!$A$2:$A$31)</f>
        <v>19</v>
      </c>
      <c r="J89" s="117">
        <f>H89</f>
        <v>0</v>
      </c>
      <c r="K89" s="120"/>
      <c r="L89" s="94"/>
      <c r="M89" s="300"/>
      <c r="N89" s="118"/>
    </row>
    <row r="90" spans="1:16" s="342" customFormat="1" outlineLevel="1">
      <c r="B90" s="425" t="s">
        <v>1358</v>
      </c>
      <c r="C90" s="186" t="s">
        <v>1334</v>
      </c>
      <c r="D90" s="39">
        <v>316.32</v>
      </c>
      <c r="E90" s="115">
        <f>D90/$D$6</f>
        <v>91.96306273530945</v>
      </c>
      <c r="F90" s="471">
        <v>46080</v>
      </c>
      <c r="G90" s="342" t="s">
        <v>126</v>
      </c>
      <c r="H90" s="71">
        <f>IF(OR(G90="Sin pagar",G90="Pagar"),(_xlfn.SINGLE(NETWORKDAYS($J$30,F90,FestivosPerú!$A$2:$A$31))),0)</f>
        <v>0</v>
      </c>
      <c r="I90" s="71">
        <f>NETWORKDAYS($J$30,F90,FestivosPerú!$A$2:$A$31)</f>
        <v>20</v>
      </c>
      <c r="J90" s="117">
        <f>H90</f>
        <v>0</v>
      </c>
      <c r="K90" s="120"/>
      <c r="L90" s="357"/>
      <c r="M90" s="385"/>
      <c r="N90" s="359"/>
    </row>
    <row r="91" spans="1:16" s="71" customFormat="1" ht="15" outlineLevel="1" thickBot="1">
      <c r="B91" s="356" t="s">
        <v>1317</v>
      </c>
      <c r="C91" s="186" t="s">
        <v>1316</v>
      </c>
      <c r="D91" s="39">
        <v>316.32</v>
      </c>
      <c r="E91" s="115">
        <f>D91/$D$6</f>
        <v>91.96306273530945</v>
      </c>
      <c r="F91" s="471">
        <v>46079</v>
      </c>
      <c r="G91" s="342" t="s">
        <v>126</v>
      </c>
      <c r="H91" s="71">
        <f>IF(OR(G91="Sin pagar",G91="Pagar"),(_xlfn.SINGLE(NETWORKDAYS($J$30,F91,FestivosPerú!$A$2:$A$31))),0)</f>
        <v>0</v>
      </c>
      <c r="I91" s="71">
        <f>NETWORKDAYS($J$30,F91,FestivosPerú!$A$2:$A$31)</f>
        <v>19</v>
      </c>
      <c r="J91" s="117">
        <f>H91</f>
        <v>0</v>
      </c>
      <c r="K91" s="120"/>
      <c r="L91" s="94"/>
      <c r="M91" s="300"/>
      <c r="N91" s="118"/>
    </row>
    <row r="92" spans="1:16" s="71" customFormat="1" ht="16.2" thickBot="1">
      <c r="C92" s="311" t="s">
        <v>507</v>
      </c>
      <c r="D92" s="312">
        <f>SUBTOTAL(9,D93:D111)</f>
        <v>194514.22580900003</v>
      </c>
      <c r="E92" s="313">
        <f>SUBTOTAL(9,E93:E111)</f>
        <v>56550.72063411487</v>
      </c>
      <c r="J92" s="312">
        <v>194064.65</v>
      </c>
      <c r="K92" s="89"/>
      <c r="L92" s="124"/>
      <c r="M92" s="312">
        <f>D92-J92</f>
        <v>449.57580900003086</v>
      </c>
      <c r="N92" s="122"/>
      <c r="O92" s="101"/>
    </row>
    <row r="93" spans="1:16" s="126" customFormat="1" outlineLevel="1">
      <c r="B93" s="125"/>
      <c r="C93" s="186" t="s">
        <v>765</v>
      </c>
      <c r="D93" s="39">
        <v>10235.43</v>
      </c>
      <c r="E93" s="115">
        <f t="shared" ref="E93:E111" si="9">D93/$D$6</f>
        <v>2975.7255033284914</v>
      </c>
      <c r="F93" s="471">
        <v>46080</v>
      </c>
      <c r="G93" s="342" t="s">
        <v>126</v>
      </c>
      <c r="H93" s="71">
        <f>IF(OR(G93="Sin pagar",G93="Pagar"),(_xlfn.SINGLE(NETWORKDAYS($J$30,F93,FestivosPerú!$A$2:$A$31))),0)</f>
        <v>0</v>
      </c>
      <c r="I93" s="71">
        <f>NETWORKDAYS($J$30,F93,FestivosPerú!$A$2:$A$31)</f>
        <v>20</v>
      </c>
      <c r="J93" s="117">
        <f t="shared" ref="J93:J111" si="10">H93</f>
        <v>0</v>
      </c>
      <c r="L93" s="127"/>
      <c r="M93" s="253"/>
    </row>
    <row r="94" spans="1:16" s="126" customFormat="1" outlineLevel="1">
      <c r="B94" s="125"/>
      <c r="C94" s="186" t="s">
        <v>766</v>
      </c>
      <c r="D94" s="39">
        <v>9635.7000000000007</v>
      </c>
      <c r="E94" s="115">
        <f t="shared" si="9"/>
        <v>2801.3672344417719</v>
      </c>
      <c r="F94" s="471">
        <v>46080</v>
      </c>
      <c r="G94" s="342" t="s">
        <v>126</v>
      </c>
      <c r="H94" s="71">
        <f>IF(OR(G94="Sin pagar",G94="Pagar"),(_xlfn.SINGLE(NETWORKDAYS($J$30,F94,FestivosPerú!$A$2:$A$31))),0)</f>
        <v>0</v>
      </c>
      <c r="I94" s="71">
        <f>NETWORKDAYS($J$30,F94,FestivosPerú!$A$2:$A$31)</f>
        <v>20</v>
      </c>
      <c r="J94" s="117">
        <f t="shared" si="10"/>
        <v>0</v>
      </c>
      <c r="L94" s="127"/>
      <c r="M94" s="253"/>
    </row>
    <row r="95" spans="1:16" s="126" customFormat="1" outlineLevel="1">
      <c r="B95" s="125"/>
      <c r="C95" s="479" t="s">
        <v>1304</v>
      </c>
      <c r="D95" s="39">
        <v>449.57580899999994</v>
      </c>
      <c r="E95" s="115">
        <f t="shared" si="9"/>
        <v>130.70424989676434</v>
      </c>
      <c r="F95" s="471">
        <v>46080</v>
      </c>
      <c r="G95" s="342" t="s">
        <v>126</v>
      </c>
      <c r="H95" s="71">
        <f>IF(OR(G95="Sin pagar",G95="Pagar"),(_xlfn.SINGLE(NETWORKDAYS($J$30,F95,FestivosPerú!$A$2:$A$31))),0)</f>
        <v>0</v>
      </c>
      <c r="I95" s="71">
        <f>NETWORKDAYS($J$30,F95,FestivosPerú!$A$2:$A$31)</f>
        <v>20</v>
      </c>
      <c r="J95" s="117">
        <f t="shared" si="10"/>
        <v>0</v>
      </c>
      <c r="L95" s="127"/>
      <c r="M95" s="253"/>
    </row>
    <row r="96" spans="1:16" s="126" customFormat="1" outlineLevel="1">
      <c r="B96" s="125"/>
      <c r="C96" s="475" t="s">
        <v>1299</v>
      </c>
      <c r="D96" s="39">
        <v>6743.8</v>
      </c>
      <c r="E96" s="115">
        <f>D96/$D$6</f>
        <v>1960.6110978578017</v>
      </c>
      <c r="F96" s="471">
        <v>46080</v>
      </c>
      <c r="G96" s="342" t="s">
        <v>126</v>
      </c>
      <c r="H96" s="71">
        <f>IF(OR(G96="Sin pagar",G96="Pagar"),(_xlfn.SINGLE(NETWORKDAYS($J$30,F96,FestivosPerú!$A$2:$A$31))),0)</f>
        <v>0</v>
      </c>
      <c r="I96" s="71">
        <f>NETWORKDAYS($J$30,F96,FestivosPerú!$A$2:$A$31)</f>
        <v>20</v>
      </c>
      <c r="J96" s="117">
        <f>H96</f>
        <v>0</v>
      </c>
      <c r="L96" s="127"/>
      <c r="M96" s="253"/>
    </row>
    <row r="97" spans="2:15" s="126" customFormat="1" outlineLevel="1">
      <c r="B97" s="125"/>
      <c r="C97" s="475" t="s">
        <v>1300</v>
      </c>
      <c r="D97" s="39">
        <v>6743.24</v>
      </c>
      <c r="E97" s="115">
        <f>D97/$D$6</f>
        <v>1960.448290210066</v>
      </c>
      <c r="F97" s="471">
        <v>46080</v>
      </c>
      <c r="G97" s="342" t="s">
        <v>126</v>
      </c>
      <c r="H97" s="71">
        <f>IF(OR(G97="Sin pagar",G97="Pagar"),(_xlfn.SINGLE(NETWORKDAYS($J$30,F97,FestivosPerú!$A$2:$A$31))),0)</f>
        <v>0</v>
      </c>
      <c r="I97" s="71">
        <f>NETWORKDAYS($J$30,F97,FestivosPerú!$A$2:$A$31)</f>
        <v>20</v>
      </c>
      <c r="J97" s="117">
        <f>H97</f>
        <v>0</v>
      </c>
      <c r="L97" s="127"/>
      <c r="M97" s="253"/>
    </row>
    <row r="98" spans="2:15" s="126" customFormat="1" outlineLevel="1">
      <c r="B98" s="125"/>
      <c r="C98" s="475" t="s">
        <v>1301</v>
      </c>
      <c r="D98" s="39">
        <v>6593.54</v>
      </c>
      <c r="E98" s="115">
        <f t="shared" si="9"/>
        <v>1916.9263172349906</v>
      </c>
      <c r="F98" s="471">
        <v>46080</v>
      </c>
      <c r="G98" s="342" t="s">
        <v>126</v>
      </c>
      <c r="H98" s="71">
        <f>IF(OR(G98="Sin pagar",G98="Pagar"),(_xlfn.SINGLE(NETWORKDAYS($J$30,F98,FestivosPerú!$A$2:$A$31))),0)</f>
        <v>0</v>
      </c>
      <c r="I98" s="71">
        <f>NETWORKDAYS($J$30,F98,FestivosPerú!$A$2:$A$31)</f>
        <v>20</v>
      </c>
      <c r="J98" s="117">
        <f t="shared" si="10"/>
        <v>0</v>
      </c>
      <c r="L98" s="127"/>
      <c r="M98" s="253"/>
    </row>
    <row r="99" spans="2:15" s="71" customFormat="1" outlineLevel="1">
      <c r="B99" s="119"/>
      <c r="C99" s="172" t="s">
        <v>652</v>
      </c>
      <c r="D99" s="39">
        <v>20209.47</v>
      </c>
      <c r="E99" s="115">
        <f t="shared" si="9"/>
        <v>5875.457629796897</v>
      </c>
      <c r="F99" s="471">
        <v>46080</v>
      </c>
      <c r="G99" s="342" t="s">
        <v>126</v>
      </c>
      <c r="H99" s="71">
        <f>IF(OR(G99="Sin pagar",G99="Pagar"),(_xlfn.SINGLE(NETWORKDAYS($J$30,F99,FestivosPerú!$A$2:$A$31))),0)</f>
        <v>0</v>
      </c>
      <c r="I99" s="71">
        <f>NETWORKDAYS($J$30,F99,FestivosPerú!$A$2:$A$31)</f>
        <v>20</v>
      </c>
      <c r="J99" s="117">
        <f t="shared" si="10"/>
        <v>0</v>
      </c>
      <c r="K99" s="120"/>
      <c r="L99" s="94"/>
      <c r="M99" s="300"/>
      <c r="N99" s="118"/>
    </row>
    <row r="100" spans="2:15" s="71" customFormat="1" outlineLevel="1">
      <c r="B100" s="119"/>
      <c r="C100" s="172" t="s">
        <v>768</v>
      </c>
      <c r="D100" s="39">
        <v>6810.33</v>
      </c>
      <c r="E100" s="115">
        <f t="shared" si="9"/>
        <v>1979.9532278646939</v>
      </c>
      <c r="F100" s="471">
        <v>46080</v>
      </c>
      <c r="G100" s="342" t="s">
        <v>126</v>
      </c>
      <c r="H100" s="71">
        <f>IF(OR(G100="Sin pagar",G100="Pagar"),(_xlfn.SINGLE(NETWORKDAYS($J$30,F100,FestivosPerú!$A$2:$A$31))),0)</f>
        <v>0</v>
      </c>
      <c r="I100" s="71">
        <f>NETWORKDAYS($J$30,F100,FestivosPerú!$A$2:$A$31)</f>
        <v>20</v>
      </c>
      <c r="J100" s="117">
        <f t="shared" si="10"/>
        <v>0</v>
      </c>
      <c r="K100" s="120"/>
      <c r="L100" s="94"/>
      <c r="M100" s="300"/>
      <c r="N100" s="118"/>
    </row>
    <row r="101" spans="2:15" s="71" customFormat="1" outlineLevel="1">
      <c r="B101" s="119"/>
      <c r="C101" s="172" t="s">
        <v>649</v>
      </c>
      <c r="D101" s="39">
        <v>5997.1</v>
      </c>
      <c r="E101" s="115">
        <f t="shared" si="9"/>
        <v>1743.5245432787187</v>
      </c>
      <c r="F101" s="471">
        <v>46080</v>
      </c>
      <c r="G101" s="342" t="s">
        <v>126</v>
      </c>
      <c r="H101" s="71">
        <f>IF(OR(G101="Sin pagar",G101="Pagar"),(_xlfn.SINGLE(NETWORKDAYS($J$30,F101,FestivosPerú!$A$2:$A$31))),0)</f>
        <v>0</v>
      </c>
      <c r="I101" s="71">
        <f>NETWORKDAYS($J$30,F101,FestivosPerú!$A$2:$A$31)</f>
        <v>20</v>
      </c>
      <c r="J101" s="117">
        <f t="shared" si="10"/>
        <v>0</v>
      </c>
      <c r="K101" s="120"/>
      <c r="L101" s="94"/>
      <c r="M101" s="300"/>
      <c r="N101" s="118"/>
    </row>
    <row r="102" spans="2:15" s="71" customFormat="1" outlineLevel="1">
      <c r="B102" s="119"/>
      <c r="C102" s="172" t="s">
        <v>650</v>
      </c>
      <c r="D102" s="39">
        <v>15368.39</v>
      </c>
      <c r="E102" s="115">
        <f t="shared" si="9"/>
        <v>4468.0204024744007</v>
      </c>
      <c r="F102" s="471">
        <v>46080</v>
      </c>
      <c r="G102" s="342" t="s">
        <v>126</v>
      </c>
      <c r="H102" s="71">
        <f>IF(OR(G102="Sin pagar",G102="Pagar"),(_xlfn.SINGLE(NETWORKDAYS($J$30,F102,FestivosPerú!$A$2:$A$31))),0)</f>
        <v>0</v>
      </c>
      <c r="I102" s="71">
        <f>NETWORKDAYS($J$30,F102,FestivosPerú!$A$2:$A$31)</f>
        <v>20</v>
      </c>
      <c r="J102" s="117">
        <f t="shared" si="10"/>
        <v>0</v>
      </c>
      <c r="K102" s="120"/>
      <c r="L102" s="94"/>
      <c r="M102" s="300"/>
      <c r="N102" s="118"/>
    </row>
    <row r="103" spans="2:15" s="71" customFormat="1" outlineLevel="1">
      <c r="B103" s="119"/>
      <c r="C103" s="172" t="s">
        <v>942</v>
      </c>
      <c r="D103" s="39">
        <v>14843.43</v>
      </c>
      <c r="E103" s="115">
        <f t="shared" si="9"/>
        <v>4315.3998618398282</v>
      </c>
      <c r="F103" s="471">
        <v>46080</v>
      </c>
      <c r="G103" s="342" t="s">
        <v>126</v>
      </c>
      <c r="H103" s="71">
        <f>IF(OR(G103="Sin pagar",G103="Pagar"),(_xlfn.SINGLE(NETWORKDAYS($J$30,F103,FestivosPerú!$A$2:$A$31))),0)</f>
        <v>0</v>
      </c>
      <c r="I103" s="71">
        <f>NETWORKDAYS($J$30,F103,FestivosPerú!$A$2:$A$31)</f>
        <v>20</v>
      </c>
      <c r="J103" s="117">
        <f t="shared" si="10"/>
        <v>0</v>
      </c>
      <c r="K103" s="120"/>
      <c r="L103" s="94"/>
      <c r="M103" s="300"/>
      <c r="N103" s="118"/>
    </row>
    <row r="104" spans="2:15" s="71" customFormat="1" outlineLevel="1">
      <c r="B104" s="119"/>
      <c r="C104" s="172" t="s">
        <v>651</v>
      </c>
      <c r="D104" s="39">
        <v>17509.669999999998</v>
      </c>
      <c r="E104" s="115">
        <f t="shared" si="9"/>
        <v>5090.5503309451369</v>
      </c>
      <c r="F104" s="471">
        <v>46080</v>
      </c>
      <c r="G104" s="342" t="s">
        <v>126</v>
      </c>
      <c r="H104" s="71">
        <f>IF(OR(G104="Sin pagar",G104="Pagar"),(_xlfn.SINGLE(NETWORKDAYS($J$30,F104,FestivosPerú!$A$2:$A$31))),0)</f>
        <v>0</v>
      </c>
      <c r="I104" s="71">
        <f>NETWORKDAYS($J$30,F104,FestivosPerú!$A$2:$A$31)</f>
        <v>20</v>
      </c>
      <c r="J104" s="117">
        <f t="shared" si="10"/>
        <v>0</v>
      </c>
      <c r="K104" s="120"/>
      <c r="L104" s="94"/>
      <c r="M104" s="300"/>
      <c r="N104" s="118"/>
    </row>
    <row r="105" spans="2:15" s="71" customFormat="1" outlineLevel="1">
      <c r="B105" s="119"/>
      <c r="C105" s="172" t="s">
        <v>770</v>
      </c>
      <c r="D105" s="39">
        <v>17445.78</v>
      </c>
      <c r="E105" s="115">
        <f t="shared" si="9"/>
        <v>5071.9757227061418</v>
      </c>
      <c r="F105" s="471">
        <v>46080</v>
      </c>
      <c r="G105" s="342" t="s">
        <v>126</v>
      </c>
      <c r="H105" s="71">
        <f>IF(OR(G105="Sin pagar",G105="Pagar"),(_xlfn.SINGLE(NETWORKDAYS($J$30,F105,FestivosPerú!$A$2:$A$31))),0)</f>
        <v>0</v>
      </c>
      <c r="I105" s="71">
        <f>NETWORKDAYS($J$30,F105,FestivosPerú!$A$2:$A$31)</f>
        <v>20</v>
      </c>
      <c r="J105" s="117">
        <f t="shared" si="10"/>
        <v>0</v>
      </c>
      <c r="K105" s="120"/>
      <c r="L105" s="94"/>
      <c r="M105" s="300"/>
      <c r="N105" s="118"/>
    </row>
    <row r="106" spans="2:15" s="126" customFormat="1" outlineLevel="1">
      <c r="B106" s="125"/>
      <c r="C106" s="186" t="s">
        <v>767</v>
      </c>
      <c r="D106" s="39">
        <v>5396.63</v>
      </c>
      <c r="E106" s="115">
        <f t="shared" si="9"/>
        <v>1568.9511357146341</v>
      </c>
      <c r="F106" s="471">
        <v>46080</v>
      </c>
      <c r="G106" s="342" t="s">
        <v>126</v>
      </c>
      <c r="H106" s="71">
        <f>IF(OR(G106="Sin pagar",G106="Pagar"),(_xlfn.SINGLE(NETWORKDAYS($J$30,F106,FestivosPerú!$A$2:$A$31))),0)</f>
        <v>0</v>
      </c>
      <c r="I106" s="71">
        <f>NETWORKDAYS($J$30,F106,FestivosPerú!$A$2:$A$31)</f>
        <v>20</v>
      </c>
      <c r="J106" s="117">
        <f t="shared" si="10"/>
        <v>0</v>
      </c>
      <c r="L106" s="127"/>
      <c r="M106" s="253"/>
    </row>
    <row r="107" spans="2:15" s="71" customFormat="1" outlineLevel="1">
      <c r="B107" s="119"/>
      <c r="C107" s="172" t="s">
        <v>943</v>
      </c>
      <c r="D107" s="39">
        <v>5876.92</v>
      </c>
      <c r="E107" s="115">
        <f t="shared" si="9"/>
        <v>1708.5848591628567</v>
      </c>
      <c r="F107" s="471">
        <v>46080</v>
      </c>
      <c r="G107" s="342" t="s">
        <v>126</v>
      </c>
      <c r="H107" s="71">
        <f>IF(OR(G107="Sin pagar",G107="Pagar"),(_xlfn.SINGLE(NETWORKDAYS($J$30,F107,FestivosPerú!$A$2:$A$31))),0)</f>
        <v>0</v>
      </c>
      <c r="I107" s="71">
        <f>NETWORKDAYS($J$30,F107,FestivosPerú!$A$2:$A$31)</f>
        <v>20</v>
      </c>
      <c r="J107" s="117">
        <f t="shared" si="10"/>
        <v>0</v>
      </c>
      <c r="K107" s="120"/>
      <c r="L107" s="94"/>
      <c r="M107" s="300"/>
      <c r="N107" s="118"/>
    </row>
    <row r="108" spans="2:15" s="71" customFormat="1" outlineLevel="1">
      <c r="B108" s="119"/>
      <c r="C108" s="172" t="s">
        <v>654</v>
      </c>
      <c r="D108" s="39">
        <v>7518.31</v>
      </c>
      <c r="E108" s="115">
        <f t="shared" si="9"/>
        <v>2185.7827965146193</v>
      </c>
      <c r="F108" s="471">
        <v>46080</v>
      </c>
      <c r="G108" s="342" t="s">
        <v>126</v>
      </c>
      <c r="H108" s="71">
        <f>IF(OR(G108="Sin pagar",G108="Pagar"),(_xlfn.SINGLE(NETWORKDAYS($J$30,F108,FestivosPerú!$A$2:$A$31))),0)</f>
        <v>0</v>
      </c>
      <c r="I108" s="71">
        <f>NETWORKDAYS($J$30,F108,FestivosPerú!$A$2:$A$31)</f>
        <v>20</v>
      </c>
      <c r="J108" s="117">
        <f t="shared" si="10"/>
        <v>0</v>
      </c>
      <c r="K108" s="120"/>
      <c r="L108" s="94"/>
      <c r="M108" s="392">
        <v>7807.32</v>
      </c>
      <c r="N108" s="118">
        <f>M108-E108</f>
        <v>5621.5372034853808</v>
      </c>
    </row>
    <row r="109" spans="2:15" s="71" customFormat="1" outlineLevel="1">
      <c r="B109" s="119"/>
      <c r="C109" s="172" t="s">
        <v>653</v>
      </c>
      <c r="D109" s="39">
        <v>18223.16</v>
      </c>
      <c r="E109" s="115">
        <f t="shared" si="9"/>
        <v>5297.9818105576051</v>
      </c>
      <c r="F109" s="471">
        <v>46080</v>
      </c>
      <c r="G109" s="342" t="s">
        <v>126</v>
      </c>
      <c r="H109" s="71">
        <f>IF(OR(G109="Sin pagar",G109="Pagar"),(_xlfn.SINGLE(NETWORKDAYS($J$30,F109,FestivosPerú!$A$2:$A$31))),0)</f>
        <v>0</v>
      </c>
      <c r="I109" s="71">
        <f>NETWORKDAYS($J$30,F109,FestivosPerú!$A$2:$A$31)</f>
        <v>20</v>
      </c>
      <c r="J109" s="117">
        <f t="shared" si="10"/>
        <v>0</v>
      </c>
      <c r="K109" s="120"/>
      <c r="L109" s="94"/>
      <c r="M109" s="300"/>
      <c r="N109" s="118"/>
    </row>
    <row r="110" spans="2:15" s="71" customFormat="1" outlineLevel="1">
      <c r="B110" s="119"/>
      <c r="C110" s="172" t="s">
        <v>769</v>
      </c>
      <c r="D110" s="39">
        <v>14887.58</v>
      </c>
      <c r="E110" s="115">
        <f t="shared" si="9"/>
        <v>4328.2355004961373</v>
      </c>
      <c r="F110" s="471">
        <v>46080</v>
      </c>
      <c r="G110" s="342" t="s">
        <v>126</v>
      </c>
      <c r="H110" s="71">
        <f>IF(OR(G110="Sin pagar",G110="Pagar"),(_xlfn.SINGLE(NETWORKDAYS($J$30,F110,FestivosPerú!$A$2:$A$31))),0)</f>
        <v>0</v>
      </c>
      <c r="I110" s="71">
        <f>NETWORKDAYS($J$30,F110,FestivosPerú!$A$2:$A$31)</f>
        <v>20</v>
      </c>
      <c r="J110" s="117">
        <f t="shared" si="10"/>
        <v>0</v>
      </c>
      <c r="K110" s="120"/>
      <c r="L110" s="94"/>
      <c r="M110" s="300"/>
      <c r="N110" s="118"/>
    </row>
    <row r="111" spans="2:15" s="71" customFormat="1" ht="15" outlineLevel="1" thickBot="1">
      <c r="B111" s="119"/>
      <c r="C111" s="172" t="s">
        <v>1064</v>
      </c>
      <c r="D111" s="39">
        <v>4026.17</v>
      </c>
      <c r="E111" s="115">
        <f t="shared" si="9"/>
        <v>1170.5201197933131</v>
      </c>
      <c r="F111" s="471">
        <v>46080</v>
      </c>
      <c r="G111" s="342" t="s">
        <v>126</v>
      </c>
      <c r="H111" s="71">
        <f>IF(OR(G111="Sin pagar",G111="Pagar"),(_xlfn.SINGLE(NETWORKDAYS($J$30,F111,FestivosPerú!$A$2:$A$31))),0)</f>
        <v>0</v>
      </c>
      <c r="I111" s="71">
        <f>NETWORKDAYS($J$30,F111,FestivosPerú!$A$2:$A$31)</f>
        <v>20</v>
      </c>
      <c r="J111" s="117">
        <f t="shared" si="10"/>
        <v>0</v>
      </c>
      <c r="K111" s="120"/>
      <c r="L111" s="94"/>
      <c r="M111" s="300"/>
      <c r="N111" s="118"/>
    </row>
    <row r="112" spans="2:15" s="71" customFormat="1" ht="16.2" thickBot="1">
      <c r="C112" s="311" t="s">
        <v>642</v>
      </c>
      <c r="D112" s="312">
        <f>SUBTOTAL(9,D113:D117)</f>
        <v>23943.870797306528</v>
      </c>
      <c r="E112" s="313">
        <f>SUBTOTAL(9,E113:E117)</f>
        <v>2595.4923535551511</v>
      </c>
      <c r="J112" s="301"/>
      <c r="K112" s="89"/>
      <c r="L112" s="124"/>
      <c r="N112" s="122"/>
      <c r="O112" s="101"/>
    </row>
    <row r="113" spans="1:16" s="71" customFormat="1" outlineLevel="1">
      <c r="B113" s="119"/>
      <c r="C113" s="172" t="s">
        <v>1293</v>
      </c>
      <c r="D113" s="39">
        <f>15312.3910263333</f>
        <v>15312.3910263333</v>
      </c>
      <c r="E113" s="463">
        <v>86.08</v>
      </c>
      <c r="F113" s="471">
        <v>46079</v>
      </c>
      <c r="G113" s="342" t="s">
        <v>126</v>
      </c>
      <c r="H113" s="71">
        <f>IF(OR(G113="Sin pagar",G113="Pagar"),(_xlfn.SINGLE(NETWORKDAYS($J$30,F113,FestivosPerú!$A$2:$A$31))),0)</f>
        <v>0</v>
      </c>
      <c r="I113" s="71">
        <f>NETWORKDAYS($J$30,F113,FestivosPerú!$A$2:$A$31)</f>
        <v>19</v>
      </c>
      <c r="J113" s="117">
        <f>H113</f>
        <v>0</v>
      </c>
      <c r="K113" s="120"/>
      <c r="L113" s="94"/>
      <c r="M113" s="300"/>
      <c r="N113" s="118"/>
    </row>
    <row r="114" spans="1:16" s="71" customFormat="1" outlineLevel="1">
      <c r="B114" s="119"/>
      <c r="C114" s="172" t="s">
        <v>1297</v>
      </c>
      <c r="D114" s="39">
        <f>E114*$D$6</f>
        <v>5203.799770973229</v>
      </c>
      <c r="E114" s="463">
        <v>1512.89</v>
      </c>
      <c r="F114" s="471">
        <v>46079</v>
      </c>
      <c r="G114" s="342" t="s">
        <v>126</v>
      </c>
      <c r="H114" s="71">
        <f>IF(OR(G114="Sin pagar",G114="Pagar"),(_xlfn.SINGLE(NETWORKDAYS($J$30,F114,FestivosPerú!$A$2:$A$31))),0)</f>
        <v>0</v>
      </c>
      <c r="I114" s="71">
        <f>NETWORKDAYS($J$30,F114,FestivosPerú!$A$2:$A$31)</f>
        <v>19</v>
      </c>
      <c r="J114" s="117">
        <f>H114</f>
        <v>0</v>
      </c>
      <c r="K114" s="120"/>
      <c r="L114" s="94"/>
      <c r="M114" s="300"/>
      <c r="N114" s="118"/>
    </row>
    <row r="115" spans="1:16" s="71" customFormat="1" outlineLevel="1">
      <c r="B115" s="119"/>
      <c r="C115" s="172" t="s">
        <v>1203</v>
      </c>
      <c r="D115" s="408">
        <v>622.70000000000005</v>
      </c>
      <c r="E115" s="115">
        <f>D115/$D$6</f>
        <v>181.0362897233093</v>
      </c>
      <c r="F115" s="471">
        <v>46079</v>
      </c>
      <c r="G115" s="342" t="s">
        <v>126</v>
      </c>
      <c r="H115" s="71">
        <f>IF(OR(G115="Sin pagar",G115="Pagar"),(_xlfn.SINGLE(NETWORKDAYS($J$30,F115,FestivosPerú!$A$2:$A$31))),0)</f>
        <v>0</v>
      </c>
      <c r="I115" s="71">
        <f>NETWORKDAYS($J$30,F115,FestivosPerú!$A$2:$A$31)</f>
        <v>19</v>
      </c>
      <c r="J115" s="117">
        <f>H115</f>
        <v>0</v>
      </c>
      <c r="K115" s="120"/>
      <c r="L115" s="94"/>
      <c r="M115" s="300"/>
      <c r="N115" s="118"/>
    </row>
    <row r="116" spans="1:16" s="71" customFormat="1" outlineLevel="1">
      <c r="B116" s="119"/>
      <c r="C116" s="172" t="s">
        <v>1294</v>
      </c>
      <c r="D116" s="408">
        <v>2000</v>
      </c>
      <c r="E116" s="115">
        <f>D116/$D$6</f>
        <v>581.45588477054537</v>
      </c>
      <c r="F116" s="471">
        <v>46079</v>
      </c>
      <c r="G116" s="342" t="s">
        <v>126</v>
      </c>
      <c r="H116" s="71">
        <f>IF(OR(G116="Sin pagar",G116="Pagar"),(_xlfn.SINGLE(NETWORKDAYS($J$30,F116,FestivosPerú!$A$2:$A$31))),0)</f>
        <v>0</v>
      </c>
      <c r="I116" s="71">
        <f>NETWORKDAYS($J$30,F116,FestivosPerú!$A$2:$A$31)</f>
        <v>19</v>
      </c>
      <c r="J116" s="117">
        <f>H116</f>
        <v>0</v>
      </c>
      <c r="K116" s="120"/>
      <c r="L116" s="94"/>
      <c r="M116" s="300"/>
      <c r="N116" s="118"/>
    </row>
    <row r="117" spans="1:16" s="71" customFormat="1" ht="15" outlineLevel="1" thickBot="1">
      <c r="B117" s="119"/>
      <c r="C117" s="172" t="s">
        <v>1295</v>
      </c>
      <c r="D117" s="408">
        <v>804.98</v>
      </c>
      <c r="E117" s="115">
        <f>D117/$D$6</f>
        <v>234.03017906129679</v>
      </c>
      <c r="F117" s="471">
        <v>46079</v>
      </c>
      <c r="G117" s="342" t="s">
        <v>126</v>
      </c>
      <c r="H117" s="71">
        <f>IF(OR(G117="Sin pagar",G117="Pagar"),(_xlfn.SINGLE(NETWORKDAYS($J$30,F117,FestivosPerú!$A$2:$A$31))),0)</f>
        <v>0</v>
      </c>
      <c r="I117" s="71">
        <f>NETWORKDAYS($J$30,F117,FestivosPerú!$A$2:$A$31)</f>
        <v>19</v>
      </c>
      <c r="J117" s="117">
        <f>H117</f>
        <v>0</v>
      </c>
      <c r="K117" s="120"/>
      <c r="L117" s="94"/>
      <c r="M117" s="300"/>
      <c r="N117" s="118"/>
    </row>
    <row r="118" spans="1:16" s="71" customFormat="1" ht="16.2" thickBot="1">
      <c r="A118" s="126"/>
      <c r="B118" s="125"/>
      <c r="C118" s="311" t="s">
        <v>129</v>
      </c>
      <c r="D118" s="312">
        <f>SUBTOTAL(9,D119:D120)</f>
        <v>45574.39</v>
      </c>
      <c r="E118" s="313">
        <f>SUBTOTAL(9,E119:E120)</f>
        <v>13249.748630163946</v>
      </c>
      <c r="L118" s="89"/>
    </row>
    <row r="119" spans="1:16" s="71" customFormat="1" outlineLevel="1">
      <c r="A119" s="126"/>
      <c r="B119" s="128"/>
      <c r="C119" s="186" t="s">
        <v>1258</v>
      </c>
      <c r="D119" s="39">
        <f>377+7473</f>
        <v>7850</v>
      </c>
      <c r="E119" s="115">
        <f>D119/$D$6</f>
        <v>2282.2143477243903</v>
      </c>
      <c r="F119" s="112">
        <v>46063</v>
      </c>
      <c r="G119" s="71" t="s">
        <v>126</v>
      </c>
      <c r="H119" s="71">
        <f>IF(OR(G119="Sin pagar",G119="Pagar"),(_xlfn.SINGLE(NETWORKDAYS($J$30,F119,FestivosPerú!$A$2:$A$31))),0)</f>
        <v>0</v>
      </c>
      <c r="I119" s="71">
        <f>NETWORKDAYS($J$30,F119,FestivosPerú!$A$2:$A$31)</f>
        <v>7</v>
      </c>
      <c r="J119" s="117">
        <f>H119</f>
        <v>0</v>
      </c>
      <c r="L119" s="89"/>
    </row>
    <row r="120" spans="1:16" s="71" customFormat="1" ht="15" outlineLevel="1" thickBot="1">
      <c r="A120" s="126"/>
      <c r="B120" s="128"/>
      <c r="C120" s="186" t="s">
        <v>1336</v>
      </c>
      <c r="D120" s="39">
        <v>37724.39</v>
      </c>
      <c r="E120" s="115">
        <f>D120/$D$6</f>
        <v>10967.534282439556</v>
      </c>
      <c r="F120" s="112">
        <v>46080</v>
      </c>
      <c r="G120" s="71" t="s">
        <v>126</v>
      </c>
      <c r="H120" s="71">
        <f>IF(OR(G120="Sin pagar",G120="Pagar"),(_xlfn.SINGLE(NETWORKDAYS($J$30,F120,FestivosPerú!$A$2:$A$31))),0)</f>
        <v>0</v>
      </c>
      <c r="I120" s="71">
        <f>NETWORKDAYS($J$30,F120,FestivosPerú!$A$2:$A$31)</f>
        <v>20</v>
      </c>
      <c r="J120" s="117">
        <f>H120</f>
        <v>0</v>
      </c>
      <c r="L120" s="89"/>
    </row>
    <row r="121" spans="1:16" ht="15.6">
      <c r="C121" s="129" t="s">
        <v>130</v>
      </c>
      <c r="D121" s="227">
        <f>SUBTOTAL(9,D32:D120)</f>
        <v>564435.5237602134</v>
      </c>
      <c r="E121" s="228">
        <f>SUBTOTAL(9,E32:E120)</f>
        <v>159731.51849587596</v>
      </c>
    </row>
    <row r="122" spans="1:16" s="238" customFormat="1" ht="15.6">
      <c r="B122" s="239"/>
      <c r="C122" s="240"/>
      <c r="D122" s="241"/>
      <c r="E122" s="242"/>
    </row>
    <row r="123" spans="1:16" ht="15.6">
      <c r="A123" s="71"/>
      <c r="C123" s="134" t="s">
        <v>3</v>
      </c>
      <c r="D123" s="170">
        <f>D27-D121</f>
        <v>238311.57781348273</v>
      </c>
      <c r="E123" s="135">
        <f>E27-E121</f>
        <v>81015.857419771462</v>
      </c>
      <c r="F123" s="136"/>
      <c r="G123" s="136"/>
      <c r="J123" s="364"/>
    </row>
    <row r="124" spans="1:16" s="141" customFormat="1" ht="15.6">
      <c r="A124" s="71"/>
      <c r="B124" s="138"/>
      <c r="C124" s="134" t="s">
        <v>131</v>
      </c>
      <c r="D124" s="139">
        <f>IF($D$27=0,0,D123/$D$27)</f>
        <v>0.29687005701583907</v>
      </c>
      <c r="E124" s="139">
        <f>IF($E$27=0,0,E123/$E$27)</f>
        <v>0.33651813280057363</v>
      </c>
      <c r="F124" s="140"/>
      <c r="G124" s="137"/>
      <c r="J124" s="142"/>
      <c r="K124" s="468"/>
      <c r="L124" s="468"/>
      <c r="N124" s="468"/>
      <c r="O124" s="468"/>
      <c r="P124" s="468"/>
    </row>
    <row r="126" spans="1:16" ht="15" thickBot="1"/>
    <row r="127" spans="1:16">
      <c r="C127" s="485">
        <v>46054</v>
      </c>
      <c r="D127" s="486">
        <v>46058</v>
      </c>
      <c r="E127" s="487">
        <f t="shared" ref="E127:E137" si="11">SUMIFS($D$30:$D$125,$F$30:$F$125,"&gt;="&amp;C127,$F$30:$F$125,"&lt;="&amp;D127,$G$30:$G$125,$D$149)</f>
        <v>0</v>
      </c>
      <c r="F127" s="488">
        <f t="shared" ref="F127:F137" si="12">SUMIFS($E$30:$E$126,$F$30:$F$126,"&gt;="&amp;C127,$F$30:$F$126,"&lt;="&amp;D127,$G$30:$G$126,$D$149)</f>
        <v>0</v>
      </c>
    </row>
    <row r="128" spans="1:16" ht="15.6">
      <c r="C128" s="326">
        <v>46059</v>
      </c>
      <c r="D128" s="202">
        <v>46059</v>
      </c>
      <c r="E128" s="203">
        <f t="shared" si="11"/>
        <v>0</v>
      </c>
      <c r="F128" s="204">
        <f t="shared" si="12"/>
        <v>0</v>
      </c>
      <c r="G128" s="375" t="s">
        <v>1247</v>
      </c>
    </row>
    <row r="129" spans="2:13" ht="15.6">
      <c r="C129" s="326">
        <v>46060</v>
      </c>
      <c r="D129" s="202">
        <v>46061</v>
      </c>
      <c r="E129" s="203">
        <f t="shared" si="11"/>
        <v>0</v>
      </c>
      <c r="F129" s="204">
        <f t="shared" si="12"/>
        <v>0</v>
      </c>
      <c r="G129" s="375"/>
    </row>
    <row r="130" spans="2:13" ht="15.6">
      <c r="C130" s="326">
        <v>46062</v>
      </c>
      <c r="D130" s="325">
        <v>46062</v>
      </c>
      <c r="E130" s="203">
        <f t="shared" si="11"/>
        <v>0</v>
      </c>
      <c r="F130" s="204">
        <f t="shared" si="12"/>
        <v>0</v>
      </c>
      <c r="G130" s="375" t="s">
        <v>1003</v>
      </c>
    </row>
    <row r="131" spans="2:13" ht="15.6">
      <c r="C131" s="326">
        <v>46063</v>
      </c>
      <c r="D131" s="325">
        <v>46068</v>
      </c>
      <c r="E131" s="203">
        <f t="shared" si="11"/>
        <v>0</v>
      </c>
      <c r="F131" s="204">
        <f t="shared" si="12"/>
        <v>0</v>
      </c>
      <c r="G131" s="375"/>
    </row>
    <row r="132" spans="2:13" ht="15.6">
      <c r="C132" s="326">
        <v>46038</v>
      </c>
      <c r="D132" s="202">
        <v>46069</v>
      </c>
      <c r="E132" s="203">
        <f t="shared" si="11"/>
        <v>0</v>
      </c>
      <c r="F132" s="204">
        <f t="shared" si="12"/>
        <v>0</v>
      </c>
      <c r="G132" s="375" t="s">
        <v>1248</v>
      </c>
    </row>
    <row r="133" spans="2:13" ht="15.6">
      <c r="C133" s="326">
        <v>46070</v>
      </c>
      <c r="D133" s="202">
        <v>46075</v>
      </c>
      <c r="E133" s="203">
        <f t="shared" si="11"/>
        <v>0</v>
      </c>
      <c r="F133" s="204">
        <f t="shared" si="12"/>
        <v>0</v>
      </c>
      <c r="G133" s="375" t="s">
        <v>1254</v>
      </c>
    </row>
    <row r="134" spans="2:13" ht="15.6">
      <c r="C134" s="326">
        <v>46076</v>
      </c>
      <c r="D134" s="202">
        <v>46077</v>
      </c>
      <c r="E134" s="203">
        <f t="shared" si="11"/>
        <v>0</v>
      </c>
      <c r="F134" s="204">
        <f t="shared" si="12"/>
        <v>0</v>
      </c>
      <c r="G134" s="375" t="s">
        <v>1139</v>
      </c>
    </row>
    <row r="135" spans="2:13" ht="15.6">
      <c r="C135" s="326">
        <v>46078</v>
      </c>
      <c r="D135" s="381">
        <v>46078</v>
      </c>
      <c r="E135" s="203">
        <f t="shared" si="11"/>
        <v>0</v>
      </c>
      <c r="F135" s="204">
        <f t="shared" si="12"/>
        <v>0</v>
      </c>
      <c r="G135" s="375" t="s">
        <v>1249</v>
      </c>
    </row>
    <row r="136" spans="2:13" ht="15.6">
      <c r="C136" s="326">
        <v>46079</v>
      </c>
      <c r="D136" s="202">
        <v>46081</v>
      </c>
      <c r="E136" s="203">
        <f t="shared" si="11"/>
        <v>0</v>
      </c>
      <c r="F136" s="204">
        <f t="shared" si="12"/>
        <v>0</v>
      </c>
      <c r="G136" s="375" t="s">
        <v>1250</v>
      </c>
    </row>
    <row r="137" spans="2:13" s="483" customFormat="1" ht="16.2" thickBot="1">
      <c r="B137" s="482"/>
      <c r="C137" s="314">
        <v>46082</v>
      </c>
      <c r="D137" s="206">
        <v>46089</v>
      </c>
      <c r="E137" s="207">
        <f t="shared" si="11"/>
        <v>0</v>
      </c>
      <c r="F137" s="208">
        <f t="shared" si="12"/>
        <v>0</v>
      </c>
      <c r="G137" s="375"/>
    </row>
    <row r="138" spans="2:13" ht="15.6">
      <c r="C138" s="524" t="s">
        <v>136</v>
      </c>
      <c r="D138" s="524"/>
      <c r="E138" s="323">
        <f>SUM(E127:E137)</f>
        <v>0</v>
      </c>
      <c r="F138" s="153">
        <f>SUM(F127:F137)</f>
        <v>0</v>
      </c>
      <c r="G138" s="77"/>
      <c r="K138" s="137"/>
      <c r="M138" s="154"/>
    </row>
    <row r="139" spans="2:13">
      <c r="F139" s="469"/>
    </row>
    <row r="142" spans="2:13">
      <c r="C142" s="533" t="s">
        <v>932</v>
      </c>
      <c r="D142" s="522"/>
      <c r="E142" s="39">
        <f>'BCP SOLES BCP'!$G$1021+('BCP USD BCP'!G421*$D$6)</f>
        <v>564175.61798360827</v>
      </c>
      <c r="F142" s="472">
        <f>'BCP USD BCP'!$G$421+('BCP SOLES BCP'!$G$1021/$D$6)</f>
        <v>164021.61656031405</v>
      </c>
    </row>
    <row r="143" spans="2:13">
      <c r="C143" s="522" t="s">
        <v>933</v>
      </c>
      <c r="D143" s="522"/>
      <c r="E143" s="39">
        <f>'BBVA SOLES'!$G$100+('BBVA USD'!G50*$D$6)</f>
        <v>2599.9379684429509</v>
      </c>
      <c r="F143" s="472">
        <f>'BBVA USD'!$G$50+('BBVA SOLES'!$G$100/D6)</f>
        <v>755.87461589476504</v>
      </c>
    </row>
    <row r="144" spans="2:13" ht="15" thickBot="1">
      <c r="C144" s="534" t="s">
        <v>1251</v>
      </c>
      <c r="D144" s="535"/>
      <c r="E144" s="473">
        <f>$D$18*0</f>
        <v>0</v>
      </c>
      <c r="F144" s="474">
        <f>$E$18*G144</f>
        <v>0</v>
      </c>
      <c r="G144" s="86">
        <v>0</v>
      </c>
    </row>
    <row r="145" spans="3:6" ht="15" thickTop="1">
      <c r="C145" s="523" t="s">
        <v>1252</v>
      </c>
      <c r="D145" s="523"/>
      <c r="E145" s="167">
        <f>SUM(E142:E144)</f>
        <v>566775.55595205119</v>
      </c>
      <c r="F145" s="168">
        <f>SUM(F142:F144)</f>
        <v>164777.49117620883</v>
      </c>
    </row>
    <row r="146" spans="3:6">
      <c r="C146" s="533" t="s">
        <v>1345</v>
      </c>
      <c r="D146" s="522"/>
      <c r="E146" s="39">
        <f>SUM(E127:E137)</f>
        <v>0</v>
      </c>
      <c r="F146" s="154">
        <f>SUM($F$127:$F$137)</f>
        <v>0</v>
      </c>
    </row>
    <row r="147" spans="3:6">
      <c r="C147" s="525"/>
      <c r="D147" s="526"/>
    </row>
    <row r="148" spans="3:6">
      <c r="C148" s="467"/>
      <c r="D148" s="467"/>
      <c r="E148" s="39"/>
      <c r="F148" s="154"/>
    </row>
    <row r="149" spans="3:6">
      <c r="D149" s="231" t="s">
        <v>116</v>
      </c>
      <c r="E149" s="39">
        <f>SUMIFS($D$31:$D$125,$F$31:$F$125,"&gt;="&amp;C127,$F$31:$F$125,"&lt;="&amp;D137,$G$31:$G$125,$D$149)</f>
        <v>0</v>
      </c>
      <c r="F149" s="154">
        <f>SUMIFS($E$31:$E$125,$F$31:$F$125,"&gt;="&amp;$C$127,$F$31:$F$125,"&lt;="&amp;D137,$G$31:$G$125,$D$149)</f>
        <v>0</v>
      </c>
    </row>
    <row r="150" spans="3:6">
      <c r="D150" s="469" t="s">
        <v>126</v>
      </c>
      <c r="E150" s="39">
        <f>SUMIFS($D$31:$D$125,$F$31:$F$125,"&gt;="&amp;C127,$F$31:$F$125,"&lt;="&amp;D137,$G$31:$G$125,$D$150)</f>
        <v>564435.5237602134</v>
      </c>
      <c r="F150" s="454">
        <f>SUMIFS($E$31:$E$125,$F$31:$F$125,"&gt;="&amp;$C$127,$F$31:$F$125,"&lt;="&amp;D137,$G$31:$G$125,$D$150)</f>
        <v>159731.51849587596</v>
      </c>
    </row>
    <row r="151" spans="3:6">
      <c r="D151" s="469" t="s">
        <v>854</v>
      </c>
      <c r="E151" s="167">
        <f>SUM(E149:E150)</f>
        <v>564435.5237602134</v>
      </c>
      <c r="F151" s="168">
        <f>SUM(F149:F150)</f>
        <v>159731.51849587596</v>
      </c>
    </row>
    <row r="152" spans="3:6">
      <c r="D152" s="469" t="s">
        <v>140</v>
      </c>
      <c r="E152" s="167">
        <f>E151-D121</f>
        <v>0</v>
      </c>
      <c r="F152" s="168">
        <f>E121-F151</f>
        <v>0</v>
      </c>
    </row>
    <row r="155" spans="3:6">
      <c r="E155" s="448" t="s">
        <v>198</v>
      </c>
      <c r="F155" s="449">
        <f>D123</f>
        <v>238311.57781348273</v>
      </c>
    </row>
    <row r="156" spans="3:6">
      <c r="E156" s="448" t="s">
        <v>199</v>
      </c>
      <c r="F156" s="449">
        <f>'BCP SOLES BCP'!$G$1021+('BCP USD BCP'!$G$421*$D$6)+('BBVA SOLES'!$G$100+('BBVA USD'!$G$50*$D$6))</f>
        <v>566775.55595205119</v>
      </c>
    </row>
    <row r="157" spans="3:6">
      <c r="E157" s="448" t="s">
        <v>39</v>
      </c>
      <c r="F157" s="449">
        <f>F155-F156</f>
        <v>-328463.97813856846</v>
      </c>
    </row>
    <row r="158" spans="3:6">
      <c r="E158" s="448" t="s">
        <v>200</v>
      </c>
      <c r="F158" s="141">
        <f>F157/D6</f>
        <v>-95493.656511907189</v>
      </c>
    </row>
    <row r="159" spans="3:6">
      <c r="C159" s="172" t="s">
        <v>1296</v>
      </c>
    </row>
  </sheetData>
  <protectedRanges>
    <protectedRange sqref="F27:G27 D125:E125 D17:D26 D10:E15" name="Presupuestos"/>
    <protectedRange sqref="D8:E8 D31:E31" name="Presupuestos_1"/>
    <protectedRange sqref="D40:E45" name="Presupuestos_13_1"/>
    <protectedRange sqref="E67 D68:E69 E57:E65 E93:E111 E113:E117 E119:E120" name="Presupuestos_2_1_1_1"/>
    <protectedRange sqref="K106 K57:K65 K93:K98 E71:E75" name="Presupuestos_6_1_1_1"/>
    <protectedRange sqref="D54:E55 E47:E48" name="Presupuestos_7_1"/>
    <protectedRange sqref="D71:D75" name="Presupuestos_5_3"/>
    <protectedRange sqref="D106 P57:P65 D57:D65 D93:D98" name="Presupuestos_6_1_1_1_1"/>
    <protectedRange sqref="D49:E52" name="Presupuestos_7_1_1"/>
    <protectedRange sqref="E77:E78" name="Presupuestos_7_1_2"/>
    <protectedRange sqref="D77:D78" name="Presupuestos_5_3_1"/>
    <protectedRange sqref="D119:D120" name="Presupuestos_5_3_3"/>
  </protectedRanges>
  <autoFilter ref="A31:S124" xr:uid="{13952266-40FC-4E7A-BCCB-6A6C5722B137}"/>
  <mergeCells count="13">
    <mergeCell ref="C138:D138"/>
    <mergeCell ref="C142:D142"/>
    <mergeCell ref="C143:D143"/>
    <mergeCell ref="C145:D145"/>
    <mergeCell ref="C146:D146"/>
    <mergeCell ref="C147:D147"/>
    <mergeCell ref="C144:D144"/>
    <mergeCell ref="D7:E7"/>
    <mergeCell ref="B30:C30"/>
    <mergeCell ref="D30:E30"/>
    <mergeCell ref="F30:G30"/>
    <mergeCell ref="M33:M35"/>
    <mergeCell ref="M80:M83"/>
  </mergeCells>
  <conditionalFormatting sqref="J39:J42 J34:J35 J46:J47 J79 J67 J57:J65 J93:J111 J113:J117 J71:J75">
    <cfRule type="cellIs" dxfId="75" priority="45" operator="between">
      <formula>1</formula>
      <formula>5</formula>
    </cfRule>
    <cfRule type="cellIs" dxfId="74" priority="46" operator="between">
      <formula>16</formula>
      <formula>60</formula>
    </cfRule>
  </conditionalFormatting>
  <conditionalFormatting sqref="J39:J42 J34:J35 J46:J47 J79 J57:J65 J93:J111 J113:J117 J71:J75">
    <cfRule type="cellIs" dxfId="73" priority="44" operator="lessThan">
      <formula>0</formula>
    </cfRule>
  </conditionalFormatting>
  <conditionalFormatting sqref="J54:J55">
    <cfRule type="cellIs" dxfId="72" priority="42" operator="between">
      <formula>1</formula>
      <formula>5</formula>
    </cfRule>
    <cfRule type="cellIs" dxfId="71" priority="43" operator="between">
      <formula>16</formula>
      <formula>60</formula>
    </cfRule>
  </conditionalFormatting>
  <conditionalFormatting sqref="J54:J55">
    <cfRule type="cellIs" dxfId="70" priority="41" operator="lessThan">
      <formula>0</formula>
    </cfRule>
  </conditionalFormatting>
  <conditionalFormatting sqref="J80:J83 J85:J86 J37:J38 J67:J69 J88:J91 J40:J45 J47:J52 J119:J120">
    <cfRule type="cellIs" dxfId="69" priority="37" operator="lessThan">
      <formula>0</formula>
    </cfRule>
    <cfRule type="cellIs" dxfId="68" priority="38" operator="between">
      <formula>6</formula>
      <formula>15</formula>
    </cfRule>
    <cfRule type="cellIs" dxfId="67" priority="39" operator="between">
      <formula>1</formula>
      <formula>5</formula>
    </cfRule>
    <cfRule type="cellIs" dxfId="53" priority="40" operator="between">
      <formula>16</formula>
      <formula>60</formula>
    </cfRule>
  </conditionalFormatting>
  <conditionalFormatting sqref="J77:J78">
    <cfRule type="cellIs" dxfId="66" priority="35" operator="between">
      <formula>1</formula>
      <formula>5</formula>
    </cfRule>
    <cfRule type="cellIs" dxfId="65" priority="36" operator="between">
      <formula>16</formula>
      <formula>60</formula>
    </cfRule>
  </conditionalFormatting>
  <conditionalFormatting sqref="J77:J78">
    <cfRule type="cellIs" dxfId="64" priority="34" operator="lessThan">
      <formula>0</formula>
    </cfRule>
  </conditionalFormatting>
  <conditionalFormatting sqref="J84">
    <cfRule type="cellIs" dxfId="63" priority="32" operator="between">
      <formula>1</formula>
      <formula>5</formula>
    </cfRule>
    <cfRule type="cellIs" dxfId="62" priority="33" operator="between">
      <formula>16</formula>
      <formula>60</formula>
    </cfRule>
  </conditionalFormatting>
  <conditionalFormatting sqref="J84">
    <cfRule type="cellIs" dxfId="61" priority="31" operator="lessThan">
      <formula>0</formula>
    </cfRule>
  </conditionalFormatting>
  <conditionalFormatting sqref="J87">
    <cfRule type="cellIs" dxfId="60" priority="29" operator="between">
      <formula>1</formula>
      <formula>5</formula>
    </cfRule>
    <cfRule type="cellIs" dxfId="59" priority="30" operator="between">
      <formula>16</formula>
      <formula>60</formula>
    </cfRule>
  </conditionalFormatting>
  <conditionalFormatting sqref="J87">
    <cfRule type="cellIs" dxfId="58" priority="28" operator="lessThan">
      <formula>0</formula>
    </cfRule>
  </conditionalFormatting>
  <conditionalFormatting sqref="J33">
    <cfRule type="cellIs" dxfId="57" priority="20" operator="lessThan">
      <formula>0</formula>
    </cfRule>
    <cfRule type="cellIs" dxfId="56" priority="21" operator="between">
      <formula>6</formula>
      <formula>15</formula>
    </cfRule>
    <cfRule type="cellIs" dxfId="55" priority="22" operator="between">
      <formula>1</formula>
      <formula>5</formula>
    </cfRule>
    <cfRule type="cellIs" dxfId="52" priority="23" operator="between">
      <formula>16</formula>
      <formula>60</formula>
    </cfRule>
  </conditionalFormatting>
  <conditionalFormatting sqref="J67">
    <cfRule type="cellIs" dxfId="54" priority="8" operator="between">
      <formula>6</formula>
      <formula>15</formula>
    </cfRule>
  </conditionalFormatting>
  <dataValidations count="4">
    <dataValidation type="list" allowBlank="1" showInputMessage="1" showErrorMessage="1" sqref="G85:G86 G80:G83 D149 G54:G55 G32:G35 G57:G65 G113:G117 G88:G91 G37:G38 G67:G69 G40:G45 G47:G52 G93:G111 G77:G78 G119:G120 G71:G75" xr:uid="{AC66BFC6-23F0-4884-9EA8-1C6B8DE32BEB}">
      <formula1>"Cancelado,Pagar,Sin Pagar"</formula1>
    </dataValidation>
    <dataValidation type="list" allowBlank="1" showInputMessage="1" showErrorMessage="1" sqref="D30 D7" xr:uid="{7EFC069A-E78F-4B3B-869F-284DB77EC986}">
      <formula1>"ENERO,FEBRERO,MARZO,ABRIL,MAYO,JUNIO,JULIO,AGOSTO,SEPTIEMBRE,OCTUBRE,NOVIEMBRE,DICIEMBRE"</formula1>
    </dataValidation>
    <dataValidation type="list" allowBlank="1" showInputMessage="1" showErrorMessage="1" sqref="G144 F12:F13" xr:uid="{E80ACCBA-9B20-4645-93CD-EBB3ACF65C14}">
      <formula1>"0,1"</formula1>
    </dataValidation>
    <dataValidation type="list" allowBlank="1" showInputMessage="1" showErrorMessage="1" sqref="B17:B26 B12:B15" xr:uid="{3467C9B4-FBD5-4C83-B671-E9270BE3285E}">
      <formula1>"Sin Pagar,Pagado"</formula1>
    </dataValidation>
  </dataValidations>
  <pageMargins left="0.7" right="0.7" top="0.75" bottom="0.75" header="0.3" footer="0.3"/>
  <pageSetup orientation="portrait" r:id="rId1"/>
  <ignoredErrors>
    <ignoredError sqref="J121 J76:J91 J33:J71 J116:J119 J72:J74 G15 J93:J114" unlockedFormula="1"/>
    <ignoredError sqref="D46:E46" formulaRange="1"/>
    <ignoredError sqref="E73" formula="1"/>
  </ignoredError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6B6F-597D-4FA2-B866-7194FFF4D91E}">
  <dimension ref="A1:S188"/>
  <sheetViews>
    <sheetView showGridLines="0" topLeftCell="A91" zoomScaleNormal="100" workbookViewId="0">
      <selection activeCell="C52" sqref="C52"/>
    </sheetView>
  </sheetViews>
  <sheetFormatPr baseColWidth="10" defaultColWidth="9.109375" defaultRowHeight="14.4" outlineLevelRow="1"/>
  <cols>
    <col min="1" max="1" width="2.109375" style="483" customWidth="1"/>
    <col min="2" max="2" width="14.6640625" style="482" bestFit="1" customWidth="1"/>
    <col min="3" max="3" width="70.88671875" style="483" customWidth="1"/>
    <col min="4" max="4" width="24.44140625" style="484" customWidth="1"/>
    <col min="5" max="5" width="19.33203125" style="484" bestFit="1" customWidth="1"/>
    <col min="6" max="6" width="20.109375" style="483" bestFit="1" customWidth="1"/>
    <col min="7" max="7" width="16.88671875" style="483" customWidth="1"/>
    <col min="8" max="8" width="11.88671875" style="483" hidden="1" customWidth="1"/>
    <col min="9" max="9" width="6" style="483" hidden="1" customWidth="1"/>
    <col min="10" max="10" width="16.5546875" style="483" customWidth="1"/>
    <col min="11" max="11" width="2.109375" style="483" customWidth="1"/>
    <col min="12" max="12" width="2.33203125" style="483" customWidth="1"/>
    <col min="13" max="14" width="15.5546875" style="483" bestFit="1" customWidth="1"/>
    <col min="15" max="15" width="13.88671875" style="483" bestFit="1" customWidth="1"/>
    <col min="16" max="16" width="19.33203125" style="483" bestFit="1" customWidth="1"/>
    <col min="17" max="17" width="15.33203125" style="483" bestFit="1" customWidth="1"/>
    <col min="18" max="18" width="14" style="483" bestFit="1" customWidth="1"/>
    <col min="19" max="19" width="13" style="483" bestFit="1" customWidth="1"/>
    <col min="20" max="16384" width="9.109375" style="483"/>
  </cols>
  <sheetData>
    <row r="1" spans="2:14" hidden="1">
      <c r="D1" s="484">
        <v>42400</v>
      </c>
    </row>
    <row r="2" spans="2:14">
      <c r="D2" s="70"/>
      <c r="E2" s="70"/>
      <c r="I2" s="71"/>
    </row>
    <row r="3" spans="2:14">
      <c r="E3" s="72"/>
      <c r="I3" s="71"/>
    </row>
    <row r="4" spans="2:14" ht="15.6">
      <c r="B4" s="73"/>
      <c r="C4" s="73"/>
      <c r="D4" s="74" t="s">
        <v>109</v>
      </c>
      <c r="E4" s="75">
        <v>46082</v>
      </c>
      <c r="I4" s="71"/>
    </row>
    <row r="5" spans="2:14">
      <c r="D5" s="70"/>
      <c r="E5" s="70"/>
      <c r="I5" s="71"/>
    </row>
    <row r="6" spans="2:14">
      <c r="C6" s="76" t="s">
        <v>110</v>
      </c>
      <c r="D6" s="39">
        <v>3.3639999999999999</v>
      </c>
      <c r="E6" s="70"/>
      <c r="I6" s="71"/>
      <c r="J6" s="85"/>
    </row>
    <row r="7" spans="2:14" ht="15.6">
      <c r="C7" s="77"/>
      <c r="D7" s="521" t="s">
        <v>111</v>
      </c>
      <c r="E7" s="521"/>
      <c r="I7" s="71"/>
      <c r="J7" s="85"/>
    </row>
    <row r="8" spans="2:14">
      <c r="D8" s="78" t="s">
        <v>142</v>
      </c>
      <c r="E8" s="78" t="s">
        <v>112</v>
      </c>
      <c r="J8" s="181"/>
    </row>
    <row r="9" spans="2:14" s="79" customFormat="1" ht="15.6">
      <c r="C9" s="80" t="s">
        <v>113</v>
      </c>
      <c r="D9" s="159">
        <f>SUBTOTAL(9,D10:D13)</f>
        <v>272435.21308335004</v>
      </c>
      <c r="E9" s="81">
        <f>SUBTOTAL(9,E10:E13)</f>
        <v>80985.497349390629</v>
      </c>
      <c r="F9" s="82"/>
      <c r="I9" s="71"/>
    </row>
    <row r="10" spans="2:14" s="71" customFormat="1" outlineLevel="1">
      <c r="B10" s="83"/>
      <c r="C10" s="84" t="s">
        <v>141</v>
      </c>
      <c r="D10" s="39">
        <f>'BBVA SOLES'!$G$77+'BCP SOLES BCP'!$G$974+20614</f>
        <v>215741.27127186325</v>
      </c>
      <c r="E10" s="85">
        <f>D10/$D$6</f>
        <v>64132.363636106798</v>
      </c>
      <c r="F10" s="86"/>
    </row>
    <row r="11" spans="2:14" s="71" customFormat="1" outlineLevel="1">
      <c r="B11" s="83"/>
      <c r="C11" s="84" t="s">
        <v>114</v>
      </c>
      <c r="D11" s="39">
        <f>E11*$D$6</f>
        <v>51239.821331486768</v>
      </c>
      <c r="E11" s="85">
        <f>'BBVA USD'!$G$26+'BCP USD BCP'!$G$404</f>
        <v>15231.81371328382</v>
      </c>
      <c r="F11" s="86"/>
    </row>
    <row r="12" spans="2:14" s="71" customFormat="1" outlineLevel="1">
      <c r="B12" s="176" t="s">
        <v>169</v>
      </c>
      <c r="C12" s="177" t="s">
        <v>1362</v>
      </c>
      <c r="D12" s="40">
        <f>E12*$D$6</f>
        <v>3969.52</v>
      </c>
      <c r="E12" s="178">
        <v>1180</v>
      </c>
      <c r="F12" s="86"/>
    </row>
    <row r="13" spans="2:14" s="71" customFormat="1" outlineLevel="1">
      <c r="B13" s="176" t="s">
        <v>169</v>
      </c>
      <c r="C13" s="177" t="s">
        <v>1365</v>
      </c>
      <c r="D13" s="40">
        <f>E13*D6</f>
        <v>1484.6004799999998</v>
      </c>
      <c r="E13" s="178">
        <v>441.32</v>
      </c>
      <c r="F13" s="86"/>
    </row>
    <row r="14" spans="2:14" s="71" customFormat="1" ht="15.6">
      <c r="B14" s="83"/>
      <c r="C14" s="87" t="s">
        <v>115</v>
      </c>
      <c r="D14" s="159">
        <f>SUBTOTAL(9,D15:D23)</f>
        <v>928869.32220000005</v>
      </c>
      <c r="E14" s="81">
        <f>SUBTOTAL(9,E15:E23)</f>
        <v>310964.0437095238</v>
      </c>
      <c r="F14" s="303"/>
      <c r="G14" s="303"/>
      <c r="J14" s="183"/>
    </row>
    <row r="15" spans="2:14" s="71" customFormat="1" outlineLevel="1">
      <c r="B15" s="176" t="s">
        <v>169</v>
      </c>
      <c r="C15" s="177" t="s">
        <v>1361</v>
      </c>
      <c r="D15" s="40">
        <f>E15*3.29</f>
        <v>72002.801500000001</v>
      </c>
      <c r="E15" s="185">
        <v>21885.35</v>
      </c>
      <c r="F15" s="271"/>
      <c r="G15" s="271"/>
      <c r="J15" s="271"/>
      <c r="K15" s="304"/>
      <c r="M15" s="304"/>
      <c r="N15" s="304"/>
    </row>
    <row r="16" spans="2:14" s="71" customFormat="1" ht="28.8" outlineLevel="1">
      <c r="B16" s="176" t="s">
        <v>169</v>
      </c>
      <c r="C16" s="177" t="s">
        <v>1384</v>
      </c>
      <c r="D16" s="40">
        <f>'BCP SOLES BCP'!E1003</f>
        <v>10942.85</v>
      </c>
      <c r="E16" s="185">
        <f>D16*D6</f>
        <v>36811.7474</v>
      </c>
      <c r="F16" s="85"/>
      <c r="G16" s="387"/>
      <c r="J16" s="387"/>
      <c r="M16" s="305"/>
      <c r="N16" s="304"/>
    </row>
    <row r="17" spans="1:19" s="71" customFormat="1" outlineLevel="1">
      <c r="B17" s="252" t="s">
        <v>116</v>
      </c>
      <c r="C17" s="186" t="s">
        <v>1238</v>
      </c>
      <c r="D17" s="39">
        <f>14579.1*0</f>
        <v>0</v>
      </c>
      <c r="E17" s="271">
        <f>D17/D6</f>
        <v>0</v>
      </c>
      <c r="F17" s="476"/>
      <c r="G17" s="387"/>
      <c r="J17" s="387"/>
      <c r="M17" s="305"/>
      <c r="N17" s="304"/>
    </row>
    <row r="18" spans="1:19" s="71" customFormat="1" outlineLevel="1">
      <c r="B18" s="176" t="s">
        <v>169</v>
      </c>
      <c r="C18" s="493" t="s">
        <v>1366</v>
      </c>
      <c r="D18" s="213">
        <f>E18*3.36</f>
        <v>20757.676800000001</v>
      </c>
      <c r="E18" s="185">
        <v>6177.88</v>
      </c>
      <c r="F18" s="271"/>
    </row>
    <row r="19" spans="1:19" s="342" customFormat="1" outlineLevel="1">
      <c r="B19" s="176" t="s">
        <v>169</v>
      </c>
      <c r="C19" s="478" t="s">
        <v>1369</v>
      </c>
      <c r="D19" s="213">
        <v>29944.720000000001</v>
      </c>
      <c r="E19" s="178">
        <v>8804.68</v>
      </c>
      <c r="F19" s="209">
        <v>29583.7248</v>
      </c>
      <c r="G19" s="271">
        <f>D19-F19</f>
        <v>360.9952000000012</v>
      </c>
      <c r="H19" s="399"/>
      <c r="I19" s="399"/>
      <c r="J19" s="271"/>
    </row>
    <row r="20" spans="1:19" s="342" customFormat="1" outlineLevel="1">
      <c r="B20" s="176" t="s">
        <v>169</v>
      </c>
      <c r="C20" s="177" t="s">
        <v>1370</v>
      </c>
      <c r="D20" s="40">
        <f>E20*3.29</f>
        <v>96550.412700000001</v>
      </c>
      <c r="E20" s="185">
        <f>'BCP USD BCP'!E416</f>
        <v>29346.63</v>
      </c>
      <c r="F20" s="271">
        <v>29476.63</v>
      </c>
      <c r="G20" s="271">
        <f>F20-E20</f>
        <v>130</v>
      </c>
      <c r="H20" s="399"/>
      <c r="I20" s="399"/>
      <c r="J20" s="271"/>
    </row>
    <row r="21" spans="1:19" s="71" customFormat="1" outlineLevel="1">
      <c r="B21" s="176" t="s">
        <v>169</v>
      </c>
      <c r="C21" s="177" t="s">
        <v>1379</v>
      </c>
      <c r="D21" s="40">
        <v>53957.69</v>
      </c>
      <c r="E21" s="185">
        <f>D21/3.36</f>
        <v>16058.836309523811</v>
      </c>
      <c r="F21" s="85"/>
      <c r="G21" s="387"/>
      <c r="J21" s="387"/>
      <c r="M21" s="305"/>
      <c r="N21" s="304"/>
    </row>
    <row r="22" spans="1:19" s="71" customFormat="1" outlineLevel="1">
      <c r="B22" s="176" t="s">
        <v>169</v>
      </c>
      <c r="C22" s="177" t="s">
        <v>1375</v>
      </c>
      <c r="D22" s="40">
        <f>E22*3.36</f>
        <v>455824.45439999999</v>
      </c>
      <c r="E22" s="185">
        <v>135662.04</v>
      </c>
      <c r="F22" s="271">
        <f>('BCP USD BCP'!$E$413+'BCP USD BCP'!$E$414)</f>
        <v>135632.04</v>
      </c>
      <c r="G22" s="271">
        <f>E22-F22</f>
        <v>30</v>
      </c>
      <c r="J22" s="271"/>
      <c r="K22" s="304"/>
      <c r="M22" s="304"/>
      <c r="N22" s="304"/>
    </row>
    <row r="23" spans="1:19" s="71" customFormat="1" outlineLevel="1">
      <c r="B23" s="176" t="s">
        <v>169</v>
      </c>
      <c r="C23" s="177" t="s">
        <v>1436</v>
      </c>
      <c r="D23" s="40">
        <f>E23*3.36</f>
        <v>188888.71679999999</v>
      </c>
      <c r="E23" s="185">
        <v>56216.88</v>
      </c>
      <c r="F23" s="271"/>
      <c r="G23" s="271"/>
      <c r="J23" s="271"/>
      <c r="K23" s="304"/>
      <c r="M23" s="304"/>
      <c r="N23" s="304"/>
    </row>
    <row r="24" spans="1:19" s="71" customFormat="1" ht="15.6">
      <c r="B24" s="83"/>
      <c r="C24" s="90" t="s">
        <v>117</v>
      </c>
      <c r="D24" s="226">
        <f>SUBTOTAL(9,D9:D23)</f>
        <v>1201304.5352833499</v>
      </c>
      <c r="E24" s="92">
        <f>SUBTOTAL(9,E9:E23)</f>
        <v>391949.54105891444</v>
      </c>
      <c r="F24" s="93"/>
      <c r="G24" s="492" t="s">
        <v>340</v>
      </c>
      <c r="J24" s="253"/>
      <c r="K24" s="94"/>
      <c r="O24" s="95"/>
      <c r="P24" s="96"/>
      <c r="Q24" s="97"/>
    </row>
    <row r="25" spans="1:19" s="71" customFormat="1" ht="15.6">
      <c r="B25" s="83"/>
      <c r="C25" s="98"/>
      <c r="D25" s="99"/>
      <c r="E25" s="99"/>
      <c r="G25" s="100"/>
      <c r="O25" s="96"/>
      <c r="P25" s="96"/>
    </row>
    <row r="26" spans="1:19" s="71" customFormat="1" ht="15.6">
      <c r="B26" s="83"/>
      <c r="N26" s="101"/>
      <c r="O26" s="102"/>
      <c r="P26" s="103"/>
    </row>
    <row r="27" spans="1:19" s="71" customFormat="1" ht="15.6">
      <c r="B27" s="521" t="s">
        <v>118</v>
      </c>
      <c r="C27" s="521"/>
      <c r="D27" s="521" t="s">
        <v>111</v>
      </c>
      <c r="E27" s="521"/>
      <c r="F27" s="521" t="s">
        <v>109</v>
      </c>
      <c r="G27" s="521"/>
      <c r="H27" s="481"/>
      <c r="I27" s="481"/>
      <c r="J27" s="175">
        <v>46082</v>
      </c>
      <c r="K27" s="103"/>
      <c r="L27" s="103"/>
      <c r="N27" s="101"/>
      <c r="R27" s="89"/>
      <c r="S27" s="89"/>
    </row>
    <row r="28" spans="1:19" s="71" customFormat="1" ht="16.2" thickBot="1">
      <c r="B28" s="104" t="s">
        <v>119</v>
      </c>
      <c r="C28" s="105" t="s">
        <v>120</v>
      </c>
      <c r="D28" s="78" t="s">
        <v>150</v>
      </c>
      <c r="E28" s="78" t="s">
        <v>112</v>
      </c>
      <c r="F28" s="106" t="s">
        <v>121</v>
      </c>
      <c r="G28" s="101" t="s">
        <v>122</v>
      </c>
      <c r="H28" s="101"/>
      <c r="I28" s="101"/>
      <c r="J28" s="107" t="s">
        <v>123</v>
      </c>
      <c r="N28" s="108"/>
      <c r="R28" s="89"/>
      <c r="S28" s="109"/>
    </row>
    <row r="29" spans="1:19" s="71" customFormat="1" ht="16.2" thickBot="1">
      <c r="B29" s="83"/>
      <c r="C29" s="110" t="s">
        <v>124</v>
      </c>
      <c r="D29" s="160">
        <f>SUBTOTAL(9,D30:D32)</f>
        <v>15186.9</v>
      </c>
      <c r="E29" s="111">
        <f>SUBTOTAL(9,E30:E32)</f>
        <v>4514.5362663495835</v>
      </c>
      <c r="F29" s="112"/>
      <c r="J29" s="113"/>
    </row>
    <row r="30" spans="1:19" s="71" customFormat="1" outlineLevel="1">
      <c r="B30" s="83">
        <v>2221860127</v>
      </c>
      <c r="C30" s="479" t="s">
        <v>825</v>
      </c>
      <c r="D30" s="39">
        <v>3401.25</v>
      </c>
      <c r="E30" s="115">
        <f>D30/$D$6</f>
        <v>1011.0731272294887</v>
      </c>
      <c r="F30" s="116">
        <v>46087</v>
      </c>
      <c r="G30" s="71" t="s">
        <v>126</v>
      </c>
      <c r="H30" s="71">
        <f>IF(OR(G30="Sin pagar",G30="Pagar"),(_xlfn.SINGLE(NETWORKDAYS($J$27,F30,FestivosPerú!$A$2:$A$31))),0)</f>
        <v>0</v>
      </c>
      <c r="I30" s="71">
        <f>NETWORKDAYS($J$27,F30,FestivosPerú!$A$2:$A$31)</f>
        <v>5</v>
      </c>
      <c r="J30" s="117">
        <f t="shared" ref="J30:J44" si="0">H30</f>
        <v>0</v>
      </c>
      <c r="M30" s="530" t="s">
        <v>699</v>
      </c>
      <c r="N30" s="86"/>
    </row>
    <row r="31" spans="1:19" s="71" customFormat="1" outlineLevel="1">
      <c r="A31" s="86"/>
      <c r="B31" s="331">
        <v>2517434836</v>
      </c>
      <c r="C31" s="479" t="s">
        <v>827</v>
      </c>
      <c r="D31" s="39">
        <v>8286.8799999999992</v>
      </c>
      <c r="E31" s="115">
        <f>D31/$D$6</f>
        <v>2463.4007134363851</v>
      </c>
      <c r="F31" s="116">
        <v>46087</v>
      </c>
      <c r="G31" s="71" t="s">
        <v>126</v>
      </c>
      <c r="H31" s="71">
        <f>IF(OR(G31="Sin pagar",G31="Pagar"),(_xlfn.SINGLE(NETWORKDAYS($J$27,F31,FestivosPerú!$A$2:$A$31))),0)</f>
        <v>0</v>
      </c>
      <c r="I31" s="71">
        <f>NETWORKDAYS($J$27,F31,FestivosPerú!$A$2:$A$31)</f>
        <v>5</v>
      </c>
      <c r="J31" s="117">
        <f t="shared" si="0"/>
        <v>0</v>
      </c>
      <c r="K31" s="89"/>
      <c r="L31" s="89"/>
      <c r="M31" s="530"/>
      <c r="N31" s="118"/>
      <c r="Q31" s="39"/>
      <c r="S31" s="374"/>
    </row>
    <row r="32" spans="1:19" s="71" customFormat="1" ht="15" outlineLevel="1" thickBot="1">
      <c r="A32" s="86"/>
      <c r="B32" s="330">
        <v>2609826962</v>
      </c>
      <c r="C32" s="479" t="s">
        <v>826</v>
      </c>
      <c r="D32" s="39">
        <v>3498.77</v>
      </c>
      <c r="E32" s="115">
        <f>D32/$D$6</f>
        <v>1040.06242568371</v>
      </c>
      <c r="F32" s="116">
        <v>46087</v>
      </c>
      <c r="G32" s="71" t="s">
        <v>126</v>
      </c>
      <c r="H32" s="71">
        <f>IF(OR(G32="Sin pagar",G32="Pagar"),(_xlfn.SINGLE(NETWORKDAYS($J$27,F32,FestivosPerú!$A$2:$A$31))),0)</f>
        <v>0</v>
      </c>
      <c r="I32" s="71">
        <f>NETWORKDAYS($J$27,F32,FestivosPerú!$A$2:$A$31)</f>
        <v>5</v>
      </c>
      <c r="J32" s="117">
        <f t="shared" si="0"/>
        <v>0</v>
      </c>
      <c r="K32" s="89"/>
      <c r="L32" s="89"/>
      <c r="M32" s="530"/>
      <c r="N32" s="118"/>
      <c r="Q32" s="39"/>
      <c r="S32" s="374"/>
    </row>
    <row r="33" spans="2:19" s="71" customFormat="1" ht="16.2" thickBot="1">
      <c r="B33" s="83"/>
      <c r="C33" s="110" t="s">
        <v>125</v>
      </c>
      <c r="D33" s="160">
        <f>SUBTOTAL(9,D34:D35)</f>
        <v>29980.35</v>
      </c>
      <c r="E33" s="111">
        <f>SUBTOTAL(9,E34:E35)</f>
        <v>8912.1135552913202</v>
      </c>
      <c r="J33" s="113">
        <f t="shared" si="0"/>
        <v>0</v>
      </c>
      <c r="Q33" s="374"/>
      <c r="S33" s="374"/>
    </row>
    <row r="34" spans="2:19" s="71" customFormat="1" outlineLevel="1">
      <c r="B34" s="173"/>
      <c r="C34" s="186" t="s">
        <v>885</v>
      </c>
      <c r="D34" s="39">
        <v>29838</v>
      </c>
      <c r="E34" s="115">
        <f>D34/$D$6</f>
        <v>8869.7978596908451</v>
      </c>
      <c r="F34" s="116">
        <v>46097</v>
      </c>
      <c r="G34" s="71" t="s">
        <v>126</v>
      </c>
      <c r="H34" s="71">
        <f>IF(OR(G34="Sin pagar",G34="Pagar"),(_xlfn.SINGLE(NETWORKDAYS($J$27,F34,FestivosPerú!$A$2:$A$31))),0)</f>
        <v>0</v>
      </c>
      <c r="I34" s="71">
        <f>NETWORKDAYS($J$27,F34,FestivosPerú!$A$2:$A$31)</f>
        <v>11</v>
      </c>
      <c r="J34" s="117">
        <f t="shared" si="0"/>
        <v>0</v>
      </c>
      <c r="K34" s="120"/>
      <c r="L34" s="94"/>
      <c r="M34" s="377" t="s">
        <v>701</v>
      </c>
      <c r="N34" s="118"/>
      <c r="Q34" s="374"/>
    </row>
    <row r="35" spans="2:19" s="71" customFormat="1" ht="15" outlineLevel="1" thickBot="1">
      <c r="B35" s="119"/>
      <c r="C35" s="186" t="s">
        <v>1241</v>
      </c>
      <c r="D35" s="209">
        <v>142.35</v>
      </c>
      <c r="E35" s="232">
        <f>D35/$D$6</f>
        <v>42.315695600475621</v>
      </c>
      <c r="F35" s="116">
        <v>46097</v>
      </c>
      <c r="G35" s="71" t="s">
        <v>126</v>
      </c>
      <c r="H35" s="71">
        <f>IF(OR(G35="Sin pagar",G35="Pagar"),(_xlfn.SINGLE(NETWORKDAYS($J$27,F35,FestivosPerú!$A$2:$A$31))),0)</f>
        <v>0</v>
      </c>
      <c r="I35" s="71">
        <f>NETWORKDAYS($J$27,F35,FestivosPerú!$A$2:$A$31)</f>
        <v>11</v>
      </c>
      <c r="J35" s="117">
        <f t="shared" si="0"/>
        <v>0</v>
      </c>
      <c r="K35" s="120"/>
      <c r="L35" s="94"/>
      <c r="M35" s="300" t="s">
        <v>700</v>
      </c>
      <c r="N35" s="118"/>
    </row>
    <row r="36" spans="2:19" s="71" customFormat="1" ht="16.2" thickBot="1">
      <c r="B36" s="83"/>
      <c r="C36" s="110" t="s">
        <v>144</v>
      </c>
      <c r="D36" s="160">
        <f>SUBTOTAL(9,D37:D44)</f>
        <v>2006</v>
      </c>
      <c r="E36" s="111">
        <f>SUBTOTAL(9,E37:E44)</f>
        <v>596.31391200951248</v>
      </c>
      <c r="J36" s="117">
        <f t="shared" si="0"/>
        <v>0</v>
      </c>
      <c r="K36" s="89"/>
      <c r="L36" s="89"/>
      <c r="N36" s="118"/>
    </row>
    <row r="37" spans="2:19" s="71" customFormat="1" outlineLevel="1">
      <c r="B37" s="254" t="s">
        <v>1422</v>
      </c>
      <c r="C37" s="186" t="s">
        <v>1346</v>
      </c>
      <c r="D37" s="39">
        <v>590</v>
      </c>
      <c r="E37" s="115">
        <f t="shared" ref="E37:E44" si="1">D37/$D$6</f>
        <v>175.38644470868016</v>
      </c>
      <c r="F37" s="116">
        <v>46112</v>
      </c>
      <c r="G37" s="71" t="s">
        <v>126</v>
      </c>
      <c r="H37" s="71">
        <f>IF(OR(G37="Sin pagar",G37="Pagar"),(_xlfn.SINGLE(NETWORKDAYS($J$27,F37,FestivosPerú!$A$2:$A$31))),0)</f>
        <v>0</v>
      </c>
      <c r="I37" s="71">
        <f>NETWORKDAYS($J$27,F37,FestivosPerú!$A$2:$A$31)</f>
        <v>22</v>
      </c>
      <c r="J37" s="117">
        <f t="shared" si="0"/>
        <v>0</v>
      </c>
      <c r="M37" s="299"/>
      <c r="N37" s="86"/>
    </row>
    <row r="38" spans="2:19" s="71" customFormat="1" outlineLevel="1">
      <c r="B38" s="254" t="s">
        <v>1423</v>
      </c>
      <c r="C38" s="186" t="s">
        <v>1347</v>
      </c>
      <c r="D38" s="39">
        <v>590</v>
      </c>
      <c r="E38" s="115">
        <f t="shared" si="1"/>
        <v>175.38644470868016</v>
      </c>
      <c r="F38" s="116">
        <v>46112</v>
      </c>
      <c r="G38" s="71" t="s">
        <v>126</v>
      </c>
      <c r="H38" s="71">
        <f>IF(OR(G38="Sin pagar",G38="Pagar"),(_xlfn.SINGLE(NETWORKDAYS($J$27,F38,FestivosPerú!$A$2:$A$31))),0)</f>
        <v>0</v>
      </c>
      <c r="I38" s="71">
        <f>NETWORKDAYS($J$27,F38,FestivosPerú!$A$2:$A$31)</f>
        <v>22</v>
      </c>
      <c r="J38" s="117">
        <f t="shared" si="0"/>
        <v>0</v>
      </c>
      <c r="M38" s="299"/>
      <c r="N38" s="86"/>
    </row>
    <row r="39" spans="2:19" s="71" customFormat="1" outlineLevel="1">
      <c r="B39" s="254" t="s">
        <v>1426</v>
      </c>
      <c r="C39" s="186" t="s">
        <v>1427</v>
      </c>
      <c r="D39" s="39">
        <v>826</v>
      </c>
      <c r="E39" s="115">
        <f t="shared" si="1"/>
        <v>245.54102259215222</v>
      </c>
      <c r="F39" s="116">
        <v>46112</v>
      </c>
      <c r="G39" s="71" t="s">
        <v>126</v>
      </c>
      <c r="H39" s="71">
        <f>IF(OR(G39="Sin pagar",G39="Pagar"),(_xlfn.SINGLE(NETWORKDAYS($J$27,F39,FestivosPerú!$A$2:$A$31))),0)</f>
        <v>0</v>
      </c>
      <c r="I39" s="71">
        <f>NETWORKDAYS($J$27,F39,FestivosPerú!$A$2:$A$31)</f>
        <v>22</v>
      </c>
      <c r="J39" s="117">
        <f t="shared" si="0"/>
        <v>0</v>
      </c>
      <c r="M39" s="299"/>
      <c r="N39" s="86"/>
    </row>
    <row r="40" spans="2:19" s="71" customFormat="1" outlineLevel="1">
      <c r="B40" s="254" t="s">
        <v>1320</v>
      </c>
      <c r="C40" s="186" t="s">
        <v>1321</v>
      </c>
      <c r="D40" s="39">
        <f>826*0</f>
        <v>0</v>
      </c>
      <c r="E40" s="115">
        <f t="shared" si="1"/>
        <v>0</v>
      </c>
      <c r="F40" s="116">
        <v>46128</v>
      </c>
      <c r="G40" s="71" t="s">
        <v>116</v>
      </c>
      <c r="H40" s="71">
        <f>IF(OR(G40="Sin pagar",G40="Pagar"),(_xlfn.SINGLE(NETWORKDAYS($J$27,F40,FestivosPerú!$A$2:$A$31))),0)</f>
        <v>32</v>
      </c>
      <c r="I40" s="71">
        <f>NETWORKDAYS($J$27,F40,FestivosPerú!$A$2:$A$31)</f>
        <v>32</v>
      </c>
      <c r="J40" s="117">
        <f t="shared" si="0"/>
        <v>32</v>
      </c>
      <c r="M40" s="495" t="s">
        <v>1428</v>
      </c>
      <c r="N40" s="86"/>
    </row>
    <row r="41" spans="2:19" s="71" customFormat="1" outlineLevel="1">
      <c r="B41" s="254" t="s">
        <v>1322</v>
      </c>
      <c r="C41" s="186" t="s">
        <v>1348</v>
      </c>
      <c r="D41" s="39">
        <f>826*0</f>
        <v>0</v>
      </c>
      <c r="E41" s="115">
        <f t="shared" si="1"/>
        <v>0</v>
      </c>
      <c r="F41" s="116">
        <v>46128</v>
      </c>
      <c r="G41" s="71" t="s">
        <v>116</v>
      </c>
      <c r="H41" s="71">
        <f>IF(OR(G41="Sin pagar",G41="Pagar"),(_xlfn.SINGLE(NETWORKDAYS($J$27,F41,FestivosPerú!$A$2:$A$31))),0)</f>
        <v>32</v>
      </c>
      <c r="I41" s="71">
        <f>NETWORKDAYS($J$27,F41,FestivosPerú!$A$2:$A$31)</f>
        <v>32</v>
      </c>
      <c r="J41" s="117">
        <f t="shared" si="0"/>
        <v>32</v>
      </c>
      <c r="M41" s="495" t="s">
        <v>1428</v>
      </c>
      <c r="N41" s="86"/>
    </row>
    <row r="42" spans="2:19" s="71" customFormat="1" outlineLevel="1">
      <c r="B42" s="254" t="s">
        <v>1328</v>
      </c>
      <c r="C42" s="186" t="s">
        <v>1349</v>
      </c>
      <c r="D42" s="39">
        <f>826*0</f>
        <v>0</v>
      </c>
      <c r="E42" s="115">
        <f t="shared" si="1"/>
        <v>0</v>
      </c>
      <c r="F42" s="116">
        <v>46128</v>
      </c>
      <c r="G42" s="71" t="s">
        <v>116</v>
      </c>
      <c r="H42" s="71">
        <f>IF(OR(G42="Sin pagar",G42="Pagar"),(_xlfn.SINGLE(NETWORKDAYS($J$27,F42,FestivosPerú!$A$2:$A$31))),0)</f>
        <v>32</v>
      </c>
      <c r="I42" s="71">
        <f>NETWORKDAYS($J$27,F42,FestivosPerú!$A$2:$A$31)</f>
        <v>32</v>
      </c>
      <c r="J42" s="117">
        <f t="shared" si="0"/>
        <v>32</v>
      </c>
      <c r="M42" s="495" t="s">
        <v>1428</v>
      </c>
      <c r="N42" s="86"/>
    </row>
    <row r="43" spans="2:19" s="71" customFormat="1" outlineLevel="1">
      <c r="B43" s="254" t="s">
        <v>1429</v>
      </c>
      <c r="C43" s="186" t="s">
        <v>1350</v>
      </c>
      <c r="D43" s="39">
        <f>826*0</f>
        <v>0</v>
      </c>
      <c r="E43" s="115">
        <f t="shared" si="1"/>
        <v>0</v>
      </c>
      <c r="F43" s="116">
        <v>46128</v>
      </c>
      <c r="G43" s="71" t="s">
        <v>116</v>
      </c>
      <c r="H43" s="71">
        <f>IF(OR(G43="Sin pagar",G43="Pagar"),(_xlfn.SINGLE(NETWORKDAYS($J$27,F43,FestivosPerú!$A$2:$A$31))),0)</f>
        <v>32</v>
      </c>
      <c r="I43" s="71">
        <f>NETWORKDAYS($J$27,F43,FestivosPerú!$A$2:$A$31)</f>
        <v>32</v>
      </c>
      <c r="J43" s="117">
        <f t="shared" si="0"/>
        <v>32</v>
      </c>
      <c r="M43" s="299" t="s">
        <v>1137</v>
      </c>
      <c r="N43" s="86"/>
    </row>
    <row r="44" spans="2:19" s="71" customFormat="1" ht="15" outlineLevel="1" thickBot="1">
      <c r="B44" s="254" t="s">
        <v>1425</v>
      </c>
      <c r="C44" s="186" t="s">
        <v>1424</v>
      </c>
      <c r="D44" s="39">
        <f>826*0</f>
        <v>0</v>
      </c>
      <c r="E44" s="115">
        <f t="shared" si="1"/>
        <v>0</v>
      </c>
      <c r="F44" s="116">
        <v>46128</v>
      </c>
      <c r="G44" s="71" t="s">
        <v>116</v>
      </c>
      <c r="H44" s="71">
        <f>IF(OR(G44="Sin pagar",G44="Pagar"),(_xlfn.SINGLE(NETWORKDAYS($J$27,F44,FestivosPerú!$A$2:$A$31))),0)</f>
        <v>32</v>
      </c>
      <c r="I44" s="71">
        <f>NETWORKDAYS($J$27,F44,FestivosPerú!$A$2:$A$31)</f>
        <v>32</v>
      </c>
      <c r="J44" s="117">
        <f t="shared" si="0"/>
        <v>32</v>
      </c>
      <c r="M44" s="495" t="s">
        <v>1430</v>
      </c>
      <c r="N44" s="86"/>
    </row>
    <row r="45" spans="2:19" s="71" customFormat="1" ht="15" customHeight="1" thickBot="1">
      <c r="C45" s="110" t="s">
        <v>162</v>
      </c>
      <c r="D45" s="160">
        <f>SUBTOTAL(9,D46:D52)</f>
        <v>4197.92</v>
      </c>
      <c r="E45" s="111">
        <f>SUBTOTAL(9,E46:E52)</f>
        <v>1247.8953626634959</v>
      </c>
      <c r="J45" s="117"/>
      <c r="M45" s="122"/>
      <c r="N45" s="187"/>
      <c r="P45" s="187"/>
    </row>
    <row r="46" spans="2:19" s="71" customFormat="1" outlineLevel="1">
      <c r="B46" s="254"/>
      <c r="C46" s="186" t="s">
        <v>1356</v>
      </c>
      <c r="D46" s="39">
        <v>236</v>
      </c>
      <c r="E46" s="115">
        <f t="shared" ref="E46:E51" si="2">D46/$D$6</f>
        <v>70.154577883472058</v>
      </c>
      <c r="F46" s="112">
        <v>46090</v>
      </c>
      <c r="G46" s="71" t="s">
        <v>126</v>
      </c>
      <c r="H46" s="71">
        <f>IF(OR(G46="Sin pagar",G46="Pagar"),(_xlfn.SINGLE(NETWORKDAYS($J$27,F46,FestivosPerú!$A$2:$A$31))),0)</f>
        <v>0</v>
      </c>
      <c r="I46" s="71">
        <f>NETWORKDAYS($J$27,F46,FestivosPerú!$A$2:$A$31)</f>
        <v>6</v>
      </c>
      <c r="J46" s="117">
        <f t="shared" ref="J46:J51" si="3">H46</f>
        <v>0</v>
      </c>
      <c r="M46" s="299" t="s">
        <v>832</v>
      </c>
    </row>
    <row r="47" spans="2:19" s="71" customFormat="1" outlineLevel="1">
      <c r="B47" s="480" t="s">
        <v>1219</v>
      </c>
      <c r="C47" s="186" t="s">
        <v>1378</v>
      </c>
      <c r="D47" s="39">
        <v>345.76</v>
      </c>
      <c r="E47" s="115">
        <f t="shared" si="2"/>
        <v>102.78240190249703</v>
      </c>
      <c r="F47" s="116">
        <v>46100</v>
      </c>
      <c r="G47" s="71" t="s">
        <v>126</v>
      </c>
      <c r="H47" s="71">
        <f>IF(OR(G47="Sin pagar",G47="Pagar"),(_xlfn.SINGLE(NETWORKDAYS($J$27,F47,FestivosPerú!$A$2:$A$31))),0)</f>
        <v>0</v>
      </c>
      <c r="I47" s="71">
        <f>NETWORKDAYS($J$27,F47,FestivosPerú!$A$2:$A$31)</f>
        <v>14</v>
      </c>
      <c r="J47" s="117">
        <f t="shared" si="3"/>
        <v>0</v>
      </c>
    </row>
    <row r="48" spans="2:19" s="71" customFormat="1" outlineLevel="1">
      <c r="B48" s="480" t="s">
        <v>1218</v>
      </c>
      <c r="C48" s="186" t="s">
        <v>1377</v>
      </c>
      <c r="D48" s="39">
        <v>356.13</v>
      </c>
      <c r="E48" s="115">
        <f t="shared" si="2"/>
        <v>105.86504161712247</v>
      </c>
      <c r="F48" s="116">
        <v>46100</v>
      </c>
      <c r="G48" s="71" t="s">
        <v>126</v>
      </c>
      <c r="H48" s="71">
        <f>IF(OR(G48="Sin pagar",G48="Pagar"),(_xlfn.SINGLE(NETWORKDAYS($J$27,F48,FestivosPerú!$A$2:$A$31))),0)</f>
        <v>0</v>
      </c>
      <c r="I48" s="71">
        <f>NETWORKDAYS($J$27,F48,FestivosPerú!$A$2:$A$31)</f>
        <v>14</v>
      </c>
      <c r="J48" s="117">
        <f t="shared" si="3"/>
        <v>0</v>
      </c>
    </row>
    <row r="49" spans="2:18" s="71" customFormat="1" outlineLevel="1">
      <c r="B49" s="480"/>
      <c r="C49" s="186" t="s">
        <v>1380</v>
      </c>
      <c r="D49" s="39">
        <v>2673</v>
      </c>
      <c r="E49" s="115">
        <f>D49/$D$6</f>
        <v>794.58977407847806</v>
      </c>
      <c r="F49" s="116">
        <v>46105</v>
      </c>
      <c r="G49" s="71" t="s">
        <v>126</v>
      </c>
      <c r="H49" s="71">
        <f>IF(OR(G49="Sin pagar",G49="Pagar"),(_xlfn.SINGLE(NETWORKDAYS($J$27,F49,FestivosPerú!$A$2:$A$31))),0)</f>
        <v>0</v>
      </c>
      <c r="I49" s="71">
        <f>NETWORKDAYS($J$27,F49,FestivosPerú!$A$2:$A$31)</f>
        <v>17</v>
      </c>
      <c r="J49" s="117">
        <f>H49</f>
        <v>0</v>
      </c>
    </row>
    <row r="50" spans="2:18" s="71" customFormat="1" outlineLevel="1">
      <c r="B50" s="254" t="s">
        <v>1434</v>
      </c>
      <c r="C50" s="186" t="s">
        <v>1313</v>
      </c>
      <c r="D50" s="39">
        <v>118</v>
      </c>
      <c r="E50" s="115">
        <f t="shared" si="2"/>
        <v>35.077288941736029</v>
      </c>
      <c r="F50" s="116">
        <v>46111</v>
      </c>
      <c r="G50" s="71" t="s">
        <v>126</v>
      </c>
      <c r="H50" s="71">
        <f>IF(OR(G50="Sin pagar",G50="Pagar"),(_xlfn.SINGLE(NETWORKDAYS($J$27,F50,FestivosPerú!$A$2:$A$31))),0)</f>
        <v>0</v>
      </c>
      <c r="I50" s="71">
        <f>NETWORKDAYS($J$27,F50,FestivosPerú!$A$2:$A$31)</f>
        <v>21</v>
      </c>
      <c r="J50" s="117">
        <f t="shared" si="3"/>
        <v>0</v>
      </c>
    </row>
    <row r="51" spans="2:18" s="71" customFormat="1" outlineLevel="1">
      <c r="B51" s="254" t="s">
        <v>1435</v>
      </c>
      <c r="C51" s="186" t="s">
        <v>1399</v>
      </c>
      <c r="D51" s="39">
        <v>433.83</v>
      </c>
      <c r="E51" s="115">
        <f t="shared" si="2"/>
        <v>128.96254458977407</v>
      </c>
      <c r="F51" s="116">
        <v>46111</v>
      </c>
      <c r="G51" s="71" t="s">
        <v>126</v>
      </c>
      <c r="H51" s="71">
        <f>IF(OR(G51="Sin pagar",G51="Pagar"),(_xlfn.SINGLE(NETWORKDAYS($J$27,F51,FestivosPerú!$A$2:$A$31))),0)</f>
        <v>0</v>
      </c>
      <c r="I51" s="71">
        <f>NETWORKDAYS($J$27,F51,FestivosPerú!$A$2:$A$31)</f>
        <v>21</v>
      </c>
      <c r="J51" s="117">
        <f t="shared" si="3"/>
        <v>0</v>
      </c>
    </row>
    <row r="52" spans="2:18" s="71" customFormat="1" ht="15" outlineLevel="1" thickBot="1">
      <c r="B52" s="254" t="s">
        <v>272</v>
      </c>
      <c r="C52" s="186" t="s">
        <v>1438</v>
      </c>
      <c r="D52" s="39">
        <v>35.200000000000003</v>
      </c>
      <c r="E52" s="115">
        <f>D52/$D$6</f>
        <v>10.463733650416172</v>
      </c>
      <c r="F52" s="116">
        <v>46112</v>
      </c>
      <c r="G52" s="71" t="s">
        <v>126</v>
      </c>
      <c r="H52" s="71">
        <f>IF(OR(G52="Sin pagar",G52="Pagar"),(_xlfn.SINGLE(NETWORKDAYS($J$27,F52,FestivosPerú!$A$2:$A$31))),0)</f>
        <v>0</v>
      </c>
      <c r="I52" s="71">
        <f>NETWORKDAYS($J$27,F52,FestivosPerú!$A$2:$A$31)</f>
        <v>22</v>
      </c>
      <c r="J52" s="117">
        <f>H52</f>
        <v>0</v>
      </c>
    </row>
    <row r="53" spans="2:18" s="71" customFormat="1" ht="15.75" customHeight="1" thickBot="1">
      <c r="C53" s="110" t="s">
        <v>127</v>
      </c>
      <c r="D53" s="160">
        <f>SUBTOTAL(9,D54:D55)</f>
        <v>446.87560000000002</v>
      </c>
      <c r="E53" s="111">
        <f>SUBTOTAL(9,E54:E55)</f>
        <v>132.84054696789536</v>
      </c>
      <c r="M53" s="122"/>
      <c r="N53" s="187"/>
      <c r="P53" s="187"/>
    </row>
    <row r="54" spans="2:18" s="71" customFormat="1" outlineLevel="1">
      <c r="B54" s="125"/>
      <c r="C54" s="84" t="s">
        <v>999</v>
      </c>
      <c r="D54" s="39">
        <v>341.75</v>
      </c>
      <c r="E54" s="115">
        <f>D54/$D$6</f>
        <v>101.59036860879905</v>
      </c>
      <c r="F54" s="116">
        <v>46112</v>
      </c>
      <c r="G54" s="71" t="s">
        <v>126</v>
      </c>
      <c r="H54" s="71">
        <f>IF(OR(G54="Sin pagar",G54="Pagar"),(_xlfn.SINGLE(NETWORKDAYS($J$27,F54,FestivosPerú!$A$2:$A$31))),0)</f>
        <v>0</v>
      </c>
      <c r="I54" s="71">
        <f>NETWORKDAYS($J$27,F54,FestivosPerú!$A$2:$A$31)</f>
        <v>22</v>
      </c>
      <c r="J54" s="117">
        <f>H54</f>
        <v>0</v>
      </c>
      <c r="K54" s="120"/>
      <c r="L54" s="120"/>
    </row>
    <row r="55" spans="2:18" s="71" customFormat="1" ht="15" outlineLevel="1" thickBot="1">
      <c r="B55" s="125"/>
      <c r="C55" s="84" t="s">
        <v>1000</v>
      </c>
      <c r="D55" s="39">
        <v>105.12560000000001</v>
      </c>
      <c r="E55" s="115">
        <f>D55/$D$6</f>
        <v>31.250178359096317</v>
      </c>
      <c r="F55" s="116">
        <v>46112</v>
      </c>
      <c r="G55" s="71" t="s">
        <v>126</v>
      </c>
      <c r="H55" s="71">
        <f>IF(OR(G55="Sin pagar",G55="Pagar"),(_xlfn.SINGLE(NETWORKDAYS($J$27,F55,FestivosPerú!$A$2:$A$31))),0)</f>
        <v>0</v>
      </c>
      <c r="I55" s="71">
        <f>NETWORKDAYS($J$27,F55,FestivosPerú!$A$2:$A$31)</f>
        <v>22</v>
      </c>
      <c r="J55" s="117">
        <f>H55</f>
        <v>0</v>
      </c>
      <c r="K55" s="120"/>
      <c r="L55" s="120"/>
    </row>
    <row r="56" spans="2:18" s="71" customFormat="1" ht="16.2" thickBot="1">
      <c r="C56" s="110" t="s">
        <v>539</v>
      </c>
      <c r="D56" s="160">
        <f>SUBTOTAL(9,D57:D65)</f>
        <v>90546.428884348978</v>
      </c>
      <c r="E56" s="310">
        <f>SUBTOTAL(9,E57:E65)</f>
        <v>26916.298717107307</v>
      </c>
      <c r="J56" s="301"/>
      <c r="K56" s="89"/>
      <c r="L56" s="124"/>
      <c r="N56" s="122"/>
      <c r="O56" s="101"/>
    </row>
    <row r="57" spans="2:18" s="71" customFormat="1" outlineLevel="1">
      <c r="B57" s="183" t="s">
        <v>33</v>
      </c>
      <c r="C57" s="186" t="s">
        <v>146</v>
      </c>
      <c r="D57" s="39">
        <v>14082.653942999999</v>
      </c>
      <c r="E57" s="115">
        <f t="shared" ref="E57:E62" si="4">D57/$D$6</f>
        <v>4186.2823849583829</v>
      </c>
      <c r="F57" s="112">
        <v>46108</v>
      </c>
      <c r="G57" s="71" t="s">
        <v>126</v>
      </c>
      <c r="H57" s="71">
        <f>IF(OR(G57="Sin pagar",G57="Pagar"),(_xlfn.SINGLE(NETWORKDAYS($J$27,F57,FestivosPerú!$A$2:$A$31))),0)</f>
        <v>0</v>
      </c>
      <c r="I57" s="71">
        <f>NETWORKDAYS($J$27,F57,FestivosPerú!$A$2:$A$31)</f>
        <v>20</v>
      </c>
      <c r="J57" s="117">
        <f t="shared" ref="J57:J62" si="5">H57</f>
        <v>0</v>
      </c>
      <c r="K57" s="120"/>
      <c r="L57" s="120"/>
      <c r="M57" s="253"/>
      <c r="N57" s="122"/>
      <c r="P57" s="39"/>
      <c r="Q57" s="253"/>
      <c r="R57" s="374"/>
    </row>
    <row r="58" spans="2:18" s="71" customFormat="1" outlineLevel="1">
      <c r="B58" s="183" t="s">
        <v>33</v>
      </c>
      <c r="C58" s="186" t="s">
        <v>176</v>
      </c>
      <c r="D58" s="39">
        <v>10748.462359666666</v>
      </c>
      <c r="E58" s="115">
        <f t="shared" si="4"/>
        <v>3195.1433887237417</v>
      </c>
      <c r="F58" s="112">
        <v>46108</v>
      </c>
      <c r="G58" s="71" t="s">
        <v>126</v>
      </c>
      <c r="H58" s="71">
        <f>IF(OR(G58="Sin pagar",G58="Pagar"),(_xlfn.SINGLE(NETWORKDAYS($J$27,F58,FestivosPerú!$A$2:$A$31))),0)</f>
        <v>0</v>
      </c>
      <c r="I58" s="71">
        <f>NETWORKDAYS($J$27,F58,FestivosPerú!$A$2:$A$31)</f>
        <v>20</v>
      </c>
      <c r="J58" s="117">
        <f t="shared" si="5"/>
        <v>0</v>
      </c>
      <c r="K58" s="120"/>
      <c r="L58" s="120"/>
      <c r="M58" s="253"/>
      <c r="P58" s="39"/>
      <c r="Q58" s="253"/>
      <c r="R58" s="374"/>
    </row>
    <row r="59" spans="2:18" s="126" customFormat="1" outlineLevel="1">
      <c r="B59" s="183" t="s">
        <v>33</v>
      </c>
      <c r="C59" s="186" t="s">
        <v>275</v>
      </c>
      <c r="D59" s="39">
        <v>10974.702359666666</v>
      </c>
      <c r="E59" s="115">
        <f t="shared" si="4"/>
        <v>3262.3966586405072</v>
      </c>
      <c r="F59" s="112">
        <v>46108</v>
      </c>
      <c r="G59" s="71" t="s">
        <v>126</v>
      </c>
      <c r="H59" s="71">
        <f>IF(OR(G59="Sin pagar",G59="Pagar"),(_xlfn.SINGLE(NETWORKDAYS($J$27,F59,FestivosPerú!$A$2:$A$31))),0)</f>
        <v>0</v>
      </c>
      <c r="I59" s="71">
        <f>NETWORKDAYS($J$27,F59,FestivosPerú!$A$2:$A$31)</f>
        <v>20</v>
      </c>
      <c r="J59" s="117">
        <f t="shared" si="5"/>
        <v>0</v>
      </c>
      <c r="L59" s="127"/>
      <c r="M59" s="309"/>
      <c r="P59" s="39"/>
      <c r="Q59" s="253"/>
      <c r="R59" s="374"/>
    </row>
    <row r="60" spans="2:18" s="126" customFormat="1" outlineLevel="1">
      <c r="B60" s="183" t="s">
        <v>33</v>
      </c>
      <c r="C60" s="186" t="s">
        <v>409</v>
      </c>
      <c r="D60" s="39">
        <v>9933.7144589722211</v>
      </c>
      <c r="E60" s="115">
        <f t="shared" si="4"/>
        <v>2952.947223237878</v>
      </c>
      <c r="F60" s="112">
        <v>46108</v>
      </c>
      <c r="G60" s="71" t="s">
        <v>126</v>
      </c>
      <c r="H60" s="71">
        <f>IF(OR(G60="Sin pagar",G60="Pagar"),(_xlfn.SINGLE(NETWORKDAYS($J$27,F60,FestivosPerú!$A$2:$A$31))),0)</f>
        <v>0</v>
      </c>
      <c r="I60" s="71">
        <f>NETWORKDAYS($J$27,F60,FestivosPerú!$A$2:$A$31)</f>
        <v>20</v>
      </c>
      <c r="J60" s="117">
        <f t="shared" si="5"/>
        <v>0</v>
      </c>
      <c r="L60" s="127"/>
      <c r="M60" s="253"/>
      <c r="P60" s="39"/>
      <c r="Q60" s="253"/>
      <c r="R60" s="374"/>
    </row>
    <row r="61" spans="2:18" s="126" customFormat="1" outlineLevel="1">
      <c r="B61" s="183" t="s">
        <v>33</v>
      </c>
      <c r="C61" s="186" t="s">
        <v>671</v>
      </c>
      <c r="D61" s="39">
        <v>7368.0316666666668</v>
      </c>
      <c r="E61" s="115">
        <f t="shared" si="4"/>
        <v>2190.2591161315895</v>
      </c>
      <c r="F61" s="112">
        <v>46108</v>
      </c>
      <c r="G61" s="71" t="s">
        <v>126</v>
      </c>
      <c r="H61" s="71">
        <f>IF(OR(G61="Sin pagar",G61="Pagar"),(_xlfn.SINGLE(NETWORKDAYS($J$27,F61,FestivosPerú!$A$2:$A$31))),0)</f>
        <v>0</v>
      </c>
      <c r="I61" s="71">
        <f>NETWORKDAYS($J$27,F61,FestivosPerú!$A$2:$A$31)</f>
        <v>20</v>
      </c>
      <c r="J61" s="117">
        <f t="shared" si="5"/>
        <v>0</v>
      </c>
      <c r="L61" s="127"/>
      <c r="M61" s="253"/>
      <c r="P61" s="39"/>
      <c r="Q61" s="253"/>
      <c r="R61" s="374"/>
    </row>
    <row r="62" spans="2:18" s="126" customFormat="1" outlineLevel="1">
      <c r="B62" s="183" t="s">
        <v>33</v>
      </c>
      <c r="C62" s="186" t="s">
        <v>1292</v>
      </c>
      <c r="D62" s="39">
        <v>10102.965193</v>
      </c>
      <c r="E62" s="115">
        <f t="shared" si="4"/>
        <v>3003.2595698573127</v>
      </c>
      <c r="F62" s="112">
        <v>46108</v>
      </c>
      <c r="G62" s="71" t="s">
        <v>126</v>
      </c>
      <c r="H62" s="71">
        <f>IF(OR(G62="Sin pagar",G62="Pagar"),(_xlfn.SINGLE(NETWORKDAYS($J$27,F62,FestivosPerú!$A$2:$A$31))),0)</f>
        <v>0</v>
      </c>
      <c r="I62" s="71">
        <f>NETWORKDAYS($J$27,F62,FestivosPerú!$A$2:$A$31)</f>
        <v>20</v>
      </c>
      <c r="J62" s="117">
        <f t="shared" si="5"/>
        <v>0</v>
      </c>
      <c r="L62" s="127"/>
      <c r="M62" s="253"/>
      <c r="P62" s="39"/>
      <c r="Q62" s="253"/>
      <c r="R62" s="374"/>
    </row>
    <row r="63" spans="2:18" s="126" customFormat="1" outlineLevel="1">
      <c r="B63" s="183" t="s">
        <v>33</v>
      </c>
      <c r="C63" s="186" t="s">
        <v>1291</v>
      </c>
      <c r="D63" s="39">
        <v>19199.16215708046</v>
      </c>
      <c r="E63" s="115">
        <f>D63/$D$6</f>
        <v>5707.2420205352146</v>
      </c>
      <c r="F63" s="112">
        <v>46108</v>
      </c>
      <c r="G63" s="71" t="s">
        <v>126</v>
      </c>
      <c r="H63" s="71">
        <f>IF(OR(G63="Sin pagar",G63="Pagar"),(_xlfn.SINGLE(NETWORKDAYS($J$27,F63,FestivosPerú!$A$2:$A$31))),0)</f>
        <v>0</v>
      </c>
      <c r="I63" s="71">
        <f>NETWORKDAYS($J$27,F63,FestivosPerú!$A$2:$A$31)</f>
        <v>20</v>
      </c>
      <c r="J63" s="117">
        <f>H63</f>
        <v>0</v>
      </c>
      <c r="L63" s="127"/>
      <c r="M63" s="253"/>
      <c r="P63" s="39"/>
      <c r="Q63" s="253"/>
      <c r="R63" s="374"/>
    </row>
    <row r="64" spans="2:18" s="126" customFormat="1" outlineLevel="1">
      <c r="B64" s="183" t="s">
        <v>33</v>
      </c>
      <c r="C64" s="186" t="s">
        <v>1302</v>
      </c>
      <c r="D64" s="39">
        <v>5660.9878314814814</v>
      </c>
      <c r="E64" s="115">
        <f>D64/$D$6</f>
        <v>1682.8144564451491</v>
      </c>
      <c r="F64" s="112">
        <v>46108</v>
      </c>
      <c r="G64" s="71" t="s">
        <v>126</v>
      </c>
      <c r="H64" s="71">
        <f>IF(OR(G64="Sin pagar",G64="Pagar"),(_xlfn.SINGLE(NETWORKDAYS($J$27,F64,FestivosPerú!$A$2:$A$31))),0)</f>
        <v>0</v>
      </c>
      <c r="I64" s="71">
        <f>NETWORKDAYS($J$27,F64,FestivosPerú!$A$2:$A$31)</f>
        <v>20</v>
      </c>
      <c r="J64" s="117">
        <f>H64</f>
        <v>0</v>
      </c>
      <c r="L64" s="127"/>
      <c r="M64" s="253"/>
      <c r="P64" s="39"/>
      <c r="Q64" s="253"/>
      <c r="R64" s="374"/>
    </row>
    <row r="65" spans="1:18" s="126" customFormat="1" ht="15" outlineLevel="1" thickBot="1">
      <c r="B65" s="183" t="s">
        <v>33</v>
      </c>
      <c r="C65" s="186" t="s">
        <v>1303</v>
      </c>
      <c r="D65" s="39">
        <v>2475.7489148148147</v>
      </c>
      <c r="E65" s="115">
        <f>D65/$D$6</f>
        <v>735.95389857753116</v>
      </c>
      <c r="F65" s="112">
        <v>46108</v>
      </c>
      <c r="G65" s="71" t="s">
        <v>126</v>
      </c>
      <c r="H65" s="71">
        <f>IF(OR(G65="Sin pagar",G65="Pagar"),(_xlfn.SINGLE(NETWORKDAYS($J$27,F65,FestivosPerú!$A$2:$A$31))),0)</f>
        <v>0</v>
      </c>
      <c r="I65" s="71">
        <f>NETWORKDAYS($J$27,F65,FestivosPerú!$A$2:$A$31)</f>
        <v>20</v>
      </c>
      <c r="J65" s="117">
        <f>H65</f>
        <v>0</v>
      </c>
      <c r="L65" s="127"/>
      <c r="M65" s="253"/>
      <c r="P65" s="39"/>
      <c r="Q65" s="253"/>
      <c r="R65" s="374"/>
    </row>
    <row r="66" spans="1:18" s="71" customFormat="1" ht="16.2" thickBot="1">
      <c r="A66" s="126"/>
      <c r="B66" s="125"/>
      <c r="C66" s="110" t="s">
        <v>177</v>
      </c>
      <c r="D66" s="160">
        <f>SUBTOTAL(9,D67:D71)</f>
        <v>19297.519999999997</v>
      </c>
      <c r="E66" s="111">
        <f>SUBTOTAL(9,E67:E71)</f>
        <v>5736.4803804994053</v>
      </c>
      <c r="L66" s="89"/>
    </row>
    <row r="67" spans="1:18" s="71" customFormat="1" outlineLevel="1">
      <c r="A67" s="126"/>
      <c r="B67" s="128"/>
      <c r="C67" s="186" t="s">
        <v>1398</v>
      </c>
      <c r="D67" s="39">
        <v>52.05</v>
      </c>
      <c r="E67" s="115">
        <f>D67/$D$6</f>
        <v>15.472651605231867</v>
      </c>
      <c r="F67" s="384">
        <v>46111</v>
      </c>
      <c r="G67" s="342" t="s">
        <v>126</v>
      </c>
      <c r="H67" s="71">
        <f>IF(OR(G67="Sin pagar",G67="Pagar"),(_xlfn.SINGLE(NETWORKDAYS($J$27,F67,FestivosPerú!$A$2:$A$31))),0)</f>
        <v>0</v>
      </c>
      <c r="I67" s="71">
        <f>NETWORKDAYS($J$27,F67,FestivosPerú!$A$2:$A$31)</f>
        <v>21</v>
      </c>
      <c r="J67" s="117">
        <f>H67</f>
        <v>0</v>
      </c>
      <c r="L67" s="89"/>
      <c r="P67" s="372"/>
    </row>
    <row r="68" spans="1:18" s="71" customFormat="1" outlineLevel="1">
      <c r="A68" s="126"/>
      <c r="B68" s="128"/>
      <c r="C68" s="186" t="s">
        <v>945</v>
      </c>
      <c r="D68" s="39">
        <v>1979.45</v>
      </c>
      <c r="E68" s="115">
        <f>D68/$D$6</f>
        <v>588.42152199762188</v>
      </c>
      <c r="F68" s="384">
        <v>46111</v>
      </c>
      <c r="G68" s="342" t="s">
        <v>126</v>
      </c>
      <c r="H68" s="71">
        <f>IF(OR(G68="Sin pagar",G68="Pagar"),(_xlfn.SINGLE(NETWORKDAYS($J$27,F68,FestivosPerú!$A$2:$A$31))),0)</f>
        <v>0</v>
      </c>
      <c r="I68" s="71">
        <f>NETWORKDAYS($J$27,F68,FestivosPerú!$A$2:$A$31)</f>
        <v>21</v>
      </c>
      <c r="J68" s="117">
        <f>H68</f>
        <v>0</v>
      </c>
      <c r="L68" s="89"/>
    </row>
    <row r="69" spans="1:18" s="71" customFormat="1" outlineLevel="1">
      <c r="A69" s="126"/>
      <c r="B69" s="128"/>
      <c r="C69" s="186" t="s">
        <v>178</v>
      </c>
      <c r="D69" s="39">
        <v>9304.25</v>
      </c>
      <c r="E69" s="115">
        <f>D69/$D$6</f>
        <v>2765.8293697978597</v>
      </c>
      <c r="F69" s="384">
        <v>46111</v>
      </c>
      <c r="G69" s="342" t="s">
        <v>126</v>
      </c>
      <c r="H69" s="71">
        <f>IF(OR(G69="Sin pagar",G69="Pagar"),(_xlfn.SINGLE(NETWORKDAYS($J$27,F69,FestivosPerú!$A$2:$A$31))),0)</f>
        <v>0</v>
      </c>
      <c r="I69" s="71">
        <f>NETWORKDAYS($J$27,F69,FestivosPerú!$A$2:$A$31)</f>
        <v>21</v>
      </c>
      <c r="J69" s="117">
        <f>H69</f>
        <v>0</v>
      </c>
      <c r="L69" s="89"/>
    </row>
    <row r="70" spans="1:18" s="71" customFormat="1" outlineLevel="1">
      <c r="A70" s="126"/>
      <c r="B70" s="128"/>
      <c r="C70" s="186" t="s">
        <v>236</v>
      </c>
      <c r="D70" s="39">
        <v>7614.17</v>
      </c>
      <c r="E70" s="115">
        <f>D70/$D$6</f>
        <v>2263.4274673008326</v>
      </c>
      <c r="F70" s="384">
        <v>46111</v>
      </c>
      <c r="G70" s="342" t="s">
        <v>126</v>
      </c>
      <c r="H70" s="71">
        <f>IF(OR(G70="Sin pagar",G70="Pagar"),(_xlfn.SINGLE(NETWORKDAYS($J$27,F70,FestivosPerú!$A$2:$A$31))),0)</f>
        <v>0</v>
      </c>
      <c r="I70" s="71">
        <f>NETWORKDAYS($J$27,F70,FestivosPerú!$A$2:$A$31)</f>
        <v>21</v>
      </c>
      <c r="J70" s="117">
        <f>H70</f>
        <v>0</v>
      </c>
      <c r="L70" s="89"/>
    </row>
    <row r="71" spans="1:18" s="71" customFormat="1" ht="15" outlineLevel="1" thickBot="1">
      <c r="A71" s="126"/>
      <c r="B71" s="128"/>
      <c r="C71" s="186" t="s">
        <v>326</v>
      </c>
      <c r="D71" s="39">
        <v>347.6</v>
      </c>
      <c r="E71" s="115">
        <f>D71/$D$6</f>
        <v>103.3293697978597</v>
      </c>
      <c r="F71" s="384">
        <v>46111</v>
      </c>
      <c r="G71" s="342" t="s">
        <v>126</v>
      </c>
      <c r="H71" s="71">
        <f>IF(OR(G71="Sin pagar",G71="Pagar"),(_xlfn.SINGLE(NETWORKDAYS($J$27,F71,FestivosPerú!$A$2:$A$31))),0)</f>
        <v>0</v>
      </c>
      <c r="I71" s="71">
        <f>NETWORKDAYS($J$27,F71,FestivosPerú!$A$2:$A$31)</f>
        <v>21</v>
      </c>
      <c r="J71" s="117">
        <f>H71</f>
        <v>0</v>
      </c>
      <c r="L71" s="89"/>
    </row>
    <row r="72" spans="1:18" s="71" customFormat="1" ht="16.2" thickBot="1">
      <c r="A72" s="126"/>
      <c r="B72" s="125"/>
      <c r="C72" s="110" t="s">
        <v>129</v>
      </c>
      <c r="D72" s="160">
        <f>SUBTOTAL(9,D73:D75)</f>
        <v>448.75</v>
      </c>
      <c r="E72" s="111">
        <f>SUBTOTAL(9,E73:E75)</f>
        <v>133.39774078478004</v>
      </c>
      <c r="L72" s="89"/>
    </row>
    <row r="73" spans="1:18" s="71" customFormat="1" outlineLevel="1">
      <c r="A73" s="126"/>
      <c r="B73" s="128"/>
      <c r="C73" s="186" t="s">
        <v>1394</v>
      </c>
      <c r="D73" s="39">
        <v>131.57</v>
      </c>
      <c r="E73" s="115">
        <f>D73/$D$6</f>
        <v>39.111177170035674</v>
      </c>
      <c r="F73" s="384">
        <v>46098</v>
      </c>
      <c r="G73" s="342" t="s">
        <v>126</v>
      </c>
      <c r="H73" s="71">
        <f>IF(OR(G73="Sin pagar",G73="Pagar"),(_xlfn.SINGLE(NETWORKDAYS($J$27,F73,FestivosPerú!$A$2:$A$31))),0)</f>
        <v>0</v>
      </c>
      <c r="I73" s="71">
        <f>NETWORKDAYS($J$27,F73,FestivosPerú!$A$2:$A$31)</f>
        <v>12</v>
      </c>
      <c r="J73" s="117">
        <f>H73</f>
        <v>0</v>
      </c>
      <c r="L73" s="89"/>
    </row>
    <row r="74" spans="1:18" s="71" customFormat="1" outlineLevel="1">
      <c r="A74" s="126"/>
      <c r="B74" s="128"/>
      <c r="C74" s="186" t="s">
        <v>1395</v>
      </c>
      <c r="D74" s="39">
        <v>131.57</v>
      </c>
      <c r="E74" s="115">
        <f>D74/$D$6</f>
        <v>39.111177170035674</v>
      </c>
      <c r="F74" s="384">
        <v>46108</v>
      </c>
      <c r="G74" s="342" t="s">
        <v>126</v>
      </c>
      <c r="H74" s="71">
        <f>IF(OR(G74="Sin pagar",G74="Pagar"),(_xlfn.SINGLE(NETWORKDAYS($J$27,F74,FestivosPerú!$A$2:$A$31))),0)</f>
        <v>0</v>
      </c>
      <c r="I74" s="71">
        <f>NETWORKDAYS($J$27,F74,FestivosPerú!$A$2:$A$31)</f>
        <v>20</v>
      </c>
      <c r="J74" s="117">
        <f>H74</f>
        <v>0</v>
      </c>
      <c r="L74" s="89"/>
    </row>
    <row r="75" spans="1:18" s="71" customFormat="1" ht="15" outlineLevel="1" thickBot="1">
      <c r="A75" s="126"/>
      <c r="B75" s="128"/>
      <c r="C75" s="186" t="s">
        <v>1396</v>
      </c>
      <c r="D75" s="39">
        <v>185.61</v>
      </c>
      <c r="E75" s="115">
        <f>D75/$D$6</f>
        <v>55.175386444708685</v>
      </c>
      <c r="F75" s="384">
        <v>46111</v>
      </c>
      <c r="G75" s="342" t="s">
        <v>126</v>
      </c>
      <c r="H75" s="71">
        <f>IF(OR(G75="Sin pagar",G75="Pagar"),(_xlfn.SINGLE(NETWORKDAYS($J$27,F75,FestivosPerú!$A$2:$A$31))),0)</f>
        <v>0</v>
      </c>
      <c r="I75" s="71">
        <f>NETWORKDAYS($J$27,F75,FestivosPerú!$A$2:$A$31)</f>
        <v>21</v>
      </c>
      <c r="J75" s="117">
        <f>H75</f>
        <v>0</v>
      </c>
      <c r="L75" s="89"/>
    </row>
    <row r="76" spans="1:18" s="71" customFormat="1" ht="15.75" customHeight="1" thickBot="1">
      <c r="C76" s="311" t="s">
        <v>565</v>
      </c>
      <c r="D76" s="312">
        <f>SUBTOTAL(9,D77:D78)</f>
        <v>232.82150000000001</v>
      </c>
      <c r="E76" s="313">
        <f>SUBTOTAL(9,E77:E78)</f>
        <v>69.209720570749113</v>
      </c>
      <c r="M76" s="122"/>
      <c r="N76" s="187"/>
      <c r="P76" s="187"/>
    </row>
    <row r="77" spans="1:18" s="71" customFormat="1" outlineLevel="1">
      <c r="A77" s="126"/>
      <c r="B77" s="128"/>
      <c r="C77" s="84" t="s">
        <v>999</v>
      </c>
      <c r="D77" s="39">
        <v>210.81</v>
      </c>
      <c r="E77" s="115">
        <f>D77/$D$6</f>
        <v>62.666468489892985</v>
      </c>
      <c r="F77" s="112">
        <v>46112</v>
      </c>
      <c r="G77" s="71" t="s">
        <v>126</v>
      </c>
      <c r="H77" s="71">
        <f>IF(OR(G77="Sin pagar",G77="Pagar"),(_xlfn.SINGLE(NETWORKDAYS($J$27,F77,FestivosPerú!$A$2:$A$31))),0)</f>
        <v>0</v>
      </c>
      <c r="I77" s="71">
        <f>NETWORKDAYS($J$27,F77,FestivosPerú!$A$2:$A$31)</f>
        <v>22</v>
      </c>
      <c r="J77" s="117">
        <f>H77</f>
        <v>0</v>
      </c>
      <c r="L77" s="89"/>
    </row>
    <row r="78" spans="1:18" s="71" customFormat="1" ht="15" outlineLevel="1" thickBot="1">
      <c r="A78" s="126"/>
      <c r="B78" s="128"/>
      <c r="C78" s="84" t="s">
        <v>1001</v>
      </c>
      <c r="D78" s="39">
        <v>22.011499999999998</v>
      </c>
      <c r="E78" s="115">
        <f>D78/$D$6</f>
        <v>6.5432520808561234</v>
      </c>
      <c r="F78" s="112">
        <v>46112</v>
      </c>
      <c r="G78" s="71" t="s">
        <v>126</v>
      </c>
      <c r="H78" s="71">
        <f>IF(OR(G78="Sin pagar",G78="Pagar"),(_xlfn.SINGLE(NETWORKDAYS($J$27,F78,FestivosPerú!$A$2:$A$31))),0)</f>
        <v>0</v>
      </c>
      <c r="I78" s="71">
        <f>NETWORKDAYS($J$27,F78,FestivosPerú!$A$2:$A$31)</f>
        <v>22</v>
      </c>
      <c r="J78" s="117">
        <f>H78</f>
        <v>0</v>
      </c>
      <c r="L78" s="89"/>
    </row>
    <row r="79" spans="1:18" s="71" customFormat="1" ht="16.2" thickBot="1">
      <c r="A79" s="126"/>
      <c r="B79" s="125"/>
      <c r="C79" s="311" t="s">
        <v>124</v>
      </c>
      <c r="D79" s="312">
        <f>SUBTOTAL(9,D80:D83)</f>
        <v>38506.15</v>
      </c>
      <c r="E79" s="313">
        <f>SUBTOTAL(9,E80:E83)</f>
        <v>11446.536860879905</v>
      </c>
      <c r="J79" s="117"/>
      <c r="L79" s="89"/>
    </row>
    <row r="80" spans="1:18" s="71" customFormat="1" outlineLevel="1">
      <c r="A80" s="86"/>
      <c r="B80" s="83">
        <v>6508944853</v>
      </c>
      <c r="C80" s="172" t="s">
        <v>571</v>
      </c>
      <c r="D80" s="39">
        <f>10103.69+1376.26</f>
        <v>11479.95</v>
      </c>
      <c r="E80" s="115">
        <f>D80/$D$6</f>
        <v>3412.5891795481575</v>
      </c>
      <c r="F80" s="116">
        <v>46087</v>
      </c>
      <c r="G80" s="71" t="s">
        <v>126</v>
      </c>
      <c r="H80" s="71">
        <f>IF(OR(G80="Sin pagar",G80="Pagar"),(_xlfn.SINGLE(NETWORKDAYS($J$27,F80,FestivosPerú!$A$2:$A$31))),0)</f>
        <v>0</v>
      </c>
      <c r="I80" s="71">
        <f>NETWORKDAYS($J$27,F80,FestivosPerú!$A$2:$A$31)</f>
        <v>5</v>
      </c>
      <c r="J80" s="117">
        <f t="shared" ref="J80:J86" si="6">H80</f>
        <v>0</v>
      </c>
      <c r="K80" s="89"/>
      <c r="L80" s="89"/>
      <c r="M80" s="532" t="s">
        <v>883</v>
      </c>
      <c r="N80" s="39"/>
      <c r="O80" s="374"/>
      <c r="P80" s="187"/>
    </row>
    <row r="81" spans="1:16" s="71" customFormat="1" outlineLevel="1">
      <c r="A81" s="86"/>
      <c r="B81" s="83">
        <v>2508945523</v>
      </c>
      <c r="C81" s="172" t="s">
        <v>572</v>
      </c>
      <c r="D81" s="39">
        <f>7438.06+1677.04</f>
        <v>9115.1</v>
      </c>
      <c r="E81" s="115">
        <f>D81/$D$6</f>
        <v>2709.6016646848993</v>
      </c>
      <c r="F81" s="116">
        <v>46087</v>
      </c>
      <c r="G81" s="71" t="s">
        <v>126</v>
      </c>
      <c r="H81" s="71">
        <f>IF(OR(G81="Sin pagar",G81="Pagar"),(_xlfn.SINGLE(NETWORKDAYS($J$27,F81,FestivosPerú!$A$2:$A$31))),0)</f>
        <v>0</v>
      </c>
      <c r="I81" s="71">
        <f>NETWORKDAYS($J$27,F81,FestivosPerú!$A$2:$A$31)</f>
        <v>5</v>
      </c>
      <c r="J81" s="117">
        <f t="shared" si="6"/>
        <v>0</v>
      </c>
      <c r="K81" s="89"/>
      <c r="L81" s="89"/>
      <c r="M81" s="532"/>
      <c r="N81" s="39"/>
      <c r="O81" s="374"/>
      <c r="P81" s="187"/>
    </row>
    <row r="82" spans="1:16" s="71" customFormat="1" outlineLevel="1">
      <c r="A82" s="86"/>
      <c r="B82" s="83">
        <v>5508946074</v>
      </c>
      <c r="C82" s="172" t="s">
        <v>573</v>
      </c>
      <c r="D82" s="39">
        <f>12781.9+2254.43</f>
        <v>15036.33</v>
      </c>
      <c r="E82" s="115">
        <f>D82/$D$6</f>
        <v>4469.7770511296076</v>
      </c>
      <c r="F82" s="116">
        <v>46087</v>
      </c>
      <c r="G82" s="71" t="s">
        <v>126</v>
      </c>
      <c r="H82" s="71">
        <f>IF(OR(G82="Sin pagar",G82="Pagar"),(_xlfn.SINGLE(NETWORKDAYS($J$27,F82,FestivosPerú!$A$2:$A$31))),0)</f>
        <v>0</v>
      </c>
      <c r="I82" s="71">
        <f>NETWORKDAYS($J$27,F82,FestivosPerú!$A$2:$A$31)</f>
        <v>5</v>
      </c>
      <c r="J82" s="117">
        <f t="shared" si="6"/>
        <v>0</v>
      </c>
      <c r="K82" s="89"/>
      <c r="L82" s="89"/>
      <c r="M82" s="532"/>
      <c r="N82" s="39"/>
      <c r="O82" s="374"/>
      <c r="P82" s="187"/>
    </row>
    <row r="83" spans="1:16" s="71" customFormat="1" ht="15" outlineLevel="1" thickBot="1">
      <c r="A83" s="86"/>
      <c r="B83" s="83">
        <v>3508946597</v>
      </c>
      <c r="C83" s="172" t="s">
        <v>705</v>
      </c>
      <c r="D83" s="39">
        <f>2316.09+558.68</f>
        <v>2874.77</v>
      </c>
      <c r="E83" s="115">
        <f>D83/$D$6</f>
        <v>854.56896551724139</v>
      </c>
      <c r="F83" s="116">
        <v>46087</v>
      </c>
      <c r="G83" s="71" t="s">
        <v>126</v>
      </c>
      <c r="H83" s="71">
        <f>IF(OR(G83="Sin pagar",G83="Pagar"),(_xlfn.SINGLE(NETWORKDAYS($J$27,F83,FestivosPerú!$A$2:$A$31))),0)</f>
        <v>0</v>
      </c>
      <c r="I83" s="71">
        <f>NETWORKDAYS($J$27,F83,FestivosPerú!$A$2:$A$31)</f>
        <v>5</v>
      </c>
      <c r="J83" s="117">
        <f t="shared" si="6"/>
        <v>0</v>
      </c>
      <c r="K83" s="89"/>
      <c r="L83" s="89"/>
      <c r="M83" s="532"/>
      <c r="N83" s="39"/>
      <c r="O83" s="374"/>
      <c r="P83" s="187"/>
    </row>
    <row r="84" spans="1:16" s="71" customFormat="1" ht="16.2" thickBot="1">
      <c r="A84" s="126"/>
      <c r="B84" s="125"/>
      <c r="C84" s="311" t="s">
        <v>125</v>
      </c>
      <c r="D84" s="312">
        <f>SUBTOTAL(9,D85:D86)</f>
        <v>142934</v>
      </c>
      <c r="E84" s="313">
        <f>SUBTOTAL(9,E85:E86)</f>
        <v>42489.298454221163</v>
      </c>
      <c r="J84" s="117">
        <f t="shared" si="6"/>
        <v>0</v>
      </c>
      <c r="L84" s="89"/>
    </row>
    <row r="85" spans="1:16" s="71" customFormat="1" ht="16.5" customHeight="1" outlineLevel="1">
      <c r="A85" s="126"/>
      <c r="B85" s="435"/>
      <c r="C85" s="186" t="s">
        <v>456</v>
      </c>
      <c r="D85" s="39">
        <v>78665</v>
      </c>
      <c r="E85" s="115">
        <f>D85/$D$6</f>
        <v>23384.363852556482</v>
      </c>
      <c r="F85" s="471">
        <v>46094</v>
      </c>
      <c r="G85" s="342" t="s">
        <v>126</v>
      </c>
      <c r="H85" s="71">
        <f>IF(OR(G85="Sin pagar",G85="Pagar"),(_xlfn.SINGLE(NETWORKDAYS($J$27,F85,FestivosPerú!$A$2:$A$31))),0)</f>
        <v>0</v>
      </c>
      <c r="I85" s="71">
        <f>NETWORKDAYS($J$27,F85,FestivosPerú!$A$2:$A$31)</f>
        <v>10</v>
      </c>
      <c r="J85" s="117">
        <f t="shared" si="6"/>
        <v>0</v>
      </c>
      <c r="L85" s="89"/>
      <c r="M85" s="121" t="s">
        <v>703</v>
      </c>
    </row>
    <row r="86" spans="1:16" s="71" customFormat="1" ht="15" outlineLevel="1" thickBot="1">
      <c r="B86" s="440" t="s">
        <v>1060</v>
      </c>
      <c r="C86" s="491" t="s">
        <v>1372</v>
      </c>
      <c r="D86" s="39">
        <v>64269</v>
      </c>
      <c r="E86" s="115">
        <f>D86/$D$6</f>
        <v>19104.934601664685</v>
      </c>
      <c r="F86" s="471">
        <v>46097</v>
      </c>
      <c r="G86" s="342" t="s">
        <v>126</v>
      </c>
      <c r="H86" s="71">
        <f>IF(OR(G86="Sin pagar",G86="Pagar"),(_xlfn.SINGLE(NETWORKDAYS($J$27,F86,FestivosPerú!$A$2:$A$31))),0)</f>
        <v>0</v>
      </c>
      <c r="I86" s="71">
        <f>NETWORKDAYS($J$27,F86,FestivosPerú!$A$2:$A$31)</f>
        <v>11</v>
      </c>
      <c r="J86" s="117">
        <f t="shared" si="6"/>
        <v>0</v>
      </c>
      <c r="K86" s="120"/>
      <c r="L86" s="94"/>
      <c r="M86" s="121" t="s">
        <v>724</v>
      </c>
      <c r="N86" s="118"/>
    </row>
    <row r="87" spans="1:16" s="71" customFormat="1" ht="15" customHeight="1" thickBot="1">
      <c r="C87" s="311" t="s">
        <v>162</v>
      </c>
      <c r="D87" s="312">
        <f>SUBTOTAL(9,D88:D92)</f>
        <v>17556.129999999997</v>
      </c>
      <c r="E87" s="313">
        <f>SUBTOTAL(9,E88:E92)</f>
        <v>5218.8258026159338</v>
      </c>
      <c r="J87" s="117"/>
      <c r="M87" s="122"/>
      <c r="N87" s="187"/>
      <c r="P87" s="187"/>
    </row>
    <row r="88" spans="1:16" s="71" customFormat="1" outlineLevel="1">
      <c r="B88" s="343" t="s">
        <v>1401</v>
      </c>
      <c r="C88" s="186" t="s">
        <v>957</v>
      </c>
      <c r="D88" s="39">
        <v>7087.93</v>
      </c>
      <c r="E88" s="115">
        <f>D88/$D$6</f>
        <v>2106.9946492271106</v>
      </c>
      <c r="F88" s="471">
        <v>46111</v>
      </c>
      <c r="G88" s="342" t="s">
        <v>126</v>
      </c>
      <c r="H88" s="71">
        <f>IF(OR(G88="Sin pagar",G88="Pagar"),(_xlfn.SINGLE(NETWORKDAYS($J$27,F88,FestivosPerú!$A$2:$A$31))),0)</f>
        <v>0</v>
      </c>
      <c r="I88" s="71">
        <f>NETWORKDAYS($J$27,F88,FestivosPerú!$A$2:$A$31)</f>
        <v>21</v>
      </c>
      <c r="J88" s="117">
        <f>H88</f>
        <v>0</v>
      </c>
      <c r="K88" s="120"/>
      <c r="L88" s="94"/>
      <c r="M88" s="300"/>
      <c r="N88" s="118"/>
    </row>
    <row r="89" spans="1:16" s="71" customFormat="1" outlineLevel="1">
      <c r="B89" s="425" t="s">
        <v>272</v>
      </c>
      <c r="C89" s="84" t="s">
        <v>1400</v>
      </c>
      <c r="D89" s="39">
        <v>1013.28</v>
      </c>
      <c r="E89" s="115">
        <f>D89/$D$6</f>
        <v>301.2128418549346</v>
      </c>
      <c r="F89" s="471">
        <v>46111</v>
      </c>
      <c r="G89" s="342" t="s">
        <v>126</v>
      </c>
      <c r="H89" s="71">
        <f>IF(OR(G89="Sin pagar",G89="Pagar"),(_xlfn.SINGLE(NETWORKDAYS($J$27,F89,FestivosPerú!$A$2:$A$31))),0)</f>
        <v>0</v>
      </c>
      <c r="I89" s="71">
        <f>NETWORKDAYS($J$27,F89,FestivosPerú!$A$2:$A$31)</f>
        <v>21</v>
      </c>
      <c r="J89" s="117">
        <f>H89</f>
        <v>0</v>
      </c>
      <c r="K89" s="120"/>
      <c r="L89" s="94"/>
      <c r="M89" s="300"/>
      <c r="N89" s="118"/>
    </row>
    <row r="90" spans="1:16" s="342" customFormat="1" outlineLevel="1">
      <c r="B90" s="356" t="s">
        <v>1417</v>
      </c>
      <c r="C90" s="186" t="s">
        <v>1416</v>
      </c>
      <c r="D90" s="39">
        <v>259.60000000000002</v>
      </c>
      <c r="E90" s="115">
        <f>D90/$D$6</f>
        <v>77.170035671819278</v>
      </c>
      <c r="F90" s="471">
        <v>46111</v>
      </c>
      <c r="G90" s="342" t="s">
        <v>126</v>
      </c>
      <c r="H90" s="71">
        <f>IF(OR(G90="Sin pagar",G90="Pagar"),(_xlfn.SINGLE(NETWORKDAYS($J$27,F90,FestivosPerú!$A$2:$A$31))),0)</f>
        <v>0</v>
      </c>
      <c r="I90" s="71">
        <f>NETWORKDAYS($J$27,F90,FestivosPerú!$A$2:$A$31)</f>
        <v>21</v>
      </c>
      <c r="J90" s="117">
        <f>H90</f>
        <v>0</v>
      </c>
      <c r="K90" s="120"/>
      <c r="L90" s="357"/>
      <c r="M90" s="385"/>
      <c r="N90" s="359"/>
    </row>
    <row r="91" spans="1:16" s="71" customFormat="1" outlineLevel="1">
      <c r="B91" s="356" t="s">
        <v>1414</v>
      </c>
      <c r="C91" s="186" t="s">
        <v>1420</v>
      </c>
      <c r="D91" s="39">
        <v>316.32</v>
      </c>
      <c r="E91" s="115">
        <f>D91/$D$6</f>
        <v>94.030915576694412</v>
      </c>
      <c r="F91" s="471">
        <v>46111</v>
      </c>
      <c r="G91" s="342" t="s">
        <v>126</v>
      </c>
      <c r="H91" s="71">
        <f>IF(OR(G91="Sin pagar",G91="Pagar"),(_xlfn.SINGLE(NETWORKDAYS($J$27,F91,FestivosPerú!$A$2:$A$31))),0)</f>
        <v>0</v>
      </c>
      <c r="I91" s="71">
        <f>NETWORKDAYS($J$27,F91,FestivosPerú!$A$2:$A$31)</f>
        <v>21</v>
      </c>
      <c r="J91" s="117">
        <f>H91</f>
        <v>0</v>
      </c>
      <c r="K91" s="120"/>
      <c r="L91" s="94"/>
      <c r="M91" s="300"/>
      <c r="N91" s="118"/>
    </row>
    <row r="92" spans="1:16" s="71" customFormat="1" ht="15" outlineLevel="1" thickBot="1">
      <c r="B92" s="343" t="s">
        <v>272</v>
      </c>
      <c r="C92" s="186" t="s">
        <v>1421</v>
      </c>
      <c r="D92" s="39">
        <v>8879</v>
      </c>
      <c r="E92" s="115">
        <f>D92/$D$6</f>
        <v>2639.4173602853748</v>
      </c>
      <c r="F92" s="471">
        <v>46112</v>
      </c>
      <c r="G92" s="342" t="s">
        <v>126</v>
      </c>
      <c r="H92" s="71">
        <f>IF(OR(G92="Sin pagar",G92="Pagar"),(_xlfn.SINGLE(NETWORKDAYS($J$27,F92,FestivosPerú!$A$2:$A$31))),0)</f>
        <v>0</v>
      </c>
      <c r="I92" s="71">
        <f>NETWORKDAYS($J$27,F92,FestivosPerú!$A$2:$A$31)</f>
        <v>22</v>
      </c>
      <c r="J92" s="117">
        <f>H92</f>
        <v>0</v>
      </c>
      <c r="K92" s="120"/>
      <c r="L92" s="94"/>
      <c r="M92" s="300"/>
      <c r="N92" s="118"/>
    </row>
    <row r="93" spans="1:16" s="71" customFormat="1" ht="16.2" thickBot="1">
      <c r="C93" s="311" t="s">
        <v>507</v>
      </c>
      <c r="D93" s="312">
        <f>SUBTOTAL(9,D94:D114)</f>
        <v>370574.06</v>
      </c>
      <c r="E93" s="313">
        <f>SUBTOTAL(9,E94:E114)</f>
        <v>110158.75743162901</v>
      </c>
      <c r="J93" s="301"/>
      <c r="K93" s="89"/>
      <c r="L93" s="124"/>
      <c r="N93" s="122"/>
      <c r="O93" s="101"/>
    </row>
    <row r="94" spans="1:16" s="126" customFormat="1" outlineLevel="1">
      <c r="B94" s="125"/>
      <c r="C94" s="186" t="s">
        <v>765</v>
      </c>
      <c r="D94" s="39">
        <v>10235.43</v>
      </c>
      <c r="E94" s="115">
        <f t="shared" ref="E94:E112" si="7">D94/$D$6</f>
        <v>3042.6367419738408</v>
      </c>
      <c r="F94" s="471">
        <v>46108</v>
      </c>
      <c r="G94" s="342" t="s">
        <v>126</v>
      </c>
      <c r="H94" s="71">
        <f>IF(OR(G94="Sin pagar",G94="Pagar"),(_xlfn.SINGLE(NETWORKDAYS($J$27,F94,FestivosPerú!$A$2:$A$31))),0)</f>
        <v>0</v>
      </c>
      <c r="I94" s="71">
        <f>NETWORKDAYS($J$27,F94,FestivosPerú!$A$2:$A$31)</f>
        <v>20</v>
      </c>
      <c r="J94" s="117">
        <f t="shared" ref="J94:J112" si="8">H94</f>
        <v>0</v>
      </c>
      <c r="L94" s="127"/>
      <c r="M94" s="253"/>
    </row>
    <row r="95" spans="1:16" s="126" customFormat="1" outlineLevel="1">
      <c r="B95" s="125"/>
      <c r="C95" s="186" t="s">
        <v>766</v>
      </c>
      <c r="D95" s="39">
        <v>9635.7000000000007</v>
      </c>
      <c r="E95" s="115">
        <f t="shared" si="7"/>
        <v>2864.3579072532702</v>
      </c>
      <c r="F95" s="471">
        <v>46108</v>
      </c>
      <c r="G95" s="342" t="s">
        <v>126</v>
      </c>
      <c r="H95" s="71">
        <f>IF(OR(G95="Sin pagar",G95="Pagar"),(_xlfn.SINGLE(NETWORKDAYS($J$27,F95,FestivosPerú!$A$2:$A$31))),0)</f>
        <v>0</v>
      </c>
      <c r="I95" s="71">
        <f>NETWORKDAYS($J$27,F95,FestivosPerú!$A$2:$A$31)</f>
        <v>20</v>
      </c>
      <c r="J95" s="117">
        <f t="shared" si="8"/>
        <v>0</v>
      </c>
      <c r="L95" s="127"/>
      <c r="M95" s="253"/>
    </row>
    <row r="96" spans="1:16" s="126" customFormat="1" outlineLevel="1">
      <c r="B96" s="125"/>
      <c r="C96" s="479" t="s">
        <v>1299</v>
      </c>
      <c r="D96" s="39">
        <v>6743.8</v>
      </c>
      <c r="E96" s="115">
        <f>D96/$D$6</f>
        <v>2004.6967895362666</v>
      </c>
      <c r="F96" s="471">
        <v>46108</v>
      </c>
      <c r="G96" s="342" t="s">
        <v>126</v>
      </c>
      <c r="H96" s="71">
        <f>IF(OR(G96="Sin pagar",G96="Pagar"),(_xlfn.SINGLE(NETWORKDAYS($J$27,F96,FestivosPerú!$A$2:$A$31))),0)</f>
        <v>0</v>
      </c>
      <c r="I96" s="71">
        <f>NETWORKDAYS($J$27,F96,FestivosPerú!$A$2:$A$31)</f>
        <v>20</v>
      </c>
      <c r="J96" s="117">
        <f>H96</f>
        <v>0</v>
      </c>
      <c r="L96" s="127"/>
      <c r="M96" s="253"/>
    </row>
    <row r="97" spans="2:14" s="126" customFormat="1" outlineLevel="1">
      <c r="B97" s="125"/>
      <c r="C97" s="479" t="s">
        <v>1300</v>
      </c>
      <c r="D97" s="39">
        <v>18905.12</v>
      </c>
      <c r="E97" s="115">
        <f>D97/$D$6</f>
        <v>5619.8335315101067</v>
      </c>
      <c r="F97" s="471">
        <v>46108</v>
      </c>
      <c r="G97" s="342" t="s">
        <v>126</v>
      </c>
      <c r="H97" s="71">
        <f>IF(OR(G97="Sin pagar",G97="Pagar"),(_xlfn.SINGLE(NETWORKDAYS($J$27,F97,FestivosPerú!$A$2:$A$31))),0)</f>
        <v>0</v>
      </c>
      <c r="I97" s="71">
        <f>NETWORKDAYS($J$27,F97,FestivosPerú!$A$2:$A$31)</f>
        <v>20</v>
      </c>
      <c r="J97" s="117">
        <f>H97</f>
        <v>0</v>
      </c>
      <c r="L97" s="127"/>
      <c r="M97" s="253"/>
    </row>
    <row r="98" spans="2:14" s="126" customFormat="1" outlineLevel="1">
      <c r="B98" s="125"/>
      <c r="C98" s="479" t="s">
        <v>1301</v>
      </c>
      <c r="D98" s="39">
        <v>8061.88</v>
      </c>
      <c r="E98" s="115">
        <f t="shared" si="7"/>
        <v>2396.5160523186682</v>
      </c>
      <c r="F98" s="471">
        <v>46108</v>
      </c>
      <c r="G98" s="342" t="s">
        <v>126</v>
      </c>
      <c r="H98" s="71">
        <f>IF(OR(G98="Sin pagar",G98="Pagar"),(_xlfn.SINGLE(NETWORKDAYS($J$27,F98,FestivosPerú!$A$2:$A$31))),0)</f>
        <v>0</v>
      </c>
      <c r="I98" s="71">
        <f>NETWORKDAYS($J$27,F98,FestivosPerú!$A$2:$A$31)</f>
        <v>20</v>
      </c>
      <c r="J98" s="117">
        <f t="shared" si="8"/>
        <v>0</v>
      </c>
      <c r="L98" s="127"/>
      <c r="M98" s="253"/>
    </row>
    <row r="99" spans="2:14" s="71" customFormat="1" outlineLevel="1">
      <c r="B99" s="119"/>
      <c r="C99" s="172" t="s">
        <v>652</v>
      </c>
      <c r="D99" s="39">
        <v>27253.98</v>
      </c>
      <c r="E99" s="115">
        <f t="shared" si="7"/>
        <v>8101.6587395957195</v>
      </c>
      <c r="F99" s="471">
        <v>46108</v>
      </c>
      <c r="G99" s="342" t="s">
        <v>126</v>
      </c>
      <c r="H99" s="71">
        <f>IF(OR(G99="Sin pagar",G99="Pagar"),(_xlfn.SINGLE(NETWORKDAYS($J$27,F99,FestivosPerú!$A$2:$A$31))),0)</f>
        <v>0</v>
      </c>
      <c r="I99" s="71">
        <f>NETWORKDAYS($J$27,F99,FestivosPerú!$A$2:$A$31)</f>
        <v>20</v>
      </c>
      <c r="J99" s="117">
        <f t="shared" si="8"/>
        <v>0</v>
      </c>
      <c r="K99" s="120"/>
      <c r="L99" s="94"/>
      <c r="M99" s="300"/>
      <c r="N99" s="118"/>
    </row>
    <row r="100" spans="2:14" s="71" customFormat="1" outlineLevel="1">
      <c r="B100" s="119"/>
      <c r="C100" s="172" t="s">
        <v>768</v>
      </c>
      <c r="D100" s="39">
        <v>6939.17</v>
      </c>
      <c r="E100" s="115">
        <f t="shared" si="7"/>
        <v>2062.7734839476816</v>
      </c>
      <c r="F100" s="471">
        <v>46108</v>
      </c>
      <c r="G100" s="342" t="s">
        <v>126</v>
      </c>
      <c r="H100" s="71">
        <f>IF(OR(G100="Sin pagar",G100="Pagar"),(_xlfn.SINGLE(NETWORKDAYS($J$27,F100,FestivosPerú!$A$2:$A$31))),0)</f>
        <v>0</v>
      </c>
      <c r="I100" s="71">
        <f>NETWORKDAYS($J$27,F100,FestivosPerú!$A$2:$A$31)</f>
        <v>20</v>
      </c>
      <c r="J100" s="117">
        <f t="shared" si="8"/>
        <v>0</v>
      </c>
      <c r="K100" s="120"/>
      <c r="L100" s="94"/>
      <c r="M100" s="300"/>
      <c r="N100" s="118"/>
    </row>
    <row r="101" spans="2:14" s="71" customFormat="1" outlineLevel="1">
      <c r="B101" s="119"/>
      <c r="C101" s="172" t="s">
        <v>649</v>
      </c>
      <c r="D101" s="39">
        <v>5997.1</v>
      </c>
      <c r="E101" s="115">
        <f t="shared" si="7"/>
        <v>1782.7288941736031</v>
      </c>
      <c r="F101" s="471">
        <v>46108</v>
      </c>
      <c r="G101" s="342" t="s">
        <v>126</v>
      </c>
      <c r="H101" s="71">
        <f>IF(OR(G101="Sin pagar",G101="Pagar"),(_xlfn.SINGLE(NETWORKDAYS($J$27,F101,FestivosPerú!$A$2:$A$31))),0)</f>
        <v>0</v>
      </c>
      <c r="I101" s="71">
        <f>NETWORKDAYS($J$27,F101,FestivosPerú!$A$2:$A$31)</f>
        <v>20</v>
      </c>
      <c r="J101" s="117">
        <f t="shared" si="8"/>
        <v>0</v>
      </c>
      <c r="K101" s="120"/>
      <c r="L101" s="94"/>
      <c r="M101" s="300"/>
      <c r="N101" s="118"/>
    </row>
    <row r="102" spans="2:14" s="71" customFormat="1" outlineLevel="1">
      <c r="B102" s="119"/>
      <c r="C102" s="172" t="s">
        <v>650</v>
      </c>
      <c r="D102" s="39">
        <v>14467.66</v>
      </c>
      <c r="E102" s="115">
        <f t="shared" si="7"/>
        <v>4300.7312722948873</v>
      </c>
      <c r="F102" s="471">
        <v>46108</v>
      </c>
      <c r="G102" s="342" t="s">
        <v>126</v>
      </c>
      <c r="H102" s="71">
        <f>IF(OR(G102="Sin pagar",G102="Pagar"),(_xlfn.SINGLE(NETWORKDAYS($J$27,F102,FestivosPerú!$A$2:$A$31))),0)</f>
        <v>0</v>
      </c>
      <c r="I102" s="71">
        <f>NETWORKDAYS($J$27,F102,FestivosPerú!$A$2:$A$31)</f>
        <v>20</v>
      </c>
      <c r="J102" s="117">
        <f t="shared" si="8"/>
        <v>0</v>
      </c>
      <c r="K102" s="120"/>
      <c r="L102" s="94"/>
      <c r="M102" s="300"/>
      <c r="N102" s="118"/>
    </row>
    <row r="103" spans="2:14" s="71" customFormat="1" outlineLevel="1">
      <c r="B103" s="119"/>
      <c r="C103" s="172" t="s">
        <v>942</v>
      </c>
      <c r="D103" s="39">
        <v>14401.43</v>
      </c>
      <c r="E103" s="115">
        <f t="shared" si="7"/>
        <v>4281.0434007134363</v>
      </c>
      <c r="F103" s="471">
        <v>46108</v>
      </c>
      <c r="G103" s="342" t="s">
        <v>126</v>
      </c>
      <c r="H103" s="71">
        <f>IF(OR(G103="Sin pagar",G103="Pagar"),(_xlfn.SINGLE(NETWORKDAYS($J$27,F103,FestivosPerú!$A$2:$A$31))),0)</f>
        <v>0</v>
      </c>
      <c r="I103" s="71">
        <f>NETWORKDAYS($J$27,F103,FestivosPerú!$A$2:$A$31)</f>
        <v>20</v>
      </c>
      <c r="J103" s="117">
        <f t="shared" si="8"/>
        <v>0</v>
      </c>
      <c r="K103" s="120"/>
      <c r="L103" s="94"/>
      <c r="M103" s="300"/>
      <c r="N103" s="118"/>
    </row>
    <row r="104" spans="2:14" s="71" customFormat="1" outlineLevel="1">
      <c r="B104" s="119"/>
      <c r="C104" s="172" t="s">
        <v>651</v>
      </c>
      <c r="D104" s="39">
        <v>12400.05</v>
      </c>
      <c r="E104" s="115">
        <f t="shared" si="7"/>
        <v>3686.1028537455409</v>
      </c>
      <c r="F104" s="471">
        <v>46108</v>
      </c>
      <c r="G104" s="342" t="s">
        <v>126</v>
      </c>
      <c r="H104" s="71">
        <f>IF(OR(G104="Sin pagar",G104="Pagar"),(_xlfn.SINGLE(NETWORKDAYS($J$27,F104,FestivosPerú!$A$2:$A$31))),0)</f>
        <v>0</v>
      </c>
      <c r="I104" s="71">
        <f>NETWORKDAYS($J$27,F104,FestivosPerú!$A$2:$A$31)</f>
        <v>20</v>
      </c>
      <c r="J104" s="117">
        <f t="shared" si="8"/>
        <v>0</v>
      </c>
      <c r="K104" s="120"/>
      <c r="L104" s="94"/>
      <c r="M104" s="300"/>
      <c r="N104" s="118"/>
    </row>
    <row r="105" spans="2:14" s="71" customFormat="1" outlineLevel="1">
      <c r="B105" s="119"/>
      <c r="C105" s="172" t="s">
        <v>770</v>
      </c>
      <c r="D105" s="39">
        <v>17445.78</v>
      </c>
      <c r="E105" s="115">
        <f t="shared" si="7"/>
        <v>5186.0225921521996</v>
      </c>
      <c r="F105" s="471">
        <v>46108</v>
      </c>
      <c r="G105" s="342" t="s">
        <v>126</v>
      </c>
      <c r="H105" s="71">
        <f>IF(OR(G105="Sin pagar",G105="Pagar"),(_xlfn.SINGLE(NETWORKDAYS($J$27,F105,FestivosPerú!$A$2:$A$31))),0)</f>
        <v>0</v>
      </c>
      <c r="I105" s="71">
        <f>NETWORKDAYS($J$27,F105,FestivosPerú!$A$2:$A$31)</f>
        <v>20</v>
      </c>
      <c r="J105" s="117">
        <f t="shared" si="8"/>
        <v>0</v>
      </c>
      <c r="K105" s="120"/>
      <c r="L105" s="94"/>
      <c r="M105" s="300"/>
      <c r="N105" s="118"/>
    </row>
    <row r="106" spans="2:14" s="126" customFormat="1" outlineLevel="1">
      <c r="B106" s="125"/>
      <c r="C106" s="186" t="s">
        <v>767</v>
      </c>
      <c r="D106" s="39">
        <v>5396.63</v>
      </c>
      <c r="E106" s="115">
        <f t="shared" si="7"/>
        <v>1604.2300832342451</v>
      </c>
      <c r="F106" s="471">
        <v>46108</v>
      </c>
      <c r="G106" s="342" t="s">
        <v>126</v>
      </c>
      <c r="H106" s="71">
        <f>IF(OR(G106="Sin pagar",G106="Pagar"),(_xlfn.SINGLE(NETWORKDAYS($J$27,F106,FestivosPerú!$A$2:$A$31))),0)</f>
        <v>0</v>
      </c>
      <c r="I106" s="71">
        <f>NETWORKDAYS($J$27,F106,FestivosPerú!$A$2:$A$31)</f>
        <v>20</v>
      </c>
      <c r="J106" s="117">
        <f t="shared" si="8"/>
        <v>0</v>
      </c>
      <c r="L106" s="127"/>
      <c r="M106" s="253"/>
    </row>
    <row r="107" spans="2:14" s="71" customFormat="1" outlineLevel="1">
      <c r="B107" s="119"/>
      <c r="C107" s="172" t="s">
        <v>943</v>
      </c>
      <c r="D107" s="39">
        <v>5876.92</v>
      </c>
      <c r="E107" s="115">
        <f t="shared" si="7"/>
        <v>1747.0035671819264</v>
      </c>
      <c r="F107" s="471">
        <v>46108</v>
      </c>
      <c r="G107" s="342" t="s">
        <v>126</v>
      </c>
      <c r="H107" s="71">
        <f>IF(OR(G107="Sin pagar",G107="Pagar"),(_xlfn.SINGLE(NETWORKDAYS($J$27,F107,FestivosPerú!$A$2:$A$31))),0)</f>
        <v>0</v>
      </c>
      <c r="I107" s="71">
        <f>NETWORKDAYS($J$27,F107,FestivosPerú!$A$2:$A$31)</f>
        <v>20</v>
      </c>
      <c r="J107" s="117">
        <f t="shared" si="8"/>
        <v>0</v>
      </c>
      <c r="K107" s="120"/>
      <c r="L107" s="94"/>
      <c r="M107" s="300"/>
      <c r="N107" s="118"/>
    </row>
    <row r="108" spans="2:14" s="71" customFormat="1" outlineLevel="1">
      <c r="B108" s="119"/>
      <c r="C108" s="172" t="s">
        <v>654</v>
      </c>
      <c r="D108" s="39">
        <v>6848.83</v>
      </c>
      <c r="E108" s="115">
        <f t="shared" si="7"/>
        <v>2035.9185493460168</v>
      </c>
      <c r="F108" s="471">
        <v>46108</v>
      </c>
      <c r="G108" s="342" t="s">
        <v>126</v>
      </c>
      <c r="H108" s="71">
        <f>IF(OR(G108="Sin pagar",G108="Pagar"),(_xlfn.SINGLE(NETWORKDAYS($J$27,F108,FestivosPerú!$A$2:$A$31))),0)</f>
        <v>0</v>
      </c>
      <c r="I108" s="71">
        <f>NETWORKDAYS($J$27,F108,FestivosPerú!$A$2:$A$31)</f>
        <v>20</v>
      </c>
      <c r="J108" s="117">
        <f t="shared" si="8"/>
        <v>0</v>
      </c>
      <c r="K108" s="120"/>
      <c r="L108" s="94"/>
      <c r="M108" s="392">
        <v>7807.32</v>
      </c>
      <c r="N108" s="118">
        <f>M108-E108</f>
        <v>5771.4014506539825</v>
      </c>
    </row>
    <row r="109" spans="2:14" s="71" customFormat="1" outlineLevel="1">
      <c r="B109" s="119"/>
      <c r="C109" s="172" t="s">
        <v>653</v>
      </c>
      <c r="D109" s="39">
        <v>29387.57</v>
      </c>
      <c r="E109" s="115">
        <f t="shared" si="7"/>
        <v>8735.9007134363856</v>
      </c>
      <c r="F109" s="471">
        <v>46108</v>
      </c>
      <c r="G109" s="342" t="s">
        <v>126</v>
      </c>
      <c r="H109" s="71">
        <f>IF(OR(G109="Sin pagar",G109="Pagar"),(_xlfn.SINGLE(NETWORKDAYS($J$27,F109,FestivosPerú!$A$2:$A$31))),0)</f>
        <v>0</v>
      </c>
      <c r="I109" s="71">
        <f>NETWORKDAYS($J$27,F109,FestivosPerú!$A$2:$A$31)</f>
        <v>20</v>
      </c>
      <c r="J109" s="117">
        <f t="shared" si="8"/>
        <v>0</v>
      </c>
      <c r="K109" s="120"/>
      <c r="L109" s="94"/>
      <c r="M109" s="300"/>
      <c r="N109" s="118"/>
    </row>
    <row r="110" spans="2:14" s="71" customFormat="1" outlineLevel="1">
      <c r="B110" s="119"/>
      <c r="C110" s="172" t="s">
        <v>769</v>
      </c>
      <c r="D110" s="39">
        <v>14887.58</v>
      </c>
      <c r="E110" s="115">
        <f t="shared" si="7"/>
        <v>4425.558858501784</v>
      </c>
      <c r="F110" s="471">
        <v>46108</v>
      </c>
      <c r="G110" s="342" t="s">
        <v>126</v>
      </c>
      <c r="H110" s="71">
        <f>IF(OR(G110="Sin pagar",G110="Pagar"),(_xlfn.SINGLE(NETWORKDAYS($J$27,F110,FestivosPerú!$A$2:$A$31))),0)</f>
        <v>0</v>
      </c>
      <c r="I110" s="71">
        <f>NETWORKDAYS($J$27,F110,FestivosPerú!$A$2:$A$31)</f>
        <v>20</v>
      </c>
      <c r="J110" s="117">
        <f t="shared" si="8"/>
        <v>0</v>
      </c>
      <c r="K110" s="120"/>
      <c r="L110" s="94"/>
      <c r="M110" s="300"/>
      <c r="N110" s="118"/>
    </row>
    <row r="111" spans="2:14" s="71" customFormat="1" outlineLevel="1">
      <c r="B111" s="119"/>
      <c r="C111" s="172" t="s">
        <v>1387</v>
      </c>
      <c r="D111" s="39">
        <v>8904.07</v>
      </c>
      <c r="E111" s="115">
        <f>D111/$D$6</f>
        <v>2646.8697978596911</v>
      </c>
      <c r="F111" s="471">
        <v>46108</v>
      </c>
      <c r="G111" s="342" t="s">
        <v>126</v>
      </c>
      <c r="H111" s="71">
        <f>IF(OR(G111="Sin pagar",G111="Pagar"),(_xlfn.SINGLE(NETWORKDAYS($J$27,F111,FestivosPerú!$A$2:$A$31))),0)</f>
        <v>0</v>
      </c>
      <c r="I111" s="71">
        <f>NETWORKDAYS($J$27,F111,FestivosPerú!$A$2:$A$31)</f>
        <v>20</v>
      </c>
      <c r="J111" s="117">
        <f>H111</f>
        <v>0</v>
      </c>
      <c r="K111" s="120"/>
      <c r="L111" s="94"/>
      <c r="M111" s="300"/>
      <c r="N111" s="118"/>
    </row>
    <row r="112" spans="2:14" s="71" customFormat="1" outlineLevel="1">
      <c r="B112" s="119"/>
      <c r="C112" s="172" t="s">
        <v>1064</v>
      </c>
      <c r="D112" s="39">
        <v>4026.17</v>
      </c>
      <c r="E112" s="115">
        <f t="shared" si="7"/>
        <v>1196.8400713436386</v>
      </c>
      <c r="F112" s="471">
        <v>46108</v>
      </c>
      <c r="G112" s="342" t="s">
        <v>126</v>
      </c>
      <c r="H112" s="71">
        <f>IF(OR(G112="Sin pagar",G112="Pagar"),(_xlfn.SINGLE(NETWORKDAYS($J$27,F112,FestivosPerú!$A$2:$A$31))),0)</f>
        <v>0</v>
      </c>
      <c r="I112" s="71">
        <f>NETWORKDAYS($J$27,F112,FestivosPerú!$A$2:$A$31)</f>
        <v>20</v>
      </c>
      <c r="J112" s="117">
        <f t="shared" si="8"/>
        <v>0</v>
      </c>
      <c r="K112" s="120"/>
      <c r="L112" s="94"/>
      <c r="M112" s="300"/>
      <c r="N112" s="118"/>
    </row>
    <row r="113" spans="1:16" s="71" customFormat="1" outlineLevel="1">
      <c r="B113" s="119"/>
      <c r="C113" s="172" t="s">
        <v>1442</v>
      </c>
      <c r="D113" s="39">
        <v>141245.82999999999</v>
      </c>
      <c r="E113" s="115">
        <f>D113/$D$6</f>
        <v>41987.464328180737</v>
      </c>
      <c r="F113" s="471">
        <v>46112</v>
      </c>
      <c r="G113" s="342" t="s">
        <v>126</v>
      </c>
      <c r="H113" s="71">
        <f>IF(OR(G113="Sin pagar",G113="Pagar"),(_xlfn.SINGLE(NETWORKDAYS($J$27,F113,FestivosPerú!$A$2:$A$31))),0)</f>
        <v>0</v>
      </c>
      <c r="I113" s="71">
        <f>NETWORKDAYS($J$27,F113,FestivosPerú!$A$2:$A$31)</f>
        <v>22</v>
      </c>
      <c r="J113" s="117">
        <f>H113</f>
        <v>0</v>
      </c>
      <c r="K113" s="120"/>
      <c r="L113" s="94"/>
      <c r="M113" s="300"/>
      <c r="N113" s="118"/>
    </row>
    <row r="114" spans="1:16" s="71" customFormat="1" ht="15" outlineLevel="1" thickBot="1">
      <c r="B114" s="119"/>
      <c r="C114" s="172" t="s">
        <v>1444</v>
      </c>
      <c r="D114" s="39">
        <v>1513.36</v>
      </c>
      <c r="E114" s="115">
        <f>D114/$D$6</f>
        <v>449.86920332936978</v>
      </c>
      <c r="F114" s="471">
        <v>46118</v>
      </c>
      <c r="G114" s="342" t="s">
        <v>126</v>
      </c>
      <c r="H114" s="71">
        <f>IF(OR(G114="Sin pagar",G114="Pagar"),(_xlfn.SINGLE(NETWORKDAYS($J$27,F114,FestivosPerú!$A$2:$A$31))),0)</f>
        <v>0</v>
      </c>
      <c r="I114" s="71">
        <f>NETWORKDAYS($J$27,F114,FestivosPerú!$A$2:$A$31)</f>
        <v>24</v>
      </c>
      <c r="J114" s="117">
        <f>H114</f>
        <v>0</v>
      </c>
      <c r="K114" s="120"/>
      <c r="L114" s="94"/>
      <c r="M114" s="300"/>
      <c r="N114" s="118"/>
    </row>
    <row r="115" spans="1:16" s="71" customFormat="1" ht="16.2" thickBot="1">
      <c r="C115" s="311" t="s">
        <v>642</v>
      </c>
      <c r="D115" s="312">
        <f>SUBTOTAL(9,D116:D121)</f>
        <v>33099.754226333302</v>
      </c>
      <c r="E115" s="313">
        <f>SUBTOTAL(9,E116:E121)</f>
        <v>5373.6433769322239</v>
      </c>
      <c r="J115" s="301"/>
      <c r="K115" s="89"/>
      <c r="L115" s="124"/>
      <c r="N115" s="122"/>
      <c r="O115" s="101"/>
    </row>
    <row r="116" spans="1:16" s="71" customFormat="1" outlineLevel="1">
      <c r="B116" s="119"/>
      <c r="C116" s="172" t="s">
        <v>1293</v>
      </c>
      <c r="D116" s="39">
        <f>15312.3910263333</f>
        <v>15312.3910263333</v>
      </c>
      <c r="E116" s="424">
        <v>86.08</v>
      </c>
      <c r="F116" s="471">
        <v>46111</v>
      </c>
      <c r="G116" s="342" t="s">
        <v>126</v>
      </c>
      <c r="H116" s="71">
        <f>IF(OR(G116="Sin pagar",G116="Pagar"),(_xlfn.SINGLE(NETWORKDAYS($J$27,F116,FestivosPerú!$A$2:$A$31))),0)</f>
        <v>0</v>
      </c>
      <c r="I116" s="71">
        <f>NETWORKDAYS($J$27,F116,FestivosPerú!$A$2:$A$31)</f>
        <v>21</v>
      </c>
      <c r="J116" s="117">
        <f t="shared" ref="J116:J121" si="9">H116</f>
        <v>0</v>
      </c>
      <c r="K116" s="120"/>
      <c r="L116" s="94"/>
      <c r="M116" s="300"/>
      <c r="N116" s="118"/>
    </row>
    <row r="117" spans="1:16" s="71" customFormat="1" outlineLevel="1">
      <c r="B117" s="119"/>
      <c r="C117" s="172" t="s">
        <v>1297</v>
      </c>
      <c r="D117" s="39">
        <f>E117*$D$6</f>
        <v>651.70771999999999</v>
      </c>
      <c r="E117" s="424">
        <v>193.73</v>
      </c>
      <c r="F117" s="471">
        <v>46111</v>
      </c>
      <c r="G117" s="342" t="s">
        <v>126</v>
      </c>
      <c r="H117" s="71">
        <f>IF(OR(G117="Sin pagar",G117="Pagar"),(_xlfn.SINGLE(NETWORKDAYS($J$27,F117,FestivosPerú!$A$2:$A$31))),0)</f>
        <v>0</v>
      </c>
      <c r="I117" s="71">
        <f>NETWORKDAYS($J$27,F117,FestivosPerú!$A$2:$A$31)</f>
        <v>21</v>
      </c>
      <c r="J117" s="117">
        <f t="shared" si="9"/>
        <v>0</v>
      </c>
      <c r="K117" s="120"/>
      <c r="L117" s="94"/>
      <c r="M117" s="300"/>
      <c r="N117" s="118"/>
    </row>
    <row r="118" spans="1:16" s="71" customFormat="1" outlineLevel="1">
      <c r="B118" s="119"/>
      <c r="C118" s="172" t="s">
        <v>1397</v>
      </c>
      <c r="D118" s="39">
        <f>E118*$D$6</f>
        <v>10950.055480000001</v>
      </c>
      <c r="E118" s="424">
        <v>3255.07</v>
      </c>
      <c r="F118" s="471">
        <v>46111</v>
      </c>
      <c r="G118" s="342" t="s">
        <v>126</v>
      </c>
      <c r="H118" s="71">
        <f>IF(OR(G118="Sin pagar",G118="Pagar"),(_xlfn.SINGLE(NETWORKDAYS($J$27,F118,FestivosPerú!$A$2:$A$31))),0)</f>
        <v>0</v>
      </c>
      <c r="I118" s="71">
        <f>NETWORKDAYS($J$27,F118,FestivosPerú!$A$2:$A$31)</f>
        <v>21</v>
      </c>
      <c r="J118" s="117">
        <f t="shared" si="9"/>
        <v>0</v>
      </c>
      <c r="K118" s="120"/>
      <c r="L118" s="94"/>
      <c r="M118" s="300"/>
      <c r="N118" s="118"/>
    </row>
    <row r="119" spans="1:16" s="71" customFormat="1" outlineLevel="1">
      <c r="B119" s="119"/>
      <c r="C119" s="172" t="s">
        <v>1203</v>
      </c>
      <c r="D119" s="494">
        <v>460.61</v>
      </c>
      <c r="E119" s="115">
        <f>D119/$D$6</f>
        <v>136.92330558858504</v>
      </c>
      <c r="F119" s="471">
        <v>46111</v>
      </c>
      <c r="G119" s="342" t="s">
        <v>126</v>
      </c>
      <c r="H119" s="71">
        <f>IF(OR(G119="Sin pagar",G119="Pagar"),(_xlfn.SINGLE(NETWORKDAYS($J$27,F119,FestivosPerú!$A$2:$A$31))),0)</f>
        <v>0</v>
      </c>
      <c r="I119" s="71">
        <f>NETWORKDAYS($J$27,F119,FestivosPerú!$A$2:$A$31)</f>
        <v>21</v>
      </c>
      <c r="J119" s="117">
        <f t="shared" si="9"/>
        <v>0</v>
      </c>
      <c r="K119" s="120"/>
      <c r="L119" s="94"/>
      <c r="M119" s="300"/>
      <c r="N119" s="118"/>
    </row>
    <row r="120" spans="1:16" s="71" customFormat="1" outlineLevel="1">
      <c r="B120" s="119"/>
      <c r="C120" s="172" t="s">
        <v>1294</v>
      </c>
      <c r="D120" s="494">
        <v>5500</v>
      </c>
      <c r="E120" s="115">
        <f>D120/$D$6</f>
        <v>1634.9583828775269</v>
      </c>
      <c r="F120" s="471">
        <v>46111</v>
      </c>
      <c r="G120" s="342" t="s">
        <v>126</v>
      </c>
      <c r="H120" s="71">
        <f>IF(OR(G120="Sin pagar",G120="Pagar"),(_xlfn.SINGLE(NETWORKDAYS($J$27,F120,FestivosPerú!$A$2:$A$31))),0)</f>
        <v>0</v>
      </c>
      <c r="I120" s="71">
        <f>NETWORKDAYS($J$27,F120,FestivosPerú!$A$2:$A$31)</f>
        <v>21</v>
      </c>
      <c r="J120" s="117">
        <f t="shared" si="9"/>
        <v>0</v>
      </c>
      <c r="K120" s="120"/>
      <c r="L120" s="94"/>
      <c r="M120" s="300"/>
      <c r="N120" s="118"/>
    </row>
    <row r="121" spans="1:16" s="71" customFormat="1" ht="15" outlineLevel="1" thickBot="1">
      <c r="B121" s="119"/>
      <c r="C121" s="172" t="s">
        <v>1295</v>
      </c>
      <c r="D121" s="494">
        <v>224.99</v>
      </c>
      <c r="E121" s="115">
        <f>D121/$D$6</f>
        <v>66.881688466111783</v>
      </c>
      <c r="F121" s="471">
        <v>46111</v>
      </c>
      <c r="G121" s="342" t="s">
        <v>126</v>
      </c>
      <c r="H121" s="71">
        <f>IF(OR(G121="Sin pagar",G121="Pagar"),(_xlfn.SINGLE(NETWORKDAYS($J$27,F121,FestivosPerú!$A$2:$A$31))),0)</f>
        <v>0</v>
      </c>
      <c r="I121" s="71">
        <f>NETWORKDAYS($J$27,F121,FestivosPerú!$A$2:$A$31)</f>
        <v>21</v>
      </c>
      <c r="J121" s="117">
        <f t="shared" si="9"/>
        <v>0</v>
      </c>
      <c r="K121" s="120"/>
      <c r="L121" s="94"/>
      <c r="M121" s="300"/>
      <c r="N121" s="118"/>
    </row>
    <row r="122" spans="1:16" s="71" customFormat="1" ht="16.2" thickBot="1">
      <c r="A122" s="126"/>
      <c r="B122" s="125"/>
      <c r="C122" s="311" t="s">
        <v>129</v>
      </c>
      <c r="D122" s="312">
        <f>SUBTOTAL(9,D123:D123)</f>
        <v>1327.5</v>
      </c>
      <c r="E122" s="313">
        <f>SUBTOTAL(9,E123:E123)</f>
        <v>394.61950059453034</v>
      </c>
      <c r="L122" s="89"/>
    </row>
    <row r="123" spans="1:16" s="71" customFormat="1" ht="29.4" outlineLevel="1" thickBot="1">
      <c r="A123" s="126"/>
      <c r="B123" s="128" t="s">
        <v>1354</v>
      </c>
      <c r="C123" s="186" t="s">
        <v>1355</v>
      </c>
      <c r="D123" s="39">
        <v>1327.5</v>
      </c>
      <c r="E123" s="115">
        <f>D123/$D$6</f>
        <v>394.61950059453034</v>
      </c>
      <c r="F123" s="112">
        <v>46087</v>
      </c>
      <c r="G123" s="71" t="s">
        <v>126</v>
      </c>
      <c r="H123" s="71">
        <f>IF(OR(G123="Sin pagar",G123="Pagar"),(_xlfn.SINGLE(NETWORKDAYS($J$27,F123,FestivosPerú!$A$2:$A$31))),0)</f>
        <v>0</v>
      </c>
      <c r="I123" s="71">
        <f>NETWORKDAYS($J$27,F123,FestivosPerú!$A$2:$A$31)</f>
        <v>5</v>
      </c>
      <c r="J123" s="117">
        <f>H123</f>
        <v>0</v>
      </c>
      <c r="L123" s="89"/>
    </row>
    <row r="124" spans="1:16" ht="15.6">
      <c r="C124" s="129" t="s">
        <v>130</v>
      </c>
      <c r="D124" s="227">
        <f>SUBTOTAL(9,D29:D123)</f>
        <v>766341.16021068196</v>
      </c>
      <c r="E124" s="228">
        <f>SUBTOTAL(9,E29:E123)</f>
        <v>223340.76762911686</v>
      </c>
    </row>
    <row r="125" spans="1:16" s="238" customFormat="1" ht="15.6">
      <c r="B125" s="239"/>
      <c r="C125" s="240"/>
      <c r="D125" s="241"/>
      <c r="E125" s="242"/>
    </row>
    <row r="126" spans="1:16" ht="15.6">
      <c r="A126" s="71"/>
      <c r="C126" s="134" t="s">
        <v>3</v>
      </c>
      <c r="D126" s="170">
        <f>D24-D124</f>
        <v>434963.37507266796</v>
      </c>
      <c r="E126" s="135">
        <f>E24-E124</f>
        <v>168608.77342979758</v>
      </c>
      <c r="F126" s="136"/>
      <c r="G126" s="136"/>
      <c r="J126" s="364"/>
    </row>
    <row r="127" spans="1:16" s="141" customFormat="1" ht="15.6">
      <c r="A127" s="71"/>
      <c r="B127" s="138"/>
      <c r="C127" s="134" t="s">
        <v>131</v>
      </c>
      <c r="D127" s="139">
        <f>IF($D$24=0,0,D126/$D$24)</f>
        <v>0.36207586194625813</v>
      </c>
      <c r="E127" s="139">
        <f>IF($E$24=0,0,E126/$E$24)</f>
        <v>0.43017979552743951</v>
      </c>
      <c r="F127" s="140"/>
      <c r="G127" s="137"/>
      <c r="J127" s="142"/>
      <c r="K127" s="483"/>
      <c r="L127" s="483"/>
      <c r="N127" s="483"/>
      <c r="O127" s="483"/>
      <c r="P127" s="483"/>
    </row>
    <row r="129" spans="2:13" ht="15" thickBot="1"/>
    <row r="130" spans="2:13">
      <c r="C130" s="485">
        <v>46082</v>
      </c>
      <c r="D130" s="486">
        <v>46086</v>
      </c>
      <c r="E130" s="487">
        <f t="shared" ref="E130:E139" si="10">SUMIFS($D$27:$D$128,$F$27:$F$128,"&gt;="&amp;C130,$F$27:$F$128,"&lt;="&amp;D130,$G$27:$G$128,$D$150)</f>
        <v>0</v>
      </c>
      <c r="F130" s="488">
        <f t="shared" ref="F130:F139" si="11">SUMIFS($E$27:$E$129,$F$27:$F$129,"&gt;="&amp;C130,$F$27:$F$129,"&lt;="&amp;D130,$G$27:$G$129,$D$150)</f>
        <v>0</v>
      </c>
    </row>
    <row r="131" spans="2:13" ht="15.6">
      <c r="C131" s="326">
        <v>46087</v>
      </c>
      <c r="D131" s="202">
        <v>46087</v>
      </c>
      <c r="E131" s="203">
        <f t="shared" si="10"/>
        <v>0</v>
      </c>
      <c r="F131" s="204">
        <f t="shared" si="11"/>
        <v>0</v>
      </c>
      <c r="G131" s="375" t="s">
        <v>1247</v>
      </c>
    </row>
    <row r="132" spans="2:13" ht="15.6">
      <c r="C132" s="326">
        <v>46088</v>
      </c>
      <c r="D132" s="202">
        <v>46089</v>
      </c>
      <c r="E132" s="203">
        <f t="shared" si="10"/>
        <v>0</v>
      </c>
      <c r="F132" s="204">
        <f t="shared" si="11"/>
        <v>0</v>
      </c>
      <c r="G132" s="375"/>
    </row>
    <row r="133" spans="2:13" ht="15.6">
      <c r="C133" s="326">
        <v>46090</v>
      </c>
      <c r="D133" s="325">
        <v>46090</v>
      </c>
      <c r="E133" s="203">
        <f t="shared" si="10"/>
        <v>0</v>
      </c>
      <c r="F133" s="204">
        <f t="shared" si="11"/>
        <v>0</v>
      </c>
      <c r="G133" s="375" t="s">
        <v>1003</v>
      </c>
    </row>
    <row r="134" spans="2:13" ht="15.6">
      <c r="C134" s="326">
        <v>46091</v>
      </c>
      <c r="D134" s="325">
        <v>46096</v>
      </c>
      <c r="E134" s="203">
        <f t="shared" si="10"/>
        <v>0</v>
      </c>
      <c r="F134" s="204">
        <f t="shared" si="11"/>
        <v>0</v>
      </c>
      <c r="G134" s="375" t="s">
        <v>1351</v>
      </c>
    </row>
    <row r="135" spans="2:13" ht="15.6">
      <c r="C135" s="326">
        <v>46097</v>
      </c>
      <c r="D135" s="202">
        <v>46097</v>
      </c>
      <c r="E135" s="203">
        <f t="shared" si="10"/>
        <v>0</v>
      </c>
      <c r="F135" s="204">
        <f t="shared" si="11"/>
        <v>0</v>
      </c>
      <c r="G135" s="375" t="s">
        <v>1248</v>
      </c>
    </row>
    <row r="136" spans="2:13" ht="15.6">
      <c r="C136" s="326">
        <v>46098</v>
      </c>
      <c r="D136" s="202">
        <v>46103</v>
      </c>
      <c r="E136" s="203">
        <f t="shared" si="10"/>
        <v>0</v>
      </c>
      <c r="F136" s="204">
        <f t="shared" si="11"/>
        <v>0</v>
      </c>
      <c r="G136" s="375" t="s">
        <v>1254</v>
      </c>
    </row>
    <row r="137" spans="2:13" ht="15.6">
      <c r="C137" s="326">
        <v>46104</v>
      </c>
      <c r="D137" s="202">
        <v>46110</v>
      </c>
      <c r="E137" s="203">
        <f t="shared" si="10"/>
        <v>0</v>
      </c>
      <c r="F137" s="204">
        <f t="shared" si="11"/>
        <v>0</v>
      </c>
      <c r="G137" s="375" t="s">
        <v>1139</v>
      </c>
    </row>
    <row r="138" spans="2:13" ht="15.6">
      <c r="C138" s="326">
        <v>46111</v>
      </c>
      <c r="D138" s="381">
        <v>46112</v>
      </c>
      <c r="E138" s="203">
        <f t="shared" si="10"/>
        <v>0</v>
      </c>
      <c r="F138" s="204">
        <f t="shared" si="11"/>
        <v>0</v>
      </c>
      <c r="G138" s="375" t="s">
        <v>1249</v>
      </c>
    </row>
    <row r="139" spans="2:13" s="498" customFormat="1" ht="16.2" thickBot="1">
      <c r="B139" s="497"/>
      <c r="C139" s="314">
        <v>46113</v>
      </c>
      <c r="D139" s="501">
        <v>46124</v>
      </c>
      <c r="E139" s="207">
        <f t="shared" si="10"/>
        <v>0</v>
      </c>
      <c r="F139" s="208">
        <f t="shared" si="11"/>
        <v>0</v>
      </c>
      <c r="G139" s="375"/>
    </row>
    <row r="140" spans="2:13" ht="15.6">
      <c r="C140" s="524" t="s">
        <v>136</v>
      </c>
      <c r="D140" s="524"/>
      <c r="E140" s="323">
        <f>SUM(E130:E139)</f>
        <v>0</v>
      </c>
      <c r="F140" s="153">
        <f>SUM(F130:F139)</f>
        <v>0</v>
      </c>
      <c r="G140" s="77"/>
      <c r="K140" s="137"/>
      <c r="M140" s="154"/>
    </row>
    <row r="141" spans="2:13">
      <c r="F141" s="484"/>
    </row>
    <row r="144" spans="2:13">
      <c r="C144" s="536" t="s">
        <v>932</v>
      </c>
      <c r="D144" s="537"/>
      <c r="E144" s="39">
        <f>'BCP SOLES BCP'!$G$1200+('BCP USD BCP'!G421*$D$6)</f>
        <v>511363.60368335037</v>
      </c>
      <c r="F144" s="472">
        <f>'BCP USD BCP'!$G$421+('BCP SOLES BCP'!$G$1200/$D$6)</f>
        <v>152010.58373464635</v>
      </c>
    </row>
    <row r="145" spans="2:6">
      <c r="C145" s="537" t="s">
        <v>933</v>
      </c>
      <c r="D145" s="537"/>
      <c r="E145" s="39">
        <f>'BBVA SOLES'!$G$100+('BBVA USD'!G50*$D$6)</f>
        <v>2599.1709599999913</v>
      </c>
      <c r="F145" s="472">
        <f>'BBVA USD'!$G$50+('BBVA SOLES'!$G$100/D6)</f>
        <v>772.6429726516028</v>
      </c>
    </row>
    <row r="146" spans="2:6">
      <c r="C146" s="538" t="s">
        <v>1252</v>
      </c>
      <c r="D146" s="538"/>
      <c r="E146" s="167">
        <f>SUM(E144:E145)</f>
        <v>513962.77464335039</v>
      </c>
      <c r="F146" s="168">
        <f>SUM(F144:F145)</f>
        <v>152783.22670729796</v>
      </c>
    </row>
    <row r="147" spans="2:6">
      <c r="C147" s="536" t="s">
        <v>1385</v>
      </c>
      <c r="D147" s="537"/>
      <c r="E147" s="39">
        <f>SUM(E130:E138)</f>
        <v>0</v>
      </c>
      <c r="F147" s="154">
        <f>SUM($F$130:$F$138)</f>
        <v>0</v>
      </c>
    </row>
    <row r="148" spans="2:6">
      <c r="C148" s="536" t="s">
        <v>1352</v>
      </c>
      <c r="D148" s="537"/>
      <c r="E148" s="39">
        <f>E146-E147</f>
        <v>513962.77464335039</v>
      </c>
      <c r="F148" s="154">
        <f>F146-F147</f>
        <v>152783.22670729796</v>
      </c>
    </row>
    <row r="149" spans="2:6">
      <c r="C149" s="482"/>
      <c r="D149" s="482"/>
      <c r="E149" s="39"/>
      <c r="F149" s="154"/>
    </row>
    <row r="150" spans="2:6">
      <c r="D150" s="231" t="s">
        <v>116</v>
      </c>
      <c r="E150" s="39">
        <f>SUMIFS($D$28:$D$128,$F$28:$F$128,"&gt;="&amp;C130,$F$28:$F$128,"&lt;="&amp;$D$139,$G$28:$G$128,$D$150)</f>
        <v>0</v>
      </c>
      <c r="F150" s="154">
        <f>SUMIFS($E$28:$E$128,$F$28:$F$128,"&gt;="&amp;$C$130,$F$28:$F$128,"&lt;="&amp;$D$139,$G$28:$G$128,$D$150)</f>
        <v>0</v>
      </c>
    </row>
    <row r="151" spans="2:6">
      <c r="D151" s="484" t="s">
        <v>126</v>
      </c>
      <c r="E151" s="39">
        <f>SUMIFS($D$28:$D$128,$F$28:$F$128,"&gt;="&amp;C130,$F$28:$F$128,"&lt;="&amp;$D$139,$G$28:$G$128,$D$151)</f>
        <v>766341.16021068196</v>
      </c>
      <c r="F151" s="454">
        <f>SUMIFS($E$28:$E$128,$F$28:$F$128,"&gt;="&amp;$C$130,$F$28:$F$128,"&lt;="&amp;$D$139,$G$28:$G$128,$D$151)</f>
        <v>223340.76762911686</v>
      </c>
    </row>
    <row r="152" spans="2:6">
      <c r="D152" s="484" t="s">
        <v>854</v>
      </c>
      <c r="E152" s="167">
        <f>SUM(E150:E151)</f>
        <v>766341.16021068196</v>
      </c>
      <c r="F152" s="168">
        <f>SUM(F150:F151)</f>
        <v>223340.76762911686</v>
      </c>
    </row>
    <row r="153" spans="2:6">
      <c r="D153" s="484" t="s">
        <v>140</v>
      </c>
      <c r="E153" s="167">
        <f>E152-D124</f>
        <v>0</v>
      </c>
      <c r="F153" s="168">
        <f>E124-F152</f>
        <v>0</v>
      </c>
    </row>
    <row r="155" spans="2:6" s="498" customFormat="1">
      <c r="B155" s="497"/>
      <c r="D155" s="499" t="s">
        <v>198</v>
      </c>
      <c r="E155" s="499">
        <f>D126</f>
        <v>434963.37507266796</v>
      </c>
    </row>
    <row r="156" spans="2:6" s="498" customFormat="1">
      <c r="B156" s="497"/>
      <c r="D156" s="499" t="s">
        <v>199</v>
      </c>
      <c r="E156" s="499">
        <f>('BBVA SOLES'!$G$88+(('BBVA USD'!G28*$D$6)))+('BCP SOLES BCP'!$G$1060+(('BCP USD BCP'!$G$437*$D$6)))</f>
        <v>434963.0814433503</v>
      </c>
    </row>
    <row r="157" spans="2:6" s="498" customFormat="1">
      <c r="B157" s="497"/>
      <c r="D157" s="499" t="s">
        <v>39</v>
      </c>
      <c r="E157" s="499">
        <f>E155-E156</f>
        <v>0.29362931766081601</v>
      </c>
    </row>
    <row r="158" spans="2:6" s="498" customFormat="1">
      <c r="B158" s="497"/>
      <c r="D158" s="499" t="s">
        <v>200</v>
      </c>
      <c r="E158" s="499">
        <f>E157/D6</f>
        <v>8.7285766248756252E-2</v>
      </c>
    </row>
    <row r="159" spans="2:6" s="498" customFormat="1">
      <c r="B159" s="497"/>
      <c r="D159" s="499"/>
      <c r="E159" s="499"/>
    </row>
    <row r="160" spans="2:6">
      <c r="C160" s="172" t="s">
        <v>1296</v>
      </c>
    </row>
    <row r="168" spans="4:6">
      <c r="D168" s="39"/>
      <c r="E168" s="489"/>
      <c r="F168" s="490"/>
    </row>
    <row r="169" spans="4:6">
      <c r="D169" s="39"/>
      <c r="E169" s="489"/>
      <c r="F169" s="490"/>
    </row>
    <row r="170" spans="4:6">
      <c r="D170" s="39"/>
      <c r="E170" s="489"/>
      <c r="F170" s="490"/>
    </row>
    <row r="171" spans="4:6">
      <c r="D171" s="39"/>
      <c r="E171" s="489"/>
      <c r="F171" s="490"/>
    </row>
    <row r="172" spans="4:6">
      <c r="D172" s="39"/>
      <c r="E172" s="489"/>
      <c r="F172" s="490"/>
    </row>
    <row r="173" spans="4:6">
      <c r="D173" s="39"/>
      <c r="E173" s="489"/>
      <c r="F173" s="490"/>
    </row>
    <row r="174" spans="4:6">
      <c r="D174" s="39"/>
      <c r="E174" s="489"/>
      <c r="F174" s="490"/>
    </row>
    <row r="175" spans="4:6">
      <c r="D175" s="39"/>
      <c r="E175" s="489"/>
      <c r="F175" s="490"/>
    </row>
    <row r="176" spans="4:6">
      <c r="D176" s="39"/>
      <c r="E176" s="489"/>
      <c r="F176" s="490"/>
    </row>
    <row r="177" spans="4:6">
      <c r="D177" s="39"/>
      <c r="E177" s="489"/>
      <c r="F177" s="490"/>
    </row>
    <row r="178" spans="4:6">
      <c r="D178" s="39"/>
      <c r="E178" s="489"/>
      <c r="F178" s="490"/>
    </row>
    <row r="179" spans="4:6">
      <c r="D179" s="39"/>
      <c r="E179" s="489"/>
      <c r="F179" s="490"/>
    </row>
    <row r="180" spans="4:6">
      <c r="D180" s="39"/>
      <c r="E180" s="489"/>
      <c r="F180" s="490"/>
    </row>
    <row r="181" spans="4:6">
      <c r="D181" s="39"/>
      <c r="E181" s="489"/>
      <c r="F181" s="490"/>
    </row>
    <row r="182" spans="4:6">
      <c r="D182" s="39"/>
      <c r="E182" s="489"/>
      <c r="F182" s="490"/>
    </row>
    <row r="183" spans="4:6">
      <c r="D183" s="39"/>
      <c r="E183" s="489"/>
      <c r="F183" s="490"/>
    </row>
    <row r="184" spans="4:6">
      <c r="D184" s="39"/>
      <c r="E184" s="489"/>
      <c r="F184" s="490"/>
    </row>
    <row r="185" spans="4:6">
      <c r="D185" s="39"/>
      <c r="E185" s="489"/>
      <c r="F185" s="490"/>
    </row>
    <row r="186" spans="4:6">
      <c r="D186" s="39"/>
      <c r="E186" s="489"/>
      <c r="F186" s="490"/>
    </row>
    <row r="187" spans="4:6">
      <c r="D187" s="39"/>
      <c r="E187" s="489"/>
    </row>
    <row r="188" spans="4:6">
      <c r="D188" s="39"/>
    </row>
  </sheetData>
  <protectedRanges>
    <protectedRange sqref="F24:G24 D128:E128 D10:E13 D15:D23 F19" name="Presupuestos"/>
    <protectedRange sqref="D8:E8 D28:E28" name="Presupuestos_1"/>
    <protectedRange sqref="D37:E44" name="Presupuestos_13_1"/>
    <protectedRange sqref="E67 E123 E57:E65 E116:E121 D68:E71 E94:E114" name="Presupuestos_2_1_1_1"/>
    <protectedRange sqref="K106 K94:K98 K57:K65 E73:E75" name="Presupuestos_6_1_1_1"/>
    <protectedRange sqref="E46 D54:E55" name="Presupuestos_7_1"/>
    <protectedRange sqref="D73:D75" name="Presupuestos_5_3"/>
    <protectedRange sqref="D106 D181 D168:D173 D94:D98 D57:D65 P57:P65" name="Presupuestos_6_1_1_1_1"/>
    <protectedRange sqref="D47:E52" name="Presupuestos_7_1_1"/>
    <protectedRange sqref="E77:E78" name="Presupuestos_7_1_2"/>
    <protectedRange sqref="D77:D78" name="Presupuestos_5_3_1"/>
    <protectedRange sqref="D123" name="Presupuestos_5_3_3"/>
  </protectedRanges>
  <autoFilter ref="A28:S127" xr:uid="{C96D4A2F-3585-4D93-9D7D-531C278A79AF}"/>
  <mergeCells count="12">
    <mergeCell ref="C148:D148"/>
    <mergeCell ref="C140:D140"/>
    <mergeCell ref="C144:D144"/>
    <mergeCell ref="C145:D145"/>
    <mergeCell ref="C146:D146"/>
    <mergeCell ref="C147:D147"/>
    <mergeCell ref="D7:E7"/>
    <mergeCell ref="B27:C27"/>
    <mergeCell ref="D27:E27"/>
    <mergeCell ref="F27:G27"/>
    <mergeCell ref="M30:M32"/>
    <mergeCell ref="M80:M83"/>
  </mergeCells>
  <conditionalFormatting sqref="J79 J67 J30:J32 J57:J65 J116:J121 J36:J46 J94:J114">
    <cfRule type="cellIs" dxfId="51" priority="27" operator="between">
      <formula>1</formula>
      <formula>5</formula>
    </cfRule>
    <cfRule type="cellIs" dxfId="50" priority="28" operator="between">
      <formula>16</formula>
      <formula>60</formula>
    </cfRule>
  </conditionalFormatting>
  <conditionalFormatting sqref="J79 J30:J32 J57:J65 J116:J121 J36:J46 J94:J114">
    <cfRule type="cellIs" dxfId="49" priority="26" operator="lessThan">
      <formula>0</formula>
    </cfRule>
  </conditionalFormatting>
  <conditionalFormatting sqref="J54:J55">
    <cfRule type="cellIs" dxfId="48" priority="24" operator="between">
      <formula>1</formula>
      <formula>5</formula>
    </cfRule>
    <cfRule type="cellIs" dxfId="47" priority="25" operator="between">
      <formula>16</formula>
      <formula>60</formula>
    </cfRule>
  </conditionalFormatting>
  <conditionalFormatting sqref="J54:J55">
    <cfRule type="cellIs" dxfId="46" priority="23" operator="lessThan">
      <formula>0</formula>
    </cfRule>
  </conditionalFormatting>
  <conditionalFormatting sqref="J80:J83 J85:J86 J34:J35 J123 J67:J71 J88:J92 J37:J44 J46:J52">
    <cfRule type="cellIs" dxfId="45" priority="19" operator="lessThan">
      <formula>0</formula>
    </cfRule>
    <cfRule type="cellIs" dxfId="44" priority="20" operator="between">
      <formula>6</formula>
      <formula>15</formula>
    </cfRule>
    <cfRule type="cellIs" dxfId="43" priority="21" operator="between">
      <formula>1</formula>
      <formula>5</formula>
    </cfRule>
    <cfRule type="cellIs" dxfId="29" priority="22" operator="between">
      <formula>16</formula>
      <formula>60</formula>
    </cfRule>
  </conditionalFormatting>
  <conditionalFormatting sqref="J77:J78">
    <cfRule type="cellIs" dxfId="42" priority="17" operator="between">
      <formula>1</formula>
      <formula>5</formula>
    </cfRule>
    <cfRule type="cellIs" dxfId="41" priority="18" operator="between">
      <formula>16</formula>
      <formula>60</formula>
    </cfRule>
  </conditionalFormatting>
  <conditionalFormatting sqref="J77:J78">
    <cfRule type="cellIs" dxfId="40" priority="16" operator="lessThan">
      <formula>0</formula>
    </cfRule>
  </conditionalFormatting>
  <conditionalFormatting sqref="J84">
    <cfRule type="cellIs" dxfId="39" priority="14" operator="between">
      <formula>1</formula>
      <formula>5</formula>
    </cfRule>
    <cfRule type="cellIs" dxfId="38" priority="15" operator="between">
      <formula>16</formula>
      <formula>60</formula>
    </cfRule>
  </conditionalFormatting>
  <conditionalFormatting sqref="J84">
    <cfRule type="cellIs" dxfId="37" priority="13" operator="lessThan">
      <formula>0</formula>
    </cfRule>
  </conditionalFormatting>
  <conditionalFormatting sqref="J87">
    <cfRule type="cellIs" dxfId="36" priority="11" operator="between">
      <formula>1</formula>
      <formula>5</formula>
    </cfRule>
    <cfRule type="cellIs" dxfId="35" priority="12" operator="between">
      <formula>16</formula>
      <formula>60</formula>
    </cfRule>
  </conditionalFormatting>
  <conditionalFormatting sqref="J87">
    <cfRule type="cellIs" dxfId="34" priority="10" operator="lessThan">
      <formula>0</formula>
    </cfRule>
  </conditionalFormatting>
  <conditionalFormatting sqref="J67">
    <cfRule type="cellIs" dxfId="33" priority="5" operator="between">
      <formula>6</formula>
      <formula>15</formula>
    </cfRule>
  </conditionalFormatting>
  <conditionalFormatting sqref="J73:J75">
    <cfRule type="cellIs" dxfId="32" priority="1" operator="lessThan">
      <formula>0</formula>
    </cfRule>
    <cfRule type="cellIs" dxfId="31" priority="2" operator="between">
      <formula>6</formula>
      <formula>15</formula>
    </cfRule>
    <cfRule type="cellIs" dxfId="30" priority="3" operator="between">
      <formula>1</formula>
      <formula>5</formula>
    </cfRule>
    <cfRule type="cellIs" dxfId="28" priority="4" operator="between">
      <formula>16</formula>
      <formula>60</formula>
    </cfRule>
  </conditionalFormatting>
  <dataValidations disablePrompts="1" count="3">
    <dataValidation type="list" allowBlank="1" showInputMessage="1" showErrorMessage="1" sqref="D27 D7" xr:uid="{DF0EC24A-CE72-4F5E-8A34-5A6D575D8874}">
      <formula1>"ENERO,FEBRERO,MARZO,ABRIL,MAYO,JUNIO,JULIO,AGOSTO,SEPTIEMBRE,OCTUBRE,NOVIEMBRE,DICIEMBRE"</formula1>
    </dataValidation>
    <dataValidation type="list" allowBlank="1" showInputMessage="1" showErrorMessage="1" sqref="G116:G121 D150 G37:G44 G73:G75 G54:G55 G85:G86 G29:G32 G57:G65 G123 G34:G35 G80:G83 G67:G71 G46:G52 G77:G78 G88:G92 G94:G114" xr:uid="{91291ECE-8FED-4D6A-B101-F239A43A0AEB}">
      <formula1>"Cancelado,Pagar,Sin Pagar"</formula1>
    </dataValidation>
    <dataValidation type="list" allowBlank="1" showInputMessage="1" showErrorMessage="1" sqref="B12:B13 B15:B23" xr:uid="{34219262-90C9-4AD7-A136-46113A73C21D}">
      <formula1>"Sin Pagar,Pagado"</formula1>
    </dataValidation>
  </dataValidations>
  <pageMargins left="0.7" right="0.7" top="0.75" bottom="0.75" header="0.3" footer="0.3"/>
  <pageSetup orientation="portrait" r:id="rId1"/>
  <ignoredErrors>
    <ignoredError sqref="H119:J123 H64:I65 H53:I62 H93:J110 H73:J73 H115:J117 H66:J68 H71:I72 J69:J72 J53:J65 H76:J91 J92 H40:I42 H45:J48 H30:J36 J37:J44 J49:J51 H50:I51 H112:J112" unlockedFormula="1"/>
    <ignoredError xmlns:x16r3="http://schemas.microsoft.com/office/spreadsheetml/2018/08/main" sqref="E155" x16r3:misleadingForma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C493-63A5-481C-9678-C830B3990D9B}">
  <dimension ref="A1:S170"/>
  <sheetViews>
    <sheetView showGridLines="0" tabSelected="1" topLeftCell="A2" zoomScaleNormal="100" workbookViewId="0">
      <selection activeCell="C68" sqref="C68"/>
    </sheetView>
  </sheetViews>
  <sheetFormatPr baseColWidth="10" defaultColWidth="9.109375" defaultRowHeight="14.4" outlineLevelRow="1"/>
  <cols>
    <col min="1" max="1" width="2.109375" style="498" customWidth="1"/>
    <col min="2" max="2" width="14.6640625" style="497" bestFit="1" customWidth="1"/>
    <col min="3" max="3" width="70.88671875" style="498" customWidth="1"/>
    <col min="4" max="4" width="24.44140625" style="499" customWidth="1"/>
    <col min="5" max="5" width="19.33203125" style="499" bestFit="1" customWidth="1"/>
    <col min="6" max="6" width="20.109375" style="498" bestFit="1" customWidth="1"/>
    <col min="7" max="7" width="16.88671875" style="498" customWidth="1"/>
    <col min="8" max="8" width="11.88671875" style="498" hidden="1" customWidth="1"/>
    <col min="9" max="9" width="6" style="498" hidden="1" customWidth="1"/>
    <col min="10" max="10" width="16.5546875" style="498" customWidth="1"/>
    <col min="11" max="11" width="2.109375" style="498" customWidth="1"/>
    <col min="12" max="12" width="2.33203125" style="498" customWidth="1"/>
    <col min="13" max="14" width="15.5546875" style="498" bestFit="1" customWidth="1"/>
    <col min="15" max="15" width="13.88671875" style="498" bestFit="1" customWidth="1"/>
    <col min="16" max="16" width="19.33203125" style="498" bestFit="1" customWidth="1"/>
    <col min="17" max="17" width="15.33203125" style="498" bestFit="1" customWidth="1"/>
    <col min="18" max="18" width="14" style="498" bestFit="1" customWidth="1"/>
    <col min="19" max="19" width="13" style="498" bestFit="1" customWidth="1"/>
    <col min="20" max="16384" width="9.109375" style="498"/>
  </cols>
  <sheetData>
    <row r="1" spans="2:14" hidden="1">
      <c r="D1" s="499">
        <v>42400</v>
      </c>
    </row>
    <row r="2" spans="2:14">
      <c r="D2" s="70"/>
      <c r="E2" s="70"/>
      <c r="I2" s="71"/>
    </row>
    <row r="3" spans="2:14">
      <c r="E3" s="72"/>
      <c r="I3" s="71"/>
    </row>
    <row r="4" spans="2:14" ht="15.6">
      <c r="B4" s="73"/>
      <c r="C4" s="73"/>
      <c r="D4" s="74" t="s">
        <v>109</v>
      </c>
      <c r="E4" s="75">
        <v>46113</v>
      </c>
      <c r="I4" s="71"/>
    </row>
    <row r="5" spans="2:14">
      <c r="D5" s="70"/>
      <c r="E5" s="70"/>
      <c r="I5" s="71"/>
    </row>
    <row r="6" spans="2:14">
      <c r="C6" s="500" t="s">
        <v>110</v>
      </c>
      <c r="D6" s="39">
        <v>3.3639999999999999</v>
      </c>
      <c r="E6" s="70"/>
      <c r="I6" s="71"/>
      <c r="J6" s="85"/>
    </row>
    <row r="7" spans="2:14" ht="15.6">
      <c r="C7" s="77"/>
      <c r="D7" s="521" t="s">
        <v>201</v>
      </c>
      <c r="E7" s="521"/>
      <c r="I7" s="71"/>
      <c r="J7" s="85"/>
    </row>
    <row r="8" spans="2:14">
      <c r="D8" s="78" t="s">
        <v>142</v>
      </c>
      <c r="E8" s="78" t="s">
        <v>112</v>
      </c>
      <c r="J8" s="181"/>
    </row>
    <row r="9" spans="2:14" s="79" customFormat="1" ht="15.6">
      <c r="C9" s="80" t="s">
        <v>113</v>
      </c>
      <c r="D9" s="159">
        <f>SUBTOTAL(9,D10:D11)</f>
        <v>434963.0814433503</v>
      </c>
      <c r="E9" s="81">
        <f>SUBTOTAL(9,E10:E11)</f>
        <v>129299.37022691745</v>
      </c>
      <c r="F9" s="82"/>
      <c r="I9" s="71"/>
    </row>
    <row r="10" spans="2:14" s="71" customFormat="1" outlineLevel="1">
      <c r="B10" s="83"/>
      <c r="C10" s="84" t="s">
        <v>141</v>
      </c>
      <c r="D10" s="39">
        <f>'BBVA SOLES'!$G$88+'BCP SOLES BCP'!$G$1060</f>
        <v>383994.70127186365</v>
      </c>
      <c r="E10" s="85">
        <f>D10/$D$6</f>
        <v>114148.24651363367</v>
      </c>
      <c r="F10" s="86"/>
    </row>
    <row r="11" spans="2:14" s="71" customFormat="1" outlineLevel="1">
      <c r="B11" s="83"/>
      <c r="C11" s="84" t="s">
        <v>114</v>
      </c>
      <c r="D11" s="39">
        <f>E11*$D$6</f>
        <v>50968.380171486649</v>
      </c>
      <c r="E11" s="85">
        <f>'BBVA USD'!$G$28+'BCP USD BCP'!$G$437</f>
        <v>15151.123713283785</v>
      </c>
      <c r="F11" s="86"/>
    </row>
    <row r="12" spans="2:14" s="71" customFormat="1" ht="15.6">
      <c r="B12" s="83"/>
      <c r="C12" s="87" t="s">
        <v>115</v>
      </c>
      <c r="D12" s="159">
        <f>SUBTOTAL(9,D13:D18)</f>
        <v>671614.05389999994</v>
      </c>
      <c r="E12" s="81">
        <f>SUBTOTAL(9,E13:E18)</f>
        <v>200383.9248113074</v>
      </c>
      <c r="F12" s="303"/>
      <c r="G12" s="303"/>
      <c r="J12" s="183"/>
    </row>
    <row r="13" spans="2:14" s="71" customFormat="1" outlineLevel="1">
      <c r="B13" s="252" t="s">
        <v>116</v>
      </c>
      <c r="C13" s="186" t="s">
        <v>1238</v>
      </c>
      <c r="D13" s="503">
        <f>14579.1</f>
        <v>14579.1</v>
      </c>
      <c r="E13" s="387">
        <f>D13/D6</f>
        <v>4333.8585017835912</v>
      </c>
      <c r="F13" s="476"/>
      <c r="G13" s="387"/>
      <c r="J13" s="387"/>
      <c r="M13" s="305"/>
      <c r="N13" s="304"/>
    </row>
    <row r="14" spans="2:14" s="71" customFormat="1" outlineLevel="1">
      <c r="B14" s="252" t="s">
        <v>116</v>
      </c>
      <c r="C14" s="502" t="s">
        <v>1445</v>
      </c>
      <c r="D14" s="503">
        <f>E14*3.36</f>
        <v>20757.676800000001</v>
      </c>
      <c r="E14" s="387">
        <v>6177.88</v>
      </c>
      <c r="F14" s="271"/>
    </row>
    <row r="15" spans="2:14" s="342" customFormat="1" outlineLevel="1">
      <c r="B15" s="252" t="s">
        <v>116</v>
      </c>
      <c r="C15" s="502" t="s">
        <v>1446</v>
      </c>
      <c r="D15" s="503">
        <v>29944.720000000001</v>
      </c>
      <c r="E15" s="387">
        <v>8804.68</v>
      </c>
      <c r="F15" s="209"/>
      <c r="G15" s="271"/>
      <c r="H15" s="399"/>
      <c r="I15" s="399"/>
      <c r="J15" s="271"/>
    </row>
    <row r="16" spans="2:14" s="342" customFormat="1" outlineLevel="1">
      <c r="B16" s="252" t="s">
        <v>116</v>
      </c>
      <c r="C16" s="186" t="s">
        <v>1447</v>
      </c>
      <c r="D16" s="503">
        <f>E16*3.29</f>
        <v>96550.412700000001</v>
      </c>
      <c r="E16" s="387">
        <f>'BCP USD BCP'!E416</f>
        <v>29346.63</v>
      </c>
      <c r="F16" s="271"/>
      <c r="G16" s="271"/>
      <c r="H16" s="399"/>
      <c r="I16" s="399"/>
      <c r="J16" s="271"/>
    </row>
    <row r="17" spans="1:19" s="71" customFormat="1" outlineLevel="1">
      <c r="B17" s="252" t="s">
        <v>116</v>
      </c>
      <c r="C17" s="186" t="s">
        <v>1448</v>
      </c>
      <c r="D17" s="503">
        <v>53957.69</v>
      </c>
      <c r="E17" s="387">
        <f>D17/3.36</f>
        <v>16058.836309523811</v>
      </c>
      <c r="F17" s="85"/>
      <c r="G17" s="387"/>
      <c r="J17" s="387"/>
      <c r="M17" s="305"/>
      <c r="N17" s="304"/>
    </row>
    <row r="18" spans="1:19" s="71" customFormat="1" outlineLevel="1">
      <c r="B18" s="252" t="s">
        <v>116</v>
      </c>
      <c r="C18" s="186" t="s">
        <v>1449</v>
      </c>
      <c r="D18" s="503">
        <f>E18*3.36</f>
        <v>455824.45439999999</v>
      </c>
      <c r="E18" s="387">
        <v>135662.04</v>
      </c>
      <c r="F18" s="271"/>
      <c r="G18" s="271"/>
      <c r="J18" s="271"/>
      <c r="K18" s="304"/>
      <c r="M18" s="304"/>
      <c r="N18" s="304"/>
    </row>
    <row r="19" spans="1:19" s="71" customFormat="1" ht="15.6">
      <c r="B19" s="83"/>
      <c r="C19" s="90" t="s">
        <v>117</v>
      </c>
      <c r="D19" s="226">
        <f>SUBTOTAL(9,D9:D18)</f>
        <v>1106577.1353433502</v>
      </c>
      <c r="E19" s="92">
        <f>SUBTOTAL(9,E9:E18)</f>
        <v>329683.2950382249</v>
      </c>
      <c r="F19" s="93"/>
      <c r="G19" s="492"/>
      <c r="J19" s="253"/>
      <c r="K19" s="94"/>
      <c r="O19" s="95"/>
      <c r="P19" s="96"/>
      <c r="Q19" s="97"/>
    </row>
    <row r="20" spans="1:19" s="71" customFormat="1" ht="15.6">
      <c r="B20" s="83"/>
      <c r="C20" s="98"/>
      <c r="D20" s="99"/>
      <c r="E20" s="99"/>
      <c r="G20" s="100"/>
      <c r="O20" s="96"/>
      <c r="P20" s="96"/>
    </row>
    <row r="21" spans="1:19" s="71" customFormat="1" ht="15.6">
      <c r="B21" s="83"/>
      <c r="N21" s="101"/>
      <c r="O21" s="102"/>
      <c r="P21" s="103"/>
    </row>
    <row r="22" spans="1:19" s="71" customFormat="1" ht="15.6">
      <c r="B22" s="521" t="s">
        <v>118</v>
      </c>
      <c r="C22" s="521"/>
      <c r="D22" s="521" t="s">
        <v>201</v>
      </c>
      <c r="E22" s="521"/>
      <c r="F22" s="521" t="s">
        <v>109</v>
      </c>
      <c r="G22" s="521"/>
      <c r="H22" s="496"/>
      <c r="I22" s="496"/>
      <c r="J22" s="175">
        <v>46113</v>
      </c>
      <c r="K22" s="103"/>
      <c r="L22" s="103"/>
      <c r="N22" s="101"/>
      <c r="R22" s="89"/>
      <c r="S22" s="89"/>
    </row>
    <row r="23" spans="1:19" s="71" customFormat="1" ht="16.2" thickBot="1">
      <c r="B23" s="104" t="s">
        <v>119</v>
      </c>
      <c r="C23" s="105" t="s">
        <v>120</v>
      </c>
      <c r="D23" s="78" t="s">
        <v>150</v>
      </c>
      <c r="E23" s="78" t="s">
        <v>112</v>
      </c>
      <c r="F23" s="106" t="s">
        <v>121</v>
      </c>
      <c r="G23" s="101" t="s">
        <v>122</v>
      </c>
      <c r="H23" s="101"/>
      <c r="I23" s="101"/>
      <c r="J23" s="107" t="s">
        <v>123</v>
      </c>
      <c r="N23" s="108"/>
      <c r="R23" s="89"/>
      <c r="S23" s="109"/>
    </row>
    <row r="24" spans="1:19" s="71" customFormat="1" ht="16.2" thickBot="1">
      <c r="B24" s="83"/>
      <c r="C24" s="110" t="s">
        <v>124</v>
      </c>
      <c r="D24" s="160">
        <f>SUBTOTAL(9,D25:D27)</f>
        <v>14829.77</v>
      </c>
      <c r="E24" s="111">
        <f>SUBTOTAL(9,E25:E27)</f>
        <v>4408.3739595719389</v>
      </c>
      <c r="F24" s="112"/>
      <c r="J24" s="113"/>
    </row>
    <row r="25" spans="1:19" s="71" customFormat="1" outlineLevel="1">
      <c r="B25" s="330">
        <v>2222985944</v>
      </c>
      <c r="C25" s="491" t="s">
        <v>825</v>
      </c>
      <c r="D25" s="209">
        <f>6801.2+167.26+292.93+126.04+167.26+466.75+95.9+108.5+38.36+43.4</f>
        <v>8307.6</v>
      </c>
      <c r="E25" s="232">
        <f>D25/$D$6</f>
        <v>2469.560047562426</v>
      </c>
      <c r="F25" s="116">
        <v>46121</v>
      </c>
      <c r="G25" s="71" t="s">
        <v>126</v>
      </c>
      <c r="H25" s="71">
        <f>IF(OR(G25="Sin pagar",G25="Pagar"),(_xlfn.SINGLE(NETWORKDAYS($J$22,F25,FestivosPerú!$A$2:$A$31))),0)</f>
        <v>0</v>
      </c>
      <c r="I25" s="71">
        <f>NETWORKDAYS($J$22,F25,FestivosPerú!$A$2:$A$31)</f>
        <v>5</v>
      </c>
      <c r="J25" s="117">
        <f t="shared" ref="J25:J36" si="0">H25</f>
        <v>0</v>
      </c>
      <c r="M25" s="530" t="s">
        <v>699</v>
      </c>
      <c r="N25" s="86"/>
    </row>
    <row r="26" spans="1:19" s="71" customFormat="1" outlineLevel="1">
      <c r="A26" s="86"/>
      <c r="B26" s="331">
        <v>2518103749</v>
      </c>
      <c r="C26" s="491" t="s">
        <v>827</v>
      </c>
      <c r="D26" s="209">
        <f>2713.8+167.26+226.24+167.26+207.97</f>
        <v>3482.53</v>
      </c>
      <c r="E26" s="232">
        <f>D26/$D$6</f>
        <v>1035.2348394768135</v>
      </c>
      <c r="F26" s="116">
        <v>46121</v>
      </c>
      <c r="G26" s="71" t="s">
        <v>126</v>
      </c>
      <c r="H26" s="71">
        <f>IF(OR(G26="Sin pagar",G26="Pagar"),(_xlfn.SINGLE(NETWORKDAYS($J$22,F26,FestivosPerú!$A$2:$A$31))),0)</f>
        <v>0</v>
      </c>
      <c r="I26" s="71">
        <f>NETWORKDAYS($J$22,F26,FestivosPerú!$A$2:$A$31)</f>
        <v>5</v>
      </c>
      <c r="J26" s="117">
        <f t="shared" si="0"/>
        <v>0</v>
      </c>
      <c r="K26" s="89"/>
      <c r="L26" s="89"/>
      <c r="M26" s="530"/>
      <c r="N26" s="118"/>
      <c r="Q26" s="39"/>
      <c r="S26" s="374"/>
    </row>
    <row r="27" spans="1:19" s="71" customFormat="1" ht="15" outlineLevel="1" thickBot="1">
      <c r="A27" s="86"/>
      <c r="B27" s="330">
        <v>2610254156</v>
      </c>
      <c r="C27" s="491" t="s">
        <v>826</v>
      </c>
      <c r="D27" s="209">
        <f>2705.12+167.26+167.26</f>
        <v>3039.6400000000003</v>
      </c>
      <c r="E27" s="232">
        <f>D27/$D$6</f>
        <v>903.57907253269934</v>
      </c>
      <c r="F27" s="116">
        <v>46121</v>
      </c>
      <c r="G27" s="71" t="s">
        <v>126</v>
      </c>
      <c r="H27" s="71">
        <f>IF(OR(G27="Sin pagar",G27="Pagar"),(_xlfn.SINGLE(NETWORKDAYS($J$22,F27,FestivosPerú!$A$2:$A$31))),0)</f>
        <v>0</v>
      </c>
      <c r="I27" s="71">
        <f>NETWORKDAYS($J$22,F27,FestivosPerú!$A$2:$A$31)</f>
        <v>5</v>
      </c>
      <c r="J27" s="117">
        <f t="shared" si="0"/>
        <v>0</v>
      </c>
      <c r="K27" s="89"/>
      <c r="L27" s="89"/>
      <c r="M27" s="530"/>
      <c r="N27" s="118"/>
      <c r="Q27" s="39"/>
      <c r="S27" s="374"/>
    </row>
    <row r="28" spans="1:19" s="71" customFormat="1" ht="16.2" thickBot="1">
      <c r="B28" s="83"/>
      <c r="C28" s="110" t="s">
        <v>125</v>
      </c>
      <c r="D28" s="160">
        <f>SUBTOTAL(9,D29:D30)</f>
        <v>44970.525000000001</v>
      </c>
      <c r="E28" s="111">
        <f>SUBTOTAL(9,E29:E30)</f>
        <v>13368.170332936981</v>
      </c>
      <c r="J28" s="113">
        <f t="shared" si="0"/>
        <v>0</v>
      </c>
      <c r="Q28" s="374"/>
      <c r="S28" s="374"/>
    </row>
    <row r="29" spans="1:19" s="71" customFormat="1" outlineLevel="1">
      <c r="B29" s="173"/>
      <c r="C29" s="186" t="s">
        <v>885</v>
      </c>
      <c r="D29" s="503">
        <f>29838*1.5</f>
        <v>44757</v>
      </c>
      <c r="E29" s="504">
        <f>D29/$D$6</f>
        <v>13304.696789536267</v>
      </c>
      <c r="F29" s="116">
        <v>46129</v>
      </c>
      <c r="G29" s="71" t="s">
        <v>116</v>
      </c>
      <c r="H29" s="71">
        <f>IF(OR(G29="Sin pagar",G29="Pagar"),(_xlfn.SINGLE(NETWORKDAYS($J$22,F29,FestivosPerú!$A$2:$A$31))),0)</f>
        <v>11</v>
      </c>
      <c r="I29" s="71">
        <f>NETWORKDAYS($J$22,F29,FestivosPerú!$A$2:$A$31)</f>
        <v>11</v>
      </c>
      <c r="J29" s="117">
        <f t="shared" si="0"/>
        <v>11</v>
      </c>
      <c r="K29" s="120"/>
      <c r="L29" s="94"/>
      <c r="M29" s="377" t="s">
        <v>701</v>
      </c>
      <c r="N29" s="118"/>
      <c r="Q29" s="374"/>
    </row>
    <row r="30" spans="1:19" s="71" customFormat="1" ht="15" outlineLevel="1" thickBot="1">
      <c r="B30" s="119"/>
      <c r="C30" s="186" t="s">
        <v>215</v>
      </c>
      <c r="D30" s="503">
        <f>142.35*1.5</f>
        <v>213.52499999999998</v>
      </c>
      <c r="E30" s="504">
        <f>D30/$D$6</f>
        <v>63.473543400713432</v>
      </c>
      <c r="F30" s="116">
        <v>46129</v>
      </c>
      <c r="G30" s="71" t="s">
        <v>116</v>
      </c>
      <c r="H30" s="71">
        <f>IF(OR(G30="Sin pagar",G30="Pagar"),(_xlfn.SINGLE(NETWORKDAYS($J$22,F30,FestivosPerú!$A$2:$A$31))),0)</f>
        <v>11</v>
      </c>
      <c r="I30" s="71">
        <f>NETWORKDAYS($J$22,F30,FestivosPerú!$A$2:$A$31)</f>
        <v>11</v>
      </c>
      <c r="J30" s="117">
        <f t="shared" si="0"/>
        <v>11</v>
      </c>
      <c r="K30" s="120"/>
      <c r="L30" s="94"/>
      <c r="M30" s="300" t="s">
        <v>700</v>
      </c>
      <c r="N30" s="118"/>
    </row>
    <row r="31" spans="1:19" s="71" customFormat="1" ht="16.2" thickBot="1">
      <c r="B31" s="83"/>
      <c r="C31" s="110" t="s">
        <v>144</v>
      </c>
      <c r="D31" s="160">
        <f>SUBTOTAL(9,D32:D36)</f>
        <v>4130</v>
      </c>
      <c r="E31" s="111">
        <f>SUBTOTAL(9,E32:E36)</f>
        <v>1227.7051129607612</v>
      </c>
      <c r="J31" s="117">
        <f t="shared" si="0"/>
        <v>0</v>
      </c>
      <c r="K31" s="89"/>
      <c r="L31" s="89"/>
      <c r="N31" s="118"/>
    </row>
    <row r="32" spans="1:19" s="71" customFormat="1" outlineLevel="1">
      <c r="B32" s="254" t="s">
        <v>1320</v>
      </c>
      <c r="C32" s="186" t="s">
        <v>1321</v>
      </c>
      <c r="D32" s="39">
        <f>826</f>
        <v>826</v>
      </c>
      <c r="E32" s="115">
        <f>D32/$D$6</f>
        <v>245.54102259215222</v>
      </c>
      <c r="F32" s="116">
        <v>46129</v>
      </c>
      <c r="G32" s="71" t="s">
        <v>116</v>
      </c>
      <c r="H32" s="71">
        <f>IF(OR(G32="Sin pagar",G32="Pagar"),(_xlfn.SINGLE(NETWORKDAYS($J$22,F32,FestivosPerú!$A$2:$A$31))),0)</f>
        <v>11</v>
      </c>
      <c r="I32" s="71">
        <f>NETWORKDAYS($J$22,F32,FestivosPerú!$A$2:$A$31)</f>
        <v>11</v>
      </c>
      <c r="J32" s="117">
        <f t="shared" si="0"/>
        <v>11</v>
      </c>
      <c r="M32" s="495" t="s">
        <v>1428</v>
      </c>
      <c r="N32" s="86"/>
    </row>
    <row r="33" spans="2:16" s="71" customFormat="1" outlineLevel="1">
      <c r="B33" s="254" t="s">
        <v>1322</v>
      </c>
      <c r="C33" s="186" t="s">
        <v>1348</v>
      </c>
      <c r="D33" s="39">
        <f>826</f>
        <v>826</v>
      </c>
      <c r="E33" s="115">
        <f>D33/$D$6</f>
        <v>245.54102259215222</v>
      </c>
      <c r="F33" s="116">
        <v>46129</v>
      </c>
      <c r="G33" s="71" t="s">
        <v>116</v>
      </c>
      <c r="H33" s="71">
        <f>IF(OR(G33="Sin pagar",G33="Pagar"),(_xlfn.SINGLE(NETWORKDAYS($J$22,F33,FestivosPerú!$A$2:$A$31))),0)</f>
        <v>11</v>
      </c>
      <c r="I33" s="71">
        <f>NETWORKDAYS($J$22,F33,FestivosPerú!$A$2:$A$31)</f>
        <v>11</v>
      </c>
      <c r="J33" s="117">
        <f t="shared" si="0"/>
        <v>11</v>
      </c>
      <c r="M33" s="495" t="s">
        <v>1428</v>
      </c>
      <c r="N33" s="86"/>
    </row>
    <row r="34" spans="2:16" s="71" customFormat="1" outlineLevel="1">
      <c r="B34" s="254" t="s">
        <v>1328</v>
      </c>
      <c r="C34" s="186" t="s">
        <v>1349</v>
      </c>
      <c r="D34" s="39">
        <f>826</f>
        <v>826</v>
      </c>
      <c r="E34" s="115">
        <f>D34/$D$6</f>
        <v>245.54102259215222</v>
      </c>
      <c r="F34" s="116">
        <v>46129</v>
      </c>
      <c r="G34" s="71" t="s">
        <v>116</v>
      </c>
      <c r="H34" s="71">
        <f>IF(OR(G34="Sin pagar",G34="Pagar"),(_xlfn.SINGLE(NETWORKDAYS($J$22,F34,FestivosPerú!$A$2:$A$31))),0)</f>
        <v>11</v>
      </c>
      <c r="I34" s="71">
        <f>NETWORKDAYS($J$22,F34,FestivosPerú!$A$2:$A$31)</f>
        <v>11</v>
      </c>
      <c r="J34" s="117">
        <f t="shared" si="0"/>
        <v>11</v>
      </c>
      <c r="M34" s="495" t="s">
        <v>1428</v>
      </c>
      <c r="N34" s="86"/>
    </row>
    <row r="35" spans="2:16" s="71" customFormat="1" outlineLevel="1">
      <c r="B35" s="254" t="s">
        <v>1429</v>
      </c>
      <c r="C35" s="186" t="s">
        <v>1350</v>
      </c>
      <c r="D35" s="39">
        <f>826</f>
        <v>826</v>
      </c>
      <c r="E35" s="115">
        <f>D35/$D$6</f>
        <v>245.54102259215222</v>
      </c>
      <c r="F35" s="116">
        <v>46129</v>
      </c>
      <c r="G35" s="71" t="s">
        <v>116</v>
      </c>
      <c r="H35" s="71">
        <f>IF(OR(G35="Sin pagar",G35="Pagar"),(_xlfn.SINGLE(NETWORKDAYS($J$22,F35,FestivosPerú!$A$2:$A$31))),0)</f>
        <v>11</v>
      </c>
      <c r="I35" s="71">
        <f>NETWORKDAYS($J$22,F35,FestivosPerú!$A$2:$A$31)</f>
        <v>11</v>
      </c>
      <c r="J35" s="117">
        <f t="shared" si="0"/>
        <v>11</v>
      </c>
      <c r="M35" s="299" t="s">
        <v>1137</v>
      </c>
      <c r="N35" s="86"/>
    </row>
    <row r="36" spans="2:16" s="71" customFormat="1" ht="15" outlineLevel="1" thickBot="1">
      <c r="B36" s="254" t="s">
        <v>1425</v>
      </c>
      <c r="C36" s="186" t="s">
        <v>1424</v>
      </c>
      <c r="D36" s="39">
        <f>826</f>
        <v>826</v>
      </c>
      <c r="E36" s="115">
        <f>D36/$D$6</f>
        <v>245.54102259215222</v>
      </c>
      <c r="F36" s="116">
        <v>46129</v>
      </c>
      <c r="G36" s="71" t="s">
        <v>116</v>
      </c>
      <c r="H36" s="71">
        <f>IF(OR(G36="Sin pagar",G36="Pagar"),(_xlfn.SINGLE(NETWORKDAYS($J$22,F36,FestivosPerú!$A$2:$A$31))),0)</f>
        <v>11</v>
      </c>
      <c r="I36" s="71">
        <f>NETWORKDAYS($J$22,F36,FestivosPerú!$A$2:$A$31)</f>
        <v>11</v>
      </c>
      <c r="J36" s="117">
        <f t="shared" si="0"/>
        <v>11</v>
      </c>
      <c r="M36" s="495" t="s">
        <v>1430</v>
      </c>
      <c r="N36" s="86"/>
    </row>
    <row r="37" spans="2:16" s="71" customFormat="1" ht="15" customHeight="1" thickBot="1">
      <c r="C37" s="110" t="s">
        <v>162</v>
      </c>
      <c r="D37" s="160">
        <f>SUBTOTAL(9,D38:D44)</f>
        <v>12840.92</v>
      </c>
      <c r="E37" s="111">
        <f>SUBTOTAL(9,E38:E44)</f>
        <v>3817.1581450653989</v>
      </c>
      <c r="J37" s="117"/>
      <c r="M37" s="122"/>
      <c r="N37" s="187"/>
      <c r="P37" s="187"/>
    </row>
    <row r="38" spans="2:16" s="71" customFormat="1" outlineLevel="1">
      <c r="B38" s="254"/>
      <c r="C38" s="186" t="s">
        <v>1356</v>
      </c>
      <c r="D38" s="39">
        <v>8879</v>
      </c>
      <c r="E38" s="115">
        <f t="shared" ref="E38:E43" si="1">D38/$D$6</f>
        <v>2639.4173602853748</v>
      </c>
      <c r="F38" s="112">
        <v>46111</v>
      </c>
      <c r="G38" s="71" t="s">
        <v>126</v>
      </c>
      <c r="H38" s="71">
        <f>IF(OR(G38="Sin pagar",G38="Pagar"),(_xlfn.SINGLE(NETWORKDAYS($J$22,F38,FestivosPerú!$A$2:$A$31))),0)</f>
        <v>0</v>
      </c>
      <c r="I38" s="71">
        <f>NETWORKDAYS($J$22,F38,FestivosPerú!$A$2:$A$31)</f>
        <v>-3</v>
      </c>
      <c r="J38" s="117">
        <f t="shared" ref="J38:J43" si="2">H38</f>
        <v>0</v>
      </c>
      <c r="M38" s="299" t="s">
        <v>832</v>
      </c>
    </row>
    <row r="39" spans="2:16" s="71" customFormat="1" outlineLevel="1">
      <c r="B39" s="480" t="s">
        <v>1219</v>
      </c>
      <c r="C39" s="186" t="s">
        <v>1450</v>
      </c>
      <c r="D39" s="39">
        <v>345.76</v>
      </c>
      <c r="E39" s="115">
        <f t="shared" si="1"/>
        <v>102.78240190249703</v>
      </c>
      <c r="F39" s="116">
        <v>46129</v>
      </c>
      <c r="G39" s="71" t="s">
        <v>116</v>
      </c>
      <c r="H39" s="71">
        <f>IF(OR(G39="Sin pagar",G39="Pagar"),(_xlfn.SINGLE(NETWORKDAYS($J$22,F39,FestivosPerú!$A$2:$A$31))),0)</f>
        <v>11</v>
      </c>
      <c r="I39" s="71">
        <f>NETWORKDAYS($J$22,F39,FestivosPerú!$A$2:$A$31)</f>
        <v>11</v>
      </c>
      <c r="J39" s="117">
        <f t="shared" si="2"/>
        <v>11</v>
      </c>
    </row>
    <row r="40" spans="2:16" s="71" customFormat="1" outlineLevel="1">
      <c r="B40" s="480" t="s">
        <v>1218</v>
      </c>
      <c r="C40" s="186" t="s">
        <v>1451</v>
      </c>
      <c r="D40" s="39">
        <v>356.13</v>
      </c>
      <c r="E40" s="115">
        <f t="shared" si="1"/>
        <v>105.86504161712247</v>
      </c>
      <c r="F40" s="116">
        <v>46129</v>
      </c>
      <c r="G40" s="71" t="s">
        <v>116</v>
      </c>
      <c r="H40" s="71">
        <f>IF(OR(G40="Sin pagar",G40="Pagar"),(_xlfn.SINGLE(NETWORKDAYS($J$22,F40,FestivosPerú!$A$2:$A$31))),0)</f>
        <v>11</v>
      </c>
      <c r="I40" s="71">
        <f>NETWORKDAYS($J$22,F40,FestivosPerú!$A$2:$A$31)</f>
        <v>11</v>
      </c>
      <c r="J40" s="117">
        <f t="shared" si="2"/>
        <v>11</v>
      </c>
    </row>
    <row r="41" spans="2:16" s="71" customFormat="1" outlineLevel="1">
      <c r="B41" s="480"/>
      <c r="C41" s="186" t="s">
        <v>1380</v>
      </c>
      <c r="D41" s="39">
        <v>2673</v>
      </c>
      <c r="E41" s="115">
        <f>D41/$D$6</f>
        <v>794.58977407847806</v>
      </c>
      <c r="F41" s="116">
        <v>46129</v>
      </c>
      <c r="G41" s="71" t="s">
        <v>116</v>
      </c>
      <c r="H41" s="71">
        <f>IF(OR(G41="Sin pagar",G41="Pagar"),(_xlfn.SINGLE(NETWORKDAYS($J$22,F41,FestivosPerú!$A$2:$A$31))),0)</f>
        <v>11</v>
      </c>
      <c r="I41" s="71">
        <f>NETWORKDAYS($J$22,F41,FestivosPerú!$A$2:$A$31)</f>
        <v>11</v>
      </c>
      <c r="J41" s="117">
        <f>H41</f>
        <v>11</v>
      </c>
    </row>
    <row r="42" spans="2:16" s="71" customFormat="1" outlineLevel="1">
      <c r="B42" s="254" t="s">
        <v>1434</v>
      </c>
      <c r="C42" s="186" t="s">
        <v>1313</v>
      </c>
      <c r="D42" s="39">
        <v>118</v>
      </c>
      <c r="E42" s="115">
        <f t="shared" si="1"/>
        <v>35.077288941736029</v>
      </c>
      <c r="F42" s="116">
        <v>46142</v>
      </c>
      <c r="G42" s="71" t="s">
        <v>116</v>
      </c>
      <c r="H42" s="71">
        <f>IF(OR(G42="Sin pagar",G42="Pagar"),(_xlfn.SINGLE(NETWORKDAYS($J$22,F42,FestivosPerú!$A$2:$A$31))),0)</f>
        <v>20</v>
      </c>
      <c r="I42" s="71">
        <f>NETWORKDAYS($J$22,F42,FestivosPerú!$A$2:$A$31)</f>
        <v>20</v>
      </c>
      <c r="J42" s="117">
        <f t="shared" si="2"/>
        <v>20</v>
      </c>
    </row>
    <row r="43" spans="2:16" s="71" customFormat="1" outlineLevel="1">
      <c r="B43" s="254" t="s">
        <v>1435</v>
      </c>
      <c r="C43" s="186" t="s">
        <v>1399</v>
      </c>
      <c r="D43" s="39">
        <v>433.83</v>
      </c>
      <c r="E43" s="115">
        <f t="shared" si="1"/>
        <v>128.96254458977407</v>
      </c>
      <c r="F43" s="116">
        <v>46142</v>
      </c>
      <c r="G43" s="71" t="s">
        <v>116</v>
      </c>
      <c r="H43" s="71">
        <f>IF(OR(G43="Sin pagar",G43="Pagar"),(_xlfn.SINGLE(NETWORKDAYS($J$22,F43,FestivosPerú!$A$2:$A$31))),0)</f>
        <v>20</v>
      </c>
      <c r="I43" s="71">
        <f>NETWORKDAYS($J$22,F43,FestivosPerú!$A$2:$A$31)</f>
        <v>20</v>
      </c>
      <c r="J43" s="117">
        <f t="shared" si="2"/>
        <v>20</v>
      </c>
    </row>
    <row r="44" spans="2:16" s="71" customFormat="1" ht="15" outlineLevel="1" thickBot="1">
      <c r="B44" s="254" t="s">
        <v>272</v>
      </c>
      <c r="C44" s="186" t="s">
        <v>1438</v>
      </c>
      <c r="D44" s="39">
        <v>35.200000000000003</v>
      </c>
      <c r="E44" s="115">
        <f>D44/$D$6</f>
        <v>10.463733650416172</v>
      </c>
      <c r="F44" s="116">
        <v>46142</v>
      </c>
      <c r="G44" s="71" t="s">
        <v>116</v>
      </c>
      <c r="H44" s="71">
        <f>IF(OR(G44="Sin pagar",G44="Pagar"),(_xlfn.SINGLE(NETWORKDAYS($J$22,F44,FestivosPerú!$A$2:$A$31))),0)</f>
        <v>20</v>
      </c>
      <c r="I44" s="71">
        <f>NETWORKDAYS($J$22,F44,FestivosPerú!$A$2:$A$31)</f>
        <v>20</v>
      </c>
      <c r="J44" s="117">
        <f>H44</f>
        <v>20</v>
      </c>
    </row>
    <row r="45" spans="2:16" s="71" customFormat="1" ht="15.75" customHeight="1" thickBot="1">
      <c r="C45" s="110" t="s">
        <v>127</v>
      </c>
      <c r="D45" s="160">
        <f>SUBTOTAL(9,D46:D47)</f>
        <v>446.87560000000002</v>
      </c>
      <c r="E45" s="111">
        <f>SUBTOTAL(9,E46:E47)</f>
        <v>132.84054696789536</v>
      </c>
      <c r="M45" s="122"/>
      <c r="N45" s="187"/>
      <c r="P45" s="187"/>
    </row>
    <row r="46" spans="2:16" s="71" customFormat="1" outlineLevel="1">
      <c r="B46" s="125"/>
      <c r="C46" s="84" t="s">
        <v>999</v>
      </c>
      <c r="D46" s="39">
        <v>341.75</v>
      </c>
      <c r="E46" s="115">
        <f>D46/$D$6</f>
        <v>101.59036860879905</v>
      </c>
      <c r="F46" s="116">
        <v>46142</v>
      </c>
      <c r="G46" s="71" t="s">
        <v>116</v>
      </c>
      <c r="H46" s="71">
        <f>IF(OR(G46="Sin pagar",G46="Pagar"),(_xlfn.SINGLE(NETWORKDAYS($J$22,F46,FestivosPerú!$A$2:$A$31))),0)</f>
        <v>20</v>
      </c>
      <c r="I46" s="71">
        <f>NETWORKDAYS($J$22,F46,FestivosPerú!$A$2:$A$31)</f>
        <v>20</v>
      </c>
      <c r="J46" s="117">
        <f>H46</f>
        <v>20</v>
      </c>
      <c r="K46" s="120"/>
      <c r="L46" s="120"/>
    </row>
    <row r="47" spans="2:16" s="71" customFormat="1" ht="15" outlineLevel="1" thickBot="1">
      <c r="B47" s="125"/>
      <c r="C47" s="84" t="s">
        <v>1000</v>
      </c>
      <c r="D47" s="39">
        <v>105.12560000000001</v>
      </c>
      <c r="E47" s="115">
        <f>D47/$D$6</f>
        <v>31.250178359096317</v>
      </c>
      <c r="F47" s="116">
        <v>46142</v>
      </c>
      <c r="G47" s="71" t="s">
        <v>116</v>
      </c>
      <c r="H47" s="71">
        <f>IF(OR(G47="Sin pagar",G47="Pagar"),(_xlfn.SINGLE(NETWORKDAYS($J$22,F47,FestivosPerú!$A$2:$A$31))),0)</f>
        <v>20</v>
      </c>
      <c r="I47" s="71">
        <f>NETWORKDAYS($J$22,F47,FestivosPerú!$A$2:$A$31)</f>
        <v>20</v>
      </c>
      <c r="J47" s="117">
        <f>H47</f>
        <v>20</v>
      </c>
      <c r="K47" s="120"/>
      <c r="L47" s="120"/>
    </row>
    <row r="48" spans="2:16" s="71" customFormat="1" ht="16.2" thickBot="1">
      <c r="C48" s="110" t="s">
        <v>539</v>
      </c>
      <c r="D48" s="160">
        <f>SUBTOTAL(9,D49:D57)</f>
        <v>90546.428884348978</v>
      </c>
      <c r="E48" s="310">
        <f>SUBTOTAL(9,E49:E57)</f>
        <v>26916.298717107307</v>
      </c>
      <c r="J48" s="301"/>
      <c r="K48" s="89"/>
      <c r="L48" s="124"/>
      <c r="N48" s="122"/>
      <c r="O48" s="101"/>
    </row>
    <row r="49" spans="1:18" s="71" customFormat="1" outlineLevel="1">
      <c r="B49" s="183" t="s">
        <v>33</v>
      </c>
      <c r="C49" s="186" t="s">
        <v>146</v>
      </c>
      <c r="D49" s="39">
        <v>14082.653942999999</v>
      </c>
      <c r="E49" s="115">
        <f t="shared" ref="E49:E54" si="3">D49/$D$6</f>
        <v>4186.2823849583829</v>
      </c>
      <c r="F49" s="112">
        <v>46140</v>
      </c>
      <c r="G49" s="71" t="s">
        <v>116</v>
      </c>
      <c r="H49" s="71">
        <f>IF(OR(G49="Sin pagar",G49="Pagar"),(_xlfn.SINGLE(NETWORKDAYS($J$22,F49,FestivosPerú!$A$2:$A$31))),0)</f>
        <v>18</v>
      </c>
      <c r="I49" s="71">
        <f>NETWORKDAYS($J$22,F49,FestivosPerú!$A$2:$A$31)</f>
        <v>18</v>
      </c>
      <c r="J49" s="117">
        <f t="shared" ref="J49:J54" si="4">H49</f>
        <v>18</v>
      </c>
      <c r="K49" s="120"/>
      <c r="L49" s="120"/>
      <c r="M49" s="253"/>
      <c r="N49" s="122"/>
      <c r="P49" s="39"/>
      <c r="Q49" s="253"/>
      <c r="R49" s="374"/>
    </row>
    <row r="50" spans="1:18" s="71" customFormat="1" outlineLevel="1">
      <c r="B50" s="183" t="s">
        <v>33</v>
      </c>
      <c r="C50" s="186" t="s">
        <v>176</v>
      </c>
      <c r="D50" s="39">
        <v>10748.462359666666</v>
      </c>
      <c r="E50" s="115">
        <f t="shared" si="3"/>
        <v>3195.1433887237417</v>
      </c>
      <c r="F50" s="112">
        <v>46140</v>
      </c>
      <c r="G50" s="71" t="s">
        <v>116</v>
      </c>
      <c r="H50" s="71">
        <f>IF(OR(G50="Sin pagar",G50="Pagar"),(_xlfn.SINGLE(NETWORKDAYS($J$22,F50,FestivosPerú!$A$2:$A$31))),0)</f>
        <v>18</v>
      </c>
      <c r="I50" s="71">
        <f>NETWORKDAYS($J$22,F50,FestivosPerú!$A$2:$A$31)</f>
        <v>18</v>
      </c>
      <c r="J50" s="117">
        <f t="shared" si="4"/>
        <v>18</v>
      </c>
      <c r="K50" s="120"/>
      <c r="L50" s="120"/>
      <c r="M50" s="253"/>
      <c r="P50" s="39"/>
      <c r="Q50" s="253"/>
      <c r="R50" s="374"/>
    </row>
    <row r="51" spans="1:18" s="126" customFormat="1" outlineLevel="1">
      <c r="B51" s="183" t="s">
        <v>33</v>
      </c>
      <c r="C51" s="186" t="s">
        <v>275</v>
      </c>
      <c r="D51" s="39">
        <v>10974.702359666666</v>
      </c>
      <c r="E51" s="115">
        <f t="shared" si="3"/>
        <v>3262.3966586405072</v>
      </c>
      <c r="F51" s="112">
        <v>46140</v>
      </c>
      <c r="G51" s="71" t="s">
        <v>116</v>
      </c>
      <c r="H51" s="71">
        <f>IF(OR(G51="Sin pagar",G51="Pagar"),(_xlfn.SINGLE(NETWORKDAYS($J$22,F51,FestivosPerú!$A$2:$A$31))),0)</f>
        <v>18</v>
      </c>
      <c r="I51" s="71">
        <f>NETWORKDAYS($J$22,F51,FestivosPerú!$A$2:$A$31)</f>
        <v>18</v>
      </c>
      <c r="J51" s="117">
        <f t="shared" si="4"/>
        <v>18</v>
      </c>
      <c r="L51" s="127"/>
      <c r="M51" s="309"/>
      <c r="P51" s="39"/>
      <c r="Q51" s="253"/>
      <c r="R51" s="374"/>
    </row>
    <row r="52" spans="1:18" s="126" customFormat="1" outlineLevel="1">
      <c r="B52" s="183" t="s">
        <v>33</v>
      </c>
      <c r="C52" s="186" t="s">
        <v>409</v>
      </c>
      <c r="D52" s="39">
        <v>9933.7144589722211</v>
      </c>
      <c r="E52" s="115">
        <f t="shared" si="3"/>
        <v>2952.947223237878</v>
      </c>
      <c r="F52" s="112">
        <v>46140</v>
      </c>
      <c r="G52" s="71" t="s">
        <v>116</v>
      </c>
      <c r="H52" s="71">
        <f>IF(OR(G52="Sin pagar",G52="Pagar"),(_xlfn.SINGLE(NETWORKDAYS($J$22,F52,FestivosPerú!$A$2:$A$31))),0)</f>
        <v>18</v>
      </c>
      <c r="I52" s="71">
        <f>NETWORKDAYS($J$22,F52,FestivosPerú!$A$2:$A$31)</f>
        <v>18</v>
      </c>
      <c r="J52" s="117">
        <f t="shared" si="4"/>
        <v>18</v>
      </c>
      <c r="L52" s="127"/>
      <c r="M52" s="253"/>
      <c r="P52" s="39"/>
      <c r="Q52" s="253"/>
      <c r="R52" s="374"/>
    </row>
    <row r="53" spans="1:18" s="126" customFormat="1" outlineLevel="1">
      <c r="B53" s="183" t="s">
        <v>33</v>
      </c>
      <c r="C53" s="186" t="s">
        <v>671</v>
      </c>
      <c r="D53" s="39">
        <v>7368.0316666666668</v>
      </c>
      <c r="E53" s="115">
        <f t="shared" si="3"/>
        <v>2190.2591161315895</v>
      </c>
      <c r="F53" s="112">
        <v>46140</v>
      </c>
      <c r="G53" s="71" t="s">
        <v>116</v>
      </c>
      <c r="H53" s="71">
        <f>IF(OR(G53="Sin pagar",G53="Pagar"),(_xlfn.SINGLE(NETWORKDAYS($J$22,F53,FestivosPerú!$A$2:$A$31))),0)</f>
        <v>18</v>
      </c>
      <c r="I53" s="71">
        <f>NETWORKDAYS($J$22,F53,FestivosPerú!$A$2:$A$31)</f>
        <v>18</v>
      </c>
      <c r="J53" s="117">
        <f t="shared" si="4"/>
        <v>18</v>
      </c>
      <c r="L53" s="127"/>
      <c r="M53" s="253"/>
      <c r="P53" s="39"/>
      <c r="Q53" s="253"/>
      <c r="R53" s="374"/>
    </row>
    <row r="54" spans="1:18" s="126" customFormat="1" outlineLevel="1">
      <c r="B54" s="183" t="s">
        <v>33</v>
      </c>
      <c r="C54" s="186" t="s">
        <v>1292</v>
      </c>
      <c r="D54" s="39">
        <v>10102.965193</v>
      </c>
      <c r="E54" s="115">
        <f t="shared" si="3"/>
        <v>3003.2595698573127</v>
      </c>
      <c r="F54" s="112">
        <v>46140</v>
      </c>
      <c r="G54" s="71" t="s">
        <v>116</v>
      </c>
      <c r="H54" s="71">
        <f>IF(OR(G54="Sin pagar",G54="Pagar"),(_xlfn.SINGLE(NETWORKDAYS($J$22,F54,FestivosPerú!$A$2:$A$31))),0)</f>
        <v>18</v>
      </c>
      <c r="I54" s="71">
        <f>NETWORKDAYS($J$22,F54,FestivosPerú!$A$2:$A$31)</f>
        <v>18</v>
      </c>
      <c r="J54" s="117">
        <f t="shared" si="4"/>
        <v>18</v>
      </c>
      <c r="L54" s="127"/>
      <c r="M54" s="253"/>
      <c r="P54" s="39"/>
      <c r="Q54" s="253"/>
      <c r="R54" s="374"/>
    </row>
    <row r="55" spans="1:18" s="126" customFormat="1" outlineLevel="1">
      <c r="B55" s="183" t="s">
        <v>33</v>
      </c>
      <c r="C55" s="186" t="s">
        <v>1291</v>
      </c>
      <c r="D55" s="39">
        <v>19199.16215708046</v>
      </c>
      <c r="E55" s="115">
        <f>D55/$D$6</f>
        <v>5707.2420205352146</v>
      </c>
      <c r="F55" s="112">
        <v>46140</v>
      </c>
      <c r="G55" s="71" t="s">
        <v>116</v>
      </c>
      <c r="H55" s="71">
        <f>IF(OR(G55="Sin pagar",G55="Pagar"),(_xlfn.SINGLE(NETWORKDAYS($J$22,F55,FestivosPerú!$A$2:$A$31))),0)</f>
        <v>18</v>
      </c>
      <c r="I55" s="71">
        <f>NETWORKDAYS($J$22,F55,FestivosPerú!$A$2:$A$31)</f>
        <v>18</v>
      </c>
      <c r="J55" s="117">
        <f>H55</f>
        <v>18</v>
      </c>
      <c r="L55" s="127"/>
      <c r="M55" s="253"/>
      <c r="P55" s="39"/>
      <c r="Q55" s="253"/>
      <c r="R55" s="374"/>
    </row>
    <row r="56" spans="1:18" s="126" customFormat="1" outlineLevel="1">
      <c r="B56" s="183" t="s">
        <v>33</v>
      </c>
      <c r="C56" s="186" t="s">
        <v>1302</v>
      </c>
      <c r="D56" s="39">
        <v>5660.9878314814814</v>
      </c>
      <c r="E56" s="115">
        <f>D56/$D$6</f>
        <v>1682.8144564451491</v>
      </c>
      <c r="F56" s="112">
        <v>46140</v>
      </c>
      <c r="G56" s="71" t="s">
        <v>116</v>
      </c>
      <c r="H56" s="71">
        <f>IF(OR(G56="Sin pagar",G56="Pagar"),(_xlfn.SINGLE(NETWORKDAYS($J$22,F56,FestivosPerú!$A$2:$A$31))),0)</f>
        <v>18</v>
      </c>
      <c r="I56" s="71">
        <f>NETWORKDAYS($J$22,F56,FestivosPerú!$A$2:$A$31)</f>
        <v>18</v>
      </c>
      <c r="J56" s="117">
        <f>H56</f>
        <v>18</v>
      </c>
      <c r="L56" s="127"/>
      <c r="M56" s="253"/>
      <c r="P56" s="39"/>
      <c r="Q56" s="253"/>
      <c r="R56" s="374"/>
    </row>
    <row r="57" spans="1:18" s="126" customFormat="1" ht="15" outlineLevel="1" thickBot="1">
      <c r="B57" s="183" t="s">
        <v>33</v>
      </c>
      <c r="C57" s="186" t="s">
        <v>1303</v>
      </c>
      <c r="D57" s="39">
        <v>2475.7489148148147</v>
      </c>
      <c r="E57" s="115">
        <f>D57/$D$6</f>
        <v>735.95389857753116</v>
      </c>
      <c r="F57" s="112">
        <v>46140</v>
      </c>
      <c r="G57" s="71" t="s">
        <v>116</v>
      </c>
      <c r="H57" s="71">
        <f>IF(OR(G57="Sin pagar",G57="Pagar"),(_xlfn.SINGLE(NETWORKDAYS($J$22,F57,FestivosPerú!$A$2:$A$31))),0)</f>
        <v>18</v>
      </c>
      <c r="I57" s="71">
        <f>NETWORKDAYS($J$22,F57,FestivosPerú!$A$2:$A$31)</f>
        <v>18</v>
      </c>
      <c r="J57" s="117">
        <f>H57</f>
        <v>18</v>
      </c>
      <c r="L57" s="127"/>
      <c r="M57" s="253"/>
      <c r="P57" s="39"/>
      <c r="Q57" s="253"/>
      <c r="R57" s="374"/>
    </row>
    <row r="58" spans="1:18" s="71" customFormat="1" ht="16.2" thickBot="1">
      <c r="A58" s="126"/>
      <c r="B58" s="125"/>
      <c r="C58" s="110" t="s">
        <v>177</v>
      </c>
      <c r="D58" s="160">
        <f>SUBTOTAL(9,D59:D63)</f>
        <v>19297.519999999997</v>
      </c>
      <c r="E58" s="111">
        <f>SUBTOTAL(9,E59:E63)</f>
        <v>5736.4803804994053</v>
      </c>
      <c r="L58" s="89"/>
    </row>
    <row r="59" spans="1:18" s="71" customFormat="1" outlineLevel="1">
      <c r="A59" s="126"/>
      <c r="B59" s="128"/>
      <c r="C59" s="186" t="s">
        <v>1398</v>
      </c>
      <c r="D59" s="39">
        <v>52.05</v>
      </c>
      <c r="E59" s="115">
        <f>D59/$D$6</f>
        <v>15.472651605231867</v>
      </c>
      <c r="F59" s="384">
        <v>46142</v>
      </c>
      <c r="G59" s="342" t="s">
        <v>116</v>
      </c>
      <c r="H59" s="71">
        <f>IF(OR(G59="Sin pagar",G59="Pagar"),(_xlfn.SINGLE(NETWORKDAYS($J$22,F59,FestivosPerú!$A$2:$A$31))),0)</f>
        <v>20</v>
      </c>
      <c r="I59" s="71">
        <f>NETWORKDAYS($J$22,F59,FestivosPerú!$A$2:$A$31)</f>
        <v>20</v>
      </c>
      <c r="J59" s="117">
        <f>H59</f>
        <v>20</v>
      </c>
      <c r="L59" s="89"/>
      <c r="P59" s="372"/>
    </row>
    <row r="60" spans="1:18" s="71" customFormat="1" outlineLevel="1">
      <c r="A60" s="126"/>
      <c r="B60" s="128"/>
      <c r="C60" s="186" t="s">
        <v>945</v>
      </c>
      <c r="D60" s="39">
        <v>1979.45</v>
      </c>
      <c r="E60" s="115">
        <f>D60/$D$6</f>
        <v>588.42152199762188</v>
      </c>
      <c r="F60" s="384">
        <v>46142</v>
      </c>
      <c r="G60" s="342" t="s">
        <v>116</v>
      </c>
      <c r="H60" s="71">
        <f>IF(OR(G60="Sin pagar",G60="Pagar"),(_xlfn.SINGLE(NETWORKDAYS($J$22,F60,FestivosPerú!$A$2:$A$31))),0)</f>
        <v>20</v>
      </c>
      <c r="I60" s="71">
        <f>NETWORKDAYS($J$22,F60,FestivosPerú!$A$2:$A$31)</f>
        <v>20</v>
      </c>
      <c r="J60" s="117">
        <f>H60</f>
        <v>20</v>
      </c>
      <c r="L60" s="89"/>
    </row>
    <row r="61" spans="1:18" s="71" customFormat="1" outlineLevel="1">
      <c r="A61" s="126"/>
      <c r="B61" s="128"/>
      <c r="C61" s="186" t="s">
        <v>178</v>
      </c>
      <c r="D61" s="39">
        <v>9304.25</v>
      </c>
      <c r="E61" s="115">
        <f>D61/$D$6</f>
        <v>2765.8293697978597</v>
      </c>
      <c r="F61" s="384">
        <v>46142</v>
      </c>
      <c r="G61" s="342" t="s">
        <v>116</v>
      </c>
      <c r="H61" s="71">
        <f>IF(OR(G61="Sin pagar",G61="Pagar"),(_xlfn.SINGLE(NETWORKDAYS($J$22,F61,FestivosPerú!$A$2:$A$31))),0)</f>
        <v>20</v>
      </c>
      <c r="I61" s="71">
        <f>NETWORKDAYS($J$22,F61,FestivosPerú!$A$2:$A$31)</f>
        <v>20</v>
      </c>
      <c r="J61" s="117">
        <f>H61</f>
        <v>20</v>
      </c>
      <c r="L61" s="89"/>
    </row>
    <row r="62" spans="1:18" s="71" customFormat="1" outlineLevel="1">
      <c r="A62" s="126"/>
      <c r="B62" s="128"/>
      <c r="C62" s="186" t="s">
        <v>236</v>
      </c>
      <c r="D62" s="39">
        <v>7614.17</v>
      </c>
      <c r="E62" s="115">
        <f>D62/$D$6</f>
        <v>2263.4274673008326</v>
      </c>
      <c r="F62" s="384">
        <v>46142</v>
      </c>
      <c r="G62" s="342" t="s">
        <v>116</v>
      </c>
      <c r="H62" s="71">
        <f>IF(OR(G62="Sin pagar",G62="Pagar"),(_xlfn.SINGLE(NETWORKDAYS($J$22,F62,FestivosPerú!$A$2:$A$31))),0)</f>
        <v>20</v>
      </c>
      <c r="I62" s="71">
        <f>NETWORKDAYS($J$22,F62,FestivosPerú!$A$2:$A$31)</f>
        <v>20</v>
      </c>
      <c r="J62" s="117">
        <f>H62</f>
        <v>20</v>
      </c>
      <c r="L62" s="89"/>
    </row>
    <row r="63" spans="1:18" s="71" customFormat="1" ht="15" outlineLevel="1" thickBot="1">
      <c r="A63" s="126"/>
      <c r="B63" s="128"/>
      <c r="C63" s="186" t="s">
        <v>326</v>
      </c>
      <c r="D63" s="39">
        <v>347.6</v>
      </c>
      <c r="E63" s="115">
        <f>D63/$D$6</f>
        <v>103.3293697978597</v>
      </c>
      <c r="F63" s="384">
        <v>46142</v>
      </c>
      <c r="G63" s="342" t="s">
        <v>116</v>
      </c>
      <c r="H63" s="71">
        <f>IF(OR(G63="Sin pagar",G63="Pagar"),(_xlfn.SINGLE(NETWORKDAYS($J$22,F63,FestivosPerú!$A$2:$A$31))),0)</f>
        <v>20</v>
      </c>
      <c r="I63" s="71">
        <f>NETWORKDAYS($J$22,F63,FestivosPerú!$A$2:$A$31)</f>
        <v>20</v>
      </c>
      <c r="J63" s="117">
        <f>H63</f>
        <v>20</v>
      </c>
      <c r="L63" s="89"/>
    </row>
    <row r="64" spans="1:18" s="71" customFormat="1" ht="16.2" thickBot="1">
      <c r="A64" s="126"/>
      <c r="B64" s="125"/>
      <c r="C64" s="507" t="s">
        <v>129</v>
      </c>
      <c r="D64" s="508">
        <f>SUBTOTAL(9,D65:D68)</f>
        <v>671.32</v>
      </c>
      <c r="E64" s="111">
        <f>SUBTOTAL(9,E65:E68)</f>
        <v>199.56004756242572</v>
      </c>
      <c r="L64" s="89"/>
    </row>
    <row r="65" spans="1:16" s="71" customFormat="1" outlineLevel="1">
      <c r="A65" s="126"/>
      <c r="B65" s="128"/>
      <c r="C65" s="510" t="s">
        <v>1455</v>
      </c>
      <c r="D65" s="209">
        <v>124.49</v>
      </c>
      <c r="E65" s="115">
        <f>D65/$D$6</f>
        <v>37.006539833531512</v>
      </c>
      <c r="F65" s="384">
        <v>46120</v>
      </c>
      <c r="G65" s="342" t="s">
        <v>126</v>
      </c>
      <c r="H65" s="71">
        <f>IF(OR(G65="Sin pagar",G65="Pagar"),(_xlfn.SINGLE(NETWORKDAYS($J$22,F65,FestivosPerú!$A$2:$A$31))),0)</f>
        <v>0</v>
      </c>
      <c r="I65" s="71">
        <f>NETWORKDAYS($J$22,F65,FestivosPerú!$A$2:$A$31)</f>
        <v>4</v>
      </c>
      <c r="J65" s="117">
        <f>H65</f>
        <v>0</v>
      </c>
      <c r="L65" s="89"/>
    </row>
    <row r="66" spans="1:16" s="71" customFormat="1" outlineLevel="1">
      <c r="A66" s="126"/>
      <c r="B66" s="128"/>
      <c r="C66" s="510" t="s">
        <v>1456</v>
      </c>
      <c r="D66" s="209">
        <v>66</v>
      </c>
      <c r="E66" s="115">
        <f>D66/$D$6</f>
        <v>19.619500594530322</v>
      </c>
      <c r="F66" s="384">
        <v>46120</v>
      </c>
      <c r="G66" s="342" t="s">
        <v>126</v>
      </c>
      <c r="H66" s="71">
        <f>IF(OR(G66="Sin pagar",G66="Pagar"),(_xlfn.SINGLE(NETWORKDAYS($J$22,F66,FestivosPerú!$A$2:$A$31))),0)</f>
        <v>0</v>
      </c>
      <c r="I66" s="71">
        <f>NETWORKDAYS($J$22,F66,FestivosPerú!$A$2:$A$31)</f>
        <v>4</v>
      </c>
      <c r="J66" s="117">
        <f>H66</f>
        <v>0</v>
      </c>
      <c r="L66" s="89"/>
    </row>
    <row r="67" spans="1:16" s="71" customFormat="1" outlineLevel="1">
      <c r="A67" s="126"/>
      <c r="B67" s="128"/>
      <c r="C67" s="519" t="s">
        <v>1459</v>
      </c>
      <c r="D67" s="209">
        <v>295.22000000000003</v>
      </c>
      <c r="E67" s="115">
        <f>D67/$D$6</f>
        <v>87.758620689655189</v>
      </c>
      <c r="F67" s="384">
        <v>46121</v>
      </c>
      <c r="G67" s="342" t="s">
        <v>126</v>
      </c>
      <c r="H67" s="71">
        <f>IF(OR(G67="Sin pagar",G67="Pagar"),(_xlfn.SINGLE(NETWORKDAYS($J$22,F67,FestivosPerú!$A$2:$A$31))),0)</f>
        <v>0</v>
      </c>
      <c r="I67" s="71">
        <f>NETWORKDAYS($J$22,F67,FestivosPerú!$A$2:$A$31)</f>
        <v>5</v>
      </c>
      <c r="J67" s="117">
        <f>H67</f>
        <v>0</v>
      </c>
      <c r="L67" s="89"/>
    </row>
    <row r="68" spans="1:16" s="71" customFormat="1" ht="15" outlineLevel="1" thickBot="1">
      <c r="A68" s="126"/>
      <c r="B68" s="128"/>
      <c r="C68" s="502" t="s">
        <v>1396</v>
      </c>
      <c r="D68" s="209">
        <v>185.61</v>
      </c>
      <c r="E68" s="504">
        <f>D68/$D$6</f>
        <v>55.175386444708685</v>
      </c>
      <c r="F68" s="384">
        <v>46142</v>
      </c>
      <c r="G68" s="342" t="s">
        <v>116</v>
      </c>
      <c r="H68" s="71">
        <f>IF(OR(G68="Sin pagar",G68="Pagar"),(_xlfn.SINGLE(NETWORKDAYS($J$22,F68,FestivosPerú!$A$2:$A$31))),0)</f>
        <v>20</v>
      </c>
      <c r="I68" s="71">
        <f>NETWORKDAYS($J$22,F68,FestivosPerú!$A$2:$A$31)</f>
        <v>20</v>
      </c>
      <c r="J68" s="117">
        <f>H68</f>
        <v>20</v>
      </c>
      <c r="L68" s="89"/>
    </row>
    <row r="69" spans="1:16" s="71" customFormat="1" ht="15.75" customHeight="1" thickBot="1">
      <c r="C69" s="311" t="s">
        <v>565</v>
      </c>
      <c r="D69" s="312">
        <f>SUBTOTAL(9,D70:D71)</f>
        <v>232.82150000000001</v>
      </c>
      <c r="E69" s="313">
        <f>SUBTOTAL(9,E70:E71)</f>
        <v>69.209720570749113</v>
      </c>
      <c r="M69" s="122"/>
      <c r="N69" s="187"/>
      <c r="P69" s="187"/>
    </row>
    <row r="70" spans="1:16" s="71" customFormat="1" outlineLevel="1">
      <c r="A70" s="126"/>
      <c r="B70" s="128"/>
      <c r="C70" s="509" t="s">
        <v>999</v>
      </c>
      <c r="D70" s="209">
        <v>210.81</v>
      </c>
      <c r="E70" s="115">
        <f>D70/$D$6</f>
        <v>62.666468489892985</v>
      </c>
      <c r="F70" s="384">
        <v>46142</v>
      </c>
      <c r="G70" s="342" t="s">
        <v>116</v>
      </c>
      <c r="H70" s="71">
        <f>IF(OR(G70="Sin pagar",G70="Pagar"),(_xlfn.SINGLE(NETWORKDAYS($J$22,F70,FestivosPerú!$A$2:$A$31))),0)</f>
        <v>20</v>
      </c>
      <c r="I70" s="71">
        <f>NETWORKDAYS($J$22,F70,FestivosPerú!$A$2:$A$31)</f>
        <v>20</v>
      </c>
      <c r="J70" s="117">
        <f>H70</f>
        <v>20</v>
      </c>
      <c r="L70" s="89"/>
    </row>
    <row r="71" spans="1:16" s="71" customFormat="1" ht="15" outlineLevel="1" thickBot="1">
      <c r="A71" s="126"/>
      <c r="B71" s="128"/>
      <c r="C71" s="509" t="s">
        <v>1001</v>
      </c>
      <c r="D71" s="209">
        <v>22.011499999999998</v>
      </c>
      <c r="E71" s="115">
        <f>D71/$D$6</f>
        <v>6.5432520808561234</v>
      </c>
      <c r="F71" s="384">
        <v>46142</v>
      </c>
      <c r="G71" s="342" t="s">
        <v>116</v>
      </c>
      <c r="H71" s="71">
        <f>IF(OR(G71="Sin pagar",G71="Pagar"),(_xlfn.SINGLE(NETWORKDAYS($J$22,F71,FestivosPerú!$A$2:$A$31))),0)</f>
        <v>20</v>
      </c>
      <c r="I71" s="71">
        <f>NETWORKDAYS($J$22,F71,FestivosPerú!$A$2:$A$31)</f>
        <v>20</v>
      </c>
      <c r="J71" s="117">
        <f>H71</f>
        <v>20</v>
      </c>
      <c r="L71" s="89"/>
    </row>
    <row r="72" spans="1:16" s="71" customFormat="1" ht="16.2" thickBot="1">
      <c r="A72" s="126"/>
      <c r="B72" s="125"/>
      <c r="C72" s="311" t="s">
        <v>124</v>
      </c>
      <c r="D72" s="312">
        <f>SUBTOTAL(9,D73:D76)</f>
        <v>37147.57</v>
      </c>
      <c r="E72" s="313">
        <f>SUBTOTAL(9,E73:E76)</f>
        <v>11042.678359096315</v>
      </c>
      <c r="J72" s="117"/>
      <c r="L72" s="89"/>
    </row>
    <row r="73" spans="1:16" s="71" customFormat="1" outlineLevel="1">
      <c r="A73" s="86"/>
      <c r="B73" s="83">
        <v>2610270608</v>
      </c>
      <c r="C73" s="513" t="s">
        <v>1458</v>
      </c>
      <c r="D73" s="514">
        <f>6893.15+719.3</f>
        <v>7612.45</v>
      </c>
      <c r="E73" s="232">
        <f>D73/$D$6</f>
        <v>2262.9161712247324</v>
      </c>
      <c r="F73" s="116">
        <v>46121</v>
      </c>
      <c r="G73" s="71" t="s">
        <v>126</v>
      </c>
      <c r="H73" s="71">
        <f>IF(OR(G73="Sin pagar",G73="Pagar"),(_xlfn.SINGLE(NETWORKDAYS($J$22,F73,FestivosPerú!$A$2:$A$31))),0)</f>
        <v>0</v>
      </c>
      <c r="I73" s="71">
        <f>NETWORKDAYS($J$22,F73,FestivosPerú!$A$2:$A$31)</f>
        <v>5</v>
      </c>
      <c r="J73" s="117">
        <f t="shared" ref="J73:J79" si="5">H73</f>
        <v>0</v>
      </c>
      <c r="K73" s="89"/>
      <c r="L73" s="89"/>
      <c r="M73" s="532" t="s">
        <v>883</v>
      </c>
      <c r="N73" s="39"/>
      <c r="O73" s="374"/>
      <c r="P73" s="187"/>
    </row>
    <row r="74" spans="1:16" s="71" customFormat="1" outlineLevel="1">
      <c r="A74" s="86"/>
      <c r="B74" s="83">
        <v>2223026049</v>
      </c>
      <c r="C74" s="172" t="s">
        <v>572</v>
      </c>
      <c r="D74" s="514">
        <f>7837.58+1598.36</f>
        <v>9435.94</v>
      </c>
      <c r="E74" s="232">
        <f>D74/$D$6</f>
        <v>2804.9762187871584</v>
      </c>
      <c r="F74" s="116">
        <v>46121</v>
      </c>
      <c r="G74" s="71" t="s">
        <v>126</v>
      </c>
      <c r="H74" s="71">
        <f>IF(OR(G74="Sin pagar",G74="Pagar"),(_xlfn.SINGLE(NETWORKDAYS($J$22,F74,FestivosPerú!$A$2:$A$31))),0)</f>
        <v>0</v>
      </c>
      <c r="I74" s="71">
        <f>NETWORKDAYS($J$22,F74,FestivosPerú!$A$2:$A$31)</f>
        <v>5</v>
      </c>
      <c r="J74" s="117">
        <f t="shared" si="5"/>
        <v>0</v>
      </c>
      <c r="K74" s="89"/>
      <c r="L74" s="89"/>
      <c r="M74" s="532"/>
      <c r="N74" s="39"/>
      <c r="O74" s="374"/>
      <c r="P74" s="187"/>
    </row>
    <row r="75" spans="1:16" s="71" customFormat="1" outlineLevel="1">
      <c r="A75" s="86"/>
      <c r="B75" s="83">
        <v>2518128887</v>
      </c>
      <c r="C75" s="172" t="s">
        <v>573</v>
      </c>
      <c r="D75" s="514">
        <f>12220.06+2306.15</f>
        <v>14526.21</v>
      </c>
      <c r="E75" s="232">
        <f>D75/$D$6</f>
        <v>4318.1361474435198</v>
      </c>
      <c r="F75" s="116">
        <v>46121</v>
      </c>
      <c r="G75" s="71" t="s">
        <v>126</v>
      </c>
      <c r="H75" s="71">
        <f>IF(OR(G75="Sin pagar",G75="Pagar"),(_xlfn.SINGLE(NETWORKDAYS($J$22,F75,FestivosPerú!$A$2:$A$31))),0)</f>
        <v>0</v>
      </c>
      <c r="I75" s="71">
        <f>NETWORKDAYS($J$22,F75,FestivosPerú!$A$2:$A$31)</f>
        <v>5</v>
      </c>
      <c r="J75" s="117">
        <f t="shared" si="5"/>
        <v>0</v>
      </c>
      <c r="K75" s="89"/>
      <c r="L75" s="89"/>
      <c r="M75" s="532"/>
      <c r="N75" s="39"/>
      <c r="O75" s="374"/>
      <c r="P75" s="187"/>
    </row>
    <row r="76" spans="1:16" s="71" customFormat="1" ht="15" outlineLevel="1" thickBot="1">
      <c r="A76" s="86"/>
      <c r="B76" s="83">
        <v>2315175654</v>
      </c>
      <c r="C76" s="172" t="s">
        <v>705</v>
      </c>
      <c r="D76" s="514">
        <f>4624.22+948.75</f>
        <v>5572.97</v>
      </c>
      <c r="E76" s="232">
        <f>D76/$D$6</f>
        <v>1656.6498216409038</v>
      </c>
      <c r="F76" s="116">
        <v>46121</v>
      </c>
      <c r="G76" s="71" t="s">
        <v>126</v>
      </c>
      <c r="H76" s="71">
        <f>IF(OR(G76="Sin pagar",G76="Pagar"),(_xlfn.SINGLE(NETWORKDAYS($J$22,F76,FestivosPerú!$A$2:$A$31))),0)</f>
        <v>0</v>
      </c>
      <c r="I76" s="71">
        <f>NETWORKDAYS($J$22,F76,FestivosPerú!$A$2:$A$31)</f>
        <v>5</v>
      </c>
      <c r="J76" s="117">
        <f t="shared" si="5"/>
        <v>0</v>
      </c>
      <c r="K76" s="89"/>
      <c r="L76" s="89"/>
      <c r="M76" s="532"/>
      <c r="N76" s="39"/>
      <c r="O76" s="374"/>
      <c r="P76" s="187"/>
    </row>
    <row r="77" spans="1:16" s="71" customFormat="1" ht="16.2" thickBot="1">
      <c r="A77" s="126"/>
      <c r="B77" s="125"/>
      <c r="C77" s="311" t="s">
        <v>125</v>
      </c>
      <c r="D77" s="312">
        <f>SUBTOTAL(9,D78:D79)</f>
        <v>200107.59999999998</v>
      </c>
      <c r="E77" s="313">
        <f>SUBTOTAL(9,E78:E79)</f>
        <v>59485.017835909632</v>
      </c>
      <c r="J77" s="117">
        <f t="shared" si="5"/>
        <v>0</v>
      </c>
      <c r="L77" s="89"/>
    </row>
    <row r="78" spans="1:16" s="71" customFormat="1" ht="16.5" customHeight="1" outlineLevel="1">
      <c r="A78" s="126"/>
      <c r="B78" s="435"/>
      <c r="C78" s="186" t="s">
        <v>456</v>
      </c>
      <c r="D78" s="503">
        <f>78665*1.4</f>
        <v>110131</v>
      </c>
      <c r="E78" s="115">
        <f>D78/$D$6</f>
        <v>32738.109393579074</v>
      </c>
      <c r="F78" s="471">
        <v>46128</v>
      </c>
      <c r="G78" s="342" t="s">
        <v>116</v>
      </c>
      <c r="H78" s="71">
        <f>IF(OR(G78="Sin pagar",G78="Pagar"),(_xlfn.SINGLE(NETWORKDAYS($J$22,F78,FestivosPerú!$A$2:$A$31))),0)</f>
        <v>10</v>
      </c>
      <c r="I78" s="71">
        <f>NETWORKDAYS($J$22,F78,FestivosPerú!$A$2:$A$31)</f>
        <v>10</v>
      </c>
      <c r="J78" s="117">
        <f t="shared" si="5"/>
        <v>10</v>
      </c>
      <c r="L78" s="89"/>
      <c r="M78" s="121" t="s">
        <v>703</v>
      </c>
    </row>
    <row r="79" spans="1:16" s="71" customFormat="1" ht="15" outlineLevel="1" thickBot="1">
      <c r="B79" s="440" t="s">
        <v>1060</v>
      </c>
      <c r="C79" s="491" t="s">
        <v>1372</v>
      </c>
      <c r="D79" s="503">
        <f>64269*1.4</f>
        <v>89976.599999999991</v>
      </c>
      <c r="E79" s="115">
        <f>D79/$D$6</f>
        <v>26746.908442330558</v>
      </c>
      <c r="F79" s="471">
        <v>46128</v>
      </c>
      <c r="G79" s="342" t="s">
        <v>116</v>
      </c>
      <c r="H79" s="71">
        <f>IF(OR(G79="Sin pagar",G79="Pagar"),(_xlfn.SINGLE(NETWORKDAYS($J$22,F79,FestivosPerú!$A$2:$A$31))),0)</f>
        <v>10</v>
      </c>
      <c r="I79" s="71">
        <f>NETWORKDAYS($J$22,F79,FestivosPerú!$A$2:$A$31)</f>
        <v>10</v>
      </c>
      <c r="J79" s="117">
        <f t="shared" si="5"/>
        <v>10</v>
      </c>
      <c r="K79" s="120"/>
      <c r="L79" s="94"/>
      <c r="M79" s="121" t="s">
        <v>724</v>
      </c>
      <c r="N79" s="118"/>
    </row>
    <row r="80" spans="1:16" s="71" customFormat="1" ht="15" customHeight="1" thickBot="1">
      <c r="C80" s="311" t="s">
        <v>162</v>
      </c>
      <c r="D80" s="312">
        <f>SUBTOTAL(9,D81:D85)</f>
        <v>17556.129999999997</v>
      </c>
      <c r="E80" s="313">
        <f>SUBTOTAL(9,E81:E85)</f>
        <v>5218.8258026159338</v>
      </c>
      <c r="J80" s="117"/>
      <c r="M80" s="122"/>
      <c r="N80" s="187"/>
      <c r="P80" s="187"/>
    </row>
    <row r="81" spans="2:15" s="71" customFormat="1" outlineLevel="1">
      <c r="B81" s="343" t="s">
        <v>1401</v>
      </c>
      <c r="C81" s="186" t="s">
        <v>957</v>
      </c>
      <c r="D81" s="39">
        <v>7087.93</v>
      </c>
      <c r="E81" s="115">
        <f>D81/$D$6</f>
        <v>2106.9946492271106</v>
      </c>
      <c r="F81" s="384">
        <v>46142</v>
      </c>
      <c r="G81" s="342" t="s">
        <v>116</v>
      </c>
      <c r="H81" s="71">
        <f>IF(OR(G81="Sin pagar",G81="Pagar"),(_xlfn.SINGLE(NETWORKDAYS($J$22,F81,FestivosPerú!$A$2:$A$31))),0)</f>
        <v>20</v>
      </c>
      <c r="I81" s="71">
        <f>NETWORKDAYS($J$22,F81,FestivosPerú!$A$2:$A$31)</f>
        <v>20</v>
      </c>
      <c r="J81" s="117">
        <f>H81</f>
        <v>20</v>
      </c>
      <c r="K81" s="120"/>
      <c r="L81" s="94"/>
      <c r="M81" s="300"/>
      <c r="N81" s="118"/>
    </row>
    <row r="82" spans="2:15" s="71" customFormat="1" outlineLevel="1">
      <c r="B82" s="425" t="s">
        <v>272</v>
      </c>
      <c r="C82" s="84" t="s">
        <v>1400</v>
      </c>
      <c r="D82" s="39">
        <v>1013.28</v>
      </c>
      <c r="E82" s="115">
        <f>D82/$D$6</f>
        <v>301.2128418549346</v>
      </c>
      <c r="F82" s="384">
        <v>46142</v>
      </c>
      <c r="G82" s="342" t="s">
        <v>116</v>
      </c>
      <c r="H82" s="71">
        <f>IF(OR(G82="Sin pagar",G82="Pagar"),(_xlfn.SINGLE(NETWORKDAYS($J$22,F82,FestivosPerú!$A$2:$A$31))),0)</f>
        <v>20</v>
      </c>
      <c r="I82" s="71">
        <f>NETWORKDAYS($J$22,F82,FestivosPerú!$A$2:$A$31)</f>
        <v>20</v>
      </c>
      <c r="J82" s="117">
        <f>H82</f>
        <v>20</v>
      </c>
      <c r="K82" s="120"/>
      <c r="L82" s="94"/>
      <c r="M82" s="300"/>
      <c r="N82" s="118"/>
    </row>
    <row r="83" spans="2:15" s="342" customFormat="1" outlineLevel="1">
      <c r="B83" s="356" t="s">
        <v>1417</v>
      </c>
      <c r="C83" s="186" t="s">
        <v>1416</v>
      </c>
      <c r="D83" s="39">
        <v>259.60000000000002</v>
      </c>
      <c r="E83" s="115">
        <f>D83/$D$6</f>
        <v>77.170035671819278</v>
      </c>
      <c r="F83" s="384">
        <v>46142</v>
      </c>
      <c r="G83" s="342" t="s">
        <v>116</v>
      </c>
      <c r="H83" s="71">
        <f>IF(OR(G83="Sin pagar",G83="Pagar"),(_xlfn.SINGLE(NETWORKDAYS($J$22,F83,FestivosPerú!$A$2:$A$31))),0)</f>
        <v>20</v>
      </c>
      <c r="I83" s="71">
        <f>NETWORKDAYS($J$22,F83,FestivosPerú!$A$2:$A$31)</f>
        <v>20</v>
      </c>
      <c r="J83" s="117">
        <f>H83</f>
        <v>20</v>
      </c>
      <c r="K83" s="120"/>
      <c r="L83" s="357"/>
      <c r="M83" s="385"/>
      <c r="N83" s="359"/>
    </row>
    <row r="84" spans="2:15" s="71" customFormat="1" outlineLevel="1">
      <c r="B84" s="356" t="s">
        <v>1414</v>
      </c>
      <c r="C84" s="186" t="s">
        <v>1420</v>
      </c>
      <c r="D84" s="39">
        <v>316.32</v>
      </c>
      <c r="E84" s="115">
        <f>D84/$D$6</f>
        <v>94.030915576694412</v>
      </c>
      <c r="F84" s="384">
        <v>46142</v>
      </c>
      <c r="G84" s="342" t="s">
        <v>116</v>
      </c>
      <c r="H84" s="71">
        <f>IF(OR(G84="Sin pagar",G84="Pagar"),(_xlfn.SINGLE(NETWORKDAYS($J$22,F84,FestivosPerú!$A$2:$A$31))),0)</f>
        <v>20</v>
      </c>
      <c r="I84" s="71">
        <f>NETWORKDAYS($J$22,F84,FestivosPerú!$A$2:$A$31)</f>
        <v>20</v>
      </c>
      <c r="J84" s="117">
        <f>H84</f>
        <v>20</v>
      </c>
      <c r="K84" s="120"/>
      <c r="L84" s="94"/>
      <c r="M84" s="300"/>
      <c r="N84" s="118"/>
    </row>
    <row r="85" spans="2:15" s="71" customFormat="1" ht="15" outlineLevel="1" thickBot="1">
      <c r="B85" s="343" t="s">
        <v>272</v>
      </c>
      <c r="C85" s="186" t="s">
        <v>1421</v>
      </c>
      <c r="D85" s="39">
        <v>8879</v>
      </c>
      <c r="E85" s="115">
        <f>D85/$D$6</f>
        <v>2639.4173602853748</v>
      </c>
      <c r="F85" s="384">
        <v>46142</v>
      </c>
      <c r="G85" s="342" t="s">
        <v>116</v>
      </c>
      <c r="H85" s="71">
        <f>IF(OR(G85="Sin pagar",G85="Pagar"),(_xlfn.SINGLE(NETWORKDAYS($J$22,F85,FestivosPerú!$A$2:$A$31))),0)</f>
        <v>20</v>
      </c>
      <c r="I85" s="71">
        <f>NETWORKDAYS($J$22,F85,FestivosPerú!$A$2:$A$31)</f>
        <v>20</v>
      </c>
      <c r="J85" s="117">
        <f>H85</f>
        <v>20</v>
      </c>
      <c r="K85" s="120"/>
      <c r="L85" s="94"/>
      <c r="M85" s="300"/>
      <c r="N85" s="118"/>
    </row>
    <row r="86" spans="2:15" s="71" customFormat="1" ht="16.2" thickBot="1">
      <c r="C86" s="311" t="s">
        <v>507</v>
      </c>
      <c r="D86" s="312">
        <f>SUBTOTAL(9,D87:D105)</f>
        <v>323062.82000000007</v>
      </c>
      <c r="E86" s="313">
        <f>SUBTOTAL(9,E87:E105)</f>
        <v>96035.32104637337</v>
      </c>
      <c r="J86" s="301"/>
      <c r="K86" s="89"/>
      <c r="L86" s="124"/>
      <c r="N86" s="122"/>
      <c r="O86" s="101"/>
    </row>
    <row r="87" spans="2:15" s="126" customFormat="1" outlineLevel="1">
      <c r="B87" s="125"/>
      <c r="C87" s="186" t="s">
        <v>765</v>
      </c>
      <c r="D87" s="39">
        <v>10235.43</v>
      </c>
      <c r="E87" s="115">
        <f t="shared" ref="E87:E104" si="6">D87/$D$6</f>
        <v>3042.6367419738408</v>
      </c>
      <c r="F87" s="471">
        <v>46140</v>
      </c>
      <c r="G87" s="342" t="s">
        <v>116</v>
      </c>
      <c r="H87" s="71">
        <f>IF(OR(G87="Sin pagar",G87="Pagar"),(_xlfn.SINGLE(NETWORKDAYS($J$22,F87,FestivosPerú!$A$2:$A$31))),0)</f>
        <v>18</v>
      </c>
      <c r="I87" s="71">
        <f>NETWORKDAYS($J$22,F87,FestivosPerú!$A$2:$A$31)</f>
        <v>18</v>
      </c>
      <c r="J87" s="117">
        <f t="shared" ref="J87:J105" si="7">H87</f>
        <v>18</v>
      </c>
      <c r="L87" s="127"/>
      <c r="M87" s="253"/>
    </row>
    <row r="88" spans="2:15" s="126" customFormat="1" outlineLevel="1">
      <c r="B88" s="125"/>
      <c r="C88" s="186" t="s">
        <v>766</v>
      </c>
      <c r="D88" s="39">
        <v>9635.7000000000007</v>
      </c>
      <c r="E88" s="115">
        <f t="shared" si="6"/>
        <v>2864.3579072532702</v>
      </c>
      <c r="F88" s="471">
        <v>46140</v>
      </c>
      <c r="G88" s="342" t="s">
        <v>116</v>
      </c>
      <c r="H88" s="71">
        <f>IF(OR(G88="Sin pagar",G88="Pagar"),(_xlfn.SINGLE(NETWORKDAYS($J$22,F88,FestivosPerú!$A$2:$A$31))),0)</f>
        <v>18</v>
      </c>
      <c r="I88" s="71">
        <f>NETWORKDAYS($J$22,F88,FestivosPerú!$A$2:$A$31)</f>
        <v>18</v>
      </c>
      <c r="J88" s="117">
        <f t="shared" si="7"/>
        <v>18</v>
      </c>
      <c r="L88" s="127"/>
      <c r="M88" s="253"/>
    </row>
    <row r="89" spans="2:15" s="126" customFormat="1" outlineLevel="1">
      <c r="B89" s="125"/>
      <c r="C89" s="491" t="s">
        <v>1299</v>
      </c>
      <c r="D89" s="39">
        <v>6743.8</v>
      </c>
      <c r="E89" s="115">
        <f>D89/$D$6</f>
        <v>2004.6967895362666</v>
      </c>
      <c r="F89" s="471">
        <v>46140</v>
      </c>
      <c r="G89" s="342" t="s">
        <v>116</v>
      </c>
      <c r="H89" s="71">
        <f>IF(OR(G89="Sin pagar",G89="Pagar"),(_xlfn.SINGLE(NETWORKDAYS($J$22,F89,FestivosPerú!$A$2:$A$31))),0)</f>
        <v>18</v>
      </c>
      <c r="I89" s="71">
        <f>NETWORKDAYS($J$22,F89,FestivosPerú!$A$2:$A$31)</f>
        <v>18</v>
      </c>
      <c r="J89" s="117">
        <f>H89</f>
        <v>18</v>
      </c>
      <c r="L89" s="127"/>
      <c r="M89" s="253"/>
    </row>
    <row r="90" spans="2:15" s="126" customFormat="1" outlineLevel="1">
      <c r="B90" s="125"/>
      <c r="C90" s="491" t="s">
        <v>1300</v>
      </c>
      <c r="D90" s="39">
        <v>18905.12</v>
      </c>
      <c r="E90" s="115">
        <f>D90/$D$6</f>
        <v>5619.8335315101067</v>
      </c>
      <c r="F90" s="471">
        <v>46140</v>
      </c>
      <c r="G90" s="342" t="s">
        <v>116</v>
      </c>
      <c r="H90" s="71">
        <f>IF(OR(G90="Sin pagar",G90="Pagar"),(_xlfn.SINGLE(NETWORKDAYS($J$22,F90,FestivosPerú!$A$2:$A$31))),0)</f>
        <v>18</v>
      </c>
      <c r="I90" s="71">
        <f>NETWORKDAYS($J$22,F90,FestivosPerú!$A$2:$A$31)</f>
        <v>18</v>
      </c>
      <c r="J90" s="117">
        <f>H90</f>
        <v>18</v>
      </c>
      <c r="L90" s="127"/>
      <c r="M90" s="253"/>
    </row>
    <row r="91" spans="2:15" s="126" customFormat="1" outlineLevel="1">
      <c r="B91" s="125"/>
      <c r="C91" s="491" t="s">
        <v>1301</v>
      </c>
      <c r="D91" s="39">
        <v>8061.88</v>
      </c>
      <c r="E91" s="115">
        <f t="shared" si="6"/>
        <v>2396.5160523186682</v>
      </c>
      <c r="F91" s="471">
        <v>46140</v>
      </c>
      <c r="G91" s="342" t="s">
        <v>116</v>
      </c>
      <c r="H91" s="71">
        <f>IF(OR(G91="Sin pagar",G91="Pagar"),(_xlfn.SINGLE(NETWORKDAYS($J$22,F91,FestivosPerú!$A$2:$A$31))),0)</f>
        <v>18</v>
      </c>
      <c r="I91" s="71">
        <f>NETWORKDAYS($J$22,F91,FestivosPerú!$A$2:$A$31)</f>
        <v>18</v>
      </c>
      <c r="J91" s="117">
        <f t="shared" si="7"/>
        <v>18</v>
      </c>
      <c r="L91" s="127"/>
      <c r="M91" s="253"/>
    </row>
    <row r="92" spans="2:15" s="71" customFormat="1" outlineLevel="1">
      <c r="B92" s="119"/>
      <c r="C92" s="172" t="s">
        <v>652</v>
      </c>
      <c r="D92" s="39">
        <v>27253.98</v>
      </c>
      <c r="E92" s="115">
        <f t="shared" si="6"/>
        <v>8101.6587395957195</v>
      </c>
      <c r="F92" s="471">
        <v>46140</v>
      </c>
      <c r="G92" s="342" t="s">
        <v>116</v>
      </c>
      <c r="H92" s="71">
        <f>IF(OR(G92="Sin pagar",G92="Pagar"),(_xlfn.SINGLE(NETWORKDAYS($J$22,F92,FestivosPerú!$A$2:$A$31))),0)</f>
        <v>18</v>
      </c>
      <c r="I92" s="71">
        <f>NETWORKDAYS($J$22,F92,FestivosPerú!$A$2:$A$31)</f>
        <v>18</v>
      </c>
      <c r="J92" s="117">
        <f t="shared" si="7"/>
        <v>18</v>
      </c>
      <c r="K92" s="120"/>
      <c r="L92" s="94"/>
      <c r="M92" s="300"/>
      <c r="N92" s="118"/>
    </row>
    <row r="93" spans="2:15" s="71" customFormat="1" outlineLevel="1">
      <c r="B93" s="119"/>
      <c r="C93" s="172" t="s">
        <v>768</v>
      </c>
      <c r="D93" s="39">
        <v>6939.17</v>
      </c>
      <c r="E93" s="115">
        <f t="shared" si="6"/>
        <v>2062.7734839476816</v>
      </c>
      <c r="F93" s="471">
        <v>46140</v>
      </c>
      <c r="G93" s="342" t="s">
        <v>116</v>
      </c>
      <c r="H93" s="71">
        <f>IF(OR(G93="Sin pagar",G93="Pagar"),(_xlfn.SINGLE(NETWORKDAYS($J$22,F93,FestivosPerú!$A$2:$A$31))),0)</f>
        <v>18</v>
      </c>
      <c r="I93" s="71">
        <f>NETWORKDAYS($J$22,F93,FestivosPerú!$A$2:$A$31)</f>
        <v>18</v>
      </c>
      <c r="J93" s="117">
        <f t="shared" si="7"/>
        <v>18</v>
      </c>
      <c r="K93" s="120"/>
      <c r="L93" s="94"/>
      <c r="M93" s="300"/>
      <c r="N93" s="118"/>
    </row>
    <row r="94" spans="2:15" s="71" customFormat="1" outlineLevel="1">
      <c r="B94" s="119"/>
      <c r="C94" s="172" t="s">
        <v>649</v>
      </c>
      <c r="D94" s="39">
        <v>5997.1</v>
      </c>
      <c r="E94" s="115">
        <f t="shared" si="6"/>
        <v>1782.7288941736031</v>
      </c>
      <c r="F94" s="471">
        <v>46140</v>
      </c>
      <c r="G94" s="342" t="s">
        <v>116</v>
      </c>
      <c r="H94" s="71">
        <f>IF(OR(G94="Sin pagar",G94="Pagar"),(_xlfn.SINGLE(NETWORKDAYS($J$22,F94,FestivosPerú!$A$2:$A$31))),0)</f>
        <v>18</v>
      </c>
      <c r="I94" s="71">
        <f>NETWORKDAYS($J$22,F94,FestivosPerú!$A$2:$A$31)</f>
        <v>18</v>
      </c>
      <c r="J94" s="117">
        <f t="shared" si="7"/>
        <v>18</v>
      </c>
      <c r="K94" s="120"/>
      <c r="L94" s="94"/>
      <c r="M94" s="300"/>
      <c r="N94" s="118"/>
    </row>
    <row r="95" spans="2:15" s="71" customFormat="1" outlineLevel="1">
      <c r="B95" s="119"/>
      <c r="C95" s="172" t="s">
        <v>650</v>
      </c>
      <c r="D95" s="39">
        <v>14467.66</v>
      </c>
      <c r="E95" s="115">
        <f t="shared" si="6"/>
        <v>4300.7312722948873</v>
      </c>
      <c r="F95" s="471">
        <v>46140</v>
      </c>
      <c r="G95" s="342" t="s">
        <v>116</v>
      </c>
      <c r="H95" s="71">
        <f>IF(OR(G95="Sin pagar",G95="Pagar"),(_xlfn.SINGLE(NETWORKDAYS($J$22,F95,FestivosPerú!$A$2:$A$31))),0)</f>
        <v>18</v>
      </c>
      <c r="I95" s="71">
        <f>NETWORKDAYS($J$22,F95,FestivosPerú!$A$2:$A$31)</f>
        <v>18</v>
      </c>
      <c r="J95" s="117">
        <f t="shared" si="7"/>
        <v>18</v>
      </c>
      <c r="K95" s="120"/>
      <c r="L95" s="94"/>
      <c r="M95" s="300"/>
      <c r="N95" s="118"/>
    </row>
    <row r="96" spans="2:15" s="71" customFormat="1" outlineLevel="1">
      <c r="B96" s="119"/>
      <c r="C96" s="172" t="s">
        <v>942</v>
      </c>
      <c r="D96" s="39">
        <v>14401.43</v>
      </c>
      <c r="E96" s="115">
        <f t="shared" si="6"/>
        <v>4281.0434007134363</v>
      </c>
      <c r="F96" s="471">
        <v>46140</v>
      </c>
      <c r="G96" s="342" t="s">
        <v>116</v>
      </c>
      <c r="H96" s="71">
        <f>IF(OR(G96="Sin pagar",G96="Pagar"),(_xlfn.SINGLE(NETWORKDAYS($J$22,F96,FestivosPerú!$A$2:$A$31))),0)</f>
        <v>18</v>
      </c>
      <c r="I96" s="71">
        <f>NETWORKDAYS($J$22,F96,FestivosPerú!$A$2:$A$31)</f>
        <v>18</v>
      </c>
      <c r="J96" s="117">
        <f t="shared" si="7"/>
        <v>18</v>
      </c>
      <c r="K96" s="120"/>
      <c r="L96" s="94"/>
      <c r="M96" s="300"/>
      <c r="N96" s="118"/>
    </row>
    <row r="97" spans="2:15" s="71" customFormat="1" outlineLevel="1">
      <c r="B97" s="119"/>
      <c r="C97" s="172" t="s">
        <v>770</v>
      </c>
      <c r="D97" s="39">
        <v>17445.78</v>
      </c>
      <c r="E97" s="115">
        <f t="shared" si="6"/>
        <v>5186.0225921521996</v>
      </c>
      <c r="F97" s="471">
        <v>46140</v>
      </c>
      <c r="G97" s="342" t="s">
        <v>116</v>
      </c>
      <c r="H97" s="71">
        <f>IF(OR(G97="Sin pagar",G97="Pagar"),(_xlfn.SINGLE(NETWORKDAYS($J$22,F97,FestivosPerú!$A$2:$A$31))),0)</f>
        <v>18</v>
      </c>
      <c r="I97" s="71">
        <f>NETWORKDAYS($J$22,F97,FestivosPerú!$A$2:$A$31)</f>
        <v>18</v>
      </c>
      <c r="J97" s="117">
        <f t="shared" si="7"/>
        <v>18</v>
      </c>
      <c r="K97" s="120"/>
      <c r="L97" s="94"/>
      <c r="M97" s="300"/>
      <c r="N97" s="118"/>
    </row>
    <row r="98" spans="2:15" s="126" customFormat="1" outlineLevel="1">
      <c r="B98" s="125"/>
      <c r="C98" s="186" t="s">
        <v>767</v>
      </c>
      <c r="D98" s="39">
        <v>5396.63</v>
      </c>
      <c r="E98" s="115">
        <f t="shared" si="6"/>
        <v>1604.2300832342451</v>
      </c>
      <c r="F98" s="471">
        <v>46140</v>
      </c>
      <c r="G98" s="342" t="s">
        <v>116</v>
      </c>
      <c r="H98" s="71">
        <f>IF(OR(G98="Sin pagar",G98="Pagar"),(_xlfn.SINGLE(NETWORKDAYS($J$22,F98,FestivosPerú!$A$2:$A$31))),0)</f>
        <v>18</v>
      </c>
      <c r="I98" s="71">
        <f>NETWORKDAYS($J$22,F98,FestivosPerú!$A$2:$A$31)</f>
        <v>18</v>
      </c>
      <c r="J98" s="117">
        <f t="shared" si="7"/>
        <v>18</v>
      </c>
      <c r="L98" s="127"/>
      <c r="M98" s="253"/>
    </row>
    <row r="99" spans="2:15" s="71" customFormat="1" outlineLevel="1">
      <c r="B99" s="119"/>
      <c r="C99" s="172" t="s">
        <v>943</v>
      </c>
      <c r="D99" s="39">
        <v>5876.92</v>
      </c>
      <c r="E99" s="115">
        <f t="shared" si="6"/>
        <v>1747.0035671819264</v>
      </c>
      <c r="F99" s="471">
        <v>46140</v>
      </c>
      <c r="G99" s="342" t="s">
        <v>116</v>
      </c>
      <c r="H99" s="71">
        <f>IF(OR(G99="Sin pagar",G99="Pagar"),(_xlfn.SINGLE(NETWORKDAYS($J$22,F99,FestivosPerú!$A$2:$A$31))),0)</f>
        <v>18</v>
      </c>
      <c r="I99" s="71">
        <f>NETWORKDAYS($J$22,F99,FestivosPerú!$A$2:$A$31)</f>
        <v>18</v>
      </c>
      <c r="J99" s="117">
        <f t="shared" si="7"/>
        <v>18</v>
      </c>
      <c r="K99" s="120"/>
      <c r="L99" s="94"/>
      <c r="M99" s="300"/>
      <c r="N99" s="118"/>
    </row>
    <row r="100" spans="2:15" s="71" customFormat="1" outlineLevel="1">
      <c r="B100" s="119"/>
      <c r="C100" s="172" t="s">
        <v>654</v>
      </c>
      <c r="D100" s="39">
        <v>6848.83</v>
      </c>
      <c r="E100" s="115">
        <f t="shared" si="6"/>
        <v>2035.9185493460168</v>
      </c>
      <c r="F100" s="471">
        <v>46140</v>
      </c>
      <c r="G100" s="342" t="s">
        <v>116</v>
      </c>
      <c r="H100" s="71">
        <f>IF(OR(G100="Sin pagar",G100="Pagar"),(_xlfn.SINGLE(NETWORKDAYS($J$22,F100,FestivosPerú!$A$2:$A$31))),0)</f>
        <v>18</v>
      </c>
      <c r="I100" s="71">
        <f>NETWORKDAYS($J$22,F100,FestivosPerú!$A$2:$A$31)</f>
        <v>18</v>
      </c>
      <c r="J100" s="117">
        <f t="shared" si="7"/>
        <v>18</v>
      </c>
      <c r="K100" s="120"/>
      <c r="L100" s="94"/>
      <c r="M100" s="392">
        <v>7807.32</v>
      </c>
      <c r="N100" s="118">
        <f>M100-E100</f>
        <v>5771.4014506539825</v>
      </c>
    </row>
    <row r="101" spans="2:15" s="71" customFormat="1" outlineLevel="1">
      <c r="B101" s="119"/>
      <c r="C101" s="172" t="s">
        <v>653</v>
      </c>
      <c r="D101" s="39">
        <v>29387.57</v>
      </c>
      <c r="E101" s="115">
        <f t="shared" si="6"/>
        <v>8735.9007134363856</v>
      </c>
      <c r="F101" s="471">
        <v>46140</v>
      </c>
      <c r="G101" s="342" t="s">
        <v>116</v>
      </c>
      <c r="H101" s="71">
        <f>IF(OR(G101="Sin pagar",G101="Pagar"),(_xlfn.SINGLE(NETWORKDAYS($J$22,F101,FestivosPerú!$A$2:$A$31))),0)</f>
        <v>18</v>
      </c>
      <c r="I101" s="71">
        <f>NETWORKDAYS($J$22,F101,FestivosPerú!$A$2:$A$31)</f>
        <v>18</v>
      </c>
      <c r="J101" s="117">
        <f t="shared" si="7"/>
        <v>18</v>
      </c>
      <c r="K101" s="120"/>
      <c r="L101" s="94"/>
      <c r="M101" s="300"/>
      <c r="N101" s="118"/>
    </row>
    <row r="102" spans="2:15" s="71" customFormat="1" outlineLevel="1">
      <c r="B102" s="119"/>
      <c r="C102" s="172" t="s">
        <v>769</v>
      </c>
      <c r="D102" s="39">
        <v>14887.58</v>
      </c>
      <c r="E102" s="115">
        <f t="shared" si="6"/>
        <v>4425.558858501784</v>
      </c>
      <c r="F102" s="471">
        <v>46140</v>
      </c>
      <c r="G102" s="342" t="s">
        <v>116</v>
      </c>
      <c r="H102" s="71">
        <f>IF(OR(G102="Sin pagar",G102="Pagar"),(_xlfn.SINGLE(NETWORKDAYS($J$22,F102,FestivosPerú!$A$2:$A$31))),0)</f>
        <v>18</v>
      </c>
      <c r="I102" s="71">
        <f>NETWORKDAYS($J$22,F102,FestivosPerú!$A$2:$A$31)</f>
        <v>18</v>
      </c>
      <c r="J102" s="117">
        <f t="shared" si="7"/>
        <v>18</v>
      </c>
      <c r="K102" s="120"/>
      <c r="L102" s="94"/>
      <c r="M102" s="300"/>
      <c r="N102" s="118"/>
    </row>
    <row r="103" spans="2:15" s="71" customFormat="1" outlineLevel="1">
      <c r="B103" s="119"/>
      <c r="C103" s="172" t="s">
        <v>1387</v>
      </c>
      <c r="D103" s="39">
        <v>8904.07</v>
      </c>
      <c r="E103" s="115">
        <f>D103/$D$6</f>
        <v>2646.8697978596911</v>
      </c>
      <c r="F103" s="471">
        <v>46140</v>
      </c>
      <c r="G103" s="342" t="s">
        <v>116</v>
      </c>
      <c r="H103" s="71">
        <f>IF(OR(G103="Sin pagar",G103="Pagar"),(_xlfn.SINGLE(NETWORKDAYS($J$22,F103,FestivosPerú!$A$2:$A$31))),0)</f>
        <v>18</v>
      </c>
      <c r="I103" s="71">
        <f>NETWORKDAYS($J$22,F103,FestivosPerú!$A$2:$A$31)</f>
        <v>18</v>
      </c>
      <c r="J103" s="117">
        <f>H103</f>
        <v>18</v>
      </c>
      <c r="K103" s="120"/>
      <c r="L103" s="94"/>
      <c r="M103" s="300"/>
      <c r="N103" s="118"/>
    </row>
    <row r="104" spans="2:15" s="71" customFormat="1" outlineLevel="1">
      <c r="B104" s="119"/>
      <c r="C104" s="172" t="s">
        <v>1064</v>
      </c>
      <c r="D104" s="39">
        <v>4026.17</v>
      </c>
      <c r="E104" s="115">
        <f t="shared" si="6"/>
        <v>1196.8400713436386</v>
      </c>
      <c r="F104" s="471">
        <v>46140</v>
      </c>
      <c r="G104" s="342" t="s">
        <v>116</v>
      </c>
      <c r="H104" s="71">
        <f>IF(OR(G104="Sin pagar",G104="Pagar"),(_xlfn.SINGLE(NETWORKDAYS($J$22,F104,FestivosPerú!$A$2:$A$31))),0)</f>
        <v>18</v>
      </c>
      <c r="I104" s="71">
        <f>NETWORKDAYS($J$22,F104,FestivosPerú!$A$2:$A$31)</f>
        <v>18</v>
      </c>
      <c r="J104" s="117">
        <f t="shared" si="7"/>
        <v>18</v>
      </c>
      <c r="K104" s="120"/>
      <c r="L104" s="94"/>
      <c r="M104" s="300"/>
      <c r="N104" s="118"/>
    </row>
    <row r="105" spans="2:15" s="71" customFormat="1" ht="15" outlineLevel="1" thickBot="1">
      <c r="B105" s="119"/>
      <c r="C105" s="172" t="s">
        <v>1064</v>
      </c>
      <c r="D105" s="39">
        <f>E105*$D$6</f>
        <v>107648</v>
      </c>
      <c r="E105" s="115">
        <v>32000</v>
      </c>
      <c r="F105" s="116">
        <v>46129</v>
      </c>
      <c r="G105" s="71" t="s">
        <v>116</v>
      </c>
      <c r="H105" s="71">
        <f>IF(OR(G105="Sin pagar",G105="Pagar"),(_xlfn.SINGLE(NETWORKDAYS($J$22,F105,FestivosPerú!$A$2:$A$31))),0)</f>
        <v>11</v>
      </c>
      <c r="I105" s="71">
        <f>NETWORKDAYS($J$22,F105,FestivosPerú!$A$2:$A$31)</f>
        <v>11</v>
      </c>
      <c r="J105" s="117">
        <f t="shared" si="7"/>
        <v>11</v>
      </c>
      <c r="K105" s="120"/>
      <c r="L105" s="94"/>
      <c r="M105" s="300"/>
      <c r="N105" s="118"/>
    </row>
    <row r="106" spans="2:15" s="71" customFormat="1" ht="16.2" thickBot="1">
      <c r="C106" s="311" t="s">
        <v>642</v>
      </c>
      <c r="D106" s="312">
        <f>SUBTOTAL(9,D107:D112)</f>
        <v>33099.754226333302</v>
      </c>
      <c r="E106" s="313">
        <f>SUBTOTAL(9,E107:E112)</f>
        <v>5373.6433769322239</v>
      </c>
      <c r="J106" s="301"/>
      <c r="K106" s="89"/>
      <c r="L106" s="124"/>
      <c r="N106" s="122"/>
      <c r="O106" s="101"/>
    </row>
    <row r="107" spans="2:15" s="71" customFormat="1" outlineLevel="1">
      <c r="B107" s="119"/>
      <c r="C107" s="172" t="s">
        <v>1293</v>
      </c>
      <c r="D107" s="503">
        <f>15312.3910263333</f>
        <v>15312.3910263333</v>
      </c>
      <c r="E107" s="505">
        <v>86.08</v>
      </c>
      <c r="F107" s="471">
        <v>46142</v>
      </c>
      <c r="G107" s="342" t="s">
        <v>116</v>
      </c>
      <c r="H107" s="71">
        <f>IF(OR(G107="Sin pagar",G107="Pagar"),(_xlfn.SINGLE(NETWORKDAYS($J$22,F107,FestivosPerú!$A$2:$A$31))),0)</f>
        <v>20</v>
      </c>
      <c r="I107" s="71">
        <f>NETWORKDAYS($J$22,F107,FestivosPerú!$A$2:$A$31)</f>
        <v>20</v>
      </c>
      <c r="J107" s="117">
        <f t="shared" ref="J107:J112" si="8">H107</f>
        <v>20</v>
      </c>
      <c r="K107" s="120"/>
      <c r="L107" s="94"/>
      <c r="M107" s="300"/>
      <c r="N107" s="118"/>
    </row>
    <row r="108" spans="2:15" s="71" customFormat="1" outlineLevel="1">
      <c r="B108" s="119"/>
      <c r="C108" s="172" t="s">
        <v>1297</v>
      </c>
      <c r="D108" s="503">
        <f>E108*$D$6</f>
        <v>651.70771999999999</v>
      </c>
      <c r="E108" s="505">
        <v>193.73</v>
      </c>
      <c r="F108" s="471">
        <v>46142</v>
      </c>
      <c r="G108" s="342" t="s">
        <v>116</v>
      </c>
      <c r="H108" s="71">
        <f>IF(OR(G108="Sin pagar",G108="Pagar"),(_xlfn.SINGLE(NETWORKDAYS($J$22,F108,FestivosPerú!$A$2:$A$31))),0)</f>
        <v>20</v>
      </c>
      <c r="I108" s="71">
        <f>NETWORKDAYS($J$22,F108,FestivosPerú!$A$2:$A$31)</f>
        <v>20</v>
      </c>
      <c r="J108" s="117">
        <f t="shared" si="8"/>
        <v>20</v>
      </c>
      <c r="K108" s="120"/>
      <c r="L108" s="94"/>
      <c r="M108" s="300"/>
      <c r="N108" s="118"/>
    </row>
    <row r="109" spans="2:15" s="71" customFormat="1" outlineLevel="1">
      <c r="B109" s="119"/>
      <c r="C109" s="172" t="s">
        <v>1397</v>
      </c>
      <c r="D109" s="503">
        <f>E109*$D$6</f>
        <v>10950.055480000001</v>
      </c>
      <c r="E109" s="505">
        <v>3255.07</v>
      </c>
      <c r="F109" s="471">
        <v>46142</v>
      </c>
      <c r="G109" s="342" t="s">
        <v>116</v>
      </c>
      <c r="H109" s="71">
        <f>IF(OR(G109="Sin pagar",G109="Pagar"),(_xlfn.SINGLE(NETWORKDAYS($J$22,F109,FestivosPerú!$A$2:$A$31))),0)</f>
        <v>20</v>
      </c>
      <c r="I109" s="71">
        <f>NETWORKDAYS($J$22,F109,FestivosPerú!$A$2:$A$31)</f>
        <v>20</v>
      </c>
      <c r="J109" s="117">
        <f t="shared" si="8"/>
        <v>20</v>
      </c>
      <c r="K109" s="120"/>
      <c r="L109" s="94"/>
      <c r="M109" s="300"/>
      <c r="N109" s="118"/>
    </row>
    <row r="110" spans="2:15" s="71" customFormat="1" outlineLevel="1">
      <c r="B110" s="119"/>
      <c r="C110" s="172" t="s">
        <v>1203</v>
      </c>
      <c r="D110" s="506">
        <v>460.61</v>
      </c>
      <c r="E110" s="504">
        <f>D110/$D$6</f>
        <v>136.92330558858504</v>
      </c>
      <c r="F110" s="471">
        <v>46142</v>
      </c>
      <c r="G110" s="342" t="s">
        <v>116</v>
      </c>
      <c r="H110" s="71">
        <f>IF(OR(G110="Sin pagar",G110="Pagar"),(_xlfn.SINGLE(NETWORKDAYS($J$22,F110,FestivosPerú!$A$2:$A$31))),0)</f>
        <v>20</v>
      </c>
      <c r="I110" s="71">
        <f>NETWORKDAYS($J$22,F110,FestivosPerú!$A$2:$A$31)</f>
        <v>20</v>
      </c>
      <c r="J110" s="117">
        <f t="shared" si="8"/>
        <v>20</v>
      </c>
      <c r="K110" s="120"/>
      <c r="L110" s="94"/>
      <c r="M110" s="300"/>
      <c r="N110" s="118"/>
    </row>
    <row r="111" spans="2:15" s="71" customFormat="1" outlineLevel="1">
      <c r="B111" s="119"/>
      <c r="C111" s="172" t="s">
        <v>1294</v>
      </c>
      <c r="D111" s="506">
        <v>5500</v>
      </c>
      <c r="E111" s="504">
        <f>D111/$D$6</f>
        <v>1634.9583828775269</v>
      </c>
      <c r="F111" s="471">
        <v>46142</v>
      </c>
      <c r="G111" s="342" t="s">
        <v>116</v>
      </c>
      <c r="H111" s="71">
        <f>IF(OR(G111="Sin pagar",G111="Pagar"),(_xlfn.SINGLE(NETWORKDAYS($J$22,F111,FestivosPerú!$A$2:$A$31))),0)</f>
        <v>20</v>
      </c>
      <c r="I111" s="71">
        <f>NETWORKDAYS($J$22,F111,FestivosPerú!$A$2:$A$31)</f>
        <v>20</v>
      </c>
      <c r="J111" s="117">
        <f t="shared" si="8"/>
        <v>20</v>
      </c>
      <c r="K111" s="120"/>
      <c r="L111" s="94"/>
      <c r="M111" s="300"/>
      <c r="N111" s="118"/>
    </row>
    <row r="112" spans="2:15" s="71" customFormat="1" ht="15" outlineLevel="1" thickBot="1">
      <c r="B112" s="119"/>
      <c r="C112" s="172" t="s">
        <v>1295</v>
      </c>
      <c r="D112" s="506">
        <v>224.99</v>
      </c>
      <c r="E112" s="504">
        <f>D112/$D$6</f>
        <v>66.881688466111783</v>
      </c>
      <c r="F112" s="471">
        <v>46142</v>
      </c>
      <c r="G112" s="342" t="s">
        <v>116</v>
      </c>
      <c r="H112" s="71">
        <f>IF(OR(G112="Sin pagar",G112="Pagar"),(_xlfn.SINGLE(NETWORKDAYS($J$22,F112,FestivosPerú!$A$2:$A$31))),0)</f>
        <v>20</v>
      </c>
      <c r="I112" s="71">
        <f>NETWORKDAYS($J$22,F112,FestivosPerú!$A$2:$A$31)</f>
        <v>20</v>
      </c>
      <c r="J112" s="117">
        <f t="shared" si="8"/>
        <v>20</v>
      </c>
      <c r="K112" s="120"/>
      <c r="L112" s="94"/>
      <c r="M112" s="300"/>
      <c r="N112" s="118"/>
    </row>
    <row r="113" spans="1:16" s="71" customFormat="1" ht="16.2" thickBot="1">
      <c r="A113" s="126"/>
      <c r="B113" s="125"/>
      <c r="C113" s="311" t="s">
        <v>129</v>
      </c>
      <c r="D113" s="312">
        <f>SUBTOTAL(9,D114:D114)</f>
        <v>0</v>
      </c>
      <c r="E113" s="313">
        <f>SUBTOTAL(9,E114:E114)</f>
        <v>0</v>
      </c>
      <c r="L113" s="89"/>
    </row>
    <row r="114" spans="1:16" s="71" customFormat="1" ht="15" outlineLevel="1" thickBot="1">
      <c r="A114" s="126"/>
      <c r="B114" s="128" t="s">
        <v>1354</v>
      </c>
      <c r="C114" s="186"/>
      <c r="D114" s="39">
        <v>0</v>
      </c>
      <c r="E114" s="115">
        <f>D114/$D$6</f>
        <v>0</v>
      </c>
      <c r="F114" s="112">
        <v>46142</v>
      </c>
      <c r="G114" s="71" t="s">
        <v>126</v>
      </c>
      <c r="H114" s="71">
        <f>IF(OR(G114="Sin pagar",G114="Pagar"),(_xlfn.SINGLE(NETWORKDAYS($J$22,F114,FestivosPerú!$A$2:$A$31))),0)</f>
        <v>0</v>
      </c>
      <c r="I114" s="71">
        <f>NETWORKDAYS($J$22,F114,FestivosPerú!$A$2:$A$31)</f>
        <v>20</v>
      </c>
      <c r="J114" s="117">
        <f>H114</f>
        <v>0</v>
      </c>
      <c r="L114" s="89"/>
    </row>
    <row r="115" spans="1:16" ht="15.6">
      <c r="C115" s="129" t="s">
        <v>130</v>
      </c>
      <c r="D115" s="227">
        <f>SUBTOTAL(9,D24:D114)</f>
        <v>798940.0552106821</v>
      </c>
      <c r="E115" s="228">
        <f>SUBTOTAL(9,E24:E114)</f>
        <v>233031.28338417038</v>
      </c>
    </row>
    <row r="116" spans="1:16" s="238" customFormat="1" ht="15.6">
      <c r="B116" s="239"/>
      <c r="C116" s="240"/>
      <c r="D116" s="241"/>
      <c r="E116" s="242"/>
    </row>
    <row r="117" spans="1:16" ht="15.6">
      <c r="A117" s="71"/>
      <c r="C117" s="134" t="s">
        <v>3</v>
      </c>
      <c r="D117" s="170">
        <f>D19-D115</f>
        <v>307637.08013266814</v>
      </c>
      <c r="E117" s="135">
        <f>E19-E115</f>
        <v>96652.011654054513</v>
      </c>
      <c r="F117" s="136"/>
      <c r="G117" s="136"/>
      <c r="J117" s="364"/>
    </row>
    <row r="118" spans="1:16" s="141" customFormat="1" ht="15.6">
      <c r="A118" s="71"/>
      <c r="B118" s="138"/>
      <c r="C118" s="134" t="s">
        <v>131</v>
      </c>
      <c r="D118" s="139">
        <f>IF($D$19=0,0,D117/$D$19)</f>
        <v>0.27800780470420083</v>
      </c>
      <c r="E118" s="139">
        <f>IF($E$19=0,0,E117/$E$19)</f>
        <v>0.29316623895926625</v>
      </c>
      <c r="F118" s="140"/>
      <c r="G118" s="137"/>
      <c r="J118" s="142"/>
      <c r="K118" s="498"/>
      <c r="L118" s="498"/>
      <c r="N118" s="498"/>
      <c r="O118" s="498"/>
      <c r="P118" s="498"/>
    </row>
    <row r="120" spans="1:16" ht="15" thickBot="1"/>
    <row r="121" spans="1:16" s="512" customFormat="1">
      <c r="B121" s="511"/>
      <c r="C121" s="485">
        <v>46111</v>
      </c>
      <c r="D121" s="515">
        <v>46111</v>
      </c>
      <c r="E121" s="516"/>
      <c r="F121" s="517"/>
    </row>
    <row r="122" spans="1:16" ht="15.6">
      <c r="C122" s="201">
        <v>46113</v>
      </c>
      <c r="D122" s="202">
        <v>46124</v>
      </c>
      <c r="E122" s="203">
        <f>SUMIFS($D$22:$D$119,$F$22:$F$119,"&gt;="&amp;C122,$F$22:$F$119,"&lt;="&amp;D122,$G$22:$G$119,$D$136)</f>
        <v>0</v>
      </c>
      <c r="F122" s="204">
        <f>SUMIFS($E$22:$E$120,$F$22:$F$120,"&gt;="&amp;C122,$F$22:$F$120,"&lt;="&amp;D122,$G$22:$G$120,$D$136)</f>
        <v>0</v>
      </c>
      <c r="G122" s="375" t="s">
        <v>1247</v>
      </c>
    </row>
    <row r="123" spans="1:16" ht="15.6">
      <c r="C123" s="326">
        <v>46125</v>
      </c>
      <c r="D123" s="202">
        <v>46131</v>
      </c>
      <c r="E123" s="203">
        <f>SUMIFS($D$22:$D$119,$F$22:$F$119,"&gt;="&amp;C123,$F$22:$F$119,"&lt;="&amp;D123,$G$22:$G$119,$D$136)</f>
        <v>360231.01500000001</v>
      </c>
      <c r="F123" s="204">
        <f>SUMIFS($E$22:$E$120,$F$22:$F$120,"&gt;="&amp;C123,$F$22:$F$120,"&lt;="&amp;D123,$G$22:$G$120,$D$136)</f>
        <v>107084.13049940547</v>
      </c>
      <c r="G123" s="375" t="s">
        <v>1452</v>
      </c>
    </row>
    <row r="124" spans="1:16" ht="15.6">
      <c r="C124" s="326">
        <v>46132</v>
      </c>
      <c r="D124" s="202">
        <v>46138</v>
      </c>
      <c r="E124" s="203">
        <f>SUMIFS($D$22:$D$119,$F$22:$F$119,"&gt;="&amp;C124,$F$22:$F$119,"&lt;="&amp;D124,$G$22:$G$119,$D$136)</f>
        <v>0</v>
      </c>
      <c r="F124" s="204">
        <f>SUMIFS($E$22:$E$120,$F$22:$F$120,"&gt;="&amp;C124,$F$22:$F$120,"&lt;="&amp;D124,$G$22:$G$120,$D$136)</f>
        <v>0</v>
      </c>
      <c r="G124" s="375" t="s">
        <v>1254</v>
      </c>
    </row>
    <row r="125" spans="1:16" ht="16.2" thickBot="1">
      <c r="C125" s="314">
        <v>46139</v>
      </c>
      <c r="D125" s="518">
        <v>46142</v>
      </c>
      <c r="E125" s="207">
        <f>SUMIFS($D$22:$D$119,$F$22:$F$119,"&gt;="&amp;C125,$F$22:$F$119,"&lt;="&amp;D125,$G$22:$G$119,$D$136)</f>
        <v>377366.99021068233</v>
      </c>
      <c r="F125" s="208">
        <f>SUMIFS($E$22:$E$120,$F$22:$F$120,"&gt;="&amp;C125,$F$22:$F$120,"&lt;="&amp;D125,$G$22:$G$120,$D$136)</f>
        <v>107712.29854469351</v>
      </c>
      <c r="G125" s="375" t="s">
        <v>1453</v>
      </c>
    </row>
    <row r="126" spans="1:16" ht="15.6">
      <c r="C126" s="524" t="s">
        <v>136</v>
      </c>
      <c r="D126" s="524"/>
      <c r="E126" s="323">
        <f>SUM(E121:E125)</f>
        <v>737598.00521068228</v>
      </c>
      <c r="F126" s="153">
        <f>SUM(F121:F125)</f>
        <v>214796.42904409897</v>
      </c>
      <c r="G126" s="77"/>
      <c r="K126" s="137"/>
      <c r="M126" s="154"/>
    </row>
    <row r="127" spans="1:16">
      <c r="F127" s="499"/>
    </row>
    <row r="130" spans="3:6">
      <c r="C130" s="536" t="s">
        <v>932</v>
      </c>
      <c r="D130" s="537"/>
      <c r="E130" s="39">
        <f>'BCP SOLES BCP'!$G$1200+('BCP USD BCP'!G470*$D$6)</f>
        <v>379894.11048335035</v>
      </c>
      <c r="F130" s="472">
        <f>'BCP USD BCP'!$G$470+('BCP SOLES BCP'!$G$1200/$D$6)</f>
        <v>112929.28373464635</v>
      </c>
    </row>
    <row r="131" spans="3:6">
      <c r="C131" s="537" t="s">
        <v>933</v>
      </c>
      <c r="D131" s="537"/>
      <c r="E131" s="39">
        <f>'BBVA SOLES'!$G$100+('BBVA USD'!G50*$D$6)</f>
        <v>2599.1709599999913</v>
      </c>
      <c r="F131" s="472">
        <f>'BBVA USD'!$G$50+('BBVA SOLES'!$G$100/D6)</f>
        <v>772.6429726516028</v>
      </c>
    </row>
    <row r="132" spans="3:6">
      <c r="C132" s="538" t="s">
        <v>1252</v>
      </c>
      <c r="D132" s="538"/>
      <c r="E132" s="167">
        <f>SUM(E130:E131)</f>
        <v>382493.28144335037</v>
      </c>
      <c r="F132" s="168">
        <f>SUM(F130:F131)</f>
        <v>113701.92670729796</v>
      </c>
    </row>
    <row r="133" spans="3:6">
      <c r="C133" s="536" t="s">
        <v>1454</v>
      </c>
      <c r="D133" s="537"/>
      <c r="E133" s="39">
        <f>SUM(E122:E124)</f>
        <v>360231.01500000001</v>
      </c>
      <c r="F133" s="154">
        <f>SUM($F$122:$F$124)</f>
        <v>107084.13049940547</v>
      </c>
    </row>
    <row r="134" spans="3:6">
      <c r="C134" s="536" t="s">
        <v>1352</v>
      </c>
      <c r="D134" s="537"/>
      <c r="E134" s="39">
        <f>E132-E133</f>
        <v>22262.266443350352</v>
      </c>
      <c r="F134" s="154">
        <f>F132-F133</f>
        <v>6617.7962078924902</v>
      </c>
    </row>
    <row r="135" spans="3:6">
      <c r="C135" s="497"/>
      <c r="D135" s="497"/>
      <c r="E135" s="39"/>
      <c r="F135" s="154"/>
    </row>
    <row r="136" spans="3:6">
      <c r="D136" s="231" t="s">
        <v>116</v>
      </c>
      <c r="E136" s="39">
        <f>SUMIFS($D$23:$D$119,$F$23:$F$119,"&gt;="&amp;C121,$F$23:$F$119,"&lt;="&amp;D125,$G$23:$G$119,$D$136)</f>
        <v>737598.00521068193</v>
      </c>
      <c r="F136" s="154">
        <f>SUMIFS($E$23:$E$119,$F$23:$F$119,"&gt;="&amp;$C$121,$F$23:$F$119,"&lt;="&amp;D125,$G$23:$G$119,$D$136)</f>
        <v>214796.429044099</v>
      </c>
    </row>
    <row r="137" spans="3:6">
      <c r="D137" s="499" t="s">
        <v>126</v>
      </c>
      <c r="E137" s="39">
        <f>SUMIFS($D$23:$D$119,$F$23:$F$119,"&gt;="&amp;C121,$F$23:$F$119,"&lt;="&amp;D125,$G$23:$G$119,$D$137)</f>
        <v>61342.05</v>
      </c>
      <c r="F137" s="454">
        <f>SUMIFS($E$23:$E$119,$F$23:$F$119,"&gt;="&amp;$C$121,$F$23:$F$119,"&lt;="&amp;D125,$G$23:$G$119,$D$137)</f>
        <v>18234.854340071346</v>
      </c>
    </row>
    <row r="138" spans="3:6">
      <c r="D138" s="499" t="s">
        <v>854</v>
      </c>
      <c r="E138" s="167">
        <f>SUM(E136:E137)</f>
        <v>798940.05521068198</v>
      </c>
      <c r="F138" s="168">
        <f>SUM(F136:F137)</f>
        <v>233031.28338417035</v>
      </c>
    </row>
    <row r="139" spans="3:6">
      <c r="D139" s="499" t="s">
        <v>140</v>
      </c>
      <c r="E139" s="167">
        <f>E138-D115</f>
        <v>0</v>
      </c>
      <c r="F139" s="168">
        <f>E115-F138</f>
        <v>0</v>
      </c>
    </row>
    <row r="142" spans="3:6">
      <c r="C142" s="172" t="s">
        <v>1296</v>
      </c>
    </row>
    <row r="150" spans="4:6">
      <c r="D150" s="39"/>
      <c r="E150" s="489"/>
      <c r="F150" s="490"/>
    </row>
    <row r="151" spans="4:6">
      <c r="D151" s="39"/>
      <c r="E151" s="489"/>
      <c r="F151" s="490"/>
    </row>
    <row r="152" spans="4:6">
      <c r="D152" s="39"/>
      <c r="E152" s="489"/>
      <c r="F152" s="490"/>
    </row>
    <row r="153" spans="4:6">
      <c r="D153" s="39"/>
      <c r="E153" s="489"/>
      <c r="F153" s="490"/>
    </row>
    <row r="154" spans="4:6">
      <c r="D154" s="39"/>
      <c r="E154" s="489"/>
      <c r="F154" s="490"/>
    </row>
    <row r="155" spans="4:6">
      <c r="D155" s="39"/>
      <c r="E155" s="489"/>
      <c r="F155" s="490"/>
    </row>
    <row r="156" spans="4:6">
      <c r="D156" s="39"/>
      <c r="E156" s="489"/>
      <c r="F156" s="490"/>
    </row>
    <row r="157" spans="4:6">
      <c r="D157" s="39"/>
      <c r="E157" s="489"/>
      <c r="F157" s="490"/>
    </row>
    <row r="158" spans="4:6">
      <c r="D158" s="39"/>
      <c r="E158" s="489"/>
      <c r="F158" s="490"/>
    </row>
    <row r="159" spans="4:6">
      <c r="D159" s="39"/>
      <c r="E159" s="489"/>
      <c r="F159" s="490"/>
    </row>
    <row r="160" spans="4:6">
      <c r="D160" s="39"/>
      <c r="E160" s="489"/>
      <c r="F160" s="490"/>
    </row>
    <row r="161" spans="4:6">
      <c r="D161" s="39"/>
      <c r="E161" s="489"/>
      <c r="F161" s="490"/>
    </row>
    <row r="162" spans="4:6">
      <c r="D162" s="39"/>
      <c r="E162" s="489"/>
      <c r="F162" s="490"/>
    </row>
    <row r="163" spans="4:6">
      <c r="D163" s="39"/>
      <c r="E163" s="489"/>
      <c r="F163" s="490"/>
    </row>
    <row r="164" spans="4:6">
      <c r="D164" s="39"/>
      <c r="E164" s="489"/>
      <c r="F164" s="490"/>
    </row>
    <row r="165" spans="4:6">
      <c r="D165" s="39"/>
      <c r="E165" s="489"/>
      <c r="F165" s="490"/>
    </row>
    <row r="166" spans="4:6">
      <c r="D166" s="39"/>
      <c r="E166" s="489"/>
      <c r="F166" s="490"/>
    </row>
    <row r="167" spans="4:6">
      <c r="D167" s="39"/>
      <c r="E167" s="489"/>
      <c r="F167" s="490"/>
    </row>
    <row r="168" spans="4:6">
      <c r="D168" s="39"/>
      <c r="E168" s="489"/>
      <c r="F168" s="490"/>
    </row>
    <row r="169" spans="4:6">
      <c r="D169" s="39"/>
      <c r="E169" s="489"/>
    </row>
    <row r="170" spans="4:6">
      <c r="D170" s="39"/>
    </row>
  </sheetData>
  <protectedRanges>
    <protectedRange sqref="F19:G19 D119:E119 D10:E11 F15 D13:D18" name="Presupuestos"/>
    <protectedRange sqref="D8:E8 D23:E23" name="Presupuestos_1"/>
    <protectedRange sqref="D32:E36" name="Presupuestos_13_1"/>
    <protectedRange sqref="E59 E114 E49:E57 E107:E112 D60:E63 E87:E105" name="Presupuestos_2_1_1_1"/>
    <protectedRange sqref="K98 K87:K91 K49:K57 E65:E68" name="Presupuestos_6_1_1_1"/>
    <protectedRange sqref="E38 D46:E47" name="Presupuestos_7_1"/>
    <protectedRange sqref="D65:D68" name="Presupuestos_5_3"/>
    <protectedRange sqref="D98 D163 D150:D155 D87:D91 D49:D57 P49:P57" name="Presupuestos_6_1_1_1_1"/>
    <protectedRange sqref="D39:E44" name="Presupuestos_7_1_1"/>
    <protectedRange sqref="E70:E71" name="Presupuestos_7_1_2"/>
    <protectedRange sqref="D70:D71" name="Presupuestos_5_3_1"/>
    <protectedRange sqref="D114" name="Presupuestos_5_3_3"/>
  </protectedRanges>
  <autoFilter ref="A23:S118" xr:uid="{FEB24E2E-5A80-47F6-AEB7-403B51593EDD}"/>
  <mergeCells count="12">
    <mergeCell ref="C126:D126"/>
    <mergeCell ref="C130:D130"/>
    <mergeCell ref="C131:D131"/>
    <mergeCell ref="C132:D132"/>
    <mergeCell ref="C133:D133"/>
    <mergeCell ref="C134:D134"/>
    <mergeCell ref="D7:E7"/>
    <mergeCell ref="B22:C22"/>
    <mergeCell ref="D22:E22"/>
    <mergeCell ref="F22:G22"/>
    <mergeCell ref="M25:M27"/>
    <mergeCell ref="M73:M76"/>
  </mergeCells>
  <conditionalFormatting sqref="J72 J59 J25:J27 J49:J57 J107:J112 J31:J38 J87:J105">
    <cfRule type="cellIs" dxfId="27" priority="27" operator="between">
      <formula>1</formula>
      <formula>5</formula>
    </cfRule>
    <cfRule type="cellIs" dxfId="26" priority="28" operator="between">
      <formula>16</formula>
      <formula>60</formula>
    </cfRule>
  </conditionalFormatting>
  <conditionalFormatting sqref="J72 J25:J27 J49:J57 J107:J112 J31:J38 J87:J105">
    <cfRule type="cellIs" dxfId="25" priority="26" operator="lessThan">
      <formula>0</formula>
    </cfRule>
  </conditionalFormatting>
  <conditionalFormatting sqref="J46:J47">
    <cfRule type="cellIs" dxfId="24" priority="24" operator="between">
      <formula>1</formula>
      <formula>5</formula>
    </cfRule>
    <cfRule type="cellIs" dxfId="23" priority="25" operator="between">
      <formula>16</formula>
      <formula>60</formula>
    </cfRule>
  </conditionalFormatting>
  <conditionalFormatting sqref="J46:J47">
    <cfRule type="cellIs" dxfId="22" priority="23" operator="lessThan">
      <formula>0</formula>
    </cfRule>
  </conditionalFormatting>
  <conditionalFormatting sqref="J73:J76 J78:J79 J29:J30 J114 J59:J63 J81:J85 J38:J44 J32:J36">
    <cfRule type="cellIs" dxfId="21" priority="19" operator="lessThan">
      <formula>0</formula>
    </cfRule>
    <cfRule type="cellIs" dxfId="20" priority="20" operator="between">
      <formula>6</formula>
      <formula>15</formula>
    </cfRule>
    <cfRule type="cellIs" dxfId="19" priority="21" operator="between">
      <formula>1</formula>
      <formula>5</formula>
    </cfRule>
    <cfRule type="cellIs" dxfId="2" priority="22" operator="between">
      <formula>16</formula>
      <formula>60</formula>
    </cfRule>
  </conditionalFormatting>
  <conditionalFormatting sqref="J70:J71">
    <cfRule type="cellIs" dxfId="18" priority="17" operator="between">
      <formula>1</formula>
      <formula>5</formula>
    </cfRule>
    <cfRule type="cellIs" dxfId="17" priority="18" operator="between">
      <formula>16</formula>
      <formula>60</formula>
    </cfRule>
  </conditionalFormatting>
  <conditionalFormatting sqref="J70:J71">
    <cfRule type="cellIs" dxfId="16" priority="16" operator="lessThan">
      <formula>0</formula>
    </cfRule>
  </conditionalFormatting>
  <conditionalFormatting sqref="J77">
    <cfRule type="cellIs" dxfId="15" priority="14" operator="between">
      <formula>1</formula>
      <formula>5</formula>
    </cfRule>
    <cfRule type="cellIs" dxfId="14" priority="15" operator="between">
      <formula>16</formula>
      <formula>60</formula>
    </cfRule>
  </conditionalFormatting>
  <conditionalFormatting sqref="J77">
    <cfRule type="cellIs" dxfId="13" priority="13" operator="lessThan">
      <formula>0</formula>
    </cfRule>
  </conditionalFormatting>
  <conditionalFormatting sqref="J80">
    <cfRule type="cellIs" dxfId="12" priority="11" operator="between">
      <formula>1</formula>
      <formula>5</formula>
    </cfRule>
    <cfRule type="cellIs" dxfId="11" priority="12" operator="between">
      <formula>16</formula>
      <formula>60</formula>
    </cfRule>
  </conditionalFormatting>
  <conditionalFormatting sqref="J80">
    <cfRule type="cellIs" dxfId="10" priority="10" operator="lessThan">
      <formula>0</formula>
    </cfRule>
  </conditionalFormatting>
  <conditionalFormatting sqref="J59">
    <cfRule type="cellIs" dxfId="9" priority="9" operator="between">
      <formula>6</formula>
      <formula>15</formula>
    </cfRule>
  </conditionalFormatting>
  <conditionalFormatting sqref="J65:J68">
    <cfRule type="cellIs" dxfId="8" priority="5" operator="lessThan">
      <formula>0</formula>
    </cfRule>
    <cfRule type="cellIs" dxfId="7" priority="6" operator="between">
      <formula>6</formula>
      <formula>15</formula>
    </cfRule>
    <cfRule type="cellIs" dxfId="6" priority="7" operator="between">
      <formula>1</formula>
      <formula>5</formula>
    </cfRule>
    <cfRule type="cellIs" dxfId="1" priority="8" operator="between">
      <formula>16</formula>
      <formula>60</formula>
    </cfRule>
  </conditionalFormatting>
  <conditionalFormatting sqref="J105">
    <cfRule type="cellIs" dxfId="5" priority="1" operator="lessThan">
      <formula>0</formula>
    </cfRule>
    <cfRule type="cellIs" dxfId="4" priority="2" operator="between">
      <formula>6</formula>
      <formula>15</formula>
    </cfRule>
    <cfRule type="cellIs" dxfId="3" priority="3" operator="between">
      <formula>1</formula>
      <formula>5</formula>
    </cfRule>
    <cfRule type="cellIs" dxfId="0" priority="4" operator="between">
      <formula>16</formula>
      <formula>60</formula>
    </cfRule>
  </conditionalFormatting>
  <dataValidations count="3">
    <dataValidation type="list" allowBlank="1" showInputMessage="1" showErrorMessage="1" sqref="G73:G76 D136 G59:G63 G38:G44 G24:G27 G81:G85 G46:G47 G114 G107:G112 G70:G71 G49:G57 G32:G36 G87:G105 G78:G79 G29:G30 G65:G68" xr:uid="{15FA1EFE-FA8D-4CDD-A05C-BDCAF4CF7070}">
      <formula1>"Cancelado,Pagar,Sin Pagar"</formula1>
    </dataValidation>
    <dataValidation type="list" allowBlank="1" showInputMessage="1" showErrorMessage="1" sqref="D22 D7" xr:uid="{401C258E-680B-43B4-BEDD-D9D2D02C6FFF}">
      <formula1>"ENERO,FEBRERO,MARZO,ABRIL,MAYO,JUNIO,JULIO,AGOSTO,SEPTIEMBRE,OCTUBRE,NOVIEMBRE,DICIEMBRE"</formula1>
    </dataValidation>
    <dataValidation type="list" allowBlank="1" showInputMessage="1" showErrorMessage="1" sqref="B13:B18" xr:uid="{506A21C6-D626-4B79-8E7B-0D3349F7D02A}">
      <formula1>"Sin Pagar,Pagado"</formula1>
    </dataValidation>
  </dataValidations>
  <pageMargins left="0.7" right="0.7" top="0.75" bottom="0.75" header="0.3" footer="0.3"/>
  <pageSetup orientation="portrait" r:id="rId1"/>
  <ignoredErrors>
    <ignoredError sqref="J68:J104 J106:J114 J25:J66" unlocked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6D81-EB74-4D58-A4E5-1A83728E696E}">
  <dimension ref="A2:AA70"/>
  <sheetViews>
    <sheetView topLeftCell="A46" workbookViewId="0">
      <selection activeCell="J57" sqref="J57"/>
    </sheetView>
  </sheetViews>
  <sheetFormatPr baseColWidth="10" defaultRowHeight="14.4"/>
  <cols>
    <col min="1" max="1" width="11.5546875" customWidth="1"/>
    <col min="2" max="2" width="8.6640625" bestFit="1" customWidth="1"/>
    <col min="3" max="3" width="11.5546875" customWidth="1"/>
    <col min="4" max="4" width="20.5546875" bestFit="1" customWidth="1"/>
    <col min="5" max="5" width="15.44140625" bestFit="1" customWidth="1"/>
    <col min="6" max="6" width="11.5546875" customWidth="1"/>
    <col min="7" max="7" width="14" bestFit="1" customWidth="1"/>
    <col min="8" max="8" width="1.88671875" customWidth="1"/>
    <col min="9" max="9" width="14.88671875" customWidth="1"/>
    <col min="10" max="10" width="15.44140625" bestFit="1" customWidth="1"/>
    <col min="11" max="11" width="13.6640625" bestFit="1" customWidth="1"/>
    <col min="12" max="12" width="14" bestFit="1" customWidth="1"/>
    <col min="13" max="14" width="12.44140625" customWidth="1"/>
    <col min="15" max="15" width="12.44140625" hidden="1" customWidth="1"/>
    <col min="16" max="17" width="11.44140625" style="275" hidden="1" customWidth="1"/>
    <col min="18" max="18" width="15.44140625" style="275" hidden="1" customWidth="1"/>
    <col min="19" max="19" width="12.33203125" style="275" hidden="1" customWidth="1"/>
    <col min="20" max="20" width="9.88671875" style="275" hidden="1" customWidth="1"/>
    <col min="21" max="21" width="14.33203125" style="275" hidden="1" customWidth="1"/>
    <col min="22" max="22" width="2.109375" hidden="1" customWidth="1"/>
    <col min="23" max="23" width="14.88671875" hidden="1" customWidth="1"/>
    <col min="24" max="24" width="28.5546875" hidden="1" customWidth="1"/>
    <col min="25" max="25" width="0" hidden="1" customWidth="1"/>
    <col min="26" max="26" width="11.5546875" customWidth="1"/>
    <col min="27" max="27" width="12.44140625" bestFit="1" customWidth="1"/>
  </cols>
  <sheetData>
    <row r="2" spans="1:27">
      <c r="A2" s="540" t="s">
        <v>6</v>
      </c>
      <c r="B2" s="540"/>
      <c r="C2" s="540"/>
      <c r="D2" s="540"/>
      <c r="E2" s="540"/>
      <c r="F2" s="540"/>
      <c r="G2" s="540"/>
      <c r="H2" s="33"/>
      <c r="I2" s="541" t="s">
        <v>940</v>
      </c>
      <c r="J2" s="541"/>
      <c r="K2" s="541"/>
      <c r="L2" s="541"/>
      <c r="M2" s="272"/>
      <c r="N2" s="272"/>
      <c r="O2" s="272"/>
      <c r="P2" s="276"/>
      <c r="Q2" s="539" t="s">
        <v>38</v>
      </c>
      <c r="R2" s="539"/>
      <c r="S2" s="539"/>
      <c r="T2" s="539"/>
    </row>
    <row r="3" spans="1:27">
      <c r="E3" s="210"/>
      <c r="F3" s="210"/>
      <c r="G3" s="210"/>
      <c r="H3" s="33"/>
      <c r="I3" s="272"/>
      <c r="J3" s="272"/>
      <c r="K3" s="272"/>
      <c r="L3" s="272"/>
      <c r="M3" s="272"/>
      <c r="N3" s="272"/>
      <c r="O3" s="272"/>
      <c r="P3" s="277"/>
      <c r="Q3" s="277"/>
      <c r="R3" s="277"/>
      <c r="S3" s="277"/>
      <c r="T3" s="277"/>
    </row>
    <row r="4" spans="1:27" ht="25.2">
      <c r="A4" s="36" t="s">
        <v>36</v>
      </c>
      <c r="B4" s="33" t="s">
        <v>32</v>
      </c>
      <c r="C4" s="33" t="s">
        <v>37</v>
      </c>
      <c r="D4" s="33" t="s">
        <v>5</v>
      </c>
      <c r="E4" s="34" t="s">
        <v>4</v>
      </c>
      <c r="F4" s="35" t="s">
        <v>31</v>
      </c>
      <c r="G4" s="34" t="s">
        <v>33</v>
      </c>
      <c r="I4" s="33" t="s">
        <v>37</v>
      </c>
      <c r="J4" s="273" t="s">
        <v>4</v>
      </c>
      <c r="K4" s="35" t="s">
        <v>31</v>
      </c>
      <c r="L4" s="273" t="s">
        <v>33</v>
      </c>
      <c r="M4" s="273" t="s">
        <v>394</v>
      </c>
      <c r="N4" s="273" t="s">
        <v>395</v>
      </c>
      <c r="O4" s="273"/>
      <c r="P4" s="278"/>
      <c r="Q4" s="278" t="s">
        <v>37</v>
      </c>
      <c r="R4" s="279" t="s">
        <v>4</v>
      </c>
      <c r="S4" s="280" t="s">
        <v>31</v>
      </c>
      <c r="T4" s="279" t="s">
        <v>33</v>
      </c>
    </row>
    <row r="5" spans="1:27">
      <c r="A5" s="32">
        <v>2024</v>
      </c>
      <c r="B5" s="32" t="s">
        <v>34</v>
      </c>
      <c r="C5" s="37">
        <v>45617</v>
      </c>
      <c r="D5" s="32" t="s">
        <v>30</v>
      </c>
      <c r="E5" s="27">
        <v>3833.74</v>
      </c>
      <c r="F5" s="15">
        <v>3.67</v>
      </c>
      <c r="G5" s="41">
        <f t="shared" ref="G5:G10" si="0">E5*F5</f>
        <v>14069.825799999999</v>
      </c>
      <c r="I5" s="37">
        <v>45624</v>
      </c>
      <c r="J5" s="27">
        <f t="shared" ref="J5:J22" si="1">E5</f>
        <v>3833.74</v>
      </c>
      <c r="K5" s="41">
        <v>3.7095976430614397</v>
      </c>
      <c r="L5" s="41">
        <f>J5*K5</f>
        <v>14221.632868110362</v>
      </c>
      <c r="M5" s="41">
        <f t="shared" ref="M5:M25" si="2">L5-G5</f>
        <v>151.80706811036362</v>
      </c>
      <c r="N5" s="27">
        <f>M5/K5</f>
        <v>40.922785357681263</v>
      </c>
      <c r="O5" s="41"/>
      <c r="P5" s="281"/>
      <c r="Q5" s="281">
        <v>45624</v>
      </c>
      <c r="R5" s="30">
        <v>1860.04</v>
      </c>
      <c r="S5" s="282">
        <f>T5/R5</f>
        <v>3.7095976430614397</v>
      </c>
      <c r="T5" s="282">
        <v>6900</v>
      </c>
    </row>
    <row r="6" spans="1:27">
      <c r="A6" s="32">
        <v>2024</v>
      </c>
      <c r="B6" s="32" t="s">
        <v>35</v>
      </c>
      <c r="C6" s="37">
        <v>45631</v>
      </c>
      <c r="D6" s="32" t="s">
        <v>30</v>
      </c>
      <c r="E6" s="27">
        <f>6017.36-30.88</f>
        <v>5986.48</v>
      </c>
      <c r="F6" s="15">
        <v>3.62</v>
      </c>
      <c r="G6" s="41">
        <f t="shared" si="0"/>
        <v>21671.0576</v>
      </c>
      <c r="I6" s="189">
        <v>45637</v>
      </c>
      <c r="J6" s="27">
        <f t="shared" si="1"/>
        <v>5986.48</v>
      </c>
      <c r="K6" s="41">
        <v>3.6789953889924454</v>
      </c>
      <c r="L6" s="41">
        <f t="shared" ref="L6:L23" si="3">J6*K6</f>
        <v>22024.232316295493</v>
      </c>
      <c r="M6" s="41">
        <f t="shared" si="2"/>
        <v>353.17471629549254</v>
      </c>
      <c r="N6" s="27">
        <f t="shared" ref="N6:N22" si="4">M6/K6</f>
        <v>95.997596885332158</v>
      </c>
      <c r="O6" s="41"/>
      <c r="P6" s="281"/>
      <c r="Q6" s="281">
        <v>45637</v>
      </c>
      <c r="R6" s="30">
        <v>815.44</v>
      </c>
      <c r="S6" s="282">
        <f t="shared" ref="S6:S13" si="5">T6/R6</f>
        <v>3.6789953889924454</v>
      </c>
      <c r="T6" s="282">
        <v>3000</v>
      </c>
    </row>
    <row r="7" spans="1:27">
      <c r="A7" s="32">
        <v>2024</v>
      </c>
      <c r="B7" s="32" t="s">
        <v>35</v>
      </c>
      <c r="C7" s="37">
        <v>45631</v>
      </c>
      <c r="D7" s="32" t="s">
        <v>30</v>
      </c>
      <c r="E7" s="27">
        <v>30.88</v>
      </c>
      <c r="F7" s="15">
        <v>3.62</v>
      </c>
      <c r="G7" s="41">
        <f t="shared" si="0"/>
        <v>111.7856</v>
      </c>
      <c r="I7" s="189">
        <v>45637</v>
      </c>
      <c r="J7" s="27">
        <f t="shared" si="1"/>
        <v>30.88</v>
      </c>
      <c r="K7" s="41">
        <v>3.68</v>
      </c>
      <c r="L7" s="41">
        <f t="shared" si="3"/>
        <v>113.6384</v>
      </c>
      <c r="M7" s="41">
        <f t="shared" si="2"/>
        <v>1.852800000000002</v>
      </c>
      <c r="N7" s="27">
        <f t="shared" si="4"/>
        <v>0.50347826086956571</v>
      </c>
      <c r="O7" s="41"/>
      <c r="P7" s="281"/>
      <c r="Q7" s="281">
        <v>45637</v>
      </c>
      <c r="R7" s="30">
        <v>336.77</v>
      </c>
      <c r="S7" s="282">
        <f t="shared" si="5"/>
        <v>3.68</v>
      </c>
      <c r="T7" s="282">
        <v>1239.3136</v>
      </c>
      <c r="U7" s="283"/>
      <c r="V7" s="25"/>
      <c r="W7" s="25"/>
    </row>
    <row r="8" spans="1:27">
      <c r="A8" s="32">
        <v>2025</v>
      </c>
      <c r="B8" s="32" t="s">
        <v>73</v>
      </c>
      <c r="C8" s="37">
        <v>45666</v>
      </c>
      <c r="D8" s="32" t="s">
        <v>30</v>
      </c>
      <c r="E8" s="27">
        <v>8565.91</v>
      </c>
      <c r="F8" s="15">
        <v>3.7</v>
      </c>
      <c r="G8" s="41">
        <f t="shared" si="0"/>
        <v>31693.867000000002</v>
      </c>
      <c r="I8" s="189">
        <v>45637</v>
      </c>
      <c r="J8" s="27">
        <f t="shared" si="1"/>
        <v>8565.91</v>
      </c>
      <c r="K8" s="41">
        <v>3.6819999999999999</v>
      </c>
      <c r="L8" s="41">
        <f t="shared" si="3"/>
        <v>31539.680619999999</v>
      </c>
      <c r="M8" s="286">
        <f t="shared" si="2"/>
        <v>-154.18638000000283</v>
      </c>
      <c r="N8" s="287">
        <f t="shared" si="4"/>
        <v>-41.875714285715055</v>
      </c>
      <c r="O8" s="41"/>
      <c r="P8" s="281"/>
      <c r="Q8" s="281">
        <v>45637</v>
      </c>
      <c r="R8" s="30">
        <v>902.55</v>
      </c>
      <c r="S8" s="282">
        <f t="shared" si="5"/>
        <v>3.6819999999999999</v>
      </c>
      <c r="T8" s="282">
        <v>3323.1890999999996</v>
      </c>
      <c r="U8" s="283"/>
      <c r="V8" s="25"/>
      <c r="W8" s="25"/>
    </row>
    <row r="9" spans="1:27">
      <c r="A9" s="32">
        <v>2025</v>
      </c>
      <c r="B9" s="32" t="s">
        <v>84</v>
      </c>
      <c r="C9" s="37">
        <v>45699</v>
      </c>
      <c r="D9" s="32" t="s">
        <v>30</v>
      </c>
      <c r="E9" s="27">
        <v>8184</v>
      </c>
      <c r="F9" s="15">
        <v>3.68</v>
      </c>
      <c r="G9" s="41">
        <f t="shared" si="0"/>
        <v>30117.120000000003</v>
      </c>
      <c r="I9" s="189">
        <v>45642</v>
      </c>
      <c r="J9" s="27">
        <f t="shared" si="1"/>
        <v>8184</v>
      </c>
      <c r="K9" s="41">
        <v>3.7029999999999998</v>
      </c>
      <c r="L9" s="41">
        <f t="shared" si="3"/>
        <v>30305.351999999999</v>
      </c>
      <c r="M9" s="41">
        <f t="shared" si="2"/>
        <v>188.23199999999633</v>
      </c>
      <c r="N9" s="27">
        <f t="shared" si="4"/>
        <v>50.832298136644972</v>
      </c>
      <c r="O9" s="41"/>
      <c r="P9" s="281"/>
      <c r="Q9" s="281">
        <v>45642</v>
      </c>
      <c r="R9" s="30">
        <v>5986.48</v>
      </c>
      <c r="S9" s="282">
        <f t="shared" si="5"/>
        <v>3.7029999999999998</v>
      </c>
      <c r="T9" s="282">
        <v>22167.935439999997</v>
      </c>
      <c r="U9" s="282"/>
      <c r="V9" s="41"/>
      <c r="W9" s="27"/>
    </row>
    <row r="10" spans="1:27">
      <c r="A10" s="32">
        <v>2025</v>
      </c>
      <c r="B10" s="32" t="s">
        <v>84</v>
      </c>
      <c r="C10" s="37">
        <v>45699</v>
      </c>
      <c r="D10" s="32" t="s">
        <v>30</v>
      </c>
      <c r="E10" s="27">
        <v>1370.8</v>
      </c>
      <c r="F10" s="15">
        <v>3.68</v>
      </c>
      <c r="G10" s="41">
        <f t="shared" si="0"/>
        <v>5044.5439999999999</v>
      </c>
      <c r="I10" s="189">
        <v>45642</v>
      </c>
      <c r="J10" s="27">
        <f t="shared" si="1"/>
        <v>1370.8</v>
      </c>
      <c r="K10" s="41">
        <v>3.6840000000000002</v>
      </c>
      <c r="L10" s="41">
        <f t="shared" si="3"/>
        <v>5050.0272000000004</v>
      </c>
      <c r="M10" s="41">
        <f t="shared" si="2"/>
        <v>5.4832000000005792</v>
      </c>
      <c r="N10" s="27">
        <f t="shared" si="4"/>
        <v>1.4883821932683439</v>
      </c>
      <c r="O10" s="41"/>
      <c r="P10" s="281"/>
      <c r="Q10" s="281">
        <v>45642</v>
      </c>
      <c r="R10" s="30">
        <v>30.88</v>
      </c>
      <c r="S10" s="282">
        <f t="shared" si="5"/>
        <v>3.6840000000000002</v>
      </c>
      <c r="T10" s="282">
        <v>113.76192</v>
      </c>
      <c r="U10" s="282"/>
      <c r="V10" s="41"/>
      <c r="W10" s="27"/>
    </row>
    <row r="11" spans="1:27">
      <c r="A11" s="32">
        <v>2025</v>
      </c>
      <c r="B11" s="32" t="s">
        <v>84</v>
      </c>
      <c r="C11" s="37">
        <v>45699</v>
      </c>
      <c r="D11" s="32" t="s">
        <v>108</v>
      </c>
      <c r="E11" s="27">
        <v>7286.86</v>
      </c>
      <c r="F11" s="15">
        <v>3.68</v>
      </c>
      <c r="G11" s="41">
        <f t="shared" ref="G11:G18" si="6">E11*F11</f>
        <v>26815.644799999998</v>
      </c>
      <c r="I11" s="37">
        <v>45685</v>
      </c>
      <c r="J11" s="27">
        <f t="shared" si="1"/>
        <v>7286.86</v>
      </c>
      <c r="K11" s="41">
        <v>3.701000379614432</v>
      </c>
      <c r="L11" s="41">
        <f t="shared" si="3"/>
        <v>26968.671626197218</v>
      </c>
      <c r="M11" s="41">
        <f t="shared" si="2"/>
        <v>153.02682619721963</v>
      </c>
      <c r="N11" s="27">
        <f t="shared" si="4"/>
        <v>41.347422453699366</v>
      </c>
      <c r="O11" s="41"/>
      <c r="P11" s="281"/>
      <c r="Q11" s="281">
        <v>45685</v>
      </c>
      <c r="R11" s="30">
        <v>7323.22</v>
      </c>
      <c r="S11" s="282">
        <f t="shared" si="5"/>
        <v>3.701000379614432</v>
      </c>
      <c r="T11" s="282">
        <v>27103.24</v>
      </c>
      <c r="U11" s="282"/>
      <c r="V11" s="41"/>
      <c r="W11" s="27"/>
    </row>
    <row r="12" spans="1:27">
      <c r="A12" s="32">
        <v>2025</v>
      </c>
      <c r="B12" s="32" t="s">
        <v>84</v>
      </c>
      <c r="C12" s="37">
        <v>45709</v>
      </c>
      <c r="D12" s="32" t="s">
        <v>108</v>
      </c>
      <c r="E12" s="27">
        <v>1701</v>
      </c>
      <c r="F12" s="15">
        <v>3.68</v>
      </c>
      <c r="G12" s="41">
        <f t="shared" si="6"/>
        <v>6259.68</v>
      </c>
      <c r="I12" s="37">
        <v>45713</v>
      </c>
      <c r="J12" s="27">
        <f t="shared" si="1"/>
        <v>1701</v>
      </c>
      <c r="K12" s="41">
        <v>3.6450004239623524</v>
      </c>
      <c r="L12" s="41">
        <f t="shared" si="3"/>
        <v>6200.1457211599618</v>
      </c>
      <c r="M12" s="41">
        <f t="shared" si="2"/>
        <v>-59.534278840038496</v>
      </c>
      <c r="N12" s="27">
        <f t="shared" si="4"/>
        <v>-16.333133584473185</v>
      </c>
      <c r="O12" s="41"/>
      <c r="P12" s="281"/>
      <c r="Q12" s="281">
        <v>45713</v>
      </c>
      <c r="R12" s="30">
        <v>9434.7999999999993</v>
      </c>
      <c r="S12" s="282">
        <f t="shared" si="5"/>
        <v>3.6450004239623524</v>
      </c>
      <c r="T12" s="282">
        <v>34389.85</v>
      </c>
      <c r="U12" s="282"/>
      <c r="V12" s="41"/>
      <c r="W12" s="27"/>
    </row>
    <row r="13" spans="1:27">
      <c r="A13" s="32">
        <v>2025</v>
      </c>
      <c r="B13" s="32" t="s">
        <v>190</v>
      </c>
      <c r="C13" s="37">
        <v>45727</v>
      </c>
      <c r="D13" s="32" t="s">
        <v>30</v>
      </c>
      <c r="E13" s="27">
        <f>14132.55-32.29-1300</f>
        <v>12800.259999999998</v>
      </c>
      <c r="F13" s="15">
        <v>3.54</v>
      </c>
      <c r="G13" s="41">
        <f t="shared" si="6"/>
        <v>45312.920399999995</v>
      </c>
      <c r="I13" s="37">
        <v>45716</v>
      </c>
      <c r="J13" s="27">
        <f t="shared" si="1"/>
        <v>12800.259999999998</v>
      </c>
      <c r="K13" s="41">
        <v>3.6569998641667101</v>
      </c>
      <c r="L13" s="41">
        <f t="shared" si="3"/>
        <v>46810.549081298566</v>
      </c>
      <c r="M13" s="286">
        <f t="shared" si="2"/>
        <v>1497.6286812985709</v>
      </c>
      <c r="N13" s="287">
        <f t="shared" si="4"/>
        <v>409.52385477865556</v>
      </c>
      <c r="O13" s="41"/>
      <c r="P13" s="281"/>
      <c r="Q13" s="281">
        <v>45716</v>
      </c>
      <c r="R13" s="30">
        <v>8539.8799999999992</v>
      </c>
      <c r="S13" s="282">
        <f t="shared" si="5"/>
        <v>3.6569998641667101</v>
      </c>
      <c r="T13" s="282">
        <v>31230.34</v>
      </c>
      <c r="U13" s="282"/>
      <c r="V13" s="41"/>
      <c r="W13" s="27"/>
    </row>
    <row r="14" spans="1:27">
      <c r="A14" s="32">
        <v>2025</v>
      </c>
      <c r="B14" s="32" t="s">
        <v>190</v>
      </c>
      <c r="C14" s="37">
        <v>45729</v>
      </c>
      <c r="D14" s="32" t="s">
        <v>108</v>
      </c>
      <c r="E14" s="27">
        <v>9783.49</v>
      </c>
      <c r="F14" s="15">
        <v>3.54</v>
      </c>
      <c r="G14" s="41">
        <f t="shared" si="6"/>
        <v>34633.554600000003</v>
      </c>
      <c r="I14" s="37">
        <v>45744</v>
      </c>
      <c r="J14" s="27">
        <f t="shared" si="1"/>
        <v>9783.49</v>
      </c>
      <c r="K14" s="41">
        <v>3.6259999999999999</v>
      </c>
      <c r="L14" s="41">
        <f t="shared" si="3"/>
        <v>35474.934739999997</v>
      </c>
      <c r="M14" s="41">
        <f t="shared" si="2"/>
        <v>841.38013999999384</v>
      </c>
      <c r="N14" s="27">
        <f t="shared" si="4"/>
        <v>232.04085493656754</v>
      </c>
      <c r="O14" s="41"/>
      <c r="P14" s="281"/>
      <c r="Q14" s="281">
        <v>45744</v>
      </c>
      <c r="R14" s="30">
        <v>7036.42</v>
      </c>
      <c r="S14" s="282">
        <v>3.6259999999999999</v>
      </c>
      <c r="T14" s="282">
        <v>66948.94</v>
      </c>
      <c r="U14" s="282"/>
      <c r="V14" s="41"/>
      <c r="W14" s="27"/>
      <c r="AA14" s="288">
        <v>9668.49</v>
      </c>
    </row>
    <row r="15" spans="1:27">
      <c r="A15" s="32">
        <v>2025</v>
      </c>
      <c r="B15" s="32" t="s">
        <v>190</v>
      </c>
      <c r="C15" s="37">
        <v>45741</v>
      </c>
      <c r="D15" s="32" t="s">
        <v>30</v>
      </c>
      <c r="E15" s="27">
        <v>2500.8000000000002</v>
      </c>
      <c r="F15" s="15">
        <v>3.68</v>
      </c>
      <c r="G15" s="41">
        <f t="shared" si="6"/>
        <v>9202.9440000000013</v>
      </c>
      <c r="I15" s="37">
        <v>45744</v>
      </c>
      <c r="J15" s="27">
        <f t="shared" si="1"/>
        <v>2500.8000000000002</v>
      </c>
      <c r="K15" s="41">
        <v>3.6240000000000001</v>
      </c>
      <c r="L15" s="41">
        <f t="shared" si="3"/>
        <v>9062.8992000000017</v>
      </c>
      <c r="M15" s="41">
        <f t="shared" si="2"/>
        <v>-140.04479999999967</v>
      </c>
      <c r="N15" s="27">
        <f t="shared" si="4"/>
        <v>-38.643708609271428</v>
      </c>
      <c r="O15" s="41"/>
      <c r="P15" s="281"/>
      <c r="Q15" s="281">
        <v>45744</v>
      </c>
      <c r="R15" s="30">
        <v>18463.580000000002</v>
      </c>
      <c r="S15" s="282">
        <v>3.6240000000000001</v>
      </c>
      <c r="T15" s="282">
        <v>25500</v>
      </c>
      <c r="U15" s="282"/>
      <c r="V15" s="41"/>
      <c r="W15" s="27"/>
    </row>
    <row r="16" spans="1:27">
      <c r="A16" s="32">
        <v>2025</v>
      </c>
      <c r="B16" s="32" t="s">
        <v>190</v>
      </c>
      <c r="C16" s="37">
        <v>45742</v>
      </c>
      <c r="D16" s="32" t="s">
        <v>108</v>
      </c>
      <c r="E16" s="27">
        <v>3673.05</v>
      </c>
      <c r="F16" s="15">
        <v>3.54</v>
      </c>
      <c r="G16" s="41">
        <f t="shared" si="6"/>
        <v>13002.597000000002</v>
      </c>
      <c r="I16" s="37">
        <v>45769</v>
      </c>
      <c r="J16" s="27">
        <f t="shared" si="1"/>
        <v>3673.05</v>
      </c>
      <c r="K16" s="41">
        <v>3.6639982218146248</v>
      </c>
      <c r="L16" s="41">
        <f t="shared" si="3"/>
        <v>13458.048668636207</v>
      </c>
      <c r="M16" s="41">
        <f t="shared" si="2"/>
        <v>455.4516686362058</v>
      </c>
      <c r="N16" s="27">
        <f t="shared" si="4"/>
        <v>124.30455504168877</v>
      </c>
      <c r="O16" s="41"/>
      <c r="P16" s="281"/>
      <c r="Q16" s="281">
        <v>45769</v>
      </c>
      <c r="R16" s="30">
        <f>5713.69</f>
        <v>5713.69</v>
      </c>
      <c r="S16" s="282">
        <f>T16/R16</f>
        <v>3.6639982218146248</v>
      </c>
      <c r="T16" s="282">
        <v>20934.95</v>
      </c>
      <c r="U16" s="282"/>
      <c r="V16" s="41"/>
      <c r="W16" s="27"/>
      <c r="AA16" s="288">
        <v>3578.05</v>
      </c>
    </row>
    <row r="17" spans="1:27">
      <c r="A17" s="32">
        <v>2025</v>
      </c>
      <c r="B17" s="32" t="s">
        <v>216</v>
      </c>
      <c r="C17" s="37">
        <v>45757</v>
      </c>
      <c r="D17" s="32" t="s">
        <v>218</v>
      </c>
      <c r="E17" s="27">
        <v>5561.75</v>
      </c>
      <c r="F17" s="15">
        <v>3.63</v>
      </c>
      <c r="G17" s="41">
        <f t="shared" si="6"/>
        <v>20189.1525</v>
      </c>
      <c r="I17" s="37">
        <v>45769</v>
      </c>
      <c r="J17" s="27">
        <f t="shared" si="1"/>
        <v>5561.75</v>
      </c>
      <c r="K17" s="41">
        <v>3.6450394326993178</v>
      </c>
      <c r="L17" s="41">
        <f t="shared" si="3"/>
        <v>20272.79806481543</v>
      </c>
      <c r="M17" s="41">
        <f t="shared" si="2"/>
        <v>83.64556481542968</v>
      </c>
      <c r="N17" s="27">
        <f t="shared" si="4"/>
        <v>22.947780500000331</v>
      </c>
      <c r="O17" s="41"/>
      <c r="P17" s="281"/>
      <c r="Q17" s="281">
        <v>45769</v>
      </c>
      <c r="R17" s="30">
        <v>150.88999999999999</v>
      </c>
      <c r="S17" s="282">
        <f>T17/R17</f>
        <v>3.6450394326993178</v>
      </c>
      <c r="T17" s="282">
        <v>550</v>
      </c>
      <c r="U17" s="282"/>
      <c r="V17" s="41"/>
      <c r="W17" s="27"/>
      <c r="X17" s="27"/>
      <c r="Y17" s="215"/>
    </row>
    <row r="18" spans="1:27">
      <c r="A18" s="32">
        <v>2025</v>
      </c>
      <c r="B18" s="32" t="s">
        <v>216</v>
      </c>
      <c r="C18" s="37">
        <v>45763</v>
      </c>
      <c r="D18" s="32" t="s">
        <v>217</v>
      </c>
      <c r="E18" s="27">
        <v>14538.61</v>
      </c>
      <c r="F18" s="15">
        <v>3.63</v>
      </c>
      <c r="G18" s="41">
        <f t="shared" si="6"/>
        <v>52775.154300000002</v>
      </c>
      <c r="I18" s="37">
        <v>45769</v>
      </c>
      <c r="J18" s="27">
        <f t="shared" si="1"/>
        <v>14538.61</v>
      </c>
      <c r="K18" s="41">
        <v>3.3910585300094569</v>
      </c>
      <c r="L18" s="41">
        <f t="shared" si="3"/>
        <v>49301.277454980795</v>
      </c>
      <c r="M18" s="286">
        <f t="shared" si="2"/>
        <v>-3473.8768450192074</v>
      </c>
      <c r="N18" s="287">
        <f t="shared" si="4"/>
        <v>-1024.4225554577849</v>
      </c>
      <c r="O18" s="41"/>
      <c r="P18" s="281"/>
      <c r="Q18" s="281">
        <v>45769</v>
      </c>
      <c r="R18" s="30">
        <v>497.01</v>
      </c>
      <c r="S18" s="282">
        <f>T18/R18</f>
        <v>3.3910585300094569</v>
      </c>
      <c r="T18" s="282">
        <v>1685.39</v>
      </c>
      <c r="U18" s="282"/>
      <c r="V18" s="41"/>
      <c r="W18" s="27"/>
      <c r="AA18" s="288">
        <v>13993.022156367166</v>
      </c>
    </row>
    <row r="19" spans="1:27">
      <c r="A19" s="32">
        <v>2025</v>
      </c>
      <c r="B19" s="32" t="s">
        <v>216</v>
      </c>
      <c r="C19" s="37">
        <v>45764</v>
      </c>
      <c r="D19" s="32" t="s">
        <v>231</v>
      </c>
      <c r="E19" s="27">
        <v>266.8</v>
      </c>
      <c r="F19" s="15">
        <v>3.63</v>
      </c>
      <c r="G19" s="41">
        <f t="shared" ref="G19:G25" si="7">E19*F19</f>
        <v>968.48400000000004</v>
      </c>
      <c r="I19" s="37">
        <v>45775</v>
      </c>
      <c r="J19" s="27">
        <f t="shared" si="1"/>
        <v>266.8</v>
      </c>
      <c r="K19" s="41">
        <v>3.637</v>
      </c>
      <c r="L19" s="41">
        <f t="shared" si="3"/>
        <v>970.35160000000008</v>
      </c>
      <c r="M19" s="41">
        <f t="shared" si="2"/>
        <v>1.8676000000000386</v>
      </c>
      <c r="N19" s="27">
        <f t="shared" si="4"/>
        <v>0.51350013747595236</v>
      </c>
      <c r="O19" s="41"/>
      <c r="P19" s="281"/>
      <c r="Q19" s="281">
        <v>45775</v>
      </c>
      <c r="R19" s="30">
        <v>16387.939999999999</v>
      </c>
      <c r="S19" s="282">
        <v>3.637</v>
      </c>
      <c r="T19" s="282">
        <v>59980.76</v>
      </c>
      <c r="U19" s="282"/>
      <c r="V19" s="41"/>
      <c r="W19" s="27"/>
      <c r="AA19" s="288">
        <v>256.78784363283421</v>
      </c>
    </row>
    <row r="20" spans="1:27">
      <c r="A20" s="32">
        <v>2025</v>
      </c>
      <c r="B20" s="32" t="s">
        <v>216</v>
      </c>
      <c r="C20" s="37">
        <v>45769</v>
      </c>
      <c r="D20" s="32" t="s">
        <v>232</v>
      </c>
      <c r="E20" s="27">
        <v>27.55</v>
      </c>
      <c r="F20" s="15">
        <v>3.63</v>
      </c>
      <c r="G20" s="41">
        <f t="shared" si="7"/>
        <v>100.0065</v>
      </c>
      <c r="I20" s="37">
        <v>45805</v>
      </c>
      <c r="J20" s="27">
        <f t="shared" si="1"/>
        <v>27.55</v>
      </c>
      <c r="K20" s="41">
        <v>3.6150000000000002</v>
      </c>
      <c r="L20" s="41">
        <f t="shared" si="3"/>
        <v>99.593250000000012</v>
      </c>
      <c r="M20" s="41">
        <f t="shared" si="2"/>
        <v>-0.41324999999999079</v>
      </c>
      <c r="N20" s="27">
        <f t="shared" si="4"/>
        <v>-0.11431535269709288</v>
      </c>
      <c r="O20" s="41"/>
      <c r="P20" s="281"/>
      <c r="Q20" s="281">
        <v>45805</v>
      </c>
      <c r="R20" s="30">
        <v>22833.67</v>
      </c>
      <c r="S20" s="282">
        <v>3.6150000000000002</v>
      </c>
      <c r="T20" s="282">
        <f>R20*S20</f>
        <v>82543.717049999992</v>
      </c>
    </row>
    <row r="21" spans="1:27">
      <c r="A21" s="32">
        <v>2025</v>
      </c>
      <c r="B21" s="32" t="s">
        <v>269</v>
      </c>
      <c r="C21" s="37">
        <v>45791</v>
      </c>
      <c r="D21" s="32" t="s">
        <v>268</v>
      </c>
      <c r="E21" s="27">
        <v>22331.83</v>
      </c>
      <c r="F21" s="15">
        <v>3.64</v>
      </c>
      <c r="G21" s="41">
        <f t="shared" si="7"/>
        <v>81287.861200000014</v>
      </c>
      <c r="I21" s="37">
        <v>45834</v>
      </c>
      <c r="J21" s="27">
        <f t="shared" si="1"/>
        <v>22331.83</v>
      </c>
      <c r="K21" s="41">
        <v>3.5150000000000001</v>
      </c>
      <c r="L21" s="41">
        <f t="shared" si="3"/>
        <v>78496.382450000005</v>
      </c>
      <c r="M21" s="286">
        <f t="shared" si="2"/>
        <v>-2791.4787500000093</v>
      </c>
      <c r="N21" s="287">
        <f t="shared" si="4"/>
        <v>-794.16180654338814</v>
      </c>
      <c r="O21" s="41"/>
      <c r="P21" s="281"/>
      <c r="Q21" s="281">
        <v>45834</v>
      </c>
      <c r="R21" s="30">
        <v>7478.42</v>
      </c>
      <c r="S21" s="282">
        <v>3.5150000000000001</v>
      </c>
      <c r="T21" s="282">
        <f>R21*S21</f>
        <v>26286.6463</v>
      </c>
      <c r="AA21" s="288">
        <v>22201.83</v>
      </c>
    </row>
    <row r="22" spans="1:27">
      <c r="A22" s="32">
        <v>2025</v>
      </c>
      <c r="B22" s="32" t="s">
        <v>318</v>
      </c>
      <c r="C22" s="37">
        <v>45821</v>
      </c>
      <c r="D22" s="32" t="s">
        <v>389</v>
      </c>
      <c r="E22" s="27">
        <v>28304.85</v>
      </c>
      <c r="F22" s="15">
        <v>3.61</v>
      </c>
      <c r="G22" s="41">
        <f t="shared" si="7"/>
        <v>102180.5085</v>
      </c>
      <c r="I22" s="37">
        <v>45834</v>
      </c>
      <c r="J22" s="27">
        <f t="shared" si="1"/>
        <v>28304.85</v>
      </c>
      <c r="K22" s="41">
        <v>3.5169999999999999</v>
      </c>
      <c r="L22" s="41">
        <f t="shared" si="3"/>
        <v>99548.157449999999</v>
      </c>
      <c r="M22" s="286">
        <f t="shared" si="2"/>
        <v>-2632.3510499999975</v>
      </c>
      <c r="N22" s="287">
        <f t="shared" si="4"/>
        <v>-748.46489906169961</v>
      </c>
      <c r="O22" s="41"/>
      <c r="P22" s="281"/>
      <c r="Q22" s="281">
        <v>45834</v>
      </c>
      <c r="R22" s="30">
        <v>18808.23</v>
      </c>
      <c r="S22" s="282">
        <v>3.5169999999999999</v>
      </c>
      <c r="T22" s="282">
        <f>R22*S22</f>
        <v>66148.544909999997</v>
      </c>
      <c r="AA22" s="288">
        <v>28174.85</v>
      </c>
    </row>
    <row r="23" spans="1:27">
      <c r="A23" s="32">
        <v>2025</v>
      </c>
      <c r="B23" s="32" t="s">
        <v>388</v>
      </c>
      <c r="C23" s="37">
        <v>45853</v>
      </c>
      <c r="D23" s="32" t="s">
        <v>390</v>
      </c>
      <c r="E23" s="27">
        <f>26638.05</f>
        <v>26638.05</v>
      </c>
      <c r="F23" s="15">
        <v>3.44</v>
      </c>
      <c r="G23" s="41">
        <f t="shared" si="7"/>
        <v>91634.891999999993</v>
      </c>
      <c r="I23" s="37">
        <v>45862</v>
      </c>
      <c r="J23" s="27">
        <v>26478.05</v>
      </c>
      <c r="K23" s="41">
        <v>3.51</v>
      </c>
      <c r="L23" s="41">
        <f t="shared" si="3"/>
        <v>92937.955499999996</v>
      </c>
      <c r="M23" s="41">
        <f t="shared" si="2"/>
        <v>1303.0635000000038</v>
      </c>
      <c r="N23" s="27">
        <f t="shared" ref="N23:N28" si="8">IFERROR(M23/K23,0)</f>
        <v>371.24316239316352</v>
      </c>
      <c r="O23" s="41"/>
      <c r="P23" s="281"/>
      <c r="Q23" s="281">
        <v>45849</v>
      </c>
      <c r="R23" s="30">
        <v>2683.33</v>
      </c>
      <c r="S23" s="282">
        <v>3.5179999999999998</v>
      </c>
      <c r="T23" s="282">
        <f>R23*S23</f>
        <v>9439.9549399999996</v>
      </c>
    </row>
    <row r="24" spans="1:27">
      <c r="A24" s="32">
        <v>2025</v>
      </c>
      <c r="B24" s="32" t="s">
        <v>388</v>
      </c>
      <c r="C24" s="37">
        <v>45853</v>
      </c>
      <c r="D24" s="32" t="s">
        <v>391</v>
      </c>
      <c r="E24" s="27">
        <f>5371.58</f>
        <v>5371.58</v>
      </c>
      <c r="F24" s="15">
        <v>3.44</v>
      </c>
      <c r="G24" s="41">
        <f t="shared" si="7"/>
        <v>18478.235199999999</v>
      </c>
      <c r="I24" s="37">
        <v>45862</v>
      </c>
      <c r="J24" s="27">
        <v>5371.58</v>
      </c>
      <c r="K24" s="41">
        <v>3.51</v>
      </c>
      <c r="L24" s="41">
        <f t="shared" ref="L24:L33" si="9">J24*K24</f>
        <v>18854.245799999997</v>
      </c>
      <c r="M24" s="41">
        <f t="shared" si="2"/>
        <v>376.01059999999779</v>
      </c>
      <c r="N24" s="27">
        <f t="shared" si="8"/>
        <v>107.12552706552644</v>
      </c>
    </row>
    <row r="25" spans="1:27">
      <c r="A25" s="32">
        <v>2025</v>
      </c>
      <c r="B25" s="32" t="s">
        <v>388</v>
      </c>
      <c r="C25" s="37">
        <v>45853</v>
      </c>
      <c r="D25" s="32" t="s">
        <v>396</v>
      </c>
      <c r="E25" s="27">
        <f>6791.98</f>
        <v>6791.98</v>
      </c>
      <c r="F25" s="15">
        <v>3.44</v>
      </c>
      <c r="G25" s="41">
        <f t="shared" si="7"/>
        <v>23364.411199999999</v>
      </c>
      <c r="I25" s="37">
        <v>45862</v>
      </c>
      <c r="J25" s="27">
        <v>6761.98</v>
      </c>
      <c r="K25" s="41">
        <v>3.51</v>
      </c>
      <c r="L25" s="41">
        <f t="shared" si="9"/>
        <v>23734.549799999997</v>
      </c>
      <c r="M25" s="41">
        <f t="shared" si="2"/>
        <v>370.13859999999841</v>
      </c>
      <c r="N25" s="27">
        <f t="shared" si="8"/>
        <v>105.45259259259214</v>
      </c>
    </row>
    <row r="26" spans="1:27">
      <c r="A26" s="32">
        <v>2025</v>
      </c>
      <c r="B26" s="32" t="s">
        <v>595</v>
      </c>
      <c r="C26" s="37">
        <v>45880</v>
      </c>
      <c r="D26" s="32" t="s">
        <v>596</v>
      </c>
      <c r="E26" s="27">
        <v>25117.84</v>
      </c>
      <c r="F26" s="15">
        <v>3.44</v>
      </c>
      <c r="G26" s="41">
        <f t="shared" ref="G26:G37" si="10">E26*F26</f>
        <v>86405.369600000005</v>
      </c>
      <c r="I26" s="37">
        <v>45891</v>
      </c>
      <c r="J26" s="27">
        <f>'BCP USD BCP'!$E$152</f>
        <v>24957.84</v>
      </c>
      <c r="K26" s="41">
        <v>3.4769999999999999</v>
      </c>
      <c r="L26" s="41">
        <f t="shared" si="9"/>
        <v>86778.409679999997</v>
      </c>
      <c r="M26" s="41">
        <f t="shared" ref="M26:M33" si="11">L26-G26</f>
        <v>373.04007999999158</v>
      </c>
      <c r="N26" s="27">
        <f t="shared" si="8"/>
        <v>107.28791486913765</v>
      </c>
      <c r="O26" s="42"/>
      <c r="S26" s="282"/>
      <c r="T26" s="284"/>
      <c r="V26" s="43"/>
    </row>
    <row r="27" spans="1:27">
      <c r="A27" s="32">
        <v>2025</v>
      </c>
      <c r="B27" s="32" t="s">
        <v>595</v>
      </c>
      <c r="C27" s="37">
        <v>45880</v>
      </c>
      <c r="D27" s="32" t="s">
        <v>599</v>
      </c>
      <c r="E27" s="27">
        <v>6791.98</v>
      </c>
      <c r="F27" s="15">
        <v>3.44</v>
      </c>
      <c r="G27" s="41">
        <f t="shared" si="10"/>
        <v>23364.411199999999</v>
      </c>
      <c r="I27" s="37">
        <v>45891</v>
      </c>
      <c r="J27" s="27">
        <f>'BCP USD BCP'!$E$154</f>
        <v>6791.98</v>
      </c>
      <c r="K27" s="41">
        <v>3.4769999999999999</v>
      </c>
      <c r="L27" s="41">
        <f t="shared" si="9"/>
        <v>23615.714459999999</v>
      </c>
      <c r="M27" s="41">
        <f t="shared" si="11"/>
        <v>251.30326000000059</v>
      </c>
      <c r="N27" s="27">
        <f t="shared" si="8"/>
        <v>72.275887259131608</v>
      </c>
      <c r="O27" s="42"/>
      <c r="S27" s="282"/>
      <c r="T27" s="284"/>
      <c r="V27" s="43"/>
    </row>
    <row r="28" spans="1:27">
      <c r="A28" s="32">
        <v>2025</v>
      </c>
      <c r="B28" s="32" t="s">
        <v>595</v>
      </c>
      <c r="C28" s="37">
        <v>45880</v>
      </c>
      <c r="D28" s="32" t="s">
        <v>597</v>
      </c>
      <c r="E28" s="27">
        <v>5371.58</v>
      </c>
      <c r="F28" s="15">
        <v>3.44</v>
      </c>
      <c r="G28" s="41">
        <f t="shared" si="10"/>
        <v>18478.235199999999</v>
      </c>
      <c r="I28" s="37">
        <v>45894</v>
      </c>
      <c r="J28" s="27">
        <f>'BCP USD BCP'!$E$155</f>
        <v>5371.58</v>
      </c>
      <c r="K28" s="41">
        <v>3.4769999999999999</v>
      </c>
      <c r="L28" s="41">
        <f t="shared" si="9"/>
        <v>18676.983659999998</v>
      </c>
      <c r="M28" s="41">
        <f t="shared" si="11"/>
        <v>198.74845999999889</v>
      </c>
      <c r="N28" s="27">
        <f t="shared" si="8"/>
        <v>57.160903077365226</v>
      </c>
      <c r="O28" s="42"/>
      <c r="S28" s="282"/>
      <c r="T28" s="284"/>
      <c r="V28" s="43"/>
    </row>
    <row r="29" spans="1:27">
      <c r="A29" s="32">
        <v>2025</v>
      </c>
      <c r="B29" s="32" t="s">
        <v>717</v>
      </c>
      <c r="C29" s="37">
        <v>45911</v>
      </c>
      <c r="D29" s="32" t="s">
        <v>718</v>
      </c>
      <c r="E29" s="27">
        <v>28488.89</v>
      </c>
      <c r="F29" s="15">
        <v>3.41</v>
      </c>
      <c r="G29" s="41">
        <f t="shared" si="10"/>
        <v>97147.1149</v>
      </c>
      <c r="I29" s="37">
        <v>45929</v>
      </c>
      <c r="J29" s="27">
        <v>28438.99</v>
      </c>
      <c r="K29" s="41">
        <v>3.43</v>
      </c>
      <c r="L29" s="41">
        <f t="shared" si="9"/>
        <v>97545.735700000005</v>
      </c>
      <c r="M29" s="41">
        <f t="shared" si="11"/>
        <v>398.62080000000424</v>
      </c>
      <c r="N29" s="27">
        <f t="shared" ref="N29:N34" si="12">IFERROR(M29/K29,0)</f>
        <v>116.21597667638606</v>
      </c>
      <c r="O29" s="42"/>
      <c r="S29" s="282"/>
      <c r="T29" s="284"/>
      <c r="V29" s="43"/>
    </row>
    <row r="30" spans="1:27">
      <c r="A30" s="32">
        <v>2025</v>
      </c>
      <c r="B30" s="32" t="s">
        <v>717</v>
      </c>
      <c r="C30" s="37">
        <v>45911</v>
      </c>
      <c r="D30" s="32" t="s">
        <v>719</v>
      </c>
      <c r="E30" s="27">
        <v>6886.93</v>
      </c>
      <c r="F30" s="15">
        <v>3.41</v>
      </c>
      <c r="G30" s="41">
        <f t="shared" si="10"/>
        <v>23484.4313</v>
      </c>
      <c r="I30" s="37">
        <v>45929</v>
      </c>
      <c r="J30" s="27">
        <v>6886.93</v>
      </c>
      <c r="K30" s="41">
        <v>3.43</v>
      </c>
      <c r="L30" s="41">
        <f t="shared" si="9"/>
        <v>23622.169900000001</v>
      </c>
      <c r="M30" s="41">
        <f t="shared" si="11"/>
        <v>137.73860000000059</v>
      </c>
      <c r="N30" s="27">
        <f t="shared" si="12"/>
        <v>40.157026239067228</v>
      </c>
      <c r="O30" s="42"/>
      <c r="S30" s="282"/>
      <c r="T30" s="284"/>
      <c r="V30" s="43"/>
    </row>
    <row r="31" spans="1:27">
      <c r="A31" s="32">
        <v>2025</v>
      </c>
      <c r="B31" s="32" t="s">
        <v>717</v>
      </c>
      <c r="C31" s="37">
        <v>45911</v>
      </c>
      <c r="D31" s="32" t="s">
        <v>720</v>
      </c>
      <c r="E31" s="27">
        <v>5424.5</v>
      </c>
      <c r="F31" s="15">
        <v>3.41</v>
      </c>
      <c r="G31" s="41">
        <f t="shared" si="10"/>
        <v>18497.545000000002</v>
      </c>
      <c r="I31" s="37">
        <v>45922</v>
      </c>
      <c r="J31" s="27">
        <v>5424.5</v>
      </c>
      <c r="K31" s="41">
        <v>3.43</v>
      </c>
      <c r="L31" s="41">
        <f t="shared" si="9"/>
        <v>18606.035</v>
      </c>
      <c r="M31" s="41">
        <f t="shared" si="11"/>
        <v>108.48999999999796</v>
      </c>
      <c r="N31" s="27">
        <f t="shared" si="12"/>
        <v>31.629737609328849</v>
      </c>
      <c r="O31" s="42"/>
      <c r="S31" s="282"/>
      <c r="T31" s="284"/>
      <c r="V31" s="43"/>
    </row>
    <row r="32" spans="1:27">
      <c r="A32" s="32">
        <v>2025</v>
      </c>
      <c r="B32" s="32" t="s">
        <v>717</v>
      </c>
      <c r="C32" s="37">
        <v>45911</v>
      </c>
      <c r="D32" s="32" t="s">
        <v>721</v>
      </c>
      <c r="E32" s="27">
        <v>1524.93</v>
      </c>
      <c r="F32" s="15">
        <v>3.41</v>
      </c>
      <c r="G32" s="41">
        <f t="shared" si="10"/>
        <v>5200.0113000000001</v>
      </c>
      <c r="I32" s="37">
        <v>45922</v>
      </c>
      <c r="J32" s="27">
        <v>1524.93</v>
      </c>
      <c r="K32" s="41">
        <v>3.43</v>
      </c>
      <c r="L32" s="41">
        <f t="shared" si="9"/>
        <v>5230.5099</v>
      </c>
      <c r="M32" s="41">
        <f t="shared" si="11"/>
        <v>30.498599999999897</v>
      </c>
      <c r="N32" s="27">
        <f t="shared" si="12"/>
        <v>8.8917201166180444</v>
      </c>
      <c r="O32" s="42"/>
      <c r="S32" s="282"/>
      <c r="T32" s="284"/>
      <c r="V32" s="43"/>
    </row>
    <row r="33" spans="1:27">
      <c r="A33" s="32">
        <v>2025</v>
      </c>
      <c r="B33" s="32" t="s">
        <v>717</v>
      </c>
      <c r="C33" s="37">
        <v>45911</v>
      </c>
      <c r="D33" s="32" t="s">
        <v>722</v>
      </c>
      <c r="E33" s="27">
        <v>624.96</v>
      </c>
      <c r="F33" s="15">
        <v>3.41</v>
      </c>
      <c r="G33" s="41">
        <f t="shared" si="10"/>
        <v>2131.1136000000001</v>
      </c>
      <c r="I33" s="37">
        <v>45929</v>
      </c>
      <c r="J33" s="27">
        <v>554.96</v>
      </c>
      <c r="K33" s="41">
        <v>3.43</v>
      </c>
      <c r="L33" s="41">
        <f t="shared" si="9"/>
        <v>1903.5128000000002</v>
      </c>
      <c r="M33" s="41">
        <f t="shared" si="11"/>
        <v>-227.60079999999994</v>
      </c>
      <c r="N33" s="27">
        <f t="shared" si="12"/>
        <v>-66.355918367346916</v>
      </c>
      <c r="O33" s="42"/>
      <c r="S33" s="282"/>
      <c r="T33" s="284"/>
      <c r="V33" s="43"/>
    </row>
    <row r="34" spans="1:27">
      <c r="A34" s="32">
        <v>2025</v>
      </c>
      <c r="B34" s="32" t="s">
        <v>735</v>
      </c>
      <c r="C34" s="37">
        <v>45939</v>
      </c>
      <c r="D34" s="32" t="s">
        <v>736</v>
      </c>
      <c r="E34" s="27">
        <v>6776.3</v>
      </c>
      <c r="F34" s="15">
        <v>3.35</v>
      </c>
      <c r="G34" s="41">
        <f t="shared" si="10"/>
        <v>22700.605</v>
      </c>
      <c r="I34" s="37">
        <v>45950</v>
      </c>
      <c r="J34" s="27">
        <v>6758.3</v>
      </c>
      <c r="K34" s="41">
        <v>3.3180000000000001</v>
      </c>
      <c r="L34" s="41">
        <f t="shared" ref="L34:L40" si="13">J34*K34</f>
        <v>22424.039400000001</v>
      </c>
      <c r="M34" s="41">
        <f t="shared" ref="M34:M40" si="14">L34-G34</f>
        <v>-276.56559999999808</v>
      </c>
      <c r="N34" s="27">
        <f t="shared" si="12"/>
        <v>-83.353104279685979</v>
      </c>
      <c r="O34" s="42"/>
      <c r="S34" s="282"/>
      <c r="T34" s="284"/>
      <c r="V34" s="43"/>
    </row>
    <row r="35" spans="1:27">
      <c r="A35" s="32">
        <v>2025</v>
      </c>
      <c r="B35" s="32" t="s">
        <v>735</v>
      </c>
      <c r="C35" s="37">
        <v>45939</v>
      </c>
      <c r="D35" s="32" t="s">
        <v>738</v>
      </c>
      <c r="E35" s="27">
        <v>29848.5</v>
      </c>
      <c r="F35" s="15">
        <v>3.35</v>
      </c>
      <c r="G35" s="41">
        <f t="shared" si="10"/>
        <v>99992.475000000006</v>
      </c>
      <c r="I35" s="37">
        <v>45952</v>
      </c>
      <c r="J35" s="27">
        <v>29708.5</v>
      </c>
      <c r="K35" s="41">
        <v>3.3180000000000001</v>
      </c>
      <c r="L35" s="41">
        <f t="shared" si="13"/>
        <v>98572.803</v>
      </c>
      <c r="M35" s="41">
        <f t="shared" si="14"/>
        <v>-1419.6720000000059</v>
      </c>
      <c r="N35" s="27">
        <f t="shared" ref="N35:N40" si="15">IFERROR(M35/K35,0)</f>
        <v>-427.86980108499273</v>
      </c>
      <c r="O35" s="42"/>
      <c r="S35" s="282"/>
      <c r="T35" s="284"/>
      <c r="V35" s="43"/>
      <c r="Z35" s="215"/>
      <c r="AA35" s="274"/>
    </row>
    <row r="36" spans="1:27">
      <c r="A36" s="32">
        <v>2025</v>
      </c>
      <c r="B36" s="32" t="s">
        <v>735</v>
      </c>
      <c r="C36" s="37">
        <v>45951</v>
      </c>
      <c r="D36" s="32" t="s">
        <v>737</v>
      </c>
      <c r="E36" s="27">
        <v>5511.41</v>
      </c>
      <c r="F36" s="15">
        <v>3.35</v>
      </c>
      <c r="G36" s="41">
        <f t="shared" si="10"/>
        <v>18463.2235</v>
      </c>
      <c r="I36" s="37">
        <v>45953</v>
      </c>
      <c r="J36" s="27">
        <v>5511.41</v>
      </c>
      <c r="K36" s="41">
        <v>3.3180000000000001</v>
      </c>
      <c r="L36" s="41">
        <f t="shared" si="13"/>
        <v>18286.858380000001</v>
      </c>
      <c r="M36" s="41">
        <f t="shared" si="14"/>
        <v>-176.36511999999857</v>
      </c>
      <c r="N36" s="27">
        <f t="shared" si="15"/>
        <v>-53.154044605183415</v>
      </c>
      <c r="O36" s="42"/>
      <c r="S36" s="282"/>
      <c r="T36" s="284"/>
      <c r="V36" s="43"/>
    </row>
    <row r="37" spans="1:27">
      <c r="A37" s="32">
        <v>2025</v>
      </c>
      <c r="B37" s="32" t="s">
        <v>34</v>
      </c>
      <c r="C37" s="37">
        <v>45971</v>
      </c>
      <c r="D37" s="32" t="s">
        <v>925</v>
      </c>
      <c r="E37" s="27">
        <v>6540.3</v>
      </c>
      <c r="F37" s="15">
        <v>3.2</v>
      </c>
      <c r="G37" s="41">
        <f t="shared" si="10"/>
        <v>20928.960000000003</v>
      </c>
      <c r="I37" s="37">
        <v>45987</v>
      </c>
      <c r="J37" s="27">
        <v>6540.3</v>
      </c>
      <c r="K37" s="41">
        <v>3.2949999999999999</v>
      </c>
      <c r="L37" s="41">
        <f t="shared" si="13"/>
        <v>21550.288499999999</v>
      </c>
      <c r="M37" s="41">
        <f t="shared" si="14"/>
        <v>621.32849999999598</v>
      </c>
      <c r="N37" s="27">
        <f t="shared" si="15"/>
        <v>188.56707132018087</v>
      </c>
      <c r="O37" s="42"/>
      <c r="S37" s="282"/>
      <c r="T37" s="284"/>
      <c r="V37" s="43"/>
      <c r="Z37" s="215"/>
      <c r="AA37" s="274"/>
    </row>
    <row r="38" spans="1:27">
      <c r="A38" s="32">
        <v>2025</v>
      </c>
      <c r="B38" s="32" t="s">
        <v>34</v>
      </c>
      <c r="C38" s="37">
        <v>45971</v>
      </c>
      <c r="D38" s="32" t="s">
        <v>926</v>
      </c>
      <c r="E38" s="27">
        <v>236</v>
      </c>
      <c r="F38" s="15">
        <v>3.2</v>
      </c>
      <c r="G38" s="41">
        <f t="shared" ref="G38:G47" si="16">E38*F38</f>
        <v>755.2</v>
      </c>
      <c r="I38" s="37">
        <v>45987</v>
      </c>
      <c r="J38" s="27">
        <v>236</v>
      </c>
      <c r="K38" s="41">
        <v>3.2949999999999999</v>
      </c>
      <c r="L38" s="41">
        <f t="shared" si="13"/>
        <v>777.62</v>
      </c>
      <c r="M38" s="41">
        <f t="shared" si="14"/>
        <v>22.419999999999959</v>
      </c>
      <c r="N38" s="27">
        <f t="shared" si="15"/>
        <v>6.8042488619119759</v>
      </c>
      <c r="O38" s="42"/>
      <c r="S38" s="282"/>
      <c r="T38" s="284"/>
      <c r="V38" s="43"/>
      <c r="Z38" s="215"/>
      <c r="AA38" s="274"/>
    </row>
    <row r="39" spans="1:27">
      <c r="A39" s="32">
        <v>2025</v>
      </c>
      <c r="B39" s="32" t="s">
        <v>34</v>
      </c>
      <c r="C39" s="37">
        <v>45978</v>
      </c>
      <c r="D39" s="32" t="s">
        <v>927</v>
      </c>
      <c r="E39" s="27">
        <v>28515.42</v>
      </c>
      <c r="F39" s="15">
        <v>3.2</v>
      </c>
      <c r="G39" s="41">
        <f t="shared" si="16"/>
        <v>91249.343999999997</v>
      </c>
      <c r="I39" s="37">
        <v>45987</v>
      </c>
      <c r="J39" s="27">
        <v>28465.42</v>
      </c>
      <c r="K39" s="41">
        <v>3.2949999999999999</v>
      </c>
      <c r="L39" s="41">
        <f t="shared" si="13"/>
        <v>93793.558899999989</v>
      </c>
      <c r="M39" s="41">
        <f t="shared" si="14"/>
        <v>2544.2148999999918</v>
      </c>
      <c r="N39" s="27">
        <f t="shared" si="15"/>
        <v>772.14412746585492</v>
      </c>
      <c r="O39" s="42"/>
      <c r="S39" s="282"/>
      <c r="T39" s="284"/>
      <c r="V39" s="43"/>
      <c r="Z39" s="215"/>
      <c r="AA39" s="274"/>
    </row>
    <row r="40" spans="1:27">
      <c r="A40" s="32">
        <v>2025</v>
      </c>
      <c r="B40" s="32" t="s">
        <v>34</v>
      </c>
      <c r="C40" s="37">
        <v>45978</v>
      </c>
      <c r="D40" s="32" t="s">
        <v>928</v>
      </c>
      <c r="E40" s="27">
        <v>944</v>
      </c>
      <c r="F40" s="15">
        <v>3.2</v>
      </c>
      <c r="G40" s="41">
        <f t="shared" si="16"/>
        <v>3020.8</v>
      </c>
      <c r="I40" s="37">
        <v>45987</v>
      </c>
      <c r="J40" s="27">
        <v>944</v>
      </c>
      <c r="K40" s="41">
        <v>3.2949999999999999</v>
      </c>
      <c r="L40" s="41">
        <f t="shared" si="13"/>
        <v>3110.48</v>
      </c>
      <c r="M40" s="41">
        <f t="shared" si="14"/>
        <v>89.679999999999836</v>
      </c>
      <c r="N40" s="27">
        <f t="shared" si="15"/>
        <v>27.216995447647903</v>
      </c>
      <c r="O40" s="42"/>
      <c r="S40" s="282"/>
      <c r="T40" s="284"/>
      <c r="V40" s="43"/>
      <c r="Z40" s="215"/>
      <c r="AA40" s="274"/>
    </row>
    <row r="41" spans="1:27">
      <c r="A41" s="32">
        <v>2025</v>
      </c>
      <c r="B41" s="32" t="s">
        <v>34</v>
      </c>
      <c r="C41" s="37">
        <v>45987</v>
      </c>
      <c r="D41" s="32" t="s">
        <v>966</v>
      </c>
      <c r="E41" s="27">
        <v>6096.99</v>
      </c>
      <c r="F41" s="15">
        <v>3.37</v>
      </c>
      <c r="G41" s="41">
        <f t="shared" si="16"/>
        <v>20546.856299999999</v>
      </c>
      <c r="I41" s="37">
        <v>45989</v>
      </c>
      <c r="J41" s="27">
        <v>6096.99</v>
      </c>
      <c r="K41" s="41">
        <v>3.2949999999999999</v>
      </c>
      <c r="L41" s="41">
        <f>J41*K41</f>
        <v>20089.582049999997</v>
      </c>
      <c r="M41" s="41">
        <f t="shared" ref="M41:M48" si="17">L41-G41</f>
        <v>-457.27425000000221</v>
      </c>
      <c r="N41" s="27">
        <f t="shared" ref="N41:N49" si="18">IFERROR(M41/K41,0)</f>
        <v>-138.77822458270174</v>
      </c>
      <c r="O41" s="42"/>
      <c r="S41" s="282"/>
      <c r="T41" s="284"/>
      <c r="V41" s="43"/>
      <c r="Z41" s="215"/>
      <c r="AA41" s="274"/>
    </row>
    <row r="42" spans="1:27">
      <c r="A42" s="32">
        <v>2025</v>
      </c>
      <c r="B42" s="32" t="s">
        <v>35</v>
      </c>
      <c r="C42" s="37">
        <v>46003</v>
      </c>
      <c r="D42" s="32" t="s">
        <v>1070</v>
      </c>
      <c r="E42" s="27">
        <v>31200.49</v>
      </c>
      <c r="F42" s="15">
        <v>3.2</v>
      </c>
      <c r="G42" s="41">
        <f t="shared" si="16"/>
        <v>99841.568000000014</v>
      </c>
      <c r="I42" s="37">
        <v>46014</v>
      </c>
      <c r="J42" s="27">
        <v>31190.49</v>
      </c>
      <c r="K42" s="41">
        <v>3.29</v>
      </c>
      <c r="L42" s="41">
        <f>J42*K42</f>
        <v>102616.7121</v>
      </c>
      <c r="M42" s="41">
        <f t="shared" si="17"/>
        <v>2775.1440999999904</v>
      </c>
      <c r="N42" s="27">
        <f t="shared" si="18"/>
        <v>843.50884498479957</v>
      </c>
      <c r="O42" s="42"/>
      <c r="S42" s="282"/>
      <c r="T42" s="284"/>
      <c r="V42" s="43"/>
      <c r="Z42" s="215"/>
      <c r="AA42" s="274"/>
    </row>
    <row r="43" spans="1:27">
      <c r="A43" s="32">
        <v>2025</v>
      </c>
      <c r="B43" s="32" t="s">
        <v>35</v>
      </c>
      <c r="C43" s="37">
        <v>46007</v>
      </c>
      <c r="D43" s="32" t="s">
        <v>1071</v>
      </c>
      <c r="E43" s="27">
        <v>6643.15</v>
      </c>
      <c r="F43" s="15">
        <v>3.3</v>
      </c>
      <c r="G43" s="41">
        <f t="shared" si="16"/>
        <v>21922.394999999997</v>
      </c>
      <c r="I43" s="37">
        <v>46014</v>
      </c>
      <c r="J43" s="27">
        <v>6643.15</v>
      </c>
      <c r="K43" s="41">
        <v>3.29</v>
      </c>
      <c r="L43" s="41">
        <f>J43*K43</f>
        <v>21855.963499999998</v>
      </c>
      <c r="M43" s="41">
        <f t="shared" si="17"/>
        <v>-66.431499999998778</v>
      </c>
      <c r="N43" s="27">
        <f t="shared" si="18"/>
        <v>-20.191945288753427</v>
      </c>
      <c r="O43" s="42"/>
      <c r="S43" s="282"/>
      <c r="T43" s="284"/>
      <c r="V43" s="43"/>
      <c r="Z43" s="215"/>
      <c r="AA43" s="274"/>
    </row>
    <row r="44" spans="1:27">
      <c r="A44" s="32">
        <v>2025</v>
      </c>
      <c r="B44" s="32" t="s">
        <v>35</v>
      </c>
      <c r="C44" s="37">
        <v>46007</v>
      </c>
      <c r="D44" s="32" t="s">
        <v>1072</v>
      </c>
      <c r="E44" s="27">
        <v>8631.07</v>
      </c>
      <c r="F44" s="15">
        <v>3.3</v>
      </c>
      <c r="G44" s="41">
        <f t="shared" si="16"/>
        <v>28482.530999999999</v>
      </c>
      <c r="I44" s="37">
        <v>46014</v>
      </c>
      <c r="J44" s="27">
        <v>8613.07</v>
      </c>
      <c r="K44" s="41">
        <v>3.29</v>
      </c>
      <c r="L44" s="41">
        <f>J44*K44</f>
        <v>28337.0003</v>
      </c>
      <c r="M44" s="41">
        <f t="shared" si="17"/>
        <v>-145.53069999999934</v>
      </c>
      <c r="N44" s="27">
        <f t="shared" si="18"/>
        <v>-44.234255319148737</v>
      </c>
      <c r="O44" s="42"/>
      <c r="S44" s="282"/>
      <c r="T44" s="284"/>
      <c r="V44" s="43"/>
      <c r="Z44" s="215"/>
      <c r="AA44" s="274"/>
    </row>
    <row r="45" spans="1:27">
      <c r="A45" s="32">
        <v>2025</v>
      </c>
      <c r="B45" s="32" t="s">
        <v>35</v>
      </c>
      <c r="C45" s="37">
        <v>46009</v>
      </c>
      <c r="D45" s="32" t="s">
        <v>1073</v>
      </c>
      <c r="E45" s="27">
        <v>3021.84</v>
      </c>
      <c r="F45" s="15">
        <v>3.3</v>
      </c>
      <c r="G45" s="41">
        <f t="shared" si="16"/>
        <v>9972.0720000000001</v>
      </c>
      <c r="I45" s="37">
        <v>46027</v>
      </c>
      <c r="J45" s="27">
        <v>3021.84</v>
      </c>
      <c r="K45" s="41">
        <f>L45/J45</f>
        <v>3.6865155004897674</v>
      </c>
      <c r="L45" s="41">
        <v>11140.06</v>
      </c>
      <c r="M45" s="41">
        <f t="shared" si="17"/>
        <v>1167.9879999999994</v>
      </c>
      <c r="N45" s="27">
        <f t="shared" si="18"/>
        <v>316.82709589714943</v>
      </c>
      <c r="O45" s="42"/>
      <c r="S45" s="282"/>
      <c r="T45" s="284"/>
      <c r="V45" s="43"/>
      <c r="Z45" s="215"/>
      <c r="AA45" s="274"/>
    </row>
    <row r="46" spans="1:27">
      <c r="A46" s="32">
        <v>2026</v>
      </c>
      <c r="B46" s="32" t="s">
        <v>73</v>
      </c>
      <c r="C46" s="37">
        <v>46031</v>
      </c>
      <c r="D46" s="32" t="s">
        <v>1171</v>
      </c>
      <c r="E46" s="27">
        <v>5544.73</v>
      </c>
      <c r="F46" s="15">
        <v>3.29</v>
      </c>
      <c r="G46" s="41">
        <f t="shared" si="16"/>
        <v>18242.161700000001</v>
      </c>
      <c r="I46" s="37">
        <v>46042</v>
      </c>
      <c r="J46" s="27">
        <v>5544.73</v>
      </c>
      <c r="K46" s="41">
        <v>3.3040003751309799</v>
      </c>
      <c r="L46" s="41">
        <f>J46*K46</f>
        <v>18319.789999999997</v>
      </c>
      <c r="M46" s="41">
        <f t="shared" si="17"/>
        <v>77.628299999996671</v>
      </c>
      <c r="N46" s="27">
        <f t="shared" si="18"/>
        <v>23.495245516405024</v>
      </c>
      <c r="O46" s="42"/>
      <c r="S46" s="282"/>
      <c r="T46" s="284"/>
      <c r="V46" s="43"/>
      <c r="Z46" s="215"/>
      <c r="AA46" s="274"/>
    </row>
    <row r="47" spans="1:27">
      <c r="A47" s="32">
        <v>2026</v>
      </c>
      <c r="B47" s="32" t="s">
        <v>73</v>
      </c>
      <c r="C47" s="37">
        <v>46036</v>
      </c>
      <c r="D47" s="32" t="s">
        <v>1174</v>
      </c>
      <c r="E47" s="27">
        <v>11140.06</v>
      </c>
      <c r="F47" s="15">
        <v>3.29</v>
      </c>
      <c r="G47" s="41">
        <f t="shared" si="16"/>
        <v>36650.797399999996</v>
      </c>
      <c r="I47" s="37">
        <v>46031</v>
      </c>
      <c r="J47" s="27">
        <v>11140.06</v>
      </c>
      <c r="K47" s="41">
        <v>3.2839999999999998</v>
      </c>
      <c r="L47" s="41">
        <f>J47*K47</f>
        <v>36583.957039999994</v>
      </c>
      <c r="M47" s="41">
        <f t="shared" si="17"/>
        <v>-66.840360000001965</v>
      </c>
      <c r="N47" s="27">
        <f t="shared" si="18"/>
        <v>-20.353337393423256</v>
      </c>
      <c r="O47" s="42"/>
      <c r="S47" s="282"/>
      <c r="T47" s="284"/>
      <c r="V47" s="43"/>
      <c r="Z47" s="215"/>
      <c r="AA47" s="274"/>
    </row>
    <row r="48" spans="1:27">
      <c r="A48" s="32">
        <v>2026</v>
      </c>
      <c r="B48" s="32" t="s">
        <v>73</v>
      </c>
      <c r="C48" s="37">
        <v>46036</v>
      </c>
      <c r="D48" s="32" t="s">
        <v>1172</v>
      </c>
      <c r="E48" s="27">
        <v>31422.68</v>
      </c>
      <c r="F48" s="15">
        <v>3.29</v>
      </c>
      <c r="G48" s="41">
        <f>E48*F48</f>
        <v>103380.61720000001</v>
      </c>
      <c r="I48" s="37">
        <v>46044</v>
      </c>
      <c r="J48" s="27">
        <v>30208.68</v>
      </c>
      <c r="K48" s="41">
        <v>3.2719999999999998</v>
      </c>
      <c r="L48" s="41">
        <f>J48*K48</f>
        <v>98842.800959999993</v>
      </c>
      <c r="M48" s="41">
        <f t="shared" si="17"/>
        <v>-4537.8162400000147</v>
      </c>
      <c r="N48" s="27">
        <f t="shared" si="18"/>
        <v>-1386.8631540342344</v>
      </c>
      <c r="O48" s="42"/>
      <c r="S48" s="282"/>
      <c r="T48" s="284"/>
      <c r="V48" s="43"/>
      <c r="Z48" s="27"/>
      <c r="AA48" s="274"/>
    </row>
    <row r="49" spans="1:27">
      <c r="A49" s="32">
        <v>2026</v>
      </c>
      <c r="B49" s="32" t="s">
        <v>73</v>
      </c>
      <c r="C49" s="37">
        <v>46039</v>
      </c>
      <c r="D49" s="32" t="s">
        <v>1173</v>
      </c>
      <c r="E49" s="27">
        <v>5706.68</v>
      </c>
      <c r="F49" s="15">
        <v>3.29</v>
      </c>
      <c r="G49" s="41">
        <f>E49*F49</f>
        <v>18774.977200000001</v>
      </c>
      <c r="I49" s="37">
        <v>46048</v>
      </c>
      <c r="J49" s="27">
        <v>5706.68</v>
      </c>
      <c r="K49" s="41">
        <v>3.2719999999999998</v>
      </c>
      <c r="L49" s="41">
        <f>J49*K49</f>
        <v>18672.256959999999</v>
      </c>
      <c r="M49" s="41">
        <f>L49-G49</f>
        <v>-102.72024000000238</v>
      </c>
      <c r="N49" s="27">
        <f t="shared" si="18"/>
        <v>-31.393716381418823</v>
      </c>
      <c r="O49" s="42"/>
      <c r="S49" s="282"/>
      <c r="T49" s="284"/>
      <c r="V49" s="43"/>
      <c r="Z49" s="215"/>
      <c r="AA49" s="274"/>
    </row>
    <row r="50" spans="1:27">
      <c r="A50" s="32">
        <v>2026</v>
      </c>
      <c r="B50" s="32" t="s">
        <v>1268</v>
      </c>
      <c r="C50" s="37">
        <v>46042</v>
      </c>
      <c r="D50" s="32" t="s">
        <v>1270</v>
      </c>
      <c r="E50" s="27">
        <f>G50/3.43964185828</f>
        <v>4238.5517448291284</v>
      </c>
      <c r="F50" s="15">
        <v>3.44</v>
      </c>
      <c r="G50" s="41">
        <v>14579.1</v>
      </c>
      <c r="I50" s="37">
        <v>46048</v>
      </c>
      <c r="J50" s="27"/>
      <c r="K50" s="41">
        <v>3.2829999999999999</v>
      </c>
      <c r="L50" s="41"/>
      <c r="M50" s="41"/>
      <c r="N50" s="27"/>
      <c r="O50" s="42"/>
      <c r="S50" s="282"/>
      <c r="T50" s="284"/>
      <c r="V50" s="43"/>
      <c r="Z50" s="215"/>
      <c r="AA50" s="274"/>
    </row>
    <row r="51" spans="1:27">
      <c r="A51" s="32">
        <v>2026</v>
      </c>
      <c r="B51" s="32" t="s">
        <v>1268</v>
      </c>
      <c r="C51" s="37">
        <v>46066</v>
      </c>
      <c r="D51" s="32" t="s">
        <v>1269</v>
      </c>
      <c r="E51" s="27">
        <f>G51/F51</f>
        <v>12934.066869300912</v>
      </c>
      <c r="F51" s="15">
        <v>3.29</v>
      </c>
      <c r="G51" s="41">
        <f>42553.08</f>
        <v>42553.08</v>
      </c>
      <c r="I51" s="37">
        <v>46048</v>
      </c>
      <c r="J51" s="27">
        <f>L51/K51</f>
        <v>12934.066869300912</v>
      </c>
      <c r="K51" s="41">
        <v>3.29</v>
      </c>
      <c r="L51" s="41">
        <v>42553.08</v>
      </c>
      <c r="M51" s="41">
        <f t="shared" ref="M51:M58" si="19">L51-G51</f>
        <v>0</v>
      </c>
      <c r="N51" s="27">
        <f t="shared" ref="N51:N58" si="20">IFERROR(M51/K51,0)</f>
        <v>0</v>
      </c>
      <c r="O51" s="42"/>
      <c r="S51" s="282"/>
      <c r="T51" s="284"/>
      <c r="V51" s="43"/>
      <c r="Z51" s="215"/>
      <c r="AA51" s="274"/>
    </row>
    <row r="52" spans="1:27">
      <c r="A52" s="32">
        <v>2026</v>
      </c>
      <c r="B52" s="32" t="s">
        <v>1268</v>
      </c>
      <c r="C52" s="37">
        <v>46066</v>
      </c>
      <c r="D52" s="32" t="s">
        <v>1274</v>
      </c>
      <c r="E52" s="27">
        <v>5709.61</v>
      </c>
      <c r="F52" s="15">
        <v>3.29</v>
      </c>
      <c r="G52" s="41">
        <f t="shared" ref="G52:G57" si="21">E52*F52</f>
        <v>18784.616900000001</v>
      </c>
      <c r="I52" s="37">
        <v>46048</v>
      </c>
      <c r="J52" s="27">
        <v>5709.61</v>
      </c>
      <c r="K52" s="41">
        <v>3.2829999999999999</v>
      </c>
      <c r="L52" s="41">
        <f>J52*K52</f>
        <v>18744.64963</v>
      </c>
      <c r="M52" s="41">
        <f t="shared" si="19"/>
        <v>-39.967270000001008</v>
      </c>
      <c r="N52" s="27">
        <f t="shared" si="20"/>
        <v>-12.174008528784956</v>
      </c>
      <c r="O52" s="42"/>
      <c r="S52" s="282"/>
      <c r="T52" s="284"/>
      <c r="V52" s="43"/>
      <c r="Z52" s="215"/>
      <c r="AA52" s="274"/>
    </row>
    <row r="53" spans="1:27">
      <c r="A53" s="32">
        <v>2026</v>
      </c>
      <c r="B53" s="32" t="s">
        <v>1268</v>
      </c>
      <c r="C53" s="37">
        <v>46066</v>
      </c>
      <c r="D53" s="32" t="s">
        <v>1273</v>
      </c>
      <c r="E53" s="27">
        <v>29405.65</v>
      </c>
      <c r="F53" s="15">
        <v>3.29</v>
      </c>
      <c r="G53" s="41">
        <f t="shared" si="21"/>
        <v>96744.588500000013</v>
      </c>
      <c r="I53" s="37">
        <v>46048</v>
      </c>
      <c r="J53" s="27">
        <v>29365.65</v>
      </c>
      <c r="K53" s="41">
        <v>3.2829999999999999</v>
      </c>
      <c r="L53" s="41">
        <f>J53*K53</f>
        <v>96407.428950000001</v>
      </c>
      <c r="M53" s="41">
        <f t="shared" si="19"/>
        <v>-337.15955000001122</v>
      </c>
      <c r="N53" s="27">
        <f t="shared" si="20"/>
        <v>-102.69861407249809</v>
      </c>
      <c r="O53" s="42"/>
      <c r="S53" s="282"/>
      <c r="T53" s="284"/>
      <c r="V53" s="43"/>
      <c r="Z53" s="215"/>
      <c r="AA53" s="274"/>
    </row>
    <row r="54" spans="1:27">
      <c r="A54" s="32">
        <v>2026</v>
      </c>
      <c r="B54" s="32" t="s">
        <v>1268</v>
      </c>
      <c r="C54" s="37">
        <v>46071</v>
      </c>
      <c r="D54" s="32" t="s">
        <v>1287</v>
      </c>
      <c r="E54" s="27">
        <v>9304.9599999999991</v>
      </c>
      <c r="F54" s="15">
        <v>3.29</v>
      </c>
      <c r="G54" s="41">
        <f t="shared" si="21"/>
        <v>30613.318399999996</v>
      </c>
      <c r="I54" s="37">
        <v>46073</v>
      </c>
      <c r="J54" s="27">
        <v>30743.59</v>
      </c>
      <c r="K54" s="41">
        <f>L54/E54</f>
        <v>3.3040002321342601</v>
      </c>
      <c r="L54" s="41">
        <v>30743.59</v>
      </c>
      <c r="M54" s="41">
        <f t="shared" si="19"/>
        <v>130.27160000000367</v>
      </c>
      <c r="N54" s="27">
        <f t="shared" si="20"/>
        <v>39.428447593011548</v>
      </c>
      <c r="O54" s="42"/>
      <c r="S54" s="282"/>
      <c r="T54" s="284"/>
      <c r="V54" s="43"/>
      <c r="Z54" s="215"/>
      <c r="AA54" s="274"/>
    </row>
    <row r="55" spans="1:27">
      <c r="A55" s="32">
        <v>2026</v>
      </c>
      <c r="B55" s="32" t="s">
        <v>190</v>
      </c>
      <c r="C55" s="37">
        <v>46092</v>
      </c>
      <c r="D55" s="32" t="s">
        <v>1367</v>
      </c>
      <c r="E55" s="27">
        <v>6177.88</v>
      </c>
      <c r="F55" s="15">
        <v>3.36</v>
      </c>
      <c r="G55" s="41">
        <f t="shared" si="21"/>
        <v>20757.676800000001</v>
      </c>
      <c r="I55" s="37">
        <v>46108</v>
      </c>
      <c r="J55" s="27">
        <v>6177.88</v>
      </c>
      <c r="K55" s="41">
        <v>3.4020000000000001</v>
      </c>
      <c r="L55" s="41">
        <f>J55*K55</f>
        <v>21017.14776</v>
      </c>
      <c r="M55" s="41">
        <f t="shared" si="19"/>
        <v>259.47095999999874</v>
      </c>
      <c r="N55" s="27">
        <f t="shared" si="20"/>
        <v>76.270123456789747</v>
      </c>
      <c r="O55" s="42"/>
      <c r="S55" s="282"/>
      <c r="T55" s="284"/>
      <c r="V55" s="43"/>
      <c r="Z55" s="215"/>
      <c r="AA55" s="274"/>
    </row>
    <row r="56" spans="1:27">
      <c r="A56" s="32">
        <v>2026</v>
      </c>
      <c r="B56" s="32" t="s">
        <v>190</v>
      </c>
      <c r="C56" s="37">
        <v>46092</v>
      </c>
      <c r="D56" s="32" t="s">
        <v>1368</v>
      </c>
      <c r="E56" s="27">
        <v>8804.68</v>
      </c>
      <c r="F56" s="15">
        <v>3.36</v>
      </c>
      <c r="G56" s="41">
        <f t="shared" si="21"/>
        <v>29583.7248</v>
      </c>
      <c r="I56" s="37">
        <v>46104</v>
      </c>
      <c r="J56" s="27">
        <f>L56/K56</f>
        <v>8804.68</v>
      </c>
      <c r="K56" s="41">
        <f>L56/E56</f>
        <v>3.4010003770721933</v>
      </c>
      <c r="L56" s="41">
        <v>29944.720000000001</v>
      </c>
      <c r="M56" s="41">
        <f t="shared" si="19"/>
        <v>360.9952000000012</v>
      </c>
      <c r="N56" s="27">
        <f t="shared" si="20"/>
        <v>106.14382827877539</v>
      </c>
      <c r="O56" s="42"/>
      <c r="S56" s="282"/>
      <c r="T56" s="284"/>
      <c r="V56" s="43"/>
      <c r="Z56" s="215"/>
      <c r="AA56" s="274"/>
    </row>
    <row r="57" spans="1:27">
      <c r="A57" s="32">
        <v>2026</v>
      </c>
      <c r="B57" s="32" t="s">
        <v>190</v>
      </c>
      <c r="C57" s="37">
        <v>46093</v>
      </c>
      <c r="D57" s="32" t="s">
        <v>1273</v>
      </c>
      <c r="E57" s="27">
        <v>29476.63</v>
      </c>
      <c r="F57" s="15">
        <v>3.36</v>
      </c>
      <c r="G57" s="41">
        <f t="shared" si="21"/>
        <v>99041.476800000004</v>
      </c>
      <c r="I57" s="37">
        <v>46101</v>
      </c>
      <c r="J57" s="27">
        <v>29346.63</v>
      </c>
      <c r="K57" s="41">
        <v>3.4020000000000001</v>
      </c>
      <c r="L57" s="41">
        <f>J57*K57</f>
        <v>99837.235260000001</v>
      </c>
      <c r="M57" s="41">
        <f t="shared" si="19"/>
        <v>795.75845999999729</v>
      </c>
      <c r="N57" s="27">
        <f t="shared" si="20"/>
        <v>233.90901234567821</v>
      </c>
      <c r="O57" s="42"/>
      <c r="S57" s="282"/>
      <c r="T57" s="284"/>
      <c r="V57" s="43"/>
      <c r="Z57" s="215"/>
      <c r="AA57" s="274"/>
    </row>
    <row r="58" spans="1:27">
      <c r="A58" s="32">
        <v>2026</v>
      </c>
      <c r="B58" s="32" t="s">
        <v>190</v>
      </c>
      <c r="C58" s="37">
        <v>46097</v>
      </c>
      <c r="D58" s="32" t="s">
        <v>1269</v>
      </c>
      <c r="E58" s="27">
        <f>G58/F58</f>
        <v>16058.836309523811</v>
      </c>
      <c r="F58" s="15">
        <v>3.36</v>
      </c>
      <c r="G58" s="41">
        <v>53957.69</v>
      </c>
      <c r="I58" s="37">
        <v>46097</v>
      </c>
      <c r="J58" s="27">
        <f>L58/K58</f>
        <v>16058.836309523811</v>
      </c>
      <c r="K58" s="15">
        <v>3.36</v>
      </c>
      <c r="L58" s="41">
        <v>53957.69</v>
      </c>
      <c r="M58" s="41">
        <f t="shared" si="19"/>
        <v>0</v>
      </c>
      <c r="N58" s="27">
        <f t="shared" si="20"/>
        <v>0</v>
      </c>
      <c r="O58" s="42"/>
      <c r="S58" s="282"/>
      <c r="T58" s="284"/>
      <c r="V58" s="43"/>
      <c r="Z58" s="215"/>
      <c r="AA58" s="274"/>
    </row>
    <row r="59" spans="1:27">
      <c r="E59" s="43">
        <f>SUBTOTAL(9,E5:E58)</f>
        <v>565672.36492365377</v>
      </c>
      <c r="F59" s="15"/>
      <c r="G59" s="62">
        <f>SUBTOTAL(9,G5:G58)</f>
        <v>1925162.3338000006</v>
      </c>
      <c r="J59" s="43">
        <f>SUBTOTAL(9,J5:J58)</f>
        <v>580782.54317882459</v>
      </c>
      <c r="K59" s="274"/>
      <c r="L59" s="62">
        <f>SUBTOTAL(9,L5:L58)</f>
        <v>1909603.5076014944</v>
      </c>
      <c r="M59" s="62"/>
      <c r="N59" s="62">
        <f>SUBTOTAL(9,N5:N58)</f>
        <v>-379.2582590847968</v>
      </c>
      <c r="O59" s="62"/>
      <c r="R59" s="285">
        <f>SUM(R5:R26)</f>
        <v>135283.24</v>
      </c>
      <c r="U59" s="285">
        <f>E59-R59</f>
        <v>430389.12492365378</v>
      </c>
    </row>
    <row r="60" spans="1:27">
      <c r="F60" s="15"/>
      <c r="W60" s="27">
        <f>'BCP USD BCP'!$G$299*0</f>
        <v>0</v>
      </c>
      <c r="X60" t="s">
        <v>219</v>
      </c>
    </row>
    <row r="61" spans="1:27">
      <c r="F61" s="15"/>
      <c r="W61" s="27"/>
    </row>
    <row r="62" spans="1:27">
      <c r="F62" s="15"/>
      <c r="W62" s="27"/>
    </row>
    <row r="63" spans="1:27" ht="15" thickBot="1">
      <c r="J63" s="215">
        <f>J55+J57</f>
        <v>35524.51</v>
      </c>
      <c r="M63" s="349" t="s">
        <v>600</v>
      </c>
      <c r="N63" s="350">
        <v>-1059.7723421618637</v>
      </c>
      <c r="W63" s="211">
        <v>0</v>
      </c>
      <c r="X63" t="s">
        <v>220</v>
      </c>
    </row>
    <row r="64" spans="1:27" ht="15" thickTop="1">
      <c r="W64" s="43">
        <f>SUM(W60:W63)</f>
        <v>0</v>
      </c>
    </row>
    <row r="65" spans="9:24">
      <c r="W65" s="27">
        <f>W64-U59</f>
        <v>-430389.12492365378</v>
      </c>
      <c r="X65" t="s">
        <v>221</v>
      </c>
    </row>
    <row r="66" spans="9:24">
      <c r="J66" s="360"/>
      <c r="M66" s="360"/>
      <c r="N66" s="360"/>
    </row>
    <row r="67" spans="9:24">
      <c r="J67" s="360"/>
    </row>
    <row r="68" spans="9:24">
      <c r="I68" s="388"/>
      <c r="J68" s="389"/>
    </row>
    <row r="69" spans="9:24">
      <c r="J69" s="360"/>
    </row>
    <row r="70" spans="9:24">
      <c r="J70" s="390"/>
    </row>
  </sheetData>
  <autoFilter ref="A4:AE45" xr:uid="{2EFB9200-447B-4D92-B04E-947639732D34}"/>
  <mergeCells count="3">
    <mergeCell ref="Q2:T2"/>
    <mergeCell ref="A2:G2"/>
    <mergeCell ref="I2:L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1FC4-A945-45C4-B085-87C6470B71FD}">
  <dimension ref="A2:AA40"/>
  <sheetViews>
    <sheetView topLeftCell="A5" workbookViewId="0">
      <selection activeCell="A23" sqref="A23"/>
    </sheetView>
  </sheetViews>
  <sheetFormatPr baseColWidth="10" defaultRowHeight="14.4"/>
  <cols>
    <col min="1" max="1" width="11.5546875" customWidth="1"/>
    <col min="2" max="2" width="8.6640625" bestFit="1" customWidth="1"/>
    <col min="3" max="3" width="11.5546875" customWidth="1"/>
    <col min="4" max="4" width="31.88671875" bestFit="1" customWidth="1"/>
    <col min="5" max="5" width="15.44140625" bestFit="1" customWidth="1"/>
    <col min="6" max="6" width="11.5546875" customWidth="1"/>
    <col min="7" max="7" width="14" bestFit="1" customWidth="1"/>
    <col min="8" max="8" width="1.88671875" customWidth="1"/>
    <col min="9" max="9" width="11.5546875" customWidth="1"/>
    <col min="10" max="10" width="15.44140625" bestFit="1" customWidth="1"/>
    <col min="11" max="11" width="12.33203125" customWidth="1"/>
    <col min="12" max="12" width="14" bestFit="1" customWidth="1"/>
    <col min="13" max="14" width="12.44140625" customWidth="1"/>
    <col min="15" max="15" width="12.44140625" hidden="1" customWidth="1"/>
    <col min="16" max="17" width="11.44140625" style="275" hidden="1" customWidth="1"/>
    <col min="18" max="18" width="15.44140625" style="275" hidden="1" customWidth="1"/>
    <col min="19" max="19" width="12.33203125" style="275" hidden="1" customWidth="1"/>
    <col min="20" max="20" width="9.88671875" style="275" hidden="1" customWidth="1"/>
    <col min="21" max="21" width="14.33203125" style="275" hidden="1" customWidth="1"/>
    <col min="22" max="22" width="2.109375" hidden="1" customWidth="1"/>
    <col min="23" max="23" width="14.88671875" hidden="1" customWidth="1"/>
    <col min="24" max="24" width="28.5546875" hidden="1" customWidth="1"/>
    <col min="25" max="25" width="0" hidden="1" customWidth="1"/>
    <col min="26" max="26" width="11.5546875" customWidth="1"/>
    <col min="27" max="27" width="12.44140625" bestFit="1" customWidth="1"/>
  </cols>
  <sheetData>
    <row r="2" spans="1:27">
      <c r="A2" s="540" t="s">
        <v>6</v>
      </c>
      <c r="B2" s="540"/>
      <c r="C2" s="540"/>
      <c r="D2" s="540"/>
      <c r="E2" s="540"/>
      <c r="F2" s="540"/>
      <c r="G2" s="540"/>
      <c r="H2" s="33"/>
      <c r="I2" s="541"/>
      <c r="J2" s="541"/>
      <c r="K2" s="541"/>
      <c r="L2" s="541"/>
      <c r="M2" s="346"/>
      <c r="N2" s="346"/>
      <c r="O2" s="346"/>
      <c r="P2" s="276"/>
      <c r="Q2" s="539" t="s">
        <v>38</v>
      </c>
      <c r="R2" s="539"/>
      <c r="S2" s="539"/>
      <c r="T2" s="539"/>
    </row>
    <row r="3" spans="1:27">
      <c r="E3" s="345"/>
      <c r="F3" s="345"/>
      <c r="G3" s="345"/>
      <c r="H3" s="33"/>
      <c r="I3" s="346"/>
      <c r="J3" s="346"/>
      <c r="K3" s="346"/>
      <c r="L3" s="346"/>
      <c r="M3" s="346"/>
      <c r="N3" s="346"/>
      <c r="O3" s="346"/>
      <c r="P3" s="344"/>
      <c r="Q3" s="344"/>
      <c r="R3" s="344"/>
      <c r="S3" s="344"/>
      <c r="T3" s="344"/>
    </row>
    <row r="4" spans="1:27" ht="25.2">
      <c r="A4" s="346" t="s">
        <v>36</v>
      </c>
      <c r="B4" s="33" t="s">
        <v>32</v>
      </c>
      <c r="C4" s="33" t="s">
        <v>37</v>
      </c>
      <c r="D4" s="33" t="s">
        <v>5</v>
      </c>
      <c r="E4" s="345" t="s">
        <v>4</v>
      </c>
      <c r="F4" s="35" t="s">
        <v>31</v>
      </c>
      <c r="G4" s="345" t="s">
        <v>33</v>
      </c>
      <c r="I4" s="33" t="s">
        <v>37</v>
      </c>
      <c r="J4" s="345" t="s">
        <v>4</v>
      </c>
      <c r="K4" s="35" t="s">
        <v>31</v>
      </c>
      <c r="L4" s="345" t="s">
        <v>33</v>
      </c>
      <c r="M4" s="345" t="s">
        <v>394</v>
      </c>
      <c r="N4" s="345" t="s">
        <v>395</v>
      </c>
      <c r="O4" s="345"/>
      <c r="P4" s="278"/>
      <c r="Q4" s="278" t="s">
        <v>37</v>
      </c>
      <c r="R4" s="279" t="s">
        <v>4</v>
      </c>
      <c r="S4" s="280" t="s">
        <v>31</v>
      </c>
      <c r="T4" s="279" t="s">
        <v>33</v>
      </c>
    </row>
    <row r="5" spans="1:27">
      <c r="A5" s="32">
        <v>2025</v>
      </c>
      <c r="B5" s="32" t="s">
        <v>388</v>
      </c>
      <c r="C5" s="37">
        <v>45854</v>
      </c>
      <c r="D5" s="32" t="s">
        <v>601</v>
      </c>
      <c r="E5" s="27">
        <v>1532.89</v>
      </c>
      <c r="F5" s="15">
        <v>3.44</v>
      </c>
      <c r="G5" s="41">
        <f t="shared" ref="G5:G11" si="0">E5*F5</f>
        <v>5273.1415999999999</v>
      </c>
      <c r="I5" s="37">
        <v>45856</v>
      </c>
      <c r="J5" s="27">
        <v>1527.89</v>
      </c>
      <c r="K5" s="41">
        <v>3.4769999999999999</v>
      </c>
      <c r="L5" s="41">
        <f t="shared" ref="L5:L10" si="1">J5*K5</f>
        <v>5312.4735300000002</v>
      </c>
      <c r="M5" s="41">
        <f t="shared" ref="M5:M10" si="2">L5-G5</f>
        <v>39.331930000000284</v>
      </c>
      <c r="N5" s="27">
        <f t="shared" ref="N5:N13" si="3">IFERROR(M5/K5,0)</f>
        <v>11.312030486051276</v>
      </c>
      <c r="O5" s="42"/>
      <c r="Q5" s="275">
        <v>45849</v>
      </c>
      <c r="R5" s="275">
        <v>2683.33</v>
      </c>
      <c r="S5" s="282">
        <v>3.5179999999999998</v>
      </c>
      <c r="T5" s="284">
        <f>R5*S5</f>
        <v>9439.9549399999996</v>
      </c>
      <c r="V5" s="43"/>
    </row>
    <row r="6" spans="1:27">
      <c r="A6" s="32">
        <v>2025</v>
      </c>
      <c r="B6" s="32" t="s">
        <v>388</v>
      </c>
      <c r="C6" s="37">
        <v>45859</v>
      </c>
      <c r="D6" s="32" t="s">
        <v>601</v>
      </c>
      <c r="E6" s="27">
        <v>1282.8699999999999</v>
      </c>
      <c r="F6" s="15">
        <v>3.44</v>
      </c>
      <c r="G6" s="41">
        <f t="shared" si="0"/>
        <v>4413.0727999999999</v>
      </c>
      <c r="I6" s="37">
        <v>45891</v>
      </c>
      <c r="J6" s="27">
        <v>1282.8699999999999</v>
      </c>
      <c r="K6" s="41">
        <v>3.4769999999999999</v>
      </c>
      <c r="L6" s="41">
        <f t="shared" si="1"/>
        <v>4460.5389899999991</v>
      </c>
      <c r="M6" s="41">
        <f t="shared" si="2"/>
        <v>47.466189999999187</v>
      </c>
      <c r="N6" s="27">
        <f t="shared" si="3"/>
        <v>13.651478285878397</v>
      </c>
      <c r="O6" s="42"/>
      <c r="S6" s="282"/>
      <c r="T6" s="284"/>
      <c r="V6" s="43"/>
    </row>
    <row r="7" spans="1:27">
      <c r="A7" s="32">
        <v>2025</v>
      </c>
      <c r="B7" s="32" t="s">
        <v>595</v>
      </c>
      <c r="C7" s="37">
        <v>45881</v>
      </c>
      <c r="D7" s="32" t="s">
        <v>601</v>
      </c>
      <c r="E7" s="27">
        <v>17612.490000000002</v>
      </c>
      <c r="F7" s="15">
        <v>3.44</v>
      </c>
      <c r="G7" s="41">
        <f t="shared" si="0"/>
        <v>60586.965600000003</v>
      </c>
      <c r="I7" s="37">
        <v>45891</v>
      </c>
      <c r="J7" s="27">
        <v>17612.490000000002</v>
      </c>
      <c r="K7" s="41">
        <v>3.4769999999999999</v>
      </c>
      <c r="L7" s="41">
        <f t="shared" si="1"/>
        <v>61238.62773</v>
      </c>
      <c r="M7" s="41">
        <f t="shared" si="2"/>
        <v>651.66212999999698</v>
      </c>
      <c r="N7" s="27">
        <f t="shared" si="3"/>
        <v>187.4208024158749</v>
      </c>
      <c r="O7" s="42"/>
      <c r="S7" s="282"/>
      <c r="T7" s="284"/>
      <c r="V7" s="43"/>
    </row>
    <row r="8" spans="1:27">
      <c r="A8" s="32">
        <v>2025</v>
      </c>
      <c r="B8" s="32" t="s">
        <v>595</v>
      </c>
      <c r="C8" s="37">
        <v>45890</v>
      </c>
      <c r="D8" s="32" t="s">
        <v>601</v>
      </c>
      <c r="E8" s="27">
        <v>3953.74</v>
      </c>
      <c r="F8" s="15">
        <v>3.44</v>
      </c>
      <c r="G8" s="41">
        <f t="shared" si="0"/>
        <v>13600.865599999999</v>
      </c>
      <c r="I8" s="37">
        <v>45891</v>
      </c>
      <c r="J8" s="27">
        <v>3953.74</v>
      </c>
      <c r="K8" s="41">
        <v>3.4769999999999999</v>
      </c>
      <c r="L8" s="41">
        <f t="shared" si="1"/>
        <v>13747.153979999999</v>
      </c>
      <c r="M8" s="41">
        <f t="shared" si="2"/>
        <v>146.28837999999996</v>
      </c>
      <c r="N8" s="27">
        <f t="shared" si="3"/>
        <v>42.073160770779396</v>
      </c>
      <c r="O8" s="42"/>
      <c r="S8" s="282"/>
      <c r="T8" s="284"/>
      <c r="V8" s="43"/>
    </row>
    <row r="9" spans="1:27">
      <c r="A9" s="32">
        <v>2025</v>
      </c>
      <c r="B9" s="32" t="s">
        <v>717</v>
      </c>
      <c r="C9" s="379">
        <v>45916</v>
      </c>
      <c r="D9" s="32" t="s">
        <v>601</v>
      </c>
      <c r="E9" s="27">
        <v>62620.03</v>
      </c>
      <c r="F9" s="15">
        <v>3.41</v>
      </c>
      <c r="G9" s="41">
        <f t="shared" si="0"/>
        <v>213534.30230000001</v>
      </c>
      <c r="I9" s="37">
        <v>45924</v>
      </c>
      <c r="J9" s="27">
        <f>62620.03-29.99</f>
        <v>62590.04</v>
      </c>
      <c r="K9" s="41">
        <v>3.4302999999999999</v>
      </c>
      <c r="L9" s="41">
        <f t="shared" si="1"/>
        <v>214702.61421199999</v>
      </c>
      <c r="M9" s="41">
        <f t="shared" si="2"/>
        <v>1168.3119119999756</v>
      </c>
      <c r="N9" s="27">
        <f>IFERROR(M9/K9,0)</f>
        <v>340.58592892749192</v>
      </c>
      <c r="O9" s="42"/>
      <c r="S9" s="282"/>
      <c r="T9" s="284"/>
      <c r="V9" s="43"/>
    </row>
    <row r="10" spans="1:27">
      <c r="A10" s="32">
        <v>2025</v>
      </c>
      <c r="B10" s="32" t="s">
        <v>717</v>
      </c>
      <c r="C10" s="37">
        <v>45916</v>
      </c>
      <c r="D10" s="32" t="s">
        <v>601</v>
      </c>
      <c r="E10" s="27">
        <v>1049.48</v>
      </c>
      <c r="F10" s="15">
        <v>3.41</v>
      </c>
      <c r="G10" s="41">
        <f t="shared" si="0"/>
        <v>3578.7268000000004</v>
      </c>
      <c r="I10" s="37">
        <v>45924</v>
      </c>
      <c r="J10" s="27">
        <v>1049.48</v>
      </c>
      <c r="K10" s="41">
        <v>3.4302999999999999</v>
      </c>
      <c r="L10" s="41">
        <f t="shared" si="1"/>
        <v>3600.0312439999998</v>
      </c>
      <c r="M10" s="41">
        <f t="shared" si="2"/>
        <v>21.304443999999421</v>
      </c>
      <c r="N10" s="27">
        <f t="shared" si="3"/>
        <v>6.2106649564176371</v>
      </c>
      <c r="O10" s="42"/>
      <c r="S10" s="282"/>
      <c r="T10" s="284"/>
      <c r="V10" s="43"/>
    </row>
    <row r="11" spans="1:27">
      <c r="A11" s="32">
        <v>2025</v>
      </c>
      <c r="B11" s="32" t="s">
        <v>735</v>
      </c>
      <c r="C11" s="37">
        <v>45946</v>
      </c>
      <c r="D11" s="32" t="s">
        <v>601</v>
      </c>
      <c r="E11" s="27">
        <v>94678.47</v>
      </c>
      <c r="F11" s="15">
        <v>3.35</v>
      </c>
      <c r="G11" s="41">
        <f t="shared" si="0"/>
        <v>317172.87450000003</v>
      </c>
      <c r="I11" s="37">
        <v>45952</v>
      </c>
      <c r="J11" s="27">
        <v>94648.459999999992</v>
      </c>
      <c r="K11" s="41">
        <v>3.319</v>
      </c>
      <c r="L11" s="41">
        <f>J11*K11</f>
        <v>314138.23873999994</v>
      </c>
      <c r="M11" s="41">
        <f>L11-G11</f>
        <v>-3034.635760000092</v>
      </c>
      <c r="N11" s="27">
        <f t="shared" si="3"/>
        <v>-914.3223139500127</v>
      </c>
      <c r="O11" s="42"/>
      <c r="S11" s="282"/>
      <c r="T11" s="284"/>
      <c r="V11" s="43"/>
    </row>
    <row r="12" spans="1:27">
      <c r="A12" s="32">
        <v>2025</v>
      </c>
      <c r="B12" s="32" t="s">
        <v>735</v>
      </c>
      <c r="C12" s="37">
        <v>45946</v>
      </c>
      <c r="D12" s="32" t="s">
        <v>601</v>
      </c>
      <c r="E12" s="27">
        <v>14071.83</v>
      </c>
      <c r="F12" s="15">
        <v>3.35</v>
      </c>
      <c r="G12" s="41">
        <f t="shared" ref="G12:G22" si="4">E12*F12</f>
        <v>47140.630499999999</v>
      </c>
      <c r="I12" s="37">
        <v>45960</v>
      </c>
      <c r="J12" s="27">
        <v>14071.83</v>
      </c>
      <c r="K12" s="41">
        <v>3.3090000000000002</v>
      </c>
      <c r="L12" s="41">
        <f>J12*K12</f>
        <v>46563.685470000004</v>
      </c>
      <c r="M12" s="41">
        <f>L12-G12</f>
        <v>-576.94502999999531</v>
      </c>
      <c r="N12" s="27">
        <f t="shared" si="3"/>
        <v>-174.35631006346185</v>
      </c>
      <c r="O12" s="42"/>
      <c r="S12" s="282"/>
      <c r="T12" s="284"/>
      <c r="V12" s="43"/>
    </row>
    <row r="13" spans="1:27">
      <c r="A13" s="32">
        <v>2025</v>
      </c>
      <c r="B13" s="32" t="s">
        <v>880</v>
      </c>
      <c r="C13" s="37">
        <v>45968</v>
      </c>
      <c r="D13" s="32" t="s">
        <v>601</v>
      </c>
      <c r="E13" s="27">
        <v>37575.769999999997</v>
      </c>
      <c r="F13" s="15">
        <v>3.2</v>
      </c>
      <c r="G13" s="41">
        <f t="shared" si="4"/>
        <v>120242.46399999999</v>
      </c>
      <c r="I13" s="37">
        <v>45974</v>
      </c>
      <c r="J13" s="27">
        <v>37550.76</v>
      </c>
      <c r="K13" s="41">
        <v>3.2970000000000002</v>
      </c>
      <c r="L13" s="41">
        <f>J13*K13</f>
        <v>123804.85572000001</v>
      </c>
      <c r="M13" s="41">
        <f>L13-G13</f>
        <v>3562.3917200000142</v>
      </c>
      <c r="N13" s="27">
        <f t="shared" si="3"/>
        <v>1080.4949105247238</v>
      </c>
      <c r="O13" s="42"/>
      <c r="S13" s="282"/>
      <c r="T13" s="284"/>
      <c r="V13" s="43"/>
      <c r="AA13" s="215">
        <f>+E13-J13</f>
        <v>25.009999999994761</v>
      </c>
    </row>
    <row r="14" spans="1:27">
      <c r="A14" s="32">
        <v>2025</v>
      </c>
      <c r="B14" s="32" t="s">
        <v>880</v>
      </c>
      <c r="C14" s="37">
        <v>45968</v>
      </c>
      <c r="D14" s="32" t="s">
        <v>601</v>
      </c>
      <c r="E14" s="27">
        <v>2554.83</v>
      </c>
      <c r="F14" s="15">
        <v>3.2</v>
      </c>
      <c r="G14" s="41">
        <f t="shared" si="4"/>
        <v>8175.4560000000001</v>
      </c>
      <c r="I14" s="457"/>
      <c r="J14" s="456"/>
      <c r="K14" s="455"/>
      <c r="L14" s="455"/>
      <c r="M14" s="455"/>
      <c r="N14" s="456"/>
      <c r="O14" s="42"/>
      <c r="S14" s="282"/>
      <c r="T14" s="284"/>
      <c r="V14" s="43"/>
    </row>
    <row r="15" spans="1:27">
      <c r="A15" s="32">
        <v>2025</v>
      </c>
      <c r="B15" s="32" t="s">
        <v>880</v>
      </c>
      <c r="C15" s="37">
        <v>45979</v>
      </c>
      <c r="D15" s="32" t="s">
        <v>601</v>
      </c>
      <c r="E15" s="27">
        <v>183197.61</v>
      </c>
      <c r="F15" s="15">
        <v>3.2</v>
      </c>
      <c r="G15" s="41">
        <f t="shared" si="4"/>
        <v>586232.35199999996</v>
      </c>
      <c r="I15" s="37">
        <v>45987</v>
      </c>
      <c r="J15" s="27">
        <v>183167.62</v>
      </c>
      <c r="K15" s="41">
        <v>3.2949999999999999</v>
      </c>
      <c r="L15" s="41">
        <f t="shared" ref="L15:L22" si="5">J15*K15</f>
        <v>603537.30790000001</v>
      </c>
      <c r="M15" s="41">
        <f t="shared" ref="M15:M21" si="6">L15-G15</f>
        <v>17304.955900000059</v>
      </c>
      <c r="N15" s="27">
        <f t="shared" ref="N15:N21" si="7">IFERROR(M15/K15,0)</f>
        <v>5251.8834294385615</v>
      </c>
      <c r="O15" s="42"/>
      <c r="S15" s="282"/>
      <c r="T15" s="284"/>
      <c r="V15" s="43"/>
    </row>
    <row r="16" spans="1:27">
      <c r="A16" s="32">
        <v>2025</v>
      </c>
      <c r="B16" s="32" t="s">
        <v>35</v>
      </c>
      <c r="C16" s="37">
        <v>46013</v>
      </c>
      <c r="D16" s="32" t="s">
        <v>601</v>
      </c>
      <c r="E16" s="27">
        <v>104545.45</v>
      </c>
      <c r="F16" s="15">
        <v>3.22</v>
      </c>
      <c r="G16" s="41">
        <f t="shared" si="4"/>
        <v>336636.34899999999</v>
      </c>
      <c r="I16" s="37">
        <v>46017</v>
      </c>
      <c r="J16" s="27">
        <v>104545.45</v>
      </c>
      <c r="K16" s="41">
        <v>3.286</v>
      </c>
      <c r="L16" s="41">
        <f t="shared" si="5"/>
        <v>343536.34869999997</v>
      </c>
      <c r="M16" s="41">
        <f t="shared" si="6"/>
        <v>6899.9996999999858</v>
      </c>
      <c r="N16" s="27">
        <f t="shared" si="7"/>
        <v>2099.8173158855707</v>
      </c>
      <c r="O16" s="42"/>
      <c r="S16" s="282"/>
      <c r="T16" s="284"/>
      <c r="V16" s="43"/>
    </row>
    <row r="17" spans="1:24">
      <c r="A17" s="32">
        <v>2026</v>
      </c>
      <c r="B17" s="32" t="s">
        <v>73</v>
      </c>
      <c r="C17" s="37">
        <v>46037</v>
      </c>
      <c r="D17" s="32" t="s">
        <v>601</v>
      </c>
      <c r="E17" s="27">
        <v>107942.06</v>
      </c>
      <c r="F17" s="15">
        <v>3.29</v>
      </c>
      <c r="G17" s="41">
        <f t="shared" si="4"/>
        <v>355129.3774</v>
      </c>
      <c r="I17" s="37">
        <v>46042</v>
      </c>
      <c r="J17" s="27">
        <v>107912.05</v>
      </c>
      <c r="K17" s="41">
        <v>3.2719999999999998</v>
      </c>
      <c r="L17" s="41">
        <f t="shared" si="5"/>
        <v>353088.22759999998</v>
      </c>
      <c r="M17" s="41">
        <f t="shared" si="6"/>
        <v>-2041.1498000000138</v>
      </c>
      <c r="N17" s="27">
        <f t="shared" si="7"/>
        <v>-623.82328850856175</v>
      </c>
      <c r="O17" s="42"/>
      <c r="S17" s="282"/>
      <c r="T17" s="284"/>
      <c r="V17" s="43"/>
    </row>
    <row r="18" spans="1:24">
      <c r="A18" s="32">
        <v>2026</v>
      </c>
      <c r="B18" s="32" t="s">
        <v>73</v>
      </c>
      <c r="C18" s="37">
        <v>46053</v>
      </c>
      <c r="D18" s="32" t="s">
        <v>601</v>
      </c>
      <c r="E18" s="27">
        <v>1823.76</v>
      </c>
      <c r="F18" s="15">
        <v>3.29</v>
      </c>
      <c r="G18" s="41">
        <f t="shared" si="4"/>
        <v>6000.1704</v>
      </c>
      <c r="I18" s="37">
        <v>46048</v>
      </c>
      <c r="J18" s="27">
        <v>1823.76</v>
      </c>
      <c r="K18" s="41">
        <v>3.2829999999999999</v>
      </c>
      <c r="L18" s="41">
        <f t="shared" si="5"/>
        <v>5987.4040800000002</v>
      </c>
      <c r="M18" s="41">
        <f t="shared" si="6"/>
        <v>-12.766319999999723</v>
      </c>
      <c r="N18" s="27">
        <f t="shared" si="7"/>
        <v>-3.8886140724945855</v>
      </c>
      <c r="O18" s="42"/>
      <c r="S18" s="282"/>
      <c r="T18" s="284"/>
      <c r="V18" s="43"/>
    </row>
    <row r="19" spans="1:24">
      <c r="A19" s="32">
        <v>2026</v>
      </c>
      <c r="B19" s="32" t="s">
        <v>1268</v>
      </c>
      <c r="C19" s="37">
        <v>46066</v>
      </c>
      <c r="D19" s="32" t="s">
        <v>601</v>
      </c>
      <c r="E19" s="27">
        <v>105280.54</v>
      </c>
      <c r="F19" s="15">
        <v>3.29</v>
      </c>
      <c r="G19" s="41">
        <f t="shared" si="4"/>
        <v>346372.97659999999</v>
      </c>
      <c r="I19" s="37">
        <v>46048</v>
      </c>
      <c r="J19" s="27">
        <v>105280.55</v>
      </c>
      <c r="K19" s="41">
        <v>3.2829999999999999</v>
      </c>
      <c r="L19" s="41">
        <f t="shared" si="5"/>
        <v>345636.04564999999</v>
      </c>
      <c r="M19" s="41">
        <f t="shared" si="6"/>
        <v>-736.93095000000903</v>
      </c>
      <c r="N19" s="27">
        <f t="shared" si="7"/>
        <v>-224.46876332622878</v>
      </c>
      <c r="O19" s="42"/>
      <c r="S19" s="282"/>
      <c r="T19" s="284"/>
      <c r="V19" s="43"/>
    </row>
    <row r="20" spans="1:24">
      <c r="A20" s="32">
        <v>2026</v>
      </c>
      <c r="B20" s="32" t="s">
        <v>190</v>
      </c>
      <c r="C20" s="37">
        <v>46088</v>
      </c>
      <c r="D20" s="32" t="s">
        <v>601</v>
      </c>
      <c r="E20" s="27">
        <v>21885.35</v>
      </c>
      <c r="F20" s="15">
        <v>3.29</v>
      </c>
      <c r="G20" s="41">
        <f t="shared" si="4"/>
        <v>72002.801500000001</v>
      </c>
      <c r="I20" s="37">
        <v>46097</v>
      </c>
      <c r="J20" s="27">
        <v>21885.35</v>
      </c>
      <c r="K20" s="41">
        <v>3.3530000000000002</v>
      </c>
      <c r="L20" s="41">
        <f t="shared" si="5"/>
        <v>73381.578550000006</v>
      </c>
      <c r="M20" s="41">
        <f t="shared" si="6"/>
        <v>1378.7770500000042</v>
      </c>
      <c r="N20" s="27">
        <f t="shared" si="7"/>
        <v>411.20699373695322</v>
      </c>
      <c r="O20" s="42"/>
      <c r="S20" s="282"/>
      <c r="T20" s="284"/>
      <c r="V20" s="43"/>
    </row>
    <row r="21" spans="1:24">
      <c r="A21" s="32">
        <v>2026</v>
      </c>
      <c r="B21" s="32" t="s">
        <v>190</v>
      </c>
      <c r="C21" s="37">
        <v>46094</v>
      </c>
      <c r="D21" s="32" t="s">
        <v>601</v>
      </c>
      <c r="E21" s="27">
        <v>135662.04</v>
      </c>
      <c r="F21" s="15">
        <v>3.36</v>
      </c>
      <c r="G21" s="41">
        <f t="shared" si="4"/>
        <v>455824.45439999999</v>
      </c>
      <c r="I21" s="37">
        <v>46099</v>
      </c>
      <c r="J21" s="27">
        <v>135632.04</v>
      </c>
      <c r="K21" s="41">
        <v>3.415</v>
      </c>
      <c r="L21" s="41">
        <f t="shared" si="5"/>
        <v>463183.41660000006</v>
      </c>
      <c r="M21" s="41">
        <f t="shared" si="6"/>
        <v>7358.9622000000672</v>
      </c>
      <c r="N21" s="27">
        <f t="shared" si="7"/>
        <v>2154.8937628111471</v>
      </c>
      <c r="O21" s="42"/>
      <c r="S21" s="282"/>
      <c r="T21" s="284"/>
      <c r="V21" s="43"/>
    </row>
    <row r="22" spans="1:24">
      <c r="A22" s="32">
        <v>2026</v>
      </c>
      <c r="B22" s="32" t="s">
        <v>190</v>
      </c>
      <c r="C22" s="37">
        <v>46108</v>
      </c>
      <c r="D22" s="32" t="s">
        <v>601</v>
      </c>
      <c r="E22" s="27">
        <v>56216.88</v>
      </c>
      <c r="F22" s="15">
        <v>3.36</v>
      </c>
      <c r="G22" s="41">
        <f t="shared" si="4"/>
        <v>188888.71679999999</v>
      </c>
      <c r="I22" s="37">
        <v>46112</v>
      </c>
      <c r="J22" s="27">
        <v>56216.88</v>
      </c>
      <c r="K22" s="41">
        <v>3.399</v>
      </c>
      <c r="L22" s="41">
        <f t="shared" si="5"/>
        <v>191081.17512</v>
      </c>
      <c r="M22" s="41">
        <f>L22-G22</f>
        <v>2192.4583200000052</v>
      </c>
      <c r="N22" s="27">
        <f>IFERROR(M22/K22,0)</f>
        <v>645.03039717564138</v>
      </c>
      <c r="O22" s="42"/>
      <c r="S22" s="282"/>
      <c r="T22" s="284"/>
      <c r="V22" s="43"/>
    </row>
    <row r="23" spans="1:24">
      <c r="E23" s="43">
        <f>SUM(E5:E22)</f>
        <v>953486.08999999985</v>
      </c>
      <c r="G23" s="62">
        <f>SUM(G5:G22)</f>
        <v>3140805.6978000002</v>
      </c>
      <c r="J23" s="43">
        <f>SUM(J5:J22)</f>
        <v>950751.26</v>
      </c>
      <c r="K23" s="274"/>
      <c r="L23" s="62">
        <f>SUM(L5:L22)</f>
        <v>3166999.7238159999</v>
      </c>
      <c r="M23" s="62"/>
      <c r="N23" s="62">
        <f>SUM(N5:N22)</f>
        <v>10303.721585494333</v>
      </c>
      <c r="O23" s="62"/>
      <c r="R23" s="285">
        <f>SUM(R5:R8)</f>
        <v>2683.33</v>
      </c>
      <c r="U23" s="285">
        <f>E23-R23</f>
        <v>950802.75999999989</v>
      </c>
    </row>
    <row r="24" spans="1:24">
      <c r="W24" s="27">
        <f>'BCP USD BCP'!$G$299*0</f>
        <v>0</v>
      </c>
      <c r="X24" t="s">
        <v>219</v>
      </c>
    </row>
    <row r="25" spans="1:24" ht="15" thickBot="1">
      <c r="M25" s="349"/>
      <c r="N25" s="350"/>
      <c r="W25" s="211">
        <v>0</v>
      </c>
      <c r="X25" t="s">
        <v>220</v>
      </c>
    </row>
    <row r="26" spans="1:24" ht="15" thickTop="1">
      <c r="W26" s="43">
        <f>SUM(W24:W25)</f>
        <v>0</v>
      </c>
    </row>
    <row r="27" spans="1:24">
      <c r="W27" s="27">
        <f>W26-U23</f>
        <v>-950802.75999999989</v>
      </c>
      <c r="X27" t="s">
        <v>221</v>
      </c>
    </row>
    <row r="28" spans="1:24">
      <c r="J28" s="215"/>
    </row>
    <row r="40" spans="10:10">
      <c r="J40" s="443"/>
    </row>
  </sheetData>
  <autoFilter ref="A4:AE23" xr:uid="{F606DB3B-8F90-4442-83BC-CB1BF1C089D7}"/>
  <mergeCells count="3">
    <mergeCell ref="A2:G2"/>
    <mergeCell ref="I2:L2"/>
    <mergeCell ref="Q2:T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277F-7886-4530-99AB-3B44BA0254B4}">
  <dimension ref="A1:A31"/>
  <sheetViews>
    <sheetView topLeftCell="A19" workbookViewId="0">
      <selection activeCell="A32" sqref="A32"/>
    </sheetView>
  </sheetViews>
  <sheetFormatPr baseColWidth="10" defaultRowHeight="14.4"/>
  <cols>
    <col min="1" max="1" width="12.88671875" bestFit="1" customWidth="1"/>
  </cols>
  <sheetData>
    <row r="1" spans="1:1">
      <c r="A1" t="s">
        <v>155</v>
      </c>
    </row>
    <row r="2" spans="1:1">
      <c r="A2" s="174">
        <v>45765</v>
      </c>
    </row>
    <row r="3" spans="1:1">
      <c r="A3" s="174">
        <v>45778</v>
      </c>
    </row>
    <row r="4" spans="1:1">
      <c r="A4" s="174">
        <v>45815</v>
      </c>
    </row>
    <row r="5" spans="1:1">
      <c r="A5" s="174">
        <v>45815</v>
      </c>
    </row>
    <row r="6" spans="1:1">
      <c r="A6" s="174">
        <v>45837</v>
      </c>
    </row>
    <row r="7" spans="1:1">
      <c r="A7" s="174">
        <v>45861</v>
      </c>
    </row>
    <row r="8" spans="1:1">
      <c r="A8" s="174">
        <v>45866</v>
      </c>
    </row>
    <row r="9" spans="1:1">
      <c r="A9" s="174">
        <v>45875</v>
      </c>
    </row>
    <row r="10" spans="1:1">
      <c r="A10" s="174">
        <v>45899</v>
      </c>
    </row>
    <row r="11" spans="1:1">
      <c r="A11" s="174">
        <v>45938</v>
      </c>
    </row>
    <row r="12" spans="1:1">
      <c r="A12" s="174">
        <v>45962</v>
      </c>
    </row>
    <row r="13" spans="1:1">
      <c r="A13" s="174">
        <v>45999</v>
      </c>
    </row>
    <row r="14" spans="1:1">
      <c r="A14" s="174">
        <v>46000</v>
      </c>
    </row>
    <row r="15" spans="1:1">
      <c r="A15" s="174">
        <v>46016</v>
      </c>
    </row>
    <row r="16" spans="1:1">
      <c r="A16" s="450">
        <v>46023</v>
      </c>
    </row>
    <row r="17" spans="1:1">
      <c r="A17" s="450">
        <v>46114</v>
      </c>
    </row>
    <row r="18" spans="1:1">
      <c r="A18" s="450">
        <v>46115</v>
      </c>
    </row>
    <row r="19" spans="1:1">
      <c r="A19" s="450">
        <v>46143</v>
      </c>
    </row>
    <row r="20" spans="1:1">
      <c r="A20" s="450">
        <v>46180</v>
      </c>
    </row>
    <row r="21" spans="1:1">
      <c r="A21" s="450">
        <v>46202</v>
      </c>
    </row>
    <row r="22" spans="1:1">
      <c r="A22" s="450">
        <v>46226</v>
      </c>
    </row>
    <row r="23" spans="1:1">
      <c r="A23" s="450">
        <v>46231</v>
      </c>
    </row>
    <row r="24" spans="1:1">
      <c r="A24" s="450">
        <v>46232</v>
      </c>
    </row>
    <row r="25" spans="1:1">
      <c r="A25" s="450">
        <v>46240</v>
      </c>
    </row>
    <row r="26" spans="1:1">
      <c r="A26" s="450">
        <v>46264</v>
      </c>
    </row>
    <row r="27" spans="1:1">
      <c r="A27" s="450">
        <v>46303</v>
      </c>
    </row>
    <row r="28" spans="1:1">
      <c r="A28" s="450">
        <v>46327</v>
      </c>
    </row>
    <row r="29" spans="1:1">
      <c r="A29" s="450">
        <v>46364</v>
      </c>
    </row>
    <row r="30" spans="1:1">
      <c r="A30" s="450">
        <v>46365</v>
      </c>
    </row>
    <row r="31" spans="1:1">
      <c r="A31" s="450">
        <v>46381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BBVA SOLES</vt:lpstr>
      <vt:lpstr>BBVA USD</vt:lpstr>
      <vt:lpstr>BCP SOLES BCP</vt:lpstr>
      <vt:lpstr>BCP USD BCP</vt:lpstr>
      <vt:lpstr>GASTOS SUCURSAL PERÚ</vt:lpstr>
      <vt:lpstr>FLUJO CAJA MARZO</vt:lpstr>
      <vt:lpstr>FLUJO CAJA ABRIL</vt:lpstr>
      <vt:lpstr>FLUJO CAJA MAYO</vt:lpstr>
      <vt:lpstr>FLUJO CAJA JUNIO</vt:lpstr>
      <vt:lpstr>FLUJO CAJA JULIO</vt:lpstr>
      <vt:lpstr>FLUJO CAJA AGOSTO</vt:lpstr>
      <vt:lpstr>FLUJO CAJA SEPTIEMBRE</vt:lpstr>
      <vt:lpstr>FLUJO CAJA OCTUBRE 2025</vt:lpstr>
      <vt:lpstr>FLUJO CAJA NOVIEMBRE</vt:lpstr>
      <vt:lpstr>FLUJO CAJA DICIEMBRE</vt:lpstr>
      <vt:lpstr>FLUJO CAJA ENERO 2026</vt:lpstr>
      <vt:lpstr>FLUJO CAJA FEBRERO 2026</vt:lpstr>
      <vt:lpstr>FLUJO CAJA MARZO 2026</vt:lpstr>
      <vt:lpstr>FLUJO CAJA ABRIL 2026 </vt:lpstr>
      <vt:lpstr>Diferencia Cambio S&amp;P</vt:lpstr>
      <vt:lpstr>Diferencia Cambio Global</vt:lpstr>
      <vt:lpstr>FestivosPerú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Yiseth P. Tovar</dc:creator>
  <cp:lastModifiedBy>Cristian Parada</cp:lastModifiedBy>
  <dcterms:created xsi:type="dcterms:W3CDTF">2014-03-13T14:38:55Z</dcterms:created>
  <dcterms:modified xsi:type="dcterms:W3CDTF">2026-04-27T17:15:59Z</dcterms:modified>
</cp:coreProperties>
</file>